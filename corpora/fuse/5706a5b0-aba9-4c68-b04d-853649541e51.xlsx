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240" windowWidth="17235" windowHeight="9660"/>
  </bookViews>
  <sheets>
    <sheet name="Summary" sheetId="60" r:id="rId1"/>
    <sheet name="Rate History" sheetId="66" r:id="rId2"/>
    <sheet name="FTSE Summary" sheetId="65" r:id="rId3"/>
    <sheet name="Discipline Summary" sheetId="62" r:id="rId4"/>
    <sheet name="Discipline Analysis" sheetId="63" r:id="rId5"/>
    <sheet name="Neutral" sheetId="64" r:id="rId6"/>
    <sheet name="1" sheetId="57" r:id="rId7"/>
    <sheet name="2" sheetId="56" r:id="rId8"/>
    <sheet name="3" sheetId="55" r:id="rId9"/>
    <sheet name="4" sheetId="54" r:id="rId10"/>
    <sheet name="5" sheetId="53" r:id="rId11"/>
    <sheet name="6" sheetId="52" r:id="rId12"/>
    <sheet name="7" sheetId="51" r:id="rId13"/>
    <sheet name="8" sheetId="50" r:id="rId14"/>
    <sheet name="9" sheetId="49" r:id="rId15"/>
    <sheet name="10" sheetId="48" r:id="rId16"/>
    <sheet name="11" sheetId="47" r:id="rId17"/>
    <sheet name="12" sheetId="46" r:id="rId18"/>
    <sheet name="13" sheetId="45" r:id="rId19"/>
    <sheet name="14" sheetId="44" r:id="rId20"/>
    <sheet name="15" sheetId="43" r:id="rId21"/>
    <sheet name="16" sheetId="42" r:id="rId22"/>
    <sheet name="17" sheetId="41" r:id="rId23"/>
    <sheet name="18" sheetId="40" r:id="rId24"/>
    <sheet name="19" sheetId="39" r:id="rId25"/>
    <sheet name="20" sheetId="38" r:id="rId26"/>
    <sheet name="21" sheetId="37" r:id="rId27"/>
    <sheet name="22" sheetId="36" r:id="rId28"/>
    <sheet name="23" sheetId="35" r:id="rId29"/>
    <sheet name="24" sheetId="34" r:id="rId30"/>
    <sheet name="25" sheetId="33" r:id="rId31"/>
    <sheet name="26" sheetId="32" r:id="rId32"/>
    <sheet name="27" sheetId="31" r:id="rId33"/>
    <sheet name="28" sheetId="30" r:id="rId34"/>
    <sheet name="29" sheetId="29" r:id="rId35"/>
    <sheet name="30" sheetId="28" r:id="rId36"/>
    <sheet name="31" sheetId="27" r:id="rId37"/>
    <sheet name="32" sheetId="26" r:id="rId38"/>
    <sheet name="33" sheetId="25" r:id="rId39"/>
    <sheet name="34" sheetId="24" r:id="rId40"/>
    <sheet name="35" sheetId="23" r:id="rId41"/>
    <sheet name="36" sheetId="22" r:id="rId42"/>
    <sheet name="37" sheetId="21" r:id="rId43"/>
    <sheet name="38" sheetId="20" r:id="rId44"/>
    <sheet name="39" sheetId="19" r:id="rId45"/>
    <sheet name="40" sheetId="18" r:id="rId46"/>
    <sheet name="41" sheetId="17" r:id="rId47"/>
    <sheet name="42" sheetId="16" r:id="rId48"/>
    <sheet name="43" sheetId="15" r:id="rId49"/>
    <sheet name="44" sheetId="14" r:id="rId50"/>
    <sheet name="45" sheetId="13" r:id="rId51"/>
    <sheet name="46" sheetId="12" r:id="rId52"/>
    <sheet name="47" sheetId="11" r:id="rId53"/>
    <sheet name="48" sheetId="10" r:id="rId54"/>
    <sheet name="49" sheetId="9" r:id="rId55"/>
    <sheet name="50" sheetId="8" r:id="rId56"/>
    <sheet name="51" sheetId="7" r:id="rId57"/>
    <sheet name="52" sheetId="6" r:id="rId58"/>
    <sheet name="53" sheetId="5" r:id="rId59"/>
    <sheet name="54" sheetId="4" r:id="rId60"/>
    <sheet name="55" sheetId="3" r:id="rId61"/>
    <sheet name="56" sheetId="59" r:id="rId62"/>
    <sheet name="57" sheetId="1" r:id="rId63"/>
    <sheet name="Data" sheetId="2" r:id="rId64"/>
  </sheets>
  <externalReferences>
    <externalReference r:id="rId65"/>
  </externalReferences>
  <definedNames>
    <definedName name="Broadway_AP_FRP_RFOE_CCSurvey" localSheetId="63" hidden="1">Data!$A$4:$LB$62</definedName>
    <definedName name="_xlnm.Print_Area" localSheetId="4">'Discipline Analysis'!$A$1:$V$64</definedName>
    <definedName name="_xlnm.Print_Titles" localSheetId="4">'Discipline Analysis'!$A:$A,'Discipline Analysis'!$5:$5</definedName>
    <definedName name="_xlnm.Print_Titles" localSheetId="3">'Discipline Summary'!$A:$A,'Discipline Summary'!$3:$3</definedName>
    <definedName name="_xlnm.Print_Titles" localSheetId="2">'FTSE Summary'!$3:$3</definedName>
    <definedName name="_xlnm.Print_Titles" localSheetId="5">Neutral!$4:$4</definedName>
    <definedName name="_xlnm.Print_Titles" localSheetId="1">'Rate History'!$B:$B</definedName>
  </definedNames>
  <calcPr calcId="145621"/>
</workbook>
</file>

<file path=xl/calcChain.xml><?xml version="1.0" encoding="utf-8"?>
<calcChain xmlns="http://schemas.openxmlformats.org/spreadsheetml/2006/main">
  <c r="C62" i="64" l="1"/>
  <c r="B62" i="64"/>
  <c r="C61" i="64"/>
  <c r="B61" i="64"/>
  <c r="C60" i="64"/>
  <c r="B60" i="64"/>
  <c r="C59" i="64"/>
  <c r="B59" i="64"/>
  <c r="C58" i="64"/>
  <c r="B58" i="64"/>
  <c r="C57" i="64"/>
  <c r="B57" i="64"/>
  <c r="C56" i="64"/>
  <c r="B56" i="64"/>
  <c r="C55" i="64"/>
  <c r="B55" i="64"/>
  <c r="C54" i="64"/>
  <c r="B54" i="64"/>
  <c r="C53" i="64"/>
  <c r="B53" i="64"/>
  <c r="C52" i="64"/>
  <c r="B52" i="64"/>
  <c r="C51" i="64"/>
  <c r="B51" i="64"/>
  <c r="C50" i="64"/>
  <c r="B50" i="64"/>
  <c r="C49" i="64"/>
  <c r="B49" i="64"/>
  <c r="C48" i="64"/>
  <c r="B48" i="64"/>
  <c r="C47" i="64"/>
  <c r="B47" i="64"/>
  <c r="C46" i="64"/>
  <c r="B46" i="64"/>
  <c r="C45" i="64"/>
  <c r="B45" i="64"/>
  <c r="C44" i="64"/>
  <c r="B44" i="64"/>
  <c r="C43" i="64"/>
  <c r="B43" i="64"/>
  <c r="C42" i="64"/>
  <c r="B42" i="64"/>
  <c r="C41" i="64"/>
  <c r="B41" i="64"/>
  <c r="C40" i="64"/>
  <c r="B40" i="64"/>
  <c r="C39" i="64"/>
  <c r="B39" i="64"/>
  <c r="C38" i="64"/>
  <c r="B38" i="64"/>
  <c r="C37" i="64"/>
  <c r="B37" i="64"/>
  <c r="C36" i="64"/>
  <c r="B36" i="64"/>
  <c r="C35" i="64"/>
  <c r="B35" i="64"/>
  <c r="C34" i="64"/>
  <c r="B34" i="64"/>
  <c r="C33" i="64"/>
  <c r="B33" i="64"/>
  <c r="C32" i="64"/>
  <c r="B32" i="64"/>
  <c r="C31" i="64"/>
  <c r="B31" i="64"/>
  <c r="C30" i="64"/>
  <c r="B30" i="64"/>
  <c r="C29" i="64"/>
  <c r="B29" i="64"/>
  <c r="C28" i="64"/>
  <c r="B28" i="64"/>
  <c r="C27" i="64"/>
  <c r="B27" i="64"/>
  <c r="C26" i="64"/>
  <c r="B26" i="64"/>
  <c r="C25" i="64"/>
  <c r="B25" i="64"/>
  <c r="C24" i="64"/>
  <c r="B24" i="64"/>
  <c r="C23" i="64"/>
  <c r="B23" i="64"/>
  <c r="C22" i="64"/>
  <c r="B22" i="64"/>
  <c r="C21" i="64"/>
  <c r="B21" i="64"/>
  <c r="C20" i="64"/>
  <c r="B20" i="64"/>
  <c r="C19" i="64"/>
  <c r="B19" i="64"/>
  <c r="C18" i="64"/>
  <c r="B18" i="64"/>
  <c r="C17" i="64"/>
  <c r="B17" i="64"/>
  <c r="C16" i="64"/>
  <c r="B16" i="64"/>
  <c r="C15" i="64"/>
  <c r="B15" i="64"/>
  <c r="C14" i="64"/>
  <c r="B14" i="64"/>
  <c r="C13" i="64"/>
  <c r="B13" i="64"/>
  <c r="C12" i="64"/>
  <c r="B12" i="64"/>
  <c r="C11" i="64"/>
  <c r="B11" i="64"/>
  <c r="C10" i="64"/>
  <c r="B10" i="64"/>
  <c r="C9" i="64"/>
  <c r="B9" i="64"/>
  <c r="C8" i="64"/>
  <c r="B8" i="64"/>
  <c r="C7" i="64"/>
  <c r="B7" i="64"/>
  <c r="C6" i="64"/>
  <c r="B6" i="64"/>
  <c r="C31" i="66" l="1"/>
  <c r="C30" i="66"/>
  <c r="C29" i="66"/>
  <c r="C28" i="66"/>
  <c r="C27" i="66"/>
  <c r="C26" i="66"/>
  <c r="C25" i="66"/>
  <c r="C24" i="66"/>
  <c r="C23" i="66"/>
  <c r="C22" i="66"/>
  <c r="C21" i="66"/>
  <c r="C20" i="66"/>
  <c r="C19" i="66"/>
  <c r="C18" i="66"/>
  <c r="C17" i="66"/>
  <c r="C16" i="66"/>
  <c r="C15" i="66"/>
  <c r="C14" i="66"/>
  <c r="C13" i="66"/>
  <c r="C12" i="66"/>
  <c r="C11" i="66"/>
  <c r="C10" i="66"/>
  <c r="C9" i="66"/>
  <c r="C8" i="66"/>
  <c r="C7" i="66"/>
  <c r="C6" i="66"/>
  <c r="C5" i="66"/>
  <c r="C4" i="66"/>
  <c r="Q31" i="66"/>
  <c r="Q30" i="66"/>
  <c r="Q29" i="66"/>
  <c r="Q28" i="66"/>
  <c r="Q27" i="66"/>
  <c r="Q26" i="66"/>
  <c r="Q25" i="66"/>
  <c r="Q24" i="66"/>
  <c r="Q23" i="66"/>
  <c r="Q22" i="66"/>
  <c r="Q21" i="66"/>
  <c r="Q20" i="66"/>
  <c r="Q19" i="66"/>
  <c r="Q18" i="66"/>
  <c r="Q17" i="66"/>
  <c r="Q16" i="66"/>
  <c r="Q15" i="66"/>
  <c r="Q14" i="66"/>
  <c r="Q13" i="66"/>
  <c r="Q12" i="66"/>
  <c r="Q11" i="66"/>
  <c r="Q10" i="66"/>
  <c r="Q9" i="66"/>
  <c r="Q8" i="66"/>
  <c r="Q7" i="66"/>
  <c r="Q6" i="66"/>
  <c r="Q5" i="66"/>
  <c r="C34" i="66"/>
  <c r="O34" i="66"/>
  <c r="N34" i="66"/>
  <c r="AB34" i="66" s="1"/>
  <c r="M34" i="66"/>
  <c r="AA34" i="66" s="1"/>
  <c r="L34" i="66"/>
  <c r="Z34" i="66" s="1"/>
  <c r="K34" i="66"/>
  <c r="Y34" i="66" s="1"/>
  <c r="J34" i="66"/>
  <c r="X34" i="66" s="1"/>
  <c r="I34" i="66"/>
  <c r="V34" i="66" s="1"/>
  <c r="G34" i="66"/>
  <c r="U34" i="66" s="1"/>
  <c r="F34" i="66"/>
  <c r="T34" i="66" s="1"/>
  <c r="E34" i="66"/>
  <c r="S34" i="66" s="1"/>
  <c r="O33" i="66"/>
  <c r="N33" i="66"/>
  <c r="AB33" i="66" s="1"/>
  <c r="M33" i="66"/>
  <c r="AA33" i="66" s="1"/>
  <c r="L33" i="66"/>
  <c r="Z33" i="66" s="1"/>
  <c r="K33" i="66"/>
  <c r="Y33" i="66" s="1"/>
  <c r="J33" i="66"/>
  <c r="X33" i="66" s="1"/>
  <c r="I33" i="66"/>
  <c r="V33" i="66" s="1"/>
  <c r="G33" i="66"/>
  <c r="U33" i="66" s="1"/>
  <c r="F33" i="66"/>
  <c r="T33" i="66" s="1"/>
  <c r="E33" i="66"/>
  <c r="S33" i="66" s="1"/>
  <c r="O32" i="66"/>
  <c r="N32" i="66"/>
  <c r="AB32" i="66" s="1"/>
  <c r="M32" i="66"/>
  <c r="AA32" i="66" s="1"/>
  <c r="L32" i="66"/>
  <c r="Z32" i="66" s="1"/>
  <c r="K32" i="66"/>
  <c r="Y32" i="66" s="1"/>
  <c r="J32" i="66"/>
  <c r="X32" i="66" s="1"/>
  <c r="I32" i="66"/>
  <c r="V32" i="66" s="1"/>
  <c r="G32" i="66"/>
  <c r="U32" i="66" s="1"/>
  <c r="F32" i="66"/>
  <c r="T32" i="66" s="1"/>
  <c r="E32" i="66"/>
  <c r="S32" i="66" s="1"/>
  <c r="AB31" i="66"/>
  <c r="AA31" i="66"/>
  <c r="Z31" i="66"/>
  <c r="Y31" i="66"/>
  <c r="X31" i="66"/>
  <c r="W31" i="66"/>
  <c r="V31" i="66"/>
  <c r="U31" i="66"/>
  <c r="T31" i="66"/>
  <c r="S31" i="66"/>
  <c r="D31" i="66"/>
  <c r="R31" i="66" s="1"/>
  <c r="AB30" i="66"/>
  <c r="AA30" i="66"/>
  <c r="Z30" i="66"/>
  <c r="Y30" i="66"/>
  <c r="X30" i="66"/>
  <c r="W30" i="66"/>
  <c r="V30" i="66"/>
  <c r="U30" i="66"/>
  <c r="T30" i="66"/>
  <c r="S30" i="66"/>
  <c r="D30" i="66"/>
  <c r="R30" i="66" s="1"/>
  <c r="AB29" i="66"/>
  <c r="AA29" i="66"/>
  <c r="Z29" i="66"/>
  <c r="Y29" i="66"/>
  <c r="X29" i="66"/>
  <c r="W29" i="66"/>
  <c r="V29" i="66"/>
  <c r="U29" i="66"/>
  <c r="T29" i="66"/>
  <c r="S29" i="66"/>
  <c r="D29" i="66"/>
  <c r="R29" i="66" s="1"/>
  <c r="AB28" i="66"/>
  <c r="AA28" i="66"/>
  <c r="Z28" i="66"/>
  <c r="Y28" i="66"/>
  <c r="X28" i="66"/>
  <c r="W28" i="66"/>
  <c r="V28" i="66"/>
  <c r="U28" i="66"/>
  <c r="T28" i="66"/>
  <c r="S28" i="66"/>
  <c r="D28" i="66"/>
  <c r="R28" i="66" s="1"/>
  <c r="AB27" i="66"/>
  <c r="AA27" i="66"/>
  <c r="Z27" i="66"/>
  <c r="Y27" i="66"/>
  <c r="X27" i="66"/>
  <c r="W27" i="66"/>
  <c r="V27" i="66"/>
  <c r="U27" i="66"/>
  <c r="T27" i="66"/>
  <c r="S27" i="66"/>
  <c r="D27" i="66"/>
  <c r="R27" i="66" s="1"/>
  <c r="AB26" i="66"/>
  <c r="AA26" i="66"/>
  <c r="Z26" i="66"/>
  <c r="Y26" i="66"/>
  <c r="X26" i="66"/>
  <c r="W26" i="66"/>
  <c r="V26" i="66"/>
  <c r="U26" i="66"/>
  <c r="T26" i="66"/>
  <c r="S26" i="66"/>
  <c r="D26" i="66"/>
  <c r="R26" i="66" s="1"/>
  <c r="AB25" i="66"/>
  <c r="AA25" i="66"/>
  <c r="Z25" i="66"/>
  <c r="Y25" i="66"/>
  <c r="X25" i="66"/>
  <c r="W25" i="66"/>
  <c r="V25" i="66"/>
  <c r="U25" i="66"/>
  <c r="T25" i="66"/>
  <c r="S25" i="66"/>
  <c r="D25" i="66"/>
  <c r="R25" i="66" s="1"/>
  <c r="AB24" i="66"/>
  <c r="AA24" i="66"/>
  <c r="Z24" i="66"/>
  <c r="Y24" i="66"/>
  <c r="X24" i="66"/>
  <c r="W24" i="66"/>
  <c r="V24" i="66"/>
  <c r="U24" i="66"/>
  <c r="T24" i="66"/>
  <c r="S24" i="66"/>
  <c r="D24" i="66"/>
  <c r="R24" i="66" s="1"/>
  <c r="AB23" i="66"/>
  <c r="AA23" i="66"/>
  <c r="Z23" i="66"/>
  <c r="Y23" i="66"/>
  <c r="X23" i="66"/>
  <c r="W23" i="66"/>
  <c r="V23" i="66"/>
  <c r="U23" i="66"/>
  <c r="T23" i="66"/>
  <c r="S23" i="66"/>
  <c r="D23" i="66"/>
  <c r="R23" i="66" s="1"/>
  <c r="AB22" i="66"/>
  <c r="AA22" i="66"/>
  <c r="Z22" i="66"/>
  <c r="Y22" i="66"/>
  <c r="X22" i="66"/>
  <c r="W22" i="66"/>
  <c r="V22" i="66"/>
  <c r="U22" i="66"/>
  <c r="T22" i="66"/>
  <c r="S22" i="66"/>
  <c r="D22" i="66"/>
  <c r="R22" i="66" s="1"/>
  <c r="AB21" i="66"/>
  <c r="AA21" i="66"/>
  <c r="Z21" i="66"/>
  <c r="Y21" i="66"/>
  <c r="X21" i="66"/>
  <c r="W21" i="66"/>
  <c r="V21" i="66"/>
  <c r="U21" i="66"/>
  <c r="T21" i="66"/>
  <c r="S21" i="66"/>
  <c r="D21" i="66"/>
  <c r="R21" i="66" s="1"/>
  <c r="AB20" i="66"/>
  <c r="AA20" i="66"/>
  <c r="Z20" i="66"/>
  <c r="Y20" i="66"/>
  <c r="X20" i="66"/>
  <c r="W20" i="66"/>
  <c r="V20" i="66"/>
  <c r="U20" i="66"/>
  <c r="T20" i="66"/>
  <c r="S20" i="66"/>
  <c r="D20" i="66"/>
  <c r="R20" i="66" s="1"/>
  <c r="AB19" i="66"/>
  <c r="AA19" i="66"/>
  <c r="Z19" i="66"/>
  <c r="Y19" i="66"/>
  <c r="X19" i="66"/>
  <c r="W19" i="66"/>
  <c r="V19" i="66"/>
  <c r="U19" i="66"/>
  <c r="T19" i="66"/>
  <c r="S19" i="66"/>
  <c r="D19" i="66"/>
  <c r="R19" i="66" s="1"/>
  <c r="AB18" i="66"/>
  <c r="AA18" i="66"/>
  <c r="Z18" i="66"/>
  <c r="Y18" i="66"/>
  <c r="X18" i="66"/>
  <c r="W18" i="66"/>
  <c r="V18" i="66"/>
  <c r="U18" i="66"/>
  <c r="T18" i="66"/>
  <c r="S18" i="66"/>
  <c r="D18" i="66"/>
  <c r="R18" i="66" s="1"/>
  <c r="AB17" i="66"/>
  <c r="AA17" i="66"/>
  <c r="Z17" i="66"/>
  <c r="Y17" i="66"/>
  <c r="X17" i="66"/>
  <c r="W17" i="66"/>
  <c r="V17" i="66"/>
  <c r="U17" i="66"/>
  <c r="T17" i="66"/>
  <c r="S17" i="66"/>
  <c r="D17" i="66"/>
  <c r="R17" i="66" s="1"/>
  <c r="AB16" i="66"/>
  <c r="AA16" i="66"/>
  <c r="Z16" i="66"/>
  <c r="Y16" i="66"/>
  <c r="X16" i="66"/>
  <c r="W16" i="66"/>
  <c r="V16" i="66"/>
  <c r="U16" i="66"/>
  <c r="T16" i="66"/>
  <c r="S16" i="66"/>
  <c r="D16" i="66"/>
  <c r="R16" i="66" s="1"/>
  <c r="AB15" i="66"/>
  <c r="AA15" i="66"/>
  <c r="Z15" i="66"/>
  <c r="Y15" i="66"/>
  <c r="X15" i="66"/>
  <c r="W15" i="66"/>
  <c r="V15" i="66"/>
  <c r="U15" i="66"/>
  <c r="T15" i="66"/>
  <c r="S15" i="66"/>
  <c r="D15" i="66"/>
  <c r="R15" i="66" s="1"/>
  <c r="AB14" i="66"/>
  <c r="AA14" i="66"/>
  <c r="Z14" i="66"/>
  <c r="Y14" i="66"/>
  <c r="X14" i="66"/>
  <c r="W14" i="66"/>
  <c r="V14" i="66"/>
  <c r="U14" i="66"/>
  <c r="T14" i="66"/>
  <c r="S14" i="66"/>
  <c r="D14" i="66"/>
  <c r="R14" i="66" s="1"/>
  <c r="AB13" i="66"/>
  <c r="AA13" i="66"/>
  <c r="Z13" i="66"/>
  <c r="Y13" i="66"/>
  <c r="X13" i="66"/>
  <c r="W13" i="66"/>
  <c r="V13" i="66"/>
  <c r="U13" i="66"/>
  <c r="T13" i="66"/>
  <c r="S13" i="66"/>
  <c r="D13" i="66"/>
  <c r="R13" i="66" s="1"/>
  <c r="AB12" i="66"/>
  <c r="AA12" i="66"/>
  <c r="Z12" i="66"/>
  <c r="Y12" i="66"/>
  <c r="X12" i="66"/>
  <c r="W12" i="66"/>
  <c r="V12" i="66"/>
  <c r="U12" i="66"/>
  <c r="T12" i="66"/>
  <c r="S12" i="66"/>
  <c r="D12" i="66"/>
  <c r="R12" i="66" s="1"/>
  <c r="AB11" i="66"/>
  <c r="AA11" i="66"/>
  <c r="Z11" i="66"/>
  <c r="Y11" i="66"/>
  <c r="X11" i="66"/>
  <c r="W11" i="66"/>
  <c r="V11" i="66"/>
  <c r="U11" i="66"/>
  <c r="T11" i="66"/>
  <c r="S11" i="66"/>
  <c r="D11" i="66"/>
  <c r="R11" i="66" s="1"/>
  <c r="AB10" i="66"/>
  <c r="AA10" i="66"/>
  <c r="Z10" i="66"/>
  <c r="Y10" i="66"/>
  <c r="X10" i="66"/>
  <c r="W10" i="66"/>
  <c r="V10" i="66"/>
  <c r="U10" i="66"/>
  <c r="T10" i="66"/>
  <c r="S10" i="66"/>
  <c r="D10" i="66"/>
  <c r="R10" i="66" s="1"/>
  <c r="AB9" i="66"/>
  <c r="AA9" i="66"/>
  <c r="Z9" i="66"/>
  <c r="Y9" i="66"/>
  <c r="X9" i="66"/>
  <c r="W9" i="66"/>
  <c r="V9" i="66"/>
  <c r="U9" i="66"/>
  <c r="T9" i="66"/>
  <c r="S9" i="66"/>
  <c r="D9" i="66"/>
  <c r="R9" i="66" s="1"/>
  <c r="AB8" i="66"/>
  <c r="AA8" i="66"/>
  <c r="Z8" i="66"/>
  <c r="Y8" i="66"/>
  <c r="X8" i="66"/>
  <c r="W8" i="66"/>
  <c r="V8" i="66"/>
  <c r="U8" i="66"/>
  <c r="T8" i="66"/>
  <c r="S8" i="66"/>
  <c r="D8" i="66"/>
  <c r="R8" i="66" s="1"/>
  <c r="AB7" i="66"/>
  <c r="AA7" i="66"/>
  <c r="Z7" i="66"/>
  <c r="Y7" i="66"/>
  <c r="X7" i="66"/>
  <c r="W7" i="66"/>
  <c r="V7" i="66"/>
  <c r="U7" i="66"/>
  <c r="T7" i="66"/>
  <c r="S7" i="66"/>
  <c r="D7" i="66"/>
  <c r="R7" i="66" s="1"/>
  <c r="AB6" i="66"/>
  <c r="AA6" i="66"/>
  <c r="Z6" i="66"/>
  <c r="Y6" i="66"/>
  <c r="X6" i="66"/>
  <c r="W6" i="66"/>
  <c r="V6" i="66"/>
  <c r="U6" i="66"/>
  <c r="T6" i="66"/>
  <c r="S6" i="66"/>
  <c r="D6" i="66"/>
  <c r="R6" i="66" s="1"/>
  <c r="AB5" i="66"/>
  <c r="AA5" i="66"/>
  <c r="Z5" i="66"/>
  <c r="Y5" i="66"/>
  <c r="X5" i="66"/>
  <c r="W5" i="66"/>
  <c r="V5" i="66"/>
  <c r="U5" i="66"/>
  <c r="T5" i="66"/>
  <c r="S5" i="66"/>
  <c r="D5" i="66"/>
  <c r="R5" i="66" s="1"/>
  <c r="AB4" i="66"/>
  <c r="AA4" i="66"/>
  <c r="Z4" i="66"/>
  <c r="Y4" i="66"/>
  <c r="X4" i="66"/>
  <c r="W4" i="66"/>
  <c r="V4" i="66"/>
  <c r="U4" i="66"/>
  <c r="T4" i="66"/>
  <c r="S4" i="66"/>
  <c r="D4" i="66"/>
  <c r="R4" i="66" s="1"/>
  <c r="A1" i="66"/>
  <c r="Q4" i="66" l="1"/>
  <c r="C33" i="66"/>
  <c r="C32" i="66"/>
  <c r="D32" i="66"/>
  <c r="R32" i="66" s="1"/>
  <c r="W32" i="66"/>
  <c r="D33" i="66"/>
  <c r="R33" i="66" s="1"/>
  <c r="W33" i="66"/>
  <c r="D34" i="66"/>
  <c r="R34" i="66" s="1"/>
  <c r="W34" i="66"/>
  <c r="Q32" i="66" l="1"/>
  <c r="Q33" i="66"/>
  <c r="Q34" i="66"/>
  <c r="F3" i="57" l="1"/>
  <c r="F3" i="56"/>
  <c r="F3" i="55"/>
  <c r="F3" i="54"/>
  <c r="F3" i="53"/>
  <c r="F3" i="52"/>
  <c r="F3" i="51"/>
  <c r="F3" i="50"/>
  <c r="F3" i="49"/>
  <c r="F3" i="48"/>
  <c r="F3" i="47"/>
  <c r="F3" i="46"/>
  <c r="F3" i="45"/>
  <c r="F3" i="44"/>
  <c r="F3" i="43"/>
  <c r="F3" i="42"/>
  <c r="F3" i="41"/>
  <c r="F3" i="40"/>
  <c r="F3" i="39"/>
  <c r="F3" i="38"/>
  <c r="F3" i="37"/>
  <c r="F3" i="36"/>
  <c r="F3" i="35"/>
  <c r="F3" i="34"/>
  <c r="F3" i="33"/>
  <c r="F3" i="32"/>
  <c r="F3" i="31"/>
  <c r="F3" i="30"/>
  <c r="F3" i="29"/>
  <c r="F3" i="28"/>
  <c r="F3" i="27"/>
  <c r="F3" i="26"/>
  <c r="F3" i="25"/>
  <c r="F3" i="24"/>
  <c r="F3" i="23"/>
  <c r="F3" i="22"/>
  <c r="F3" i="21"/>
  <c r="F3" i="20"/>
  <c r="F3" i="19"/>
  <c r="F3" i="18"/>
  <c r="F3" i="17"/>
  <c r="F3" i="16"/>
  <c r="F3" i="15"/>
  <c r="F3" i="14"/>
  <c r="F3" i="13"/>
  <c r="F3" i="12"/>
  <c r="F3" i="11"/>
  <c r="F3" i="10"/>
  <c r="F3" i="9"/>
  <c r="F3" i="8"/>
  <c r="F3" i="7"/>
  <c r="F3" i="6"/>
  <c r="F3" i="5"/>
  <c r="F3" i="4"/>
  <c r="F3" i="3"/>
  <c r="F3" i="59"/>
  <c r="F3" i="1"/>
  <c r="D117" i="1" l="1"/>
  <c r="F117" i="1" s="1"/>
  <c r="D115" i="1"/>
  <c r="E113" i="1"/>
  <c r="E111" i="1"/>
  <c r="E109" i="1"/>
  <c r="C15" i="65"/>
  <c r="C38" i="65"/>
  <c r="C45" i="65"/>
  <c r="C46" i="65"/>
  <c r="C60" i="65"/>
  <c r="C59" i="65"/>
  <c r="C58" i="65"/>
  <c r="C57" i="65"/>
  <c r="C56" i="65"/>
  <c r="C55" i="65"/>
  <c r="C54" i="65"/>
  <c r="C53" i="65"/>
  <c r="C52" i="65"/>
  <c r="C51" i="65"/>
  <c r="C50" i="65"/>
  <c r="C49" i="65"/>
  <c r="C48" i="65"/>
  <c r="C47" i="65"/>
  <c r="C44" i="65"/>
  <c r="C43" i="65"/>
  <c r="C42" i="65"/>
  <c r="C41" i="65"/>
  <c r="C40" i="65"/>
  <c r="C39" i="65"/>
  <c r="C37" i="65"/>
  <c r="C36" i="65"/>
  <c r="C35" i="65"/>
  <c r="C34" i="65"/>
  <c r="C33" i="65"/>
  <c r="C32" i="65"/>
  <c r="C31" i="65"/>
  <c r="C30" i="65"/>
  <c r="C29" i="65"/>
  <c r="C28" i="65"/>
  <c r="C27" i="65"/>
  <c r="C26" i="65"/>
  <c r="C25" i="65"/>
  <c r="C24" i="65"/>
  <c r="C23" i="65"/>
  <c r="C22" i="65"/>
  <c r="C21" i="65"/>
  <c r="C20" i="65"/>
  <c r="C19" i="65"/>
  <c r="C18" i="65"/>
  <c r="C17" i="65"/>
  <c r="C16" i="65"/>
  <c r="C14" i="65"/>
  <c r="C13" i="65"/>
  <c r="C12" i="65"/>
  <c r="C11" i="65"/>
  <c r="C10" i="65"/>
  <c r="C9" i="65"/>
  <c r="C8" i="65"/>
  <c r="C7" i="65"/>
  <c r="C6" i="65"/>
  <c r="C5" i="65"/>
  <c r="C4" i="65"/>
  <c r="A1" i="65"/>
  <c r="D5" i="64"/>
  <c r="C4" i="64"/>
  <c r="B4" i="64"/>
  <c r="A1" i="64"/>
  <c r="A1" i="63"/>
  <c r="A1" i="62"/>
  <c r="C115" i="12"/>
  <c r="B2" i="55"/>
  <c r="B2" i="54"/>
  <c r="B2" i="53"/>
  <c r="B2" i="52"/>
  <c r="B2" i="51"/>
  <c r="B2" i="50"/>
  <c r="B2" i="49"/>
  <c r="B2" i="48"/>
  <c r="B2" i="47"/>
  <c r="E113" i="46"/>
  <c r="B2" i="46"/>
  <c r="B2" i="45"/>
  <c r="C116" i="44"/>
  <c r="B2" i="44"/>
  <c r="B2" i="43"/>
  <c r="C112" i="42"/>
  <c r="B2" i="42"/>
  <c r="B2" i="41"/>
  <c r="E115" i="40"/>
  <c r="B2" i="40"/>
  <c r="B2" i="39"/>
  <c r="C112" i="38"/>
  <c r="B2" i="38"/>
  <c r="B2" i="37"/>
  <c r="E115" i="36"/>
  <c r="B2" i="36"/>
  <c r="B2" i="35"/>
  <c r="C111" i="34"/>
  <c r="B2" i="34"/>
  <c r="B2" i="33"/>
  <c r="C114" i="32"/>
  <c r="B2" i="32"/>
  <c r="B2" i="31"/>
  <c r="D109" i="30"/>
  <c r="B2" i="30"/>
  <c r="B2" i="29"/>
  <c r="E113" i="28"/>
  <c r="B2" i="28"/>
  <c r="B2" i="27"/>
  <c r="C116" i="26"/>
  <c r="B2" i="26"/>
  <c r="B2" i="25"/>
  <c r="D115" i="24"/>
  <c r="B2" i="24"/>
  <c r="B2" i="23"/>
  <c r="C115" i="22"/>
  <c r="B2" i="22"/>
  <c r="B2" i="21"/>
  <c r="C115" i="20"/>
  <c r="B2" i="20"/>
  <c r="B2" i="19"/>
  <c r="C115" i="18"/>
  <c r="B2" i="18"/>
  <c r="B2" i="17"/>
  <c r="C115" i="16"/>
  <c r="B2" i="16"/>
  <c r="B2" i="15"/>
  <c r="E115" i="14"/>
  <c r="B2" i="14"/>
  <c r="B2" i="13"/>
  <c r="B2" i="12"/>
  <c r="C116" i="11"/>
  <c r="B2" i="11"/>
  <c r="B2" i="10"/>
  <c r="D117" i="9"/>
  <c r="F117" i="9" s="1"/>
  <c r="B2" i="9"/>
  <c r="B2" i="8"/>
  <c r="E114" i="7"/>
  <c r="B2" i="7"/>
  <c r="B2" i="6"/>
  <c r="D115" i="5"/>
  <c r="B2" i="5"/>
  <c r="B2" i="4"/>
  <c r="C116" i="3"/>
  <c r="B2" i="3"/>
  <c r="B2" i="59"/>
  <c r="B2" i="1"/>
  <c r="B2" i="56"/>
  <c r="D109" i="57"/>
  <c r="D120" i="60"/>
  <c r="C120" i="60"/>
  <c r="E117" i="60"/>
  <c r="C117" i="60"/>
  <c r="D116" i="60"/>
  <c r="D114" i="60"/>
  <c r="D113" i="60"/>
  <c r="D112" i="60"/>
  <c r="D111" i="60"/>
  <c r="D110" i="60"/>
  <c r="A1" i="55"/>
  <c r="A1" i="54"/>
  <c r="A1" i="53"/>
  <c r="A1" i="52"/>
  <c r="A1" i="51"/>
  <c r="A1" i="50"/>
  <c r="A1" i="49"/>
  <c r="A1" i="48"/>
  <c r="A1" i="47"/>
  <c r="A1" i="46"/>
  <c r="A1" i="45"/>
  <c r="A1" i="44"/>
  <c r="A1" i="43"/>
  <c r="A1" i="42"/>
  <c r="A1" i="41"/>
  <c r="A1" i="40"/>
  <c r="A1" i="39"/>
  <c r="A1" i="38"/>
  <c r="A1" i="37"/>
  <c r="A1" i="36"/>
  <c r="A1" i="35"/>
  <c r="A1" i="34"/>
  <c r="A1" i="33"/>
  <c r="A1" i="32"/>
  <c r="A1" i="31"/>
  <c r="A1" i="30"/>
  <c r="A1" i="29"/>
  <c r="A1" i="28"/>
  <c r="A1" i="27"/>
  <c r="A1" i="26"/>
  <c r="A1" i="25"/>
  <c r="A1" i="24"/>
  <c r="A1" i="23"/>
  <c r="A1" i="22"/>
  <c r="A1" i="21"/>
  <c r="A1" i="20"/>
  <c r="A1" i="19"/>
  <c r="A1" i="18"/>
  <c r="A1" i="17"/>
  <c r="A1" i="16"/>
  <c r="A1" i="15"/>
  <c r="A1" i="14"/>
  <c r="A1" i="13"/>
  <c r="A1" i="12"/>
  <c r="A1" i="11"/>
  <c r="A1" i="10"/>
  <c r="A1" i="9"/>
  <c r="A1" i="8"/>
  <c r="A1" i="7"/>
  <c r="A1" i="6"/>
  <c r="A1" i="5"/>
  <c r="A1" i="4"/>
  <c r="A1" i="3"/>
  <c r="A1" i="59"/>
  <c r="A1" i="1"/>
  <c r="A1" i="56"/>
  <c r="A1" i="57"/>
  <c r="B2" i="57"/>
  <c r="E110" i="3" l="1"/>
  <c r="E114" i="3"/>
  <c r="E109" i="5"/>
  <c r="E113" i="5"/>
  <c r="D117" i="5"/>
  <c r="F117" i="5" s="1"/>
  <c r="E112" i="7"/>
  <c r="C116" i="7"/>
  <c r="E111" i="9"/>
  <c r="D115" i="9"/>
  <c r="E110" i="11"/>
  <c r="E114" i="11"/>
  <c r="D109" i="12"/>
  <c r="C113" i="12"/>
  <c r="C110" i="14"/>
  <c r="C114" i="14"/>
  <c r="D109" i="16"/>
  <c r="C113" i="16"/>
  <c r="D109" i="18"/>
  <c r="C113" i="18"/>
  <c r="D109" i="20"/>
  <c r="C113" i="20"/>
  <c r="C111" i="22"/>
  <c r="E111" i="24"/>
  <c r="E112" i="26"/>
  <c r="E109" i="28"/>
  <c r="D117" i="28"/>
  <c r="F117" i="28" s="1"/>
  <c r="E112" i="3"/>
  <c r="E111" i="5"/>
  <c r="E110" i="7"/>
  <c r="E109" i="9"/>
  <c r="E113" i="9"/>
  <c r="E112" i="11"/>
  <c r="C111" i="12"/>
  <c r="C112" i="14"/>
  <c r="C111" i="16"/>
  <c r="C111" i="18"/>
  <c r="C111" i="20"/>
  <c r="E120" i="56"/>
  <c r="D117" i="56"/>
  <c r="F117" i="56" s="1"/>
  <c r="C116" i="56"/>
  <c r="D115" i="56"/>
  <c r="E114" i="56"/>
  <c r="E113" i="56"/>
  <c r="E112" i="56"/>
  <c r="E111" i="56"/>
  <c r="E110" i="56"/>
  <c r="E109" i="56"/>
  <c r="D117" i="59"/>
  <c r="F117" i="59" s="1"/>
  <c r="C116" i="59"/>
  <c r="D115" i="59"/>
  <c r="E114" i="59"/>
  <c r="E113" i="59"/>
  <c r="E112" i="59"/>
  <c r="E111" i="59"/>
  <c r="E110" i="59"/>
  <c r="E109" i="59"/>
  <c r="D117" i="4"/>
  <c r="F117" i="4" s="1"/>
  <c r="C116" i="4"/>
  <c r="D115" i="4"/>
  <c r="E114" i="4"/>
  <c r="E113" i="4"/>
  <c r="E112" i="4"/>
  <c r="E111" i="4"/>
  <c r="E110" i="4"/>
  <c r="E109" i="4"/>
  <c r="D117" i="6"/>
  <c r="F117" i="6" s="1"/>
  <c r="C116" i="6"/>
  <c r="D115" i="6"/>
  <c r="E114" i="6"/>
  <c r="E113" i="6"/>
  <c r="E112" i="6"/>
  <c r="E111" i="6"/>
  <c r="E110" i="6"/>
  <c r="E109" i="6"/>
  <c r="D117" i="8"/>
  <c r="F117" i="8" s="1"/>
  <c r="C116" i="8"/>
  <c r="D115" i="8"/>
  <c r="E114" i="8"/>
  <c r="E113" i="8"/>
  <c r="E112" i="8"/>
  <c r="E111" i="8"/>
  <c r="E110" i="8"/>
  <c r="E109" i="8"/>
  <c r="D117" i="10"/>
  <c r="F117" i="10" s="1"/>
  <c r="C116" i="10"/>
  <c r="D115" i="10"/>
  <c r="E114" i="10"/>
  <c r="E113" i="10"/>
  <c r="E112" i="10"/>
  <c r="E111" i="10"/>
  <c r="E110" i="10"/>
  <c r="E109" i="10"/>
  <c r="E115" i="13"/>
  <c r="C115" i="13"/>
  <c r="C114" i="13"/>
  <c r="C113" i="13"/>
  <c r="C112" i="13"/>
  <c r="C111" i="13"/>
  <c r="C110" i="13"/>
  <c r="D109" i="13"/>
  <c r="E115" i="15"/>
  <c r="C115" i="15"/>
  <c r="C114" i="15"/>
  <c r="C113" i="15"/>
  <c r="C112" i="15"/>
  <c r="C111" i="15"/>
  <c r="C110" i="15"/>
  <c r="D109" i="15"/>
  <c r="D117" i="17"/>
  <c r="F117" i="17" s="1"/>
  <c r="C116" i="17"/>
  <c r="D115" i="17"/>
  <c r="E114" i="17"/>
  <c r="E113" i="17"/>
  <c r="E112" i="17"/>
  <c r="E111" i="17"/>
  <c r="E110" i="17"/>
  <c r="E109" i="17"/>
  <c r="D117" i="19"/>
  <c r="F117" i="19" s="1"/>
  <c r="C116" i="19"/>
  <c r="D115" i="19"/>
  <c r="E114" i="19"/>
  <c r="E113" i="19"/>
  <c r="E112" i="19"/>
  <c r="E111" i="19"/>
  <c r="E110" i="19"/>
  <c r="E109" i="19"/>
  <c r="E115" i="21"/>
  <c r="C115" i="21"/>
  <c r="C114" i="21"/>
  <c r="C113" i="21"/>
  <c r="C112" i="21"/>
  <c r="C111" i="21"/>
  <c r="C110" i="21"/>
  <c r="D109" i="21"/>
  <c r="D117" i="21"/>
  <c r="F117" i="21" s="1"/>
  <c r="D115" i="21"/>
  <c r="E113" i="21"/>
  <c r="E111" i="21"/>
  <c r="E109" i="21"/>
  <c r="E115" i="23"/>
  <c r="C115" i="23"/>
  <c r="C114" i="23"/>
  <c r="C113" i="23"/>
  <c r="C112" i="23"/>
  <c r="C111" i="23"/>
  <c r="C110" i="23"/>
  <c r="D109" i="23"/>
  <c r="C116" i="23"/>
  <c r="E114" i="23"/>
  <c r="E112" i="23"/>
  <c r="E110" i="23"/>
  <c r="D117" i="25"/>
  <c r="F117" i="25" s="1"/>
  <c r="C116" i="25"/>
  <c r="D115" i="25"/>
  <c r="E114" i="25"/>
  <c r="E113" i="25"/>
  <c r="E112" i="25"/>
  <c r="E111" i="25"/>
  <c r="E110" i="25"/>
  <c r="E109" i="25"/>
  <c r="C115" i="25"/>
  <c r="C113" i="25"/>
  <c r="F113" i="25" s="1"/>
  <c r="C111" i="25"/>
  <c r="D109" i="25"/>
  <c r="D117" i="27"/>
  <c r="F117" i="27" s="1"/>
  <c r="C116" i="27"/>
  <c r="D115" i="27"/>
  <c r="E114" i="27"/>
  <c r="E113" i="27"/>
  <c r="E112" i="27"/>
  <c r="E111" i="27"/>
  <c r="E110" i="27"/>
  <c r="E109" i="27"/>
  <c r="E115" i="27"/>
  <c r="C114" i="27"/>
  <c r="C112" i="27"/>
  <c r="F112" i="27" s="1"/>
  <c r="C110" i="27"/>
  <c r="E115" i="29"/>
  <c r="C115" i="29"/>
  <c r="C114" i="29"/>
  <c r="D117" i="29"/>
  <c r="F117" i="29" s="1"/>
  <c r="D115" i="29"/>
  <c r="E113" i="29"/>
  <c r="E112" i="29"/>
  <c r="E111" i="29"/>
  <c r="E110" i="29"/>
  <c r="E109" i="29"/>
  <c r="C116" i="29"/>
  <c r="C113" i="29"/>
  <c r="F113" i="29" s="1"/>
  <c r="C111" i="29"/>
  <c r="D109" i="29"/>
  <c r="E115" i="31"/>
  <c r="C115" i="31"/>
  <c r="C114" i="31"/>
  <c r="C113" i="31"/>
  <c r="C112" i="31"/>
  <c r="C111" i="31"/>
  <c r="C110" i="31"/>
  <c r="D109" i="31"/>
  <c r="C116" i="31"/>
  <c r="E114" i="31"/>
  <c r="E112" i="31"/>
  <c r="E110" i="31"/>
  <c r="D117" i="31"/>
  <c r="F117" i="31" s="1"/>
  <c r="E113" i="31"/>
  <c r="E109" i="31"/>
  <c r="E115" i="33"/>
  <c r="C115" i="33"/>
  <c r="C114" i="33"/>
  <c r="C113" i="33"/>
  <c r="C112" i="33"/>
  <c r="C111" i="33"/>
  <c r="C110" i="33"/>
  <c r="D109" i="33"/>
  <c r="D117" i="33"/>
  <c r="F117" i="33" s="1"/>
  <c r="D115" i="33"/>
  <c r="E113" i="33"/>
  <c r="E111" i="33"/>
  <c r="E109" i="33"/>
  <c r="E114" i="33"/>
  <c r="E110" i="33"/>
  <c r="E115" i="35"/>
  <c r="C115" i="35"/>
  <c r="C114" i="35"/>
  <c r="C113" i="35"/>
  <c r="C112" i="35"/>
  <c r="C111" i="35"/>
  <c r="C110" i="35"/>
  <c r="D109" i="35"/>
  <c r="C116" i="35"/>
  <c r="E114" i="35"/>
  <c r="E112" i="35"/>
  <c r="E110" i="35"/>
  <c r="D115" i="35"/>
  <c r="E111" i="35"/>
  <c r="D117" i="37"/>
  <c r="F117" i="37" s="1"/>
  <c r="C116" i="37"/>
  <c r="D115" i="37"/>
  <c r="E114" i="37"/>
  <c r="E113" i="37"/>
  <c r="E112" i="37"/>
  <c r="E111" i="37"/>
  <c r="E110" i="37"/>
  <c r="E109" i="37"/>
  <c r="C115" i="37"/>
  <c r="C113" i="37"/>
  <c r="F113" i="37" s="1"/>
  <c r="C111" i="37"/>
  <c r="D109" i="37"/>
  <c r="E115" i="37"/>
  <c r="C112" i="37"/>
  <c r="D117" i="39"/>
  <c r="F117" i="39" s="1"/>
  <c r="C116" i="39"/>
  <c r="D115" i="39"/>
  <c r="E114" i="39"/>
  <c r="E113" i="39"/>
  <c r="E112" i="39"/>
  <c r="E111" i="39"/>
  <c r="E110" i="39"/>
  <c r="E109" i="39"/>
  <c r="C115" i="39"/>
  <c r="C113" i="39"/>
  <c r="F113" i="39" s="1"/>
  <c r="C111" i="39"/>
  <c r="D109" i="39"/>
  <c r="E115" i="39"/>
  <c r="C112" i="39"/>
  <c r="D117" i="41"/>
  <c r="F117" i="41" s="1"/>
  <c r="C116" i="41"/>
  <c r="D115" i="41"/>
  <c r="E114" i="41"/>
  <c r="E113" i="41"/>
  <c r="E112" i="41"/>
  <c r="E111" i="41"/>
  <c r="E110" i="41"/>
  <c r="E109" i="41"/>
  <c r="C115" i="41"/>
  <c r="C113" i="41"/>
  <c r="F113" i="41" s="1"/>
  <c r="C111" i="41"/>
  <c r="D109" i="41"/>
  <c r="E115" i="41"/>
  <c r="C112" i="41"/>
  <c r="D117" i="43"/>
  <c r="F117" i="43" s="1"/>
  <c r="C116" i="43"/>
  <c r="D115" i="43"/>
  <c r="E114" i="43"/>
  <c r="E113" i="43"/>
  <c r="E112" i="43"/>
  <c r="E111" i="43"/>
  <c r="E110" i="43"/>
  <c r="E109" i="43"/>
  <c r="C115" i="43"/>
  <c r="C113" i="43"/>
  <c r="F113" i="43" s="1"/>
  <c r="C111" i="43"/>
  <c r="D109" i="43"/>
  <c r="E115" i="43"/>
  <c r="C112" i="43"/>
  <c r="D117" i="45"/>
  <c r="F117" i="45" s="1"/>
  <c r="C116" i="45"/>
  <c r="D115" i="45"/>
  <c r="E114" i="45"/>
  <c r="E113" i="45"/>
  <c r="E112" i="45"/>
  <c r="E111" i="45"/>
  <c r="E110" i="45"/>
  <c r="E109" i="45"/>
  <c r="E115" i="45"/>
  <c r="C114" i="45"/>
  <c r="C112" i="45"/>
  <c r="F112" i="45" s="1"/>
  <c r="C110" i="45"/>
  <c r="C113" i="45"/>
  <c r="D109" i="45"/>
  <c r="D117" i="47"/>
  <c r="F117" i="47" s="1"/>
  <c r="C116" i="47"/>
  <c r="D115" i="47"/>
  <c r="E114" i="47"/>
  <c r="E113" i="47"/>
  <c r="E112" i="47"/>
  <c r="E111" i="47"/>
  <c r="E110" i="47"/>
  <c r="E109" i="47"/>
  <c r="E115" i="47"/>
  <c r="C115" i="47"/>
  <c r="C114" i="47"/>
  <c r="F114" i="47" s="1"/>
  <c r="C113" i="47"/>
  <c r="F113" i="47" s="1"/>
  <c r="C112" i="47"/>
  <c r="F112" i="47" s="1"/>
  <c r="C111" i="47"/>
  <c r="F111" i="47" s="1"/>
  <c r="C110" i="47"/>
  <c r="F110" i="47" s="1"/>
  <c r="D109" i="47"/>
  <c r="D117" i="49"/>
  <c r="F117" i="49" s="1"/>
  <c r="C116" i="49"/>
  <c r="D115" i="49"/>
  <c r="E114" i="49"/>
  <c r="E113" i="49"/>
  <c r="E112" i="49"/>
  <c r="E111" i="49"/>
  <c r="E110" i="49"/>
  <c r="E109" i="49"/>
  <c r="E115" i="49"/>
  <c r="C115" i="49"/>
  <c r="C114" i="49"/>
  <c r="F114" i="49" s="1"/>
  <c r="C113" i="49"/>
  <c r="F113" i="49" s="1"/>
  <c r="C112" i="49"/>
  <c r="F112" i="49" s="1"/>
  <c r="C111" i="49"/>
  <c r="F111" i="49" s="1"/>
  <c r="C110" i="49"/>
  <c r="F110" i="49" s="1"/>
  <c r="D109" i="49"/>
  <c r="D117" i="51"/>
  <c r="F117" i="51" s="1"/>
  <c r="C116" i="51"/>
  <c r="D115" i="51"/>
  <c r="E114" i="51"/>
  <c r="E113" i="51"/>
  <c r="E112" i="51"/>
  <c r="E111" i="51"/>
  <c r="E110" i="51"/>
  <c r="E109" i="51"/>
  <c r="E115" i="51"/>
  <c r="C115" i="51"/>
  <c r="C114" i="51"/>
  <c r="F114" i="51" s="1"/>
  <c r="C113" i="51"/>
  <c r="F113" i="51" s="1"/>
  <c r="C112" i="51"/>
  <c r="F112" i="51" s="1"/>
  <c r="C111" i="51"/>
  <c r="F111" i="51" s="1"/>
  <c r="C110" i="51"/>
  <c r="F110" i="51" s="1"/>
  <c r="D109" i="51"/>
  <c r="D109" i="56"/>
  <c r="C111" i="56"/>
  <c r="F111" i="56" s="1"/>
  <c r="C113" i="56"/>
  <c r="F113" i="56" s="1"/>
  <c r="C115" i="56"/>
  <c r="C110" i="59"/>
  <c r="F110" i="59" s="1"/>
  <c r="C112" i="59"/>
  <c r="F112" i="59" s="1"/>
  <c r="C114" i="59"/>
  <c r="F114" i="59" s="1"/>
  <c r="E115" i="59"/>
  <c r="D109" i="4"/>
  <c r="C111" i="4"/>
  <c r="F111" i="4" s="1"/>
  <c r="C113" i="4"/>
  <c r="F113" i="4" s="1"/>
  <c r="C115" i="4"/>
  <c r="C110" i="6"/>
  <c r="F110" i="6" s="1"/>
  <c r="C112" i="6"/>
  <c r="F112" i="6" s="1"/>
  <c r="C114" i="6"/>
  <c r="F114" i="6" s="1"/>
  <c r="E115" i="6"/>
  <c r="D109" i="8"/>
  <c r="C111" i="8"/>
  <c r="F111" i="8" s="1"/>
  <c r="C113" i="8"/>
  <c r="F113" i="8" s="1"/>
  <c r="C115" i="8"/>
  <c r="C110" i="10"/>
  <c r="F110" i="10" s="1"/>
  <c r="C112" i="10"/>
  <c r="F112" i="10" s="1"/>
  <c r="C114" i="10"/>
  <c r="F114" i="10" s="1"/>
  <c r="E115" i="10"/>
  <c r="E109" i="13"/>
  <c r="E111" i="13"/>
  <c r="E113" i="13"/>
  <c r="D115" i="13"/>
  <c r="D117" i="13"/>
  <c r="F117" i="13" s="1"/>
  <c r="E110" i="15"/>
  <c r="E112" i="15"/>
  <c r="E114" i="15"/>
  <c r="C116" i="15"/>
  <c r="D109" i="17"/>
  <c r="C111" i="17"/>
  <c r="F111" i="17" s="1"/>
  <c r="C113" i="17"/>
  <c r="F113" i="17" s="1"/>
  <c r="C115" i="17"/>
  <c r="D109" i="19"/>
  <c r="C111" i="19"/>
  <c r="F111" i="19" s="1"/>
  <c r="C113" i="19"/>
  <c r="F113" i="19" s="1"/>
  <c r="C115" i="19"/>
  <c r="E112" i="21"/>
  <c r="C116" i="21"/>
  <c r="E109" i="23"/>
  <c r="E113" i="23"/>
  <c r="D117" i="23"/>
  <c r="F117" i="23" s="1"/>
  <c r="C110" i="25"/>
  <c r="F110" i="25" s="1"/>
  <c r="C114" i="25"/>
  <c r="F114" i="25" s="1"/>
  <c r="C111" i="27"/>
  <c r="F111" i="27" s="1"/>
  <c r="C115" i="27"/>
  <c r="F115" i="27" s="1"/>
  <c r="C112" i="29"/>
  <c r="F112" i="29" s="1"/>
  <c r="D115" i="31"/>
  <c r="E112" i="33"/>
  <c r="E109" i="35"/>
  <c r="D117" i="35"/>
  <c r="F117" i="35" s="1"/>
  <c r="C114" i="37"/>
  <c r="F114" i="37" s="1"/>
  <c r="C110" i="39"/>
  <c r="F110" i="39" s="1"/>
  <c r="C114" i="41"/>
  <c r="F114" i="41" s="1"/>
  <c r="C110" i="43"/>
  <c r="F110" i="43" s="1"/>
  <c r="C115" i="45"/>
  <c r="F115" i="45" s="1"/>
  <c r="E115" i="1"/>
  <c r="C115" i="1"/>
  <c r="C114" i="1"/>
  <c r="C113" i="1"/>
  <c r="F113" i="1" s="1"/>
  <c r="C112" i="1"/>
  <c r="C111" i="1"/>
  <c r="F111" i="1" s="1"/>
  <c r="C110" i="1"/>
  <c r="D109" i="1"/>
  <c r="E115" i="3"/>
  <c r="C115" i="3"/>
  <c r="C114" i="3"/>
  <c r="F114" i="3" s="1"/>
  <c r="C113" i="3"/>
  <c r="C112" i="3"/>
  <c r="F112" i="3" s="1"/>
  <c r="C111" i="3"/>
  <c r="C110" i="3"/>
  <c r="F110" i="3" s="1"/>
  <c r="D109" i="3"/>
  <c r="E115" i="5"/>
  <c r="C115" i="5"/>
  <c r="C114" i="5"/>
  <c r="C113" i="5"/>
  <c r="F113" i="5" s="1"/>
  <c r="C112" i="5"/>
  <c r="C111" i="5"/>
  <c r="F111" i="5" s="1"/>
  <c r="C110" i="5"/>
  <c r="D109" i="5"/>
  <c r="E115" i="7"/>
  <c r="C115" i="7"/>
  <c r="C114" i="7"/>
  <c r="F114" i="7" s="1"/>
  <c r="C113" i="7"/>
  <c r="C112" i="7"/>
  <c r="F112" i="7" s="1"/>
  <c r="C111" i="7"/>
  <c r="C110" i="7"/>
  <c r="F110" i="7" s="1"/>
  <c r="D109" i="7"/>
  <c r="E115" i="9"/>
  <c r="C115" i="9"/>
  <c r="C114" i="9"/>
  <c r="C113" i="9"/>
  <c r="F113" i="9" s="1"/>
  <c r="C112" i="9"/>
  <c r="C111" i="9"/>
  <c r="F111" i="9" s="1"/>
  <c r="C110" i="9"/>
  <c r="D109" i="9"/>
  <c r="E115" i="11"/>
  <c r="C115" i="11"/>
  <c r="C114" i="11"/>
  <c r="F114" i="11" s="1"/>
  <c r="C113" i="11"/>
  <c r="C112" i="11"/>
  <c r="F112" i="11" s="1"/>
  <c r="C111" i="11"/>
  <c r="C110" i="11"/>
  <c r="F110" i="11" s="1"/>
  <c r="D109" i="11"/>
  <c r="D117" i="14"/>
  <c r="F117" i="14" s="1"/>
  <c r="C116" i="14"/>
  <c r="D115" i="14"/>
  <c r="E114" i="14"/>
  <c r="F114" i="14" s="1"/>
  <c r="E113" i="14"/>
  <c r="E112" i="14"/>
  <c r="F112" i="14" s="1"/>
  <c r="E111" i="14"/>
  <c r="E110" i="14"/>
  <c r="F110" i="14" s="1"/>
  <c r="E109" i="14"/>
  <c r="D117" i="16"/>
  <c r="F117" i="16" s="1"/>
  <c r="C116" i="16"/>
  <c r="D115" i="16"/>
  <c r="E114" i="16"/>
  <c r="E113" i="16"/>
  <c r="F113" i="16" s="1"/>
  <c r="E112" i="16"/>
  <c r="E111" i="16"/>
  <c r="F111" i="16" s="1"/>
  <c r="E110" i="16"/>
  <c r="E109" i="16"/>
  <c r="D117" i="18"/>
  <c r="F117" i="18" s="1"/>
  <c r="C116" i="18"/>
  <c r="D115" i="18"/>
  <c r="E114" i="18"/>
  <c r="E113" i="18"/>
  <c r="F113" i="18" s="1"/>
  <c r="E112" i="18"/>
  <c r="E111" i="18"/>
  <c r="F111" i="18" s="1"/>
  <c r="E110" i="18"/>
  <c r="E109" i="18"/>
  <c r="E115" i="20"/>
  <c r="D117" i="20"/>
  <c r="F117" i="20" s="1"/>
  <c r="D115" i="20"/>
  <c r="F115" i="20" s="1"/>
  <c r="E114" i="20"/>
  <c r="E113" i="20"/>
  <c r="F113" i="20" s="1"/>
  <c r="E112" i="20"/>
  <c r="E111" i="20"/>
  <c r="F111" i="20" s="1"/>
  <c r="E110" i="20"/>
  <c r="E109" i="20"/>
  <c r="D117" i="22"/>
  <c r="F117" i="22" s="1"/>
  <c r="C116" i="22"/>
  <c r="D115" i="22"/>
  <c r="E114" i="22"/>
  <c r="E113" i="22"/>
  <c r="E112" i="22"/>
  <c r="E111" i="22"/>
  <c r="F111" i="22" s="1"/>
  <c r="E110" i="22"/>
  <c r="E109" i="22"/>
  <c r="E115" i="22"/>
  <c r="C114" i="22"/>
  <c r="C112" i="22"/>
  <c r="F112" i="22" s="1"/>
  <c r="C110" i="22"/>
  <c r="E115" i="24"/>
  <c r="C115" i="24"/>
  <c r="C114" i="24"/>
  <c r="C113" i="24"/>
  <c r="C112" i="24"/>
  <c r="C111" i="24"/>
  <c r="F111" i="24" s="1"/>
  <c r="C110" i="24"/>
  <c r="D109" i="24"/>
  <c r="C116" i="24"/>
  <c r="E114" i="24"/>
  <c r="E112" i="24"/>
  <c r="E110" i="24"/>
  <c r="E115" i="26"/>
  <c r="C115" i="26"/>
  <c r="C114" i="26"/>
  <c r="C113" i="26"/>
  <c r="C112" i="26"/>
  <c r="F112" i="26" s="1"/>
  <c r="C111" i="26"/>
  <c r="C110" i="26"/>
  <c r="D109" i="26"/>
  <c r="D117" i="26"/>
  <c r="F117" i="26" s="1"/>
  <c r="D115" i="26"/>
  <c r="E113" i="26"/>
  <c r="E111" i="26"/>
  <c r="E109" i="26"/>
  <c r="E115" i="28"/>
  <c r="C115" i="28"/>
  <c r="C114" i="28"/>
  <c r="C113" i="28"/>
  <c r="F113" i="28" s="1"/>
  <c r="C112" i="28"/>
  <c r="C111" i="28"/>
  <c r="C110" i="28"/>
  <c r="D109" i="28"/>
  <c r="C116" i="28"/>
  <c r="E114" i="28"/>
  <c r="E112" i="28"/>
  <c r="E110" i="28"/>
  <c r="D117" i="30"/>
  <c r="F117" i="30" s="1"/>
  <c r="C116" i="30"/>
  <c r="D115" i="30"/>
  <c r="E114" i="30"/>
  <c r="E113" i="30"/>
  <c r="E112" i="30"/>
  <c r="E111" i="30"/>
  <c r="E110" i="30"/>
  <c r="E109" i="30"/>
  <c r="E115" i="30"/>
  <c r="C114" i="30"/>
  <c r="C112" i="30"/>
  <c r="F112" i="30" s="1"/>
  <c r="C110" i="30"/>
  <c r="C115" i="30"/>
  <c r="C111" i="30"/>
  <c r="F111" i="30" s="1"/>
  <c r="D117" i="32"/>
  <c r="F117" i="32" s="1"/>
  <c r="C116" i="32"/>
  <c r="D115" i="32"/>
  <c r="E114" i="32"/>
  <c r="F114" i="32" s="1"/>
  <c r="E113" i="32"/>
  <c r="E112" i="32"/>
  <c r="E111" i="32"/>
  <c r="E110" i="32"/>
  <c r="E109" i="32"/>
  <c r="C115" i="32"/>
  <c r="C113" i="32"/>
  <c r="F113" i="32" s="1"/>
  <c r="C111" i="32"/>
  <c r="D109" i="32"/>
  <c r="E115" i="32"/>
  <c r="C112" i="32"/>
  <c r="D117" i="34"/>
  <c r="F117" i="34" s="1"/>
  <c r="C116" i="34"/>
  <c r="D115" i="34"/>
  <c r="E114" i="34"/>
  <c r="E113" i="34"/>
  <c r="E112" i="34"/>
  <c r="E111" i="34"/>
  <c r="F111" i="34" s="1"/>
  <c r="E110" i="34"/>
  <c r="E109" i="34"/>
  <c r="E115" i="34"/>
  <c r="C114" i="34"/>
  <c r="C112" i="34"/>
  <c r="F112" i="34" s="1"/>
  <c r="C110" i="34"/>
  <c r="C113" i="34"/>
  <c r="D109" i="34"/>
  <c r="D117" i="36"/>
  <c r="F117" i="36" s="1"/>
  <c r="C116" i="36"/>
  <c r="D115" i="36"/>
  <c r="E114" i="36"/>
  <c r="E113" i="36"/>
  <c r="E112" i="36"/>
  <c r="E111" i="36"/>
  <c r="E110" i="36"/>
  <c r="E109" i="36"/>
  <c r="C115" i="36"/>
  <c r="C113" i="36"/>
  <c r="F113" i="36" s="1"/>
  <c r="C111" i="36"/>
  <c r="D109" i="36"/>
  <c r="C114" i="36"/>
  <c r="C110" i="36"/>
  <c r="D117" i="38"/>
  <c r="F117" i="38" s="1"/>
  <c r="C116" i="38"/>
  <c r="D115" i="38"/>
  <c r="E114" i="38"/>
  <c r="E113" i="38"/>
  <c r="E112" i="38"/>
  <c r="F112" i="38" s="1"/>
  <c r="E111" i="38"/>
  <c r="E110" i="38"/>
  <c r="E109" i="38"/>
  <c r="C115" i="38"/>
  <c r="C113" i="38"/>
  <c r="F113" i="38" s="1"/>
  <c r="C111" i="38"/>
  <c r="D109" i="38"/>
  <c r="C114" i="38"/>
  <c r="F114" i="38" s="1"/>
  <c r="C110" i="38"/>
  <c r="D117" i="40"/>
  <c r="F117" i="40" s="1"/>
  <c r="C116" i="40"/>
  <c r="D115" i="40"/>
  <c r="E114" i="40"/>
  <c r="E113" i="40"/>
  <c r="E112" i="40"/>
  <c r="E111" i="40"/>
  <c r="E110" i="40"/>
  <c r="E109" i="40"/>
  <c r="C115" i="40"/>
  <c r="C113" i="40"/>
  <c r="F113" i="40" s="1"/>
  <c r="C111" i="40"/>
  <c r="D109" i="40"/>
  <c r="C114" i="40"/>
  <c r="F114" i="40" s="1"/>
  <c r="C110" i="40"/>
  <c r="D117" i="42"/>
  <c r="F117" i="42" s="1"/>
  <c r="C116" i="42"/>
  <c r="D115" i="42"/>
  <c r="E114" i="42"/>
  <c r="E113" i="42"/>
  <c r="E112" i="42"/>
  <c r="F112" i="42" s="1"/>
  <c r="E111" i="42"/>
  <c r="E110" i="42"/>
  <c r="E109" i="42"/>
  <c r="C115" i="42"/>
  <c r="C113" i="42"/>
  <c r="F113" i="42" s="1"/>
  <c r="C111" i="42"/>
  <c r="D109" i="42"/>
  <c r="C114" i="42"/>
  <c r="F114" i="42" s="1"/>
  <c r="C110" i="42"/>
  <c r="E115" i="44"/>
  <c r="C115" i="44"/>
  <c r="C114" i="44"/>
  <c r="C113" i="44"/>
  <c r="C112" i="44"/>
  <c r="C111" i="44"/>
  <c r="C110" i="44"/>
  <c r="D109" i="44"/>
  <c r="D117" i="44"/>
  <c r="F117" i="44" s="1"/>
  <c r="D115" i="44"/>
  <c r="E113" i="44"/>
  <c r="E111" i="44"/>
  <c r="E109" i="44"/>
  <c r="E114" i="44"/>
  <c r="E110" i="44"/>
  <c r="E115" i="46"/>
  <c r="C115" i="46"/>
  <c r="C114" i="46"/>
  <c r="C113" i="46"/>
  <c r="F113" i="46" s="1"/>
  <c r="C112" i="46"/>
  <c r="C111" i="46"/>
  <c r="C110" i="46"/>
  <c r="D109" i="46"/>
  <c r="C116" i="46"/>
  <c r="E114" i="46"/>
  <c r="E112" i="46"/>
  <c r="E110" i="46"/>
  <c r="D115" i="46"/>
  <c r="E111" i="46"/>
  <c r="E115" i="48"/>
  <c r="C115" i="48"/>
  <c r="C114" i="48"/>
  <c r="C113" i="48"/>
  <c r="C112" i="48"/>
  <c r="C111" i="48"/>
  <c r="C110" i="48"/>
  <c r="D109" i="48"/>
  <c r="D117" i="48"/>
  <c r="F117" i="48" s="1"/>
  <c r="C116" i="48"/>
  <c r="D115" i="48"/>
  <c r="E114" i="48"/>
  <c r="E113" i="48"/>
  <c r="E112" i="48"/>
  <c r="E111" i="48"/>
  <c r="E110" i="48"/>
  <c r="E109" i="48"/>
  <c r="E115" i="50"/>
  <c r="C115" i="50"/>
  <c r="C114" i="50"/>
  <c r="C113" i="50"/>
  <c r="C112" i="50"/>
  <c r="C111" i="50"/>
  <c r="C110" i="50"/>
  <c r="D109" i="50"/>
  <c r="D117" i="50"/>
  <c r="F117" i="50" s="1"/>
  <c r="C116" i="50"/>
  <c r="D115" i="50"/>
  <c r="E114" i="50"/>
  <c r="E113" i="50"/>
  <c r="E112" i="50"/>
  <c r="E111" i="50"/>
  <c r="E110" i="50"/>
  <c r="E109" i="50"/>
  <c r="E115" i="52"/>
  <c r="C115" i="52"/>
  <c r="C114" i="52"/>
  <c r="C113" i="52"/>
  <c r="C112" i="52"/>
  <c r="C111" i="52"/>
  <c r="C110" i="52"/>
  <c r="D109" i="52"/>
  <c r="D117" i="52"/>
  <c r="F117" i="52" s="1"/>
  <c r="C116" i="52"/>
  <c r="D115" i="52"/>
  <c r="E114" i="52"/>
  <c r="E113" i="52"/>
  <c r="E112" i="52"/>
  <c r="E111" i="52"/>
  <c r="E110" i="52"/>
  <c r="E109" i="52"/>
  <c r="E115" i="54"/>
  <c r="C115" i="54"/>
  <c r="C114" i="54"/>
  <c r="C113" i="54"/>
  <c r="C112" i="54"/>
  <c r="C111" i="54"/>
  <c r="C110" i="54"/>
  <c r="D109" i="54"/>
  <c r="D117" i="54"/>
  <c r="F117" i="54" s="1"/>
  <c r="C116" i="54"/>
  <c r="D115" i="54"/>
  <c r="E114" i="54"/>
  <c r="E113" i="54"/>
  <c r="E112" i="54"/>
  <c r="E111" i="54"/>
  <c r="E110" i="54"/>
  <c r="E109" i="54"/>
  <c r="D117" i="12"/>
  <c r="F117" i="12" s="1"/>
  <c r="C116" i="12"/>
  <c r="D115" i="12"/>
  <c r="E114" i="12"/>
  <c r="E113" i="12"/>
  <c r="F113" i="12" s="1"/>
  <c r="E112" i="12"/>
  <c r="E111" i="12"/>
  <c r="F111" i="12" s="1"/>
  <c r="E110" i="12"/>
  <c r="E109" i="12"/>
  <c r="C110" i="56"/>
  <c r="F110" i="56" s="1"/>
  <c r="C112" i="56"/>
  <c r="F112" i="56" s="1"/>
  <c r="C114" i="56"/>
  <c r="F114" i="56" s="1"/>
  <c r="E115" i="56"/>
  <c r="E110" i="1"/>
  <c r="E112" i="1"/>
  <c r="E114" i="1"/>
  <c r="C116" i="1"/>
  <c r="D109" i="59"/>
  <c r="C111" i="59"/>
  <c r="F111" i="59" s="1"/>
  <c r="C113" i="59"/>
  <c r="F113" i="59" s="1"/>
  <c r="C115" i="59"/>
  <c r="F115" i="59" s="1"/>
  <c r="E109" i="3"/>
  <c r="E111" i="3"/>
  <c r="E113" i="3"/>
  <c r="D115" i="3"/>
  <c r="D117" i="3"/>
  <c r="F117" i="3" s="1"/>
  <c r="C110" i="4"/>
  <c r="F110" i="4" s="1"/>
  <c r="C112" i="4"/>
  <c r="F112" i="4" s="1"/>
  <c r="C114" i="4"/>
  <c r="F114" i="4" s="1"/>
  <c r="E115" i="4"/>
  <c r="E110" i="5"/>
  <c r="E112" i="5"/>
  <c r="E114" i="5"/>
  <c r="C116" i="5"/>
  <c r="D109" i="6"/>
  <c r="C111" i="6"/>
  <c r="F111" i="6" s="1"/>
  <c r="C113" i="6"/>
  <c r="F113" i="6" s="1"/>
  <c r="C115" i="6"/>
  <c r="F115" i="6" s="1"/>
  <c r="E109" i="7"/>
  <c r="E111" i="7"/>
  <c r="E113" i="7"/>
  <c r="D115" i="7"/>
  <c r="D117" i="7"/>
  <c r="F117" i="7" s="1"/>
  <c r="C110" i="8"/>
  <c r="F110" i="8" s="1"/>
  <c r="C112" i="8"/>
  <c r="F112" i="8" s="1"/>
  <c r="C114" i="8"/>
  <c r="F114" i="8" s="1"/>
  <c r="E115" i="8"/>
  <c r="E110" i="9"/>
  <c r="E112" i="9"/>
  <c r="E114" i="9"/>
  <c r="C116" i="9"/>
  <c r="D109" i="10"/>
  <c r="C111" i="10"/>
  <c r="F111" i="10" s="1"/>
  <c r="C113" i="10"/>
  <c r="F113" i="10" s="1"/>
  <c r="C115" i="10"/>
  <c r="F115" i="10" s="1"/>
  <c r="E109" i="11"/>
  <c r="E111" i="11"/>
  <c r="E113" i="11"/>
  <c r="D115" i="11"/>
  <c r="D117" i="11"/>
  <c r="F117" i="11" s="1"/>
  <c r="C110" i="12"/>
  <c r="F110" i="12" s="1"/>
  <c r="C112" i="12"/>
  <c r="F112" i="12" s="1"/>
  <c r="C114" i="12"/>
  <c r="F114" i="12" s="1"/>
  <c r="E115" i="12"/>
  <c r="E110" i="13"/>
  <c r="E112" i="13"/>
  <c r="E114" i="13"/>
  <c r="C116" i="13"/>
  <c r="D109" i="14"/>
  <c r="C111" i="14"/>
  <c r="F111" i="14" s="1"/>
  <c r="C113" i="14"/>
  <c r="F113" i="14" s="1"/>
  <c r="C115" i="14"/>
  <c r="F115" i="14" s="1"/>
  <c r="E109" i="15"/>
  <c r="E111" i="15"/>
  <c r="E113" i="15"/>
  <c r="D115" i="15"/>
  <c r="F115" i="15" s="1"/>
  <c r="D117" i="15"/>
  <c r="F117" i="15" s="1"/>
  <c r="C110" i="16"/>
  <c r="F110" i="16" s="1"/>
  <c r="C112" i="16"/>
  <c r="F112" i="16" s="1"/>
  <c r="C114" i="16"/>
  <c r="E115" i="16"/>
  <c r="C110" i="17"/>
  <c r="F110" i="17" s="1"/>
  <c r="C112" i="17"/>
  <c r="F112" i="17" s="1"/>
  <c r="C114" i="17"/>
  <c r="F114" i="17" s="1"/>
  <c r="E115" i="17"/>
  <c r="C110" i="18"/>
  <c r="F110" i="18" s="1"/>
  <c r="C112" i="18"/>
  <c r="F112" i="18" s="1"/>
  <c r="C114" i="18"/>
  <c r="F114" i="18" s="1"/>
  <c r="E115" i="18"/>
  <c r="C110" i="19"/>
  <c r="F110" i="19" s="1"/>
  <c r="C112" i="19"/>
  <c r="F112" i="19" s="1"/>
  <c r="C114" i="19"/>
  <c r="F114" i="19" s="1"/>
  <c r="E115" i="19"/>
  <c r="C110" i="20"/>
  <c r="F110" i="20" s="1"/>
  <c r="C112" i="20"/>
  <c r="F112" i="20" s="1"/>
  <c r="C114" i="20"/>
  <c r="F114" i="20" s="1"/>
  <c r="C116" i="20"/>
  <c r="E110" i="21"/>
  <c r="E114" i="21"/>
  <c r="D109" i="22"/>
  <c r="C113" i="22"/>
  <c r="F113" i="22" s="1"/>
  <c r="E111" i="23"/>
  <c r="D115" i="23"/>
  <c r="E109" i="24"/>
  <c r="E113" i="24"/>
  <c r="D117" i="24"/>
  <c r="F117" i="24" s="1"/>
  <c r="C112" i="25"/>
  <c r="F112" i="25" s="1"/>
  <c r="E115" i="25"/>
  <c r="E110" i="26"/>
  <c r="E114" i="26"/>
  <c r="D109" i="27"/>
  <c r="C113" i="27"/>
  <c r="F113" i="27" s="1"/>
  <c r="E111" i="28"/>
  <c r="D115" i="28"/>
  <c r="C110" i="29"/>
  <c r="F110" i="29" s="1"/>
  <c r="E114" i="29"/>
  <c r="C113" i="30"/>
  <c r="F113" i="30" s="1"/>
  <c r="E111" i="31"/>
  <c r="C110" i="32"/>
  <c r="F110" i="32" s="1"/>
  <c r="C116" i="33"/>
  <c r="C115" i="34"/>
  <c r="F115" i="34" s="1"/>
  <c r="E113" i="35"/>
  <c r="C112" i="36"/>
  <c r="F112" i="36" s="1"/>
  <c r="C110" i="37"/>
  <c r="F110" i="37" s="1"/>
  <c r="E115" i="38"/>
  <c r="C114" i="39"/>
  <c r="F114" i="39" s="1"/>
  <c r="C112" i="40"/>
  <c r="F112" i="40" s="1"/>
  <c r="C110" i="41"/>
  <c r="F110" i="41" s="1"/>
  <c r="E115" i="42"/>
  <c r="C114" i="43"/>
  <c r="F114" i="43" s="1"/>
  <c r="E112" i="44"/>
  <c r="C111" i="45"/>
  <c r="F111" i="45" s="1"/>
  <c r="E109" i="46"/>
  <c r="D117" i="46"/>
  <c r="F117" i="46" s="1"/>
  <c r="D117" i="53"/>
  <c r="F117" i="53" s="1"/>
  <c r="C116" i="53"/>
  <c r="D115" i="53"/>
  <c r="E114" i="53"/>
  <c r="E113" i="53"/>
  <c r="E112" i="53"/>
  <c r="E111" i="53"/>
  <c r="E110" i="53"/>
  <c r="E109" i="53"/>
  <c r="E115" i="53"/>
  <c r="C115" i="53"/>
  <c r="C114" i="53"/>
  <c r="F114" i="53" s="1"/>
  <c r="C113" i="53"/>
  <c r="F113" i="53" s="1"/>
  <c r="C112" i="53"/>
  <c r="F112" i="53" s="1"/>
  <c r="C111" i="53"/>
  <c r="F111" i="53" s="1"/>
  <c r="C110" i="53"/>
  <c r="F110" i="53" s="1"/>
  <c r="D109" i="53"/>
  <c r="D117" i="55"/>
  <c r="F117" i="55" s="1"/>
  <c r="C116" i="55"/>
  <c r="D115" i="55"/>
  <c r="E114" i="55"/>
  <c r="E113" i="55"/>
  <c r="E112" i="55"/>
  <c r="E111" i="55"/>
  <c r="E110" i="55"/>
  <c r="E109" i="55"/>
  <c r="E115" i="55"/>
  <c r="C115" i="55"/>
  <c r="C114" i="55"/>
  <c r="F114" i="55" s="1"/>
  <c r="C113" i="55"/>
  <c r="F113" i="55" s="1"/>
  <c r="C112" i="55"/>
  <c r="F112" i="55" s="1"/>
  <c r="C111" i="55"/>
  <c r="F111" i="55" s="1"/>
  <c r="C110" i="55"/>
  <c r="F110" i="55" s="1"/>
  <c r="D109" i="55"/>
  <c r="F114" i="16"/>
  <c r="F112" i="37"/>
  <c r="F114" i="36"/>
  <c r="E109" i="57"/>
  <c r="E120" i="57"/>
  <c r="C116" i="57"/>
  <c r="D115" i="57"/>
  <c r="E114" i="57"/>
  <c r="E113" i="57"/>
  <c r="E112" i="57"/>
  <c r="E111" i="57"/>
  <c r="E110" i="57"/>
  <c r="E104" i="57"/>
  <c r="E102" i="57"/>
  <c r="E100" i="57"/>
  <c r="E98" i="57"/>
  <c r="E93" i="57"/>
  <c r="E91" i="57"/>
  <c r="E89" i="57"/>
  <c r="E87" i="57"/>
  <c r="E85" i="57"/>
  <c r="E83" i="57"/>
  <c r="E81" i="57"/>
  <c r="E79" i="57"/>
  <c r="E77" i="57"/>
  <c r="E75" i="57"/>
  <c r="E73" i="57"/>
  <c r="E71" i="57"/>
  <c r="E69" i="57"/>
  <c r="E67" i="57"/>
  <c r="E63" i="57"/>
  <c r="D62" i="57"/>
  <c r="E61" i="57"/>
  <c r="D60" i="57"/>
  <c r="E59" i="57"/>
  <c r="D58" i="57"/>
  <c r="E57" i="57"/>
  <c r="D56" i="57"/>
  <c r="E55" i="57"/>
  <c r="D54" i="57"/>
  <c r="E53" i="57"/>
  <c r="D52" i="57"/>
  <c r="E51" i="57"/>
  <c r="D50" i="57"/>
  <c r="E49" i="57"/>
  <c r="D48" i="57"/>
  <c r="E47" i="57"/>
  <c r="D46" i="57"/>
  <c r="E45" i="57"/>
  <c r="D44" i="57"/>
  <c r="E43" i="57"/>
  <c r="D42" i="57"/>
  <c r="E41" i="57"/>
  <c r="D117" i="57"/>
  <c r="E115" i="57"/>
  <c r="C115" i="57"/>
  <c r="C114" i="57"/>
  <c r="C113" i="57"/>
  <c r="C112" i="57"/>
  <c r="C111" i="57"/>
  <c r="C110" i="57"/>
  <c r="E103" i="57"/>
  <c r="E101" i="57"/>
  <c r="E99" i="57"/>
  <c r="E94" i="57"/>
  <c r="E92" i="57"/>
  <c r="E90" i="57"/>
  <c r="E88" i="57"/>
  <c r="E86" i="57"/>
  <c r="E84" i="57"/>
  <c r="E82" i="57"/>
  <c r="E80" i="57"/>
  <c r="E78" i="57"/>
  <c r="E76" i="57"/>
  <c r="E74" i="57"/>
  <c r="E72" i="57"/>
  <c r="E70" i="57"/>
  <c r="E68" i="57"/>
  <c r="D63" i="57"/>
  <c r="E62" i="57"/>
  <c r="D61" i="57"/>
  <c r="E60" i="57"/>
  <c r="D59" i="57"/>
  <c r="E58" i="57"/>
  <c r="D57" i="57"/>
  <c r="E56" i="57"/>
  <c r="D55" i="57"/>
  <c r="E54" i="57"/>
  <c r="D53" i="57"/>
  <c r="E52" i="57"/>
  <c r="D51" i="57"/>
  <c r="E50" i="57"/>
  <c r="D49" i="57"/>
  <c r="E48" i="57"/>
  <c r="D47" i="57"/>
  <c r="E46" i="57"/>
  <c r="D45" i="57"/>
  <c r="E44" i="57"/>
  <c r="D43" i="57"/>
  <c r="E42" i="57"/>
  <c r="D41" i="57"/>
  <c r="E40" i="57"/>
  <c r="E36" i="57"/>
  <c r="D37" i="57"/>
  <c r="E38" i="57"/>
  <c r="D39" i="57"/>
  <c r="D36" i="57"/>
  <c r="E37" i="57"/>
  <c r="D38" i="57"/>
  <c r="E39" i="57"/>
  <c r="D40" i="57"/>
  <c r="E120" i="1"/>
  <c r="E104" i="1"/>
  <c r="E102" i="1"/>
  <c r="E116" i="1" s="1"/>
  <c r="E100" i="1"/>
  <c r="E98" i="1"/>
  <c r="E93" i="1"/>
  <c r="E91" i="1"/>
  <c r="E89" i="1"/>
  <c r="E87" i="1"/>
  <c r="E85" i="1"/>
  <c r="E83" i="1"/>
  <c r="E81" i="1"/>
  <c r="E79" i="1"/>
  <c r="E77" i="1"/>
  <c r="E75" i="1"/>
  <c r="E73" i="1"/>
  <c r="E71" i="1"/>
  <c r="E69" i="1"/>
  <c r="E67" i="1"/>
  <c r="E63" i="1"/>
  <c r="D62" i="1"/>
  <c r="E61" i="1"/>
  <c r="D60" i="1"/>
  <c r="E59" i="1"/>
  <c r="D58" i="1"/>
  <c r="E57" i="1"/>
  <c r="D56" i="1"/>
  <c r="E55" i="1"/>
  <c r="D54" i="1"/>
  <c r="E53" i="1"/>
  <c r="D52" i="1"/>
  <c r="E51" i="1"/>
  <c r="D50" i="1"/>
  <c r="E49" i="1"/>
  <c r="D48" i="1"/>
  <c r="E47" i="1"/>
  <c r="D46" i="1"/>
  <c r="E103" i="1"/>
  <c r="E101" i="1"/>
  <c r="E99" i="1"/>
  <c r="E94" i="1"/>
  <c r="E92" i="1"/>
  <c r="E90" i="1"/>
  <c r="E88" i="1"/>
  <c r="E86" i="1"/>
  <c r="E84" i="1"/>
  <c r="E82" i="1"/>
  <c r="E80" i="1"/>
  <c r="E78" i="1"/>
  <c r="E76" i="1"/>
  <c r="E74" i="1"/>
  <c r="E72" i="1"/>
  <c r="E70" i="1"/>
  <c r="E68" i="1"/>
  <c r="D63" i="1"/>
  <c r="E62" i="1"/>
  <c r="D61" i="1"/>
  <c r="E60" i="1"/>
  <c r="D59" i="1"/>
  <c r="E58" i="1"/>
  <c r="D57" i="1"/>
  <c r="E56" i="1"/>
  <c r="D55" i="1"/>
  <c r="E54" i="1"/>
  <c r="D53" i="1"/>
  <c r="E52" i="1"/>
  <c r="D51" i="1"/>
  <c r="E50" i="1"/>
  <c r="D49" i="1"/>
  <c r="E48" i="1"/>
  <c r="D47" i="1"/>
  <c r="E46" i="1"/>
  <c r="E45" i="1"/>
  <c r="D44" i="1"/>
  <c r="E43" i="1"/>
  <c r="D42" i="1"/>
  <c r="E41" i="1"/>
  <c r="D40" i="1"/>
  <c r="E39" i="1"/>
  <c r="D38" i="1"/>
  <c r="E37" i="1"/>
  <c r="D36" i="1"/>
  <c r="D45" i="1"/>
  <c r="E44" i="1"/>
  <c r="D43" i="1"/>
  <c r="E42" i="1"/>
  <c r="D41" i="1"/>
  <c r="E40" i="1"/>
  <c r="D39" i="1"/>
  <c r="E38" i="1"/>
  <c r="D37" i="1"/>
  <c r="E36" i="1"/>
  <c r="E120" i="3"/>
  <c r="E104" i="3"/>
  <c r="E102" i="3"/>
  <c r="E116" i="3" s="1"/>
  <c r="F116" i="3" s="1"/>
  <c r="E100" i="3"/>
  <c r="E98" i="3"/>
  <c r="E93" i="3"/>
  <c r="E91" i="3"/>
  <c r="E89" i="3"/>
  <c r="E87" i="3"/>
  <c r="E85" i="3"/>
  <c r="E83" i="3"/>
  <c r="E81" i="3"/>
  <c r="E79" i="3"/>
  <c r="E77" i="3"/>
  <c r="E75" i="3"/>
  <c r="E73" i="3"/>
  <c r="E71" i="3"/>
  <c r="E69" i="3"/>
  <c r="E67" i="3"/>
  <c r="E63" i="3"/>
  <c r="D62" i="3"/>
  <c r="E61" i="3"/>
  <c r="D60" i="3"/>
  <c r="E59" i="3"/>
  <c r="D58" i="3"/>
  <c r="E57" i="3"/>
  <c r="D56" i="3"/>
  <c r="E55" i="3"/>
  <c r="E103" i="3"/>
  <c r="E101" i="3"/>
  <c r="E99" i="3"/>
  <c r="E94" i="3"/>
  <c r="E92" i="3"/>
  <c r="E90" i="3"/>
  <c r="E88" i="3"/>
  <c r="E86" i="3"/>
  <c r="E84" i="3"/>
  <c r="E82" i="3"/>
  <c r="E80" i="3"/>
  <c r="E78" i="3"/>
  <c r="E76" i="3"/>
  <c r="E74" i="3"/>
  <c r="E72" i="3"/>
  <c r="E70" i="3"/>
  <c r="E68" i="3"/>
  <c r="D63" i="3"/>
  <c r="E62" i="3"/>
  <c r="D61" i="3"/>
  <c r="E60" i="3"/>
  <c r="D59" i="3"/>
  <c r="E58" i="3"/>
  <c r="D57" i="3"/>
  <c r="E56" i="3"/>
  <c r="D55" i="3"/>
  <c r="E54" i="3"/>
  <c r="D54" i="3"/>
  <c r="E53" i="3"/>
  <c r="D52" i="3"/>
  <c r="E51" i="3"/>
  <c r="D50" i="3"/>
  <c r="E49" i="3"/>
  <c r="D48" i="3"/>
  <c r="E47" i="3"/>
  <c r="D46" i="3"/>
  <c r="E45" i="3"/>
  <c r="D44" i="3"/>
  <c r="E43" i="3"/>
  <c r="D42" i="3"/>
  <c r="E41" i="3"/>
  <c r="D40" i="3"/>
  <c r="E39" i="3"/>
  <c r="D38" i="3"/>
  <c r="E37" i="3"/>
  <c r="D36" i="3"/>
  <c r="D53" i="3"/>
  <c r="E52" i="3"/>
  <c r="D51" i="3"/>
  <c r="E50" i="3"/>
  <c r="D49" i="3"/>
  <c r="E48" i="3"/>
  <c r="D47" i="3"/>
  <c r="E46" i="3"/>
  <c r="D45" i="3"/>
  <c r="E44" i="3"/>
  <c r="D43" i="3"/>
  <c r="E42" i="3"/>
  <c r="D41" i="3"/>
  <c r="E40" i="3"/>
  <c r="D39" i="3"/>
  <c r="E38" i="3"/>
  <c r="D37" i="3"/>
  <c r="E36" i="3"/>
  <c r="E120" i="5"/>
  <c r="E104" i="5"/>
  <c r="E102" i="5"/>
  <c r="E116" i="5" s="1"/>
  <c r="E100" i="5"/>
  <c r="E98" i="5"/>
  <c r="E93" i="5"/>
  <c r="E91" i="5"/>
  <c r="E89" i="5"/>
  <c r="E87" i="5"/>
  <c r="E85" i="5"/>
  <c r="E83" i="5"/>
  <c r="E81" i="5"/>
  <c r="E79" i="5"/>
  <c r="E77" i="5"/>
  <c r="E75" i="5"/>
  <c r="E73" i="5"/>
  <c r="E71" i="5"/>
  <c r="E69" i="5"/>
  <c r="E67" i="5"/>
  <c r="E63" i="5"/>
  <c r="E103" i="5"/>
  <c r="E101" i="5"/>
  <c r="E99" i="5"/>
  <c r="E94" i="5"/>
  <c r="E92" i="5"/>
  <c r="E90" i="5"/>
  <c r="E88" i="5"/>
  <c r="E86" i="5"/>
  <c r="E84" i="5"/>
  <c r="E82" i="5"/>
  <c r="E80" i="5"/>
  <c r="E78" i="5"/>
  <c r="E76" i="5"/>
  <c r="E74" i="5"/>
  <c r="E72" i="5"/>
  <c r="E70" i="5"/>
  <c r="E68" i="5"/>
  <c r="D63" i="5"/>
  <c r="E62" i="5"/>
  <c r="D61" i="5"/>
  <c r="E60" i="5"/>
  <c r="D59" i="5"/>
  <c r="E58" i="5"/>
  <c r="D57" i="5"/>
  <c r="E56" i="5"/>
  <c r="D55" i="5"/>
  <c r="E54" i="5"/>
  <c r="D53" i="5"/>
  <c r="E52" i="5"/>
  <c r="D51" i="5"/>
  <c r="E50" i="5"/>
  <c r="D49" i="5"/>
  <c r="E48" i="5"/>
  <c r="D47" i="5"/>
  <c r="E46" i="5"/>
  <c r="D45" i="5"/>
  <c r="E44" i="5"/>
  <c r="D43" i="5"/>
  <c r="E42" i="5"/>
  <c r="D41" i="5"/>
  <c r="E40" i="5"/>
  <c r="D39" i="5"/>
  <c r="E38" i="5"/>
  <c r="D37" i="5"/>
  <c r="E36" i="5"/>
  <c r="D62" i="5"/>
  <c r="E61" i="5"/>
  <c r="D60" i="5"/>
  <c r="E59" i="5"/>
  <c r="D58" i="5"/>
  <c r="E57" i="5"/>
  <c r="D56" i="5"/>
  <c r="E55" i="5"/>
  <c r="D54" i="5"/>
  <c r="E53" i="5"/>
  <c r="D52" i="5"/>
  <c r="E51" i="5"/>
  <c r="D50" i="5"/>
  <c r="E49" i="5"/>
  <c r="D48" i="5"/>
  <c r="E47" i="5"/>
  <c r="D46" i="5"/>
  <c r="E45" i="5"/>
  <c r="D44" i="5"/>
  <c r="E43" i="5"/>
  <c r="D42" i="5"/>
  <c r="E41" i="5"/>
  <c r="D40" i="5"/>
  <c r="E39" i="5"/>
  <c r="D38" i="5"/>
  <c r="E37" i="5"/>
  <c r="D36" i="5"/>
  <c r="E103" i="7"/>
  <c r="E101" i="7"/>
  <c r="E99" i="7"/>
  <c r="E94" i="7"/>
  <c r="E92" i="7"/>
  <c r="E90" i="7"/>
  <c r="E88" i="7"/>
  <c r="E86" i="7"/>
  <c r="E84" i="7"/>
  <c r="E82" i="7"/>
  <c r="E80" i="7"/>
  <c r="E78" i="7"/>
  <c r="E76" i="7"/>
  <c r="E74" i="7"/>
  <c r="E72" i="7"/>
  <c r="E70" i="7"/>
  <c r="E68" i="7"/>
  <c r="D63" i="7"/>
  <c r="E62" i="7"/>
  <c r="D61" i="7"/>
  <c r="E60" i="7"/>
  <c r="D59" i="7"/>
  <c r="E58" i="7"/>
  <c r="D57" i="7"/>
  <c r="E56" i="7"/>
  <c r="D55" i="7"/>
  <c r="E54" i="7"/>
  <c r="D53" i="7"/>
  <c r="E52" i="7"/>
  <c r="D51" i="7"/>
  <c r="E50" i="7"/>
  <c r="D49" i="7"/>
  <c r="E48" i="7"/>
  <c r="D47" i="7"/>
  <c r="E46" i="7"/>
  <c r="D45" i="7"/>
  <c r="E44" i="7"/>
  <c r="D43" i="7"/>
  <c r="E42" i="7"/>
  <c r="D41" i="7"/>
  <c r="E40" i="7"/>
  <c r="D39" i="7"/>
  <c r="E38" i="7"/>
  <c r="D37" i="7"/>
  <c r="E36" i="7"/>
  <c r="E120" i="7"/>
  <c r="E104" i="7"/>
  <c r="E102" i="7"/>
  <c r="E116" i="7" s="1"/>
  <c r="F116" i="7" s="1"/>
  <c r="E100" i="7"/>
  <c r="E98" i="7"/>
  <c r="E93" i="7"/>
  <c r="E91" i="7"/>
  <c r="E89" i="7"/>
  <c r="E87" i="7"/>
  <c r="E85" i="7"/>
  <c r="E83" i="7"/>
  <c r="E81" i="7"/>
  <c r="E79" i="7"/>
  <c r="E77" i="7"/>
  <c r="E75" i="7"/>
  <c r="E73" i="7"/>
  <c r="E71" i="7"/>
  <c r="E69" i="7"/>
  <c r="E67" i="7"/>
  <c r="E63" i="7"/>
  <c r="D62" i="7"/>
  <c r="E61" i="7"/>
  <c r="D60" i="7"/>
  <c r="E59" i="7"/>
  <c r="D58" i="7"/>
  <c r="E57" i="7"/>
  <c r="D56" i="7"/>
  <c r="E55" i="7"/>
  <c r="D54" i="7"/>
  <c r="E53" i="7"/>
  <c r="D52" i="7"/>
  <c r="E51" i="7"/>
  <c r="D50" i="7"/>
  <c r="E49" i="7"/>
  <c r="D48" i="7"/>
  <c r="E47" i="7"/>
  <c r="D46" i="7"/>
  <c r="E45" i="7"/>
  <c r="D44" i="7"/>
  <c r="E43" i="7"/>
  <c r="D42" i="7"/>
  <c r="E41" i="7"/>
  <c r="D40" i="7"/>
  <c r="E39" i="7"/>
  <c r="D38" i="7"/>
  <c r="E37" i="7"/>
  <c r="D36" i="7"/>
  <c r="E103" i="9"/>
  <c r="E101" i="9"/>
  <c r="E99" i="9"/>
  <c r="E94" i="9"/>
  <c r="E92" i="9"/>
  <c r="E90" i="9"/>
  <c r="E88" i="9"/>
  <c r="E86" i="9"/>
  <c r="E84" i="9"/>
  <c r="E82" i="9"/>
  <c r="E80" i="9"/>
  <c r="E78" i="9"/>
  <c r="E76" i="9"/>
  <c r="E74" i="9"/>
  <c r="E72" i="9"/>
  <c r="E70" i="9"/>
  <c r="E68" i="9"/>
  <c r="D63" i="9"/>
  <c r="E62" i="9"/>
  <c r="D61" i="9"/>
  <c r="E60" i="9"/>
  <c r="D59" i="9"/>
  <c r="E58" i="9"/>
  <c r="D57" i="9"/>
  <c r="E56" i="9"/>
  <c r="D55" i="9"/>
  <c r="E54" i="9"/>
  <c r="D53" i="9"/>
  <c r="E52" i="9"/>
  <c r="D51" i="9"/>
  <c r="E50" i="9"/>
  <c r="D49" i="9"/>
  <c r="E48" i="9"/>
  <c r="D47" i="9"/>
  <c r="E46" i="9"/>
  <c r="D45" i="9"/>
  <c r="E44" i="9"/>
  <c r="D43" i="9"/>
  <c r="E42" i="9"/>
  <c r="D41" i="9"/>
  <c r="E40" i="9"/>
  <c r="D39" i="9"/>
  <c r="E38" i="9"/>
  <c r="D37" i="9"/>
  <c r="E36" i="9"/>
  <c r="E120" i="9"/>
  <c r="E104" i="9"/>
  <c r="E102" i="9"/>
  <c r="E116" i="9" s="1"/>
  <c r="E100" i="9"/>
  <c r="E98" i="9"/>
  <c r="E93" i="9"/>
  <c r="E91" i="9"/>
  <c r="E89" i="9"/>
  <c r="E87" i="9"/>
  <c r="E85" i="9"/>
  <c r="E83" i="9"/>
  <c r="E81" i="9"/>
  <c r="E79" i="9"/>
  <c r="E77" i="9"/>
  <c r="E75" i="9"/>
  <c r="E73" i="9"/>
  <c r="E71" i="9"/>
  <c r="E69" i="9"/>
  <c r="E67" i="9"/>
  <c r="E63" i="9"/>
  <c r="D62" i="9"/>
  <c r="E61" i="9"/>
  <c r="D60" i="9"/>
  <c r="E59" i="9"/>
  <c r="D58" i="9"/>
  <c r="E57" i="9"/>
  <c r="D56" i="9"/>
  <c r="E55" i="9"/>
  <c r="D54" i="9"/>
  <c r="E53" i="9"/>
  <c r="D52" i="9"/>
  <c r="E51" i="9"/>
  <c r="D50" i="9"/>
  <c r="E49" i="9"/>
  <c r="D48" i="9"/>
  <c r="E47" i="9"/>
  <c r="D46" i="9"/>
  <c r="E45" i="9"/>
  <c r="D44" i="9"/>
  <c r="E43" i="9"/>
  <c r="D42" i="9"/>
  <c r="E41" i="9"/>
  <c r="D40" i="9"/>
  <c r="E39" i="9"/>
  <c r="D38" i="9"/>
  <c r="E37" i="9"/>
  <c r="D36" i="9"/>
  <c r="E103" i="11"/>
  <c r="E101" i="11"/>
  <c r="E99" i="11"/>
  <c r="E94" i="11"/>
  <c r="E92" i="11"/>
  <c r="E90" i="11"/>
  <c r="E88" i="11"/>
  <c r="E86" i="11"/>
  <c r="E84" i="11"/>
  <c r="E82" i="11"/>
  <c r="E80" i="11"/>
  <c r="E78" i="11"/>
  <c r="E76" i="11"/>
  <c r="E74" i="11"/>
  <c r="E72" i="11"/>
  <c r="E70" i="11"/>
  <c r="E68" i="11"/>
  <c r="D63" i="11"/>
  <c r="E62" i="11"/>
  <c r="D61" i="11"/>
  <c r="E60" i="11"/>
  <c r="D59" i="11"/>
  <c r="E58" i="11"/>
  <c r="D57" i="11"/>
  <c r="E56" i="11"/>
  <c r="D55" i="11"/>
  <c r="E54" i="11"/>
  <c r="D53" i="11"/>
  <c r="E52" i="11"/>
  <c r="D51" i="11"/>
  <c r="E50" i="11"/>
  <c r="D49" i="11"/>
  <c r="E48" i="11"/>
  <c r="D47" i="11"/>
  <c r="E46" i="11"/>
  <c r="D45" i="11"/>
  <c r="E44" i="11"/>
  <c r="D43" i="11"/>
  <c r="E42" i="11"/>
  <c r="D41" i="11"/>
  <c r="E40" i="11"/>
  <c r="D39" i="11"/>
  <c r="E38" i="11"/>
  <c r="D37" i="11"/>
  <c r="E36" i="11"/>
  <c r="E120" i="11"/>
  <c r="E104" i="11"/>
  <c r="E102" i="11"/>
  <c r="E116" i="11" s="1"/>
  <c r="F116" i="11" s="1"/>
  <c r="E100" i="11"/>
  <c r="E98" i="11"/>
  <c r="E93" i="11"/>
  <c r="E91" i="11"/>
  <c r="E89" i="11"/>
  <c r="E87" i="11"/>
  <c r="E85" i="11"/>
  <c r="E83" i="11"/>
  <c r="E81" i="11"/>
  <c r="E79" i="11"/>
  <c r="E77" i="11"/>
  <c r="E75" i="11"/>
  <c r="E73" i="11"/>
  <c r="E71" i="11"/>
  <c r="E69" i="11"/>
  <c r="E67" i="11"/>
  <c r="E63" i="11"/>
  <c r="D62" i="11"/>
  <c r="E61" i="11"/>
  <c r="D60" i="11"/>
  <c r="E59" i="11"/>
  <c r="D58" i="11"/>
  <c r="E57" i="11"/>
  <c r="D56" i="11"/>
  <c r="E55" i="11"/>
  <c r="D54" i="11"/>
  <c r="E53" i="11"/>
  <c r="D52" i="11"/>
  <c r="E51" i="11"/>
  <c r="D50" i="11"/>
  <c r="E49" i="11"/>
  <c r="D48" i="11"/>
  <c r="E47" i="11"/>
  <c r="D46" i="11"/>
  <c r="E45" i="11"/>
  <c r="D44" i="11"/>
  <c r="E43" i="11"/>
  <c r="D42" i="11"/>
  <c r="E41" i="11"/>
  <c r="D40" i="11"/>
  <c r="E39" i="11"/>
  <c r="D38" i="11"/>
  <c r="E37" i="11"/>
  <c r="D36" i="11"/>
  <c r="E120" i="13"/>
  <c r="E104" i="13"/>
  <c r="E102" i="13"/>
  <c r="E116" i="13" s="1"/>
  <c r="E100" i="13"/>
  <c r="E98" i="13"/>
  <c r="E93" i="13"/>
  <c r="E91" i="13"/>
  <c r="E89" i="13"/>
  <c r="E87" i="13"/>
  <c r="E85" i="13"/>
  <c r="E83" i="13"/>
  <c r="E81" i="13"/>
  <c r="E79" i="13"/>
  <c r="E77" i="13"/>
  <c r="E75" i="13"/>
  <c r="E73" i="13"/>
  <c r="E71" i="13"/>
  <c r="E69" i="13"/>
  <c r="E67" i="13"/>
  <c r="E63" i="13"/>
  <c r="D62" i="13"/>
  <c r="E61" i="13"/>
  <c r="D60" i="13"/>
  <c r="E59" i="13"/>
  <c r="D58" i="13"/>
  <c r="E57" i="13"/>
  <c r="D56" i="13"/>
  <c r="E55" i="13"/>
  <c r="D54" i="13"/>
  <c r="E53" i="13"/>
  <c r="D52" i="13"/>
  <c r="E51" i="13"/>
  <c r="D50" i="13"/>
  <c r="E49" i="13"/>
  <c r="D48" i="13"/>
  <c r="E47" i="13"/>
  <c r="D46" i="13"/>
  <c r="E45" i="13"/>
  <c r="D44" i="13"/>
  <c r="E43" i="13"/>
  <c r="D42" i="13"/>
  <c r="E41" i="13"/>
  <c r="D40" i="13"/>
  <c r="E39" i="13"/>
  <c r="D38" i="13"/>
  <c r="E37" i="13"/>
  <c r="D36" i="13"/>
  <c r="E103" i="13"/>
  <c r="E101" i="13"/>
  <c r="E99" i="13"/>
  <c r="E94" i="13"/>
  <c r="E92" i="13"/>
  <c r="E90" i="13"/>
  <c r="E88" i="13"/>
  <c r="E86" i="13"/>
  <c r="E84" i="13"/>
  <c r="E82" i="13"/>
  <c r="E80" i="13"/>
  <c r="E78" i="13"/>
  <c r="E76" i="13"/>
  <c r="E74" i="13"/>
  <c r="E72" i="13"/>
  <c r="E70" i="13"/>
  <c r="E68" i="13"/>
  <c r="D63" i="13"/>
  <c r="E62" i="13"/>
  <c r="D61" i="13"/>
  <c r="E60" i="13"/>
  <c r="D59" i="13"/>
  <c r="E58" i="13"/>
  <c r="D57" i="13"/>
  <c r="E56" i="13"/>
  <c r="D55" i="13"/>
  <c r="E54" i="13"/>
  <c r="D53" i="13"/>
  <c r="E52" i="13"/>
  <c r="D51" i="13"/>
  <c r="E50" i="13"/>
  <c r="D49" i="13"/>
  <c r="E48" i="13"/>
  <c r="D47" i="13"/>
  <c r="E46" i="13"/>
  <c r="D45" i="13"/>
  <c r="E44" i="13"/>
  <c r="D43" i="13"/>
  <c r="E42" i="13"/>
  <c r="D41" i="13"/>
  <c r="E40" i="13"/>
  <c r="D39" i="13"/>
  <c r="E38" i="13"/>
  <c r="D37" i="13"/>
  <c r="E36" i="13"/>
  <c r="E120" i="15"/>
  <c r="E104" i="15"/>
  <c r="E102" i="15"/>
  <c r="E116" i="15" s="1"/>
  <c r="E100" i="15"/>
  <c r="E98" i="15"/>
  <c r="E93" i="15"/>
  <c r="E91" i="15"/>
  <c r="E89" i="15"/>
  <c r="E87" i="15"/>
  <c r="E85" i="15"/>
  <c r="E83" i="15"/>
  <c r="E81" i="15"/>
  <c r="E79" i="15"/>
  <c r="E77" i="15"/>
  <c r="E75" i="15"/>
  <c r="E73" i="15"/>
  <c r="E71" i="15"/>
  <c r="E69" i="15"/>
  <c r="E67" i="15"/>
  <c r="E63" i="15"/>
  <c r="D62" i="15"/>
  <c r="E61" i="15"/>
  <c r="D60" i="15"/>
  <c r="E59" i="15"/>
  <c r="D58" i="15"/>
  <c r="E57" i="15"/>
  <c r="D56" i="15"/>
  <c r="E55" i="15"/>
  <c r="D54" i="15"/>
  <c r="E53" i="15"/>
  <c r="D52" i="15"/>
  <c r="E51" i="15"/>
  <c r="D50" i="15"/>
  <c r="E49" i="15"/>
  <c r="D48" i="15"/>
  <c r="E47" i="15"/>
  <c r="D46" i="15"/>
  <c r="E45" i="15"/>
  <c r="D44" i="15"/>
  <c r="E43" i="15"/>
  <c r="D42" i="15"/>
  <c r="E41" i="15"/>
  <c r="D40" i="15"/>
  <c r="E39" i="15"/>
  <c r="D38" i="15"/>
  <c r="E37" i="15"/>
  <c r="D36" i="15"/>
  <c r="E103" i="15"/>
  <c r="E101" i="15"/>
  <c r="E99" i="15"/>
  <c r="E94" i="15"/>
  <c r="E92" i="15"/>
  <c r="E90" i="15"/>
  <c r="E88" i="15"/>
  <c r="E86" i="15"/>
  <c r="E84" i="15"/>
  <c r="E82" i="15"/>
  <c r="E80" i="15"/>
  <c r="E78" i="15"/>
  <c r="E76" i="15"/>
  <c r="E74" i="15"/>
  <c r="E72" i="15"/>
  <c r="E70" i="15"/>
  <c r="E68" i="15"/>
  <c r="D63" i="15"/>
  <c r="E62" i="15"/>
  <c r="D61" i="15"/>
  <c r="E60" i="15"/>
  <c r="D59" i="15"/>
  <c r="E58" i="15"/>
  <c r="D57" i="15"/>
  <c r="E56" i="15"/>
  <c r="D55" i="15"/>
  <c r="E54" i="15"/>
  <c r="D53" i="15"/>
  <c r="E52" i="15"/>
  <c r="D51" i="15"/>
  <c r="E50" i="15"/>
  <c r="D49" i="15"/>
  <c r="E48" i="15"/>
  <c r="D47" i="15"/>
  <c r="E46" i="15"/>
  <c r="D45" i="15"/>
  <c r="E44" i="15"/>
  <c r="D43" i="15"/>
  <c r="E42" i="15"/>
  <c r="D41" i="15"/>
  <c r="E40" i="15"/>
  <c r="D39" i="15"/>
  <c r="E38" i="15"/>
  <c r="D37" i="15"/>
  <c r="E36" i="15"/>
  <c r="E120" i="17"/>
  <c r="E104" i="17"/>
  <c r="E102" i="17"/>
  <c r="E116" i="17" s="1"/>
  <c r="E100" i="17"/>
  <c r="E98" i="17"/>
  <c r="E93" i="17"/>
  <c r="E91" i="17"/>
  <c r="E89" i="17"/>
  <c r="E87" i="17"/>
  <c r="E85" i="17"/>
  <c r="E83" i="17"/>
  <c r="E81" i="17"/>
  <c r="E79" i="17"/>
  <c r="E77" i="17"/>
  <c r="E75" i="17"/>
  <c r="E73" i="17"/>
  <c r="E71" i="17"/>
  <c r="E69" i="17"/>
  <c r="E67" i="17"/>
  <c r="E63" i="17"/>
  <c r="D62" i="17"/>
  <c r="E61" i="17"/>
  <c r="D60" i="17"/>
  <c r="E59" i="17"/>
  <c r="D58" i="17"/>
  <c r="E57" i="17"/>
  <c r="D56" i="17"/>
  <c r="E55" i="17"/>
  <c r="D54" i="17"/>
  <c r="E53" i="17"/>
  <c r="D52" i="17"/>
  <c r="E51" i="17"/>
  <c r="D50" i="17"/>
  <c r="E49" i="17"/>
  <c r="D48" i="17"/>
  <c r="E47" i="17"/>
  <c r="D46" i="17"/>
  <c r="E45" i="17"/>
  <c r="D44" i="17"/>
  <c r="E43" i="17"/>
  <c r="D42" i="17"/>
  <c r="E41" i="17"/>
  <c r="D40" i="17"/>
  <c r="E39" i="17"/>
  <c r="D38" i="17"/>
  <c r="E37" i="17"/>
  <c r="D36" i="17"/>
  <c r="E103" i="17"/>
  <c r="E101" i="17"/>
  <c r="E99" i="17"/>
  <c r="E94" i="17"/>
  <c r="E92" i="17"/>
  <c r="E90" i="17"/>
  <c r="E88" i="17"/>
  <c r="E86" i="17"/>
  <c r="E84" i="17"/>
  <c r="E82" i="17"/>
  <c r="E80" i="17"/>
  <c r="E78" i="17"/>
  <c r="E76" i="17"/>
  <c r="E74" i="17"/>
  <c r="E72" i="17"/>
  <c r="E70" i="17"/>
  <c r="E68" i="17"/>
  <c r="D63" i="17"/>
  <c r="E62" i="17"/>
  <c r="D61" i="17"/>
  <c r="E60" i="17"/>
  <c r="D59" i="17"/>
  <c r="E58" i="17"/>
  <c r="D57" i="17"/>
  <c r="E56" i="17"/>
  <c r="D55" i="17"/>
  <c r="E54" i="17"/>
  <c r="D53" i="17"/>
  <c r="E52" i="17"/>
  <c r="D51" i="17"/>
  <c r="E50" i="17"/>
  <c r="D49" i="17"/>
  <c r="E48" i="17"/>
  <c r="D47" i="17"/>
  <c r="E46" i="17"/>
  <c r="D45" i="17"/>
  <c r="E44" i="17"/>
  <c r="D43" i="17"/>
  <c r="E42" i="17"/>
  <c r="D41" i="17"/>
  <c r="E40" i="17"/>
  <c r="D39" i="17"/>
  <c r="E38" i="17"/>
  <c r="D37" i="17"/>
  <c r="E36" i="17"/>
  <c r="E120" i="19"/>
  <c r="E104" i="19"/>
  <c r="E102" i="19"/>
  <c r="E116" i="19" s="1"/>
  <c r="E100" i="19"/>
  <c r="E98" i="19"/>
  <c r="E93" i="19"/>
  <c r="E91" i="19"/>
  <c r="E89" i="19"/>
  <c r="E87" i="19"/>
  <c r="E85" i="19"/>
  <c r="E83" i="19"/>
  <c r="E81" i="19"/>
  <c r="E79" i="19"/>
  <c r="E77" i="19"/>
  <c r="E75" i="19"/>
  <c r="E73" i="19"/>
  <c r="E71" i="19"/>
  <c r="E69" i="19"/>
  <c r="E67" i="19"/>
  <c r="E63" i="19"/>
  <c r="D62" i="19"/>
  <c r="E61" i="19"/>
  <c r="D60" i="19"/>
  <c r="E59" i="19"/>
  <c r="D58" i="19"/>
  <c r="E57" i="19"/>
  <c r="D56" i="19"/>
  <c r="E55" i="19"/>
  <c r="D54" i="19"/>
  <c r="E103" i="19"/>
  <c r="E101" i="19"/>
  <c r="E99" i="19"/>
  <c r="E94" i="19"/>
  <c r="E92" i="19"/>
  <c r="E90" i="19"/>
  <c r="E88" i="19"/>
  <c r="E86" i="19"/>
  <c r="E84" i="19"/>
  <c r="E82" i="19"/>
  <c r="E80" i="19"/>
  <c r="E78" i="19"/>
  <c r="E76" i="19"/>
  <c r="E74" i="19"/>
  <c r="E72" i="19"/>
  <c r="E70" i="19"/>
  <c r="E68" i="19"/>
  <c r="D63" i="19"/>
  <c r="E62" i="19"/>
  <c r="D61" i="19"/>
  <c r="E60" i="19"/>
  <c r="D59" i="19"/>
  <c r="E58" i="19"/>
  <c r="D57" i="19"/>
  <c r="E56" i="19"/>
  <c r="D55" i="19"/>
  <c r="E54" i="19"/>
  <c r="D53" i="19"/>
  <c r="E52" i="19"/>
  <c r="D52" i="19"/>
  <c r="E51" i="19"/>
  <c r="D50" i="19"/>
  <c r="E49" i="19"/>
  <c r="D48" i="19"/>
  <c r="E47" i="19"/>
  <c r="D46" i="19"/>
  <c r="E45" i="19"/>
  <c r="D44" i="19"/>
  <c r="E43" i="19"/>
  <c r="D42" i="19"/>
  <c r="E41" i="19"/>
  <c r="D40" i="19"/>
  <c r="E39" i="19"/>
  <c r="D38" i="19"/>
  <c r="E37" i="19"/>
  <c r="D36" i="19"/>
  <c r="E53" i="19"/>
  <c r="D51" i="19"/>
  <c r="E50" i="19"/>
  <c r="D49" i="19"/>
  <c r="E48" i="19"/>
  <c r="D47" i="19"/>
  <c r="E46" i="19"/>
  <c r="D45" i="19"/>
  <c r="E44" i="19"/>
  <c r="D43" i="19"/>
  <c r="E42" i="19"/>
  <c r="D41" i="19"/>
  <c r="E40" i="19"/>
  <c r="D39" i="19"/>
  <c r="E38" i="19"/>
  <c r="D37" i="19"/>
  <c r="E36" i="19"/>
  <c r="E120" i="21"/>
  <c r="E104" i="21"/>
  <c r="E102" i="21"/>
  <c r="E116" i="21" s="1"/>
  <c r="E100" i="21"/>
  <c r="E98" i="21"/>
  <c r="E93" i="21"/>
  <c r="E91" i="21"/>
  <c r="E89" i="21"/>
  <c r="E87" i="21"/>
  <c r="E85" i="21"/>
  <c r="E83" i="21"/>
  <c r="E81" i="21"/>
  <c r="E79" i="21"/>
  <c r="E77" i="21"/>
  <c r="E75" i="21"/>
  <c r="E73" i="21"/>
  <c r="E71" i="21"/>
  <c r="E69" i="21"/>
  <c r="E67" i="21"/>
  <c r="E63" i="21"/>
  <c r="D62" i="21"/>
  <c r="E61" i="21"/>
  <c r="D60" i="21"/>
  <c r="E59" i="21"/>
  <c r="D58" i="21"/>
  <c r="E57" i="21"/>
  <c r="D56" i="21"/>
  <c r="E55" i="21"/>
  <c r="D54" i="21"/>
  <c r="E53" i="21"/>
  <c r="D52" i="21"/>
  <c r="E51" i="21"/>
  <c r="D50" i="21"/>
  <c r="E49" i="21"/>
  <c r="D48" i="21"/>
  <c r="E47" i="21"/>
  <c r="D46" i="21"/>
  <c r="E45" i="21"/>
  <c r="D44" i="21"/>
  <c r="E43" i="21"/>
  <c r="D42" i="21"/>
  <c r="E41" i="21"/>
  <c r="D40" i="21"/>
  <c r="E39" i="21"/>
  <c r="D38" i="21"/>
  <c r="E37" i="21"/>
  <c r="D36" i="21"/>
  <c r="E103" i="21"/>
  <c r="E101" i="21"/>
  <c r="E99" i="21"/>
  <c r="E94" i="21"/>
  <c r="E92" i="21"/>
  <c r="E90" i="21"/>
  <c r="E88" i="21"/>
  <c r="E86" i="21"/>
  <c r="E84" i="21"/>
  <c r="E82" i="21"/>
  <c r="E80" i="21"/>
  <c r="E78" i="21"/>
  <c r="E76" i="21"/>
  <c r="E74" i="21"/>
  <c r="E72" i="21"/>
  <c r="E70" i="21"/>
  <c r="E68" i="21"/>
  <c r="D63" i="21"/>
  <c r="E62" i="21"/>
  <c r="D61" i="21"/>
  <c r="E60" i="21"/>
  <c r="D59" i="21"/>
  <c r="E58" i="21"/>
  <c r="D57" i="21"/>
  <c r="E56" i="21"/>
  <c r="D55" i="21"/>
  <c r="E54" i="21"/>
  <c r="D53" i="21"/>
  <c r="E52" i="21"/>
  <c r="D51" i="21"/>
  <c r="E50" i="21"/>
  <c r="D49" i="21"/>
  <c r="E48" i="21"/>
  <c r="D47" i="21"/>
  <c r="E46" i="21"/>
  <c r="D45" i="21"/>
  <c r="E44" i="21"/>
  <c r="D43" i="21"/>
  <c r="E42" i="21"/>
  <c r="D41" i="21"/>
  <c r="E40" i="21"/>
  <c r="D39" i="21"/>
  <c r="E38" i="21"/>
  <c r="D37" i="21"/>
  <c r="E36" i="21"/>
  <c r="E120" i="23"/>
  <c r="E104" i="23"/>
  <c r="E102" i="23"/>
  <c r="E116" i="23" s="1"/>
  <c r="E100" i="23"/>
  <c r="E98" i="23"/>
  <c r="E93" i="23"/>
  <c r="E91" i="23"/>
  <c r="E89" i="23"/>
  <c r="E87" i="23"/>
  <c r="E85" i="23"/>
  <c r="E83" i="23"/>
  <c r="E81" i="23"/>
  <c r="E79" i="23"/>
  <c r="E77" i="23"/>
  <c r="E75" i="23"/>
  <c r="E73" i="23"/>
  <c r="E71" i="23"/>
  <c r="E69" i="23"/>
  <c r="E67" i="23"/>
  <c r="E63" i="23"/>
  <c r="D62" i="23"/>
  <c r="E61" i="23"/>
  <c r="D60" i="23"/>
  <c r="E59" i="23"/>
  <c r="D58" i="23"/>
  <c r="E57" i="23"/>
  <c r="D56" i="23"/>
  <c r="E55" i="23"/>
  <c r="D54" i="23"/>
  <c r="E53" i="23"/>
  <c r="D52" i="23"/>
  <c r="E51" i="23"/>
  <c r="D50" i="23"/>
  <c r="E49" i="23"/>
  <c r="D48" i="23"/>
  <c r="E47" i="23"/>
  <c r="D46" i="23"/>
  <c r="E45" i="23"/>
  <c r="D44" i="23"/>
  <c r="E43" i="23"/>
  <c r="D42" i="23"/>
  <c r="E41" i="23"/>
  <c r="D40" i="23"/>
  <c r="E39" i="23"/>
  <c r="D38" i="23"/>
  <c r="E37" i="23"/>
  <c r="D36" i="23"/>
  <c r="E103" i="23"/>
  <c r="E101" i="23"/>
  <c r="E99" i="23"/>
  <c r="E94" i="23"/>
  <c r="E92" i="23"/>
  <c r="E90" i="23"/>
  <c r="E88" i="23"/>
  <c r="E86" i="23"/>
  <c r="E84" i="23"/>
  <c r="E82" i="23"/>
  <c r="E80" i="23"/>
  <c r="E78" i="23"/>
  <c r="E76" i="23"/>
  <c r="E74" i="23"/>
  <c r="E72" i="23"/>
  <c r="E70" i="23"/>
  <c r="E68" i="23"/>
  <c r="D63" i="23"/>
  <c r="E62" i="23"/>
  <c r="D61" i="23"/>
  <c r="E60" i="23"/>
  <c r="D59" i="23"/>
  <c r="E58" i="23"/>
  <c r="D57" i="23"/>
  <c r="E56" i="23"/>
  <c r="D55" i="23"/>
  <c r="E54" i="23"/>
  <c r="D53" i="23"/>
  <c r="E52" i="23"/>
  <c r="D51" i="23"/>
  <c r="E50" i="23"/>
  <c r="D49" i="23"/>
  <c r="E48" i="23"/>
  <c r="D47" i="23"/>
  <c r="E46" i="23"/>
  <c r="D45" i="23"/>
  <c r="E44" i="23"/>
  <c r="D43" i="23"/>
  <c r="E42" i="23"/>
  <c r="D41" i="23"/>
  <c r="E40" i="23"/>
  <c r="D39" i="23"/>
  <c r="E38" i="23"/>
  <c r="D37" i="23"/>
  <c r="E36" i="23"/>
  <c r="E120" i="25"/>
  <c r="E104" i="25"/>
  <c r="E102" i="25"/>
  <c r="E116" i="25" s="1"/>
  <c r="E100" i="25"/>
  <c r="E98" i="25"/>
  <c r="E93" i="25"/>
  <c r="E91" i="25"/>
  <c r="E89" i="25"/>
  <c r="E87" i="25"/>
  <c r="E85" i="25"/>
  <c r="E83" i="25"/>
  <c r="E81" i="25"/>
  <c r="E79" i="25"/>
  <c r="E77" i="25"/>
  <c r="E75" i="25"/>
  <c r="E73" i="25"/>
  <c r="E71" i="25"/>
  <c r="E69" i="25"/>
  <c r="E67" i="25"/>
  <c r="E63" i="25"/>
  <c r="D62" i="25"/>
  <c r="E61" i="25"/>
  <c r="D60" i="25"/>
  <c r="E59" i="25"/>
  <c r="D58" i="25"/>
  <c r="E57" i="25"/>
  <c r="D56" i="25"/>
  <c r="E55" i="25"/>
  <c r="D54" i="25"/>
  <c r="E53" i="25"/>
  <c r="D52" i="25"/>
  <c r="E51" i="25"/>
  <c r="D50" i="25"/>
  <c r="E49" i="25"/>
  <c r="D48" i="25"/>
  <c r="E47" i="25"/>
  <c r="D46" i="25"/>
  <c r="E45" i="25"/>
  <c r="D44" i="25"/>
  <c r="E43" i="25"/>
  <c r="D42" i="25"/>
  <c r="E41" i="25"/>
  <c r="D40" i="25"/>
  <c r="E39" i="25"/>
  <c r="D38" i="25"/>
  <c r="E37" i="25"/>
  <c r="D36" i="25"/>
  <c r="E103" i="25"/>
  <c r="E101" i="25"/>
  <c r="E99" i="25"/>
  <c r="E94" i="25"/>
  <c r="E92" i="25"/>
  <c r="E90" i="25"/>
  <c r="E88" i="25"/>
  <c r="E86" i="25"/>
  <c r="E84" i="25"/>
  <c r="E82" i="25"/>
  <c r="E80" i="25"/>
  <c r="E78" i="25"/>
  <c r="E76" i="25"/>
  <c r="E74" i="25"/>
  <c r="E72" i="25"/>
  <c r="E70" i="25"/>
  <c r="E68" i="25"/>
  <c r="D63" i="25"/>
  <c r="E62" i="25"/>
  <c r="D61" i="25"/>
  <c r="E60" i="25"/>
  <c r="D59" i="25"/>
  <c r="E58" i="25"/>
  <c r="D57" i="25"/>
  <c r="E56" i="25"/>
  <c r="D55" i="25"/>
  <c r="E54" i="25"/>
  <c r="D53" i="25"/>
  <c r="E52" i="25"/>
  <c r="D51" i="25"/>
  <c r="E50" i="25"/>
  <c r="D49" i="25"/>
  <c r="E48" i="25"/>
  <c r="D47" i="25"/>
  <c r="E46" i="25"/>
  <c r="D45" i="25"/>
  <c r="E44" i="25"/>
  <c r="D43" i="25"/>
  <c r="E42" i="25"/>
  <c r="D41" i="25"/>
  <c r="E40" i="25"/>
  <c r="D39" i="25"/>
  <c r="E38" i="25"/>
  <c r="D37" i="25"/>
  <c r="E36" i="25"/>
  <c r="E120" i="27"/>
  <c r="E104" i="27"/>
  <c r="E102" i="27"/>
  <c r="E116" i="27" s="1"/>
  <c r="E100" i="27"/>
  <c r="E98" i="27"/>
  <c r="E93" i="27"/>
  <c r="E91" i="27"/>
  <c r="E89" i="27"/>
  <c r="E87" i="27"/>
  <c r="E85" i="27"/>
  <c r="E83" i="27"/>
  <c r="E81" i="27"/>
  <c r="E79" i="27"/>
  <c r="E77" i="27"/>
  <c r="E75" i="27"/>
  <c r="E73" i="27"/>
  <c r="E71" i="27"/>
  <c r="E69" i="27"/>
  <c r="E67" i="27"/>
  <c r="E63" i="27"/>
  <c r="D62" i="27"/>
  <c r="E61" i="27"/>
  <c r="D60" i="27"/>
  <c r="E59" i="27"/>
  <c r="D58" i="27"/>
  <c r="E57" i="27"/>
  <c r="D56" i="27"/>
  <c r="E55" i="27"/>
  <c r="D54" i="27"/>
  <c r="E53" i="27"/>
  <c r="D52" i="27"/>
  <c r="E51" i="27"/>
  <c r="D50" i="27"/>
  <c r="E49" i="27"/>
  <c r="D48" i="27"/>
  <c r="E47" i="27"/>
  <c r="D46" i="27"/>
  <c r="E45" i="27"/>
  <c r="D44" i="27"/>
  <c r="E43" i="27"/>
  <c r="D42" i="27"/>
  <c r="E41" i="27"/>
  <c r="D40" i="27"/>
  <c r="E39" i="27"/>
  <c r="D38" i="27"/>
  <c r="E37" i="27"/>
  <c r="D36" i="27"/>
  <c r="E103" i="27"/>
  <c r="E101" i="27"/>
  <c r="E99" i="27"/>
  <c r="E94" i="27"/>
  <c r="E92" i="27"/>
  <c r="E90" i="27"/>
  <c r="E88" i="27"/>
  <c r="E86" i="27"/>
  <c r="E84" i="27"/>
  <c r="E82" i="27"/>
  <c r="E80" i="27"/>
  <c r="E78" i="27"/>
  <c r="E76" i="27"/>
  <c r="E74" i="27"/>
  <c r="E72" i="27"/>
  <c r="E70" i="27"/>
  <c r="E68" i="27"/>
  <c r="D63" i="27"/>
  <c r="E62" i="27"/>
  <c r="D61" i="27"/>
  <c r="E60" i="27"/>
  <c r="D59" i="27"/>
  <c r="E58" i="27"/>
  <c r="D57" i="27"/>
  <c r="E56" i="27"/>
  <c r="D55" i="27"/>
  <c r="E54" i="27"/>
  <c r="D53" i="27"/>
  <c r="E52" i="27"/>
  <c r="D51" i="27"/>
  <c r="E50" i="27"/>
  <c r="D49" i="27"/>
  <c r="E48" i="27"/>
  <c r="D47" i="27"/>
  <c r="E46" i="27"/>
  <c r="D45" i="27"/>
  <c r="E44" i="27"/>
  <c r="D43" i="27"/>
  <c r="E42" i="27"/>
  <c r="D41" i="27"/>
  <c r="E40" i="27"/>
  <c r="D39" i="27"/>
  <c r="E38" i="27"/>
  <c r="D37" i="27"/>
  <c r="E36" i="27"/>
  <c r="E120" i="29"/>
  <c r="E104" i="29"/>
  <c r="E102" i="29"/>
  <c r="E116" i="29" s="1"/>
  <c r="E100" i="29"/>
  <c r="E98" i="29"/>
  <c r="E93" i="29"/>
  <c r="E91" i="29"/>
  <c r="E89" i="29"/>
  <c r="E87" i="29"/>
  <c r="E85" i="29"/>
  <c r="E83" i="29"/>
  <c r="E81" i="29"/>
  <c r="E79" i="29"/>
  <c r="E77" i="29"/>
  <c r="E75" i="29"/>
  <c r="E73" i="29"/>
  <c r="E71" i="29"/>
  <c r="E69" i="29"/>
  <c r="E67" i="29"/>
  <c r="E63" i="29"/>
  <c r="D62" i="29"/>
  <c r="E61" i="29"/>
  <c r="D60" i="29"/>
  <c r="E59" i="29"/>
  <c r="D58" i="29"/>
  <c r="E57" i="29"/>
  <c r="D56" i="29"/>
  <c r="E55" i="29"/>
  <c r="D54" i="29"/>
  <c r="E53" i="29"/>
  <c r="D52" i="29"/>
  <c r="E51" i="29"/>
  <c r="D50" i="29"/>
  <c r="E49" i="29"/>
  <c r="D48" i="29"/>
  <c r="E47" i="29"/>
  <c r="D46" i="29"/>
  <c r="E45" i="29"/>
  <c r="D44" i="29"/>
  <c r="E43" i="29"/>
  <c r="D42" i="29"/>
  <c r="E41" i="29"/>
  <c r="D40" i="29"/>
  <c r="E39" i="29"/>
  <c r="D38" i="29"/>
  <c r="E37" i="29"/>
  <c r="D36" i="29"/>
  <c r="E103" i="29"/>
  <c r="E101" i="29"/>
  <c r="E99" i="29"/>
  <c r="E94" i="29"/>
  <c r="E92" i="29"/>
  <c r="E90" i="29"/>
  <c r="E88" i="29"/>
  <c r="E86" i="29"/>
  <c r="E84" i="29"/>
  <c r="E82" i="29"/>
  <c r="E80" i="29"/>
  <c r="E78" i="29"/>
  <c r="E76" i="29"/>
  <c r="E74" i="29"/>
  <c r="E72" i="29"/>
  <c r="E70" i="29"/>
  <c r="E68" i="29"/>
  <c r="D63" i="29"/>
  <c r="E62" i="29"/>
  <c r="D61" i="29"/>
  <c r="E60" i="29"/>
  <c r="D59" i="29"/>
  <c r="E58" i="29"/>
  <c r="D57" i="29"/>
  <c r="E56" i="29"/>
  <c r="D55" i="29"/>
  <c r="E54" i="29"/>
  <c r="D53" i="29"/>
  <c r="E52" i="29"/>
  <c r="D51" i="29"/>
  <c r="E50" i="29"/>
  <c r="D49" i="29"/>
  <c r="E48" i="29"/>
  <c r="D47" i="29"/>
  <c r="E46" i="29"/>
  <c r="D45" i="29"/>
  <c r="E44" i="29"/>
  <c r="D43" i="29"/>
  <c r="E42" i="29"/>
  <c r="D41" i="29"/>
  <c r="E40" i="29"/>
  <c r="D39" i="29"/>
  <c r="E38" i="29"/>
  <c r="D37" i="29"/>
  <c r="E36" i="29"/>
  <c r="E120" i="31"/>
  <c r="E104" i="31"/>
  <c r="E102" i="31"/>
  <c r="E116" i="31" s="1"/>
  <c r="E100" i="31"/>
  <c r="E98" i="31"/>
  <c r="E93" i="31"/>
  <c r="E91" i="31"/>
  <c r="E89" i="31"/>
  <c r="E87" i="31"/>
  <c r="E85" i="31"/>
  <c r="E83" i="31"/>
  <c r="E81" i="31"/>
  <c r="E79" i="31"/>
  <c r="E77" i="31"/>
  <c r="E75" i="31"/>
  <c r="E73" i="31"/>
  <c r="E71" i="31"/>
  <c r="E69" i="31"/>
  <c r="E67" i="31"/>
  <c r="E63" i="31"/>
  <c r="D62" i="31"/>
  <c r="E61" i="31"/>
  <c r="D60" i="31"/>
  <c r="E59" i="31"/>
  <c r="D58" i="31"/>
  <c r="E57" i="31"/>
  <c r="D56" i="31"/>
  <c r="E55" i="31"/>
  <c r="D54" i="31"/>
  <c r="E53" i="31"/>
  <c r="D52" i="31"/>
  <c r="E51" i="31"/>
  <c r="D50" i="31"/>
  <c r="E49" i="31"/>
  <c r="D48" i="31"/>
  <c r="E47" i="31"/>
  <c r="D46" i="31"/>
  <c r="E45" i="31"/>
  <c r="D44" i="31"/>
  <c r="E43" i="31"/>
  <c r="D42" i="31"/>
  <c r="E41" i="31"/>
  <c r="D40" i="31"/>
  <c r="E39" i="31"/>
  <c r="D38" i="31"/>
  <c r="E37" i="31"/>
  <c r="D36" i="31"/>
  <c r="E103" i="31"/>
  <c r="E101" i="31"/>
  <c r="E99" i="31"/>
  <c r="E94" i="31"/>
  <c r="E92" i="31"/>
  <c r="E90" i="31"/>
  <c r="E88" i="31"/>
  <c r="E86" i="31"/>
  <c r="E84" i="31"/>
  <c r="E82" i="31"/>
  <c r="E80" i="31"/>
  <c r="E78" i="31"/>
  <c r="E76" i="31"/>
  <c r="E74" i="31"/>
  <c r="E72" i="31"/>
  <c r="E70" i="31"/>
  <c r="E68" i="31"/>
  <c r="D63" i="31"/>
  <c r="E62" i="31"/>
  <c r="D61" i="31"/>
  <c r="E60" i="31"/>
  <c r="D59" i="31"/>
  <c r="E58" i="31"/>
  <c r="D57" i="31"/>
  <c r="E56" i="31"/>
  <c r="D55" i="31"/>
  <c r="E54" i="31"/>
  <c r="D53" i="31"/>
  <c r="E52" i="31"/>
  <c r="D51" i="31"/>
  <c r="E50" i="31"/>
  <c r="D49" i="31"/>
  <c r="E48" i="31"/>
  <c r="D47" i="31"/>
  <c r="E46" i="31"/>
  <c r="D45" i="31"/>
  <c r="E44" i="31"/>
  <c r="D43" i="31"/>
  <c r="E42" i="31"/>
  <c r="D41" i="31"/>
  <c r="E40" i="31"/>
  <c r="D39" i="31"/>
  <c r="E38" i="31"/>
  <c r="D37" i="31"/>
  <c r="E36" i="31"/>
  <c r="E120" i="33"/>
  <c r="F120" i="33" s="1"/>
  <c r="E104" i="33"/>
  <c r="E102" i="33"/>
  <c r="E116" i="33" s="1"/>
  <c r="E100" i="33"/>
  <c r="E98" i="33"/>
  <c r="E93" i="33"/>
  <c r="E91" i="33"/>
  <c r="E89" i="33"/>
  <c r="E87" i="33"/>
  <c r="E85" i="33"/>
  <c r="E83" i="33"/>
  <c r="E81" i="33"/>
  <c r="E79" i="33"/>
  <c r="E77" i="33"/>
  <c r="E75" i="33"/>
  <c r="E73" i="33"/>
  <c r="E71" i="33"/>
  <c r="E69" i="33"/>
  <c r="E67" i="33"/>
  <c r="E63" i="33"/>
  <c r="D62" i="33"/>
  <c r="E61" i="33"/>
  <c r="D60" i="33"/>
  <c r="E59" i="33"/>
  <c r="D58" i="33"/>
  <c r="E57" i="33"/>
  <c r="D56" i="33"/>
  <c r="E55" i="33"/>
  <c r="D54" i="33"/>
  <c r="E53" i="33"/>
  <c r="D52" i="33"/>
  <c r="E51" i="33"/>
  <c r="D50" i="33"/>
  <c r="E49" i="33"/>
  <c r="D48" i="33"/>
  <c r="E47" i="33"/>
  <c r="D46" i="33"/>
  <c r="E45" i="33"/>
  <c r="D44" i="33"/>
  <c r="E43" i="33"/>
  <c r="D42" i="33"/>
  <c r="E41" i="33"/>
  <c r="D40" i="33"/>
  <c r="E39" i="33"/>
  <c r="D38" i="33"/>
  <c r="E37" i="33"/>
  <c r="D36" i="33"/>
  <c r="E103" i="33"/>
  <c r="E101" i="33"/>
  <c r="E99" i="33"/>
  <c r="E94" i="33"/>
  <c r="E92" i="33"/>
  <c r="E90" i="33"/>
  <c r="E88" i="33"/>
  <c r="E86" i="33"/>
  <c r="E84" i="33"/>
  <c r="E82" i="33"/>
  <c r="E80" i="33"/>
  <c r="E78" i="33"/>
  <c r="E76" i="33"/>
  <c r="E74" i="33"/>
  <c r="E72" i="33"/>
  <c r="E70" i="33"/>
  <c r="E68" i="33"/>
  <c r="D63" i="33"/>
  <c r="E62" i="33"/>
  <c r="D61" i="33"/>
  <c r="E60" i="33"/>
  <c r="D59" i="33"/>
  <c r="E58" i="33"/>
  <c r="D57" i="33"/>
  <c r="E56" i="33"/>
  <c r="D55" i="33"/>
  <c r="E54" i="33"/>
  <c r="D53" i="33"/>
  <c r="E52" i="33"/>
  <c r="D51" i="33"/>
  <c r="E50" i="33"/>
  <c r="D49" i="33"/>
  <c r="E48" i="33"/>
  <c r="D47" i="33"/>
  <c r="E46" i="33"/>
  <c r="D45" i="33"/>
  <c r="E44" i="33"/>
  <c r="D43" i="33"/>
  <c r="E42" i="33"/>
  <c r="D41" i="33"/>
  <c r="E40" i="33"/>
  <c r="D39" i="33"/>
  <c r="E38" i="33"/>
  <c r="D37" i="33"/>
  <c r="E36" i="33"/>
  <c r="E120" i="35"/>
  <c r="E104" i="35"/>
  <c r="E102" i="35"/>
  <c r="E116" i="35" s="1"/>
  <c r="E100" i="35"/>
  <c r="E98" i="35"/>
  <c r="E93" i="35"/>
  <c r="E91" i="35"/>
  <c r="E89" i="35"/>
  <c r="E87" i="35"/>
  <c r="E85" i="35"/>
  <c r="E83" i="35"/>
  <c r="E81" i="35"/>
  <c r="E79" i="35"/>
  <c r="E77" i="35"/>
  <c r="E75" i="35"/>
  <c r="E73" i="35"/>
  <c r="E71" i="35"/>
  <c r="E69" i="35"/>
  <c r="E67" i="35"/>
  <c r="E63" i="35"/>
  <c r="D62" i="35"/>
  <c r="E61" i="35"/>
  <c r="D60" i="35"/>
  <c r="E59" i="35"/>
  <c r="D58" i="35"/>
  <c r="E57" i="35"/>
  <c r="D56" i="35"/>
  <c r="E55" i="35"/>
  <c r="D54" i="35"/>
  <c r="E53" i="35"/>
  <c r="D52" i="35"/>
  <c r="E51" i="35"/>
  <c r="D50" i="35"/>
  <c r="E49" i="35"/>
  <c r="D48" i="35"/>
  <c r="E47" i="35"/>
  <c r="D46" i="35"/>
  <c r="E45" i="35"/>
  <c r="D44" i="35"/>
  <c r="E43" i="35"/>
  <c r="D42" i="35"/>
  <c r="E41" i="35"/>
  <c r="D40" i="35"/>
  <c r="E39" i="35"/>
  <c r="D38" i="35"/>
  <c r="E37" i="35"/>
  <c r="D36" i="35"/>
  <c r="E103" i="35"/>
  <c r="E101" i="35"/>
  <c r="E99" i="35"/>
  <c r="E94" i="35"/>
  <c r="E92" i="35"/>
  <c r="E90" i="35"/>
  <c r="E88" i="35"/>
  <c r="E86" i="35"/>
  <c r="E84" i="35"/>
  <c r="E82" i="35"/>
  <c r="E80" i="35"/>
  <c r="E78" i="35"/>
  <c r="E76" i="35"/>
  <c r="E74" i="35"/>
  <c r="E72" i="35"/>
  <c r="E70" i="35"/>
  <c r="E68" i="35"/>
  <c r="D63" i="35"/>
  <c r="E62" i="35"/>
  <c r="D61" i="35"/>
  <c r="E60" i="35"/>
  <c r="D59" i="35"/>
  <c r="E58" i="35"/>
  <c r="D57" i="35"/>
  <c r="E56" i="35"/>
  <c r="D55" i="35"/>
  <c r="E54" i="35"/>
  <c r="D53" i="35"/>
  <c r="E52" i="35"/>
  <c r="D51" i="35"/>
  <c r="E50" i="35"/>
  <c r="D49" i="35"/>
  <c r="E48" i="35"/>
  <c r="D47" i="35"/>
  <c r="E46" i="35"/>
  <c r="D45" i="35"/>
  <c r="E44" i="35"/>
  <c r="D43" i="35"/>
  <c r="E42" i="35"/>
  <c r="D41" i="35"/>
  <c r="E40" i="35"/>
  <c r="D39" i="35"/>
  <c r="E38" i="35"/>
  <c r="D37" i="35"/>
  <c r="E36" i="35"/>
  <c r="E120" i="37"/>
  <c r="F120" i="37" s="1"/>
  <c r="E104" i="37"/>
  <c r="E102" i="37"/>
  <c r="E116" i="37" s="1"/>
  <c r="E100" i="37"/>
  <c r="E98" i="37"/>
  <c r="E93" i="37"/>
  <c r="E91" i="37"/>
  <c r="E89" i="37"/>
  <c r="E87" i="37"/>
  <c r="E85" i="37"/>
  <c r="E83" i="37"/>
  <c r="E81" i="37"/>
  <c r="E79" i="37"/>
  <c r="E77" i="37"/>
  <c r="E75" i="37"/>
  <c r="E73" i="37"/>
  <c r="E71" i="37"/>
  <c r="E69" i="37"/>
  <c r="E67" i="37"/>
  <c r="E63" i="37"/>
  <c r="D62" i="37"/>
  <c r="E61" i="37"/>
  <c r="D60" i="37"/>
  <c r="E59" i="37"/>
  <c r="D58" i="37"/>
  <c r="E57" i="37"/>
  <c r="D56" i="37"/>
  <c r="E55" i="37"/>
  <c r="D54" i="37"/>
  <c r="E53" i="37"/>
  <c r="D52" i="37"/>
  <c r="E51" i="37"/>
  <c r="D50" i="37"/>
  <c r="E49" i="37"/>
  <c r="D48" i="37"/>
  <c r="E47" i="37"/>
  <c r="D46" i="37"/>
  <c r="E45" i="37"/>
  <c r="D44" i="37"/>
  <c r="E43" i="37"/>
  <c r="D42" i="37"/>
  <c r="E41" i="37"/>
  <c r="D40" i="37"/>
  <c r="E39" i="37"/>
  <c r="D38" i="37"/>
  <c r="E37" i="37"/>
  <c r="D36" i="37"/>
  <c r="E103" i="37"/>
  <c r="E101" i="37"/>
  <c r="E99" i="37"/>
  <c r="E94" i="37"/>
  <c r="E92" i="37"/>
  <c r="E90" i="37"/>
  <c r="E88" i="37"/>
  <c r="E86" i="37"/>
  <c r="E84" i="37"/>
  <c r="E82" i="37"/>
  <c r="E80" i="37"/>
  <c r="E78" i="37"/>
  <c r="E76" i="37"/>
  <c r="E74" i="37"/>
  <c r="E72" i="37"/>
  <c r="E70" i="37"/>
  <c r="E68" i="37"/>
  <c r="D63" i="37"/>
  <c r="E62" i="37"/>
  <c r="D61" i="37"/>
  <c r="E60" i="37"/>
  <c r="D59" i="37"/>
  <c r="E58" i="37"/>
  <c r="D57" i="37"/>
  <c r="E56" i="37"/>
  <c r="D55" i="37"/>
  <c r="E54" i="37"/>
  <c r="D53" i="37"/>
  <c r="E52" i="37"/>
  <c r="D51" i="37"/>
  <c r="E50" i="37"/>
  <c r="D49" i="37"/>
  <c r="E48" i="37"/>
  <c r="D47" i="37"/>
  <c r="E46" i="37"/>
  <c r="D45" i="37"/>
  <c r="E44" i="37"/>
  <c r="D43" i="37"/>
  <c r="E42" i="37"/>
  <c r="D41" i="37"/>
  <c r="E40" i="37"/>
  <c r="D39" i="37"/>
  <c r="E38" i="37"/>
  <c r="D37" i="37"/>
  <c r="E36" i="37"/>
  <c r="E120" i="39"/>
  <c r="E104" i="39"/>
  <c r="E102" i="39"/>
  <c r="E116" i="39" s="1"/>
  <c r="E100" i="39"/>
  <c r="E98" i="39"/>
  <c r="E93" i="39"/>
  <c r="E91" i="39"/>
  <c r="E89" i="39"/>
  <c r="E87" i="39"/>
  <c r="E85" i="39"/>
  <c r="E83" i="39"/>
  <c r="E81" i="39"/>
  <c r="E79" i="39"/>
  <c r="E77" i="39"/>
  <c r="E75" i="39"/>
  <c r="E73" i="39"/>
  <c r="E71" i="39"/>
  <c r="E69" i="39"/>
  <c r="E67" i="39"/>
  <c r="E63" i="39"/>
  <c r="D62" i="39"/>
  <c r="E61" i="39"/>
  <c r="D60" i="39"/>
  <c r="E59" i="39"/>
  <c r="D58" i="39"/>
  <c r="E57" i="39"/>
  <c r="D56" i="39"/>
  <c r="E55" i="39"/>
  <c r="D54" i="39"/>
  <c r="E53" i="39"/>
  <c r="D52" i="39"/>
  <c r="E51" i="39"/>
  <c r="D50" i="39"/>
  <c r="E49" i="39"/>
  <c r="D48" i="39"/>
  <c r="E47" i="39"/>
  <c r="D46" i="39"/>
  <c r="E45" i="39"/>
  <c r="D44" i="39"/>
  <c r="E43" i="39"/>
  <c r="D42" i="39"/>
  <c r="E41" i="39"/>
  <c r="D40" i="39"/>
  <c r="E39" i="39"/>
  <c r="D38" i="39"/>
  <c r="E37" i="39"/>
  <c r="D36" i="39"/>
  <c r="E103" i="39"/>
  <c r="E101" i="39"/>
  <c r="E99" i="39"/>
  <c r="E94" i="39"/>
  <c r="E92" i="39"/>
  <c r="E90" i="39"/>
  <c r="E88" i="39"/>
  <c r="E86" i="39"/>
  <c r="E84" i="39"/>
  <c r="E82" i="39"/>
  <c r="E80" i="39"/>
  <c r="E78" i="39"/>
  <c r="E76" i="39"/>
  <c r="E74" i="39"/>
  <c r="E72" i="39"/>
  <c r="E70" i="39"/>
  <c r="E68" i="39"/>
  <c r="D63" i="39"/>
  <c r="E62" i="39"/>
  <c r="D61" i="39"/>
  <c r="E60" i="39"/>
  <c r="D59" i="39"/>
  <c r="E58" i="39"/>
  <c r="D57" i="39"/>
  <c r="E56" i="39"/>
  <c r="D55" i="39"/>
  <c r="E54" i="39"/>
  <c r="D53" i="39"/>
  <c r="E52" i="39"/>
  <c r="D51" i="39"/>
  <c r="E50" i="39"/>
  <c r="D49" i="39"/>
  <c r="E48" i="39"/>
  <c r="D47" i="39"/>
  <c r="E46" i="39"/>
  <c r="D45" i="39"/>
  <c r="E44" i="39"/>
  <c r="D43" i="39"/>
  <c r="E42" i="39"/>
  <c r="D41" i="39"/>
  <c r="E40" i="39"/>
  <c r="D39" i="39"/>
  <c r="E38" i="39"/>
  <c r="D37" i="39"/>
  <c r="E36" i="39"/>
  <c r="E103" i="41"/>
  <c r="E101" i="41"/>
  <c r="E99" i="41"/>
  <c r="E94" i="41"/>
  <c r="E92" i="41"/>
  <c r="E90" i="41"/>
  <c r="E88" i="41"/>
  <c r="E86" i="41"/>
  <c r="E84" i="41"/>
  <c r="E82" i="41"/>
  <c r="E80" i="41"/>
  <c r="E78" i="41"/>
  <c r="E76" i="41"/>
  <c r="E74" i="41"/>
  <c r="E72" i="41"/>
  <c r="E70" i="41"/>
  <c r="E68" i="41"/>
  <c r="D63" i="41"/>
  <c r="E62" i="41"/>
  <c r="D61" i="41"/>
  <c r="E60" i="41"/>
  <c r="D59" i="41"/>
  <c r="E58" i="41"/>
  <c r="D57" i="41"/>
  <c r="E56" i="41"/>
  <c r="D55" i="41"/>
  <c r="E54" i="41"/>
  <c r="D53" i="41"/>
  <c r="E52" i="41"/>
  <c r="D51" i="41"/>
  <c r="E50" i="41"/>
  <c r="D49" i="41"/>
  <c r="E48" i="41"/>
  <c r="D47" i="41"/>
  <c r="E46" i="41"/>
  <c r="D45" i="41"/>
  <c r="E44" i="41"/>
  <c r="D43" i="41"/>
  <c r="E42" i="41"/>
  <c r="D41" i="41"/>
  <c r="E40" i="41"/>
  <c r="D39" i="41"/>
  <c r="E38" i="41"/>
  <c r="D37" i="41"/>
  <c r="E36" i="41"/>
  <c r="E120" i="41"/>
  <c r="E104" i="41"/>
  <c r="E102" i="41"/>
  <c r="E116" i="41" s="1"/>
  <c r="E100" i="41"/>
  <c r="E98" i="41"/>
  <c r="E93" i="41"/>
  <c r="E91" i="41"/>
  <c r="E89" i="41"/>
  <c r="E87" i="41"/>
  <c r="E85" i="41"/>
  <c r="E83" i="41"/>
  <c r="E81" i="41"/>
  <c r="E79" i="41"/>
  <c r="E77" i="41"/>
  <c r="E75" i="41"/>
  <c r="E73" i="41"/>
  <c r="E71" i="41"/>
  <c r="E69" i="41"/>
  <c r="E67" i="41"/>
  <c r="E63" i="41"/>
  <c r="D62" i="41"/>
  <c r="E61" i="41"/>
  <c r="D60" i="41"/>
  <c r="E59" i="41"/>
  <c r="D58" i="41"/>
  <c r="E57" i="41"/>
  <c r="D56" i="41"/>
  <c r="E55" i="41"/>
  <c r="D54" i="41"/>
  <c r="E53" i="41"/>
  <c r="D52" i="41"/>
  <c r="E51" i="41"/>
  <c r="D50" i="41"/>
  <c r="E49" i="41"/>
  <c r="D48" i="41"/>
  <c r="E47" i="41"/>
  <c r="D46" i="41"/>
  <c r="E45" i="41"/>
  <c r="D44" i="41"/>
  <c r="E43" i="41"/>
  <c r="D42" i="41"/>
  <c r="E41" i="41"/>
  <c r="D40" i="41"/>
  <c r="E39" i="41"/>
  <c r="D38" i="41"/>
  <c r="E37" i="41"/>
  <c r="D36" i="41"/>
  <c r="E103" i="43"/>
  <c r="E101" i="43"/>
  <c r="E99" i="43"/>
  <c r="E94" i="43"/>
  <c r="E92" i="43"/>
  <c r="E90" i="43"/>
  <c r="E88" i="43"/>
  <c r="E86" i="43"/>
  <c r="E84" i="43"/>
  <c r="E82" i="43"/>
  <c r="E80" i="43"/>
  <c r="E78" i="43"/>
  <c r="E76" i="43"/>
  <c r="E74" i="43"/>
  <c r="E72" i="43"/>
  <c r="E70" i="43"/>
  <c r="E68" i="43"/>
  <c r="D63" i="43"/>
  <c r="E62" i="43"/>
  <c r="D61" i="43"/>
  <c r="E60" i="43"/>
  <c r="D59" i="43"/>
  <c r="E58" i="43"/>
  <c r="D57" i="43"/>
  <c r="E56" i="43"/>
  <c r="D55" i="43"/>
  <c r="E54" i="43"/>
  <c r="D53" i="43"/>
  <c r="E52" i="43"/>
  <c r="D51" i="43"/>
  <c r="E50" i="43"/>
  <c r="D49" i="43"/>
  <c r="E48" i="43"/>
  <c r="D47" i="43"/>
  <c r="E46" i="43"/>
  <c r="D45" i="43"/>
  <c r="E44" i="43"/>
  <c r="D43" i="43"/>
  <c r="E42" i="43"/>
  <c r="D41" i="43"/>
  <c r="E40" i="43"/>
  <c r="D39" i="43"/>
  <c r="E38" i="43"/>
  <c r="D37" i="43"/>
  <c r="E36" i="43"/>
  <c r="E120" i="43"/>
  <c r="E104" i="43"/>
  <c r="E102" i="43"/>
  <c r="E116" i="43" s="1"/>
  <c r="E100" i="43"/>
  <c r="E98" i="43"/>
  <c r="E93" i="43"/>
  <c r="E91" i="43"/>
  <c r="E89" i="43"/>
  <c r="E87" i="43"/>
  <c r="E85" i="43"/>
  <c r="E83" i="43"/>
  <c r="E81" i="43"/>
  <c r="E79" i="43"/>
  <c r="E77" i="43"/>
  <c r="E75" i="43"/>
  <c r="E73" i="43"/>
  <c r="E71" i="43"/>
  <c r="E69" i="43"/>
  <c r="E67" i="43"/>
  <c r="E63" i="43"/>
  <c r="D62" i="43"/>
  <c r="E61" i="43"/>
  <c r="D60" i="43"/>
  <c r="E59" i="43"/>
  <c r="D58" i="43"/>
  <c r="E57" i="43"/>
  <c r="D56" i="43"/>
  <c r="E55" i="43"/>
  <c r="D54" i="43"/>
  <c r="E53" i="43"/>
  <c r="D52" i="43"/>
  <c r="E51" i="43"/>
  <c r="D50" i="43"/>
  <c r="E49" i="43"/>
  <c r="D48" i="43"/>
  <c r="E47" i="43"/>
  <c r="D46" i="43"/>
  <c r="E45" i="43"/>
  <c r="D44" i="43"/>
  <c r="E43" i="43"/>
  <c r="D42" i="43"/>
  <c r="E41" i="43"/>
  <c r="D40" i="43"/>
  <c r="E39" i="43"/>
  <c r="D38" i="43"/>
  <c r="E37" i="43"/>
  <c r="D36" i="43"/>
  <c r="E103" i="45"/>
  <c r="E101" i="45"/>
  <c r="E99" i="45"/>
  <c r="E94" i="45"/>
  <c r="E92" i="45"/>
  <c r="E90" i="45"/>
  <c r="E88" i="45"/>
  <c r="E86" i="45"/>
  <c r="E84" i="45"/>
  <c r="E82" i="45"/>
  <c r="E80" i="45"/>
  <c r="E78" i="45"/>
  <c r="E76" i="45"/>
  <c r="E74" i="45"/>
  <c r="E72" i="45"/>
  <c r="E70" i="45"/>
  <c r="E68" i="45"/>
  <c r="D63" i="45"/>
  <c r="E62" i="45"/>
  <c r="D61" i="45"/>
  <c r="E60" i="45"/>
  <c r="D59" i="45"/>
  <c r="E58" i="45"/>
  <c r="D57" i="45"/>
  <c r="E56" i="45"/>
  <c r="D55" i="45"/>
  <c r="E54" i="45"/>
  <c r="D53" i="45"/>
  <c r="E52" i="45"/>
  <c r="D51" i="45"/>
  <c r="E50" i="45"/>
  <c r="D49" i="45"/>
  <c r="E48" i="45"/>
  <c r="D47" i="45"/>
  <c r="E46" i="45"/>
  <c r="D45" i="45"/>
  <c r="E44" i="45"/>
  <c r="D43" i="45"/>
  <c r="E42" i="45"/>
  <c r="D41" i="45"/>
  <c r="E40" i="45"/>
  <c r="D39" i="45"/>
  <c r="E38" i="45"/>
  <c r="D37" i="45"/>
  <c r="E36" i="45"/>
  <c r="E120" i="45"/>
  <c r="F120" i="45" s="1"/>
  <c r="E104" i="45"/>
  <c r="E102" i="45"/>
  <c r="E116" i="45" s="1"/>
  <c r="E100" i="45"/>
  <c r="E98" i="45"/>
  <c r="E93" i="45"/>
  <c r="E91" i="45"/>
  <c r="E89" i="45"/>
  <c r="E87" i="45"/>
  <c r="E85" i="45"/>
  <c r="E83" i="45"/>
  <c r="E81" i="45"/>
  <c r="E79" i="45"/>
  <c r="E77" i="45"/>
  <c r="E75" i="45"/>
  <c r="E73" i="45"/>
  <c r="E71" i="45"/>
  <c r="E69" i="45"/>
  <c r="E67" i="45"/>
  <c r="E63" i="45"/>
  <c r="D62" i="45"/>
  <c r="E61" i="45"/>
  <c r="D60" i="45"/>
  <c r="E59" i="45"/>
  <c r="D58" i="45"/>
  <c r="E57" i="45"/>
  <c r="D56" i="45"/>
  <c r="E55" i="45"/>
  <c r="D54" i="45"/>
  <c r="E53" i="45"/>
  <c r="D52" i="45"/>
  <c r="E51" i="45"/>
  <c r="D50" i="45"/>
  <c r="E49" i="45"/>
  <c r="D48" i="45"/>
  <c r="E47" i="45"/>
  <c r="D46" i="45"/>
  <c r="E45" i="45"/>
  <c r="D44" i="45"/>
  <c r="E43" i="45"/>
  <c r="D42" i="45"/>
  <c r="E41" i="45"/>
  <c r="D40" i="45"/>
  <c r="E39" i="45"/>
  <c r="D38" i="45"/>
  <c r="E37" i="45"/>
  <c r="D36" i="45"/>
  <c r="E103" i="47"/>
  <c r="E101" i="47"/>
  <c r="E99" i="47"/>
  <c r="E94" i="47"/>
  <c r="E92" i="47"/>
  <c r="E90" i="47"/>
  <c r="E88" i="47"/>
  <c r="E86" i="47"/>
  <c r="E84" i="47"/>
  <c r="E82" i="47"/>
  <c r="E80" i="47"/>
  <c r="E78" i="47"/>
  <c r="E76" i="47"/>
  <c r="E74" i="47"/>
  <c r="E72" i="47"/>
  <c r="E70" i="47"/>
  <c r="E68" i="47"/>
  <c r="D63" i="47"/>
  <c r="E62" i="47"/>
  <c r="D61" i="47"/>
  <c r="E60" i="47"/>
  <c r="D59" i="47"/>
  <c r="E58" i="47"/>
  <c r="D57" i="47"/>
  <c r="E56" i="47"/>
  <c r="D55" i="47"/>
  <c r="E54" i="47"/>
  <c r="D53" i="47"/>
  <c r="E52" i="47"/>
  <c r="D51" i="47"/>
  <c r="E50" i="47"/>
  <c r="D49" i="47"/>
  <c r="E48" i="47"/>
  <c r="D47" i="47"/>
  <c r="E46" i="47"/>
  <c r="D45" i="47"/>
  <c r="E44" i="47"/>
  <c r="D43" i="47"/>
  <c r="E42" i="47"/>
  <c r="D41" i="47"/>
  <c r="E40" i="47"/>
  <c r="D39" i="47"/>
  <c r="E38" i="47"/>
  <c r="D37" i="47"/>
  <c r="E36" i="47"/>
  <c r="E120" i="47"/>
  <c r="E104" i="47"/>
  <c r="E102" i="47"/>
  <c r="E116" i="47" s="1"/>
  <c r="E100" i="47"/>
  <c r="E98" i="47"/>
  <c r="E93" i="47"/>
  <c r="E91" i="47"/>
  <c r="E89" i="47"/>
  <c r="E87" i="47"/>
  <c r="E85" i="47"/>
  <c r="E83" i="47"/>
  <c r="E81" i="47"/>
  <c r="E79" i="47"/>
  <c r="E77" i="47"/>
  <c r="E75" i="47"/>
  <c r="E73" i="47"/>
  <c r="E71" i="47"/>
  <c r="E69" i="47"/>
  <c r="E67" i="47"/>
  <c r="E63" i="47"/>
  <c r="D62" i="47"/>
  <c r="E61" i="47"/>
  <c r="D60" i="47"/>
  <c r="E59" i="47"/>
  <c r="D58" i="47"/>
  <c r="E57" i="47"/>
  <c r="D56" i="47"/>
  <c r="E55" i="47"/>
  <c r="D54" i="47"/>
  <c r="E53" i="47"/>
  <c r="D52" i="47"/>
  <c r="E51" i="47"/>
  <c r="D50" i="47"/>
  <c r="E49" i="47"/>
  <c r="D48" i="47"/>
  <c r="E47" i="47"/>
  <c r="D46" i="47"/>
  <c r="E45" i="47"/>
  <c r="D44" i="47"/>
  <c r="E43" i="47"/>
  <c r="D42" i="47"/>
  <c r="E41" i="47"/>
  <c r="D40" i="47"/>
  <c r="E39" i="47"/>
  <c r="D38" i="47"/>
  <c r="E37" i="47"/>
  <c r="D36" i="47"/>
  <c r="E103" i="49"/>
  <c r="E101" i="49"/>
  <c r="E99" i="49"/>
  <c r="E94" i="49"/>
  <c r="E92" i="49"/>
  <c r="E90" i="49"/>
  <c r="E88" i="49"/>
  <c r="E86" i="49"/>
  <c r="E84" i="49"/>
  <c r="E82" i="49"/>
  <c r="E80" i="49"/>
  <c r="E78" i="49"/>
  <c r="E76" i="49"/>
  <c r="E74" i="49"/>
  <c r="E72" i="49"/>
  <c r="E70" i="49"/>
  <c r="E68" i="49"/>
  <c r="D63" i="49"/>
  <c r="E62" i="49"/>
  <c r="D61" i="49"/>
  <c r="E60" i="49"/>
  <c r="D59" i="49"/>
  <c r="E58" i="49"/>
  <c r="D57" i="49"/>
  <c r="E56" i="49"/>
  <c r="D55" i="49"/>
  <c r="E54" i="49"/>
  <c r="D53" i="49"/>
  <c r="E52" i="49"/>
  <c r="D51" i="49"/>
  <c r="E50" i="49"/>
  <c r="D49" i="49"/>
  <c r="E48" i="49"/>
  <c r="D47" i="49"/>
  <c r="E46" i="49"/>
  <c r="D45" i="49"/>
  <c r="E44" i="49"/>
  <c r="D43" i="49"/>
  <c r="E42" i="49"/>
  <c r="D41" i="49"/>
  <c r="E40" i="49"/>
  <c r="D39" i="49"/>
  <c r="E38" i="49"/>
  <c r="D37" i="49"/>
  <c r="E36" i="49"/>
  <c r="E120" i="49"/>
  <c r="E104" i="49"/>
  <c r="E102" i="49"/>
  <c r="E116" i="49" s="1"/>
  <c r="E100" i="49"/>
  <c r="E98" i="49"/>
  <c r="E93" i="49"/>
  <c r="E91" i="49"/>
  <c r="E89" i="49"/>
  <c r="E87" i="49"/>
  <c r="E85" i="49"/>
  <c r="E83" i="49"/>
  <c r="E81" i="49"/>
  <c r="E79" i="49"/>
  <c r="E77" i="49"/>
  <c r="E75" i="49"/>
  <c r="E73" i="49"/>
  <c r="E71" i="49"/>
  <c r="E69" i="49"/>
  <c r="E67" i="49"/>
  <c r="E63" i="49"/>
  <c r="D62" i="49"/>
  <c r="E61" i="49"/>
  <c r="D60" i="49"/>
  <c r="E59" i="49"/>
  <c r="D58" i="49"/>
  <c r="E57" i="49"/>
  <c r="D56" i="49"/>
  <c r="E55" i="49"/>
  <c r="D54" i="49"/>
  <c r="E53" i="49"/>
  <c r="D52" i="49"/>
  <c r="E51" i="49"/>
  <c r="D50" i="49"/>
  <c r="E49" i="49"/>
  <c r="D48" i="49"/>
  <c r="E47" i="49"/>
  <c r="D46" i="49"/>
  <c r="E45" i="49"/>
  <c r="D44" i="49"/>
  <c r="E43" i="49"/>
  <c r="D42" i="49"/>
  <c r="E41" i="49"/>
  <c r="D40" i="49"/>
  <c r="E39" i="49"/>
  <c r="D38" i="49"/>
  <c r="E37" i="49"/>
  <c r="D36" i="49"/>
  <c r="E103" i="51"/>
  <c r="E101" i="51"/>
  <c r="E99" i="51"/>
  <c r="E94" i="51"/>
  <c r="E92" i="51"/>
  <c r="E90" i="51"/>
  <c r="E88" i="51"/>
  <c r="E86" i="51"/>
  <c r="E84" i="51"/>
  <c r="E82" i="51"/>
  <c r="E80" i="51"/>
  <c r="E78" i="51"/>
  <c r="E76" i="51"/>
  <c r="E74" i="51"/>
  <c r="E72" i="51"/>
  <c r="E70" i="51"/>
  <c r="E68" i="51"/>
  <c r="D63" i="51"/>
  <c r="E62" i="51"/>
  <c r="D61" i="51"/>
  <c r="E60" i="51"/>
  <c r="D59" i="51"/>
  <c r="E58" i="51"/>
  <c r="D57" i="51"/>
  <c r="E56" i="51"/>
  <c r="D55" i="51"/>
  <c r="E54" i="51"/>
  <c r="D53" i="51"/>
  <c r="E52" i="51"/>
  <c r="D51" i="51"/>
  <c r="E50" i="51"/>
  <c r="D49" i="51"/>
  <c r="E48" i="51"/>
  <c r="D47" i="51"/>
  <c r="E46" i="51"/>
  <c r="D45" i="51"/>
  <c r="E44" i="51"/>
  <c r="D43" i="51"/>
  <c r="E42" i="51"/>
  <c r="D41" i="51"/>
  <c r="E40" i="51"/>
  <c r="D39" i="51"/>
  <c r="E38" i="51"/>
  <c r="D37" i="51"/>
  <c r="E36" i="51"/>
  <c r="E120" i="51"/>
  <c r="E104" i="51"/>
  <c r="E102" i="51"/>
  <c r="E116" i="51" s="1"/>
  <c r="E100" i="51"/>
  <c r="E98" i="51"/>
  <c r="E93" i="51"/>
  <c r="E91" i="51"/>
  <c r="E89" i="51"/>
  <c r="E87" i="51"/>
  <c r="E85" i="51"/>
  <c r="E83" i="51"/>
  <c r="E81" i="51"/>
  <c r="E79" i="51"/>
  <c r="E77" i="51"/>
  <c r="E75" i="51"/>
  <c r="E73" i="51"/>
  <c r="E71" i="51"/>
  <c r="E69" i="51"/>
  <c r="E67" i="51"/>
  <c r="E63" i="51"/>
  <c r="D62" i="51"/>
  <c r="E61" i="51"/>
  <c r="D60" i="51"/>
  <c r="E59" i="51"/>
  <c r="D58" i="51"/>
  <c r="E57" i="51"/>
  <c r="D56" i="51"/>
  <c r="E55" i="51"/>
  <c r="D54" i="51"/>
  <c r="E53" i="51"/>
  <c r="D52" i="51"/>
  <c r="E51" i="51"/>
  <c r="D50" i="51"/>
  <c r="E49" i="51"/>
  <c r="D48" i="51"/>
  <c r="E47" i="51"/>
  <c r="D46" i="51"/>
  <c r="E45" i="51"/>
  <c r="D44" i="51"/>
  <c r="E43" i="51"/>
  <c r="D42" i="51"/>
  <c r="E41" i="51"/>
  <c r="D40" i="51"/>
  <c r="E39" i="51"/>
  <c r="D38" i="51"/>
  <c r="E37" i="51"/>
  <c r="D36" i="51"/>
  <c r="E103" i="53"/>
  <c r="E101" i="53"/>
  <c r="E99" i="53"/>
  <c r="E94" i="53"/>
  <c r="E92" i="53"/>
  <c r="E90" i="53"/>
  <c r="E88" i="53"/>
  <c r="E86" i="53"/>
  <c r="E84" i="53"/>
  <c r="E82" i="53"/>
  <c r="E80" i="53"/>
  <c r="E78" i="53"/>
  <c r="E76" i="53"/>
  <c r="E74" i="53"/>
  <c r="E72" i="53"/>
  <c r="E70" i="53"/>
  <c r="E68" i="53"/>
  <c r="D63" i="53"/>
  <c r="E62" i="53"/>
  <c r="D61" i="53"/>
  <c r="E60" i="53"/>
  <c r="D59" i="53"/>
  <c r="E58" i="53"/>
  <c r="D57" i="53"/>
  <c r="E56" i="53"/>
  <c r="D55" i="53"/>
  <c r="E54" i="53"/>
  <c r="D53" i="53"/>
  <c r="E52" i="53"/>
  <c r="D51" i="53"/>
  <c r="E50" i="53"/>
  <c r="D49" i="53"/>
  <c r="E48" i="53"/>
  <c r="D47" i="53"/>
  <c r="E46" i="53"/>
  <c r="D45" i="53"/>
  <c r="E44" i="53"/>
  <c r="D43" i="53"/>
  <c r="E42" i="53"/>
  <c r="D41" i="53"/>
  <c r="E40" i="53"/>
  <c r="D39" i="53"/>
  <c r="E38" i="53"/>
  <c r="D37" i="53"/>
  <c r="E36" i="53"/>
  <c r="E120" i="53"/>
  <c r="E104" i="53"/>
  <c r="E102" i="53"/>
  <c r="E116" i="53" s="1"/>
  <c r="E100" i="53"/>
  <c r="E98" i="53"/>
  <c r="E93" i="53"/>
  <c r="E91" i="53"/>
  <c r="E89" i="53"/>
  <c r="E87" i="53"/>
  <c r="E85" i="53"/>
  <c r="E83" i="53"/>
  <c r="E81" i="53"/>
  <c r="E79" i="53"/>
  <c r="E77" i="53"/>
  <c r="E75" i="53"/>
  <c r="E73" i="53"/>
  <c r="E71" i="53"/>
  <c r="E69" i="53"/>
  <c r="E67" i="53"/>
  <c r="E63" i="53"/>
  <c r="D62" i="53"/>
  <c r="E61" i="53"/>
  <c r="D60" i="53"/>
  <c r="E59" i="53"/>
  <c r="D58" i="53"/>
  <c r="E57" i="53"/>
  <c r="D56" i="53"/>
  <c r="E55" i="53"/>
  <c r="D54" i="53"/>
  <c r="E53" i="53"/>
  <c r="D52" i="53"/>
  <c r="E51" i="53"/>
  <c r="D50" i="53"/>
  <c r="E49" i="53"/>
  <c r="D48" i="53"/>
  <c r="E47" i="53"/>
  <c r="D46" i="53"/>
  <c r="E45" i="53"/>
  <c r="D44" i="53"/>
  <c r="E43" i="53"/>
  <c r="D42" i="53"/>
  <c r="E41" i="53"/>
  <c r="D40" i="53"/>
  <c r="E39" i="53"/>
  <c r="D38" i="53"/>
  <c r="E37" i="53"/>
  <c r="D36" i="53"/>
  <c r="E36" i="56"/>
  <c r="D37" i="56"/>
  <c r="E38" i="56"/>
  <c r="D39" i="56"/>
  <c r="E40" i="56"/>
  <c r="D41" i="56"/>
  <c r="E42" i="56"/>
  <c r="D43" i="56"/>
  <c r="E44" i="56"/>
  <c r="D45" i="56"/>
  <c r="E46" i="56"/>
  <c r="D47" i="56"/>
  <c r="E48" i="56"/>
  <c r="D49" i="56"/>
  <c r="E50" i="56"/>
  <c r="D51" i="56"/>
  <c r="E52" i="56"/>
  <c r="D53" i="56"/>
  <c r="E54" i="56"/>
  <c r="D55" i="56"/>
  <c r="E56" i="56"/>
  <c r="D57" i="56"/>
  <c r="E58" i="56"/>
  <c r="D59" i="56"/>
  <c r="E60" i="56"/>
  <c r="D61" i="56"/>
  <c r="E62" i="56"/>
  <c r="D63" i="56"/>
  <c r="E68" i="56"/>
  <c r="E70" i="56"/>
  <c r="E72" i="56"/>
  <c r="E74" i="56"/>
  <c r="E76" i="56"/>
  <c r="E78" i="56"/>
  <c r="E80" i="56"/>
  <c r="E82" i="56"/>
  <c r="E84" i="56"/>
  <c r="E86" i="56"/>
  <c r="E88" i="56"/>
  <c r="E90" i="56"/>
  <c r="E92" i="56"/>
  <c r="E94" i="56"/>
  <c r="E99" i="56"/>
  <c r="E101" i="56"/>
  <c r="E103" i="56"/>
  <c r="D36" i="55"/>
  <c r="E37" i="55"/>
  <c r="D38" i="55"/>
  <c r="E39" i="55"/>
  <c r="D40" i="55"/>
  <c r="E41" i="55"/>
  <c r="D42" i="55"/>
  <c r="E43" i="55"/>
  <c r="D44" i="55"/>
  <c r="E45" i="55"/>
  <c r="D46" i="55"/>
  <c r="E47" i="55"/>
  <c r="D48" i="55"/>
  <c r="E49" i="55"/>
  <c r="D50" i="55"/>
  <c r="E51" i="55"/>
  <c r="D52" i="55"/>
  <c r="E53" i="55"/>
  <c r="D54" i="55"/>
  <c r="E55" i="55"/>
  <c r="D56" i="55"/>
  <c r="E57" i="55"/>
  <c r="D58" i="55"/>
  <c r="E59" i="55"/>
  <c r="D60" i="55"/>
  <c r="E61" i="55"/>
  <c r="D62" i="55"/>
  <c r="E63" i="55"/>
  <c r="E67" i="55"/>
  <c r="E69" i="55"/>
  <c r="E71" i="55"/>
  <c r="E73" i="55"/>
  <c r="E75" i="55"/>
  <c r="E77" i="55"/>
  <c r="E79" i="55"/>
  <c r="E81" i="55"/>
  <c r="E83" i="55"/>
  <c r="E85" i="55"/>
  <c r="E87" i="55"/>
  <c r="E89" i="55"/>
  <c r="E91" i="55"/>
  <c r="E93" i="55"/>
  <c r="E98" i="55"/>
  <c r="E100" i="55"/>
  <c r="E102" i="55"/>
  <c r="E116" i="55" s="1"/>
  <c r="E104" i="55"/>
  <c r="E120" i="55"/>
  <c r="E103" i="59"/>
  <c r="E101" i="59"/>
  <c r="E99" i="59"/>
  <c r="E94" i="59"/>
  <c r="E92" i="59"/>
  <c r="E90" i="59"/>
  <c r="E88" i="59"/>
  <c r="E86" i="59"/>
  <c r="E84" i="59"/>
  <c r="E82" i="59"/>
  <c r="E80" i="59"/>
  <c r="E78" i="59"/>
  <c r="E76" i="59"/>
  <c r="E74" i="59"/>
  <c r="E72" i="59"/>
  <c r="E70" i="59"/>
  <c r="E68" i="59"/>
  <c r="D63" i="59"/>
  <c r="E62" i="59"/>
  <c r="D61" i="59"/>
  <c r="E60" i="59"/>
  <c r="D59" i="59"/>
  <c r="E58" i="59"/>
  <c r="D57" i="59"/>
  <c r="E56" i="59"/>
  <c r="D55" i="59"/>
  <c r="E54" i="59"/>
  <c r="D53" i="59"/>
  <c r="E52" i="59"/>
  <c r="D51" i="59"/>
  <c r="E50" i="59"/>
  <c r="D49" i="59"/>
  <c r="E48" i="59"/>
  <c r="D47" i="59"/>
  <c r="E46" i="59"/>
  <c r="D45" i="59"/>
  <c r="E44" i="59"/>
  <c r="D43" i="59"/>
  <c r="E42" i="59"/>
  <c r="D41" i="59"/>
  <c r="E40" i="59"/>
  <c r="D39" i="59"/>
  <c r="E38" i="59"/>
  <c r="D37" i="59"/>
  <c r="E36" i="59"/>
  <c r="E120" i="59"/>
  <c r="E104" i="59"/>
  <c r="E102" i="59"/>
  <c r="E116" i="59" s="1"/>
  <c r="E100" i="59"/>
  <c r="E98" i="59"/>
  <c r="E93" i="59"/>
  <c r="E91" i="59"/>
  <c r="E89" i="59"/>
  <c r="E87" i="59"/>
  <c r="E85" i="59"/>
  <c r="E83" i="59"/>
  <c r="E81" i="59"/>
  <c r="E79" i="59"/>
  <c r="E77" i="59"/>
  <c r="E75" i="59"/>
  <c r="E73" i="59"/>
  <c r="E71" i="59"/>
  <c r="E69" i="59"/>
  <c r="E67" i="59"/>
  <c r="E63" i="59"/>
  <c r="D62" i="59"/>
  <c r="E61" i="59"/>
  <c r="D60" i="59"/>
  <c r="E59" i="59"/>
  <c r="D58" i="59"/>
  <c r="E57" i="59"/>
  <c r="D56" i="59"/>
  <c r="E55" i="59"/>
  <c r="D54" i="59"/>
  <c r="E53" i="59"/>
  <c r="D52" i="59"/>
  <c r="E51" i="59"/>
  <c r="D50" i="59"/>
  <c r="E49" i="59"/>
  <c r="D48" i="59"/>
  <c r="E47" i="59"/>
  <c r="D46" i="59"/>
  <c r="E45" i="59"/>
  <c r="D44" i="59"/>
  <c r="E43" i="59"/>
  <c r="D42" i="59"/>
  <c r="E41" i="59"/>
  <c r="D40" i="59"/>
  <c r="E39" i="59"/>
  <c r="D38" i="59"/>
  <c r="E37" i="59"/>
  <c r="D36" i="59"/>
  <c r="E103" i="4"/>
  <c r="E101" i="4"/>
  <c r="E99" i="4"/>
  <c r="E94" i="4"/>
  <c r="E92" i="4"/>
  <c r="E90" i="4"/>
  <c r="E88" i="4"/>
  <c r="E86" i="4"/>
  <c r="E84" i="4"/>
  <c r="E82" i="4"/>
  <c r="E80" i="4"/>
  <c r="E78" i="4"/>
  <c r="E76" i="4"/>
  <c r="E74" i="4"/>
  <c r="E72" i="4"/>
  <c r="E70" i="4"/>
  <c r="E68" i="4"/>
  <c r="D63" i="4"/>
  <c r="E62" i="4"/>
  <c r="D61" i="4"/>
  <c r="E60" i="4"/>
  <c r="D59" i="4"/>
  <c r="E58" i="4"/>
  <c r="D57" i="4"/>
  <c r="E56" i="4"/>
  <c r="D55" i="4"/>
  <c r="E54" i="4"/>
  <c r="D53" i="4"/>
  <c r="E52" i="4"/>
  <c r="D51" i="4"/>
  <c r="E50" i="4"/>
  <c r="D49" i="4"/>
  <c r="E48" i="4"/>
  <c r="D47" i="4"/>
  <c r="E46" i="4"/>
  <c r="D45" i="4"/>
  <c r="E44" i="4"/>
  <c r="D43" i="4"/>
  <c r="E42" i="4"/>
  <c r="D41" i="4"/>
  <c r="E40" i="4"/>
  <c r="D39" i="4"/>
  <c r="E38" i="4"/>
  <c r="D37" i="4"/>
  <c r="E36" i="4"/>
  <c r="E120" i="4"/>
  <c r="E104" i="4"/>
  <c r="E102" i="4"/>
  <c r="E116" i="4" s="1"/>
  <c r="E100" i="4"/>
  <c r="E98" i="4"/>
  <c r="E93" i="4"/>
  <c r="E91" i="4"/>
  <c r="E89" i="4"/>
  <c r="E87" i="4"/>
  <c r="E85" i="4"/>
  <c r="E83" i="4"/>
  <c r="E81" i="4"/>
  <c r="E79" i="4"/>
  <c r="E77" i="4"/>
  <c r="E75" i="4"/>
  <c r="E73" i="4"/>
  <c r="E71" i="4"/>
  <c r="E69" i="4"/>
  <c r="E67" i="4"/>
  <c r="E63" i="4"/>
  <c r="D62" i="4"/>
  <c r="E61" i="4"/>
  <c r="D60" i="4"/>
  <c r="E59" i="4"/>
  <c r="D58" i="4"/>
  <c r="E57" i="4"/>
  <c r="D56" i="4"/>
  <c r="E55" i="4"/>
  <c r="D54" i="4"/>
  <c r="E53" i="4"/>
  <c r="D52" i="4"/>
  <c r="E51" i="4"/>
  <c r="D50" i="4"/>
  <c r="E49" i="4"/>
  <c r="D48" i="4"/>
  <c r="E47" i="4"/>
  <c r="D46" i="4"/>
  <c r="E45" i="4"/>
  <c r="D44" i="4"/>
  <c r="E43" i="4"/>
  <c r="D42" i="4"/>
  <c r="E41" i="4"/>
  <c r="D40" i="4"/>
  <c r="E39" i="4"/>
  <c r="D38" i="4"/>
  <c r="E37" i="4"/>
  <c r="D36" i="4"/>
  <c r="E120" i="6"/>
  <c r="E104" i="6"/>
  <c r="E102" i="6"/>
  <c r="E116" i="6" s="1"/>
  <c r="E100" i="6"/>
  <c r="E98" i="6"/>
  <c r="E93" i="6"/>
  <c r="E91" i="6"/>
  <c r="E89" i="6"/>
  <c r="E87" i="6"/>
  <c r="E85" i="6"/>
  <c r="E83" i="6"/>
  <c r="E81" i="6"/>
  <c r="E79" i="6"/>
  <c r="E77" i="6"/>
  <c r="E75" i="6"/>
  <c r="E73" i="6"/>
  <c r="E71" i="6"/>
  <c r="E69" i="6"/>
  <c r="E67" i="6"/>
  <c r="E63" i="6"/>
  <c r="D62" i="6"/>
  <c r="E61" i="6"/>
  <c r="D60" i="6"/>
  <c r="E59" i="6"/>
  <c r="D58" i="6"/>
  <c r="E57" i="6"/>
  <c r="D56" i="6"/>
  <c r="E55" i="6"/>
  <c r="D54" i="6"/>
  <c r="E53" i="6"/>
  <c r="D52" i="6"/>
  <c r="E51" i="6"/>
  <c r="D50" i="6"/>
  <c r="E49" i="6"/>
  <c r="D48" i="6"/>
  <c r="E47" i="6"/>
  <c r="D46" i="6"/>
  <c r="E45" i="6"/>
  <c r="D44" i="6"/>
  <c r="E43" i="6"/>
  <c r="D42" i="6"/>
  <c r="E41" i="6"/>
  <c r="D40" i="6"/>
  <c r="E39" i="6"/>
  <c r="D38" i="6"/>
  <c r="E37" i="6"/>
  <c r="D36" i="6"/>
  <c r="E103" i="6"/>
  <c r="E101" i="6"/>
  <c r="E99" i="6"/>
  <c r="E94" i="6"/>
  <c r="E92" i="6"/>
  <c r="E90" i="6"/>
  <c r="E88" i="6"/>
  <c r="E86" i="6"/>
  <c r="E84" i="6"/>
  <c r="E82" i="6"/>
  <c r="E80" i="6"/>
  <c r="E78" i="6"/>
  <c r="E76" i="6"/>
  <c r="E74" i="6"/>
  <c r="E72" i="6"/>
  <c r="E70" i="6"/>
  <c r="E68" i="6"/>
  <c r="D63" i="6"/>
  <c r="E62" i="6"/>
  <c r="D61" i="6"/>
  <c r="E60" i="6"/>
  <c r="D59" i="6"/>
  <c r="E58" i="6"/>
  <c r="D57" i="6"/>
  <c r="E56" i="6"/>
  <c r="D55" i="6"/>
  <c r="E54" i="6"/>
  <c r="D53" i="6"/>
  <c r="E52" i="6"/>
  <c r="D51" i="6"/>
  <c r="E50" i="6"/>
  <c r="D49" i="6"/>
  <c r="E48" i="6"/>
  <c r="D47" i="6"/>
  <c r="E46" i="6"/>
  <c r="D45" i="6"/>
  <c r="E44" i="6"/>
  <c r="D43" i="6"/>
  <c r="E42" i="6"/>
  <c r="D41" i="6"/>
  <c r="E40" i="6"/>
  <c r="D39" i="6"/>
  <c r="E38" i="6"/>
  <c r="D37" i="6"/>
  <c r="E36" i="6"/>
  <c r="E120" i="8"/>
  <c r="E104" i="8"/>
  <c r="E102" i="8"/>
  <c r="E116" i="8" s="1"/>
  <c r="E100" i="8"/>
  <c r="E98" i="8"/>
  <c r="E93" i="8"/>
  <c r="E91" i="8"/>
  <c r="E89" i="8"/>
  <c r="E87" i="8"/>
  <c r="E85" i="8"/>
  <c r="E83" i="8"/>
  <c r="E81" i="8"/>
  <c r="E79" i="8"/>
  <c r="E77" i="8"/>
  <c r="E75" i="8"/>
  <c r="E73" i="8"/>
  <c r="E71" i="8"/>
  <c r="E69" i="8"/>
  <c r="E67" i="8"/>
  <c r="E63" i="8"/>
  <c r="D62" i="8"/>
  <c r="E61" i="8"/>
  <c r="D60" i="8"/>
  <c r="E59" i="8"/>
  <c r="D58" i="8"/>
  <c r="E57" i="8"/>
  <c r="D56" i="8"/>
  <c r="E55" i="8"/>
  <c r="D54" i="8"/>
  <c r="E53" i="8"/>
  <c r="D52" i="8"/>
  <c r="E51" i="8"/>
  <c r="D50" i="8"/>
  <c r="E49" i="8"/>
  <c r="D48" i="8"/>
  <c r="E47" i="8"/>
  <c r="D46" i="8"/>
  <c r="E45" i="8"/>
  <c r="D44" i="8"/>
  <c r="E43" i="8"/>
  <c r="D42" i="8"/>
  <c r="E41" i="8"/>
  <c r="E103" i="8"/>
  <c r="E101" i="8"/>
  <c r="E99" i="8"/>
  <c r="E94" i="8"/>
  <c r="E92" i="8"/>
  <c r="E90" i="8"/>
  <c r="E88" i="8"/>
  <c r="E86" i="8"/>
  <c r="E84" i="8"/>
  <c r="E82" i="8"/>
  <c r="E80" i="8"/>
  <c r="E78" i="8"/>
  <c r="E76" i="8"/>
  <c r="E74" i="8"/>
  <c r="E72" i="8"/>
  <c r="E70" i="8"/>
  <c r="E68" i="8"/>
  <c r="D63" i="8"/>
  <c r="E62" i="8"/>
  <c r="D61" i="8"/>
  <c r="E60" i="8"/>
  <c r="D59" i="8"/>
  <c r="E58" i="8"/>
  <c r="D57" i="8"/>
  <c r="E56" i="8"/>
  <c r="D55" i="8"/>
  <c r="E54" i="8"/>
  <c r="D53" i="8"/>
  <c r="E52" i="8"/>
  <c r="D51" i="8"/>
  <c r="E50" i="8"/>
  <c r="D49" i="8"/>
  <c r="E48" i="8"/>
  <c r="D47" i="8"/>
  <c r="E46" i="8"/>
  <c r="D45" i="8"/>
  <c r="E44" i="8"/>
  <c r="D43" i="8"/>
  <c r="E42" i="8"/>
  <c r="D41" i="8"/>
  <c r="D40" i="8"/>
  <c r="E39" i="8"/>
  <c r="D38" i="8"/>
  <c r="E37" i="8"/>
  <c r="D36" i="8"/>
  <c r="E40" i="8"/>
  <c r="D39" i="8"/>
  <c r="E38" i="8"/>
  <c r="D37" i="8"/>
  <c r="E36" i="8"/>
  <c r="E120" i="10"/>
  <c r="E104" i="10"/>
  <c r="E102" i="10"/>
  <c r="E116" i="10" s="1"/>
  <c r="E100" i="10"/>
  <c r="E98" i="10"/>
  <c r="E93" i="10"/>
  <c r="E91" i="10"/>
  <c r="E89" i="10"/>
  <c r="E87" i="10"/>
  <c r="E85" i="10"/>
  <c r="E83" i="10"/>
  <c r="E81" i="10"/>
  <c r="E79" i="10"/>
  <c r="E77" i="10"/>
  <c r="E75" i="10"/>
  <c r="E73" i="10"/>
  <c r="E71" i="10"/>
  <c r="E69" i="10"/>
  <c r="E67" i="10"/>
  <c r="E63" i="10"/>
  <c r="D62" i="10"/>
  <c r="E61" i="10"/>
  <c r="D60" i="10"/>
  <c r="E59" i="10"/>
  <c r="D58" i="10"/>
  <c r="E57" i="10"/>
  <c r="D56" i="10"/>
  <c r="E55" i="10"/>
  <c r="D54" i="10"/>
  <c r="E53" i="10"/>
  <c r="D52" i="10"/>
  <c r="E51" i="10"/>
  <c r="D50" i="10"/>
  <c r="E49" i="10"/>
  <c r="D48" i="10"/>
  <c r="E47" i="10"/>
  <c r="D46" i="10"/>
  <c r="E45" i="10"/>
  <c r="D44" i="10"/>
  <c r="E43" i="10"/>
  <c r="D42" i="10"/>
  <c r="E41" i="10"/>
  <c r="D40" i="10"/>
  <c r="E39" i="10"/>
  <c r="D38" i="10"/>
  <c r="E37" i="10"/>
  <c r="D36" i="10"/>
  <c r="E103" i="10"/>
  <c r="E101" i="10"/>
  <c r="E99" i="10"/>
  <c r="E94" i="10"/>
  <c r="E92" i="10"/>
  <c r="E90" i="10"/>
  <c r="E88" i="10"/>
  <c r="E86" i="10"/>
  <c r="E84" i="10"/>
  <c r="E82" i="10"/>
  <c r="E80" i="10"/>
  <c r="E78" i="10"/>
  <c r="E76" i="10"/>
  <c r="E74" i="10"/>
  <c r="E72" i="10"/>
  <c r="E70" i="10"/>
  <c r="E68" i="10"/>
  <c r="D63" i="10"/>
  <c r="E62" i="10"/>
  <c r="D61" i="10"/>
  <c r="E60" i="10"/>
  <c r="D59" i="10"/>
  <c r="E58" i="10"/>
  <c r="D57" i="10"/>
  <c r="E56" i="10"/>
  <c r="D55" i="10"/>
  <c r="E54" i="10"/>
  <c r="D53" i="10"/>
  <c r="E52" i="10"/>
  <c r="D51" i="10"/>
  <c r="E50" i="10"/>
  <c r="D49" i="10"/>
  <c r="E48" i="10"/>
  <c r="D47" i="10"/>
  <c r="E46" i="10"/>
  <c r="D45" i="10"/>
  <c r="E44" i="10"/>
  <c r="D43" i="10"/>
  <c r="E42" i="10"/>
  <c r="D41" i="10"/>
  <c r="E40" i="10"/>
  <c r="D39" i="10"/>
  <c r="E38" i="10"/>
  <c r="D37" i="10"/>
  <c r="E36" i="10"/>
  <c r="E120" i="12"/>
  <c r="E104" i="12"/>
  <c r="E102" i="12"/>
  <c r="E116" i="12" s="1"/>
  <c r="E100" i="12"/>
  <c r="E98" i="12"/>
  <c r="E93" i="12"/>
  <c r="E91" i="12"/>
  <c r="E89" i="12"/>
  <c r="E87" i="12"/>
  <c r="E85" i="12"/>
  <c r="E83" i="12"/>
  <c r="E81" i="12"/>
  <c r="E79" i="12"/>
  <c r="E77" i="12"/>
  <c r="E75" i="12"/>
  <c r="E73" i="12"/>
  <c r="E71" i="12"/>
  <c r="E69" i="12"/>
  <c r="E67" i="12"/>
  <c r="E63" i="12"/>
  <c r="D62" i="12"/>
  <c r="E61" i="12"/>
  <c r="D60" i="12"/>
  <c r="E59" i="12"/>
  <c r="D58" i="12"/>
  <c r="E57" i="12"/>
  <c r="E103" i="12"/>
  <c r="E101" i="12"/>
  <c r="E99" i="12"/>
  <c r="E94" i="12"/>
  <c r="E92" i="12"/>
  <c r="E90" i="12"/>
  <c r="E88" i="12"/>
  <c r="E86" i="12"/>
  <c r="E84" i="12"/>
  <c r="E82" i="12"/>
  <c r="E80" i="12"/>
  <c r="E78" i="12"/>
  <c r="E76" i="12"/>
  <c r="E74" i="12"/>
  <c r="E72" i="12"/>
  <c r="E70" i="12"/>
  <c r="E68" i="12"/>
  <c r="D63" i="12"/>
  <c r="E62" i="12"/>
  <c r="D61" i="12"/>
  <c r="E60" i="12"/>
  <c r="D59" i="12"/>
  <c r="E58" i="12"/>
  <c r="D57" i="12"/>
  <c r="E56" i="12"/>
  <c r="D55" i="12"/>
  <c r="E54" i="12"/>
  <c r="D53" i="12"/>
  <c r="E52" i="12"/>
  <c r="D51" i="12"/>
  <c r="E50" i="12"/>
  <c r="D49" i="12"/>
  <c r="E48" i="12"/>
  <c r="D47" i="12"/>
  <c r="E46" i="12"/>
  <c r="D45" i="12"/>
  <c r="E44" i="12"/>
  <c r="D43" i="12"/>
  <c r="E42" i="12"/>
  <c r="D41" i="12"/>
  <c r="E40" i="12"/>
  <c r="D39" i="12"/>
  <c r="E38" i="12"/>
  <c r="D37" i="12"/>
  <c r="E36" i="12"/>
  <c r="D56" i="12"/>
  <c r="E55" i="12"/>
  <c r="D54" i="12"/>
  <c r="E53" i="12"/>
  <c r="D52" i="12"/>
  <c r="E51" i="12"/>
  <c r="D50" i="12"/>
  <c r="E49" i="12"/>
  <c r="D48" i="12"/>
  <c r="E47" i="12"/>
  <c r="D46" i="12"/>
  <c r="E45" i="12"/>
  <c r="D44" i="12"/>
  <c r="E43" i="12"/>
  <c r="D42" i="12"/>
  <c r="E41" i="12"/>
  <c r="D40" i="12"/>
  <c r="E39" i="12"/>
  <c r="D38" i="12"/>
  <c r="E37" i="12"/>
  <c r="D36" i="12"/>
  <c r="E103" i="14"/>
  <c r="E101" i="14"/>
  <c r="E99" i="14"/>
  <c r="E94" i="14"/>
  <c r="E92" i="14"/>
  <c r="E90" i="14"/>
  <c r="E88" i="14"/>
  <c r="E86" i="14"/>
  <c r="E84" i="14"/>
  <c r="E82" i="14"/>
  <c r="E80" i="14"/>
  <c r="E78" i="14"/>
  <c r="E76" i="14"/>
  <c r="E74" i="14"/>
  <c r="E72" i="14"/>
  <c r="E70" i="14"/>
  <c r="E68" i="14"/>
  <c r="D63" i="14"/>
  <c r="E62" i="14"/>
  <c r="D61" i="14"/>
  <c r="E60" i="14"/>
  <c r="D59" i="14"/>
  <c r="E58" i="14"/>
  <c r="D57" i="14"/>
  <c r="E56" i="14"/>
  <c r="D55" i="14"/>
  <c r="E54" i="14"/>
  <c r="D53" i="14"/>
  <c r="E52" i="14"/>
  <c r="D51" i="14"/>
  <c r="E50" i="14"/>
  <c r="D49" i="14"/>
  <c r="E48" i="14"/>
  <c r="D47" i="14"/>
  <c r="E46" i="14"/>
  <c r="D45" i="14"/>
  <c r="E44" i="14"/>
  <c r="D43" i="14"/>
  <c r="E42" i="14"/>
  <c r="D41" i="14"/>
  <c r="E40" i="14"/>
  <c r="D39" i="14"/>
  <c r="E38" i="14"/>
  <c r="D37" i="14"/>
  <c r="E36" i="14"/>
  <c r="E120" i="14"/>
  <c r="E104" i="14"/>
  <c r="E102" i="14"/>
  <c r="E116" i="14" s="1"/>
  <c r="E100" i="14"/>
  <c r="E98" i="14"/>
  <c r="E93" i="14"/>
  <c r="E91" i="14"/>
  <c r="E89" i="14"/>
  <c r="E87" i="14"/>
  <c r="E85" i="14"/>
  <c r="E83" i="14"/>
  <c r="E81" i="14"/>
  <c r="E79" i="14"/>
  <c r="E77" i="14"/>
  <c r="E75" i="14"/>
  <c r="E73" i="14"/>
  <c r="E71" i="14"/>
  <c r="E69" i="14"/>
  <c r="E67" i="14"/>
  <c r="E63" i="14"/>
  <c r="D62" i="14"/>
  <c r="E61" i="14"/>
  <c r="D60" i="14"/>
  <c r="E59" i="14"/>
  <c r="D58" i="14"/>
  <c r="E57" i="14"/>
  <c r="D56" i="14"/>
  <c r="E55" i="14"/>
  <c r="D54" i="14"/>
  <c r="E53" i="14"/>
  <c r="D52" i="14"/>
  <c r="E51" i="14"/>
  <c r="D50" i="14"/>
  <c r="E49" i="14"/>
  <c r="D48" i="14"/>
  <c r="E47" i="14"/>
  <c r="D46" i="14"/>
  <c r="E45" i="14"/>
  <c r="D44" i="14"/>
  <c r="E43" i="14"/>
  <c r="D42" i="14"/>
  <c r="E41" i="14"/>
  <c r="D40" i="14"/>
  <c r="E39" i="14"/>
  <c r="D38" i="14"/>
  <c r="E37" i="14"/>
  <c r="D36" i="14"/>
  <c r="E103" i="16"/>
  <c r="E101" i="16"/>
  <c r="E99" i="16"/>
  <c r="E94" i="16"/>
  <c r="E92" i="16"/>
  <c r="E90" i="16"/>
  <c r="E88" i="16"/>
  <c r="E86" i="16"/>
  <c r="E84" i="16"/>
  <c r="E82" i="16"/>
  <c r="E80" i="16"/>
  <c r="E78" i="16"/>
  <c r="E76" i="16"/>
  <c r="E74" i="16"/>
  <c r="E72" i="16"/>
  <c r="E70" i="16"/>
  <c r="E68" i="16"/>
  <c r="D63" i="16"/>
  <c r="E62" i="16"/>
  <c r="D61" i="16"/>
  <c r="E60" i="16"/>
  <c r="D59" i="16"/>
  <c r="E58" i="16"/>
  <c r="D57" i="16"/>
  <c r="E56" i="16"/>
  <c r="D55" i="16"/>
  <c r="E54" i="16"/>
  <c r="D53" i="16"/>
  <c r="E52" i="16"/>
  <c r="D51" i="16"/>
  <c r="E50" i="16"/>
  <c r="D49" i="16"/>
  <c r="E48" i="16"/>
  <c r="D47" i="16"/>
  <c r="E46" i="16"/>
  <c r="D45" i="16"/>
  <c r="E44" i="16"/>
  <c r="D43" i="16"/>
  <c r="E42" i="16"/>
  <c r="D41" i="16"/>
  <c r="E40" i="16"/>
  <c r="D39" i="16"/>
  <c r="E38" i="16"/>
  <c r="D37" i="16"/>
  <c r="E36" i="16"/>
  <c r="E120" i="16"/>
  <c r="E104" i="16"/>
  <c r="E102" i="16"/>
  <c r="E116" i="16" s="1"/>
  <c r="E100" i="16"/>
  <c r="E98" i="16"/>
  <c r="E93" i="16"/>
  <c r="E91" i="16"/>
  <c r="E89" i="16"/>
  <c r="E87" i="16"/>
  <c r="E85" i="16"/>
  <c r="E83" i="16"/>
  <c r="E81" i="16"/>
  <c r="E79" i="16"/>
  <c r="E77" i="16"/>
  <c r="E75" i="16"/>
  <c r="E73" i="16"/>
  <c r="E71" i="16"/>
  <c r="E69" i="16"/>
  <c r="E67" i="16"/>
  <c r="E63" i="16"/>
  <c r="D62" i="16"/>
  <c r="E61" i="16"/>
  <c r="D60" i="16"/>
  <c r="E59" i="16"/>
  <c r="D58" i="16"/>
  <c r="E57" i="16"/>
  <c r="D56" i="16"/>
  <c r="E55" i="16"/>
  <c r="D54" i="16"/>
  <c r="E53" i="16"/>
  <c r="D52" i="16"/>
  <c r="E51" i="16"/>
  <c r="D50" i="16"/>
  <c r="E49" i="16"/>
  <c r="D48" i="16"/>
  <c r="E47" i="16"/>
  <c r="D46" i="16"/>
  <c r="E45" i="16"/>
  <c r="D44" i="16"/>
  <c r="E43" i="16"/>
  <c r="D42" i="16"/>
  <c r="E41" i="16"/>
  <c r="D40" i="16"/>
  <c r="E39" i="16"/>
  <c r="D38" i="16"/>
  <c r="E37" i="16"/>
  <c r="D36" i="16"/>
  <c r="E103" i="18"/>
  <c r="E101" i="18"/>
  <c r="E99" i="18"/>
  <c r="E94" i="18"/>
  <c r="E92" i="18"/>
  <c r="E90" i="18"/>
  <c r="E88" i="18"/>
  <c r="E86" i="18"/>
  <c r="E84" i="18"/>
  <c r="E82" i="18"/>
  <c r="E80" i="18"/>
  <c r="E78" i="18"/>
  <c r="E76" i="18"/>
  <c r="E74" i="18"/>
  <c r="E72" i="18"/>
  <c r="E70" i="18"/>
  <c r="E68" i="18"/>
  <c r="D63" i="18"/>
  <c r="E62" i="18"/>
  <c r="D61" i="18"/>
  <c r="E60" i="18"/>
  <c r="D59" i="18"/>
  <c r="E58" i="18"/>
  <c r="D57" i="18"/>
  <c r="E56" i="18"/>
  <c r="D55" i="18"/>
  <c r="E54" i="18"/>
  <c r="D53" i="18"/>
  <c r="E52" i="18"/>
  <c r="D51" i="18"/>
  <c r="E50" i="18"/>
  <c r="D49" i="18"/>
  <c r="E48" i="18"/>
  <c r="D47" i="18"/>
  <c r="E46" i="18"/>
  <c r="D45" i="18"/>
  <c r="E44" i="18"/>
  <c r="D43" i="18"/>
  <c r="E42" i="18"/>
  <c r="D41" i="18"/>
  <c r="E40" i="18"/>
  <c r="D39" i="18"/>
  <c r="E38" i="18"/>
  <c r="D37" i="18"/>
  <c r="E36" i="18"/>
  <c r="E120" i="18"/>
  <c r="E104" i="18"/>
  <c r="E102" i="18"/>
  <c r="E116" i="18" s="1"/>
  <c r="E100" i="18"/>
  <c r="E98" i="18"/>
  <c r="E93" i="18"/>
  <c r="E91" i="18"/>
  <c r="E89" i="18"/>
  <c r="E87" i="18"/>
  <c r="E85" i="18"/>
  <c r="E83" i="18"/>
  <c r="E81" i="18"/>
  <c r="E79" i="18"/>
  <c r="E77" i="18"/>
  <c r="E75" i="18"/>
  <c r="E73" i="18"/>
  <c r="E71" i="18"/>
  <c r="E69" i="18"/>
  <c r="E67" i="18"/>
  <c r="E63" i="18"/>
  <c r="D62" i="18"/>
  <c r="E61" i="18"/>
  <c r="D60" i="18"/>
  <c r="E59" i="18"/>
  <c r="D58" i="18"/>
  <c r="E57" i="18"/>
  <c r="D56" i="18"/>
  <c r="E55" i="18"/>
  <c r="D54" i="18"/>
  <c r="E53" i="18"/>
  <c r="D52" i="18"/>
  <c r="E51" i="18"/>
  <c r="D50" i="18"/>
  <c r="E49" i="18"/>
  <c r="D48" i="18"/>
  <c r="E47" i="18"/>
  <c r="D46" i="18"/>
  <c r="E45" i="18"/>
  <c r="D44" i="18"/>
  <c r="E43" i="18"/>
  <c r="D42" i="18"/>
  <c r="E41" i="18"/>
  <c r="D40" i="18"/>
  <c r="E39" i="18"/>
  <c r="D38" i="18"/>
  <c r="E37" i="18"/>
  <c r="D36" i="18"/>
  <c r="E103" i="20"/>
  <c r="E101" i="20"/>
  <c r="E99" i="20"/>
  <c r="E94" i="20"/>
  <c r="E92" i="20"/>
  <c r="E90" i="20"/>
  <c r="E88" i="20"/>
  <c r="E86" i="20"/>
  <c r="E84" i="20"/>
  <c r="E82" i="20"/>
  <c r="E80" i="20"/>
  <c r="E78" i="20"/>
  <c r="E76" i="20"/>
  <c r="E74" i="20"/>
  <c r="E72" i="20"/>
  <c r="E70" i="20"/>
  <c r="E68" i="20"/>
  <c r="D63" i="20"/>
  <c r="E62" i="20"/>
  <c r="D61" i="20"/>
  <c r="E60" i="20"/>
  <c r="D59" i="20"/>
  <c r="E58" i="20"/>
  <c r="D57" i="20"/>
  <c r="E56" i="20"/>
  <c r="D55" i="20"/>
  <c r="E54" i="20"/>
  <c r="D53" i="20"/>
  <c r="E52" i="20"/>
  <c r="D51" i="20"/>
  <c r="E50" i="20"/>
  <c r="D49" i="20"/>
  <c r="E48" i="20"/>
  <c r="D47" i="20"/>
  <c r="E46" i="20"/>
  <c r="D45" i="20"/>
  <c r="E44" i="20"/>
  <c r="D43" i="20"/>
  <c r="E42" i="20"/>
  <c r="D41" i="20"/>
  <c r="E40" i="20"/>
  <c r="D39" i="20"/>
  <c r="E38" i="20"/>
  <c r="D37" i="20"/>
  <c r="E36" i="20"/>
  <c r="E120" i="20"/>
  <c r="E104" i="20"/>
  <c r="E102" i="20"/>
  <c r="E116" i="20" s="1"/>
  <c r="E100" i="20"/>
  <c r="E98" i="20"/>
  <c r="E93" i="20"/>
  <c r="E91" i="20"/>
  <c r="E89" i="20"/>
  <c r="E87" i="20"/>
  <c r="E85" i="20"/>
  <c r="E83" i="20"/>
  <c r="E81" i="20"/>
  <c r="E79" i="20"/>
  <c r="E77" i="20"/>
  <c r="E75" i="20"/>
  <c r="E73" i="20"/>
  <c r="E71" i="20"/>
  <c r="E69" i="20"/>
  <c r="E67" i="20"/>
  <c r="E63" i="20"/>
  <c r="D62" i="20"/>
  <c r="E61" i="20"/>
  <c r="D60" i="20"/>
  <c r="E59" i="20"/>
  <c r="D58" i="20"/>
  <c r="E57" i="20"/>
  <c r="D56" i="20"/>
  <c r="E55" i="20"/>
  <c r="D54" i="20"/>
  <c r="E53" i="20"/>
  <c r="D52" i="20"/>
  <c r="E51" i="20"/>
  <c r="D50" i="20"/>
  <c r="E49" i="20"/>
  <c r="D48" i="20"/>
  <c r="E47" i="20"/>
  <c r="D46" i="20"/>
  <c r="E45" i="20"/>
  <c r="D44" i="20"/>
  <c r="E43" i="20"/>
  <c r="D42" i="20"/>
  <c r="E41" i="20"/>
  <c r="D40" i="20"/>
  <c r="E39" i="20"/>
  <c r="D38" i="20"/>
  <c r="E37" i="20"/>
  <c r="D36" i="20"/>
  <c r="E103" i="22"/>
  <c r="E101" i="22"/>
  <c r="E99" i="22"/>
  <c r="E94" i="22"/>
  <c r="E92" i="22"/>
  <c r="E90" i="22"/>
  <c r="E88" i="22"/>
  <c r="E86" i="22"/>
  <c r="E84" i="22"/>
  <c r="E82" i="22"/>
  <c r="E80" i="22"/>
  <c r="E78" i="22"/>
  <c r="E76" i="22"/>
  <c r="E74" i="22"/>
  <c r="E72" i="22"/>
  <c r="E70" i="22"/>
  <c r="E68" i="22"/>
  <c r="D63" i="22"/>
  <c r="E62" i="22"/>
  <c r="D61" i="22"/>
  <c r="E60" i="22"/>
  <c r="D59" i="22"/>
  <c r="E58" i="22"/>
  <c r="D57" i="22"/>
  <c r="E56" i="22"/>
  <c r="D55" i="22"/>
  <c r="E54" i="22"/>
  <c r="D53" i="22"/>
  <c r="E52" i="22"/>
  <c r="D51" i="22"/>
  <c r="E50" i="22"/>
  <c r="D49" i="22"/>
  <c r="E48" i="22"/>
  <c r="D47" i="22"/>
  <c r="E46" i="22"/>
  <c r="D45" i="22"/>
  <c r="E44" i="22"/>
  <c r="D43" i="22"/>
  <c r="E42" i="22"/>
  <c r="D41" i="22"/>
  <c r="E40" i="22"/>
  <c r="D39" i="22"/>
  <c r="E38" i="22"/>
  <c r="D37" i="22"/>
  <c r="E36" i="22"/>
  <c r="E120" i="22"/>
  <c r="E104" i="22"/>
  <c r="E102" i="22"/>
  <c r="E116" i="22" s="1"/>
  <c r="E100" i="22"/>
  <c r="E98" i="22"/>
  <c r="E93" i="22"/>
  <c r="E91" i="22"/>
  <c r="E89" i="22"/>
  <c r="E87" i="22"/>
  <c r="E85" i="22"/>
  <c r="E83" i="22"/>
  <c r="E81" i="22"/>
  <c r="E79" i="22"/>
  <c r="E77" i="22"/>
  <c r="E75" i="22"/>
  <c r="E73" i="22"/>
  <c r="E71" i="22"/>
  <c r="E69" i="22"/>
  <c r="E67" i="22"/>
  <c r="E63" i="22"/>
  <c r="D62" i="22"/>
  <c r="E61" i="22"/>
  <c r="D60" i="22"/>
  <c r="E59" i="22"/>
  <c r="D58" i="22"/>
  <c r="E57" i="22"/>
  <c r="D56" i="22"/>
  <c r="E55" i="22"/>
  <c r="D54" i="22"/>
  <c r="E53" i="22"/>
  <c r="D52" i="22"/>
  <c r="E51" i="22"/>
  <c r="D50" i="22"/>
  <c r="E49" i="22"/>
  <c r="D48" i="22"/>
  <c r="E47" i="22"/>
  <c r="D46" i="22"/>
  <c r="E45" i="22"/>
  <c r="D44" i="22"/>
  <c r="E43" i="22"/>
  <c r="D42" i="22"/>
  <c r="E41" i="22"/>
  <c r="D40" i="22"/>
  <c r="E39" i="22"/>
  <c r="D38" i="22"/>
  <c r="E37" i="22"/>
  <c r="D36" i="22"/>
  <c r="E103" i="24"/>
  <c r="E101" i="24"/>
  <c r="E99" i="24"/>
  <c r="E94" i="24"/>
  <c r="E92" i="24"/>
  <c r="E90" i="24"/>
  <c r="E88" i="24"/>
  <c r="E86" i="24"/>
  <c r="E84" i="24"/>
  <c r="E82" i="24"/>
  <c r="E80" i="24"/>
  <c r="E78" i="24"/>
  <c r="E76" i="24"/>
  <c r="E74" i="24"/>
  <c r="E72" i="24"/>
  <c r="E70" i="24"/>
  <c r="E68" i="24"/>
  <c r="D63" i="24"/>
  <c r="E62" i="24"/>
  <c r="D61" i="24"/>
  <c r="E60" i="24"/>
  <c r="D59" i="24"/>
  <c r="E58" i="24"/>
  <c r="D57" i="24"/>
  <c r="E56" i="24"/>
  <c r="D55" i="24"/>
  <c r="E54" i="24"/>
  <c r="D53" i="24"/>
  <c r="E52" i="24"/>
  <c r="D51" i="24"/>
  <c r="E50" i="24"/>
  <c r="D49" i="24"/>
  <c r="E48" i="24"/>
  <c r="D47" i="24"/>
  <c r="E46" i="24"/>
  <c r="D45" i="24"/>
  <c r="E44" i="24"/>
  <c r="D43" i="24"/>
  <c r="E42" i="24"/>
  <c r="D41" i="24"/>
  <c r="E40" i="24"/>
  <c r="D39" i="24"/>
  <c r="E38" i="24"/>
  <c r="D37" i="24"/>
  <c r="E36" i="24"/>
  <c r="E120" i="24"/>
  <c r="E104" i="24"/>
  <c r="E102" i="24"/>
  <c r="E116" i="24" s="1"/>
  <c r="E100" i="24"/>
  <c r="E98" i="24"/>
  <c r="E93" i="24"/>
  <c r="E91" i="24"/>
  <c r="E89" i="24"/>
  <c r="E87" i="24"/>
  <c r="E85" i="24"/>
  <c r="E83" i="24"/>
  <c r="E81" i="24"/>
  <c r="E79" i="24"/>
  <c r="E77" i="24"/>
  <c r="E75" i="24"/>
  <c r="E73" i="24"/>
  <c r="E71" i="24"/>
  <c r="E69" i="24"/>
  <c r="E67" i="24"/>
  <c r="E63" i="24"/>
  <c r="D62" i="24"/>
  <c r="E61" i="24"/>
  <c r="D60" i="24"/>
  <c r="E59" i="24"/>
  <c r="D58" i="24"/>
  <c r="E57" i="24"/>
  <c r="D56" i="24"/>
  <c r="E55" i="24"/>
  <c r="D54" i="24"/>
  <c r="E53" i="24"/>
  <c r="D52" i="24"/>
  <c r="E51" i="24"/>
  <c r="D50" i="24"/>
  <c r="E49" i="24"/>
  <c r="D48" i="24"/>
  <c r="E47" i="24"/>
  <c r="D46" i="24"/>
  <c r="E45" i="24"/>
  <c r="D44" i="24"/>
  <c r="E43" i="24"/>
  <c r="D42" i="24"/>
  <c r="E41" i="24"/>
  <c r="D40" i="24"/>
  <c r="E39" i="24"/>
  <c r="D38" i="24"/>
  <c r="E37" i="24"/>
  <c r="D36" i="24"/>
  <c r="E103" i="26"/>
  <c r="E101" i="26"/>
  <c r="E99" i="26"/>
  <c r="E94" i="26"/>
  <c r="E92" i="26"/>
  <c r="E90" i="26"/>
  <c r="E88" i="26"/>
  <c r="E86" i="26"/>
  <c r="E84" i="26"/>
  <c r="E82" i="26"/>
  <c r="E80" i="26"/>
  <c r="E78" i="26"/>
  <c r="E76" i="26"/>
  <c r="E74" i="26"/>
  <c r="E72" i="26"/>
  <c r="E70" i="26"/>
  <c r="E68" i="26"/>
  <c r="D63" i="26"/>
  <c r="E62" i="26"/>
  <c r="D61" i="26"/>
  <c r="E60" i="26"/>
  <c r="D59" i="26"/>
  <c r="E58" i="26"/>
  <c r="D57" i="26"/>
  <c r="E56" i="26"/>
  <c r="D55" i="26"/>
  <c r="E54" i="26"/>
  <c r="D53" i="26"/>
  <c r="E52" i="26"/>
  <c r="D51" i="26"/>
  <c r="E50" i="26"/>
  <c r="D49" i="26"/>
  <c r="E48" i="26"/>
  <c r="E120" i="26"/>
  <c r="E104" i="26"/>
  <c r="E102" i="26"/>
  <c r="E116" i="26" s="1"/>
  <c r="F116" i="26" s="1"/>
  <c r="E100" i="26"/>
  <c r="E98" i="26"/>
  <c r="E93" i="26"/>
  <c r="E91" i="26"/>
  <c r="E89" i="26"/>
  <c r="E87" i="26"/>
  <c r="E85" i="26"/>
  <c r="E83" i="26"/>
  <c r="E81" i="26"/>
  <c r="E79" i="26"/>
  <c r="E77" i="26"/>
  <c r="E75" i="26"/>
  <c r="E73" i="26"/>
  <c r="E71" i="26"/>
  <c r="E69" i="26"/>
  <c r="E67" i="26"/>
  <c r="E63" i="26"/>
  <c r="D62" i="26"/>
  <c r="E61" i="26"/>
  <c r="D60" i="26"/>
  <c r="E59" i="26"/>
  <c r="D58" i="26"/>
  <c r="E57" i="26"/>
  <c r="D56" i="26"/>
  <c r="E55" i="26"/>
  <c r="D54" i="26"/>
  <c r="E53" i="26"/>
  <c r="D52" i="26"/>
  <c r="E51" i="26"/>
  <c r="D50" i="26"/>
  <c r="E49" i="26"/>
  <c r="D48" i="26"/>
  <c r="D47" i="26"/>
  <c r="E46" i="26"/>
  <c r="D45" i="26"/>
  <c r="E44" i="26"/>
  <c r="D43" i="26"/>
  <c r="E42" i="26"/>
  <c r="D41" i="26"/>
  <c r="E40" i="26"/>
  <c r="D39" i="26"/>
  <c r="E38" i="26"/>
  <c r="D37" i="26"/>
  <c r="E36" i="26"/>
  <c r="E47" i="26"/>
  <c r="D46" i="26"/>
  <c r="E45" i="26"/>
  <c r="D44" i="26"/>
  <c r="E43" i="26"/>
  <c r="D42" i="26"/>
  <c r="E41" i="26"/>
  <c r="D40" i="26"/>
  <c r="E39" i="26"/>
  <c r="D38" i="26"/>
  <c r="E37" i="26"/>
  <c r="D36" i="26"/>
  <c r="E103" i="28"/>
  <c r="E101" i="28"/>
  <c r="E99" i="28"/>
  <c r="E94" i="28"/>
  <c r="E92" i="28"/>
  <c r="E90" i="28"/>
  <c r="E88" i="28"/>
  <c r="E86" i="28"/>
  <c r="E84" i="28"/>
  <c r="E82" i="28"/>
  <c r="E80" i="28"/>
  <c r="E78" i="28"/>
  <c r="E76" i="28"/>
  <c r="E74" i="28"/>
  <c r="E72" i="28"/>
  <c r="E70" i="28"/>
  <c r="E68" i="28"/>
  <c r="D63" i="28"/>
  <c r="E62" i="28"/>
  <c r="D61" i="28"/>
  <c r="E60" i="28"/>
  <c r="D59" i="28"/>
  <c r="E58" i="28"/>
  <c r="D57" i="28"/>
  <c r="E56" i="28"/>
  <c r="D55" i="28"/>
  <c r="E54" i="28"/>
  <c r="D53" i="28"/>
  <c r="E52" i="28"/>
  <c r="D51" i="28"/>
  <c r="E50" i="28"/>
  <c r="D49" i="28"/>
  <c r="E48" i="28"/>
  <c r="D47" i="28"/>
  <c r="E46" i="28"/>
  <c r="D45" i="28"/>
  <c r="E44" i="28"/>
  <c r="D43" i="28"/>
  <c r="E42" i="28"/>
  <c r="D41" i="28"/>
  <c r="E40" i="28"/>
  <c r="D39" i="28"/>
  <c r="E38" i="28"/>
  <c r="D37" i="28"/>
  <c r="E36" i="28"/>
  <c r="E120" i="28"/>
  <c r="E104" i="28"/>
  <c r="E102" i="28"/>
  <c r="E116" i="28" s="1"/>
  <c r="E100" i="28"/>
  <c r="E98" i="28"/>
  <c r="E93" i="28"/>
  <c r="E91" i="28"/>
  <c r="E89" i="28"/>
  <c r="E87" i="28"/>
  <c r="E85" i="28"/>
  <c r="E83" i="28"/>
  <c r="E81" i="28"/>
  <c r="E79" i="28"/>
  <c r="E77" i="28"/>
  <c r="E75" i="28"/>
  <c r="E73" i="28"/>
  <c r="E71" i="28"/>
  <c r="E69" i="28"/>
  <c r="E67" i="28"/>
  <c r="E63" i="28"/>
  <c r="D62" i="28"/>
  <c r="E61" i="28"/>
  <c r="D60" i="28"/>
  <c r="E59" i="28"/>
  <c r="D58" i="28"/>
  <c r="E57" i="28"/>
  <c r="D56" i="28"/>
  <c r="E55" i="28"/>
  <c r="D54" i="28"/>
  <c r="E53" i="28"/>
  <c r="D52" i="28"/>
  <c r="E51" i="28"/>
  <c r="D50" i="28"/>
  <c r="E49" i="28"/>
  <c r="D48" i="28"/>
  <c r="E47" i="28"/>
  <c r="D46" i="28"/>
  <c r="E45" i="28"/>
  <c r="D44" i="28"/>
  <c r="E43" i="28"/>
  <c r="D42" i="28"/>
  <c r="E41" i="28"/>
  <c r="D40" i="28"/>
  <c r="E39" i="28"/>
  <c r="D38" i="28"/>
  <c r="E37" i="28"/>
  <c r="D36" i="28"/>
  <c r="E103" i="30"/>
  <c r="E101" i="30"/>
  <c r="E99" i="30"/>
  <c r="E94" i="30"/>
  <c r="E92" i="30"/>
  <c r="E90" i="30"/>
  <c r="E88" i="30"/>
  <c r="E86" i="30"/>
  <c r="E84" i="30"/>
  <c r="E82" i="30"/>
  <c r="E80" i="30"/>
  <c r="E78" i="30"/>
  <c r="E76" i="30"/>
  <c r="E74" i="30"/>
  <c r="E72" i="30"/>
  <c r="E70" i="30"/>
  <c r="E68" i="30"/>
  <c r="D63" i="30"/>
  <c r="E62" i="30"/>
  <c r="D61" i="30"/>
  <c r="E60" i="30"/>
  <c r="D59" i="30"/>
  <c r="E58" i="30"/>
  <c r="D57" i="30"/>
  <c r="E56" i="30"/>
  <c r="D55" i="30"/>
  <c r="E54" i="30"/>
  <c r="D53" i="30"/>
  <c r="E52" i="30"/>
  <c r="D51" i="30"/>
  <c r="E50" i="30"/>
  <c r="D49" i="30"/>
  <c r="E48" i="30"/>
  <c r="D47" i="30"/>
  <c r="E46" i="30"/>
  <c r="D45" i="30"/>
  <c r="E44" i="30"/>
  <c r="D43" i="30"/>
  <c r="E42" i="30"/>
  <c r="D41" i="30"/>
  <c r="E40" i="30"/>
  <c r="D39" i="30"/>
  <c r="E38" i="30"/>
  <c r="D37" i="30"/>
  <c r="E36" i="30"/>
  <c r="E120" i="30"/>
  <c r="E104" i="30"/>
  <c r="E102" i="30"/>
  <c r="E116" i="30" s="1"/>
  <c r="E100" i="30"/>
  <c r="E98" i="30"/>
  <c r="E93" i="30"/>
  <c r="E91" i="30"/>
  <c r="E89" i="30"/>
  <c r="E87" i="30"/>
  <c r="E85" i="30"/>
  <c r="E83" i="30"/>
  <c r="E81" i="30"/>
  <c r="E79" i="30"/>
  <c r="E77" i="30"/>
  <c r="E75" i="30"/>
  <c r="E73" i="30"/>
  <c r="E71" i="30"/>
  <c r="E69" i="30"/>
  <c r="E67" i="30"/>
  <c r="E63" i="30"/>
  <c r="D62" i="30"/>
  <c r="E61" i="30"/>
  <c r="D60" i="30"/>
  <c r="E59" i="30"/>
  <c r="D58" i="30"/>
  <c r="E57" i="30"/>
  <c r="D56" i="30"/>
  <c r="E55" i="30"/>
  <c r="D54" i="30"/>
  <c r="E53" i="30"/>
  <c r="D52" i="30"/>
  <c r="E51" i="30"/>
  <c r="D50" i="30"/>
  <c r="E49" i="30"/>
  <c r="D48" i="30"/>
  <c r="E47" i="30"/>
  <c r="D46" i="30"/>
  <c r="E45" i="30"/>
  <c r="D44" i="30"/>
  <c r="E43" i="30"/>
  <c r="D42" i="30"/>
  <c r="E41" i="30"/>
  <c r="D40" i="30"/>
  <c r="E39" i="30"/>
  <c r="D38" i="30"/>
  <c r="E37" i="30"/>
  <c r="D36" i="30"/>
  <c r="E103" i="32"/>
  <c r="E101" i="32"/>
  <c r="E99" i="32"/>
  <c r="E94" i="32"/>
  <c r="E92" i="32"/>
  <c r="E90" i="32"/>
  <c r="E88" i="32"/>
  <c r="E86" i="32"/>
  <c r="E84" i="32"/>
  <c r="E82" i="32"/>
  <c r="E80" i="32"/>
  <c r="E78" i="32"/>
  <c r="E76" i="32"/>
  <c r="E74" i="32"/>
  <c r="E72" i="32"/>
  <c r="E70" i="32"/>
  <c r="E68" i="32"/>
  <c r="D63" i="32"/>
  <c r="E62" i="32"/>
  <c r="D61" i="32"/>
  <c r="E60" i="32"/>
  <c r="D59" i="32"/>
  <c r="E58" i="32"/>
  <c r="D57" i="32"/>
  <c r="E56" i="32"/>
  <c r="D55" i="32"/>
  <c r="E54" i="32"/>
  <c r="D53" i="32"/>
  <c r="E52" i="32"/>
  <c r="D51" i="32"/>
  <c r="E50" i="32"/>
  <c r="D49" i="32"/>
  <c r="E48" i="32"/>
  <c r="D47" i="32"/>
  <c r="E46" i="32"/>
  <c r="D45" i="32"/>
  <c r="E44" i="32"/>
  <c r="D43" i="32"/>
  <c r="E42" i="32"/>
  <c r="D41" i="32"/>
  <c r="E40" i="32"/>
  <c r="D39" i="32"/>
  <c r="E38" i="32"/>
  <c r="D37" i="32"/>
  <c r="E36" i="32"/>
  <c r="E120" i="32"/>
  <c r="F120" i="32" s="1"/>
  <c r="E104" i="32"/>
  <c r="E102" i="32"/>
  <c r="E116" i="32" s="1"/>
  <c r="E100" i="32"/>
  <c r="E98" i="32"/>
  <c r="E93" i="32"/>
  <c r="E91" i="32"/>
  <c r="E89" i="32"/>
  <c r="E87" i="32"/>
  <c r="E85" i="32"/>
  <c r="E83" i="32"/>
  <c r="E81" i="32"/>
  <c r="E79" i="32"/>
  <c r="E77" i="32"/>
  <c r="E75" i="32"/>
  <c r="E73" i="32"/>
  <c r="E71" i="32"/>
  <c r="E69" i="32"/>
  <c r="E67" i="32"/>
  <c r="E63" i="32"/>
  <c r="D62" i="32"/>
  <c r="E61" i="32"/>
  <c r="D60" i="32"/>
  <c r="E59" i="32"/>
  <c r="D58" i="32"/>
  <c r="E57" i="32"/>
  <c r="D56" i="32"/>
  <c r="E55" i="32"/>
  <c r="D54" i="32"/>
  <c r="E53" i="32"/>
  <c r="D52" i="32"/>
  <c r="E51" i="32"/>
  <c r="D50" i="32"/>
  <c r="E49" i="32"/>
  <c r="D48" i="32"/>
  <c r="E47" i="32"/>
  <c r="D46" i="32"/>
  <c r="E45" i="32"/>
  <c r="D44" i="32"/>
  <c r="E43" i="32"/>
  <c r="D42" i="32"/>
  <c r="E41" i="32"/>
  <c r="D40" i="32"/>
  <c r="E39" i="32"/>
  <c r="D38" i="32"/>
  <c r="E37" i="32"/>
  <c r="D36" i="32"/>
  <c r="E103" i="34"/>
  <c r="E101" i="34"/>
  <c r="E99" i="34"/>
  <c r="E94" i="34"/>
  <c r="E92" i="34"/>
  <c r="E90" i="34"/>
  <c r="E88" i="34"/>
  <c r="E86" i="34"/>
  <c r="E84" i="34"/>
  <c r="E82" i="34"/>
  <c r="E80" i="34"/>
  <c r="E78" i="34"/>
  <c r="E76" i="34"/>
  <c r="E74" i="34"/>
  <c r="E72" i="34"/>
  <c r="E70" i="34"/>
  <c r="E68" i="34"/>
  <c r="D63" i="34"/>
  <c r="E62" i="34"/>
  <c r="D61" i="34"/>
  <c r="E60" i="34"/>
  <c r="D59" i="34"/>
  <c r="E58" i="34"/>
  <c r="D57" i="34"/>
  <c r="E56" i="34"/>
  <c r="D55" i="34"/>
  <c r="E54" i="34"/>
  <c r="D53" i="34"/>
  <c r="E52" i="34"/>
  <c r="D51" i="34"/>
  <c r="E50" i="34"/>
  <c r="D49" i="34"/>
  <c r="E48" i="34"/>
  <c r="D47" i="34"/>
  <c r="E46" i="34"/>
  <c r="D45" i="34"/>
  <c r="E44" i="34"/>
  <c r="D43" i="34"/>
  <c r="E42" i="34"/>
  <c r="D41" i="34"/>
  <c r="E40" i="34"/>
  <c r="D39" i="34"/>
  <c r="E38" i="34"/>
  <c r="D37" i="34"/>
  <c r="E36" i="34"/>
  <c r="E120" i="34"/>
  <c r="F120" i="34" s="1"/>
  <c r="E104" i="34"/>
  <c r="E102" i="34"/>
  <c r="E116" i="34" s="1"/>
  <c r="E100" i="34"/>
  <c r="E98" i="34"/>
  <c r="E93" i="34"/>
  <c r="E91" i="34"/>
  <c r="E89" i="34"/>
  <c r="E87" i="34"/>
  <c r="E85" i="34"/>
  <c r="E83" i="34"/>
  <c r="E81" i="34"/>
  <c r="E79" i="34"/>
  <c r="E77" i="34"/>
  <c r="E75" i="34"/>
  <c r="E73" i="34"/>
  <c r="E71" i="34"/>
  <c r="E69" i="34"/>
  <c r="E67" i="34"/>
  <c r="E63" i="34"/>
  <c r="D62" i="34"/>
  <c r="E61" i="34"/>
  <c r="D60" i="34"/>
  <c r="E59" i="34"/>
  <c r="D58" i="34"/>
  <c r="E57" i="34"/>
  <c r="D56" i="34"/>
  <c r="E55" i="34"/>
  <c r="D54" i="34"/>
  <c r="E53" i="34"/>
  <c r="D52" i="34"/>
  <c r="E51" i="34"/>
  <c r="D50" i="34"/>
  <c r="E49" i="34"/>
  <c r="D48" i="34"/>
  <c r="E47" i="34"/>
  <c r="D46" i="34"/>
  <c r="E45" i="34"/>
  <c r="D44" i="34"/>
  <c r="E43" i="34"/>
  <c r="D42" i="34"/>
  <c r="E41" i="34"/>
  <c r="D40" i="34"/>
  <c r="E39" i="34"/>
  <c r="D38" i="34"/>
  <c r="E37" i="34"/>
  <c r="D36" i="34"/>
  <c r="E103" i="36"/>
  <c r="E101" i="36"/>
  <c r="E99" i="36"/>
  <c r="E94" i="36"/>
  <c r="E92" i="36"/>
  <c r="E90" i="36"/>
  <c r="E88" i="36"/>
  <c r="E86" i="36"/>
  <c r="E84" i="36"/>
  <c r="E82" i="36"/>
  <c r="E80" i="36"/>
  <c r="E78" i="36"/>
  <c r="E76" i="36"/>
  <c r="E74" i="36"/>
  <c r="E72" i="36"/>
  <c r="E70" i="36"/>
  <c r="E68" i="36"/>
  <c r="D63" i="36"/>
  <c r="E62" i="36"/>
  <c r="D61" i="36"/>
  <c r="E60" i="36"/>
  <c r="D59" i="36"/>
  <c r="E58" i="36"/>
  <c r="D57" i="36"/>
  <c r="E56" i="36"/>
  <c r="D55" i="36"/>
  <c r="E54" i="36"/>
  <c r="D53" i="36"/>
  <c r="E52" i="36"/>
  <c r="D51" i="36"/>
  <c r="E50" i="36"/>
  <c r="D49" i="36"/>
  <c r="E48" i="36"/>
  <c r="D47" i="36"/>
  <c r="E46" i="36"/>
  <c r="D45" i="36"/>
  <c r="E44" i="36"/>
  <c r="D43" i="36"/>
  <c r="E42" i="36"/>
  <c r="D41" i="36"/>
  <c r="E40" i="36"/>
  <c r="D39" i="36"/>
  <c r="E38" i="36"/>
  <c r="D37" i="36"/>
  <c r="E36" i="36"/>
  <c r="E120" i="36"/>
  <c r="F120" i="36" s="1"/>
  <c r="E104" i="36"/>
  <c r="E102" i="36"/>
  <c r="E116" i="36" s="1"/>
  <c r="E100" i="36"/>
  <c r="E98" i="36"/>
  <c r="E93" i="36"/>
  <c r="E91" i="36"/>
  <c r="E89" i="36"/>
  <c r="E87" i="36"/>
  <c r="E85" i="36"/>
  <c r="E83" i="36"/>
  <c r="E81" i="36"/>
  <c r="E79" i="36"/>
  <c r="E77" i="36"/>
  <c r="E75" i="36"/>
  <c r="E73" i="36"/>
  <c r="E71" i="36"/>
  <c r="E69" i="36"/>
  <c r="E67" i="36"/>
  <c r="E63" i="36"/>
  <c r="D62" i="36"/>
  <c r="E61" i="36"/>
  <c r="D60" i="36"/>
  <c r="E59" i="36"/>
  <c r="D58" i="36"/>
  <c r="E57" i="36"/>
  <c r="D56" i="36"/>
  <c r="E55" i="36"/>
  <c r="D54" i="36"/>
  <c r="E53" i="36"/>
  <c r="D52" i="36"/>
  <c r="E51" i="36"/>
  <c r="D50" i="36"/>
  <c r="E49" i="36"/>
  <c r="D48" i="36"/>
  <c r="E47" i="36"/>
  <c r="D46" i="36"/>
  <c r="E45" i="36"/>
  <c r="D44" i="36"/>
  <c r="E43" i="36"/>
  <c r="D42" i="36"/>
  <c r="E41" i="36"/>
  <c r="D40" i="36"/>
  <c r="E39" i="36"/>
  <c r="D38" i="36"/>
  <c r="E37" i="36"/>
  <c r="D36" i="36"/>
  <c r="E103" i="38"/>
  <c r="E101" i="38"/>
  <c r="E99" i="38"/>
  <c r="E94" i="38"/>
  <c r="E92" i="38"/>
  <c r="E90" i="38"/>
  <c r="E88" i="38"/>
  <c r="E86" i="38"/>
  <c r="E84" i="38"/>
  <c r="E82" i="38"/>
  <c r="E80" i="38"/>
  <c r="E78" i="38"/>
  <c r="E76" i="38"/>
  <c r="E74" i="38"/>
  <c r="E72" i="38"/>
  <c r="E70" i="38"/>
  <c r="E68" i="38"/>
  <c r="D63" i="38"/>
  <c r="E62" i="38"/>
  <c r="D61" i="38"/>
  <c r="E60" i="38"/>
  <c r="D59" i="38"/>
  <c r="E58" i="38"/>
  <c r="D57" i="38"/>
  <c r="E56" i="38"/>
  <c r="D55" i="38"/>
  <c r="E54" i="38"/>
  <c r="D53" i="38"/>
  <c r="E52" i="38"/>
  <c r="D51" i="38"/>
  <c r="E50" i="38"/>
  <c r="D49" i="38"/>
  <c r="E48" i="38"/>
  <c r="D47" i="38"/>
  <c r="E46" i="38"/>
  <c r="D45" i="38"/>
  <c r="E44" i="38"/>
  <c r="D43" i="38"/>
  <c r="E42" i="38"/>
  <c r="D41" i="38"/>
  <c r="E40" i="38"/>
  <c r="D39" i="38"/>
  <c r="E38" i="38"/>
  <c r="D37" i="38"/>
  <c r="E36" i="38"/>
  <c r="E120" i="38"/>
  <c r="E104" i="38"/>
  <c r="E102" i="38"/>
  <c r="E116" i="38" s="1"/>
  <c r="E100" i="38"/>
  <c r="E98" i="38"/>
  <c r="E93" i="38"/>
  <c r="E91" i="38"/>
  <c r="E89" i="38"/>
  <c r="E87" i="38"/>
  <c r="E85" i="38"/>
  <c r="E83" i="38"/>
  <c r="E81" i="38"/>
  <c r="E79" i="38"/>
  <c r="E77" i="38"/>
  <c r="E75" i="38"/>
  <c r="E73" i="38"/>
  <c r="E71" i="38"/>
  <c r="E69" i="38"/>
  <c r="E67" i="38"/>
  <c r="E63" i="38"/>
  <c r="D62" i="38"/>
  <c r="E61" i="38"/>
  <c r="D60" i="38"/>
  <c r="E59" i="38"/>
  <c r="D58" i="38"/>
  <c r="E57" i="38"/>
  <c r="D56" i="38"/>
  <c r="E55" i="38"/>
  <c r="D54" i="38"/>
  <c r="E53" i="38"/>
  <c r="D52" i="38"/>
  <c r="E51" i="38"/>
  <c r="D50" i="38"/>
  <c r="E49" i="38"/>
  <c r="D48" i="38"/>
  <c r="E47" i="38"/>
  <c r="D46" i="38"/>
  <c r="E45" i="38"/>
  <c r="D44" i="38"/>
  <c r="E43" i="38"/>
  <c r="D42" i="38"/>
  <c r="E41" i="38"/>
  <c r="D40" i="38"/>
  <c r="E39" i="38"/>
  <c r="D38" i="38"/>
  <c r="E37" i="38"/>
  <c r="D36" i="38"/>
  <c r="E103" i="40"/>
  <c r="E101" i="40"/>
  <c r="E99" i="40"/>
  <c r="E94" i="40"/>
  <c r="E92" i="40"/>
  <c r="E90" i="40"/>
  <c r="E88" i="40"/>
  <c r="E86" i="40"/>
  <c r="E84" i="40"/>
  <c r="E82" i="40"/>
  <c r="E80" i="40"/>
  <c r="E78" i="40"/>
  <c r="E76" i="40"/>
  <c r="E74" i="40"/>
  <c r="E72" i="40"/>
  <c r="E70" i="40"/>
  <c r="E68" i="40"/>
  <c r="D63" i="40"/>
  <c r="E62" i="40"/>
  <c r="D61" i="40"/>
  <c r="E60" i="40"/>
  <c r="D59" i="40"/>
  <c r="E58" i="40"/>
  <c r="D57" i="40"/>
  <c r="E56" i="40"/>
  <c r="D55" i="40"/>
  <c r="E54" i="40"/>
  <c r="D53" i="40"/>
  <c r="E52" i="40"/>
  <c r="D51" i="40"/>
  <c r="E50" i="40"/>
  <c r="D49" i="40"/>
  <c r="E48" i="40"/>
  <c r="D47" i="40"/>
  <c r="E46" i="40"/>
  <c r="D45" i="40"/>
  <c r="E44" i="40"/>
  <c r="D43" i="40"/>
  <c r="E42" i="40"/>
  <c r="D41" i="40"/>
  <c r="E40" i="40"/>
  <c r="D39" i="40"/>
  <c r="E38" i="40"/>
  <c r="D37" i="40"/>
  <c r="E120" i="40"/>
  <c r="E104" i="40"/>
  <c r="E102" i="40"/>
  <c r="E116" i="40" s="1"/>
  <c r="E100" i="40"/>
  <c r="E98" i="40"/>
  <c r="E93" i="40"/>
  <c r="E91" i="40"/>
  <c r="E89" i="40"/>
  <c r="E87" i="40"/>
  <c r="E85" i="40"/>
  <c r="E83" i="40"/>
  <c r="E81" i="40"/>
  <c r="E79" i="40"/>
  <c r="E77" i="40"/>
  <c r="E75" i="40"/>
  <c r="E73" i="40"/>
  <c r="E71" i="40"/>
  <c r="E69" i="40"/>
  <c r="E67" i="40"/>
  <c r="E63" i="40"/>
  <c r="D62" i="40"/>
  <c r="E61" i="40"/>
  <c r="D60" i="40"/>
  <c r="E59" i="40"/>
  <c r="D58" i="40"/>
  <c r="E57" i="40"/>
  <c r="D54" i="40"/>
  <c r="E53" i="40"/>
  <c r="D50" i="40"/>
  <c r="E49" i="40"/>
  <c r="D46" i="40"/>
  <c r="E45" i="40"/>
  <c r="D42" i="40"/>
  <c r="E41" i="40"/>
  <c r="D38" i="40"/>
  <c r="E37" i="40"/>
  <c r="D36" i="40"/>
  <c r="D56" i="40"/>
  <c r="E55" i="40"/>
  <c r="D52" i="40"/>
  <c r="E51" i="40"/>
  <c r="D48" i="40"/>
  <c r="E47" i="40"/>
  <c r="D44" i="40"/>
  <c r="E43" i="40"/>
  <c r="D40" i="40"/>
  <c r="E39" i="40"/>
  <c r="E36" i="40"/>
  <c r="E120" i="42"/>
  <c r="E104" i="42"/>
  <c r="E102" i="42"/>
  <c r="E116" i="42" s="1"/>
  <c r="E100" i="42"/>
  <c r="E98" i="42"/>
  <c r="E93" i="42"/>
  <c r="E91" i="42"/>
  <c r="E89" i="42"/>
  <c r="E87" i="42"/>
  <c r="E85" i="42"/>
  <c r="E83" i="42"/>
  <c r="E81" i="42"/>
  <c r="E79" i="42"/>
  <c r="E77" i="42"/>
  <c r="E75" i="42"/>
  <c r="E73" i="42"/>
  <c r="E71" i="42"/>
  <c r="E69" i="42"/>
  <c r="E67" i="42"/>
  <c r="E63" i="42"/>
  <c r="D62" i="42"/>
  <c r="E61" i="42"/>
  <c r="D60" i="42"/>
  <c r="E59" i="42"/>
  <c r="D58" i="42"/>
  <c r="E57" i="42"/>
  <c r="D56" i="42"/>
  <c r="E55" i="42"/>
  <c r="D54" i="42"/>
  <c r="E53" i="42"/>
  <c r="D52" i="42"/>
  <c r="E51" i="42"/>
  <c r="D50" i="42"/>
  <c r="E49" i="42"/>
  <c r="D48" i="42"/>
  <c r="E47" i="42"/>
  <c r="D46" i="42"/>
  <c r="E45" i="42"/>
  <c r="D44" i="42"/>
  <c r="E43" i="42"/>
  <c r="D42" i="42"/>
  <c r="E41" i="42"/>
  <c r="D40" i="42"/>
  <c r="E39" i="42"/>
  <c r="D38" i="42"/>
  <c r="E37" i="42"/>
  <c r="D36" i="42"/>
  <c r="E103" i="42"/>
  <c r="E101" i="42"/>
  <c r="E99" i="42"/>
  <c r="E94" i="42"/>
  <c r="E92" i="42"/>
  <c r="E90" i="42"/>
  <c r="E88" i="42"/>
  <c r="E86" i="42"/>
  <c r="E84" i="42"/>
  <c r="E82" i="42"/>
  <c r="E80" i="42"/>
  <c r="E78" i="42"/>
  <c r="E76" i="42"/>
  <c r="E74" i="42"/>
  <c r="E72" i="42"/>
  <c r="E70" i="42"/>
  <c r="E68" i="42"/>
  <c r="D63" i="42"/>
  <c r="E62" i="42"/>
  <c r="D61" i="42"/>
  <c r="E60" i="42"/>
  <c r="D59" i="42"/>
  <c r="E58" i="42"/>
  <c r="D57" i="42"/>
  <c r="E56" i="42"/>
  <c r="D55" i="42"/>
  <c r="E54" i="42"/>
  <c r="D53" i="42"/>
  <c r="E52" i="42"/>
  <c r="D51" i="42"/>
  <c r="E50" i="42"/>
  <c r="D49" i="42"/>
  <c r="E48" i="42"/>
  <c r="D47" i="42"/>
  <c r="E46" i="42"/>
  <c r="D45" i="42"/>
  <c r="E44" i="42"/>
  <c r="D43" i="42"/>
  <c r="E42" i="42"/>
  <c r="D41" i="42"/>
  <c r="E40" i="42"/>
  <c r="D39" i="42"/>
  <c r="E38" i="42"/>
  <c r="D37" i="42"/>
  <c r="E36" i="42"/>
  <c r="E120" i="44"/>
  <c r="E104" i="44"/>
  <c r="E102" i="44"/>
  <c r="E116" i="44" s="1"/>
  <c r="F116" i="44" s="1"/>
  <c r="E100" i="44"/>
  <c r="E98" i="44"/>
  <c r="E93" i="44"/>
  <c r="E91" i="44"/>
  <c r="E89" i="44"/>
  <c r="E87" i="44"/>
  <c r="E85" i="44"/>
  <c r="E83" i="44"/>
  <c r="E81" i="44"/>
  <c r="E79" i="44"/>
  <c r="E77" i="44"/>
  <c r="E75" i="44"/>
  <c r="E73" i="44"/>
  <c r="E71" i="44"/>
  <c r="E69" i="44"/>
  <c r="E67" i="44"/>
  <c r="E63" i="44"/>
  <c r="D62" i="44"/>
  <c r="E61" i="44"/>
  <c r="D60" i="44"/>
  <c r="E59" i="44"/>
  <c r="D58" i="44"/>
  <c r="E57" i="44"/>
  <c r="D56" i="44"/>
  <c r="E55" i="44"/>
  <c r="D54" i="44"/>
  <c r="E53" i="44"/>
  <c r="D52" i="44"/>
  <c r="E51" i="44"/>
  <c r="D50" i="44"/>
  <c r="E49" i="44"/>
  <c r="D48" i="44"/>
  <c r="E47" i="44"/>
  <c r="D46" i="44"/>
  <c r="E45" i="44"/>
  <c r="D44" i="44"/>
  <c r="E43" i="44"/>
  <c r="D42" i="44"/>
  <c r="E41" i="44"/>
  <c r="D40" i="44"/>
  <c r="E39" i="44"/>
  <c r="D38" i="44"/>
  <c r="E37" i="44"/>
  <c r="D36" i="44"/>
  <c r="E103" i="44"/>
  <c r="E101" i="44"/>
  <c r="E99" i="44"/>
  <c r="E94" i="44"/>
  <c r="E92" i="44"/>
  <c r="E90" i="44"/>
  <c r="E88" i="44"/>
  <c r="E86" i="44"/>
  <c r="E84" i="44"/>
  <c r="E82" i="44"/>
  <c r="E80" i="44"/>
  <c r="E78" i="44"/>
  <c r="E76" i="44"/>
  <c r="E74" i="44"/>
  <c r="E72" i="44"/>
  <c r="E70" i="44"/>
  <c r="E68" i="44"/>
  <c r="D63" i="44"/>
  <c r="E62" i="44"/>
  <c r="D61" i="44"/>
  <c r="E60" i="44"/>
  <c r="D59" i="44"/>
  <c r="E58" i="44"/>
  <c r="D57" i="44"/>
  <c r="E56" i="44"/>
  <c r="D55" i="44"/>
  <c r="E54" i="44"/>
  <c r="D53" i="44"/>
  <c r="E52" i="44"/>
  <c r="D51" i="44"/>
  <c r="E50" i="44"/>
  <c r="D49" i="44"/>
  <c r="E48" i="44"/>
  <c r="D47" i="44"/>
  <c r="E46" i="44"/>
  <c r="D45" i="44"/>
  <c r="E44" i="44"/>
  <c r="D43" i="44"/>
  <c r="E42" i="44"/>
  <c r="D41" i="44"/>
  <c r="E40" i="44"/>
  <c r="D39" i="44"/>
  <c r="E38" i="44"/>
  <c r="D37" i="44"/>
  <c r="E36" i="44"/>
  <c r="E120" i="46"/>
  <c r="F120" i="46" s="1"/>
  <c r="E104" i="46"/>
  <c r="E102" i="46"/>
  <c r="E116" i="46" s="1"/>
  <c r="E100" i="46"/>
  <c r="E98" i="46"/>
  <c r="E93" i="46"/>
  <c r="E91" i="46"/>
  <c r="E89" i="46"/>
  <c r="E87" i="46"/>
  <c r="E85" i="46"/>
  <c r="E83" i="46"/>
  <c r="E81" i="46"/>
  <c r="E79" i="46"/>
  <c r="E77" i="46"/>
  <c r="E75" i="46"/>
  <c r="E73" i="46"/>
  <c r="E71" i="46"/>
  <c r="E69" i="46"/>
  <c r="E67" i="46"/>
  <c r="E63" i="46"/>
  <c r="D62" i="46"/>
  <c r="E61" i="46"/>
  <c r="D60" i="46"/>
  <c r="E59" i="46"/>
  <c r="D58" i="46"/>
  <c r="E57" i="46"/>
  <c r="D56" i="46"/>
  <c r="E55" i="46"/>
  <c r="D54" i="46"/>
  <c r="E53" i="46"/>
  <c r="D52" i="46"/>
  <c r="E51" i="46"/>
  <c r="D50" i="46"/>
  <c r="E49" i="46"/>
  <c r="D48" i="46"/>
  <c r="E47" i="46"/>
  <c r="D46" i="46"/>
  <c r="E45" i="46"/>
  <c r="D44" i="46"/>
  <c r="E43" i="46"/>
  <c r="D42" i="46"/>
  <c r="E41" i="46"/>
  <c r="D40" i="46"/>
  <c r="E39" i="46"/>
  <c r="D38" i="46"/>
  <c r="E37" i="46"/>
  <c r="D36" i="46"/>
  <c r="E103" i="46"/>
  <c r="E101" i="46"/>
  <c r="E99" i="46"/>
  <c r="E94" i="46"/>
  <c r="E92" i="46"/>
  <c r="E90" i="46"/>
  <c r="E88" i="46"/>
  <c r="E86" i="46"/>
  <c r="E84" i="46"/>
  <c r="E82" i="46"/>
  <c r="E80" i="46"/>
  <c r="E78" i="46"/>
  <c r="E76" i="46"/>
  <c r="E74" i="46"/>
  <c r="E72" i="46"/>
  <c r="E70" i="46"/>
  <c r="E68" i="46"/>
  <c r="D63" i="46"/>
  <c r="E62" i="46"/>
  <c r="D61" i="46"/>
  <c r="E60" i="46"/>
  <c r="D59" i="46"/>
  <c r="E58" i="46"/>
  <c r="D57" i="46"/>
  <c r="E56" i="46"/>
  <c r="D55" i="46"/>
  <c r="E54" i="46"/>
  <c r="D53" i="46"/>
  <c r="E52" i="46"/>
  <c r="D51" i="46"/>
  <c r="E50" i="46"/>
  <c r="D49" i="46"/>
  <c r="E48" i="46"/>
  <c r="D47" i="46"/>
  <c r="E46" i="46"/>
  <c r="D45" i="46"/>
  <c r="E44" i="46"/>
  <c r="D43" i="46"/>
  <c r="E42" i="46"/>
  <c r="D41" i="46"/>
  <c r="E40" i="46"/>
  <c r="D39" i="46"/>
  <c r="E38" i="46"/>
  <c r="D37" i="46"/>
  <c r="E36" i="46"/>
  <c r="E120" i="48"/>
  <c r="E104" i="48"/>
  <c r="E102" i="48"/>
  <c r="E116" i="48" s="1"/>
  <c r="E100" i="48"/>
  <c r="E98" i="48"/>
  <c r="E93" i="48"/>
  <c r="E91" i="48"/>
  <c r="E89" i="48"/>
  <c r="E87" i="48"/>
  <c r="E85" i="48"/>
  <c r="E83" i="48"/>
  <c r="E81" i="48"/>
  <c r="E79" i="48"/>
  <c r="E77" i="48"/>
  <c r="E75" i="48"/>
  <c r="E73" i="48"/>
  <c r="E71" i="48"/>
  <c r="E69" i="48"/>
  <c r="E67" i="48"/>
  <c r="E63" i="48"/>
  <c r="D62" i="48"/>
  <c r="E61" i="48"/>
  <c r="D60" i="48"/>
  <c r="E59" i="48"/>
  <c r="D58" i="48"/>
  <c r="E57" i="48"/>
  <c r="D56" i="48"/>
  <c r="E55" i="48"/>
  <c r="D54" i="48"/>
  <c r="E53" i="48"/>
  <c r="D52" i="48"/>
  <c r="E51" i="48"/>
  <c r="D50" i="48"/>
  <c r="E49" i="48"/>
  <c r="D48" i="48"/>
  <c r="E47" i="48"/>
  <c r="D46" i="48"/>
  <c r="E45" i="48"/>
  <c r="D44" i="48"/>
  <c r="E43" i="48"/>
  <c r="D42" i="48"/>
  <c r="E41" i="48"/>
  <c r="D40" i="48"/>
  <c r="E39" i="48"/>
  <c r="D38" i="48"/>
  <c r="E37" i="48"/>
  <c r="D36" i="48"/>
  <c r="E103" i="48"/>
  <c r="E101" i="48"/>
  <c r="E99" i="48"/>
  <c r="E94" i="48"/>
  <c r="E92" i="48"/>
  <c r="E90" i="48"/>
  <c r="E88" i="48"/>
  <c r="E86" i="48"/>
  <c r="E84" i="48"/>
  <c r="E82" i="48"/>
  <c r="E80" i="48"/>
  <c r="E78" i="48"/>
  <c r="E76" i="48"/>
  <c r="E74" i="48"/>
  <c r="E72" i="48"/>
  <c r="E70" i="48"/>
  <c r="E68" i="48"/>
  <c r="D63" i="48"/>
  <c r="E62" i="48"/>
  <c r="D61" i="48"/>
  <c r="E60" i="48"/>
  <c r="D59" i="48"/>
  <c r="E58" i="48"/>
  <c r="D57" i="48"/>
  <c r="E56" i="48"/>
  <c r="D55" i="48"/>
  <c r="E54" i="48"/>
  <c r="D53" i="48"/>
  <c r="E52" i="48"/>
  <c r="D51" i="48"/>
  <c r="E50" i="48"/>
  <c r="D49" i="48"/>
  <c r="E48" i="48"/>
  <c r="D47" i="48"/>
  <c r="E46" i="48"/>
  <c r="D45" i="48"/>
  <c r="E44" i="48"/>
  <c r="D43" i="48"/>
  <c r="E42" i="48"/>
  <c r="D41" i="48"/>
  <c r="E40" i="48"/>
  <c r="D39" i="48"/>
  <c r="E38" i="48"/>
  <c r="D37" i="48"/>
  <c r="E36" i="48"/>
  <c r="E120" i="50"/>
  <c r="E104" i="50"/>
  <c r="E102" i="50"/>
  <c r="E116" i="50" s="1"/>
  <c r="E100" i="50"/>
  <c r="E98" i="50"/>
  <c r="E93" i="50"/>
  <c r="E91" i="50"/>
  <c r="E89" i="50"/>
  <c r="E87" i="50"/>
  <c r="E85" i="50"/>
  <c r="E83" i="50"/>
  <c r="E81" i="50"/>
  <c r="E79" i="50"/>
  <c r="E77" i="50"/>
  <c r="E75" i="50"/>
  <c r="E73" i="50"/>
  <c r="E71" i="50"/>
  <c r="E69" i="50"/>
  <c r="E67" i="50"/>
  <c r="E63" i="50"/>
  <c r="D62" i="50"/>
  <c r="E61" i="50"/>
  <c r="D60" i="50"/>
  <c r="E59" i="50"/>
  <c r="D58" i="50"/>
  <c r="E57" i="50"/>
  <c r="D56" i="50"/>
  <c r="E55" i="50"/>
  <c r="D54" i="50"/>
  <c r="E53" i="50"/>
  <c r="D52" i="50"/>
  <c r="E51" i="50"/>
  <c r="D50" i="50"/>
  <c r="E49" i="50"/>
  <c r="D48" i="50"/>
  <c r="E47" i="50"/>
  <c r="D46" i="50"/>
  <c r="E45" i="50"/>
  <c r="D44" i="50"/>
  <c r="E43" i="50"/>
  <c r="D42" i="50"/>
  <c r="E41" i="50"/>
  <c r="D40" i="50"/>
  <c r="E39" i="50"/>
  <c r="D38" i="50"/>
  <c r="E37" i="50"/>
  <c r="D36" i="50"/>
  <c r="E103" i="50"/>
  <c r="E101" i="50"/>
  <c r="E99" i="50"/>
  <c r="E94" i="50"/>
  <c r="E92" i="50"/>
  <c r="E90" i="50"/>
  <c r="E88" i="50"/>
  <c r="E86" i="50"/>
  <c r="E84" i="50"/>
  <c r="E82" i="50"/>
  <c r="E80" i="50"/>
  <c r="E78" i="50"/>
  <c r="E76" i="50"/>
  <c r="E74" i="50"/>
  <c r="E72" i="50"/>
  <c r="E70" i="50"/>
  <c r="E68" i="50"/>
  <c r="D63" i="50"/>
  <c r="E62" i="50"/>
  <c r="D61" i="50"/>
  <c r="E60" i="50"/>
  <c r="D59" i="50"/>
  <c r="E58" i="50"/>
  <c r="D57" i="50"/>
  <c r="E56" i="50"/>
  <c r="D55" i="50"/>
  <c r="E54" i="50"/>
  <c r="D53" i="50"/>
  <c r="E52" i="50"/>
  <c r="D51" i="50"/>
  <c r="E50" i="50"/>
  <c r="D49" i="50"/>
  <c r="E48" i="50"/>
  <c r="D47" i="50"/>
  <c r="E46" i="50"/>
  <c r="D45" i="50"/>
  <c r="E44" i="50"/>
  <c r="D43" i="50"/>
  <c r="E42" i="50"/>
  <c r="D41" i="50"/>
  <c r="E40" i="50"/>
  <c r="D39" i="50"/>
  <c r="E38" i="50"/>
  <c r="D37" i="50"/>
  <c r="E36" i="50"/>
  <c r="E120" i="52"/>
  <c r="E104" i="52"/>
  <c r="E102" i="52"/>
  <c r="E116" i="52" s="1"/>
  <c r="E100" i="52"/>
  <c r="E98" i="52"/>
  <c r="E93" i="52"/>
  <c r="E91" i="52"/>
  <c r="E89" i="52"/>
  <c r="E87" i="52"/>
  <c r="E85" i="52"/>
  <c r="E83" i="52"/>
  <c r="E81" i="52"/>
  <c r="E79" i="52"/>
  <c r="E77" i="52"/>
  <c r="E75" i="52"/>
  <c r="E73" i="52"/>
  <c r="E71" i="52"/>
  <c r="E69" i="52"/>
  <c r="E67" i="52"/>
  <c r="E63" i="52"/>
  <c r="D62" i="52"/>
  <c r="E61" i="52"/>
  <c r="D60" i="52"/>
  <c r="E59" i="52"/>
  <c r="D58" i="52"/>
  <c r="E57" i="52"/>
  <c r="D56" i="52"/>
  <c r="E55" i="52"/>
  <c r="D54" i="52"/>
  <c r="E53" i="52"/>
  <c r="D52" i="52"/>
  <c r="E51" i="52"/>
  <c r="D50" i="52"/>
  <c r="E49" i="52"/>
  <c r="D48" i="52"/>
  <c r="E47" i="52"/>
  <c r="D46" i="52"/>
  <c r="E45" i="52"/>
  <c r="D44" i="52"/>
  <c r="E43" i="52"/>
  <c r="D42" i="52"/>
  <c r="E41" i="52"/>
  <c r="D40" i="52"/>
  <c r="E39" i="52"/>
  <c r="D38" i="52"/>
  <c r="E37" i="52"/>
  <c r="D36" i="52"/>
  <c r="E103" i="52"/>
  <c r="E101" i="52"/>
  <c r="E99" i="52"/>
  <c r="E94" i="52"/>
  <c r="E92" i="52"/>
  <c r="E90" i="52"/>
  <c r="E88" i="52"/>
  <c r="E86" i="52"/>
  <c r="E84" i="52"/>
  <c r="E82" i="52"/>
  <c r="E80" i="52"/>
  <c r="E78" i="52"/>
  <c r="E76" i="52"/>
  <c r="E74" i="52"/>
  <c r="E72" i="52"/>
  <c r="E70" i="52"/>
  <c r="E68" i="52"/>
  <c r="D63" i="52"/>
  <c r="E62" i="52"/>
  <c r="D61" i="52"/>
  <c r="E60" i="52"/>
  <c r="D59" i="52"/>
  <c r="E58" i="52"/>
  <c r="D57" i="52"/>
  <c r="E56" i="52"/>
  <c r="D55" i="52"/>
  <c r="E54" i="52"/>
  <c r="D53" i="52"/>
  <c r="E52" i="52"/>
  <c r="D51" i="52"/>
  <c r="E50" i="52"/>
  <c r="D49" i="52"/>
  <c r="E48" i="52"/>
  <c r="D47" i="52"/>
  <c r="E46" i="52"/>
  <c r="D45" i="52"/>
  <c r="E44" i="52"/>
  <c r="D43" i="52"/>
  <c r="E42" i="52"/>
  <c r="D41" i="52"/>
  <c r="E40" i="52"/>
  <c r="D39" i="52"/>
  <c r="E38" i="52"/>
  <c r="D37" i="52"/>
  <c r="E36" i="52"/>
  <c r="E120" i="54"/>
  <c r="E104" i="54"/>
  <c r="E102" i="54"/>
  <c r="E116" i="54" s="1"/>
  <c r="E100" i="54"/>
  <c r="E98" i="54"/>
  <c r="E93" i="54"/>
  <c r="E91" i="54"/>
  <c r="E89" i="54"/>
  <c r="E87" i="54"/>
  <c r="E85" i="54"/>
  <c r="E83" i="54"/>
  <c r="E81" i="54"/>
  <c r="E79" i="54"/>
  <c r="E77" i="54"/>
  <c r="E75" i="54"/>
  <c r="E73" i="54"/>
  <c r="E71" i="54"/>
  <c r="E69" i="54"/>
  <c r="E67" i="54"/>
  <c r="E63" i="54"/>
  <c r="D62" i="54"/>
  <c r="E61" i="54"/>
  <c r="D60" i="54"/>
  <c r="E59" i="54"/>
  <c r="D58" i="54"/>
  <c r="E57" i="54"/>
  <c r="D56" i="54"/>
  <c r="E55" i="54"/>
  <c r="D54" i="54"/>
  <c r="E53" i="54"/>
  <c r="D52" i="54"/>
  <c r="E51" i="54"/>
  <c r="D50" i="54"/>
  <c r="E49" i="54"/>
  <c r="D48" i="54"/>
  <c r="E47" i="54"/>
  <c r="D46" i="54"/>
  <c r="E45" i="54"/>
  <c r="D44" i="54"/>
  <c r="E43" i="54"/>
  <c r="D42" i="54"/>
  <c r="E41" i="54"/>
  <c r="D40" i="54"/>
  <c r="E39" i="54"/>
  <c r="D38" i="54"/>
  <c r="E37" i="54"/>
  <c r="D117" i="60"/>
  <c r="E103" i="54"/>
  <c r="E101" i="54"/>
  <c r="E99" i="54"/>
  <c r="E94" i="54"/>
  <c r="E92" i="54"/>
  <c r="E90" i="54"/>
  <c r="E88" i="54"/>
  <c r="E86" i="54"/>
  <c r="E84" i="54"/>
  <c r="E82" i="54"/>
  <c r="E80" i="54"/>
  <c r="E78" i="54"/>
  <c r="E76" i="54"/>
  <c r="E74" i="54"/>
  <c r="E72" i="54"/>
  <c r="E70" i="54"/>
  <c r="E68" i="54"/>
  <c r="D63" i="54"/>
  <c r="E62" i="54"/>
  <c r="D61" i="54"/>
  <c r="E60" i="54"/>
  <c r="D59" i="54"/>
  <c r="E58" i="54"/>
  <c r="D57" i="54"/>
  <c r="E56" i="54"/>
  <c r="D55" i="54"/>
  <c r="E54" i="54"/>
  <c r="D53" i="54"/>
  <c r="E52" i="54"/>
  <c r="D51" i="54"/>
  <c r="E50" i="54"/>
  <c r="D49" i="54"/>
  <c r="E48" i="54"/>
  <c r="D47" i="54"/>
  <c r="E46" i="54"/>
  <c r="D45" i="54"/>
  <c r="E44" i="54"/>
  <c r="D43" i="54"/>
  <c r="E42" i="54"/>
  <c r="D41" i="54"/>
  <c r="E40" i="54"/>
  <c r="D39" i="54"/>
  <c r="E38" i="54"/>
  <c r="D37" i="54"/>
  <c r="E36" i="54"/>
  <c r="D36" i="56"/>
  <c r="E37" i="56"/>
  <c r="D38" i="56"/>
  <c r="E39" i="56"/>
  <c r="D40" i="56"/>
  <c r="E41" i="56"/>
  <c r="D42" i="56"/>
  <c r="E43" i="56"/>
  <c r="D44" i="56"/>
  <c r="E45" i="56"/>
  <c r="D46" i="56"/>
  <c r="E47" i="56"/>
  <c r="D48" i="56"/>
  <c r="E49" i="56"/>
  <c r="D50" i="56"/>
  <c r="E51" i="56"/>
  <c r="D52" i="56"/>
  <c r="E53" i="56"/>
  <c r="D54" i="56"/>
  <c r="D54" i="60" s="1"/>
  <c r="E55" i="56"/>
  <c r="D56" i="56"/>
  <c r="E57" i="56"/>
  <c r="D58" i="56"/>
  <c r="D58" i="60" s="1"/>
  <c r="E59" i="56"/>
  <c r="D60" i="56"/>
  <c r="E61" i="56"/>
  <c r="D62" i="56"/>
  <c r="D62" i="60" s="1"/>
  <c r="E63" i="56"/>
  <c r="E67" i="56"/>
  <c r="E69" i="56"/>
  <c r="E69" i="60" s="1"/>
  <c r="E71" i="56"/>
  <c r="E73" i="56"/>
  <c r="E73" i="60" s="1"/>
  <c r="E75" i="56"/>
  <c r="E77" i="56"/>
  <c r="E77" i="60" s="1"/>
  <c r="E79" i="56"/>
  <c r="E81" i="56"/>
  <c r="E81" i="60" s="1"/>
  <c r="E83" i="56"/>
  <c r="E85" i="56"/>
  <c r="E85" i="60" s="1"/>
  <c r="E87" i="56"/>
  <c r="E89" i="56"/>
  <c r="E89" i="60" s="1"/>
  <c r="E91" i="56"/>
  <c r="E93" i="56"/>
  <c r="E98" i="56"/>
  <c r="E100" i="56"/>
  <c r="E102" i="56"/>
  <c r="E116" i="56" s="1"/>
  <c r="E104" i="56"/>
  <c r="E113" i="60"/>
  <c r="D115" i="60"/>
  <c r="E36" i="55"/>
  <c r="E36" i="60" s="1"/>
  <c r="D37" i="55"/>
  <c r="D37" i="60" s="1"/>
  <c r="E38" i="55"/>
  <c r="D39" i="55"/>
  <c r="E40" i="55"/>
  <c r="D41" i="55"/>
  <c r="D41" i="60" s="1"/>
  <c r="E42" i="55"/>
  <c r="D43" i="55"/>
  <c r="E44" i="55"/>
  <c r="D45" i="55"/>
  <c r="D45" i="60" s="1"/>
  <c r="E46" i="55"/>
  <c r="D47" i="55"/>
  <c r="E48" i="55"/>
  <c r="E48" i="60" s="1"/>
  <c r="D49" i="55"/>
  <c r="E50" i="55"/>
  <c r="D51" i="55"/>
  <c r="E52" i="55"/>
  <c r="E52" i="60" s="1"/>
  <c r="D53" i="55"/>
  <c r="E54" i="55"/>
  <c r="D55" i="55"/>
  <c r="E56" i="55"/>
  <c r="E56" i="60" s="1"/>
  <c r="D57" i="55"/>
  <c r="D57" i="60" s="1"/>
  <c r="E58" i="55"/>
  <c r="D59" i="55"/>
  <c r="E60" i="55"/>
  <c r="E60" i="60" s="1"/>
  <c r="D61" i="55"/>
  <c r="D61" i="60" s="1"/>
  <c r="E62" i="55"/>
  <c r="D63" i="55"/>
  <c r="E68" i="55"/>
  <c r="E68" i="60" s="1"/>
  <c r="E70" i="55"/>
  <c r="E72" i="55"/>
  <c r="E72" i="60" s="1"/>
  <c r="E74" i="55"/>
  <c r="E76" i="55"/>
  <c r="E76" i="60" s="1"/>
  <c r="E78" i="55"/>
  <c r="E80" i="55"/>
  <c r="E82" i="55"/>
  <c r="E84" i="55"/>
  <c r="E86" i="55"/>
  <c r="E88" i="55"/>
  <c r="E88" i="60" s="1"/>
  <c r="E90" i="55"/>
  <c r="E92" i="55"/>
  <c r="E92" i="60" s="1"/>
  <c r="E94" i="55"/>
  <c r="E99" i="55"/>
  <c r="E101" i="55"/>
  <c r="E103" i="55"/>
  <c r="C111" i="60"/>
  <c r="C113" i="60"/>
  <c r="C115" i="60"/>
  <c r="D36" i="54"/>
  <c r="D36" i="60" s="1"/>
  <c r="F120" i="21"/>
  <c r="F120" i="23"/>
  <c r="F120" i="22"/>
  <c r="F120" i="24"/>
  <c r="D6" i="57"/>
  <c r="D8" i="57"/>
  <c r="D10" i="57"/>
  <c r="D12" i="57"/>
  <c r="D14" i="57"/>
  <c r="D16" i="57"/>
  <c r="D18" i="57"/>
  <c r="D20" i="57"/>
  <c r="D22" i="57"/>
  <c r="D24" i="57"/>
  <c r="D26" i="57"/>
  <c r="D28" i="57"/>
  <c r="D30" i="57"/>
  <c r="D32" i="57"/>
  <c r="E47" i="60"/>
  <c r="E55" i="60"/>
  <c r="F63" i="57"/>
  <c r="E70" i="60"/>
  <c r="E78" i="60"/>
  <c r="E86" i="60"/>
  <c r="E94" i="60"/>
  <c r="F110" i="57"/>
  <c r="D7" i="57"/>
  <c r="D9" i="57"/>
  <c r="D11" i="57"/>
  <c r="D13" i="57"/>
  <c r="D15" i="57"/>
  <c r="D17" i="57"/>
  <c r="D19" i="57"/>
  <c r="D21" i="57"/>
  <c r="D23" i="57"/>
  <c r="D25" i="57"/>
  <c r="D27" i="57"/>
  <c r="D29" i="57"/>
  <c r="D31" i="57"/>
  <c r="F40" i="57"/>
  <c r="F48" i="57"/>
  <c r="F120" i="35"/>
  <c r="D68" i="25"/>
  <c r="F68" i="25" s="1"/>
  <c r="D72" i="25"/>
  <c r="F72" i="25" s="1"/>
  <c r="D76" i="25"/>
  <c r="F76" i="25" s="1"/>
  <c r="D80" i="25"/>
  <c r="F80" i="25" s="1"/>
  <c r="D84" i="25"/>
  <c r="F84" i="25" s="1"/>
  <c r="D88" i="25"/>
  <c r="F88" i="25" s="1"/>
  <c r="D92" i="25"/>
  <c r="F92" i="25" s="1"/>
  <c r="F120" i="49"/>
  <c r="F120" i="50"/>
  <c r="F120" i="56"/>
  <c r="F120" i="1"/>
  <c r="F120" i="59"/>
  <c r="F120" i="3"/>
  <c r="F120" i="4"/>
  <c r="F120" i="5"/>
  <c r="F120" i="6"/>
  <c r="F120" i="7"/>
  <c r="F120" i="8"/>
  <c r="D68" i="21"/>
  <c r="F68" i="21" s="1"/>
  <c r="D6" i="21"/>
  <c r="D72" i="21"/>
  <c r="D10" i="21"/>
  <c r="D76" i="21"/>
  <c r="F76" i="21" s="1"/>
  <c r="D14" i="21"/>
  <c r="D80" i="21"/>
  <c r="F80" i="21" s="1"/>
  <c r="D18" i="21"/>
  <c r="D84" i="21"/>
  <c r="F84" i="21" s="1"/>
  <c r="D22" i="21"/>
  <c r="D88" i="21"/>
  <c r="F88" i="21" s="1"/>
  <c r="D26" i="21"/>
  <c r="D92" i="21"/>
  <c r="F92" i="21" s="1"/>
  <c r="D30" i="21"/>
  <c r="F72" i="21"/>
  <c r="D68" i="23"/>
  <c r="D6" i="23"/>
  <c r="D72" i="23"/>
  <c r="D10" i="23"/>
  <c r="D76" i="23"/>
  <c r="F76" i="23" s="1"/>
  <c r="D14" i="23"/>
  <c r="D80" i="23"/>
  <c r="F80" i="23" s="1"/>
  <c r="D18" i="23"/>
  <c r="D84" i="23"/>
  <c r="F84" i="23" s="1"/>
  <c r="D22" i="23"/>
  <c r="D88" i="23"/>
  <c r="F88" i="23" s="1"/>
  <c r="D26" i="23"/>
  <c r="D92" i="23"/>
  <c r="F92" i="23" s="1"/>
  <c r="D30" i="23"/>
  <c r="F72" i="23"/>
  <c r="F120" i="9"/>
  <c r="F120" i="10"/>
  <c r="F120" i="11"/>
  <c r="F120" i="12"/>
  <c r="F120" i="13"/>
  <c r="F120" i="14"/>
  <c r="F120" i="15"/>
  <c r="F120" i="16"/>
  <c r="F120" i="17"/>
  <c r="F120" i="18"/>
  <c r="F120" i="19"/>
  <c r="F120" i="20"/>
  <c r="D68" i="22"/>
  <c r="F68" i="22" s="1"/>
  <c r="D6" i="22"/>
  <c r="D72" i="22"/>
  <c r="D10" i="22"/>
  <c r="D76" i="22"/>
  <c r="F76" i="22" s="1"/>
  <c r="D14" i="22"/>
  <c r="D80" i="22"/>
  <c r="F80" i="22" s="1"/>
  <c r="D18" i="22"/>
  <c r="D84" i="22"/>
  <c r="F84" i="22" s="1"/>
  <c r="D22" i="22"/>
  <c r="D88" i="22"/>
  <c r="F88" i="22" s="1"/>
  <c r="D26" i="22"/>
  <c r="D92" i="22"/>
  <c r="F92" i="22" s="1"/>
  <c r="D30" i="22"/>
  <c r="F72" i="22"/>
  <c r="F68" i="23"/>
  <c r="D68" i="24"/>
  <c r="F68" i="24" s="1"/>
  <c r="D6" i="24"/>
  <c r="D72" i="24"/>
  <c r="D10" i="24"/>
  <c r="D76" i="24"/>
  <c r="F76" i="24" s="1"/>
  <c r="D14" i="24"/>
  <c r="D80" i="24"/>
  <c r="F80" i="24" s="1"/>
  <c r="D18" i="24"/>
  <c r="D84" i="24"/>
  <c r="F84" i="24" s="1"/>
  <c r="D22" i="24"/>
  <c r="D88" i="24"/>
  <c r="F88" i="24" s="1"/>
  <c r="D26" i="24"/>
  <c r="D92" i="24"/>
  <c r="F92" i="24" s="1"/>
  <c r="D30" i="24"/>
  <c r="F72" i="24"/>
  <c r="F120" i="25"/>
  <c r="D6" i="25"/>
  <c r="D10" i="25"/>
  <c r="D14" i="25"/>
  <c r="D18" i="25"/>
  <c r="D22" i="25"/>
  <c r="D26" i="25"/>
  <c r="D30" i="25"/>
  <c r="F120" i="26"/>
  <c r="F120" i="27"/>
  <c r="F120" i="28"/>
  <c r="F120" i="29"/>
  <c r="F120" i="30"/>
  <c r="F120" i="31"/>
  <c r="E64" i="32"/>
  <c r="E105" i="32"/>
  <c r="E64" i="34"/>
  <c r="E105" i="34"/>
  <c r="E64" i="36"/>
  <c r="E105" i="36"/>
  <c r="E64" i="33"/>
  <c r="E105" i="33"/>
  <c r="E64" i="35"/>
  <c r="E105" i="35"/>
  <c r="E64" i="37"/>
  <c r="E105" i="37"/>
  <c r="F36" i="32"/>
  <c r="F37" i="32"/>
  <c r="F38" i="32"/>
  <c r="F40" i="32"/>
  <c r="F41" i="32"/>
  <c r="F42" i="32"/>
  <c r="F44" i="32"/>
  <c r="F45" i="32"/>
  <c r="F46" i="32"/>
  <c r="F48" i="32"/>
  <c r="F49" i="32"/>
  <c r="F50" i="32"/>
  <c r="F52" i="32"/>
  <c r="F53" i="32"/>
  <c r="F54" i="32"/>
  <c r="F56" i="32"/>
  <c r="F57" i="32"/>
  <c r="F58" i="32"/>
  <c r="F60" i="32"/>
  <c r="F61" i="32"/>
  <c r="F62" i="32"/>
  <c r="F36" i="34"/>
  <c r="F37" i="34"/>
  <c r="F38" i="34"/>
  <c r="F40" i="34"/>
  <c r="F41" i="34"/>
  <c r="F42" i="34"/>
  <c r="F44" i="34"/>
  <c r="F45" i="34"/>
  <c r="F46" i="34"/>
  <c r="F48" i="34"/>
  <c r="F49" i="34"/>
  <c r="F50" i="34"/>
  <c r="F52" i="34"/>
  <c r="F53" i="34"/>
  <c r="F54" i="34"/>
  <c r="F56" i="34"/>
  <c r="F57" i="34"/>
  <c r="F58" i="34"/>
  <c r="F60" i="34"/>
  <c r="F61" i="34"/>
  <c r="F62" i="34"/>
  <c r="F36" i="36"/>
  <c r="F37" i="36"/>
  <c r="F38" i="36"/>
  <c r="F40" i="36"/>
  <c r="F41" i="36"/>
  <c r="F42" i="36"/>
  <c r="F44" i="36"/>
  <c r="F45" i="36"/>
  <c r="F46" i="36"/>
  <c r="F48" i="36"/>
  <c r="F49" i="36"/>
  <c r="F50" i="36"/>
  <c r="F52" i="36"/>
  <c r="F53" i="36"/>
  <c r="F54" i="36"/>
  <c r="F56" i="36"/>
  <c r="F57" i="36"/>
  <c r="F58" i="36"/>
  <c r="F60" i="36"/>
  <c r="F61" i="36"/>
  <c r="F62" i="36"/>
  <c r="F120" i="38"/>
  <c r="F120" i="39"/>
  <c r="F120" i="40"/>
  <c r="F120" i="41"/>
  <c r="F120" i="42"/>
  <c r="F120" i="43"/>
  <c r="F120" i="44"/>
  <c r="E64" i="46"/>
  <c r="E105" i="46"/>
  <c r="E64" i="45"/>
  <c r="E105" i="45"/>
  <c r="F39" i="46"/>
  <c r="F43" i="46"/>
  <c r="F47" i="46"/>
  <c r="F51" i="46"/>
  <c r="F55" i="46"/>
  <c r="F59" i="46"/>
  <c r="F63" i="46"/>
  <c r="F120" i="47"/>
  <c r="F120" i="48"/>
  <c r="F46" i="48"/>
  <c r="E64" i="49"/>
  <c r="E105" i="49"/>
  <c r="E64" i="51"/>
  <c r="E64" i="50"/>
  <c r="E105" i="50"/>
  <c r="F39" i="49"/>
  <c r="F43" i="49"/>
  <c r="F47" i="49"/>
  <c r="F51" i="49"/>
  <c r="F55" i="49"/>
  <c r="F59" i="49"/>
  <c r="F63" i="49"/>
  <c r="F120" i="51"/>
  <c r="F37" i="51"/>
  <c r="F41" i="51"/>
  <c r="F45" i="51"/>
  <c r="F49" i="51"/>
  <c r="F53" i="51"/>
  <c r="F57" i="51"/>
  <c r="F61" i="51"/>
  <c r="F120" i="52"/>
  <c r="F120" i="53"/>
  <c r="F120" i="54"/>
  <c r="F120" i="55"/>
  <c r="D60" i="60"/>
  <c r="E43" i="60"/>
  <c r="E39" i="60"/>
  <c r="E38" i="60"/>
  <c r="E37" i="60"/>
  <c r="D52" i="60"/>
  <c r="D50" i="60"/>
  <c r="D49" i="60"/>
  <c r="D47" i="60"/>
  <c r="D46" i="60"/>
  <c r="D42" i="60"/>
  <c r="D40" i="60"/>
  <c r="D38" i="60"/>
  <c r="D5" i="57"/>
  <c r="F37" i="57"/>
  <c r="D69" i="57"/>
  <c r="F39" i="57"/>
  <c r="D71" i="57"/>
  <c r="F71" i="57" s="1"/>
  <c r="F41" i="57"/>
  <c r="E41" i="60"/>
  <c r="D73" i="57"/>
  <c r="F73" i="57" s="1"/>
  <c r="D75" i="57"/>
  <c r="F75" i="57" s="1"/>
  <c r="F45" i="57"/>
  <c r="E45" i="60"/>
  <c r="D77" i="57"/>
  <c r="F77" i="57" s="1"/>
  <c r="F47" i="57"/>
  <c r="D48" i="60"/>
  <c r="F49" i="57"/>
  <c r="E49" i="60"/>
  <c r="D81" i="57"/>
  <c r="F81" i="57" s="1"/>
  <c r="F51" i="57"/>
  <c r="D83" i="57"/>
  <c r="F83" i="57" s="1"/>
  <c r="F53" i="57"/>
  <c r="E53" i="60"/>
  <c r="D85" i="57"/>
  <c r="F55" i="57"/>
  <c r="D87" i="57"/>
  <c r="F87" i="57" s="1"/>
  <c r="F57" i="57"/>
  <c r="E57" i="60"/>
  <c r="D89" i="57"/>
  <c r="F89" i="57" s="1"/>
  <c r="F59" i="57"/>
  <c r="F61" i="57"/>
  <c r="E61" i="60"/>
  <c r="D93" i="57"/>
  <c r="F93" i="57" s="1"/>
  <c r="E63" i="60"/>
  <c r="E95" i="57"/>
  <c r="C109" i="57" s="1"/>
  <c r="E67" i="60"/>
  <c r="D68" i="57"/>
  <c r="F38" i="57"/>
  <c r="E40" i="60"/>
  <c r="D72" i="57"/>
  <c r="F72" i="57" s="1"/>
  <c r="F42" i="57"/>
  <c r="E42" i="60"/>
  <c r="D43" i="60"/>
  <c r="D76" i="57"/>
  <c r="F46" i="57"/>
  <c r="E46" i="60"/>
  <c r="D78" i="57"/>
  <c r="F78" i="57" s="1"/>
  <c r="D80" i="57"/>
  <c r="F80" i="57" s="1"/>
  <c r="F50" i="57"/>
  <c r="E50" i="60"/>
  <c r="D51" i="60"/>
  <c r="D84" i="57"/>
  <c r="D53" i="60"/>
  <c r="F54" i="57"/>
  <c r="E54" i="60"/>
  <c r="D86" i="57"/>
  <c r="F86" i="57" s="1"/>
  <c r="D88" i="57"/>
  <c r="F88" i="57" s="1"/>
  <c r="F58" i="57"/>
  <c r="E58" i="60"/>
  <c r="D59" i="60"/>
  <c r="D92" i="57"/>
  <c r="F92" i="57" s="1"/>
  <c r="F62" i="57"/>
  <c r="E62" i="60"/>
  <c r="E71" i="60"/>
  <c r="E75" i="60"/>
  <c r="E79" i="60"/>
  <c r="E83" i="60"/>
  <c r="E87" i="60"/>
  <c r="E91" i="60"/>
  <c r="E105" i="57"/>
  <c r="E98" i="60"/>
  <c r="E100" i="60"/>
  <c r="E116" i="57"/>
  <c r="F116" i="57" s="1"/>
  <c r="E102" i="60"/>
  <c r="E110" i="60"/>
  <c r="E112" i="60"/>
  <c r="E114" i="60"/>
  <c r="C116" i="60"/>
  <c r="F120" i="57"/>
  <c r="E120" i="60"/>
  <c r="E74" i="60"/>
  <c r="E80" i="60"/>
  <c r="E82" i="60"/>
  <c r="E84" i="60"/>
  <c r="E90" i="60"/>
  <c r="E99" i="60"/>
  <c r="E101" i="60"/>
  <c r="E103" i="60"/>
  <c r="C110" i="60"/>
  <c r="F111" i="57"/>
  <c r="F112" i="57"/>
  <c r="C112" i="60"/>
  <c r="F113" i="57"/>
  <c r="F114" i="57"/>
  <c r="C114" i="60"/>
  <c r="F115" i="57"/>
  <c r="E115" i="60"/>
  <c r="F117" i="57"/>
  <c r="E64" i="57"/>
  <c r="F69" i="57"/>
  <c r="F85" i="57"/>
  <c r="F115" i="51" l="1"/>
  <c r="F115" i="47"/>
  <c r="F113" i="45"/>
  <c r="F112" i="43"/>
  <c r="F111" i="41"/>
  <c r="F112" i="39"/>
  <c r="F111" i="37"/>
  <c r="F110" i="27"/>
  <c r="F114" i="27"/>
  <c r="F111" i="25"/>
  <c r="F115" i="12"/>
  <c r="F115" i="22"/>
  <c r="F115" i="18"/>
  <c r="F115" i="55"/>
  <c r="F110" i="54"/>
  <c r="F112" i="54"/>
  <c r="F114" i="54"/>
  <c r="F111" i="52"/>
  <c r="F113" i="52"/>
  <c r="F115" i="52"/>
  <c r="F110" i="50"/>
  <c r="F112" i="50"/>
  <c r="F114" i="50"/>
  <c r="F111" i="48"/>
  <c r="F113" i="48"/>
  <c r="F115" i="48"/>
  <c r="F115" i="46"/>
  <c r="F114" i="44"/>
  <c r="F111" i="42"/>
  <c r="F110" i="40"/>
  <c r="F111" i="38"/>
  <c r="F110" i="36"/>
  <c r="F113" i="34"/>
  <c r="F112" i="32"/>
  <c r="F115" i="30"/>
  <c r="F110" i="24"/>
  <c r="F114" i="24"/>
  <c r="F115" i="16"/>
  <c r="F115" i="9"/>
  <c r="F115" i="5"/>
  <c r="F115" i="1"/>
  <c r="F115" i="35"/>
  <c r="F114" i="33"/>
  <c r="F115" i="29"/>
  <c r="B63" i="64"/>
  <c r="M28" i="63"/>
  <c r="M30" i="63"/>
  <c r="M32" i="63"/>
  <c r="M13" i="63"/>
  <c r="M15" i="63"/>
  <c r="M19" i="63"/>
  <c r="F116" i="53"/>
  <c r="F116" i="33"/>
  <c r="F116" i="13"/>
  <c r="F116" i="5"/>
  <c r="F116" i="12"/>
  <c r="F116" i="52"/>
  <c r="F116" i="48"/>
  <c r="F111" i="46"/>
  <c r="F110" i="44"/>
  <c r="F112" i="44"/>
  <c r="F115" i="42"/>
  <c r="F116" i="42"/>
  <c r="F115" i="38"/>
  <c r="F116" i="38"/>
  <c r="F116" i="34"/>
  <c r="F116" i="30"/>
  <c r="F111" i="28"/>
  <c r="F115" i="28"/>
  <c r="F110" i="26"/>
  <c r="F114" i="26"/>
  <c r="F116" i="24"/>
  <c r="F112" i="24"/>
  <c r="F116" i="22"/>
  <c r="F116" i="18"/>
  <c r="F116" i="14"/>
  <c r="F111" i="11"/>
  <c r="F113" i="11"/>
  <c r="F115" i="11"/>
  <c r="F111" i="7"/>
  <c r="F113" i="7"/>
  <c r="F115" i="7"/>
  <c r="F111" i="3"/>
  <c r="F113" i="3"/>
  <c r="F115" i="3"/>
  <c r="F116" i="15"/>
  <c r="F115" i="8"/>
  <c r="F115" i="56"/>
  <c r="F116" i="49"/>
  <c r="F116" i="45"/>
  <c r="F115" i="41"/>
  <c r="F116" i="41"/>
  <c r="F115" i="37"/>
  <c r="F116" i="37"/>
  <c r="F111" i="35"/>
  <c r="F113" i="35"/>
  <c r="F110" i="33"/>
  <c r="F112" i="33"/>
  <c r="F111" i="31"/>
  <c r="F113" i="31"/>
  <c r="F115" i="31"/>
  <c r="F115" i="25"/>
  <c r="F116" i="25"/>
  <c r="F111" i="23"/>
  <c r="F113" i="23"/>
  <c r="F115" i="23"/>
  <c r="F110" i="21"/>
  <c r="F112" i="21"/>
  <c r="F114" i="21"/>
  <c r="F116" i="19"/>
  <c r="F110" i="15"/>
  <c r="F112" i="15"/>
  <c r="F114" i="15"/>
  <c r="F110" i="13"/>
  <c r="F112" i="13"/>
  <c r="F114" i="13"/>
  <c r="F116" i="10"/>
  <c r="F116" i="6"/>
  <c r="F116" i="59"/>
  <c r="M14" i="63"/>
  <c r="M18" i="63"/>
  <c r="M27" i="63"/>
  <c r="M29" i="63"/>
  <c r="M31" i="63"/>
  <c r="F116" i="55"/>
  <c r="F115" i="53"/>
  <c r="F116" i="20"/>
  <c r="F116" i="9"/>
  <c r="F116" i="1"/>
  <c r="F116" i="54"/>
  <c r="F111" i="54"/>
  <c r="F113" i="54"/>
  <c r="F115" i="54"/>
  <c r="F110" i="52"/>
  <c r="F112" i="52"/>
  <c r="F114" i="52"/>
  <c r="F116" i="50"/>
  <c r="F111" i="50"/>
  <c r="F113" i="50"/>
  <c r="F115" i="50"/>
  <c r="F110" i="48"/>
  <c r="F112" i="48"/>
  <c r="F114" i="48"/>
  <c r="F116" i="46"/>
  <c r="F110" i="46"/>
  <c r="F112" i="46"/>
  <c r="F114" i="46"/>
  <c r="F111" i="44"/>
  <c r="F113" i="44"/>
  <c r="F115" i="44"/>
  <c r="F110" i="42"/>
  <c r="F111" i="40"/>
  <c r="F115" i="40"/>
  <c r="F116" i="40"/>
  <c r="F110" i="38"/>
  <c r="F111" i="36"/>
  <c r="F115" i="36"/>
  <c r="F116" i="36"/>
  <c r="F110" i="34"/>
  <c r="F114" i="34"/>
  <c r="F111" i="32"/>
  <c r="F115" i="32"/>
  <c r="F116" i="32"/>
  <c r="F110" i="30"/>
  <c r="F114" i="30"/>
  <c r="F116" i="28"/>
  <c r="F110" i="28"/>
  <c r="F112" i="28"/>
  <c r="F114" i="28"/>
  <c r="F111" i="26"/>
  <c r="F113" i="26"/>
  <c r="F115" i="26"/>
  <c r="F113" i="24"/>
  <c r="F115" i="24"/>
  <c r="F110" i="22"/>
  <c r="F114" i="22"/>
  <c r="F116" i="16"/>
  <c r="F110" i="9"/>
  <c r="F112" i="9"/>
  <c r="F114" i="9"/>
  <c r="F110" i="5"/>
  <c r="F112" i="5"/>
  <c r="F114" i="5"/>
  <c r="F110" i="1"/>
  <c r="F112" i="1"/>
  <c r="F114" i="1"/>
  <c r="F116" i="21"/>
  <c r="F115" i="19"/>
  <c r="F115" i="17"/>
  <c r="F115" i="4"/>
  <c r="F116" i="51"/>
  <c r="F115" i="49"/>
  <c r="F116" i="47"/>
  <c r="F110" i="45"/>
  <c r="F114" i="45"/>
  <c r="F111" i="43"/>
  <c r="F115" i="43"/>
  <c r="F116" i="43"/>
  <c r="F112" i="41"/>
  <c r="F111" i="39"/>
  <c r="F115" i="39"/>
  <c r="F116" i="39"/>
  <c r="F116" i="35"/>
  <c r="F110" i="35"/>
  <c r="F112" i="35"/>
  <c r="F114" i="35"/>
  <c r="F111" i="33"/>
  <c r="F113" i="33"/>
  <c r="F115" i="33"/>
  <c r="F116" i="31"/>
  <c r="F110" i="31"/>
  <c r="F112" i="31"/>
  <c r="F114" i="31"/>
  <c r="F111" i="29"/>
  <c r="F116" i="29"/>
  <c r="F114" i="29"/>
  <c r="F116" i="27"/>
  <c r="F116" i="23"/>
  <c r="F110" i="23"/>
  <c r="F112" i="23"/>
  <c r="F114" i="23"/>
  <c r="F111" i="21"/>
  <c r="F113" i="21"/>
  <c r="F115" i="21"/>
  <c r="F116" i="17"/>
  <c r="F111" i="15"/>
  <c r="F113" i="15"/>
  <c r="F111" i="13"/>
  <c r="F113" i="13"/>
  <c r="F115" i="13"/>
  <c r="F116" i="8"/>
  <c r="F116" i="4"/>
  <c r="F116" i="56"/>
  <c r="M7" i="63"/>
  <c r="E7" i="63"/>
  <c r="E104" i="60"/>
  <c r="E93" i="60"/>
  <c r="E111" i="60"/>
  <c r="F117" i="60"/>
  <c r="D33" i="57"/>
  <c r="B7" i="63" s="1"/>
  <c r="D64" i="57"/>
  <c r="F36" i="57"/>
  <c r="D94" i="57"/>
  <c r="F94" i="57" s="1"/>
  <c r="F60" i="57"/>
  <c r="D90" i="57"/>
  <c r="F90" i="57" s="1"/>
  <c r="F56" i="57"/>
  <c r="F84" i="57"/>
  <c r="F52" i="57"/>
  <c r="D82" i="57"/>
  <c r="F82" i="57" s="1"/>
  <c r="F76" i="57"/>
  <c r="F44" i="57"/>
  <c r="D74" i="57"/>
  <c r="F74" i="57" s="1"/>
  <c r="D70" i="57"/>
  <c r="F70" i="57" s="1"/>
  <c r="F68" i="57"/>
  <c r="D91" i="57"/>
  <c r="F91" i="57" s="1"/>
  <c r="E59" i="60"/>
  <c r="E51" i="60"/>
  <c r="D79" i="57"/>
  <c r="F79" i="57" s="1"/>
  <c r="F43" i="57"/>
  <c r="D67" i="57"/>
  <c r="F67" i="57" s="1"/>
  <c r="D39" i="60"/>
  <c r="D44" i="60"/>
  <c r="D55" i="60"/>
  <c r="D56" i="60"/>
  <c r="E44" i="60"/>
  <c r="D63" i="60"/>
  <c r="F40" i="60"/>
  <c r="F62" i="60"/>
  <c r="F54" i="60"/>
  <c r="F48" i="60"/>
  <c r="F52" i="60"/>
  <c r="F56" i="60"/>
  <c r="F60" i="60"/>
  <c r="F58" i="60"/>
  <c r="F42" i="60"/>
  <c r="F46" i="60"/>
  <c r="F50" i="60"/>
  <c r="E95" i="49"/>
  <c r="C109" i="49" s="1"/>
  <c r="F109" i="49" s="1"/>
  <c r="D118" i="48"/>
  <c r="D118" i="47"/>
  <c r="D118" i="50"/>
  <c r="D118" i="45"/>
  <c r="D118" i="36"/>
  <c r="E118" i="37"/>
  <c r="D118" i="35"/>
  <c r="D94" i="24"/>
  <c r="F94" i="24" s="1"/>
  <c r="D32" i="24"/>
  <c r="D90" i="24"/>
  <c r="F90" i="24" s="1"/>
  <c r="D28" i="24"/>
  <c r="D86" i="24"/>
  <c r="F86" i="24" s="1"/>
  <c r="D24" i="24"/>
  <c r="D82" i="24"/>
  <c r="F82" i="24" s="1"/>
  <c r="D20" i="24"/>
  <c r="D78" i="24"/>
  <c r="F78" i="24" s="1"/>
  <c r="D16" i="24"/>
  <c r="D74" i="24"/>
  <c r="F74" i="24" s="1"/>
  <c r="D12" i="24"/>
  <c r="D70" i="24"/>
  <c r="F70" i="24" s="1"/>
  <c r="D8" i="24"/>
  <c r="D94" i="22"/>
  <c r="F94" i="22" s="1"/>
  <c r="D32" i="22"/>
  <c r="D90" i="22"/>
  <c r="F90" i="22" s="1"/>
  <c r="D28" i="22"/>
  <c r="D86" i="22"/>
  <c r="F86" i="22" s="1"/>
  <c r="D24" i="22"/>
  <c r="D82" i="22"/>
  <c r="D20" i="22"/>
  <c r="D78" i="22"/>
  <c r="F78" i="22" s="1"/>
  <c r="D16" i="22"/>
  <c r="D74" i="22"/>
  <c r="F74" i="22" s="1"/>
  <c r="D12" i="22"/>
  <c r="D70" i="22"/>
  <c r="F70" i="22" s="1"/>
  <c r="D8" i="22"/>
  <c r="D118" i="51"/>
  <c r="D118" i="38"/>
  <c r="F82" i="22"/>
  <c r="D118" i="46"/>
  <c r="E118" i="45"/>
  <c r="D118" i="37"/>
  <c r="D118" i="34"/>
  <c r="D118" i="32"/>
  <c r="D94" i="25"/>
  <c r="F94" i="25" s="1"/>
  <c r="D32" i="25"/>
  <c r="D90" i="25"/>
  <c r="F90" i="25" s="1"/>
  <c r="D28" i="25"/>
  <c r="D86" i="25"/>
  <c r="F86" i="25" s="1"/>
  <c r="D24" i="25"/>
  <c r="D82" i="25"/>
  <c r="F82" i="25" s="1"/>
  <c r="D20" i="25"/>
  <c r="D78" i="25"/>
  <c r="F78" i="25" s="1"/>
  <c r="D16" i="25"/>
  <c r="D74" i="25"/>
  <c r="F74" i="25" s="1"/>
  <c r="D12" i="25"/>
  <c r="D70" i="25"/>
  <c r="F70" i="25" s="1"/>
  <c r="D8" i="25"/>
  <c r="D94" i="23"/>
  <c r="F94" i="23" s="1"/>
  <c r="D32" i="23"/>
  <c r="D90" i="23"/>
  <c r="F90" i="23" s="1"/>
  <c r="D28" i="23"/>
  <c r="D86" i="23"/>
  <c r="F86" i="23" s="1"/>
  <c r="D24" i="23"/>
  <c r="D82" i="23"/>
  <c r="F82" i="23" s="1"/>
  <c r="D20" i="23"/>
  <c r="D78" i="23"/>
  <c r="F78" i="23" s="1"/>
  <c r="D16" i="23"/>
  <c r="D74" i="23"/>
  <c r="F74" i="23" s="1"/>
  <c r="D12" i="23"/>
  <c r="D70" i="23"/>
  <c r="F70" i="23" s="1"/>
  <c r="D8" i="23"/>
  <c r="D94" i="21"/>
  <c r="F94" i="21" s="1"/>
  <c r="D32" i="21"/>
  <c r="D90" i="21"/>
  <c r="F90" i="21" s="1"/>
  <c r="D28" i="21"/>
  <c r="D86" i="21"/>
  <c r="F86" i="21" s="1"/>
  <c r="D24" i="21"/>
  <c r="D82" i="21"/>
  <c r="F82" i="21" s="1"/>
  <c r="D20" i="21"/>
  <c r="D78" i="21"/>
  <c r="F78" i="21" s="1"/>
  <c r="D16" i="21"/>
  <c r="D74" i="21"/>
  <c r="F74" i="21" s="1"/>
  <c r="D12" i="21"/>
  <c r="D70" i="21"/>
  <c r="F70" i="21" s="1"/>
  <c r="D8" i="21"/>
  <c r="E118" i="35"/>
  <c r="E118" i="32"/>
  <c r="F36" i="60"/>
  <c r="E64" i="55"/>
  <c r="M9" i="63" s="1"/>
  <c r="F36" i="55"/>
  <c r="D118" i="55"/>
  <c r="F38" i="55"/>
  <c r="F40" i="55"/>
  <c r="F42" i="55"/>
  <c r="F44" i="55"/>
  <c r="F46" i="55"/>
  <c r="F48" i="55"/>
  <c r="F50" i="55"/>
  <c r="F52" i="55"/>
  <c r="F54" i="55"/>
  <c r="F56" i="55"/>
  <c r="F58" i="55"/>
  <c r="D91" i="55"/>
  <c r="F91" i="55" s="1"/>
  <c r="D29" i="55"/>
  <c r="D92" i="55"/>
  <c r="D30" i="55"/>
  <c r="D93" i="55"/>
  <c r="D31" i="55"/>
  <c r="D94" i="55"/>
  <c r="D32" i="55"/>
  <c r="F92" i="55"/>
  <c r="F61" i="55"/>
  <c r="F63" i="55"/>
  <c r="E95" i="55"/>
  <c r="C109" i="55" s="1"/>
  <c r="F109" i="55" s="1"/>
  <c r="E105" i="55"/>
  <c r="F39" i="54"/>
  <c r="F37" i="54"/>
  <c r="D72" i="54"/>
  <c r="F72" i="54" s="1"/>
  <c r="D10" i="54"/>
  <c r="D71" i="54"/>
  <c r="F71" i="54" s="1"/>
  <c r="D9" i="54"/>
  <c r="D70" i="54"/>
  <c r="D8" i="54"/>
  <c r="D69" i="54"/>
  <c r="D7" i="54"/>
  <c r="D68" i="54"/>
  <c r="F68" i="54" s="1"/>
  <c r="D6" i="54"/>
  <c r="D67" i="54"/>
  <c r="F67" i="54" s="1"/>
  <c r="D64" i="54"/>
  <c r="D5" i="54"/>
  <c r="D73" i="54"/>
  <c r="D11" i="54"/>
  <c r="D74" i="54"/>
  <c r="D12" i="54"/>
  <c r="D75" i="54"/>
  <c r="F75" i="54" s="1"/>
  <c r="D13" i="54"/>
  <c r="D76" i="54"/>
  <c r="D14" i="54"/>
  <c r="D77" i="54"/>
  <c r="D15" i="54"/>
  <c r="D78" i="54"/>
  <c r="D16" i="54"/>
  <c r="D79" i="54"/>
  <c r="F79" i="54" s="1"/>
  <c r="D17" i="54"/>
  <c r="D80" i="54"/>
  <c r="F80" i="54" s="1"/>
  <c r="D18" i="54"/>
  <c r="D81" i="54"/>
  <c r="D19" i="54"/>
  <c r="D82" i="54"/>
  <c r="D20" i="54"/>
  <c r="D83" i="54"/>
  <c r="F83" i="54" s="1"/>
  <c r="D21" i="54"/>
  <c r="D84" i="54"/>
  <c r="F84" i="54" s="1"/>
  <c r="D22" i="54"/>
  <c r="D85" i="54"/>
  <c r="D23" i="54"/>
  <c r="D86" i="54"/>
  <c r="D24" i="54"/>
  <c r="D87" i="54"/>
  <c r="F87" i="54" s="1"/>
  <c r="D25" i="54"/>
  <c r="D88" i="54"/>
  <c r="F88" i="54" s="1"/>
  <c r="D26" i="54"/>
  <c r="D89" i="54"/>
  <c r="D27" i="54"/>
  <c r="D90" i="54"/>
  <c r="D28" i="54"/>
  <c r="D91" i="54"/>
  <c r="D29" i="54"/>
  <c r="D92" i="54"/>
  <c r="F92" i="54" s="1"/>
  <c r="D30" i="54"/>
  <c r="D93" i="54"/>
  <c r="D31" i="54"/>
  <c r="D94" i="54"/>
  <c r="D32" i="54"/>
  <c r="F76" i="54"/>
  <c r="F41" i="54"/>
  <c r="F43" i="54"/>
  <c r="F45" i="54"/>
  <c r="F47" i="54"/>
  <c r="F49" i="54"/>
  <c r="F51" i="54"/>
  <c r="F53" i="54"/>
  <c r="F55" i="54"/>
  <c r="F57" i="54"/>
  <c r="F59" i="54"/>
  <c r="F61" i="54"/>
  <c r="F63" i="54"/>
  <c r="E95" i="54"/>
  <c r="C109" i="54" s="1"/>
  <c r="F109" i="54" s="1"/>
  <c r="F91" i="54"/>
  <c r="E105" i="54"/>
  <c r="F50" i="53"/>
  <c r="F48" i="53"/>
  <c r="F46" i="53"/>
  <c r="F44" i="53"/>
  <c r="F42" i="53"/>
  <c r="F40" i="53"/>
  <c r="F38" i="53"/>
  <c r="D118" i="53"/>
  <c r="E64" i="53"/>
  <c r="M11" i="63" s="1"/>
  <c r="F36" i="53"/>
  <c r="E105" i="52"/>
  <c r="E95" i="52"/>
  <c r="C109" i="52" s="1"/>
  <c r="F109" i="52" s="1"/>
  <c r="F63" i="52"/>
  <c r="F61" i="52"/>
  <c r="F59" i="52"/>
  <c r="F57" i="52"/>
  <c r="F55" i="52"/>
  <c r="F53" i="52"/>
  <c r="F51" i="52"/>
  <c r="F49" i="52"/>
  <c r="F47" i="52"/>
  <c r="F45" i="52"/>
  <c r="F43" i="52"/>
  <c r="F41" i="52"/>
  <c r="F39" i="52"/>
  <c r="F37" i="52"/>
  <c r="D81" i="53"/>
  <c r="F81" i="53" s="1"/>
  <c r="D19" i="53"/>
  <c r="D80" i="53"/>
  <c r="D18" i="53"/>
  <c r="D79" i="53"/>
  <c r="D17" i="53"/>
  <c r="D78" i="53"/>
  <c r="F78" i="53" s="1"/>
  <c r="D16" i="53"/>
  <c r="D77" i="53"/>
  <c r="D15" i="53"/>
  <c r="D76" i="53"/>
  <c r="D14" i="53"/>
  <c r="D75" i="53"/>
  <c r="D13" i="53"/>
  <c r="D74" i="53"/>
  <c r="D12" i="53"/>
  <c r="D73" i="53"/>
  <c r="F73" i="53" s="1"/>
  <c r="D11" i="53"/>
  <c r="D72" i="53"/>
  <c r="D10" i="53"/>
  <c r="D71" i="53"/>
  <c r="D9" i="53"/>
  <c r="D70" i="53"/>
  <c r="F70" i="53" s="1"/>
  <c r="D8" i="53"/>
  <c r="D69" i="53"/>
  <c r="D7" i="53"/>
  <c r="D68" i="53"/>
  <c r="D6" i="53"/>
  <c r="D67" i="53"/>
  <c r="D64" i="53"/>
  <c r="D5" i="53"/>
  <c r="F74" i="53"/>
  <c r="F52" i="53"/>
  <c r="F54" i="53"/>
  <c r="F56" i="53"/>
  <c r="F58" i="53"/>
  <c r="F60" i="53"/>
  <c r="F62" i="53"/>
  <c r="F69" i="53"/>
  <c r="F77" i="53"/>
  <c r="D32" i="50"/>
  <c r="D94" i="50"/>
  <c r="D93" i="50"/>
  <c r="F93" i="50" s="1"/>
  <c r="D31" i="50"/>
  <c r="D30" i="50"/>
  <c r="D92" i="50"/>
  <c r="F92" i="50" s="1"/>
  <c r="D91" i="50"/>
  <c r="F91" i="50" s="1"/>
  <c r="D29" i="50"/>
  <c r="D28" i="50"/>
  <c r="D90" i="50"/>
  <c r="D89" i="50"/>
  <c r="F89" i="50" s="1"/>
  <c r="D27" i="50"/>
  <c r="D26" i="50"/>
  <c r="D88" i="50"/>
  <c r="F88" i="50" s="1"/>
  <c r="D87" i="50"/>
  <c r="F87" i="50" s="1"/>
  <c r="D25" i="50"/>
  <c r="D24" i="50"/>
  <c r="D86" i="50"/>
  <c r="D85" i="50"/>
  <c r="F85" i="50" s="1"/>
  <c r="D23" i="50"/>
  <c r="D22" i="50"/>
  <c r="D84" i="50"/>
  <c r="F84" i="50" s="1"/>
  <c r="D83" i="50"/>
  <c r="F83" i="50" s="1"/>
  <c r="D21" i="50"/>
  <c r="D20" i="50"/>
  <c r="D82" i="50"/>
  <c r="D81" i="50"/>
  <c r="F81" i="50" s="1"/>
  <c r="D19" i="50"/>
  <c r="D18" i="50"/>
  <c r="D80" i="50"/>
  <c r="F80" i="50" s="1"/>
  <c r="D79" i="50"/>
  <c r="F79" i="50" s="1"/>
  <c r="D17" i="50"/>
  <c r="D16" i="50"/>
  <c r="D78" i="50"/>
  <c r="D77" i="50"/>
  <c r="F77" i="50" s="1"/>
  <c r="D15" i="50"/>
  <c r="D14" i="50"/>
  <c r="D76" i="50"/>
  <c r="F76" i="50" s="1"/>
  <c r="D75" i="50"/>
  <c r="F75" i="50" s="1"/>
  <c r="D13" i="50"/>
  <c r="D12" i="50"/>
  <c r="D74" i="50"/>
  <c r="D73" i="50"/>
  <c r="F73" i="50" s="1"/>
  <c r="D11" i="50"/>
  <c r="D10" i="50"/>
  <c r="D72" i="50"/>
  <c r="F72" i="50" s="1"/>
  <c r="D71" i="50"/>
  <c r="F71" i="50" s="1"/>
  <c r="D9" i="50"/>
  <c r="D8" i="50"/>
  <c r="D70" i="50"/>
  <c r="D69" i="50"/>
  <c r="F69" i="50" s="1"/>
  <c r="D7" i="50"/>
  <c r="D6" i="50"/>
  <c r="D68" i="50"/>
  <c r="F68" i="50" s="1"/>
  <c r="D67" i="50"/>
  <c r="D64" i="50"/>
  <c r="D5" i="50"/>
  <c r="F64" i="50"/>
  <c r="F62" i="50"/>
  <c r="F60" i="50"/>
  <c r="F58" i="50"/>
  <c r="F56" i="50"/>
  <c r="F54" i="50"/>
  <c r="F52" i="50"/>
  <c r="F50" i="50"/>
  <c r="F48" i="50"/>
  <c r="F46" i="50"/>
  <c r="F44" i="50"/>
  <c r="F42" i="50"/>
  <c r="F40" i="50"/>
  <c r="F38" i="50"/>
  <c r="F36" i="50"/>
  <c r="F60" i="48"/>
  <c r="F56" i="48"/>
  <c r="F52" i="48"/>
  <c r="F61" i="50"/>
  <c r="F57" i="50"/>
  <c r="F53" i="50"/>
  <c r="F49" i="50"/>
  <c r="F45" i="50"/>
  <c r="F41" i="50"/>
  <c r="F37" i="50"/>
  <c r="F63" i="48"/>
  <c r="F59" i="48"/>
  <c r="F55" i="48"/>
  <c r="F51" i="48"/>
  <c r="F47" i="48"/>
  <c r="F43" i="48"/>
  <c r="D73" i="48"/>
  <c r="D11" i="48"/>
  <c r="D72" i="48"/>
  <c r="D10" i="48"/>
  <c r="D71" i="48"/>
  <c r="F71" i="48" s="1"/>
  <c r="D9" i="48"/>
  <c r="D70" i="48"/>
  <c r="F70" i="48" s="1"/>
  <c r="D8" i="48"/>
  <c r="D69" i="48"/>
  <c r="F69" i="48" s="1"/>
  <c r="D7" i="48"/>
  <c r="D68" i="48"/>
  <c r="D6" i="48"/>
  <c r="D67" i="48"/>
  <c r="D64" i="48"/>
  <c r="D5" i="48"/>
  <c r="E118" i="49"/>
  <c r="F42" i="48"/>
  <c r="F40" i="48"/>
  <c r="F38" i="48"/>
  <c r="E64" i="48"/>
  <c r="M16" i="63" s="1"/>
  <c r="E95" i="47"/>
  <c r="C109" i="47" s="1"/>
  <c r="F109" i="47" s="1"/>
  <c r="F63" i="47"/>
  <c r="F61" i="47"/>
  <c r="F59" i="47"/>
  <c r="F57" i="47"/>
  <c r="F55" i="47"/>
  <c r="F53" i="47"/>
  <c r="F51" i="47"/>
  <c r="F49" i="47"/>
  <c r="F47" i="47"/>
  <c r="F45" i="47"/>
  <c r="F43" i="47"/>
  <c r="D118" i="49"/>
  <c r="F41" i="48"/>
  <c r="F37" i="48"/>
  <c r="E105" i="47"/>
  <c r="D94" i="47"/>
  <c r="D32" i="47"/>
  <c r="D93" i="47"/>
  <c r="D31" i="47"/>
  <c r="D92" i="47"/>
  <c r="D30" i="47"/>
  <c r="D91" i="47"/>
  <c r="F91" i="47" s="1"/>
  <c r="D29" i="47"/>
  <c r="D90" i="47"/>
  <c r="D28" i="47"/>
  <c r="D89" i="47"/>
  <c r="F89" i="47" s="1"/>
  <c r="D27" i="47"/>
  <c r="D88" i="47"/>
  <c r="D26" i="47"/>
  <c r="D87" i="47"/>
  <c r="D25" i="47"/>
  <c r="D86" i="47"/>
  <c r="F86" i="47" s="1"/>
  <c r="D24" i="47"/>
  <c r="D85" i="47"/>
  <c r="D23" i="47"/>
  <c r="D84" i="47"/>
  <c r="D22" i="47"/>
  <c r="D83" i="47"/>
  <c r="F83" i="47" s="1"/>
  <c r="D21" i="47"/>
  <c r="D82" i="47"/>
  <c r="D20" i="47"/>
  <c r="D81" i="47"/>
  <c r="F81" i="47" s="1"/>
  <c r="D19" i="47"/>
  <c r="D80" i="47"/>
  <c r="D18" i="47"/>
  <c r="D79" i="47"/>
  <c r="D17" i="47"/>
  <c r="D78" i="47"/>
  <c r="F78" i="47" s="1"/>
  <c r="D16" i="47"/>
  <c r="D77" i="47"/>
  <c r="D15" i="47"/>
  <c r="D76" i="47"/>
  <c r="F76" i="47" s="1"/>
  <c r="D14" i="47"/>
  <c r="D75" i="47"/>
  <c r="F75" i="47" s="1"/>
  <c r="D13" i="47"/>
  <c r="D74" i="47"/>
  <c r="D12" i="47"/>
  <c r="D73" i="47"/>
  <c r="D11" i="47"/>
  <c r="D72" i="47"/>
  <c r="F72" i="47" s="1"/>
  <c r="D10" i="47"/>
  <c r="D71" i="47"/>
  <c r="F71" i="47" s="1"/>
  <c r="D9" i="47"/>
  <c r="D70" i="47"/>
  <c r="D8" i="47"/>
  <c r="D69" i="47"/>
  <c r="D7" i="47"/>
  <c r="D68" i="47"/>
  <c r="F68" i="47" s="1"/>
  <c r="D6" i="47"/>
  <c r="D67" i="47"/>
  <c r="D95" i="47" s="1"/>
  <c r="D105" i="47" s="1"/>
  <c r="D64" i="47"/>
  <c r="D5" i="47"/>
  <c r="F82" i="47"/>
  <c r="F90" i="47"/>
  <c r="F94" i="47"/>
  <c r="D32" i="45"/>
  <c r="D94" i="45"/>
  <c r="D93" i="45"/>
  <c r="F93" i="45" s="1"/>
  <c r="D31" i="45"/>
  <c r="D30" i="45"/>
  <c r="D92" i="45"/>
  <c r="F92" i="45" s="1"/>
  <c r="D91" i="45"/>
  <c r="F91" i="45" s="1"/>
  <c r="D29" i="45"/>
  <c r="D28" i="45"/>
  <c r="D90" i="45"/>
  <c r="D89" i="45"/>
  <c r="F89" i="45" s="1"/>
  <c r="D27" i="45"/>
  <c r="D26" i="45"/>
  <c r="D88" i="45"/>
  <c r="F88" i="45" s="1"/>
  <c r="D87" i="45"/>
  <c r="F87" i="45" s="1"/>
  <c r="D25" i="45"/>
  <c r="D24" i="45"/>
  <c r="D86" i="45"/>
  <c r="D85" i="45"/>
  <c r="F85" i="45" s="1"/>
  <c r="D23" i="45"/>
  <c r="D22" i="45"/>
  <c r="D84" i="45"/>
  <c r="F84" i="45" s="1"/>
  <c r="D83" i="45"/>
  <c r="F83" i="45" s="1"/>
  <c r="D21" i="45"/>
  <c r="D20" i="45"/>
  <c r="D82" i="45"/>
  <c r="D81" i="45"/>
  <c r="F81" i="45" s="1"/>
  <c r="D19" i="45"/>
  <c r="D18" i="45"/>
  <c r="D80" i="45"/>
  <c r="F80" i="45" s="1"/>
  <c r="D79" i="45"/>
  <c r="F79" i="45" s="1"/>
  <c r="D17" i="45"/>
  <c r="D16" i="45"/>
  <c r="D78" i="45"/>
  <c r="D77" i="45"/>
  <c r="F77" i="45" s="1"/>
  <c r="D15" i="45"/>
  <c r="D14" i="45"/>
  <c r="D76" i="45"/>
  <c r="F76" i="45" s="1"/>
  <c r="D75" i="45"/>
  <c r="F75" i="45" s="1"/>
  <c r="D13" i="45"/>
  <c r="D12" i="45"/>
  <c r="D74" i="45"/>
  <c r="D73" i="45"/>
  <c r="F73" i="45" s="1"/>
  <c r="D11" i="45"/>
  <c r="D10" i="45"/>
  <c r="D72" i="45"/>
  <c r="F72" i="45" s="1"/>
  <c r="D71" i="45"/>
  <c r="F71" i="45" s="1"/>
  <c r="D9" i="45"/>
  <c r="D8" i="45"/>
  <c r="D70" i="45"/>
  <c r="D69" i="45"/>
  <c r="F69" i="45" s="1"/>
  <c r="D7" i="45"/>
  <c r="D6" i="45"/>
  <c r="D68" i="45"/>
  <c r="F68" i="45" s="1"/>
  <c r="D67" i="45"/>
  <c r="D64" i="45"/>
  <c r="F64" i="45" s="1"/>
  <c r="D5" i="45"/>
  <c r="F36" i="47"/>
  <c r="F62" i="45"/>
  <c r="F60" i="45"/>
  <c r="F58" i="45"/>
  <c r="F56" i="45"/>
  <c r="F54" i="45"/>
  <c r="F52" i="45"/>
  <c r="F50" i="45"/>
  <c r="F48" i="45"/>
  <c r="F46" i="45"/>
  <c r="F44" i="45"/>
  <c r="F42" i="45"/>
  <c r="F40" i="45"/>
  <c r="F38" i="45"/>
  <c r="F36" i="45"/>
  <c r="E95" i="44"/>
  <c r="C109" i="44" s="1"/>
  <c r="F109" i="44" s="1"/>
  <c r="F60" i="44"/>
  <c r="F58" i="44"/>
  <c r="F56" i="44"/>
  <c r="F54" i="44"/>
  <c r="F52" i="44"/>
  <c r="F50" i="44"/>
  <c r="F48" i="44"/>
  <c r="F46" i="44"/>
  <c r="F44" i="44"/>
  <c r="F42" i="44"/>
  <c r="F40" i="44"/>
  <c r="F38" i="44"/>
  <c r="D118" i="44"/>
  <c r="E64" i="44"/>
  <c r="M20" i="63" s="1"/>
  <c r="F36" i="44"/>
  <c r="E105" i="43"/>
  <c r="E95" i="43"/>
  <c r="C109" i="43" s="1"/>
  <c r="F109" i="43" s="1"/>
  <c r="F63" i="43"/>
  <c r="F61" i="43"/>
  <c r="F59" i="43"/>
  <c r="F57" i="43"/>
  <c r="F55" i="43"/>
  <c r="F53" i="43"/>
  <c r="F51" i="43"/>
  <c r="F49" i="43"/>
  <c r="F47" i="43"/>
  <c r="F45" i="43"/>
  <c r="F43" i="43"/>
  <c r="F41" i="43"/>
  <c r="F39" i="43"/>
  <c r="F37" i="43"/>
  <c r="F62" i="42"/>
  <c r="F60" i="42"/>
  <c r="F58" i="42"/>
  <c r="F56" i="42"/>
  <c r="F54" i="42"/>
  <c r="F52" i="42"/>
  <c r="F50" i="42"/>
  <c r="F48" i="42"/>
  <c r="F46" i="42"/>
  <c r="F44" i="42"/>
  <c r="F42" i="42"/>
  <c r="F40" i="42"/>
  <c r="F38" i="42"/>
  <c r="D118" i="42"/>
  <c r="E64" i="42"/>
  <c r="M22" i="63" s="1"/>
  <c r="F36" i="42"/>
  <c r="E105" i="41"/>
  <c r="E95" i="41"/>
  <c r="C109" i="41" s="1"/>
  <c r="F109" i="41" s="1"/>
  <c r="F63" i="41"/>
  <c r="F61" i="41"/>
  <c r="F59" i="41"/>
  <c r="F57" i="41"/>
  <c r="F55" i="41"/>
  <c r="F53" i="41"/>
  <c r="F51" i="41"/>
  <c r="F49" i="41"/>
  <c r="F47" i="41"/>
  <c r="F45" i="41"/>
  <c r="F43" i="41"/>
  <c r="F41" i="41"/>
  <c r="F39" i="41"/>
  <c r="F37" i="41"/>
  <c r="F62" i="40"/>
  <c r="F60" i="40"/>
  <c r="F58" i="40"/>
  <c r="F56" i="40"/>
  <c r="F54" i="40"/>
  <c r="F52" i="40"/>
  <c r="F50" i="40"/>
  <c r="F48" i="40"/>
  <c r="F46" i="40"/>
  <c r="F44" i="40"/>
  <c r="F42" i="40"/>
  <c r="F40" i="40"/>
  <c r="F38" i="40"/>
  <c r="D118" i="40"/>
  <c r="E64" i="40"/>
  <c r="M24" i="63" s="1"/>
  <c r="F36" i="40"/>
  <c r="E105" i="39"/>
  <c r="E95" i="39"/>
  <c r="C109" i="39" s="1"/>
  <c r="F109" i="39" s="1"/>
  <c r="F63" i="39"/>
  <c r="F61" i="39"/>
  <c r="F59" i="39"/>
  <c r="F57" i="39"/>
  <c r="F55" i="39"/>
  <c r="F53" i="39"/>
  <c r="F51" i="39"/>
  <c r="F49" i="39"/>
  <c r="F47" i="39"/>
  <c r="F45" i="39"/>
  <c r="F43" i="39"/>
  <c r="F41" i="39"/>
  <c r="F39" i="39"/>
  <c r="F37" i="39"/>
  <c r="F41" i="47"/>
  <c r="F37" i="47"/>
  <c r="F61" i="45"/>
  <c r="F57" i="45"/>
  <c r="F53" i="45"/>
  <c r="F49" i="45"/>
  <c r="F45" i="45"/>
  <c r="F41" i="45"/>
  <c r="F37" i="45"/>
  <c r="E105" i="44"/>
  <c r="F62" i="44"/>
  <c r="D92" i="44"/>
  <c r="D30" i="44"/>
  <c r="D91" i="44"/>
  <c r="F91" i="44" s="1"/>
  <c r="D29" i="44"/>
  <c r="D90" i="44"/>
  <c r="F90" i="44" s="1"/>
  <c r="D28" i="44"/>
  <c r="D89" i="44"/>
  <c r="F89" i="44" s="1"/>
  <c r="D27" i="44"/>
  <c r="D88" i="44"/>
  <c r="D26" i="44"/>
  <c r="D87" i="44"/>
  <c r="D25" i="44"/>
  <c r="D86" i="44"/>
  <c r="F86" i="44" s="1"/>
  <c r="D24" i="44"/>
  <c r="D85" i="44"/>
  <c r="D23" i="44"/>
  <c r="D84" i="44"/>
  <c r="D22" i="44"/>
  <c r="D83" i="44"/>
  <c r="F83" i="44" s="1"/>
  <c r="D21" i="44"/>
  <c r="D82" i="44"/>
  <c r="F82" i="44" s="1"/>
  <c r="D20" i="44"/>
  <c r="D81" i="44"/>
  <c r="F81" i="44" s="1"/>
  <c r="D19" i="44"/>
  <c r="D80" i="44"/>
  <c r="D18" i="44"/>
  <c r="D79" i="44"/>
  <c r="D17" i="44"/>
  <c r="D78" i="44"/>
  <c r="F78" i="44" s="1"/>
  <c r="D16" i="44"/>
  <c r="D77" i="44"/>
  <c r="D15" i="44"/>
  <c r="D76" i="44"/>
  <c r="D14" i="44"/>
  <c r="D75" i="44"/>
  <c r="F75" i="44" s="1"/>
  <c r="D13" i="44"/>
  <c r="D74" i="44"/>
  <c r="F74" i="44" s="1"/>
  <c r="D12" i="44"/>
  <c r="D73" i="44"/>
  <c r="F73" i="44" s="1"/>
  <c r="D11" i="44"/>
  <c r="D72" i="44"/>
  <c r="D10" i="44"/>
  <c r="D71" i="44"/>
  <c r="D9" i="44"/>
  <c r="D70" i="44"/>
  <c r="F70" i="44" s="1"/>
  <c r="D8" i="44"/>
  <c r="D69" i="44"/>
  <c r="D7" i="44"/>
  <c r="D68" i="44"/>
  <c r="D6" i="44"/>
  <c r="D67" i="44"/>
  <c r="D64" i="44"/>
  <c r="D5" i="44"/>
  <c r="D94" i="43"/>
  <c r="D32" i="43"/>
  <c r="D31" i="43"/>
  <c r="D93" i="43"/>
  <c r="D92" i="43"/>
  <c r="F92" i="43" s="1"/>
  <c r="D30" i="43"/>
  <c r="D29" i="43"/>
  <c r="D91" i="43"/>
  <c r="F91" i="43" s="1"/>
  <c r="D90" i="43"/>
  <c r="D28" i="43"/>
  <c r="D27" i="43"/>
  <c r="D89" i="43"/>
  <c r="D88" i="43"/>
  <c r="F88" i="43" s="1"/>
  <c r="D26" i="43"/>
  <c r="D25" i="43"/>
  <c r="D87" i="43"/>
  <c r="F87" i="43" s="1"/>
  <c r="D86" i="43"/>
  <c r="D24" i="43"/>
  <c r="D23" i="43"/>
  <c r="D85" i="43"/>
  <c r="D84" i="43"/>
  <c r="F84" i="43" s="1"/>
  <c r="D22" i="43"/>
  <c r="D21" i="43"/>
  <c r="D83" i="43"/>
  <c r="F83" i="43" s="1"/>
  <c r="D82" i="43"/>
  <c r="D20" i="43"/>
  <c r="D19" i="43"/>
  <c r="D81" i="43"/>
  <c r="D80" i="43"/>
  <c r="F80" i="43" s="1"/>
  <c r="D18" i="43"/>
  <c r="D17" i="43"/>
  <c r="D79" i="43"/>
  <c r="F79" i="43" s="1"/>
  <c r="D78" i="43"/>
  <c r="D16" i="43"/>
  <c r="D15" i="43"/>
  <c r="D77" i="43"/>
  <c r="D76" i="43"/>
  <c r="F76" i="43" s="1"/>
  <c r="D14" i="43"/>
  <c r="D13" i="43"/>
  <c r="D75" i="43"/>
  <c r="F75" i="43" s="1"/>
  <c r="D74" i="43"/>
  <c r="D12" i="43"/>
  <c r="D11" i="43"/>
  <c r="D73" i="43"/>
  <c r="D72" i="43"/>
  <c r="F72" i="43" s="1"/>
  <c r="D10" i="43"/>
  <c r="D9" i="43"/>
  <c r="D71" i="43"/>
  <c r="F71" i="43" s="1"/>
  <c r="D70" i="43"/>
  <c r="D8" i="43"/>
  <c r="D7" i="43"/>
  <c r="D69" i="43"/>
  <c r="D68" i="43"/>
  <c r="F68" i="43" s="1"/>
  <c r="D6" i="43"/>
  <c r="D5" i="43"/>
  <c r="D67" i="43"/>
  <c r="D64" i="43"/>
  <c r="D94" i="42"/>
  <c r="D32" i="42"/>
  <c r="D31" i="42"/>
  <c r="D93" i="42"/>
  <c r="F93" i="42" s="1"/>
  <c r="D92" i="42"/>
  <c r="F92" i="42" s="1"/>
  <c r="D30" i="42"/>
  <c r="D29" i="42"/>
  <c r="D91" i="42"/>
  <c r="D90" i="42"/>
  <c r="D28" i="42"/>
  <c r="D27" i="42"/>
  <c r="D89" i="42"/>
  <c r="F89" i="42" s="1"/>
  <c r="D88" i="42"/>
  <c r="F88" i="42" s="1"/>
  <c r="D26" i="42"/>
  <c r="D25" i="42"/>
  <c r="D87" i="42"/>
  <c r="D86" i="42"/>
  <c r="D24" i="42"/>
  <c r="D23" i="42"/>
  <c r="D85" i="42"/>
  <c r="F85" i="42" s="1"/>
  <c r="D84" i="42"/>
  <c r="F84" i="42" s="1"/>
  <c r="D22" i="42"/>
  <c r="D21" i="42"/>
  <c r="D83" i="42"/>
  <c r="D82" i="42"/>
  <c r="D20" i="42"/>
  <c r="D19" i="42"/>
  <c r="D81" i="42"/>
  <c r="F81" i="42" s="1"/>
  <c r="D80" i="42"/>
  <c r="F80" i="42" s="1"/>
  <c r="D18" i="42"/>
  <c r="D17" i="42"/>
  <c r="D79" i="42"/>
  <c r="D78" i="42"/>
  <c r="D16" i="42"/>
  <c r="D15" i="42"/>
  <c r="D77" i="42"/>
  <c r="F77" i="42" s="1"/>
  <c r="D76" i="42"/>
  <c r="F76" i="42" s="1"/>
  <c r="D14" i="42"/>
  <c r="D13" i="42"/>
  <c r="D75" i="42"/>
  <c r="D74" i="42"/>
  <c r="D12" i="42"/>
  <c r="D11" i="42"/>
  <c r="D73" i="42"/>
  <c r="F73" i="42" s="1"/>
  <c r="D72" i="42"/>
  <c r="F72" i="42" s="1"/>
  <c r="D10" i="42"/>
  <c r="D9" i="42"/>
  <c r="D71" i="42"/>
  <c r="D70" i="42"/>
  <c r="D8" i="42"/>
  <c r="D7" i="42"/>
  <c r="D69" i="42"/>
  <c r="F69" i="42" s="1"/>
  <c r="D68" i="42"/>
  <c r="F68" i="42" s="1"/>
  <c r="D6" i="42"/>
  <c r="D5" i="42"/>
  <c r="D67" i="42"/>
  <c r="D64" i="42"/>
  <c r="D94" i="41"/>
  <c r="D32" i="41"/>
  <c r="D31" i="41"/>
  <c r="D93" i="41"/>
  <c r="D92" i="41"/>
  <c r="F92" i="41" s="1"/>
  <c r="D30" i="41"/>
  <c r="D29" i="41"/>
  <c r="D91" i="41"/>
  <c r="F91" i="41" s="1"/>
  <c r="D90" i="41"/>
  <c r="D28" i="41"/>
  <c r="D27" i="41"/>
  <c r="D89" i="41"/>
  <c r="D88" i="41"/>
  <c r="F88" i="41" s="1"/>
  <c r="D26" i="41"/>
  <c r="D25" i="41"/>
  <c r="D87" i="41"/>
  <c r="F87" i="41" s="1"/>
  <c r="D86" i="41"/>
  <c r="D24" i="41"/>
  <c r="D23" i="41"/>
  <c r="D85" i="41"/>
  <c r="D84" i="41"/>
  <c r="F84" i="41" s="1"/>
  <c r="D22" i="41"/>
  <c r="D21" i="41"/>
  <c r="D83" i="41"/>
  <c r="F83" i="41" s="1"/>
  <c r="D82" i="41"/>
  <c r="D20" i="41"/>
  <c r="D19" i="41"/>
  <c r="D81" i="41"/>
  <c r="D80" i="41"/>
  <c r="F80" i="41" s="1"/>
  <c r="D18" i="41"/>
  <c r="D17" i="41"/>
  <c r="D79" i="41"/>
  <c r="F79" i="41" s="1"/>
  <c r="D78" i="41"/>
  <c r="D16" i="41"/>
  <c r="D15" i="41"/>
  <c r="D77" i="41"/>
  <c r="D76" i="41"/>
  <c r="F76" i="41" s="1"/>
  <c r="D14" i="41"/>
  <c r="D13" i="41"/>
  <c r="D75" i="41"/>
  <c r="F75" i="41" s="1"/>
  <c r="D74" i="41"/>
  <c r="D12" i="41"/>
  <c r="D11" i="41"/>
  <c r="D73" i="41"/>
  <c r="D72" i="41"/>
  <c r="F72" i="41" s="1"/>
  <c r="D10" i="41"/>
  <c r="D9" i="41"/>
  <c r="D71" i="41"/>
  <c r="F71" i="41" s="1"/>
  <c r="D70" i="41"/>
  <c r="D8" i="41"/>
  <c r="D7" i="41"/>
  <c r="D69" i="41"/>
  <c r="D68" i="41"/>
  <c r="F68" i="41" s="1"/>
  <c r="D6" i="41"/>
  <c r="D5" i="41"/>
  <c r="D67" i="41"/>
  <c r="D64" i="41"/>
  <c r="D94" i="40"/>
  <c r="D32" i="40"/>
  <c r="D31" i="40"/>
  <c r="D93" i="40"/>
  <c r="F93" i="40" s="1"/>
  <c r="D92" i="40"/>
  <c r="F92" i="40" s="1"/>
  <c r="D30" i="40"/>
  <c r="D29" i="40"/>
  <c r="D91" i="40"/>
  <c r="D90" i="40"/>
  <c r="D28" i="40"/>
  <c r="D27" i="40"/>
  <c r="D89" i="40"/>
  <c r="F89" i="40" s="1"/>
  <c r="D88" i="40"/>
  <c r="F88" i="40" s="1"/>
  <c r="D26" i="40"/>
  <c r="D25" i="40"/>
  <c r="D87" i="40"/>
  <c r="D86" i="40"/>
  <c r="D24" i="40"/>
  <c r="D23" i="40"/>
  <c r="D85" i="40"/>
  <c r="F85" i="40" s="1"/>
  <c r="D84" i="40"/>
  <c r="F84" i="40" s="1"/>
  <c r="D22" i="40"/>
  <c r="D21" i="40"/>
  <c r="D83" i="40"/>
  <c r="D82" i="40"/>
  <c r="D20" i="40"/>
  <c r="D19" i="40"/>
  <c r="D81" i="40"/>
  <c r="F81" i="40" s="1"/>
  <c r="D80" i="40"/>
  <c r="F80" i="40" s="1"/>
  <c r="D18" i="40"/>
  <c r="D17" i="40"/>
  <c r="D79" i="40"/>
  <c r="D78" i="40"/>
  <c r="D16" i="40"/>
  <c r="D15" i="40"/>
  <c r="D77" i="40"/>
  <c r="F77" i="40" s="1"/>
  <c r="D76" i="40"/>
  <c r="F76" i="40" s="1"/>
  <c r="D14" i="40"/>
  <c r="D13" i="40"/>
  <c r="D75" i="40"/>
  <c r="D74" i="40"/>
  <c r="D12" i="40"/>
  <c r="D11" i="40"/>
  <c r="D73" i="40"/>
  <c r="F73" i="40" s="1"/>
  <c r="D72" i="40"/>
  <c r="F72" i="40" s="1"/>
  <c r="D10" i="40"/>
  <c r="D9" i="40"/>
  <c r="D71" i="40"/>
  <c r="D70" i="40"/>
  <c r="D8" i="40"/>
  <c r="D7" i="40"/>
  <c r="D69" i="40"/>
  <c r="F69" i="40" s="1"/>
  <c r="D68" i="40"/>
  <c r="F68" i="40" s="1"/>
  <c r="D6" i="40"/>
  <c r="D5" i="40"/>
  <c r="D67" i="40"/>
  <c r="D64" i="40"/>
  <c r="D94" i="39"/>
  <c r="D32" i="39"/>
  <c r="D31" i="39"/>
  <c r="D93" i="39"/>
  <c r="D92" i="39"/>
  <c r="F92" i="39" s="1"/>
  <c r="D30" i="39"/>
  <c r="D29" i="39"/>
  <c r="D91" i="39"/>
  <c r="F91" i="39" s="1"/>
  <c r="D90" i="39"/>
  <c r="D28" i="39"/>
  <c r="D27" i="39"/>
  <c r="D89" i="39"/>
  <c r="D88" i="39"/>
  <c r="F88" i="39" s="1"/>
  <c r="D26" i="39"/>
  <c r="D25" i="39"/>
  <c r="D87" i="39"/>
  <c r="F87" i="39" s="1"/>
  <c r="D86" i="39"/>
  <c r="D24" i="39"/>
  <c r="D23" i="39"/>
  <c r="D85" i="39"/>
  <c r="D84" i="39"/>
  <c r="F84" i="39" s="1"/>
  <c r="D22" i="39"/>
  <c r="D21" i="39"/>
  <c r="D83" i="39"/>
  <c r="F83" i="39" s="1"/>
  <c r="D82" i="39"/>
  <c r="D20" i="39"/>
  <c r="D19" i="39"/>
  <c r="D81" i="39"/>
  <c r="D80" i="39"/>
  <c r="F80" i="39" s="1"/>
  <c r="D18" i="39"/>
  <c r="D17" i="39"/>
  <c r="D79" i="39"/>
  <c r="F79" i="39" s="1"/>
  <c r="D78" i="39"/>
  <c r="D16" i="39"/>
  <c r="D15" i="39"/>
  <c r="D77" i="39"/>
  <c r="D76" i="39"/>
  <c r="F76" i="39" s="1"/>
  <c r="D14" i="39"/>
  <c r="D13" i="39"/>
  <c r="D75" i="39"/>
  <c r="F75" i="39" s="1"/>
  <c r="D74" i="39"/>
  <c r="D12" i="39"/>
  <c r="D11" i="39"/>
  <c r="D73" i="39"/>
  <c r="D72" i="39"/>
  <c r="F72" i="39" s="1"/>
  <c r="D10" i="39"/>
  <c r="D9" i="39"/>
  <c r="D71" i="39"/>
  <c r="F71" i="39" s="1"/>
  <c r="D70" i="39"/>
  <c r="D8" i="39"/>
  <c r="D7" i="39"/>
  <c r="D69" i="39"/>
  <c r="D68" i="39"/>
  <c r="F68" i="39" s="1"/>
  <c r="D6" i="39"/>
  <c r="D5" i="39"/>
  <c r="D67" i="39"/>
  <c r="D64" i="39"/>
  <c r="E95" i="38"/>
  <c r="C109" i="38" s="1"/>
  <c r="F109" i="38" s="1"/>
  <c r="F63" i="38"/>
  <c r="F61" i="38"/>
  <c r="F59" i="38"/>
  <c r="F57" i="38"/>
  <c r="F55" i="38"/>
  <c r="D94" i="38"/>
  <c r="F94" i="38" s="1"/>
  <c r="D32" i="38"/>
  <c r="D93" i="38"/>
  <c r="F93" i="38" s="1"/>
  <c r="D31" i="38"/>
  <c r="D92" i="38"/>
  <c r="D30" i="38"/>
  <c r="D91" i="38"/>
  <c r="D29" i="38"/>
  <c r="D90" i="38"/>
  <c r="F90" i="38" s="1"/>
  <c r="D28" i="38"/>
  <c r="D89" i="38"/>
  <c r="F89" i="38" s="1"/>
  <c r="D27" i="38"/>
  <c r="D88" i="38"/>
  <c r="D26" i="38"/>
  <c r="D87" i="38"/>
  <c r="D25" i="38"/>
  <c r="D86" i="38"/>
  <c r="F86" i="38" s="1"/>
  <c r="D24" i="38"/>
  <c r="D85" i="38"/>
  <c r="F85" i="38" s="1"/>
  <c r="D23" i="38"/>
  <c r="D84" i="38"/>
  <c r="D22" i="38"/>
  <c r="D83" i="38"/>
  <c r="D21" i="38"/>
  <c r="D82" i="38"/>
  <c r="F82" i="38" s="1"/>
  <c r="D20" i="38"/>
  <c r="D81" i="38"/>
  <c r="F81" i="38" s="1"/>
  <c r="D19" i="38"/>
  <c r="D80" i="38"/>
  <c r="D18" i="38"/>
  <c r="D79" i="38"/>
  <c r="D17" i="38"/>
  <c r="D78" i="38"/>
  <c r="F78" i="38" s="1"/>
  <c r="D16" i="38"/>
  <c r="D77" i="38"/>
  <c r="D15" i="38"/>
  <c r="D76" i="38"/>
  <c r="F76" i="38" s="1"/>
  <c r="D14" i="38"/>
  <c r="D75" i="38"/>
  <c r="F75" i="38" s="1"/>
  <c r="D13" i="38"/>
  <c r="D74" i="38"/>
  <c r="D12" i="38"/>
  <c r="D73" i="38"/>
  <c r="D11" i="38"/>
  <c r="D72" i="38"/>
  <c r="F72" i="38" s="1"/>
  <c r="D10" i="38"/>
  <c r="D71" i="38"/>
  <c r="F71" i="38" s="1"/>
  <c r="D9" i="38"/>
  <c r="D70" i="38"/>
  <c r="D8" i="38"/>
  <c r="D69" i="38"/>
  <c r="D7" i="38"/>
  <c r="D68" i="38"/>
  <c r="F68" i="38" s="1"/>
  <c r="D6" i="38"/>
  <c r="D67" i="38"/>
  <c r="D95" i="38" s="1"/>
  <c r="D105" i="38" s="1"/>
  <c r="D64" i="38"/>
  <c r="D5" i="38"/>
  <c r="D32" i="37"/>
  <c r="D94" i="37"/>
  <c r="D93" i="37"/>
  <c r="F93" i="37" s="1"/>
  <c r="D31" i="37"/>
  <c r="D30" i="37"/>
  <c r="D92" i="37"/>
  <c r="F92" i="37" s="1"/>
  <c r="D91" i="37"/>
  <c r="F91" i="37" s="1"/>
  <c r="D29" i="37"/>
  <c r="D28" i="37"/>
  <c r="D90" i="37"/>
  <c r="D89" i="37"/>
  <c r="F89" i="37" s="1"/>
  <c r="D27" i="37"/>
  <c r="D26" i="37"/>
  <c r="D88" i="37"/>
  <c r="F88" i="37" s="1"/>
  <c r="D87" i="37"/>
  <c r="F87" i="37" s="1"/>
  <c r="D25" i="37"/>
  <c r="D24" i="37"/>
  <c r="D86" i="37"/>
  <c r="D85" i="37"/>
  <c r="F85" i="37" s="1"/>
  <c r="D23" i="37"/>
  <c r="D22" i="37"/>
  <c r="D84" i="37"/>
  <c r="F84" i="37" s="1"/>
  <c r="D83" i="37"/>
  <c r="F83" i="37" s="1"/>
  <c r="D21" i="37"/>
  <c r="D20" i="37"/>
  <c r="D82" i="37"/>
  <c r="D81" i="37"/>
  <c r="F81" i="37" s="1"/>
  <c r="D19" i="37"/>
  <c r="D18" i="37"/>
  <c r="D80" i="37"/>
  <c r="F80" i="37" s="1"/>
  <c r="D79" i="37"/>
  <c r="F79" i="37" s="1"/>
  <c r="D17" i="37"/>
  <c r="D16" i="37"/>
  <c r="D78" i="37"/>
  <c r="D77" i="37"/>
  <c r="F77" i="37" s="1"/>
  <c r="D15" i="37"/>
  <c r="D14" i="37"/>
  <c r="D76" i="37"/>
  <c r="F76" i="37" s="1"/>
  <c r="D75" i="37"/>
  <c r="F75" i="37" s="1"/>
  <c r="D13" i="37"/>
  <c r="D12" i="37"/>
  <c r="D74" i="37"/>
  <c r="D73" i="37"/>
  <c r="F73" i="37" s="1"/>
  <c r="D11" i="37"/>
  <c r="D10" i="37"/>
  <c r="D72" i="37"/>
  <c r="F72" i="37" s="1"/>
  <c r="D71" i="37"/>
  <c r="F71" i="37" s="1"/>
  <c r="D9" i="37"/>
  <c r="D8" i="37"/>
  <c r="D70" i="37"/>
  <c r="D69" i="37"/>
  <c r="F69" i="37" s="1"/>
  <c r="D7" i="37"/>
  <c r="D6" i="37"/>
  <c r="D68" i="37"/>
  <c r="F68" i="37" s="1"/>
  <c r="D67" i="37"/>
  <c r="D64" i="37"/>
  <c r="D5" i="37"/>
  <c r="D32" i="35"/>
  <c r="D94" i="35"/>
  <c r="D93" i="35"/>
  <c r="F93" i="35" s="1"/>
  <c r="D31" i="35"/>
  <c r="D30" i="35"/>
  <c r="D92" i="35"/>
  <c r="F92" i="35" s="1"/>
  <c r="D91" i="35"/>
  <c r="F91" i="35" s="1"/>
  <c r="D29" i="35"/>
  <c r="D28" i="35"/>
  <c r="D90" i="35"/>
  <c r="D89" i="35"/>
  <c r="F89" i="35" s="1"/>
  <c r="D27" i="35"/>
  <c r="D26" i="35"/>
  <c r="D88" i="35"/>
  <c r="F88" i="35" s="1"/>
  <c r="D87" i="35"/>
  <c r="F87" i="35" s="1"/>
  <c r="D25" i="35"/>
  <c r="D24" i="35"/>
  <c r="D86" i="35"/>
  <c r="D85" i="35"/>
  <c r="F85" i="35" s="1"/>
  <c r="D23" i="35"/>
  <c r="D22" i="35"/>
  <c r="D84" i="35"/>
  <c r="F84" i="35" s="1"/>
  <c r="D83" i="35"/>
  <c r="F83" i="35" s="1"/>
  <c r="D21" i="35"/>
  <c r="D20" i="35"/>
  <c r="D82" i="35"/>
  <c r="D81" i="35"/>
  <c r="F81" i="35" s="1"/>
  <c r="D19" i="35"/>
  <c r="D18" i="35"/>
  <c r="D80" i="35"/>
  <c r="F80" i="35" s="1"/>
  <c r="D79" i="35"/>
  <c r="F79" i="35" s="1"/>
  <c r="D17" i="35"/>
  <c r="D16" i="35"/>
  <c r="D78" i="35"/>
  <c r="D77" i="35"/>
  <c r="F77" i="35" s="1"/>
  <c r="D15" i="35"/>
  <c r="D14" i="35"/>
  <c r="D76" i="35"/>
  <c r="F76" i="35" s="1"/>
  <c r="D75" i="35"/>
  <c r="F75" i="35" s="1"/>
  <c r="D13" i="35"/>
  <c r="D12" i="35"/>
  <c r="D74" i="35"/>
  <c r="D73" i="35"/>
  <c r="F73" i="35" s="1"/>
  <c r="D11" i="35"/>
  <c r="D10" i="35"/>
  <c r="D72" i="35"/>
  <c r="F72" i="35" s="1"/>
  <c r="D71" i="35"/>
  <c r="F71" i="35" s="1"/>
  <c r="D9" i="35"/>
  <c r="D8" i="35"/>
  <c r="D70" i="35"/>
  <c r="D69" i="35"/>
  <c r="F69" i="35" s="1"/>
  <c r="D7" i="35"/>
  <c r="D6" i="35"/>
  <c r="D68" i="35"/>
  <c r="F68" i="35" s="1"/>
  <c r="D67" i="35"/>
  <c r="D64" i="35"/>
  <c r="D5" i="35"/>
  <c r="D32" i="33"/>
  <c r="D94" i="33"/>
  <c r="D93" i="33"/>
  <c r="F93" i="33" s="1"/>
  <c r="D31" i="33"/>
  <c r="D30" i="33"/>
  <c r="D92" i="33"/>
  <c r="F92" i="33" s="1"/>
  <c r="D91" i="33"/>
  <c r="F91" i="33" s="1"/>
  <c r="D29" i="33"/>
  <c r="D28" i="33"/>
  <c r="D90" i="33"/>
  <c r="D89" i="33"/>
  <c r="F89" i="33" s="1"/>
  <c r="D27" i="33"/>
  <c r="D26" i="33"/>
  <c r="D88" i="33"/>
  <c r="F88" i="33" s="1"/>
  <c r="D87" i="33"/>
  <c r="F87" i="33" s="1"/>
  <c r="D25" i="33"/>
  <c r="D24" i="33"/>
  <c r="D86" i="33"/>
  <c r="D85" i="33"/>
  <c r="F85" i="33" s="1"/>
  <c r="D23" i="33"/>
  <c r="D22" i="33"/>
  <c r="D84" i="33"/>
  <c r="F84" i="33" s="1"/>
  <c r="D83" i="33"/>
  <c r="F83" i="33" s="1"/>
  <c r="D21" i="33"/>
  <c r="D20" i="33"/>
  <c r="D82" i="33"/>
  <c r="D81" i="33"/>
  <c r="F81" i="33" s="1"/>
  <c r="D19" i="33"/>
  <c r="D18" i="33"/>
  <c r="D80" i="33"/>
  <c r="F80" i="33" s="1"/>
  <c r="D79" i="33"/>
  <c r="F79" i="33" s="1"/>
  <c r="D17" i="33"/>
  <c r="D16" i="33"/>
  <c r="D78" i="33"/>
  <c r="D77" i="33"/>
  <c r="F77" i="33" s="1"/>
  <c r="D15" i="33"/>
  <c r="D14" i="33"/>
  <c r="D76" i="33"/>
  <c r="F76" i="33" s="1"/>
  <c r="D75" i="33"/>
  <c r="F75" i="33" s="1"/>
  <c r="D13" i="33"/>
  <c r="D12" i="33"/>
  <c r="D74" i="33"/>
  <c r="D73" i="33"/>
  <c r="F73" i="33" s="1"/>
  <c r="D11" i="33"/>
  <c r="D10" i="33"/>
  <c r="D72" i="33"/>
  <c r="F72" i="33" s="1"/>
  <c r="D71" i="33"/>
  <c r="F71" i="33" s="1"/>
  <c r="D9" i="33"/>
  <c r="D8" i="33"/>
  <c r="D70" i="33"/>
  <c r="D69" i="33"/>
  <c r="F69" i="33" s="1"/>
  <c r="D7" i="33"/>
  <c r="D6" i="33"/>
  <c r="D68" i="33"/>
  <c r="F68" i="33" s="1"/>
  <c r="D67" i="33"/>
  <c r="D64" i="33"/>
  <c r="D5" i="33"/>
  <c r="F53" i="38"/>
  <c r="F49" i="38"/>
  <c r="F45" i="38"/>
  <c r="F41" i="38"/>
  <c r="F37" i="38"/>
  <c r="F62" i="31"/>
  <c r="F60" i="31"/>
  <c r="F58" i="31"/>
  <c r="F56" i="31"/>
  <c r="F54" i="31"/>
  <c r="F52" i="31"/>
  <c r="F50" i="31"/>
  <c r="F48" i="31"/>
  <c r="F46" i="31"/>
  <c r="F44" i="31"/>
  <c r="F42" i="31"/>
  <c r="F40" i="31"/>
  <c r="F38" i="31"/>
  <c r="D118" i="31"/>
  <c r="E64" i="31"/>
  <c r="M33" i="63" s="1"/>
  <c r="F36" i="31"/>
  <c r="E105" i="30"/>
  <c r="E95" i="30"/>
  <c r="C109" i="30" s="1"/>
  <c r="F109" i="30" s="1"/>
  <c r="F63" i="30"/>
  <c r="F61" i="30"/>
  <c r="F59" i="30"/>
  <c r="F57" i="30"/>
  <c r="F55" i="30"/>
  <c r="F53" i="30"/>
  <c r="F51" i="30"/>
  <c r="F49" i="30"/>
  <c r="F47" i="30"/>
  <c r="F45" i="30"/>
  <c r="F43" i="30"/>
  <c r="F41" i="30"/>
  <c r="F39" i="30"/>
  <c r="F37" i="30"/>
  <c r="F62" i="29"/>
  <c r="F60" i="29"/>
  <c r="F58" i="29"/>
  <c r="F56" i="29"/>
  <c r="F54" i="29"/>
  <c r="F52" i="29"/>
  <c r="F50" i="29"/>
  <c r="F48" i="29"/>
  <c r="F46" i="29"/>
  <c r="F44" i="29"/>
  <c r="F42" i="29"/>
  <c r="F40" i="29"/>
  <c r="F38" i="29"/>
  <c r="D118" i="29"/>
  <c r="E64" i="29"/>
  <c r="M35" i="63" s="1"/>
  <c r="F36" i="29"/>
  <c r="E105" i="28"/>
  <c r="E95" i="28"/>
  <c r="C109" i="28" s="1"/>
  <c r="F109" i="28" s="1"/>
  <c r="F63" i="28"/>
  <c r="F61" i="28"/>
  <c r="F59" i="28"/>
  <c r="F57" i="28"/>
  <c r="F55" i="28"/>
  <c r="F53" i="28"/>
  <c r="F51" i="28"/>
  <c r="F49" i="28"/>
  <c r="F47" i="28"/>
  <c r="F45" i="28"/>
  <c r="F43" i="28"/>
  <c r="F41" i="28"/>
  <c r="F39" i="28"/>
  <c r="F37" i="28"/>
  <c r="F62" i="27"/>
  <c r="F60" i="27"/>
  <c r="F58" i="27"/>
  <c r="F56" i="27"/>
  <c r="F54" i="27"/>
  <c r="F52" i="27"/>
  <c r="F50" i="27"/>
  <c r="F48" i="27"/>
  <c r="F46" i="27"/>
  <c r="F44" i="27"/>
  <c r="F42" i="27"/>
  <c r="F40" i="27"/>
  <c r="F38" i="27"/>
  <c r="D118" i="27"/>
  <c r="E64" i="27"/>
  <c r="M37" i="63" s="1"/>
  <c r="F36" i="27"/>
  <c r="E105" i="26"/>
  <c r="E95" i="26"/>
  <c r="C109" i="26" s="1"/>
  <c r="F109" i="26" s="1"/>
  <c r="F63" i="26"/>
  <c r="F61" i="26"/>
  <c r="F59" i="26"/>
  <c r="F57" i="26"/>
  <c r="F55" i="26"/>
  <c r="F53" i="26"/>
  <c r="F51" i="26"/>
  <c r="F49" i="26"/>
  <c r="F47" i="26"/>
  <c r="F45" i="26"/>
  <c r="F43" i="26"/>
  <c r="F41" i="26"/>
  <c r="F39" i="26"/>
  <c r="F37" i="26"/>
  <c r="F54" i="38"/>
  <c r="F50" i="38"/>
  <c r="F48" i="38"/>
  <c r="F46" i="38"/>
  <c r="F44" i="38"/>
  <c r="F42" i="38"/>
  <c r="F40" i="38"/>
  <c r="F38" i="38"/>
  <c r="E64" i="38"/>
  <c r="F64" i="38" s="1"/>
  <c r="E95" i="37"/>
  <c r="C109" i="37" s="1"/>
  <c r="F109" i="37" s="1"/>
  <c r="F63" i="37"/>
  <c r="F59" i="37"/>
  <c r="F55" i="37"/>
  <c r="F51" i="37"/>
  <c r="F47" i="37"/>
  <c r="F43" i="37"/>
  <c r="F39" i="37"/>
  <c r="E95" i="35"/>
  <c r="C109" i="35" s="1"/>
  <c r="F109" i="35" s="1"/>
  <c r="F63" i="35"/>
  <c r="F59" i="35"/>
  <c r="F55" i="35"/>
  <c r="F51" i="35"/>
  <c r="F47" i="35"/>
  <c r="F43" i="35"/>
  <c r="F39" i="35"/>
  <c r="E95" i="33"/>
  <c r="C109" i="33" s="1"/>
  <c r="F109" i="33" s="1"/>
  <c r="F63" i="33"/>
  <c r="F59" i="33"/>
  <c r="F55" i="33"/>
  <c r="F51" i="33"/>
  <c r="F47" i="33"/>
  <c r="F43" i="33"/>
  <c r="F39" i="33"/>
  <c r="D94" i="31"/>
  <c r="D32" i="31"/>
  <c r="D31" i="31"/>
  <c r="D93" i="31"/>
  <c r="F93" i="31" s="1"/>
  <c r="D92" i="31"/>
  <c r="F92" i="31" s="1"/>
  <c r="D30" i="31"/>
  <c r="D29" i="31"/>
  <c r="D91" i="31"/>
  <c r="D90" i="31"/>
  <c r="D28" i="31"/>
  <c r="D27" i="31"/>
  <c r="D89" i="31"/>
  <c r="F89" i="31" s="1"/>
  <c r="D88" i="31"/>
  <c r="F88" i="31" s="1"/>
  <c r="D26" i="31"/>
  <c r="D25" i="31"/>
  <c r="D87" i="31"/>
  <c r="D86" i="31"/>
  <c r="D24" i="31"/>
  <c r="D23" i="31"/>
  <c r="D85" i="31"/>
  <c r="F85" i="31" s="1"/>
  <c r="D84" i="31"/>
  <c r="F84" i="31" s="1"/>
  <c r="D22" i="31"/>
  <c r="D21" i="31"/>
  <c r="D83" i="31"/>
  <c r="D82" i="31"/>
  <c r="D20" i="31"/>
  <c r="D19" i="31"/>
  <c r="D81" i="31"/>
  <c r="F81" i="31" s="1"/>
  <c r="D80" i="31"/>
  <c r="F80" i="31" s="1"/>
  <c r="D18" i="31"/>
  <c r="D17" i="31"/>
  <c r="D79" i="31"/>
  <c r="D78" i="31"/>
  <c r="D16" i="31"/>
  <c r="D15" i="31"/>
  <c r="D77" i="31"/>
  <c r="F77" i="31" s="1"/>
  <c r="D76" i="31"/>
  <c r="F76" i="31" s="1"/>
  <c r="D14" i="31"/>
  <c r="D13" i="31"/>
  <c r="D75" i="31"/>
  <c r="D74" i="31"/>
  <c r="D12" i="31"/>
  <c r="D11" i="31"/>
  <c r="D73" i="31"/>
  <c r="F73" i="31" s="1"/>
  <c r="D72" i="31"/>
  <c r="F72" i="31" s="1"/>
  <c r="D10" i="31"/>
  <c r="D9" i="31"/>
  <c r="D71" i="31"/>
  <c r="D70" i="31"/>
  <c r="D8" i="31"/>
  <c r="D7" i="31"/>
  <c r="D69" i="31"/>
  <c r="F69" i="31" s="1"/>
  <c r="D68" i="31"/>
  <c r="F68" i="31" s="1"/>
  <c r="D6" i="31"/>
  <c r="D5" i="31"/>
  <c r="D67" i="31"/>
  <c r="D64" i="31"/>
  <c r="D94" i="30"/>
  <c r="D32" i="30"/>
  <c r="D31" i="30"/>
  <c r="D93" i="30"/>
  <c r="D92" i="30"/>
  <c r="F92" i="30" s="1"/>
  <c r="D30" i="30"/>
  <c r="D29" i="30"/>
  <c r="D91" i="30"/>
  <c r="F91" i="30" s="1"/>
  <c r="D90" i="30"/>
  <c r="D28" i="30"/>
  <c r="D27" i="30"/>
  <c r="D89" i="30"/>
  <c r="D88" i="30"/>
  <c r="F88" i="30" s="1"/>
  <c r="D26" i="30"/>
  <c r="D25" i="30"/>
  <c r="D87" i="30"/>
  <c r="F87" i="30" s="1"/>
  <c r="D86" i="30"/>
  <c r="D24" i="30"/>
  <c r="D23" i="30"/>
  <c r="D85" i="30"/>
  <c r="D84" i="30"/>
  <c r="F84" i="30" s="1"/>
  <c r="D22" i="30"/>
  <c r="D21" i="30"/>
  <c r="D83" i="30"/>
  <c r="F83" i="30" s="1"/>
  <c r="D82" i="30"/>
  <c r="D20" i="30"/>
  <c r="D19" i="30"/>
  <c r="D81" i="30"/>
  <c r="D80" i="30"/>
  <c r="F80" i="30" s="1"/>
  <c r="D18" i="30"/>
  <c r="D17" i="30"/>
  <c r="D79" i="30"/>
  <c r="F79" i="30" s="1"/>
  <c r="D78" i="30"/>
  <c r="D16" i="30"/>
  <c r="D15" i="30"/>
  <c r="D77" i="30"/>
  <c r="D76" i="30"/>
  <c r="F76" i="30" s="1"/>
  <c r="D14" i="30"/>
  <c r="D13" i="30"/>
  <c r="D75" i="30"/>
  <c r="F75" i="30" s="1"/>
  <c r="D74" i="30"/>
  <c r="D12" i="30"/>
  <c r="D11" i="30"/>
  <c r="D73" i="30"/>
  <c r="D72" i="30"/>
  <c r="F72" i="30" s="1"/>
  <c r="D10" i="30"/>
  <c r="D9" i="30"/>
  <c r="D71" i="30"/>
  <c r="F71" i="30" s="1"/>
  <c r="D70" i="30"/>
  <c r="D8" i="30"/>
  <c r="D7" i="30"/>
  <c r="D69" i="30"/>
  <c r="D68" i="30"/>
  <c r="F68" i="30" s="1"/>
  <c r="D6" i="30"/>
  <c r="D5" i="30"/>
  <c r="D67" i="30"/>
  <c r="D64" i="30"/>
  <c r="D94" i="29"/>
  <c r="D32" i="29"/>
  <c r="D31" i="29"/>
  <c r="D93" i="29"/>
  <c r="F93" i="29" s="1"/>
  <c r="D92" i="29"/>
  <c r="F92" i="29" s="1"/>
  <c r="D30" i="29"/>
  <c r="D29" i="29"/>
  <c r="D91" i="29"/>
  <c r="D90" i="29"/>
  <c r="D28" i="29"/>
  <c r="D27" i="29"/>
  <c r="D89" i="29"/>
  <c r="F89" i="29" s="1"/>
  <c r="D88" i="29"/>
  <c r="F88" i="29" s="1"/>
  <c r="D26" i="29"/>
  <c r="D25" i="29"/>
  <c r="D87" i="29"/>
  <c r="D86" i="29"/>
  <c r="D24" i="29"/>
  <c r="D23" i="29"/>
  <c r="D85" i="29"/>
  <c r="F85" i="29" s="1"/>
  <c r="D84" i="29"/>
  <c r="F84" i="29" s="1"/>
  <c r="D22" i="29"/>
  <c r="D21" i="29"/>
  <c r="D83" i="29"/>
  <c r="D82" i="29"/>
  <c r="D20" i="29"/>
  <c r="D19" i="29"/>
  <c r="D81" i="29"/>
  <c r="F81" i="29" s="1"/>
  <c r="D80" i="29"/>
  <c r="F80" i="29" s="1"/>
  <c r="D18" i="29"/>
  <c r="D17" i="29"/>
  <c r="D79" i="29"/>
  <c r="D78" i="29"/>
  <c r="D16" i="29"/>
  <c r="D15" i="29"/>
  <c r="D77" i="29"/>
  <c r="F77" i="29" s="1"/>
  <c r="D76" i="29"/>
  <c r="F76" i="29" s="1"/>
  <c r="D14" i="29"/>
  <c r="D13" i="29"/>
  <c r="D75" i="29"/>
  <c r="D74" i="29"/>
  <c r="D12" i="29"/>
  <c r="D11" i="29"/>
  <c r="D73" i="29"/>
  <c r="F73" i="29" s="1"/>
  <c r="D72" i="29"/>
  <c r="F72" i="29" s="1"/>
  <c r="D10" i="29"/>
  <c r="D9" i="29"/>
  <c r="D71" i="29"/>
  <c r="D70" i="29"/>
  <c r="D8" i="29"/>
  <c r="D7" i="29"/>
  <c r="D69" i="29"/>
  <c r="F69" i="29" s="1"/>
  <c r="D68" i="29"/>
  <c r="F68" i="29" s="1"/>
  <c r="D6" i="29"/>
  <c r="D5" i="29"/>
  <c r="D33" i="29" s="1"/>
  <c r="D67" i="29"/>
  <c r="D64" i="29"/>
  <c r="D94" i="28"/>
  <c r="D32" i="28"/>
  <c r="D31" i="28"/>
  <c r="D93" i="28"/>
  <c r="D92" i="28"/>
  <c r="F92" i="28" s="1"/>
  <c r="D30" i="28"/>
  <c r="D29" i="28"/>
  <c r="D91" i="28"/>
  <c r="F91" i="28" s="1"/>
  <c r="D90" i="28"/>
  <c r="D28" i="28"/>
  <c r="D27" i="28"/>
  <c r="D89" i="28"/>
  <c r="D88" i="28"/>
  <c r="F88" i="28" s="1"/>
  <c r="D26" i="28"/>
  <c r="D25" i="28"/>
  <c r="D87" i="28"/>
  <c r="F87" i="28" s="1"/>
  <c r="D86" i="28"/>
  <c r="D24" i="28"/>
  <c r="D23" i="28"/>
  <c r="D85" i="28"/>
  <c r="D84" i="28"/>
  <c r="F84" i="28" s="1"/>
  <c r="D22" i="28"/>
  <c r="D21" i="28"/>
  <c r="D83" i="28"/>
  <c r="F83" i="28" s="1"/>
  <c r="D82" i="28"/>
  <c r="D20" i="28"/>
  <c r="D19" i="28"/>
  <c r="D81" i="28"/>
  <c r="D80" i="28"/>
  <c r="F80" i="28" s="1"/>
  <c r="D18" i="28"/>
  <c r="D17" i="28"/>
  <c r="D79" i="28"/>
  <c r="F79" i="28" s="1"/>
  <c r="D78" i="28"/>
  <c r="D16" i="28"/>
  <c r="D15" i="28"/>
  <c r="D77" i="28"/>
  <c r="D76" i="28"/>
  <c r="F76" i="28" s="1"/>
  <c r="D14" i="28"/>
  <c r="D13" i="28"/>
  <c r="D75" i="28"/>
  <c r="F75" i="28" s="1"/>
  <c r="D74" i="28"/>
  <c r="D12" i="28"/>
  <c r="D11" i="28"/>
  <c r="D73" i="28"/>
  <c r="D72" i="28"/>
  <c r="F72" i="28" s="1"/>
  <c r="D10" i="28"/>
  <c r="D9" i="28"/>
  <c r="D71" i="28"/>
  <c r="F71" i="28" s="1"/>
  <c r="D70" i="28"/>
  <c r="D8" i="28"/>
  <c r="D7" i="28"/>
  <c r="D69" i="28"/>
  <c r="D68" i="28"/>
  <c r="F68" i="28" s="1"/>
  <c r="D6" i="28"/>
  <c r="D5" i="28"/>
  <c r="D67" i="28"/>
  <c r="D64" i="28"/>
  <c r="D94" i="27"/>
  <c r="D32" i="27"/>
  <c r="D31" i="27"/>
  <c r="D93" i="27"/>
  <c r="F93" i="27" s="1"/>
  <c r="D92" i="27"/>
  <c r="F92" i="27" s="1"/>
  <c r="D30" i="27"/>
  <c r="D29" i="27"/>
  <c r="D91" i="27"/>
  <c r="D90" i="27"/>
  <c r="D28" i="27"/>
  <c r="D27" i="27"/>
  <c r="D89" i="27"/>
  <c r="F89" i="27" s="1"/>
  <c r="D88" i="27"/>
  <c r="F88" i="27" s="1"/>
  <c r="D26" i="27"/>
  <c r="D25" i="27"/>
  <c r="D87" i="27"/>
  <c r="D86" i="27"/>
  <c r="D24" i="27"/>
  <c r="D23" i="27"/>
  <c r="D85" i="27"/>
  <c r="F85" i="27" s="1"/>
  <c r="D84" i="27"/>
  <c r="F84" i="27" s="1"/>
  <c r="D22" i="27"/>
  <c r="D21" i="27"/>
  <c r="D83" i="27"/>
  <c r="D82" i="27"/>
  <c r="D20" i="27"/>
  <c r="D19" i="27"/>
  <c r="D81" i="27"/>
  <c r="F81" i="27" s="1"/>
  <c r="D80" i="27"/>
  <c r="F80" i="27" s="1"/>
  <c r="D18" i="27"/>
  <c r="D17" i="27"/>
  <c r="D79" i="27"/>
  <c r="D78" i="27"/>
  <c r="D16" i="27"/>
  <c r="D15" i="27"/>
  <c r="D77" i="27"/>
  <c r="F77" i="27" s="1"/>
  <c r="D76" i="27"/>
  <c r="F76" i="27" s="1"/>
  <c r="D14" i="27"/>
  <c r="D13" i="27"/>
  <c r="D75" i="27"/>
  <c r="D74" i="27"/>
  <c r="D12" i="27"/>
  <c r="D11" i="27"/>
  <c r="D73" i="27"/>
  <c r="F73" i="27" s="1"/>
  <c r="D72" i="27"/>
  <c r="F72" i="27" s="1"/>
  <c r="D10" i="27"/>
  <c r="D9" i="27"/>
  <c r="D71" i="27"/>
  <c r="D70" i="27"/>
  <c r="D8" i="27"/>
  <c r="D7" i="27"/>
  <c r="D69" i="27"/>
  <c r="F69" i="27" s="1"/>
  <c r="D68" i="27"/>
  <c r="F68" i="27" s="1"/>
  <c r="D6" i="27"/>
  <c r="D5" i="27"/>
  <c r="D33" i="27" s="1"/>
  <c r="D67" i="27"/>
  <c r="D64" i="27"/>
  <c r="D94" i="26"/>
  <c r="D32" i="26"/>
  <c r="D31" i="26"/>
  <c r="D93" i="26"/>
  <c r="D92" i="26"/>
  <c r="F92" i="26" s="1"/>
  <c r="D30" i="26"/>
  <c r="D29" i="26"/>
  <c r="D91" i="26"/>
  <c r="F91" i="26" s="1"/>
  <c r="D90" i="26"/>
  <c r="D28" i="26"/>
  <c r="D27" i="26"/>
  <c r="D89" i="26"/>
  <c r="D88" i="26"/>
  <c r="F88" i="26" s="1"/>
  <c r="D26" i="26"/>
  <c r="D25" i="26"/>
  <c r="D87" i="26"/>
  <c r="F87" i="26" s="1"/>
  <c r="D86" i="26"/>
  <c r="D24" i="26"/>
  <c r="D23" i="26"/>
  <c r="D85" i="26"/>
  <c r="D84" i="26"/>
  <c r="F84" i="26" s="1"/>
  <c r="D22" i="26"/>
  <c r="D21" i="26"/>
  <c r="D83" i="26"/>
  <c r="F83" i="26" s="1"/>
  <c r="D82" i="26"/>
  <c r="D20" i="26"/>
  <c r="D19" i="26"/>
  <c r="D81" i="26"/>
  <c r="D80" i="26"/>
  <c r="F80" i="26" s="1"/>
  <c r="D18" i="26"/>
  <c r="D17" i="26"/>
  <c r="D79" i="26"/>
  <c r="F79" i="26" s="1"/>
  <c r="D78" i="26"/>
  <c r="D16" i="26"/>
  <c r="D15" i="26"/>
  <c r="D77" i="26"/>
  <c r="D76" i="26"/>
  <c r="F76" i="26" s="1"/>
  <c r="D14" i="26"/>
  <c r="D13" i="26"/>
  <c r="D75" i="26"/>
  <c r="F75" i="26" s="1"/>
  <c r="D74" i="26"/>
  <c r="D12" i="26"/>
  <c r="D11" i="26"/>
  <c r="D73" i="26"/>
  <c r="D72" i="26"/>
  <c r="F72" i="26" s="1"/>
  <c r="D10" i="26"/>
  <c r="D9" i="26"/>
  <c r="D71" i="26"/>
  <c r="F71" i="26" s="1"/>
  <c r="D70" i="26"/>
  <c r="D8" i="26"/>
  <c r="D7" i="26"/>
  <c r="D69" i="26"/>
  <c r="D68" i="26"/>
  <c r="F68" i="26" s="1"/>
  <c r="D6" i="26"/>
  <c r="D5" i="26"/>
  <c r="D67" i="26"/>
  <c r="D64" i="26"/>
  <c r="E118" i="36"/>
  <c r="E118" i="33"/>
  <c r="D118" i="33"/>
  <c r="D31" i="25"/>
  <c r="D93" i="25"/>
  <c r="F93" i="25" s="1"/>
  <c r="D29" i="25"/>
  <c r="D91" i="25"/>
  <c r="D27" i="25"/>
  <c r="D89" i="25"/>
  <c r="F89" i="25" s="1"/>
  <c r="D25" i="25"/>
  <c r="D87" i="25"/>
  <c r="D23" i="25"/>
  <c r="D85" i="25"/>
  <c r="F85" i="25" s="1"/>
  <c r="D21" i="25"/>
  <c r="D83" i="25"/>
  <c r="D19" i="25"/>
  <c r="D81" i="25"/>
  <c r="F81" i="25" s="1"/>
  <c r="D17" i="25"/>
  <c r="D79" i="25"/>
  <c r="D15" i="25"/>
  <c r="D77" i="25"/>
  <c r="F77" i="25" s="1"/>
  <c r="D13" i="25"/>
  <c r="D75" i="25"/>
  <c r="D11" i="25"/>
  <c r="D73" i="25"/>
  <c r="F73" i="25" s="1"/>
  <c r="D9" i="25"/>
  <c r="D71" i="25"/>
  <c r="D7" i="25"/>
  <c r="D69" i="25"/>
  <c r="D5" i="25"/>
  <c r="D33" i="25" s="1"/>
  <c r="D67" i="25"/>
  <c r="D95" i="25" s="1"/>
  <c r="D105" i="25" s="1"/>
  <c r="D64" i="25"/>
  <c r="E64" i="25"/>
  <c r="M39" i="63" s="1"/>
  <c r="F36" i="25"/>
  <c r="D118" i="25"/>
  <c r="F38" i="25"/>
  <c r="F40" i="25"/>
  <c r="F42" i="25"/>
  <c r="F44" i="25"/>
  <c r="F46" i="25"/>
  <c r="F48" i="25"/>
  <c r="F50" i="25"/>
  <c r="F52" i="25"/>
  <c r="F54" i="25"/>
  <c r="F56" i="25"/>
  <c r="F58" i="25"/>
  <c r="F60" i="25"/>
  <c r="F62" i="25"/>
  <c r="F69" i="25"/>
  <c r="E64" i="24"/>
  <c r="M40" i="63" s="1"/>
  <c r="F36" i="24"/>
  <c r="D118" i="24"/>
  <c r="F38" i="24"/>
  <c r="F40" i="24"/>
  <c r="F42" i="24"/>
  <c r="F44" i="24"/>
  <c r="F46" i="24"/>
  <c r="F48" i="24"/>
  <c r="F50" i="24"/>
  <c r="F52" i="24"/>
  <c r="F54" i="24"/>
  <c r="F56" i="24"/>
  <c r="F58" i="24"/>
  <c r="F60" i="24"/>
  <c r="F62" i="24"/>
  <c r="E64" i="23"/>
  <c r="M41" i="63" s="1"/>
  <c r="F36" i="23"/>
  <c r="D118" i="23"/>
  <c r="F38" i="23"/>
  <c r="F40" i="23"/>
  <c r="F42" i="23"/>
  <c r="F44" i="23"/>
  <c r="F46" i="23"/>
  <c r="F48" i="23"/>
  <c r="F50" i="23"/>
  <c r="F52" i="23"/>
  <c r="F54" i="23"/>
  <c r="F56" i="23"/>
  <c r="F58" i="23"/>
  <c r="F60" i="23"/>
  <c r="F62" i="23"/>
  <c r="E64" i="22"/>
  <c r="M42" i="63" s="1"/>
  <c r="F36" i="22"/>
  <c r="D118" i="22"/>
  <c r="F38" i="22"/>
  <c r="F40" i="22"/>
  <c r="F42" i="22"/>
  <c r="F44" i="22"/>
  <c r="F46" i="22"/>
  <c r="F48" i="22"/>
  <c r="F50" i="22"/>
  <c r="F52" i="22"/>
  <c r="F54" i="22"/>
  <c r="F56" i="22"/>
  <c r="F58" i="22"/>
  <c r="F60" i="22"/>
  <c r="F62" i="22"/>
  <c r="E64" i="21"/>
  <c r="M43" i="63" s="1"/>
  <c r="F36" i="21"/>
  <c r="D118" i="21"/>
  <c r="F38" i="21"/>
  <c r="F40" i="21"/>
  <c r="F42" i="21"/>
  <c r="F44" i="21"/>
  <c r="F46" i="21"/>
  <c r="F48" i="21"/>
  <c r="F50" i="21"/>
  <c r="F52" i="21"/>
  <c r="F54" i="21"/>
  <c r="F56" i="21"/>
  <c r="F58" i="21"/>
  <c r="F60" i="21"/>
  <c r="F62" i="21"/>
  <c r="F51" i="9"/>
  <c r="F49" i="9"/>
  <c r="F47" i="9"/>
  <c r="F45" i="9"/>
  <c r="F43" i="9"/>
  <c r="F41" i="9"/>
  <c r="F39" i="9"/>
  <c r="F37" i="9"/>
  <c r="F62" i="8"/>
  <c r="F60" i="8"/>
  <c r="F58" i="8"/>
  <c r="F56" i="8"/>
  <c r="F54" i="8"/>
  <c r="F52" i="8"/>
  <c r="F50" i="8"/>
  <c r="F48" i="8"/>
  <c r="F46" i="8"/>
  <c r="F44" i="8"/>
  <c r="F42" i="8"/>
  <c r="F40" i="8"/>
  <c r="F38" i="8"/>
  <c r="D118" i="8"/>
  <c r="E64" i="8"/>
  <c r="M56" i="63" s="1"/>
  <c r="F36" i="8"/>
  <c r="E105" i="7"/>
  <c r="E95" i="7"/>
  <c r="C109" i="7" s="1"/>
  <c r="F109" i="7" s="1"/>
  <c r="F63" i="7"/>
  <c r="F61" i="7"/>
  <c r="F59" i="7"/>
  <c r="F57" i="7"/>
  <c r="F55" i="7"/>
  <c r="F53" i="7"/>
  <c r="F51" i="7"/>
  <c r="F49" i="7"/>
  <c r="F47" i="7"/>
  <c r="F45" i="7"/>
  <c r="F43" i="7"/>
  <c r="F41" i="7"/>
  <c r="F39" i="7"/>
  <c r="F37" i="7"/>
  <c r="F62" i="6"/>
  <c r="F60" i="6"/>
  <c r="F58" i="6"/>
  <c r="F56" i="6"/>
  <c r="F54" i="6"/>
  <c r="F52" i="6"/>
  <c r="F50" i="6"/>
  <c r="F48" i="6"/>
  <c r="F46" i="6"/>
  <c r="F44" i="6"/>
  <c r="F42" i="6"/>
  <c r="F40" i="6"/>
  <c r="F38" i="6"/>
  <c r="D118" i="6"/>
  <c r="E64" i="6"/>
  <c r="M58" i="63" s="1"/>
  <c r="F36" i="6"/>
  <c r="E105" i="5"/>
  <c r="E95" i="5"/>
  <c r="C109" i="5" s="1"/>
  <c r="F109" i="5" s="1"/>
  <c r="F63" i="5"/>
  <c r="F61" i="5"/>
  <c r="F59" i="5"/>
  <c r="F57" i="5"/>
  <c r="F55" i="5"/>
  <c r="F53" i="5"/>
  <c r="F51" i="5"/>
  <c r="F49" i="5"/>
  <c r="F47" i="5"/>
  <c r="F45" i="5"/>
  <c r="F43" i="5"/>
  <c r="F41" i="5"/>
  <c r="F39" i="5"/>
  <c r="F37" i="5"/>
  <c r="F62" i="4"/>
  <c r="F60" i="4"/>
  <c r="F58" i="4"/>
  <c r="F56" i="4"/>
  <c r="F54" i="4"/>
  <c r="F52" i="4"/>
  <c r="F50" i="4"/>
  <c r="F48" i="4"/>
  <c r="F46" i="4"/>
  <c r="F44" i="4"/>
  <c r="F42" i="4"/>
  <c r="F40" i="4"/>
  <c r="F38" i="4"/>
  <c r="D118" i="4"/>
  <c r="E64" i="4"/>
  <c r="M60" i="63" s="1"/>
  <c r="F36" i="4"/>
  <c r="E105" i="3"/>
  <c r="E95" i="3"/>
  <c r="C109" i="3" s="1"/>
  <c r="F109" i="3" s="1"/>
  <c r="F63" i="3"/>
  <c r="F61" i="3"/>
  <c r="F59" i="3"/>
  <c r="F57" i="3"/>
  <c r="F55" i="3"/>
  <c r="F53" i="3"/>
  <c r="F51" i="3"/>
  <c r="F49" i="3"/>
  <c r="F47" i="3"/>
  <c r="F45" i="3"/>
  <c r="F43" i="3"/>
  <c r="F41" i="3"/>
  <c r="F39" i="3"/>
  <c r="F37" i="3"/>
  <c r="F62" i="59"/>
  <c r="F60" i="59"/>
  <c r="F58" i="59"/>
  <c r="F56" i="59"/>
  <c r="F54" i="59"/>
  <c r="F52" i="59"/>
  <c r="F50" i="59"/>
  <c r="F48" i="59"/>
  <c r="F46" i="59"/>
  <c r="F44" i="59"/>
  <c r="F42" i="59"/>
  <c r="F40" i="59"/>
  <c r="F38" i="59"/>
  <c r="D118" i="59"/>
  <c r="E64" i="59"/>
  <c r="M62" i="63" s="1"/>
  <c r="F36" i="59"/>
  <c r="E105" i="1"/>
  <c r="E95" i="1"/>
  <c r="C109" i="1" s="1"/>
  <c r="F109" i="1" s="1"/>
  <c r="F63" i="1"/>
  <c r="F61" i="1"/>
  <c r="F59" i="1"/>
  <c r="F57" i="1"/>
  <c r="F55" i="1"/>
  <c r="F53" i="1"/>
  <c r="F51" i="1"/>
  <c r="F49" i="1"/>
  <c r="F47" i="1"/>
  <c r="F45" i="1"/>
  <c r="F43" i="1"/>
  <c r="F41" i="1"/>
  <c r="F39" i="1"/>
  <c r="F37" i="1"/>
  <c r="F62" i="56"/>
  <c r="F60" i="56"/>
  <c r="F58" i="56"/>
  <c r="F56" i="56"/>
  <c r="F54" i="56"/>
  <c r="F52" i="56"/>
  <c r="F50" i="56"/>
  <c r="F48" i="56"/>
  <c r="F46" i="56"/>
  <c r="F44" i="56"/>
  <c r="F42" i="56"/>
  <c r="F40" i="56"/>
  <c r="F38" i="56"/>
  <c r="D118" i="56"/>
  <c r="E64" i="56"/>
  <c r="M8" i="63" s="1"/>
  <c r="F36" i="56"/>
  <c r="D13" i="20"/>
  <c r="D75" i="20"/>
  <c r="F75" i="20" s="1"/>
  <c r="D73" i="20"/>
  <c r="D11" i="20"/>
  <c r="D9" i="20"/>
  <c r="D71" i="20"/>
  <c r="D69" i="20"/>
  <c r="D7" i="20"/>
  <c r="D64" i="20"/>
  <c r="D5" i="20"/>
  <c r="D67" i="20"/>
  <c r="F37" i="20"/>
  <c r="F39" i="20"/>
  <c r="F41" i="20"/>
  <c r="F43" i="20"/>
  <c r="D77" i="20"/>
  <c r="D15" i="20"/>
  <c r="D17" i="20"/>
  <c r="D79" i="20"/>
  <c r="F79" i="20" s="1"/>
  <c r="D81" i="20"/>
  <c r="D19" i="20"/>
  <c r="D21" i="20"/>
  <c r="D83" i="20"/>
  <c r="F83" i="20" s="1"/>
  <c r="D85" i="20"/>
  <c r="D23" i="20"/>
  <c r="D25" i="20"/>
  <c r="D87" i="20"/>
  <c r="F87" i="20" s="1"/>
  <c r="D89" i="20"/>
  <c r="D27" i="20"/>
  <c r="D29" i="20"/>
  <c r="D91" i="20"/>
  <c r="F91" i="20" s="1"/>
  <c r="D93" i="20"/>
  <c r="D31" i="20"/>
  <c r="F45" i="20"/>
  <c r="F47" i="20"/>
  <c r="F49" i="20"/>
  <c r="F51" i="20"/>
  <c r="F53" i="20"/>
  <c r="F55" i="20"/>
  <c r="F57" i="20"/>
  <c r="F59" i="20"/>
  <c r="F61" i="20"/>
  <c r="F63" i="20"/>
  <c r="E95" i="20"/>
  <c r="C109" i="20" s="1"/>
  <c r="F109" i="20" s="1"/>
  <c r="F67" i="20"/>
  <c r="F71" i="20"/>
  <c r="E105" i="20"/>
  <c r="E118" i="20"/>
  <c r="D31" i="19"/>
  <c r="D93" i="19"/>
  <c r="D29" i="19"/>
  <c r="D91" i="19"/>
  <c r="F91" i="19" s="1"/>
  <c r="D27" i="19"/>
  <c r="D89" i="19"/>
  <c r="D25" i="19"/>
  <c r="D87" i="19"/>
  <c r="F87" i="19" s="1"/>
  <c r="D23" i="19"/>
  <c r="D85" i="19"/>
  <c r="D21" i="19"/>
  <c r="D83" i="19"/>
  <c r="F83" i="19" s="1"/>
  <c r="D19" i="19"/>
  <c r="D81" i="19"/>
  <c r="D17" i="19"/>
  <c r="D79" i="19"/>
  <c r="F79" i="19" s="1"/>
  <c r="D15" i="19"/>
  <c r="D77" i="19"/>
  <c r="D13" i="19"/>
  <c r="D75" i="19"/>
  <c r="F75" i="19" s="1"/>
  <c r="D11" i="19"/>
  <c r="D73" i="19"/>
  <c r="D9" i="19"/>
  <c r="D71" i="19"/>
  <c r="F71" i="19" s="1"/>
  <c r="D7" i="19"/>
  <c r="D69" i="19"/>
  <c r="D5" i="19"/>
  <c r="D67" i="19"/>
  <c r="F67" i="19" s="1"/>
  <c r="D64" i="19"/>
  <c r="F37" i="19"/>
  <c r="F39" i="19"/>
  <c r="F41" i="19"/>
  <c r="F43" i="19"/>
  <c r="F45" i="19"/>
  <c r="F47" i="19"/>
  <c r="F49" i="19"/>
  <c r="F51" i="19"/>
  <c r="F53" i="19"/>
  <c r="F55" i="19"/>
  <c r="F57" i="19"/>
  <c r="F59" i="19"/>
  <c r="F61" i="19"/>
  <c r="F63" i="19"/>
  <c r="E95" i="19"/>
  <c r="C109" i="19" s="1"/>
  <c r="F109" i="19" s="1"/>
  <c r="E105" i="19"/>
  <c r="E118" i="19"/>
  <c r="D31" i="18"/>
  <c r="D93" i="18"/>
  <c r="D29" i="18"/>
  <c r="D91" i="18"/>
  <c r="F91" i="18" s="1"/>
  <c r="D27" i="18"/>
  <c r="D89" i="18"/>
  <c r="D25" i="18"/>
  <c r="D87" i="18"/>
  <c r="F87" i="18" s="1"/>
  <c r="D23" i="18"/>
  <c r="D85" i="18"/>
  <c r="D21" i="18"/>
  <c r="D83" i="18"/>
  <c r="F83" i="18" s="1"/>
  <c r="D19" i="18"/>
  <c r="D81" i="18"/>
  <c r="D17" i="18"/>
  <c r="D79" i="18"/>
  <c r="D15" i="18"/>
  <c r="D77" i="18"/>
  <c r="D13" i="18"/>
  <c r="D75" i="18"/>
  <c r="F75" i="18" s="1"/>
  <c r="D11" i="18"/>
  <c r="D73" i="18"/>
  <c r="D9" i="18"/>
  <c r="D71" i="18"/>
  <c r="F71" i="18" s="1"/>
  <c r="D7" i="18"/>
  <c r="D69" i="18"/>
  <c r="D5" i="18"/>
  <c r="D67" i="18"/>
  <c r="F67" i="18" s="1"/>
  <c r="D64" i="18"/>
  <c r="F37" i="18"/>
  <c r="F39" i="18"/>
  <c r="F41" i="18"/>
  <c r="F43" i="18"/>
  <c r="F45" i="18"/>
  <c r="F47" i="18"/>
  <c r="F49" i="18"/>
  <c r="F51" i="18"/>
  <c r="F53" i="18"/>
  <c r="F55" i="18"/>
  <c r="F57" i="18"/>
  <c r="F59" i="18"/>
  <c r="F61" i="18"/>
  <c r="F63" i="18"/>
  <c r="E95" i="18"/>
  <c r="C109" i="18" s="1"/>
  <c r="F109" i="18" s="1"/>
  <c r="F79" i="18"/>
  <c r="E105" i="18"/>
  <c r="E118" i="18"/>
  <c r="D31" i="17"/>
  <c r="D93" i="17"/>
  <c r="D29" i="17"/>
  <c r="D91" i="17"/>
  <c r="F91" i="17" s="1"/>
  <c r="D27" i="17"/>
  <c r="D89" i="17"/>
  <c r="D25" i="17"/>
  <c r="D87" i="17"/>
  <c r="F87" i="17" s="1"/>
  <c r="D23" i="17"/>
  <c r="D85" i="17"/>
  <c r="D21" i="17"/>
  <c r="D83" i="17"/>
  <c r="F83" i="17" s="1"/>
  <c r="D19" i="17"/>
  <c r="D81" i="17"/>
  <c r="D17" i="17"/>
  <c r="D79" i="17"/>
  <c r="F79" i="17" s="1"/>
  <c r="D15" i="17"/>
  <c r="D77" i="17"/>
  <c r="D13" i="17"/>
  <c r="D75" i="17"/>
  <c r="F75" i="17" s="1"/>
  <c r="D11" i="17"/>
  <c r="D73" i="17"/>
  <c r="D9" i="17"/>
  <c r="D71" i="17"/>
  <c r="F71" i="17" s="1"/>
  <c r="D7" i="17"/>
  <c r="D69" i="17"/>
  <c r="D5" i="17"/>
  <c r="D67" i="17"/>
  <c r="F67" i="17" s="1"/>
  <c r="D64" i="17"/>
  <c r="F37" i="17"/>
  <c r="F39" i="17"/>
  <c r="F41" i="17"/>
  <c r="F43" i="17"/>
  <c r="F45" i="17"/>
  <c r="F47" i="17"/>
  <c r="F49" i="17"/>
  <c r="F51" i="17"/>
  <c r="F53" i="17"/>
  <c r="F55" i="17"/>
  <c r="F57" i="17"/>
  <c r="F59" i="17"/>
  <c r="F61" i="17"/>
  <c r="F63" i="17"/>
  <c r="E95" i="17"/>
  <c r="C109" i="17" s="1"/>
  <c r="F109" i="17" s="1"/>
  <c r="E105" i="17"/>
  <c r="E118" i="17"/>
  <c r="D31" i="16"/>
  <c r="D93" i="16"/>
  <c r="D29" i="16"/>
  <c r="D91" i="16"/>
  <c r="F91" i="16" s="1"/>
  <c r="D27" i="16"/>
  <c r="D89" i="16"/>
  <c r="D25" i="16"/>
  <c r="D87" i="16"/>
  <c r="D23" i="16"/>
  <c r="D85" i="16"/>
  <c r="D21" i="16"/>
  <c r="D83" i="16"/>
  <c r="F83" i="16" s="1"/>
  <c r="D19" i="16"/>
  <c r="D81" i="16"/>
  <c r="D17" i="16"/>
  <c r="D79" i="16"/>
  <c r="D15" i="16"/>
  <c r="D77" i="16"/>
  <c r="D13" i="16"/>
  <c r="D75" i="16"/>
  <c r="F75" i="16" s="1"/>
  <c r="D11" i="16"/>
  <c r="D73" i="16"/>
  <c r="D9" i="16"/>
  <c r="D71" i="16"/>
  <c r="D7" i="16"/>
  <c r="D69" i="16"/>
  <c r="D5" i="16"/>
  <c r="D67" i="16"/>
  <c r="F67" i="16" s="1"/>
  <c r="D64" i="16"/>
  <c r="F37" i="16"/>
  <c r="F39" i="16"/>
  <c r="F41" i="16"/>
  <c r="F43" i="16"/>
  <c r="F45" i="16"/>
  <c r="F47" i="16"/>
  <c r="F49" i="16"/>
  <c r="F51" i="16"/>
  <c r="F53" i="16"/>
  <c r="F55" i="16"/>
  <c r="F57" i="16"/>
  <c r="F59" i="16"/>
  <c r="F61" i="16"/>
  <c r="F63" i="16"/>
  <c r="E95" i="16"/>
  <c r="C109" i="16" s="1"/>
  <c r="F109" i="16" s="1"/>
  <c r="F71" i="16"/>
  <c r="F79" i="16"/>
  <c r="F87" i="16"/>
  <c r="E105" i="16"/>
  <c r="D31" i="15"/>
  <c r="D93" i="15"/>
  <c r="D29" i="15"/>
  <c r="D91" i="15"/>
  <c r="F91" i="15" s="1"/>
  <c r="D27" i="15"/>
  <c r="D89" i="15"/>
  <c r="D25" i="15"/>
  <c r="D87" i="15"/>
  <c r="F87" i="15" s="1"/>
  <c r="D23" i="15"/>
  <c r="D85" i="15"/>
  <c r="D21" i="15"/>
  <c r="D83" i="15"/>
  <c r="F83" i="15" s="1"/>
  <c r="D19" i="15"/>
  <c r="D81" i="15"/>
  <c r="D17" i="15"/>
  <c r="D79" i="15"/>
  <c r="F79" i="15" s="1"/>
  <c r="D15" i="15"/>
  <c r="D77" i="15"/>
  <c r="D13" i="15"/>
  <c r="D75" i="15"/>
  <c r="F75" i="15" s="1"/>
  <c r="D11" i="15"/>
  <c r="D73" i="15"/>
  <c r="D9" i="15"/>
  <c r="D71" i="15"/>
  <c r="F71" i="15" s="1"/>
  <c r="D7" i="15"/>
  <c r="D69" i="15"/>
  <c r="D5" i="15"/>
  <c r="D67" i="15"/>
  <c r="F67" i="15" s="1"/>
  <c r="D64" i="15"/>
  <c r="F37" i="15"/>
  <c r="F39" i="15"/>
  <c r="F41" i="15"/>
  <c r="F43" i="15"/>
  <c r="F45" i="15"/>
  <c r="F47" i="15"/>
  <c r="F49" i="15"/>
  <c r="F51" i="15"/>
  <c r="F53" i="15"/>
  <c r="F55" i="15"/>
  <c r="F57" i="15"/>
  <c r="F59" i="15"/>
  <c r="F61" i="15"/>
  <c r="F63" i="15"/>
  <c r="E95" i="15"/>
  <c r="C109" i="15" s="1"/>
  <c r="F109" i="15" s="1"/>
  <c r="E105" i="15"/>
  <c r="D31" i="14"/>
  <c r="D93" i="14"/>
  <c r="D29" i="14"/>
  <c r="D91" i="14"/>
  <c r="F91" i="14" s="1"/>
  <c r="D27" i="14"/>
  <c r="D89" i="14"/>
  <c r="D25" i="14"/>
  <c r="D87" i="14"/>
  <c r="F87" i="14" s="1"/>
  <c r="D23" i="14"/>
  <c r="D85" i="14"/>
  <c r="D21" i="14"/>
  <c r="D83" i="14"/>
  <c r="F83" i="14" s="1"/>
  <c r="D19" i="14"/>
  <c r="D81" i="14"/>
  <c r="D17" i="14"/>
  <c r="D79" i="14"/>
  <c r="F79" i="14" s="1"/>
  <c r="D15" i="14"/>
  <c r="D77" i="14"/>
  <c r="D13" i="14"/>
  <c r="D75" i="14"/>
  <c r="F75" i="14" s="1"/>
  <c r="D11" i="14"/>
  <c r="D73" i="14"/>
  <c r="D9" i="14"/>
  <c r="D71" i="14"/>
  <c r="F71" i="14" s="1"/>
  <c r="D7" i="14"/>
  <c r="D69" i="14"/>
  <c r="D5" i="14"/>
  <c r="D67" i="14"/>
  <c r="F67" i="14" s="1"/>
  <c r="D64" i="14"/>
  <c r="F37" i="14"/>
  <c r="F39" i="14"/>
  <c r="F41" i="14"/>
  <c r="F43" i="14"/>
  <c r="F45" i="14"/>
  <c r="F47" i="14"/>
  <c r="F49" i="14"/>
  <c r="F51" i="14"/>
  <c r="F53" i="14"/>
  <c r="F55" i="14"/>
  <c r="F57" i="14"/>
  <c r="F59" i="14"/>
  <c r="F61" i="14"/>
  <c r="F63" i="14"/>
  <c r="E95" i="14"/>
  <c r="C109" i="14" s="1"/>
  <c r="F109" i="14" s="1"/>
  <c r="E105" i="14"/>
  <c r="E118" i="14"/>
  <c r="D31" i="13"/>
  <c r="D93" i="13"/>
  <c r="D29" i="13"/>
  <c r="D91" i="13"/>
  <c r="F91" i="13" s="1"/>
  <c r="D27" i="13"/>
  <c r="D89" i="13"/>
  <c r="D25" i="13"/>
  <c r="D87" i="13"/>
  <c r="F87" i="13" s="1"/>
  <c r="D23" i="13"/>
  <c r="D85" i="13"/>
  <c r="D21" i="13"/>
  <c r="D83" i="13"/>
  <c r="F83" i="13" s="1"/>
  <c r="D19" i="13"/>
  <c r="D81" i="13"/>
  <c r="D17" i="13"/>
  <c r="D79" i="13"/>
  <c r="F79" i="13" s="1"/>
  <c r="D15" i="13"/>
  <c r="D77" i="13"/>
  <c r="D13" i="13"/>
  <c r="D75" i="13"/>
  <c r="F75" i="13" s="1"/>
  <c r="D11" i="13"/>
  <c r="D73" i="13"/>
  <c r="D9" i="13"/>
  <c r="D71" i="13"/>
  <c r="F71" i="13" s="1"/>
  <c r="D7" i="13"/>
  <c r="D69" i="13"/>
  <c r="D5" i="13"/>
  <c r="D67" i="13"/>
  <c r="F67" i="13" s="1"/>
  <c r="D64" i="13"/>
  <c r="F37" i="13"/>
  <c r="F39" i="13"/>
  <c r="F41" i="13"/>
  <c r="F43" i="13"/>
  <c r="F45" i="13"/>
  <c r="F47" i="13"/>
  <c r="F49" i="13"/>
  <c r="F51" i="13"/>
  <c r="F53" i="13"/>
  <c r="F55" i="13"/>
  <c r="F57" i="13"/>
  <c r="F59" i="13"/>
  <c r="F61" i="13"/>
  <c r="F63" i="13"/>
  <c r="E95" i="13"/>
  <c r="C109" i="13" s="1"/>
  <c r="F109" i="13" s="1"/>
  <c r="E105" i="13"/>
  <c r="E118" i="13"/>
  <c r="D31" i="12"/>
  <c r="D93" i="12"/>
  <c r="D29" i="12"/>
  <c r="D91" i="12"/>
  <c r="D27" i="12"/>
  <c r="D89" i="12"/>
  <c r="D25" i="12"/>
  <c r="D87" i="12"/>
  <c r="D23" i="12"/>
  <c r="D85" i="12"/>
  <c r="D21" i="12"/>
  <c r="D83" i="12"/>
  <c r="D19" i="12"/>
  <c r="D81" i="12"/>
  <c r="D17" i="12"/>
  <c r="D79" i="12"/>
  <c r="D15" i="12"/>
  <c r="D77" i="12"/>
  <c r="D13" i="12"/>
  <c r="D75" i="12"/>
  <c r="D11" i="12"/>
  <c r="D73" i="12"/>
  <c r="D9" i="12"/>
  <c r="D71" i="12"/>
  <c r="D7" i="12"/>
  <c r="D69" i="12"/>
  <c r="D5" i="12"/>
  <c r="D67" i="12"/>
  <c r="D64" i="12"/>
  <c r="F37" i="12"/>
  <c r="F39" i="12"/>
  <c r="F41" i="12"/>
  <c r="F43" i="12"/>
  <c r="F45" i="12"/>
  <c r="F47" i="12"/>
  <c r="F49" i="12"/>
  <c r="F51" i="12"/>
  <c r="F53" i="12"/>
  <c r="F55" i="12"/>
  <c r="F57" i="12"/>
  <c r="F59" i="12"/>
  <c r="F61" i="12"/>
  <c r="F63" i="12"/>
  <c r="E95" i="12"/>
  <c r="C109" i="12" s="1"/>
  <c r="F109" i="12" s="1"/>
  <c r="F67" i="12"/>
  <c r="F71" i="12"/>
  <c r="F75" i="12"/>
  <c r="F79" i="12"/>
  <c r="F83" i="12"/>
  <c r="F87" i="12"/>
  <c r="F91" i="12"/>
  <c r="E105" i="12"/>
  <c r="D31" i="11"/>
  <c r="D93" i="11"/>
  <c r="D29" i="11"/>
  <c r="D91" i="11"/>
  <c r="F91" i="11" s="1"/>
  <c r="D27" i="11"/>
  <c r="D89" i="11"/>
  <c r="D25" i="11"/>
  <c r="D87" i="11"/>
  <c r="F87" i="11" s="1"/>
  <c r="D23" i="11"/>
  <c r="D85" i="11"/>
  <c r="D21" i="11"/>
  <c r="D83" i="11"/>
  <c r="F83" i="11" s="1"/>
  <c r="D19" i="11"/>
  <c r="D81" i="11"/>
  <c r="D17" i="11"/>
  <c r="D79" i="11"/>
  <c r="F79" i="11" s="1"/>
  <c r="D15" i="11"/>
  <c r="D77" i="11"/>
  <c r="D13" i="11"/>
  <c r="D75" i="11"/>
  <c r="F75" i="11" s="1"/>
  <c r="D11" i="11"/>
  <c r="D73" i="11"/>
  <c r="D9" i="11"/>
  <c r="D71" i="11"/>
  <c r="F71" i="11" s="1"/>
  <c r="D7" i="11"/>
  <c r="D69" i="11"/>
  <c r="D5" i="11"/>
  <c r="D67" i="11"/>
  <c r="F67" i="11" s="1"/>
  <c r="D64" i="11"/>
  <c r="F37" i="11"/>
  <c r="F39" i="11"/>
  <c r="F41" i="11"/>
  <c r="F43" i="11"/>
  <c r="F45" i="11"/>
  <c r="F47" i="11"/>
  <c r="F49" i="11"/>
  <c r="F51" i="11"/>
  <c r="F53" i="11"/>
  <c r="F55" i="11"/>
  <c r="F57" i="11"/>
  <c r="F59" i="11"/>
  <c r="F61" i="11"/>
  <c r="F63" i="11"/>
  <c r="E95" i="11"/>
  <c r="C109" i="11" s="1"/>
  <c r="F109" i="11" s="1"/>
  <c r="E105" i="11"/>
  <c r="E118" i="11"/>
  <c r="D31" i="10"/>
  <c r="D93" i="10"/>
  <c r="D29" i="10"/>
  <c r="D91" i="10"/>
  <c r="D27" i="10"/>
  <c r="D89" i="10"/>
  <c r="D25" i="10"/>
  <c r="D87" i="10"/>
  <c r="D23" i="10"/>
  <c r="D85" i="10"/>
  <c r="D21" i="10"/>
  <c r="D83" i="10"/>
  <c r="D19" i="10"/>
  <c r="D81" i="10"/>
  <c r="D17" i="10"/>
  <c r="D79" i="10"/>
  <c r="D15" i="10"/>
  <c r="D77" i="10"/>
  <c r="D13" i="10"/>
  <c r="D75" i="10"/>
  <c r="D11" i="10"/>
  <c r="D73" i="10"/>
  <c r="D9" i="10"/>
  <c r="D71" i="10"/>
  <c r="D7" i="10"/>
  <c r="D69" i="10"/>
  <c r="D5" i="10"/>
  <c r="D67" i="10"/>
  <c r="D64" i="10"/>
  <c r="F37" i="10"/>
  <c r="F39" i="10"/>
  <c r="F41" i="10"/>
  <c r="F43" i="10"/>
  <c r="F45" i="10"/>
  <c r="F47" i="10"/>
  <c r="F49" i="10"/>
  <c r="F51" i="10"/>
  <c r="F53" i="10"/>
  <c r="F55" i="10"/>
  <c r="F57" i="10"/>
  <c r="F59" i="10"/>
  <c r="F61" i="10"/>
  <c r="F63" i="10"/>
  <c r="E95" i="10"/>
  <c r="C109" i="10" s="1"/>
  <c r="F109" i="10" s="1"/>
  <c r="F67" i="10"/>
  <c r="F71" i="10"/>
  <c r="F75" i="10"/>
  <c r="F79" i="10"/>
  <c r="F83" i="10"/>
  <c r="F87" i="10"/>
  <c r="F91" i="10"/>
  <c r="E105" i="10"/>
  <c r="E118" i="10"/>
  <c r="D31" i="9"/>
  <c r="D93" i="9"/>
  <c r="D91" i="9"/>
  <c r="D29" i="9"/>
  <c r="D27" i="9"/>
  <c r="D89" i="9"/>
  <c r="D87" i="9"/>
  <c r="D25" i="9"/>
  <c r="D23" i="9"/>
  <c r="D85" i="9"/>
  <c r="D83" i="9"/>
  <c r="D21" i="9"/>
  <c r="D82" i="9"/>
  <c r="D20" i="9"/>
  <c r="D19" i="9"/>
  <c r="D81" i="9"/>
  <c r="D80" i="9"/>
  <c r="F80" i="9" s="1"/>
  <c r="D18" i="9"/>
  <c r="D79" i="9"/>
  <c r="D17" i="9"/>
  <c r="D78" i="9"/>
  <c r="F78" i="9" s="1"/>
  <c r="D16" i="9"/>
  <c r="D15" i="9"/>
  <c r="D77" i="9"/>
  <c r="D76" i="9"/>
  <c r="D14" i="9"/>
  <c r="D75" i="9"/>
  <c r="D13" i="9"/>
  <c r="D74" i="9"/>
  <c r="D12" i="9"/>
  <c r="D11" i="9"/>
  <c r="D73" i="9"/>
  <c r="D72" i="9"/>
  <c r="F72" i="9" s="1"/>
  <c r="D10" i="9"/>
  <c r="D71" i="9"/>
  <c r="D9" i="9"/>
  <c r="D70" i="9"/>
  <c r="F70" i="9" s="1"/>
  <c r="D8" i="9"/>
  <c r="D7" i="9"/>
  <c r="D69" i="9"/>
  <c r="D68" i="9"/>
  <c r="D6" i="9"/>
  <c r="D67" i="9"/>
  <c r="D5" i="9"/>
  <c r="D64" i="9"/>
  <c r="F53" i="9"/>
  <c r="F55" i="9"/>
  <c r="F57" i="9"/>
  <c r="F59" i="9"/>
  <c r="F61" i="9"/>
  <c r="F63" i="9"/>
  <c r="E95" i="9"/>
  <c r="C109" i="9" s="1"/>
  <c r="F109" i="9" s="1"/>
  <c r="F67" i="9"/>
  <c r="F71" i="9"/>
  <c r="F75" i="9"/>
  <c r="F79" i="9"/>
  <c r="F83" i="9"/>
  <c r="F87" i="9"/>
  <c r="F91" i="9"/>
  <c r="E105" i="9"/>
  <c r="E118" i="9"/>
  <c r="D94" i="8"/>
  <c r="D32" i="8"/>
  <c r="D31" i="8"/>
  <c r="D93" i="8"/>
  <c r="F93" i="8" s="1"/>
  <c r="D92" i="8"/>
  <c r="F92" i="8" s="1"/>
  <c r="D30" i="8"/>
  <c r="D29" i="8"/>
  <c r="D91" i="8"/>
  <c r="D90" i="8"/>
  <c r="D28" i="8"/>
  <c r="D27" i="8"/>
  <c r="D89" i="8"/>
  <c r="F89" i="8" s="1"/>
  <c r="D88" i="8"/>
  <c r="F88" i="8" s="1"/>
  <c r="D26" i="8"/>
  <c r="D25" i="8"/>
  <c r="D87" i="8"/>
  <c r="D86" i="8"/>
  <c r="D24" i="8"/>
  <c r="D23" i="8"/>
  <c r="D85" i="8"/>
  <c r="F85" i="8" s="1"/>
  <c r="D84" i="8"/>
  <c r="F84" i="8" s="1"/>
  <c r="D22" i="8"/>
  <c r="D21" i="8"/>
  <c r="D83" i="8"/>
  <c r="D82" i="8"/>
  <c r="D20" i="8"/>
  <c r="D19" i="8"/>
  <c r="D81" i="8"/>
  <c r="F81" i="8" s="1"/>
  <c r="D80" i="8"/>
  <c r="F80" i="8" s="1"/>
  <c r="D18" i="8"/>
  <c r="D17" i="8"/>
  <c r="D79" i="8"/>
  <c r="D78" i="8"/>
  <c r="D16" i="8"/>
  <c r="D15" i="8"/>
  <c r="D77" i="8"/>
  <c r="F77" i="8" s="1"/>
  <c r="D76" i="8"/>
  <c r="F76" i="8" s="1"/>
  <c r="D14" i="8"/>
  <c r="D13" i="8"/>
  <c r="D75" i="8"/>
  <c r="D74" i="8"/>
  <c r="D12" i="8"/>
  <c r="D11" i="8"/>
  <c r="D73" i="8"/>
  <c r="F73" i="8" s="1"/>
  <c r="D72" i="8"/>
  <c r="F72" i="8" s="1"/>
  <c r="D10" i="8"/>
  <c r="D9" i="8"/>
  <c r="D71" i="8"/>
  <c r="D70" i="8"/>
  <c r="D8" i="8"/>
  <c r="D7" i="8"/>
  <c r="D69" i="8"/>
  <c r="F69" i="8" s="1"/>
  <c r="D68" i="8"/>
  <c r="F68" i="8" s="1"/>
  <c r="D6" i="8"/>
  <c r="D5" i="8"/>
  <c r="D67" i="8"/>
  <c r="D64" i="8"/>
  <c r="D94" i="7"/>
  <c r="D32" i="7"/>
  <c r="D31" i="7"/>
  <c r="D93" i="7"/>
  <c r="D92" i="7"/>
  <c r="F92" i="7" s="1"/>
  <c r="D30" i="7"/>
  <c r="D29" i="7"/>
  <c r="D91" i="7"/>
  <c r="F91" i="7" s="1"/>
  <c r="D90" i="7"/>
  <c r="D28" i="7"/>
  <c r="D27" i="7"/>
  <c r="D89" i="7"/>
  <c r="D88" i="7"/>
  <c r="F88" i="7" s="1"/>
  <c r="D26" i="7"/>
  <c r="D25" i="7"/>
  <c r="D87" i="7"/>
  <c r="F87" i="7" s="1"/>
  <c r="D86" i="7"/>
  <c r="D24" i="7"/>
  <c r="D23" i="7"/>
  <c r="D85" i="7"/>
  <c r="D84" i="7"/>
  <c r="F84" i="7" s="1"/>
  <c r="D22" i="7"/>
  <c r="D21" i="7"/>
  <c r="D83" i="7"/>
  <c r="F83" i="7" s="1"/>
  <c r="D82" i="7"/>
  <c r="D20" i="7"/>
  <c r="D19" i="7"/>
  <c r="D81" i="7"/>
  <c r="D80" i="7"/>
  <c r="F80" i="7" s="1"/>
  <c r="D18" i="7"/>
  <c r="D17" i="7"/>
  <c r="D79" i="7"/>
  <c r="F79" i="7" s="1"/>
  <c r="D78" i="7"/>
  <c r="D16" i="7"/>
  <c r="D15" i="7"/>
  <c r="D77" i="7"/>
  <c r="D76" i="7"/>
  <c r="F76" i="7" s="1"/>
  <c r="D14" i="7"/>
  <c r="D13" i="7"/>
  <c r="D75" i="7"/>
  <c r="F75" i="7" s="1"/>
  <c r="D74" i="7"/>
  <c r="D12" i="7"/>
  <c r="D11" i="7"/>
  <c r="D73" i="7"/>
  <c r="D72" i="7"/>
  <c r="F72" i="7" s="1"/>
  <c r="D10" i="7"/>
  <c r="D9" i="7"/>
  <c r="D71" i="7"/>
  <c r="F71" i="7" s="1"/>
  <c r="D70" i="7"/>
  <c r="D8" i="7"/>
  <c r="D7" i="7"/>
  <c r="D69" i="7"/>
  <c r="D68" i="7"/>
  <c r="F68" i="7" s="1"/>
  <c r="D6" i="7"/>
  <c r="D5" i="7"/>
  <c r="D67" i="7"/>
  <c r="D95" i="7" s="1"/>
  <c r="D105" i="7" s="1"/>
  <c r="D64" i="7"/>
  <c r="D94" i="6"/>
  <c r="D32" i="6"/>
  <c r="D31" i="6"/>
  <c r="D93" i="6"/>
  <c r="F93" i="6" s="1"/>
  <c r="D92" i="6"/>
  <c r="F92" i="6" s="1"/>
  <c r="D30" i="6"/>
  <c r="D29" i="6"/>
  <c r="D91" i="6"/>
  <c r="D90" i="6"/>
  <c r="D28" i="6"/>
  <c r="D27" i="6"/>
  <c r="D89" i="6"/>
  <c r="F89" i="6" s="1"/>
  <c r="D88" i="6"/>
  <c r="F88" i="6" s="1"/>
  <c r="D26" i="6"/>
  <c r="D25" i="6"/>
  <c r="D87" i="6"/>
  <c r="D86" i="6"/>
  <c r="D24" i="6"/>
  <c r="D23" i="6"/>
  <c r="D85" i="6"/>
  <c r="F85" i="6" s="1"/>
  <c r="D84" i="6"/>
  <c r="F84" i="6" s="1"/>
  <c r="D22" i="6"/>
  <c r="D21" i="6"/>
  <c r="D83" i="6"/>
  <c r="D82" i="6"/>
  <c r="D20" i="6"/>
  <c r="D19" i="6"/>
  <c r="D81" i="6"/>
  <c r="F81" i="6" s="1"/>
  <c r="D80" i="6"/>
  <c r="F80" i="6" s="1"/>
  <c r="D18" i="6"/>
  <c r="D17" i="6"/>
  <c r="D79" i="6"/>
  <c r="D78" i="6"/>
  <c r="D16" i="6"/>
  <c r="D15" i="6"/>
  <c r="D77" i="6"/>
  <c r="F77" i="6" s="1"/>
  <c r="D76" i="6"/>
  <c r="F76" i="6" s="1"/>
  <c r="D14" i="6"/>
  <c r="D13" i="6"/>
  <c r="D75" i="6"/>
  <c r="D74" i="6"/>
  <c r="D12" i="6"/>
  <c r="D11" i="6"/>
  <c r="D73" i="6"/>
  <c r="F73" i="6" s="1"/>
  <c r="D72" i="6"/>
  <c r="F72" i="6" s="1"/>
  <c r="D10" i="6"/>
  <c r="D9" i="6"/>
  <c r="D71" i="6"/>
  <c r="D70" i="6"/>
  <c r="D8" i="6"/>
  <c r="D7" i="6"/>
  <c r="D69" i="6"/>
  <c r="F69" i="6" s="1"/>
  <c r="D68" i="6"/>
  <c r="F68" i="6" s="1"/>
  <c r="D6" i="6"/>
  <c r="D5" i="6"/>
  <c r="D67" i="6"/>
  <c r="D64" i="6"/>
  <c r="D94" i="5"/>
  <c r="D32" i="5"/>
  <c r="D31" i="5"/>
  <c r="D93" i="5"/>
  <c r="D92" i="5"/>
  <c r="F92" i="5" s="1"/>
  <c r="D30" i="5"/>
  <c r="D29" i="5"/>
  <c r="D91" i="5"/>
  <c r="F91" i="5" s="1"/>
  <c r="D90" i="5"/>
  <c r="D28" i="5"/>
  <c r="D27" i="5"/>
  <c r="D89" i="5"/>
  <c r="D88" i="5"/>
  <c r="F88" i="5" s="1"/>
  <c r="D26" i="5"/>
  <c r="D25" i="5"/>
  <c r="D87" i="5"/>
  <c r="F87" i="5" s="1"/>
  <c r="D86" i="5"/>
  <c r="D24" i="5"/>
  <c r="D23" i="5"/>
  <c r="D85" i="5"/>
  <c r="D84" i="5"/>
  <c r="F84" i="5" s="1"/>
  <c r="D22" i="5"/>
  <c r="D21" i="5"/>
  <c r="D83" i="5"/>
  <c r="F83" i="5" s="1"/>
  <c r="D82" i="5"/>
  <c r="D20" i="5"/>
  <c r="D19" i="5"/>
  <c r="D81" i="5"/>
  <c r="D80" i="5"/>
  <c r="F80" i="5" s="1"/>
  <c r="D18" i="5"/>
  <c r="D17" i="5"/>
  <c r="D79" i="5"/>
  <c r="F79" i="5" s="1"/>
  <c r="D78" i="5"/>
  <c r="D16" i="5"/>
  <c r="D15" i="5"/>
  <c r="D77" i="5"/>
  <c r="D76" i="5"/>
  <c r="F76" i="5" s="1"/>
  <c r="D14" i="5"/>
  <c r="D13" i="5"/>
  <c r="D75" i="5"/>
  <c r="F75" i="5" s="1"/>
  <c r="D74" i="5"/>
  <c r="D12" i="5"/>
  <c r="D11" i="5"/>
  <c r="D73" i="5"/>
  <c r="D72" i="5"/>
  <c r="F72" i="5" s="1"/>
  <c r="D10" i="5"/>
  <c r="D9" i="5"/>
  <c r="D71" i="5"/>
  <c r="F71" i="5" s="1"/>
  <c r="D70" i="5"/>
  <c r="D8" i="5"/>
  <c r="D7" i="5"/>
  <c r="D69" i="5"/>
  <c r="D68" i="5"/>
  <c r="F68" i="5" s="1"/>
  <c r="D6" i="5"/>
  <c r="D5" i="5"/>
  <c r="D67" i="5"/>
  <c r="D95" i="5" s="1"/>
  <c r="D105" i="5" s="1"/>
  <c r="D64" i="5"/>
  <c r="D94" i="4"/>
  <c r="D32" i="4"/>
  <c r="D31" i="4"/>
  <c r="D93" i="4"/>
  <c r="F93" i="4" s="1"/>
  <c r="D92" i="4"/>
  <c r="F92" i="4" s="1"/>
  <c r="D30" i="4"/>
  <c r="D29" i="4"/>
  <c r="D91" i="4"/>
  <c r="D90" i="4"/>
  <c r="D28" i="4"/>
  <c r="D27" i="4"/>
  <c r="D89" i="4"/>
  <c r="F89" i="4" s="1"/>
  <c r="D88" i="4"/>
  <c r="F88" i="4" s="1"/>
  <c r="D26" i="4"/>
  <c r="D25" i="4"/>
  <c r="D87" i="4"/>
  <c r="D86" i="4"/>
  <c r="D24" i="4"/>
  <c r="D23" i="4"/>
  <c r="D85" i="4"/>
  <c r="F85" i="4" s="1"/>
  <c r="D84" i="4"/>
  <c r="F84" i="4" s="1"/>
  <c r="D22" i="4"/>
  <c r="D21" i="4"/>
  <c r="D83" i="4"/>
  <c r="D82" i="4"/>
  <c r="D20" i="4"/>
  <c r="D19" i="4"/>
  <c r="D81" i="4"/>
  <c r="F81" i="4" s="1"/>
  <c r="D80" i="4"/>
  <c r="F80" i="4" s="1"/>
  <c r="D18" i="4"/>
  <c r="D17" i="4"/>
  <c r="D79" i="4"/>
  <c r="D78" i="4"/>
  <c r="D16" i="4"/>
  <c r="D15" i="4"/>
  <c r="D77" i="4"/>
  <c r="F77" i="4" s="1"/>
  <c r="D76" i="4"/>
  <c r="F76" i="4" s="1"/>
  <c r="D14" i="4"/>
  <c r="D13" i="4"/>
  <c r="D75" i="4"/>
  <c r="D74" i="4"/>
  <c r="D12" i="4"/>
  <c r="D11" i="4"/>
  <c r="D73" i="4"/>
  <c r="F73" i="4" s="1"/>
  <c r="D72" i="4"/>
  <c r="F72" i="4" s="1"/>
  <c r="D10" i="4"/>
  <c r="D9" i="4"/>
  <c r="D71" i="4"/>
  <c r="D70" i="4"/>
  <c r="D8" i="4"/>
  <c r="D7" i="4"/>
  <c r="D69" i="4"/>
  <c r="F69" i="4" s="1"/>
  <c r="D68" i="4"/>
  <c r="F68" i="4" s="1"/>
  <c r="D6" i="4"/>
  <c r="D5" i="4"/>
  <c r="D67" i="4"/>
  <c r="D64" i="4"/>
  <c r="D94" i="3"/>
  <c r="D32" i="3"/>
  <c r="D31" i="3"/>
  <c r="D93" i="3"/>
  <c r="D92" i="3"/>
  <c r="F92" i="3" s="1"/>
  <c r="D30" i="3"/>
  <c r="D29" i="3"/>
  <c r="D91" i="3"/>
  <c r="F91" i="3" s="1"/>
  <c r="D90" i="3"/>
  <c r="D28" i="3"/>
  <c r="D27" i="3"/>
  <c r="D89" i="3"/>
  <c r="D88" i="3"/>
  <c r="F88" i="3" s="1"/>
  <c r="D26" i="3"/>
  <c r="D25" i="3"/>
  <c r="D87" i="3"/>
  <c r="F87" i="3" s="1"/>
  <c r="D86" i="3"/>
  <c r="D24" i="3"/>
  <c r="D23" i="3"/>
  <c r="D85" i="3"/>
  <c r="D84" i="3"/>
  <c r="F84" i="3" s="1"/>
  <c r="D22" i="3"/>
  <c r="D21" i="3"/>
  <c r="D83" i="3"/>
  <c r="F83" i="3" s="1"/>
  <c r="D82" i="3"/>
  <c r="D20" i="3"/>
  <c r="D19" i="3"/>
  <c r="D81" i="3"/>
  <c r="D80" i="3"/>
  <c r="F80" i="3" s="1"/>
  <c r="D18" i="3"/>
  <c r="D17" i="3"/>
  <c r="D79" i="3"/>
  <c r="F79" i="3" s="1"/>
  <c r="D78" i="3"/>
  <c r="D16" i="3"/>
  <c r="D15" i="3"/>
  <c r="D77" i="3"/>
  <c r="D76" i="3"/>
  <c r="F76" i="3" s="1"/>
  <c r="D14" i="3"/>
  <c r="D13" i="3"/>
  <c r="D75" i="3"/>
  <c r="F75" i="3" s="1"/>
  <c r="D74" i="3"/>
  <c r="D12" i="3"/>
  <c r="D11" i="3"/>
  <c r="D73" i="3"/>
  <c r="D72" i="3"/>
  <c r="F72" i="3" s="1"/>
  <c r="D10" i="3"/>
  <c r="D9" i="3"/>
  <c r="D71" i="3"/>
  <c r="F71" i="3" s="1"/>
  <c r="D70" i="3"/>
  <c r="D8" i="3"/>
  <c r="D7" i="3"/>
  <c r="D69" i="3"/>
  <c r="D68" i="3"/>
  <c r="F68" i="3" s="1"/>
  <c r="D6" i="3"/>
  <c r="D5" i="3"/>
  <c r="D67" i="3"/>
  <c r="D64" i="3"/>
  <c r="D94" i="59"/>
  <c r="D32" i="59"/>
  <c r="D31" i="59"/>
  <c r="D93" i="59"/>
  <c r="F93" i="59" s="1"/>
  <c r="D92" i="59"/>
  <c r="F92" i="59" s="1"/>
  <c r="D30" i="59"/>
  <c r="D29" i="59"/>
  <c r="D91" i="59"/>
  <c r="D90" i="59"/>
  <c r="D28" i="59"/>
  <c r="D27" i="59"/>
  <c r="D89" i="59"/>
  <c r="F89" i="59" s="1"/>
  <c r="D88" i="59"/>
  <c r="F88" i="59" s="1"/>
  <c r="D26" i="59"/>
  <c r="D25" i="59"/>
  <c r="D87" i="59"/>
  <c r="D86" i="59"/>
  <c r="D24" i="59"/>
  <c r="D23" i="59"/>
  <c r="D85" i="59"/>
  <c r="F85" i="59" s="1"/>
  <c r="D84" i="59"/>
  <c r="F84" i="59" s="1"/>
  <c r="D22" i="59"/>
  <c r="D21" i="59"/>
  <c r="D83" i="59"/>
  <c r="D82" i="59"/>
  <c r="D20" i="59"/>
  <c r="D19" i="59"/>
  <c r="D81" i="59"/>
  <c r="F81" i="59" s="1"/>
  <c r="D80" i="59"/>
  <c r="F80" i="59" s="1"/>
  <c r="D18" i="59"/>
  <c r="D17" i="59"/>
  <c r="D79" i="59"/>
  <c r="D78" i="59"/>
  <c r="D16" i="59"/>
  <c r="D15" i="59"/>
  <c r="D77" i="59"/>
  <c r="F77" i="59" s="1"/>
  <c r="D76" i="59"/>
  <c r="F76" i="59" s="1"/>
  <c r="D14" i="59"/>
  <c r="D13" i="59"/>
  <c r="D75" i="59"/>
  <c r="D74" i="59"/>
  <c r="D12" i="59"/>
  <c r="D11" i="59"/>
  <c r="D73" i="59"/>
  <c r="F73" i="59" s="1"/>
  <c r="D72" i="59"/>
  <c r="F72" i="59" s="1"/>
  <c r="D10" i="59"/>
  <c r="D9" i="59"/>
  <c r="D71" i="59"/>
  <c r="D70" i="59"/>
  <c r="D8" i="59"/>
  <c r="D7" i="59"/>
  <c r="D69" i="59"/>
  <c r="F69" i="59" s="1"/>
  <c r="D68" i="59"/>
  <c r="F68" i="59" s="1"/>
  <c r="D6" i="59"/>
  <c r="D5" i="59"/>
  <c r="D33" i="59" s="1"/>
  <c r="D67" i="59"/>
  <c r="D64" i="59"/>
  <c r="D94" i="1"/>
  <c r="D32" i="1"/>
  <c r="D31" i="1"/>
  <c r="D93" i="1"/>
  <c r="D92" i="1"/>
  <c r="F92" i="1" s="1"/>
  <c r="D30" i="1"/>
  <c r="D29" i="1"/>
  <c r="D91" i="1"/>
  <c r="F91" i="1" s="1"/>
  <c r="D90" i="1"/>
  <c r="D28" i="1"/>
  <c r="D27" i="1"/>
  <c r="D89" i="1"/>
  <c r="D88" i="1"/>
  <c r="F88" i="1" s="1"/>
  <c r="D26" i="1"/>
  <c r="D25" i="1"/>
  <c r="D87" i="1"/>
  <c r="F87" i="1" s="1"/>
  <c r="D86" i="1"/>
  <c r="D24" i="1"/>
  <c r="D23" i="1"/>
  <c r="D85" i="1"/>
  <c r="D84" i="1"/>
  <c r="F84" i="1" s="1"/>
  <c r="D22" i="1"/>
  <c r="D21" i="1"/>
  <c r="D83" i="1"/>
  <c r="F83" i="1" s="1"/>
  <c r="D82" i="1"/>
  <c r="D20" i="1"/>
  <c r="D19" i="1"/>
  <c r="D81" i="1"/>
  <c r="D80" i="1"/>
  <c r="F80" i="1" s="1"/>
  <c r="D18" i="1"/>
  <c r="D17" i="1"/>
  <c r="D79" i="1"/>
  <c r="F79" i="1" s="1"/>
  <c r="D78" i="1"/>
  <c r="D16" i="1"/>
  <c r="D15" i="1"/>
  <c r="D77" i="1"/>
  <c r="D76" i="1"/>
  <c r="F76" i="1" s="1"/>
  <c r="D14" i="1"/>
  <c r="D13" i="1"/>
  <c r="D75" i="1"/>
  <c r="F75" i="1" s="1"/>
  <c r="D74" i="1"/>
  <c r="D12" i="1"/>
  <c r="D11" i="1"/>
  <c r="D73" i="1"/>
  <c r="D72" i="1"/>
  <c r="F72" i="1" s="1"/>
  <c r="D10" i="1"/>
  <c r="D9" i="1"/>
  <c r="D71" i="1"/>
  <c r="F71" i="1" s="1"/>
  <c r="D70" i="1"/>
  <c r="D8" i="1"/>
  <c r="D7" i="1"/>
  <c r="D69" i="1"/>
  <c r="D68" i="1"/>
  <c r="F68" i="1" s="1"/>
  <c r="D6" i="1"/>
  <c r="D5" i="1"/>
  <c r="D67" i="1"/>
  <c r="D64" i="1"/>
  <c r="D94" i="56"/>
  <c r="D32" i="56"/>
  <c r="D31" i="56"/>
  <c r="D93" i="56"/>
  <c r="F93" i="56" s="1"/>
  <c r="D92" i="56"/>
  <c r="F92" i="56" s="1"/>
  <c r="D30" i="56"/>
  <c r="D29" i="56"/>
  <c r="D91" i="56"/>
  <c r="D90" i="56"/>
  <c r="D28" i="56"/>
  <c r="D27" i="56"/>
  <c r="D89" i="56"/>
  <c r="F89" i="56" s="1"/>
  <c r="D88" i="56"/>
  <c r="F88" i="56" s="1"/>
  <c r="D26" i="56"/>
  <c r="D25" i="56"/>
  <c r="D87" i="56"/>
  <c r="D86" i="56"/>
  <c r="D24" i="56"/>
  <c r="D23" i="56"/>
  <c r="D85" i="56"/>
  <c r="F85" i="56" s="1"/>
  <c r="D84" i="56"/>
  <c r="F84" i="56" s="1"/>
  <c r="D22" i="56"/>
  <c r="D21" i="56"/>
  <c r="D83" i="56"/>
  <c r="D82" i="56"/>
  <c r="D20" i="56"/>
  <c r="D19" i="56"/>
  <c r="D81" i="56"/>
  <c r="F81" i="56" s="1"/>
  <c r="D80" i="56"/>
  <c r="F80" i="56" s="1"/>
  <c r="D18" i="56"/>
  <c r="D17" i="56"/>
  <c r="D79" i="56"/>
  <c r="D78" i="56"/>
  <c r="D16" i="56"/>
  <c r="D15" i="56"/>
  <c r="D77" i="56"/>
  <c r="F77" i="56" s="1"/>
  <c r="D76" i="56"/>
  <c r="F76" i="56" s="1"/>
  <c r="D14" i="56"/>
  <c r="D13" i="56"/>
  <c r="D75" i="56"/>
  <c r="D74" i="56"/>
  <c r="D12" i="56"/>
  <c r="D11" i="56"/>
  <c r="D73" i="56"/>
  <c r="F73" i="56" s="1"/>
  <c r="D72" i="56"/>
  <c r="F72" i="56" s="1"/>
  <c r="D10" i="56"/>
  <c r="D9" i="56"/>
  <c r="D71" i="56"/>
  <c r="D70" i="56"/>
  <c r="D8" i="56"/>
  <c r="D7" i="56"/>
  <c r="D69" i="56"/>
  <c r="F69" i="56" s="1"/>
  <c r="D68" i="56"/>
  <c r="F68" i="56" s="1"/>
  <c r="D6" i="56"/>
  <c r="D5" i="56"/>
  <c r="D33" i="56" s="1"/>
  <c r="D67" i="56"/>
  <c r="D64" i="56"/>
  <c r="D67" i="55"/>
  <c r="D64" i="55"/>
  <c r="D5" i="55"/>
  <c r="D68" i="55"/>
  <c r="F68" i="55" s="1"/>
  <c r="D6" i="55"/>
  <c r="D69" i="55"/>
  <c r="F69" i="55" s="1"/>
  <c r="D7" i="55"/>
  <c r="D70" i="55"/>
  <c r="D8" i="55"/>
  <c r="D71" i="55"/>
  <c r="F71" i="55" s="1"/>
  <c r="D9" i="55"/>
  <c r="D72" i="55"/>
  <c r="F72" i="55" s="1"/>
  <c r="D10" i="55"/>
  <c r="D73" i="55"/>
  <c r="D11" i="55"/>
  <c r="D74" i="55"/>
  <c r="F74" i="55" s="1"/>
  <c r="D12" i="55"/>
  <c r="D75" i="55"/>
  <c r="F75" i="55" s="1"/>
  <c r="D13" i="55"/>
  <c r="D76" i="55"/>
  <c r="F76" i="55" s="1"/>
  <c r="D14" i="55"/>
  <c r="D77" i="55"/>
  <c r="F77" i="55" s="1"/>
  <c r="D15" i="55"/>
  <c r="D78" i="55"/>
  <c r="F78" i="55" s="1"/>
  <c r="D16" i="55"/>
  <c r="D79" i="55"/>
  <c r="F79" i="55" s="1"/>
  <c r="D17" i="55"/>
  <c r="D80" i="55"/>
  <c r="F80" i="55" s="1"/>
  <c r="D18" i="55"/>
  <c r="D81" i="55"/>
  <c r="F81" i="55" s="1"/>
  <c r="D19" i="55"/>
  <c r="D82" i="55"/>
  <c r="F82" i="55" s="1"/>
  <c r="D20" i="55"/>
  <c r="D83" i="55"/>
  <c r="F83" i="55" s="1"/>
  <c r="D21" i="55"/>
  <c r="D84" i="55"/>
  <c r="F84" i="55" s="1"/>
  <c r="D22" i="55"/>
  <c r="D85" i="55"/>
  <c r="F85" i="55" s="1"/>
  <c r="D23" i="55"/>
  <c r="D86" i="55"/>
  <c r="F86" i="55" s="1"/>
  <c r="D24" i="55"/>
  <c r="D87" i="55"/>
  <c r="F87" i="55" s="1"/>
  <c r="D25" i="55"/>
  <c r="D88" i="55"/>
  <c r="F88" i="55" s="1"/>
  <c r="D26" i="55"/>
  <c r="D89" i="55"/>
  <c r="F89" i="55" s="1"/>
  <c r="D27" i="55"/>
  <c r="D90" i="55"/>
  <c r="F90" i="55" s="1"/>
  <c r="D28" i="55"/>
  <c r="F37" i="55"/>
  <c r="F39" i="55"/>
  <c r="F41" i="55"/>
  <c r="F43" i="55"/>
  <c r="F45" i="55"/>
  <c r="F47" i="55"/>
  <c r="F49" i="55"/>
  <c r="F51" i="55"/>
  <c r="F53" i="55"/>
  <c r="F55" i="55"/>
  <c r="F57" i="55"/>
  <c r="F59" i="55"/>
  <c r="F70" i="55"/>
  <c r="F94" i="55"/>
  <c r="F60" i="55"/>
  <c r="F62" i="55"/>
  <c r="F73" i="55"/>
  <c r="F93" i="55"/>
  <c r="F40" i="54"/>
  <c r="F38" i="54"/>
  <c r="D118" i="54"/>
  <c r="E64" i="54"/>
  <c r="F64" i="54" s="1"/>
  <c r="F36" i="54"/>
  <c r="F70" i="54"/>
  <c r="F74" i="54"/>
  <c r="F78" i="54"/>
  <c r="F82" i="54"/>
  <c r="F86" i="54"/>
  <c r="F90" i="54"/>
  <c r="F94" i="54"/>
  <c r="F42" i="54"/>
  <c r="F44" i="54"/>
  <c r="F46" i="54"/>
  <c r="F48" i="54"/>
  <c r="F50" i="54"/>
  <c r="F52" i="54"/>
  <c r="F54" i="54"/>
  <c r="F56" i="54"/>
  <c r="F58" i="54"/>
  <c r="F60" i="54"/>
  <c r="F62" i="54"/>
  <c r="F69" i="54"/>
  <c r="F73" i="54"/>
  <c r="F77" i="54"/>
  <c r="F81" i="54"/>
  <c r="F85" i="54"/>
  <c r="F89" i="54"/>
  <c r="F93" i="54"/>
  <c r="F49" i="53"/>
  <c r="F47" i="53"/>
  <c r="F45" i="53"/>
  <c r="F43" i="53"/>
  <c r="F41" i="53"/>
  <c r="F39" i="53"/>
  <c r="F37" i="53"/>
  <c r="E118" i="52"/>
  <c r="F62" i="52"/>
  <c r="F60" i="52"/>
  <c r="F58" i="52"/>
  <c r="F56" i="52"/>
  <c r="F54" i="52"/>
  <c r="F52" i="52"/>
  <c r="F50" i="52"/>
  <c r="F48" i="52"/>
  <c r="F46" i="52"/>
  <c r="F44" i="52"/>
  <c r="F42" i="52"/>
  <c r="F40" i="52"/>
  <c r="F38" i="52"/>
  <c r="D118" i="52"/>
  <c r="E64" i="52"/>
  <c r="M12" i="63" s="1"/>
  <c r="F36" i="52"/>
  <c r="D82" i="53"/>
  <c r="F82" i="53" s="1"/>
  <c r="D20" i="53"/>
  <c r="D83" i="53"/>
  <c r="F83" i="53" s="1"/>
  <c r="D21" i="53"/>
  <c r="D84" i="53"/>
  <c r="D22" i="53"/>
  <c r="D85" i="53"/>
  <c r="F85" i="53" s="1"/>
  <c r="D23" i="53"/>
  <c r="D86" i="53"/>
  <c r="F86" i="53" s="1"/>
  <c r="D24" i="53"/>
  <c r="D87" i="53"/>
  <c r="F87" i="53" s="1"/>
  <c r="D25" i="53"/>
  <c r="D88" i="53"/>
  <c r="F88" i="53" s="1"/>
  <c r="D26" i="53"/>
  <c r="D89" i="53"/>
  <c r="F89" i="53" s="1"/>
  <c r="D27" i="53"/>
  <c r="D90" i="53"/>
  <c r="F90" i="53" s="1"/>
  <c r="D28" i="53"/>
  <c r="D91" i="53"/>
  <c r="F91" i="53" s="1"/>
  <c r="D29" i="53"/>
  <c r="D92" i="53"/>
  <c r="F92" i="53" s="1"/>
  <c r="D30" i="53"/>
  <c r="D93" i="53"/>
  <c r="F93" i="53" s="1"/>
  <c r="D31" i="53"/>
  <c r="D94" i="53"/>
  <c r="F94" i="53" s="1"/>
  <c r="D32" i="53"/>
  <c r="F68" i="53"/>
  <c r="F72" i="53"/>
  <c r="F76" i="53"/>
  <c r="F80" i="53"/>
  <c r="F84" i="53"/>
  <c r="F51" i="53"/>
  <c r="F53" i="53"/>
  <c r="F55" i="53"/>
  <c r="F57" i="53"/>
  <c r="F59" i="53"/>
  <c r="F61" i="53"/>
  <c r="F63" i="53"/>
  <c r="E95" i="53"/>
  <c r="C109" i="53" s="1"/>
  <c r="F109" i="53" s="1"/>
  <c r="F67" i="53"/>
  <c r="F71" i="53"/>
  <c r="F75" i="53"/>
  <c r="F79" i="53"/>
  <c r="E105" i="53"/>
  <c r="E118" i="53"/>
  <c r="D94" i="52"/>
  <c r="F94" i="52" s="1"/>
  <c r="D32" i="52"/>
  <c r="D31" i="52"/>
  <c r="D93" i="52"/>
  <c r="F93" i="52" s="1"/>
  <c r="D92" i="52"/>
  <c r="F92" i="52" s="1"/>
  <c r="D30" i="52"/>
  <c r="D29" i="52"/>
  <c r="D91" i="52"/>
  <c r="F91" i="52" s="1"/>
  <c r="D90" i="52"/>
  <c r="F90" i="52" s="1"/>
  <c r="D28" i="52"/>
  <c r="D27" i="52"/>
  <c r="D89" i="52"/>
  <c r="F89" i="52" s="1"/>
  <c r="D88" i="52"/>
  <c r="F88" i="52" s="1"/>
  <c r="D26" i="52"/>
  <c r="D25" i="52"/>
  <c r="D87" i="52"/>
  <c r="F87" i="52" s="1"/>
  <c r="D86" i="52"/>
  <c r="F86" i="52" s="1"/>
  <c r="D24" i="52"/>
  <c r="D23" i="52"/>
  <c r="D85" i="52"/>
  <c r="F85" i="52" s="1"/>
  <c r="D84" i="52"/>
  <c r="F84" i="52" s="1"/>
  <c r="D22" i="52"/>
  <c r="D21" i="52"/>
  <c r="D83" i="52"/>
  <c r="F83" i="52" s="1"/>
  <c r="D82" i="52"/>
  <c r="F82" i="52" s="1"/>
  <c r="D20" i="52"/>
  <c r="D19" i="52"/>
  <c r="D81" i="52"/>
  <c r="F81" i="52" s="1"/>
  <c r="D80" i="52"/>
  <c r="F80" i="52" s="1"/>
  <c r="D18" i="52"/>
  <c r="D17" i="52"/>
  <c r="D79" i="52"/>
  <c r="F79" i="52" s="1"/>
  <c r="D78" i="52"/>
  <c r="F78" i="52" s="1"/>
  <c r="D16" i="52"/>
  <c r="D15" i="52"/>
  <c r="D77" i="52"/>
  <c r="F77" i="52" s="1"/>
  <c r="D76" i="52"/>
  <c r="F76" i="52" s="1"/>
  <c r="D14" i="52"/>
  <c r="D13" i="52"/>
  <c r="D75" i="52"/>
  <c r="F75" i="52" s="1"/>
  <c r="D74" i="52"/>
  <c r="F74" i="52" s="1"/>
  <c r="D12" i="52"/>
  <c r="D11" i="52"/>
  <c r="D73" i="52"/>
  <c r="F73" i="52" s="1"/>
  <c r="D72" i="52"/>
  <c r="F72" i="52" s="1"/>
  <c r="D10" i="52"/>
  <c r="D9" i="52"/>
  <c r="D71" i="52"/>
  <c r="F71" i="52" s="1"/>
  <c r="D70" i="52"/>
  <c r="F70" i="52" s="1"/>
  <c r="D8" i="52"/>
  <c r="D7" i="52"/>
  <c r="D69" i="52"/>
  <c r="F69" i="52" s="1"/>
  <c r="D68" i="52"/>
  <c r="F68" i="52" s="1"/>
  <c r="D6" i="52"/>
  <c r="D5" i="52"/>
  <c r="D67" i="52"/>
  <c r="D64" i="52"/>
  <c r="D94" i="51"/>
  <c r="F94" i="51" s="1"/>
  <c r="D32" i="51"/>
  <c r="D93" i="51"/>
  <c r="F93" i="51" s="1"/>
  <c r="D31" i="51"/>
  <c r="D92" i="51"/>
  <c r="F92" i="51" s="1"/>
  <c r="D30" i="51"/>
  <c r="D91" i="51"/>
  <c r="F91" i="51" s="1"/>
  <c r="D29" i="51"/>
  <c r="D90" i="51"/>
  <c r="F90" i="51" s="1"/>
  <c r="D28" i="51"/>
  <c r="D89" i="51"/>
  <c r="F89" i="51" s="1"/>
  <c r="D27" i="51"/>
  <c r="D88" i="51"/>
  <c r="F88" i="51" s="1"/>
  <c r="D26" i="51"/>
  <c r="D87" i="51"/>
  <c r="F87" i="51" s="1"/>
  <c r="D25" i="51"/>
  <c r="D86" i="51"/>
  <c r="F86" i="51" s="1"/>
  <c r="D24" i="51"/>
  <c r="D85" i="51"/>
  <c r="F85" i="51" s="1"/>
  <c r="D23" i="51"/>
  <c r="D84" i="51"/>
  <c r="F84" i="51" s="1"/>
  <c r="D22" i="51"/>
  <c r="D83" i="51"/>
  <c r="F83" i="51" s="1"/>
  <c r="D21" i="51"/>
  <c r="D82" i="51"/>
  <c r="F82" i="51" s="1"/>
  <c r="D20" i="51"/>
  <c r="D81" i="51"/>
  <c r="F81" i="51" s="1"/>
  <c r="D19" i="51"/>
  <c r="D80" i="51"/>
  <c r="F80" i="51" s="1"/>
  <c r="D18" i="51"/>
  <c r="D79" i="51"/>
  <c r="F79" i="51" s="1"/>
  <c r="D17" i="51"/>
  <c r="D78" i="51"/>
  <c r="F78" i="51" s="1"/>
  <c r="D16" i="51"/>
  <c r="D77" i="51"/>
  <c r="F77" i="51" s="1"/>
  <c r="D15" i="51"/>
  <c r="D14" i="51"/>
  <c r="D76" i="51"/>
  <c r="F76" i="51" s="1"/>
  <c r="D75" i="51"/>
  <c r="F75" i="51" s="1"/>
  <c r="D13" i="51"/>
  <c r="D12" i="51"/>
  <c r="D74" i="51"/>
  <c r="F74" i="51" s="1"/>
  <c r="D73" i="51"/>
  <c r="F73" i="51" s="1"/>
  <c r="D11" i="51"/>
  <c r="D10" i="51"/>
  <c r="D72" i="51"/>
  <c r="F72" i="51" s="1"/>
  <c r="D71" i="51"/>
  <c r="F71" i="51" s="1"/>
  <c r="D9" i="51"/>
  <c r="D8" i="51"/>
  <c r="D70" i="51"/>
  <c r="F70" i="51" s="1"/>
  <c r="D69" i="51"/>
  <c r="F69" i="51" s="1"/>
  <c r="D7" i="51"/>
  <c r="D6" i="51"/>
  <c r="D68" i="51"/>
  <c r="F68" i="51" s="1"/>
  <c r="D67" i="51"/>
  <c r="D64" i="51"/>
  <c r="F64" i="51" s="1"/>
  <c r="D5" i="51"/>
  <c r="E105" i="51"/>
  <c r="E118" i="51"/>
  <c r="F94" i="50"/>
  <c r="F90" i="50"/>
  <c r="F86" i="50"/>
  <c r="F82" i="50"/>
  <c r="F78" i="50"/>
  <c r="F74" i="50"/>
  <c r="F70" i="50"/>
  <c r="D32" i="49"/>
  <c r="D94" i="49"/>
  <c r="F94" i="49" s="1"/>
  <c r="D93" i="49"/>
  <c r="F93" i="49" s="1"/>
  <c r="D31" i="49"/>
  <c r="D30" i="49"/>
  <c r="D92" i="49"/>
  <c r="F92" i="49" s="1"/>
  <c r="D91" i="49"/>
  <c r="F91" i="49" s="1"/>
  <c r="D29" i="49"/>
  <c r="D28" i="49"/>
  <c r="D90" i="49"/>
  <c r="F90" i="49" s="1"/>
  <c r="D89" i="49"/>
  <c r="F89" i="49" s="1"/>
  <c r="D27" i="49"/>
  <c r="D26" i="49"/>
  <c r="D88" i="49"/>
  <c r="F88" i="49" s="1"/>
  <c r="D87" i="49"/>
  <c r="F87" i="49" s="1"/>
  <c r="D25" i="49"/>
  <c r="D24" i="49"/>
  <c r="D86" i="49"/>
  <c r="F86" i="49" s="1"/>
  <c r="D85" i="49"/>
  <c r="F85" i="49" s="1"/>
  <c r="D23" i="49"/>
  <c r="D22" i="49"/>
  <c r="D84" i="49"/>
  <c r="F84" i="49" s="1"/>
  <c r="D83" i="49"/>
  <c r="F83" i="49" s="1"/>
  <c r="D21" i="49"/>
  <c r="D20" i="49"/>
  <c r="D82" i="49"/>
  <c r="F82" i="49" s="1"/>
  <c r="D81" i="49"/>
  <c r="F81" i="49" s="1"/>
  <c r="D19" i="49"/>
  <c r="D18" i="49"/>
  <c r="D80" i="49"/>
  <c r="F80" i="49" s="1"/>
  <c r="D79" i="49"/>
  <c r="F79" i="49" s="1"/>
  <c r="D17" i="49"/>
  <c r="D16" i="49"/>
  <c r="D78" i="49"/>
  <c r="F78" i="49" s="1"/>
  <c r="D77" i="49"/>
  <c r="F77" i="49" s="1"/>
  <c r="D15" i="49"/>
  <c r="D14" i="49"/>
  <c r="D76" i="49"/>
  <c r="F76" i="49" s="1"/>
  <c r="D75" i="49"/>
  <c r="F75" i="49" s="1"/>
  <c r="D13" i="49"/>
  <c r="D12" i="49"/>
  <c r="D74" i="49"/>
  <c r="F74" i="49" s="1"/>
  <c r="D73" i="49"/>
  <c r="F73" i="49" s="1"/>
  <c r="D11" i="49"/>
  <c r="D10" i="49"/>
  <c r="D72" i="49"/>
  <c r="F72" i="49" s="1"/>
  <c r="D71" i="49"/>
  <c r="F71" i="49" s="1"/>
  <c r="D9" i="49"/>
  <c r="D8" i="49"/>
  <c r="D70" i="49"/>
  <c r="F70" i="49" s="1"/>
  <c r="D69" i="49"/>
  <c r="F69" i="49" s="1"/>
  <c r="D7" i="49"/>
  <c r="D6" i="49"/>
  <c r="D68" i="49"/>
  <c r="F68" i="49" s="1"/>
  <c r="D67" i="49"/>
  <c r="D64" i="49"/>
  <c r="F64" i="49" s="1"/>
  <c r="D5" i="49"/>
  <c r="E95" i="51"/>
  <c r="C109" i="51" s="1"/>
  <c r="F109" i="51" s="1"/>
  <c r="F63" i="51"/>
  <c r="F59" i="51"/>
  <c r="F55" i="51"/>
  <c r="F51" i="51"/>
  <c r="F47" i="51"/>
  <c r="F43" i="51"/>
  <c r="F39" i="51"/>
  <c r="F61" i="49"/>
  <c r="F57" i="49"/>
  <c r="F53" i="49"/>
  <c r="F49" i="49"/>
  <c r="F45" i="49"/>
  <c r="F41" i="49"/>
  <c r="F37" i="49"/>
  <c r="E118" i="48"/>
  <c r="E105" i="48"/>
  <c r="F73" i="48"/>
  <c r="F62" i="48"/>
  <c r="F58" i="48"/>
  <c r="F54" i="48"/>
  <c r="F50" i="48"/>
  <c r="F62" i="51"/>
  <c r="F60" i="51"/>
  <c r="F58" i="51"/>
  <c r="F56" i="51"/>
  <c r="F54" i="51"/>
  <c r="F52" i="51"/>
  <c r="F50" i="51"/>
  <c r="F48" i="51"/>
  <c r="F46" i="51"/>
  <c r="F44" i="51"/>
  <c r="F42" i="51"/>
  <c r="F40" i="51"/>
  <c r="F38" i="51"/>
  <c r="F36" i="51"/>
  <c r="E95" i="50"/>
  <c r="C109" i="50" s="1"/>
  <c r="F109" i="50" s="1"/>
  <c r="F63" i="50"/>
  <c r="F59" i="50"/>
  <c r="F55" i="50"/>
  <c r="F51" i="50"/>
  <c r="F47" i="50"/>
  <c r="F43" i="50"/>
  <c r="F39" i="50"/>
  <c r="F62" i="49"/>
  <c r="F60" i="49"/>
  <c r="F58" i="49"/>
  <c r="F56" i="49"/>
  <c r="F54" i="49"/>
  <c r="F52" i="49"/>
  <c r="F50" i="49"/>
  <c r="F48" i="49"/>
  <c r="F46" i="49"/>
  <c r="F44" i="49"/>
  <c r="F42" i="49"/>
  <c r="F40" i="49"/>
  <c r="F38" i="49"/>
  <c r="F36" i="49"/>
  <c r="F67" i="48"/>
  <c r="E95" i="48"/>
  <c r="C109" i="48" s="1"/>
  <c r="F109" i="48" s="1"/>
  <c r="F61" i="48"/>
  <c r="F57" i="48"/>
  <c r="F53" i="48"/>
  <c r="F49" i="48"/>
  <c r="F45" i="48"/>
  <c r="D74" i="48"/>
  <c r="F74" i="48" s="1"/>
  <c r="D12" i="48"/>
  <c r="D75" i="48"/>
  <c r="F75" i="48" s="1"/>
  <c r="D13" i="48"/>
  <c r="D76" i="48"/>
  <c r="D14" i="48"/>
  <c r="D77" i="48"/>
  <c r="F77" i="48" s="1"/>
  <c r="D15" i="48"/>
  <c r="D78" i="48"/>
  <c r="F78" i="48" s="1"/>
  <c r="D16" i="48"/>
  <c r="D79" i="48"/>
  <c r="F79" i="48" s="1"/>
  <c r="D17" i="48"/>
  <c r="D80" i="48"/>
  <c r="F80" i="48" s="1"/>
  <c r="D18" i="48"/>
  <c r="D81" i="48"/>
  <c r="F81" i="48" s="1"/>
  <c r="D19" i="48"/>
  <c r="D82" i="48"/>
  <c r="F82" i="48" s="1"/>
  <c r="D20" i="48"/>
  <c r="D83" i="48"/>
  <c r="F83" i="48" s="1"/>
  <c r="D21" i="48"/>
  <c r="D84" i="48"/>
  <c r="F84" i="48" s="1"/>
  <c r="D22" i="48"/>
  <c r="D85" i="48"/>
  <c r="F85" i="48" s="1"/>
  <c r="D23" i="48"/>
  <c r="D86" i="48"/>
  <c r="F86" i="48" s="1"/>
  <c r="D24" i="48"/>
  <c r="D87" i="48"/>
  <c r="F87" i="48" s="1"/>
  <c r="D25" i="48"/>
  <c r="D88" i="48"/>
  <c r="F88" i="48" s="1"/>
  <c r="D26" i="48"/>
  <c r="D89" i="48"/>
  <c r="F89" i="48" s="1"/>
  <c r="D27" i="48"/>
  <c r="D90" i="48"/>
  <c r="F90" i="48" s="1"/>
  <c r="D28" i="48"/>
  <c r="D91" i="48"/>
  <c r="F91" i="48" s="1"/>
  <c r="D29" i="48"/>
  <c r="D92" i="48"/>
  <c r="F92" i="48" s="1"/>
  <c r="D30" i="48"/>
  <c r="D93" i="48"/>
  <c r="F93" i="48" s="1"/>
  <c r="D31" i="48"/>
  <c r="D94" i="48"/>
  <c r="F94" i="48" s="1"/>
  <c r="D32" i="48"/>
  <c r="F68" i="48"/>
  <c r="F72" i="48"/>
  <c r="F76" i="48"/>
  <c r="E118" i="50"/>
  <c r="F36" i="48"/>
  <c r="F87" i="47"/>
  <c r="F79" i="47"/>
  <c r="F73" i="47"/>
  <c r="F69" i="47"/>
  <c r="E118" i="47"/>
  <c r="F62" i="47"/>
  <c r="F60" i="47"/>
  <c r="F58" i="47"/>
  <c r="F56" i="47"/>
  <c r="F54" i="47"/>
  <c r="F52" i="47"/>
  <c r="F50" i="47"/>
  <c r="F48" i="47"/>
  <c r="F46" i="47"/>
  <c r="F44" i="47"/>
  <c r="F48" i="48"/>
  <c r="F44" i="48"/>
  <c r="F39" i="48"/>
  <c r="F93" i="47"/>
  <c r="F85" i="47"/>
  <c r="F77" i="47"/>
  <c r="F74" i="47"/>
  <c r="F70" i="47"/>
  <c r="F80" i="47"/>
  <c r="F84" i="47"/>
  <c r="F88" i="47"/>
  <c r="F92" i="47"/>
  <c r="D32" i="46"/>
  <c r="D94" i="46"/>
  <c r="F94" i="46" s="1"/>
  <c r="D93" i="46"/>
  <c r="F93" i="46" s="1"/>
  <c r="D31" i="46"/>
  <c r="D30" i="46"/>
  <c r="D92" i="46"/>
  <c r="F92" i="46" s="1"/>
  <c r="D91" i="46"/>
  <c r="F91" i="46" s="1"/>
  <c r="D29" i="46"/>
  <c r="D28" i="46"/>
  <c r="D90" i="46"/>
  <c r="F90" i="46" s="1"/>
  <c r="D89" i="46"/>
  <c r="F89" i="46" s="1"/>
  <c r="D27" i="46"/>
  <c r="D26" i="46"/>
  <c r="D88" i="46"/>
  <c r="F88" i="46" s="1"/>
  <c r="D87" i="46"/>
  <c r="F87" i="46" s="1"/>
  <c r="D25" i="46"/>
  <c r="D24" i="46"/>
  <c r="D86" i="46"/>
  <c r="F86" i="46" s="1"/>
  <c r="D85" i="46"/>
  <c r="F85" i="46" s="1"/>
  <c r="D23" i="46"/>
  <c r="D22" i="46"/>
  <c r="D84" i="46"/>
  <c r="F84" i="46" s="1"/>
  <c r="D83" i="46"/>
  <c r="F83" i="46" s="1"/>
  <c r="D21" i="46"/>
  <c r="D20" i="46"/>
  <c r="D82" i="46"/>
  <c r="F82" i="46" s="1"/>
  <c r="D81" i="46"/>
  <c r="F81" i="46" s="1"/>
  <c r="D19" i="46"/>
  <c r="D18" i="46"/>
  <c r="D80" i="46"/>
  <c r="F80" i="46" s="1"/>
  <c r="D79" i="46"/>
  <c r="F79" i="46" s="1"/>
  <c r="D17" i="46"/>
  <c r="D16" i="46"/>
  <c r="D78" i="46"/>
  <c r="F78" i="46" s="1"/>
  <c r="D77" i="46"/>
  <c r="F77" i="46" s="1"/>
  <c r="D15" i="46"/>
  <c r="D14" i="46"/>
  <c r="D76" i="46"/>
  <c r="F76" i="46" s="1"/>
  <c r="D75" i="46"/>
  <c r="F75" i="46" s="1"/>
  <c r="D13" i="46"/>
  <c r="D12" i="46"/>
  <c r="D74" i="46"/>
  <c r="F74" i="46" s="1"/>
  <c r="D73" i="46"/>
  <c r="F73" i="46" s="1"/>
  <c r="D11" i="46"/>
  <c r="D10" i="46"/>
  <c r="D72" i="46"/>
  <c r="F72" i="46" s="1"/>
  <c r="D71" i="46"/>
  <c r="F71" i="46" s="1"/>
  <c r="D9" i="46"/>
  <c r="D8" i="46"/>
  <c r="D70" i="46"/>
  <c r="F70" i="46" s="1"/>
  <c r="D69" i="46"/>
  <c r="F69" i="46" s="1"/>
  <c r="D7" i="46"/>
  <c r="D6" i="46"/>
  <c r="D68" i="46"/>
  <c r="F68" i="46" s="1"/>
  <c r="D67" i="46"/>
  <c r="D64" i="46"/>
  <c r="F64" i="46" s="1"/>
  <c r="D5" i="46"/>
  <c r="F94" i="45"/>
  <c r="F90" i="45"/>
  <c r="F86" i="45"/>
  <c r="F82" i="45"/>
  <c r="F78" i="45"/>
  <c r="F74" i="45"/>
  <c r="F70" i="45"/>
  <c r="F42" i="47"/>
  <c r="F40" i="47"/>
  <c r="F38" i="47"/>
  <c r="E64" i="47"/>
  <c r="F64" i="47" s="1"/>
  <c r="E95" i="46"/>
  <c r="C109" i="46" s="1"/>
  <c r="F109" i="46" s="1"/>
  <c r="E118" i="46"/>
  <c r="F61" i="46"/>
  <c r="F57" i="46"/>
  <c r="F53" i="46"/>
  <c r="F49" i="46"/>
  <c r="F45" i="46"/>
  <c r="F41" i="46"/>
  <c r="F37" i="46"/>
  <c r="F87" i="44"/>
  <c r="F79" i="44"/>
  <c r="F71" i="44"/>
  <c r="E118" i="44"/>
  <c r="F63" i="44"/>
  <c r="F61" i="44"/>
  <c r="F59" i="44"/>
  <c r="F57" i="44"/>
  <c r="F55" i="44"/>
  <c r="F53" i="44"/>
  <c r="F51" i="44"/>
  <c r="F49" i="44"/>
  <c r="F47" i="44"/>
  <c r="F45" i="44"/>
  <c r="F43" i="44"/>
  <c r="F41" i="44"/>
  <c r="F39" i="44"/>
  <c r="F37" i="44"/>
  <c r="F93" i="43"/>
  <c r="F89" i="43"/>
  <c r="F85" i="43"/>
  <c r="F81" i="43"/>
  <c r="F77" i="43"/>
  <c r="F73" i="43"/>
  <c r="F69" i="43"/>
  <c r="E118" i="43"/>
  <c r="F62" i="43"/>
  <c r="F60" i="43"/>
  <c r="F58" i="43"/>
  <c r="F56" i="43"/>
  <c r="F54" i="43"/>
  <c r="F52" i="43"/>
  <c r="F50" i="43"/>
  <c r="F48" i="43"/>
  <c r="F46" i="43"/>
  <c r="F44" i="43"/>
  <c r="F42" i="43"/>
  <c r="F40" i="43"/>
  <c r="F38" i="43"/>
  <c r="D118" i="43"/>
  <c r="E64" i="43"/>
  <c r="F64" i="43" s="1"/>
  <c r="F36" i="43"/>
  <c r="E105" i="42"/>
  <c r="F91" i="42"/>
  <c r="F87" i="42"/>
  <c r="F83" i="42"/>
  <c r="F79" i="42"/>
  <c r="F75" i="42"/>
  <c r="F71" i="42"/>
  <c r="E95" i="42"/>
  <c r="C109" i="42" s="1"/>
  <c r="F109" i="42" s="1"/>
  <c r="F67" i="42"/>
  <c r="F63" i="42"/>
  <c r="F61" i="42"/>
  <c r="F59" i="42"/>
  <c r="F57" i="42"/>
  <c r="F55" i="42"/>
  <c r="F53" i="42"/>
  <c r="F51" i="42"/>
  <c r="F49" i="42"/>
  <c r="F47" i="42"/>
  <c r="F45" i="42"/>
  <c r="F43" i="42"/>
  <c r="F41" i="42"/>
  <c r="F39" i="42"/>
  <c r="F37" i="42"/>
  <c r="F93" i="41"/>
  <c r="F89" i="41"/>
  <c r="F85" i="41"/>
  <c r="F81" i="41"/>
  <c r="F77" i="41"/>
  <c r="F73" i="41"/>
  <c r="F69" i="41"/>
  <c r="E118" i="41"/>
  <c r="F62" i="41"/>
  <c r="F60" i="41"/>
  <c r="F58" i="41"/>
  <c r="F56" i="41"/>
  <c r="F54" i="41"/>
  <c r="F52" i="41"/>
  <c r="F50" i="41"/>
  <c r="F48" i="41"/>
  <c r="F46" i="41"/>
  <c r="F44" i="41"/>
  <c r="F42" i="41"/>
  <c r="F40" i="41"/>
  <c r="F38" i="41"/>
  <c r="D118" i="41"/>
  <c r="E64" i="41"/>
  <c r="F64" i="41" s="1"/>
  <c r="F36" i="41"/>
  <c r="E105" i="40"/>
  <c r="F91" i="40"/>
  <c r="F87" i="40"/>
  <c r="F83" i="40"/>
  <c r="F79" i="40"/>
  <c r="F75" i="40"/>
  <c r="F71" i="40"/>
  <c r="E95" i="40"/>
  <c r="C109" i="40" s="1"/>
  <c r="F109" i="40" s="1"/>
  <c r="F67" i="40"/>
  <c r="F63" i="40"/>
  <c r="F61" i="40"/>
  <c r="F59" i="40"/>
  <c r="F57" i="40"/>
  <c r="F55" i="40"/>
  <c r="F53" i="40"/>
  <c r="F51" i="40"/>
  <c r="F49" i="40"/>
  <c r="F47" i="40"/>
  <c r="F45" i="40"/>
  <c r="F43" i="40"/>
  <c r="F41" i="40"/>
  <c r="F39" i="40"/>
  <c r="F37" i="40"/>
  <c r="F93" i="39"/>
  <c r="F89" i="39"/>
  <c r="F85" i="39"/>
  <c r="F81" i="39"/>
  <c r="F77" i="39"/>
  <c r="F73" i="39"/>
  <c r="F69" i="39"/>
  <c r="E118" i="39"/>
  <c r="F62" i="39"/>
  <c r="F60" i="39"/>
  <c r="F58" i="39"/>
  <c r="F56" i="39"/>
  <c r="F54" i="39"/>
  <c r="F52" i="39"/>
  <c r="F50" i="39"/>
  <c r="F48" i="39"/>
  <c r="F46" i="39"/>
  <c r="F44" i="39"/>
  <c r="F42" i="39"/>
  <c r="F40" i="39"/>
  <c r="F38" i="39"/>
  <c r="D118" i="39"/>
  <c r="E64" i="39"/>
  <c r="F64" i="39" s="1"/>
  <c r="F36" i="39"/>
  <c r="F39" i="47"/>
  <c r="F62" i="46"/>
  <c r="F60" i="46"/>
  <c r="F58" i="46"/>
  <c r="F56" i="46"/>
  <c r="F54" i="46"/>
  <c r="F52" i="46"/>
  <c r="F50" i="46"/>
  <c r="F48" i="46"/>
  <c r="F46" i="46"/>
  <c r="F44" i="46"/>
  <c r="F42" i="46"/>
  <c r="F40" i="46"/>
  <c r="F38" i="46"/>
  <c r="F36" i="46"/>
  <c r="E95" i="45"/>
  <c r="C109" i="45" s="1"/>
  <c r="F109" i="45" s="1"/>
  <c r="F63" i="45"/>
  <c r="F59" i="45"/>
  <c r="F55" i="45"/>
  <c r="F51" i="45"/>
  <c r="F47" i="45"/>
  <c r="F43" i="45"/>
  <c r="F39" i="45"/>
  <c r="F85" i="44"/>
  <c r="F77" i="44"/>
  <c r="F69" i="44"/>
  <c r="D93" i="44"/>
  <c r="F93" i="44" s="1"/>
  <c r="D31" i="44"/>
  <c r="D94" i="44"/>
  <c r="F94" i="44" s="1"/>
  <c r="D32" i="44"/>
  <c r="F68" i="44"/>
  <c r="F72" i="44"/>
  <c r="F76" i="44"/>
  <c r="F80" i="44"/>
  <c r="F84" i="44"/>
  <c r="F88" i="44"/>
  <c r="F92" i="44"/>
  <c r="F94" i="43"/>
  <c r="F90" i="43"/>
  <c r="F86" i="43"/>
  <c r="F82" i="43"/>
  <c r="F78" i="43"/>
  <c r="F74" i="43"/>
  <c r="F70" i="43"/>
  <c r="F94" i="42"/>
  <c r="F90" i="42"/>
  <c r="F86" i="42"/>
  <c r="F82" i="42"/>
  <c r="F78" i="42"/>
  <c r="F74" i="42"/>
  <c r="F70" i="42"/>
  <c r="F94" i="41"/>
  <c r="F90" i="41"/>
  <c r="F86" i="41"/>
  <c r="F82" i="41"/>
  <c r="F78" i="41"/>
  <c r="F74" i="41"/>
  <c r="F70" i="41"/>
  <c r="F94" i="40"/>
  <c r="F90" i="40"/>
  <c r="F86" i="40"/>
  <c r="F82" i="40"/>
  <c r="F78" i="40"/>
  <c r="F74" i="40"/>
  <c r="F70" i="40"/>
  <c r="F94" i="39"/>
  <c r="F90" i="39"/>
  <c r="F86" i="39"/>
  <c r="F82" i="39"/>
  <c r="F78" i="39"/>
  <c r="F74" i="39"/>
  <c r="F70" i="39"/>
  <c r="F77" i="38"/>
  <c r="F73" i="38"/>
  <c r="F69" i="38"/>
  <c r="F62" i="38"/>
  <c r="F60" i="38"/>
  <c r="F58" i="38"/>
  <c r="F56" i="38"/>
  <c r="F74" i="38"/>
  <c r="F70" i="38"/>
  <c r="F80" i="38"/>
  <c r="F84" i="38"/>
  <c r="F88" i="38"/>
  <c r="F92" i="38"/>
  <c r="F79" i="38"/>
  <c r="F83" i="38"/>
  <c r="F87" i="38"/>
  <c r="F91" i="38"/>
  <c r="E105" i="38"/>
  <c r="E118" i="38"/>
  <c r="F94" i="37"/>
  <c r="F90" i="37"/>
  <c r="F86" i="37"/>
  <c r="F82" i="37"/>
  <c r="F78" i="37"/>
  <c r="F74" i="37"/>
  <c r="F70" i="37"/>
  <c r="D32" i="36"/>
  <c r="D94" i="36"/>
  <c r="F94" i="36" s="1"/>
  <c r="D93" i="36"/>
  <c r="F93" i="36" s="1"/>
  <c r="D31" i="36"/>
  <c r="D30" i="36"/>
  <c r="D92" i="36"/>
  <c r="F92" i="36" s="1"/>
  <c r="D91" i="36"/>
  <c r="F91" i="36" s="1"/>
  <c r="D29" i="36"/>
  <c r="D28" i="36"/>
  <c r="D90" i="36"/>
  <c r="F90" i="36" s="1"/>
  <c r="D89" i="36"/>
  <c r="F89" i="36" s="1"/>
  <c r="D27" i="36"/>
  <c r="D26" i="36"/>
  <c r="D88" i="36"/>
  <c r="F88" i="36" s="1"/>
  <c r="D87" i="36"/>
  <c r="F87" i="36" s="1"/>
  <c r="D25" i="36"/>
  <c r="D24" i="36"/>
  <c r="D86" i="36"/>
  <c r="F86" i="36" s="1"/>
  <c r="D85" i="36"/>
  <c r="F85" i="36" s="1"/>
  <c r="D23" i="36"/>
  <c r="D22" i="36"/>
  <c r="D84" i="36"/>
  <c r="F84" i="36" s="1"/>
  <c r="D83" i="36"/>
  <c r="F83" i="36" s="1"/>
  <c r="D21" i="36"/>
  <c r="D20" i="36"/>
  <c r="D82" i="36"/>
  <c r="F82" i="36" s="1"/>
  <c r="D81" i="36"/>
  <c r="F81" i="36" s="1"/>
  <c r="D19" i="36"/>
  <c r="D18" i="36"/>
  <c r="D80" i="36"/>
  <c r="F80" i="36" s="1"/>
  <c r="D79" i="36"/>
  <c r="F79" i="36" s="1"/>
  <c r="D17" i="36"/>
  <c r="D16" i="36"/>
  <c r="D78" i="36"/>
  <c r="F78" i="36" s="1"/>
  <c r="D77" i="36"/>
  <c r="F77" i="36" s="1"/>
  <c r="D15" i="36"/>
  <c r="D14" i="36"/>
  <c r="D76" i="36"/>
  <c r="F76" i="36" s="1"/>
  <c r="D75" i="36"/>
  <c r="F75" i="36" s="1"/>
  <c r="D13" i="36"/>
  <c r="D12" i="36"/>
  <c r="D74" i="36"/>
  <c r="F74" i="36" s="1"/>
  <c r="D73" i="36"/>
  <c r="F73" i="36" s="1"/>
  <c r="D11" i="36"/>
  <c r="D10" i="36"/>
  <c r="D72" i="36"/>
  <c r="F72" i="36" s="1"/>
  <c r="D71" i="36"/>
  <c r="F71" i="36" s="1"/>
  <c r="D9" i="36"/>
  <c r="D8" i="36"/>
  <c r="D70" i="36"/>
  <c r="F70" i="36" s="1"/>
  <c r="D69" i="36"/>
  <c r="F69" i="36" s="1"/>
  <c r="D7" i="36"/>
  <c r="D6" i="36"/>
  <c r="D68" i="36"/>
  <c r="F68" i="36" s="1"/>
  <c r="D67" i="36"/>
  <c r="D64" i="36"/>
  <c r="F64" i="36" s="1"/>
  <c r="D5" i="36"/>
  <c r="F94" i="35"/>
  <c r="F90" i="35"/>
  <c r="F86" i="35"/>
  <c r="F82" i="35"/>
  <c r="F78" i="35"/>
  <c r="F74" i="35"/>
  <c r="F70" i="35"/>
  <c r="D32" i="34"/>
  <c r="D94" i="34"/>
  <c r="F94" i="34" s="1"/>
  <c r="D93" i="34"/>
  <c r="F93" i="34" s="1"/>
  <c r="D31" i="34"/>
  <c r="D30" i="34"/>
  <c r="D92" i="34"/>
  <c r="F92" i="34" s="1"/>
  <c r="D91" i="34"/>
  <c r="F91" i="34" s="1"/>
  <c r="D29" i="34"/>
  <c r="D28" i="34"/>
  <c r="D90" i="34"/>
  <c r="F90" i="34" s="1"/>
  <c r="D89" i="34"/>
  <c r="F89" i="34" s="1"/>
  <c r="D27" i="34"/>
  <c r="D26" i="34"/>
  <c r="D88" i="34"/>
  <c r="F88" i="34" s="1"/>
  <c r="D87" i="34"/>
  <c r="F87" i="34" s="1"/>
  <c r="D25" i="34"/>
  <c r="D24" i="34"/>
  <c r="D86" i="34"/>
  <c r="F86" i="34" s="1"/>
  <c r="D85" i="34"/>
  <c r="F85" i="34" s="1"/>
  <c r="D23" i="34"/>
  <c r="D22" i="34"/>
  <c r="D84" i="34"/>
  <c r="F84" i="34" s="1"/>
  <c r="D83" i="34"/>
  <c r="F83" i="34" s="1"/>
  <c r="D21" i="34"/>
  <c r="D20" i="34"/>
  <c r="D82" i="34"/>
  <c r="F82" i="34" s="1"/>
  <c r="D81" i="34"/>
  <c r="F81" i="34" s="1"/>
  <c r="D19" i="34"/>
  <c r="D18" i="34"/>
  <c r="D80" i="34"/>
  <c r="F80" i="34" s="1"/>
  <c r="D79" i="34"/>
  <c r="F79" i="34" s="1"/>
  <c r="D17" i="34"/>
  <c r="D16" i="34"/>
  <c r="D78" i="34"/>
  <c r="F78" i="34" s="1"/>
  <c r="D77" i="34"/>
  <c r="F77" i="34" s="1"/>
  <c r="D15" i="34"/>
  <c r="D14" i="34"/>
  <c r="D76" i="34"/>
  <c r="F76" i="34" s="1"/>
  <c r="D75" i="34"/>
  <c r="F75" i="34" s="1"/>
  <c r="D13" i="34"/>
  <c r="D12" i="34"/>
  <c r="D74" i="34"/>
  <c r="F74" i="34" s="1"/>
  <c r="D73" i="34"/>
  <c r="F73" i="34" s="1"/>
  <c r="D11" i="34"/>
  <c r="D10" i="34"/>
  <c r="D72" i="34"/>
  <c r="F72" i="34" s="1"/>
  <c r="D71" i="34"/>
  <c r="F71" i="34" s="1"/>
  <c r="D9" i="34"/>
  <c r="D8" i="34"/>
  <c r="D70" i="34"/>
  <c r="F70" i="34" s="1"/>
  <c r="D69" i="34"/>
  <c r="F69" i="34" s="1"/>
  <c r="D7" i="34"/>
  <c r="D6" i="34"/>
  <c r="D68" i="34"/>
  <c r="F68" i="34" s="1"/>
  <c r="D67" i="34"/>
  <c r="D64" i="34"/>
  <c r="F64" i="34" s="1"/>
  <c r="D5" i="34"/>
  <c r="F94" i="33"/>
  <c r="F90" i="33"/>
  <c r="F86" i="33"/>
  <c r="F82" i="33"/>
  <c r="F78" i="33"/>
  <c r="F74" i="33"/>
  <c r="F70" i="33"/>
  <c r="D32" i="32"/>
  <c r="D94" i="32"/>
  <c r="F94" i="32" s="1"/>
  <c r="D93" i="32"/>
  <c r="F93" i="32" s="1"/>
  <c r="D31" i="32"/>
  <c r="D30" i="32"/>
  <c r="D92" i="32"/>
  <c r="F92" i="32" s="1"/>
  <c r="D91" i="32"/>
  <c r="F91" i="32" s="1"/>
  <c r="D29" i="32"/>
  <c r="D28" i="32"/>
  <c r="D90" i="32"/>
  <c r="F90" i="32" s="1"/>
  <c r="D89" i="32"/>
  <c r="F89" i="32" s="1"/>
  <c r="D27" i="32"/>
  <c r="D26" i="32"/>
  <c r="D88" i="32"/>
  <c r="F88" i="32" s="1"/>
  <c r="D87" i="32"/>
  <c r="F87" i="32" s="1"/>
  <c r="D25" i="32"/>
  <c r="D24" i="32"/>
  <c r="D86" i="32"/>
  <c r="F86" i="32" s="1"/>
  <c r="D85" i="32"/>
  <c r="F85" i="32" s="1"/>
  <c r="D23" i="32"/>
  <c r="D22" i="32"/>
  <c r="D84" i="32"/>
  <c r="F84" i="32" s="1"/>
  <c r="D83" i="32"/>
  <c r="F83" i="32" s="1"/>
  <c r="D21" i="32"/>
  <c r="D20" i="32"/>
  <c r="D82" i="32"/>
  <c r="F82" i="32" s="1"/>
  <c r="D81" i="32"/>
  <c r="F81" i="32" s="1"/>
  <c r="D19" i="32"/>
  <c r="D18" i="32"/>
  <c r="D80" i="32"/>
  <c r="F80" i="32" s="1"/>
  <c r="D79" i="32"/>
  <c r="F79" i="32" s="1"/>
  <c r="D17" i="32"/>
  <c r="D16" i="32"/>
  <c r="D78" i="32"/>
  <c r="F78" i="32" s="1"/>
  <c r="D77" i="32"/>
  <c r="F77" i="32" s="1"/>
  <c r="D15" i="32"/>
  <c r="D14" i="32"/>
  <c r="D76" i="32"/>
  <c r="F76" i="32" s="1"/>
  <c r="D75" i="32"/>
  <c r="F75" i="32" s="1"/>
  <c r="D13" i="32"/>
  <c r="D12" i="32"/>
  <c r="D74" i="32"/>
  <c r="F74" i="32" s="1"/>
  <c r="D73" i="32"/>
  <c r="F73" i="32" s="1"/>
  <c r="D11" i="32"/>
  <c r="D10" i="32"/>
  <c r="D72" i="32"/>
  <c r="F72" i="32" s="1"/>
  <c r="D71" i="32"/>
  <c r="F71" i="32" s="1"/>
  <c r="D9" i="32"/>
  <c r="D8" i="32"/>
  <c r="D70" i="32"/>
  <c r="F70" i="32" s="1"/>
  <c r="D69" i="32"/>
  <c r="F69" i="32" s="1"/>
  <c r="D7" i="32"/>
  <c r="D6" i="32"/>
  <c r="D68" i="32"/>
  <c r="F68" i="32" s="1"/>
  <c r="D67" i="32"/>
  <c r="D64" i="32"/>
  <c r="F64" i="32" s="1"/>
  <c r="D5" i="32"/>
  <c r="F51" i="38"/>
  <c r="F47" i="38"/>
  <c r="F43" i="38"/>
  <c r="F39" i="38"/>
  <c r="F64" i="37"/>
  <c r="F62" i="37"/>
  <c r="F60" i="37"/>
  <c r="F58" i="37"/>
  <c r="F56" i="37"/>
  <c r="F54" i="37"/>
  <c r="F52" i="37"/>
  <c r="F50" i="37"/>
  <c r="F48" i="37"/>
  <c r="F46" i="37"/>
  <c r="F44" i="37"/>
  <c r="F42" i="37"/>
  <c r="F40" i="37"/>
  <c r="F38" i="37"/>
  <c r="F36" i="37"/>
  <c r="E95" i="36"/>
  <c r="C109" i="36" s="1"/>
  <c r="F109" i="36" s="1"/>
  <c r="F63" i="36"/>
  <c r="F59" i="36"/>
  <c r="F55" i="36"/>
  <c r="F51" i="36"/>
  <c r="F47" i="36"/>
  <c r="F43" i="36"/>
  <c r="F39" i="36"/>
  <c r="F64" i="35"/>
  <c r="F62" i="35"/>
  <c r="F60" i="35"/>
  <c r="F58" i="35"/>
  <c r="F56" i="35"/>
  <c r="F54" i="35"/>
  <c r="F52" i="35"/>
  <c r="F50" i="35"/>
  <c r="F48" i="35"/>
  <c r="F46" i="35"/>
  <c r="F44" i="35"/>
  <c r="F42" i="35"/>
  <c r="F40" i="35"/>
  <c r="F38" i="35"/>
  <c r="F36" i="35"/>
  <c r="E95" i="34"/>
  <c r="C109" i="34" s="1"/>
  <c r="F109" i="34" s="1"/>
  <c r="F63" i="34"/>
  <c r="F59" i="34"/>
  <c r="F55" i="34"/>
  <c r="F51" i="34"/>
  <c r="F47" i="34"/>
  <c r="F43" i="34"/>
  <c r="F39" i="34"/>
  <c r="F64" i="33"/>
  <c r="F62" i="33"/>
  <c r="F60" i="33"/>
  <c r="F58" i="33"/>
  <c r="F56" i="33"/>
  <c r="F54" i="33"/>
  <c r="F52" i="33"/>
  <c r="F50" i="33"/>
  <c r="F48" i="33"/>
  <c r="F46" i="33"/>
  <c r="F44" i="33"/>
  <c r="F42" i="33"/>
  <c r="F40" i="33"/>
  <c r="F38" i="33"/>
  <c r="F36" i="33"/>
  <c r="E95" i="32"/>
  <c r="C109" i="32" s="1"/>
  <c r="F109" i="32" s="1"/>
  <c r="F63" i="32"/>
  <c r="F59" i="32"/>
  <c r="F55" i="32"/>
  <c r="F51" i="32"/>
  <c r="F47" i="32"/>
  <c r="F43" i="32"/>
  <c r="F39" i="32"/>
  <c r="E105" i="31"/>
  <c r="F91" i="31"/>
  <c r="F87" i="31"/>
  <c r="F83" i="31"/>
  <c r="F79" i="31"/>
  <c r="F75" i="31"/>
  <c r="F71" i="31"/>
  <c r="E95" i="31"/>
  <c r="C109" i="31" s="1"/>
  <c r="F109" i="31" s="1"/>
  <c r="F67" i="31"/>
  <c r="F63" i="31"/>
  <c r="F61" i="31"/>
  <c r="F59" i="31"/>
  <c r="F57" i="31"/>
  <c r="F55" i="31"/>
  <c r="F53" i="31"/>
  <c r="F51" i="31"/>
  <c r="F49" i="31"/>
  <c r="F47" i="31"/>
  <c r="F45" i="31"/>
  <c r="F43" i="31"/>
  <c r="F41" i="31"/>
  <c r="F39" i="31"/>
  <c r="F37" i="31"/>
  <c r="F93" i="30"/>
  <c r="F89" i="30"/>
  <c r="F85" i="30"/>
  <c r="F81" i="30"/>
  <c r="F77" i="30"/>
  <c r="F73" i="30"/>
  <c r="F69" i="30"/>
  <c r="E118" i="30"/>
  <c r="F62" i="30"/>
  <c r="F60" i="30"/>
  <c r="F58" i="30"/>
  <c r="F56" i="30"/>
  <c r="F54" i="30"/>
  <c r="F52" i="30"/>
  <c r="F50" i="30"/>
  <c r="F48" i="30"/>
  <c r="F46" i="30"/>
  <c r="F44" i="30"/>
  <c r="F42" i="30"/>
  <c r="F40" i="30"/>
  <c r="F38" i="30"/>
  <c r="D118" i="30"/>
  <c r="E64" i="30"/>
  <c r="F64" i="30" s="1"/>
  <c r="F36" i="30"/>
  <c r="E105" i="29"/>
  <c r="F91" i="29"/>
  <c r="F87" i="29"/>
  <c r="F83" i="29"/>
  <c r="F79" i="29"/>
  <c r="F75" i="29"/>
  <c r="F71" i="29"/>
  <c r="E95" i="29"/>
  <c r="C109" i="29" s="1"/>
  <c r="F109" i="29" s="1"/>
  <c r="F67" i="29"/>
  <c r="F63" i="29"/>
  <c r="F61" i="29"/>
  <c r="F59" i="29"/>
  <c r="F57" i="29"/>
  <c r="F55" i="29"/>
  <c r="F53" i="29"/>
  <c r="F51" i="29"/>
  <c r="F49" i="29"/>
  <c r="F47" i="29"/>
  <c r="F45" i="29"/>
  <c r="F43" i="29"/>
  <c r="F41" i="29"/>
  <c r="F39" i="29"/>
  <c r="F37" i="29"/>
  <c r="F93" i="28"/>
  <c r="F89" i="28"/>
  <c r="F85" i="28"/>
  <c r="F81" i="28"/>
  <c r="F77" i="28"/>
  <c r="F73" i="28"/>
  <c r="F69" i="28"/>
  <c r="E118" i="28"/>
  <c r="F62" i="28"/>
  <c r="F60" i="28"/>
  <c r="F58" i="28"/>
  <c r="F56" i="28"/>
  <c r="F54" i="28"/>
  <c r="F52" i="28"/>
  <c r="F50" i="28"/>
  <c r="F48" i="28"/>
  <c r="F46" i="28"/>
  <c r="F44" i="28"/>
  <c r="F42" i="28"/>
  <c r="F40" i="28"/>
  <c r="F38" i="28"/>
  <c r="D118" i="28"/>
  <c r="E64" i="28"/>
  <c r="F64" i="28" s="1"/>
  <c r="F36" i="28"/>
  <c r="E105" i="27"/>
  <c r="F91" i="27"/>
  <c r="F87" i="27"/>
  <c r="F83" i="27"/>
  <c r="F79" i="27"/>
  <c r="F75" i="27"/>
  <c r="F71" i="27"/>
  <c r="E95" i="27"/>
  <c r="C109" i="27" s="1"/>
  <c r="F109" i="27" s="1"/>
  <c r="F67" i="27"/>
  <c r="F63" i="27"/>
  <c r="F61" i="27"/>
  <c r="F59" i="27"/>
  <c r="F57" i="27"/>
  <c r="F55" i="27"/>
  <c r="F53" i="27"/>
  <c r="F51" i="27"/>
  <c r="F49" i="27"/>
  <c r="F47" i="27"/>
  <c r="F45" i="27"/>
  <c r="F43" i="27"/>
  <c r="F41" i="27"/>
  <c r="F39" i="27"/>
  <c r="F37" i="27"/>
  <c r="F93" i="26"/>
  <c r="F89" i="26"/>
  <c r="F85" i="26"/>
  <c r="F81" i="26"/>
  <c r="F77" i="26"/>
  <c r="F73" i="26"/>
  <c r="F69" i="26"/>
  <c r="E118" i="26"/>
  <c r="F62" i="26"/>
  <c r="F60" i="26"/>
  <c r="F58" i="26"/>
  <c r="F56" i="26"/>
  <c r="F54" i="26"/>
  <c r="F52" i="26"/>
  <c r="F50" i="26"/>
  <c r="F48" i="26"/>
  <c r="F46" i="26"/>
  <c r="F44" i="26"/>
  <c r="F42" i="26"/>
  <c r="F40" i="26"/>
  <c r="F38" i="26"/>
  <c r="D118" i="26"/>
  <c r="E64" i="26"/>
  <c r="F64" i="26" s="1"/>
  <c r="F36" i="26"/>
  <c r="F52" i="38"/>
  <c r="F36" i="38"/>
  <c r="F61" i="37"/>
  <c r="F57" i="37"/>
  <c r="F53" i="37"/>
  <c r="F49" i="37"/>
  <c r="F45" i="37"/>
  <c r="F41" i="37"/>
  <c r="F37" i="37"/>
  <c r="F61" i="35"/>
  <c r="F57" i="35"/>
  <c r="F53" i="35"/>
  <c r="F49" i="35"/>
  <c r="F45" i="35"/>
  <c r="F41" i="35"/>
  <c r="F37" i="35"/>
  <c r="F61" i="33"/>
  <c r="F57" i="33"/>
  <c r="F53" i="33"/>
  <c r="F49" i="33"/>
  <c r="F45" i="33"/>
  <c r="F41" i="33"/>
  <c r="F37" i="33"/>
  <c r="F94" i="31"/>
  <c r="F90" i="31"/>
  <c r="F86" i="31"/>
  <c r="F82" i="31"/>
  <c r="F78" i="31"/>
  <c r="F74" i="31"/>
  <c r="F70" i="31"/>
  <c r="F94" i="30"/>
  <c r="F90" i="30"/>
  <c r="F86" i="30"/>
  <c r="F82" i="30"/>
  <c r="F78" i="30"/>
  <c r="F74" i="30"/>
  <c r="F70" i="30"/>
  <c r="F94" i="29"/>
  <c r="F90" i="29"/>
  <c r="F86" i="29"/>
  <c r="F82" i="29"/>
  <c r="F78" i="29"/>
  <c r="F74" i="29"/>
  <c r="F70" i="29"/>
  <c r="F94" i="28"/>
  <c r="F90" i="28"/>
  <c r="F86" i="28"/>
  <c r="F82" i="28"/>
  <c r="F78" i="28"/>
  <c r="F74" i="28"/>
  <c r="F70" i="28"/>
  <c r="F94" i="27"/>
  <c r="F90" i="27"/>
  <c r="F86" i="27"/>
  <c r="F82" i="27"/>
  <c r="F78" i="27"/>
  <c r="F74" i="27"/>
  <c r="F70" i="27"/>
  <c r="F94" i="26"/>
  <c r="F90" i="26"/>
  <c r="F86" i="26"/>
  <c r="F82" i="26"/>
  <c r="F78" i="26"/>
  <c r="F74" i="26"/>
  <c r="F70" i="26"/>
  <c r="E118" i="34"/>
  <c r="F37" i="25"/>
  <c r="F39" i="25"/>
  <c r="F41" i="25"/>
  <c r="F43" i="25"/>
  <c r="F45" i="25"/>
  <c r="F47" i="25"/>
  <c r="F49" i="25"/>
  <c r="F51" i="25"/>
  <c r="F53" i="25"/>
  <c r="F55" i="25"/>
  <c r="F57" i="25"/>
  <c r="F59" i="25"/>
  <c r="F61" i="25"/>
  <c r="F63" i="25"/>
  <c r="E95" i="25"/>
  <c r="C109" i="25" s="1"/>
  <c r="F109" i="25" s="1"/>
  <c r="F67" i="25"/>
  <c r="F71" i="25"/>
  <c r="F75" i="25"/>
  <c r="F79" i="25"/>
  <c r="F83" i="25"/>
  <c r="F87" i="25"/>
  <c r="F91" i="25"/>
  <c r="E105" i="25"/>
  <c r="E118" i="25"/>
  <c r="D31" i="24"/>
  <c r="D93" i="24"/>
  <c r="F93" i="24" s="1"/>
  <c r="D29" i="24"/>
  <c r="D91" i="24"/>
  <c r="F91" i="24" s="1"/>
  <c r="D27" i="24"/>
  <c r="D89" i="24"/>
  <c r="F89" i="24" s="1"/>
  <c r="D25" i="24"/>
  <c r="D87" i="24"/>
  <c r="F87" i="24" s="1"/>
  <c r="D23" i="24"/>
  <c r="D85" i="24"/>
  <c r="F85" i="24" s="1"/>
  <c r="D21" i="24"/>
  <c r="D83" i="24"/>
  <c r="F83" i="24" s="1"/>
  <c r="D19" i="24"/>
  <c r="D81" i="24"/>
  <c r="F81" i="24" s="1"/>
  <c r="D17" i="24"/>
  <c r="D79" i="24"/>
  <c r="F79" i="24" s="1"/>
  <c r="D15" i="24"/>
  <c r="D77" i="24"/>
  <c r="F77" i="24" s="1"/>
  <c r="D13" i="24"/>
  <c r="D75" i="24"/>
  <c r="F75" i="24" s="1"/>
  <c r="D11" i="24"/>
  <c r="D73" i="24"/>
  <c r="F73" i="24" s="1"/>
  <c r="D9" i="24"/>
  <c r="D71" i="24"/>
  <c r="D7" i="24"/>
  <c r="D69" i="24"/>
  <c r="F69" i="24" s="1"/>
  <c r="D5" i="24"/>
  <c r="D33" i="24" s="1"/>
  <c r="D64" i="24"/>
  <c r="D67" i="24"/>
  <c r="F37" i="24"/>
  <c r="F39" i="24"/>
  <c r="F41" i="24"/>
  <c r="F43" i="24"/>
  <c r="F45" i="24"/>
  <c r="F47" i="24"/>
  <c r="F49" i="24"/>
  <c r="F51" i="24"/>
  <c r="F53" i="24"/>
  <c r="F55" i="24"/>
  <c r="F57" i="24"/>
  <c r="F59" i="24"/>
  <c r="F61" i="24"/>
  <c r="F63" i="24"/>
  <c r="E95" i="24"/>
  <c r="C109" i="24" s="1"/>
  <c r="F109" i="24" s="1"/>
  <c r="F67" i="24"/>
  <c r="F71" i="24"/>
  <c r="E105" i="24"/>
  <c r="E118" i="24"/>
  <c r="D31" i="23"/>
  <c r="D93" i="23"/>
  <c r="F93" i="23" s="1"/>
  <c r="D29" i="23"/>
  <c r="D91" i="23"/>
  <c r="F91" i="23" s="1"/>
  <c r="D27" i="23"/>
  <c r="D89" i="23"/>
  <c r="F89" i="23" s="1"/>
  <c r="D25" i="23"/>
  <c r="D87" i="23"/>
  <c r="F87" i="23" s="1"/>
  <c r="D23" i="23"/>
  <c r="D85" i="23"/>
  <c r="F85" i="23" s="1"/>
  <c r="D21" i="23"/>
  <c r="D83" i="23"/>
  <c r="F83" i="23" s="1"/>
  <c r="D19" i="23"/>
  <c r="D81" i="23"/>
  <c r="F81" i="23" s="1"/>
  <c r="D17" i="23"/>
  <c r="D79" i="23"/>
  <c r="F79" i="23" s="1"/>
  <c r="D15" i="23"/>
  <c r="D77" i="23"/>
  <c r="F77" i="23" s="1"/>
  <c r="D13" i="23"/>
  <c r="D75" i="23"/>
  <c r="F75" i="23" s="1"/>
  <c r="D11" i="23"/>
  <c r="D73" i="23"/>
  <c r="F73" i="23" s="1"/>
  <c r="D9" i="23"/>
  <c r="D71" i="23"/>
  <c r="D7" i="23"/>
  <c r="D69" i="23"/>
  <c r="F69" i="23" s="1"/>
  <c r="D5" i="23"/>
  <c r="D33" i="23" s="1"/>
  <c r="D64" i="23"/>
  <c r="D67" i="23"/>
  <c r="F37" i="23"/>
  <c r="F39" i="23"/>
  <c r="F41" i="23"/>
  <c r="F43" i="23"/>
  <c r="F45" i="23"/>
  <c r="F47" i="23"/>
  <c r="F49" i="23"/>
  <c r="F51" i="23"/>
  <c r="F53" i="23"/>
  <c r="F55" i="23"/>
  <c r="F57" i="23"/>
  <c r="F59" i="23"/>
  <c r="F61" i="23"/>
  <c r="F63" i="23"/>
  <c r="E95" i="23"/>
  <c r="C109" i="23" s="1"/>
  <c r="F109" i="23" s="1"/>
  <c r="F67" i="23"/>
  <c r="F71" i="23"/>
  <c r="E105" i="23"/>
  <c r="E118" i="23"/>
  <c r="D31" i="22"/>
  <c r="D93" i="22"/>
  <c r="F93" i="22" s="1"/>
  <c r="D29" i="22"/>
  <c r="D91" i="22"/>
  <c r="F91" i="22" s="1"/>
  <c r="D27" i="22"/>
  <c r="D89" i="22"/>
  <c r="F89" i="22" s="1"/>
  <c r="D25" i="22"/>
  <c r="D87" i="22"/>
  <c r="F87" i="22" s="1"/>
  <c r="D23" i="22"/>
  <c r="D85" i="22"/>
  <c r="F85" i="22" s="1"/>
  <c r="D21" i="22"/>
  <c r="D83" i="22"/>
  <c r="F83" i="22" s="1"/>
  <c r="D19" i="22"/>
  <c r="D81" i="22"/>
  <c r="F81" i="22" s="1"/>
  <c r="D17" i="22"/>
  <c r="D79" i="22"/>
  <c r="F79" i="22" s="1"/>
  <c r="D15" i="22"/>
  <c r="D77" i="22"/>
  <c r="F77" i="22" s="1"/>
  <c r="D13" i="22"/>
  <c r="D75" i="22"/>
  <c r="F75" i="22" s="1"/>
  <c r="D11" i="22"/>
  <c r="D73" i="22"/>
  <c r="F73" i="22" s="1"/>
  <c r="D9" i="22"/>
  <c r="D71" i="22"/>
  <c r="D7" i="22"/>
  <c r="D69" i="22"/>
  <c r="F69" i="22" s="1"/>
  <c r="D5" i="22"/>
  <c r="D33" i="22" s="1"/>
  <c r="D64" i="22"/>
  <c r="D67" i="22"/>
  <c r="F37" i="22"/>
  <c r="F39" i="22"/>
  <c r="F41" i="22"/>
  <c r="F43" i="22"/>
  <c r="F45" i="22"/>
  <c r="F47" i="22"/>
  <c r="F49" i="22"/>
  <c r="F51" i="22"/>
  <c r="F53" i="22"/>
  <c r="F55" i="22"/>
  <c r="F57" i="22"/>
  <c r="F59" i="22"/>
  <c r="F61" i="22"/>
  <c r="F63" i="22"/>
  <c r="E95" i="22"/>
  <c r="C109" i="22" s="1"/>
  <c r="F109" i="22" s="1"/>
  <c r="F67" i="22"/>
  <c r="F71" i="22"/>
  <c r="E105" i="22"/>
  <c r="E118" i="22"/>
  <c r="D31" i="21"/>
  <c r="D93" i="21"/>
  <c r="F93" i="21" s="1"/>
  <c r="D29" i="21"/>
  <c r="D91" i="21"/>
  <c r="D27" i="21"/>
  <c r="D89" i="21"/>
  <c r="F89" i="21" s="1"/>
  <c r="D25" i="21"/>
  <c r="D87" i="21"/>
  <c r="F87" i="21" s="1"/>
  <c r="D23" i="21"/>
  <c r="D85" i="21"/>
  <c r="F85" i="21" s="1"/>
  <c r="D21" i="21"/>
  <c r="D83" i="21"/>
  <c r="F83" i="21" s="1"/>
  <c r="D19" i="21"/>
  <c r="D81" i="21"/>
  <c r="F81" i="21" s="1"/>
  <c r="D17" i="21"/>
  <c r="D79" i="21"/>
  <c r="F79" i="21" s="1"/>
  <c r="D15" i="21"/>
  <c r="D77" i="21"/>
  <c r="F77" i="21" s="1"/>
  <c r="D13" i="21"/>
  <c r="D75" i="21"/>
  <c r="F75" i="21" s="1"/>
  <c r="D11" i="21"/>
  <c r="D73" i="21"/>
  <c r="F73" i="21" s="1"/>
  <c r="D9" i="21"/>
  <c r="D71" i="21"/>
  <c r="D7" i="21"/>
  <c r="D69" i="21"/>
  <c r="F69" i="21" s="1"/>
  <c r="D5" i="21"/>
  <c r="D33" i="21" s="1"/>
  <c r="D64" i="21"/>
  <c r="D67" i="21"/>
  <c r="F37" i="21"/>
  <c r="F39" i="21"/>
  <c r="F41" i="21"/>
  <c r="F43" i="21"/>
  <c r="F45" i="21"/>
  <c r="F47" i="21"/>
  <c r="F49" i="21"/>
  <c r="F51" i="21"/>
  <c r="F53" i="21"/>
  <c r="F55" i="21"/>
  <c r="F57" i="21"/>
  <c r="F59" i="21"/>
  <c r="F61" i="21"/>
  <c r="F63" i="21"/>
  <c r="E95" i="21"/>
  <c r="C109" i="21" s="1"/>
  <c r="F109" i="21" s="1"/>
  <c r="F67" i="21"/>
  <c r="F71" i="21"/>
  <c r="F91" i="21"/>
  <c r="E105" i="21"/>
  <c r="E118" i="21"/>
  <c r="D92" i="20"/>
  <c r="D30" i="20"/>
  <c r="D88" i="20"/>
  <c r="F88" i="20" s="1"/>
  <c r="D26" i="20"/>
  <c r="D84" i="20"/>
  <c r="F84" i="20" s="1"/>
  <c r="D22" i="20"/>
  <c r="D80" i="20"/>
  <c r="F80" i="20" s="1"/>
  <c r="D18" i="20"/>
  <c r="D76" i="20"/>
  <c r="D14" i="20"/>
  <c r="D74" i="20"/>
  <c r="D12" i="20"/>
  <c r="D72" i="20"/>
  <c r="F72" i="20" s="1"/>
  <c r="D10" i="20"/>
  <c r="D70" i="20"/>
  <c r="F70" i="20" s="1"/>
  <c r="D8" i="20"/>
  <c r="D68" i="20"/>
  <c r="F68" i="20" s="1"/>
  <c r="D6" i="20"/>
  <c r="D94" i="19"/>
  <c r="F94" i="19" s="1"/>
  <c r="D32" i="19"/>
  <c r="D92" i="19"/>
  <c r="F92" i="19" s="1"/>
  <c r="D30" i="19"/>
  <c r="D90" i="19"/>
  <c r="D28" i="19"/>
  <c r="D88" i="19"/>
  <c r="F88" i="19" s="1"/>
  <c r="D26" i="19"/>
  <c r="D86" i="19"/>
  <c r="F86" i="19" s="1"/>
  <c r="D24" i="19"/>
  <c r="D84" i="19"/>
  <c r="F84" i="19" s="1"/>
  <c r="D22" i="19"/>
  <c r="D82" i="19"/>
  <c r="D20" i="19"/>
  <c r="D80" i="19"/>
  <c r="F80" i="19" s="1"/>
  <c r="D18" i="19"/>
  <c r="D78" i="19"/>
  <c r="F78" i="19" s="1"/>
  <c r="D16" i="19"/>
  <c r="D76" i="19"/>
  <c r="F76" i="19" s="1"/>
  <c r="D14" i="19"/>
  <c r="D74" i="19"/>
  <c r="D12" i="19"/>
  <c r="D72" i="19"/>
  <c r="F72" i="19" s="1"/>
  <c r="D10" i="19"/>
  <c r="D70" i="19"/>
  <c r="F70" i="19" s="1"/>
  <c r="D8" i="19"/>
  <c r="D68" i="19"/>
  <c r="F68" i="19" s="1"/>
  <c r="D6" i="19"/>
  <c r="D94" i="18"/>
  <c r="F94" i="18" s="1"/>
  <c r="D32" i="18"/>
  <c r="D92" i="18"/>
  <c r="F92" i="18" s="1"/>
  <c r="D30" i="18"/>
  <c r="D90" i="18"/>
  <c r="D28" i="18"/>
  <c r="D88" i="18"/>
  <c r="F88" i="18" s="1"/>
  <c r="D26" i="18"/>
  <c r="D86" i="18"/>
  <c r="F86" i="18" s="1"/>
  <c r="D24" i="18"/>
  <c r="D84" i="18"/>
  <c r="F84" i="18" s="1"/>
  <c r="D22" i="18"/>
  <c r="D82" i="18"/>
  <c r="D20" i="18"/>
  <c r="D80" i="18"/>
  <c r="F80" i="18" s="1"/>
  <c r="D18" i="18"/>
  <c r="D78" i="18"/>
  <c r="F78" i="18" s="1"/>
  <c r="D16" i="18"/>
  <c r="D76" i="18"/>
  <c r="F76" i="18" s="1"/>
  <c r="D14" i="18"/>
  <c r="D74" i="18"/>
  <c r="D12" i="18"/>
  <c r="D72" i="18"/>
  <c r="F72" i="18" s="1"/>
  <c r="D10" i="18"/>
  <c r="D70" i="18"/>
  <c r="F70" i="18" s="1"/>
  <c r="D8" i="18"/>
  <c r="D68" i="18"/>
  <c r="F68" i="18" s="1"/>
  <c r="D6" i="18"/>
  <c r="D94" i="17"/>
  <c r="F94" i="17" s="1"/>
  <c r="D32" i="17"/>
  <c r="D92" i="17"/>
  <c r="F92" i="17" s="1"/>
  <c r="D30" i="17"/>
  <c r="D90" i="17"/>
  <c r="D28" i="17"/>
  <c r="D88" i="17"/>
  <c r="F88" i="17" s="1"/>
  <c r="D26" i="17"/>
  <c r="D86" i="17"/>
  <c r="F86" i="17" s="1"/>
  <c r="D24" i="17"/>
  <c r="D84" i="17"/>
  <c r="F84" i="17" s="1"/>
  <c r="D22" i="17"/>
  <c r="D82" i="17"/>
  <c r="D20" i="17"/>
  <c r="D80" i="17"/>
  <c r="F80" i="17" s="1"/>
  <c r="D18" i="17"/>
  <c r="D78" i="17"/>
  <c r="F78" i="17" s="1"/>
  <c r="D16" i="17"/>
  <c r="D76" i="17"/>
  <c r="F76" i="17" s="1"/>
  <c r="D14" i="17"/>
  <c r="D74" i="17"/>
  <c r="D12" i="17"/>
  <c r="D72" i="17"/>
  <c r="F72" i="17" s="1"/>
  <c r="D10" i="17"/>
  <c r="D70" i="17"/>
  <c r="F70" i="17" s="1"/>
  <c r="D8" i="17"/>
  <c r="D68" i="17"/>
  <c r="F68" i="17" s="1"/>
  <c r="D6" i="17"/>
  <c r="D94" i="16"/>
  <c r="F94" i="16" s="1"/>
  <c r="D32" i="16"/>
  <c r="D92" i="16"/>
  <c r="F92" i="16" s="1"/>
  <c r="D30" i="16"/>
  <c r="D90" i="16"/>
  <c r="D28" i="16"/>
  <c r="D88" i="16"/>
  <c r="F88" i="16" s="1"/>
  <c r="D26" i="16"/>
  <c r="D86" i="16"/>
  <c r="F86" i="16" s="1"/>
  <c r="D24" i="16"/>
  <c r="D84" i="16"/>
  <c r="F84" i="16" s="1"/>
  <c r="D22" i="16"/>
  <c r="D82" i="16"/>
  <c r="D20" i="16"/>
  <c r="D80" i="16"/>
  <c r="F80" i="16" s="1"/>
  <c r="D18" i="16"/>
  <c r="D78" i="16"/>
  <c r="F78" i="16" s="1"/>
  <c r="D16" i="16"/>
  <c r="D76" i="16"/>
  <c r="F76" i="16" s="1"/>
  <c r="D14" i="16"/>
  <c r="D74" i="16"/>
  <c r="D12" i="16"/>
  <c r="D72" i="16"/>
  <c r="F72" i="16" s="1"/>
  <c r="D10" i="16"/>
  <c r="D70" i="16"/>
  <c r="F70" i="16" s="1"/>
  <c r="D8" i="16"/>
  <c r="D68" i="16"/>
  <c r="F68" i="16" s="1"/>
  <c r="D6" i="16"/>
  <c r="D94" i="15"/>
  <c r="F94" i="15" s="1"/>
  <c r="D32" i="15"/>
  <c r="D92" i="15"/>
  <c r="F92" i="15" s="1"/>
  <c r="D30" i="15"/>
  <c r="D90" i="15"/>
  <c r="D28" i="15"/>
  <c r="D88" i="15"/>
  <c r="F88" i="15" s="1"/>
  <c r="D26" i="15"/>
  <c r="D86" i="15"/>
  <c r="F86" i="15" s="1"/>
  <c r="D24" i="15"/>
  <c r="D84" i="15"/>
  <c r="F84" i="15" s="1"/>
  <c r="D22" i="15"/>
  <c r="D82" i="15"/>
  <c r="D20" i="15"/>
  <c r="D80" i="15"/>
  <c r="F80" i="15" s="1"/>
  <c r="D18" i="15"/>
  <c r="D78" i="15"/>
  <c r="F78" i="15" s="1"/>
  <c r="D16" i="15"/>
  <c r="D76" i="15"/>
  <c r="F76" i="15" s="1"/>
  <c r="D14" i="15"/>
  <c r="D74" i="15"/>
  <c r="D12" i="15"/>
  <c r="D72" i="15"/>
  <c r="F72" i="15" s="1"/>
  <c r="D10" i="15"/>
  <c r="D70" i="15"/>
  <c r="F70" i="15" s="1"/>
  <c r="D8" i="15"/>
  <c r="D68" i="15"/>
  <c r="F68" i="15" s="1"/>
  <c r="D6" i="15"/>
  <c r="D94" i="14"/>
  <c r="F94" i="14" s="1"/>
  <c r="D32" i="14"/>
  <c r="D92" i="14"/>
  <c r="F92" i="14" s="1"/>
  <c r="D30" i="14"/>
  <c r="D90" i="14"/>
  <c r="D28" i="14"/>
  <c r="D88" i="14"/>
  <c r="F88" i="14" s="1"/>
  <c r="D26" i="14"/>
  <c r="D86" i="14"/>
  <c r="F86" i="14" s="1"/>
  <c r="D24" i="14"/>
  <c r="D84" i="14"/>
  <c r="F84" i="14" s="1"/>
  <c r="D22" i="14"/>
  <c r="D82" i="14"/>
  <c r="D20" i="14"/>
  <c r="D80" i="14"/>
  <c r="F80" i="14" s="1"/>
  <c r="D18" i="14"/>
  <c r="D78" i="14"/>
  <c r="F78" i="14" s="1"/>
  <c r="D16" i="14"/>
  <c r="D76" i="14"/>
  <c r="F76" i="14" s="1"/>
  <c r="D14" i="14"/>
  <c r="D74" i="14"/>
  <c r="D12" i="14"/>
  <c r="D72" i="14"/>
  <c r="F72" i="14" s="1"/>
  <c r="D10" i="14"/>
  <c r="D70" i="14"/>
  <c r="F70" i="14" s="1"/>
  <c r="D8" i="14"/>
  <c r="D68" i="14"/>
  <c r="F68" i="14" s="1"/>
  <c r="D6" i="14"/>
  <c r="D94" i="13"/>
  <c r="F94" i="13" s="1"/>
  <c r="D32" i="13"/>
  <c r="D92" i="13"/>
  <c r="F92" i="13" s="1"/>
  <c r="D30" i="13"/>
  <c r="D90" i="13"/>
  <c r="D28" i="13"/>
  <c r="D88" i="13"/>
  <c r="F88" i="13" s="1"/>
  <c r="D26" i="13"/>
  <c r="D86" i="13"/>
  <c r="F86" i="13" s="1"/>
  <c r="D24" i="13"/>
  <c r="D84" i="13"/>
  <c r="F84" i="13" s="1"/>
  <c r="D22" i="13"/>
  <c r="D82" i="13"/>
  <c r="D20" i="13"/>
  <c r="D80" i="13"/>
  <c r="F80" i="13" s="1"/>
  <c r="D18" i="13"/>
  <c r="D78" i="13"/>
  <c r="F78" i="13" s="1"/>
  <c r="D16" i="13"/>
  <c r="D76" i="13"/>
  <c r="F76" i="13" s="1"/>
  <c r="D14" i="13"/>
  <c r="D74" i="13"/>
  <c r="D12" i="13"/>
  <c r="D72" i="13"/>
  <c r="F72" i="13" s="1"/>
  <c r="D10" i="13"/>
  <c r="D70" i="13"/>
  <c r="F70" i="13" s="1"/>
  <c r="D8" i="13"/>
  <c r="D68" i="13"/>
  <c r="F68" i="13" s="1"/>
  <c r="D6" i="13"/>
  <c r="D94" i="12"/>
  <c r="F94" i="12" s="1"/>
  <c r="D32" i="12"/>
  <c r="D92" i="12"/>
  <c r="F92" i="12" s="1"/>
  <c r="D30" i="12"/>
  <c r="D90" i="12"/>
  <c r="D28" i="12"/>
  <c r="D88" i="12"/>
  <c r="F88" i="12" s="1"/>
  <c r="D26" i="12"/>
  <c r="D86" i="12"/>
  <c r="F86" i="12" s="1"/>
  <c r="D24" i="12"/>
  <c r="D84" i="12"/>
  <c r="F84" i="12" s="1"/>
  <c r="D22" i="12"/>
  <c r="D82" i="12"/>
  <c r="D20" i="12"/>
  <c r="D80" i="12"/>
  <c r="F80" i="12" s="1"/>
  <c r="D18" i="12"/>
  <c r="D78" i="12"/>
  <c r="F78" i="12" s="1"/>
  <c r="D16" i="12"/>
  <c r="D76" i="12"/>
  <c r="F76" i="12" s="1"/>
  <c r="D14" i="12"/>
  <c r="D74" i="12"/>
  <c r="D12" i="12"/>
  <c r="D72" i="12"/>
  <c r="F72" i="12" s="1"/>
  <c r="D10" i="12"/>
  <c r="D70" i="12"/>
  <c r="F70" i="12" s="1"/>
  <c r="D8" i="12"/>
  <c r="D68" i="12"/>
  <c r="F68" i="12" s="1"/>
  <c r="D6" i="12"/>
  <c r="D94" i="11"/>
  <c r="F94" i="11" s="1"/>
  <c r="D32" i="11"/>
  <c r="D92" i="11"/>
  <c r="F92" i="11" s="1"/>
  <c r="D30" i="11"/>
  <c r="D90" i="11"/>
  <c r="D28" i="11"/>
  <c r="D88" i="11"/>
  <c r="F88" i="11" s="1"/>
  <c r="D26" i="11"/>
  <c r="D86" i="11"/>
  <c r="F86" i="11" s="1"/>
  <c r="D24" i="11"/>
  <c r="D84" i="11"/>
  <c r="F84" i="11" s="1"/>
  <c r="D22" i="11"/>
  <c r="D82" i="11"/>
  <c r="D20" i="11"/>
  <c r="D80" i="11"/>
  <c r="F80" i="11" s="1"/>
  <c r="D18" i="11"/>
  <c r="D78" i="11"/>
  <c r="F78" i="11" s="1"/>
  <c r="D16" i="11"/>
  <c r="D76" i="11"/>
  <c r="F76" i="11" s="1"/>
  <c r="D14" i="11"/>
  <c r="D74" i="11"/>
  <c r="D12" i="11"/>
  <c r="D72" i="11"/>
  <c r="F72" i="11" s="1"/>
  <c r="D10" i="11"/>
  <c r="D70" i="11"/>
  <c r="F70" i="11" s="1"/>
  <c r="D8" i="11"/>
  <c r="D68" i="11"/>
  <c r="F68" i="11" s="1"/>
  <c r="D6" i="11"/>
  <c r="D94" i="10"/>
  <c r="F94" i="10" s="1"/>
  <c r="D32" i="10"/>
  <c r="D92" i="10"/>
  <c r="F92" i="10" s="1"/>
  <c r="D30" i="10"/>
  <c r="D90" i="10"/>
  <c r="D28" i="10"/>
  <c r="D88" i="10"/>
  <c r="F88" i="10" s="1"/>
  <c r="D26" i="10"/>
  <c r="D86" i="10"/>
  <c r="F86" i="10" s="1"/>
  <c r="D24" i="10"/>
  <c r="D84" i="10"/>
  <c r="F84" i="10" s="1"/>
  <c r="D22" i="10"/>
  <c r="D82" i="10"/>
  <c r="D20" i="10"/>
  <c r="D80" i="10"/>
  <c r="F80" i="10" s="1"/>
  <c r="D18" i="10"/>
  <c r="D78" i="10"/>
  <c r="F78" i="10" s="1"/>
  <c r="D16" i="10"/>
  <c r="D76" i="10"/>
  <c r="F76" i="10" s="1"/>
  <c r="D14" i="10"/>
  <c r="D74" i="10"/>
  <c r="D12" i="10"/>
  <c r="D72" i="10"/>
  <c r="F72" i="10" s="1"/>
  <c r="D10" i="10"/>
  <c r="D70" i="10"/>
  <c r="F70" i="10" s="1"/>
  <c r="D8" i="10"/>
  <c r="D68" i="10"/>
  <c r="F68" i="10" s="1"/>
  <c r="D6" i="10"/>
  <c r="F76" i="9"/>
  <c r="F68" i="9"/>
  <c r="D94" i="9"/>
  <c r="F94" i="9" s="1"/>
  <c r="D32" i="9"/>
  <c r="D92" i="9"/>
  <c r="F92" i="9" s="1"/>
  <c r="D30" i="9"/>
  <c r="D90" i="9"/>
  <c r="D28" i="9"/>
  <c r="D88" i="9"/>
  <c r="F88" i="9" s="1"/>
  <c r="D26" i="9"/>
  <c r="D86" i="9"/>
  <c r="F86" i="9" s="1"/>
  <c r="D24" i="9"/>
  <c r="D84" i="9"/>
  <c r="F84" i="9" s="1"/>
  <c r="D22" i="9"/>
  <c r="F50" i="9"/>
  <c r="F48" i="9"/>
  <c r="F46" i="9"/>
  <c r="F44" i="9"/>
  <c r="F42" i="9"/>
  <c r="F40" i="9"/>
  <c r="F38" i="9"/>
  <c r="D118" i="9"/>
  <c r="E64" i="9"/>
  <c r="F64" i="9" s="1"/>
  <c r="F36" i="9"/>
  <c r="E105" i="8"/>
  <c r="F91" i="8"/>
  <c r="F87" i="8"/>
  <c r="F83" i="8"/>
  <c r="F79" i="8"/>
  <c r="F75" i="8"/>
  <c r="F71" i="8"/>
  <c r="E95" i="8"/>
  <c r="C109" i="8" s="1"/>
  <c r="F109" i="8" s="1"/>
  <c r="F67" i="8"/>
  <c r="F63" i="8"/>
  <c r="F61" i="8"/>
  <c r="F59" i="8"/>
  <c r="F57" i="8"/>
  <c r="F55" i="8"/>
  <c r="F53" i="8"/>
  <c r="F51" i="8"/>
  <c r="F49" i="8"/>
  <c r="F47" i="8"/>
  <c r="F45" i="8"/>
  <c r="F43" i="8"/>
  <c r="F41" i="8"/>
  <c r="F39" i="8"/>
  <c r="F37" i="8"/>
  <c r="F93" i="7"/>
  <c r="F89" i="7"/>
  <c r="F85" i="7"/>
  <c r="F81" i="7"/>
  <c r="F77" i="7"/>
  <c r="F73" i="7"/>
  <c r="F69" i="7"/>
  <c r="E118" i="7"/>
  <c r="F62" i="7"/>
  <c r="F60" i="7"/>
  <c r="F58" i="7"/>
  <c r="F56" i="7"/>
  <c r="F54" i="7"/>
  <c r="F52" i="7"/>
  <c r="F50" i="7"/>
  <c r="F48" i="7"/>
  <c r="F46" i="7"/>
  <c r="F44" i="7"/>
  <c r="F42" i="7"/>
  <c r="F40" i="7"/>
  <c r="F38" i="7"/>
  <c r="D118" i="7"/>
  <c r="E64" i="7"/>
  <c r="F64" i="7" s="1"/>
  <c r="F36" i="7"/>
  <c r="E105" i="6"/>
  <c r="F91" i="6"/>
  <c r="F87" i="6"/>
  <c r="F83" i="6"/>
  <c r="F79" i="6"/>
  <c r="F75" i="6"/>
  <c r="F71" i="6"/>
  <c r="E95" i="6"/>
  <c r="C109" i="6" s="1"/>
  <c r="F109" i="6" s="1"/>
  <c r="F67" i="6"/>
  <c r="F63" i="6"/>
  <c r="F61" i="6"/>
  <c r="F59" i="6"/>
  <c r="F57" i="6"/>
  <c r="F55" i="6"/>
  <c r="F53" i="6"/>
  <c r="F51" i="6"/>
  <c r="F49" i="6"/>
  <c r="F47" i="6"/>
  <c r="F45" i="6"/>
  <c r="F43" i="6"/>
  <c r="F41" i="6"/>
  <c r="F39" i="6"/>
  <c r="F37" i="6"/>
  <c r="F93" i="5"/>
  <c r="F89" i="5"/>
  <c r="F85" i="5"/>
  <c r="F81" i="5"/>
  <c r="F77" i="5"/>
  <c r="F73" i="5"/>
  <c r="F69" i="5"/>
  <c r="E118" i="5"/>
  <c r="F62" i="5"/>
  <c r="F60" i="5"/>
  <c r="F58" i="5"/>
  <c r="F56" i="5"/>
  <c r="F54" i="5"/>
  <c r="F52" i="5"/>
  <c r="F50" i="5"/>
  <c r="F48" i="5"/>
  <c r="F46" i="5"/>
  <c r="F44" i="5"/>
  <c r="F42" i="5"/>
  <c r="F40" i="5"/>
  <c r="F38" i="5"/>
  <c r="D118" i="5"/>
  <c r="E64" i="5"/>
  <c r="F64" i="5" s="1"/>
  <c r="F36" i="5"/>
  <c r="E105" i="4"/>
  <c r="F91" i="4"/>
  <c r="F87" i="4"/>
  <c r="F83" i="4"/>
  <c r="F79" i="4"/>
  <c r="F75" i="4"/>
  <c r="F71" i="4"/>
  <c r="E95" i="4"/>
  <c r="C109" i="4" s="1"/>
  <c r="F109" i="4" s="1"/>
  <c r="F67" i="4"/>
  <c r="F63" i="4"/>
  <c r="F61" i="4"/>
  <c r="F59" i="4"/>
  <c r="F57" i="4"/>
  <c r="F55" i="4"/>
  <c r="F53" i="4"/>
  <c r="F51" i="4"/>
  <c r="F49" i="4"/>
  <c r="F47" i="4"/>
  <c r="F45" i="4"/>
  <c r="F43" i="4"/>
  <c r="F41" i="4"/>
  <c r="F39" i="4"/>
  <c r="F37" i="4"/>
  <c r="F93" i="3"/>
  <c r="F89" i="3"/>
  <c r="F85" i="3"/>
  <c r="F81" i="3"/>
  <c r="F77" i="3"/>
  <c r="F73" i="3"/>
  <c r="F69" i="3"/>
  <c r="E118" i="3"/>
  <c r="F62" i="3"/>
  <c r="F60" i="3"/>
  <c r="F58" i="3"/>
  <c r="F56" i="3"/>
  <c r="F54" i="3"/>
  <c r="F52" i="3"/>
  <c r="F50" i="3"/>
  <c r="F48" i="3"/>
  <c r="F46" i="3"/>
  <c r="F44" i="3"/>
  <c r="F42" i="3"/>
  <c r="F40" i="3"/>
  <c r="F38" i="3"/>
  <c r="D118" i="3"/>
  <c r="E64" i="3"/>
  <c r="F64" i="3" s="1"/>
  <c r="F36" i="3"/>
  <c r="E105" i="59"/>
  <c r="F91" i="59"/>
  <c r="F87" i="59"/>
  <c r="F83" i="59"/>
  <c r="F79" i="59"/>
  <c r="F75" i="59"/>
  <c r="F71" i="59"/>
  <c r="E95" i="59"/>
  <c r="C109" i="59" s="1"/>
  <c r="F109" i="59" s="1"/>
  <c r="F67" i="59"/>
  <c r="F63" i="59"/>
  <c r="F61" i="59"/>
  <c r="F59" i="59"/>
  <c r="F57" i="59"/>
  <c r="F55" i="59"/>
  <c r="F53" i="59"/>
  <c r="F51" i="59"/>
  <c r="F49" i="59"/>
  <c r="F47" i="59"/>
  <c r="F45" i="59"/>
  <c r="F43" i="59"/>
  <c r="F41" i="59"/>
  <c r="F39" i="59"/>
  <c r="F37" i="59"/>
  <c r="F93" i="1"/>
  <c r="F89" i="1"/>
  <c r="F85" i="1"/>
  <c r="F81" i="1"/>
  <c r="F77" i="1"/>
  <c r="F73" i="1"/>
  <c r="F69" i="1"/>
  <c r="E118" i="1"/>
  <c r="F62" i="1"/>
  <c r="F60" i="1"/>
  <c r="F58" i="1"/>
  <c r="F56" i="1"/>
  <c r="F54" i="1"/>
  <c r="F52" i="1"/>
  <c r="F50" i="1"/>
  <c r="F48" i="1"/>
  <c r="F46" i="1"/>
  <c r="F44" i="1"/>
  <c r="F42" i="1"/>
  <c r="F40" i="1"/>
  <c r="F38" i="1"/>
  <c r="D118" i="1"/>
  <c r="E64" i="1"/>
  <c r="F64" i="1" s="1"/>
  <c r="F36" i="1"/>
  <c r="E105" i="56"/>
  <c r="F91" i="56"/>
  <c r="F87" i="56"/>
  <c r="F83" i="56"/>
  <c r="F79" i="56"/>
  <c r="F75" i="56"/>
  <c r="F71" i="56"/>
  <c r="E95" i="56"/>
  <c r="C109" i="56" s="1"/>
  <c r="F109" i="56" s="1"/>
  <c r="F67" i="56"/>
  <c r="F63" i="56"/>
  <c r="F61" i="56"/>
  <c r="F59" i="56"/>
  <c r="F57" i="56"/>
  <c r="F55" i="56"/>
  <c r="F53" i="56"/>
  <c r="F51" i="56"/>
  <c r="F49" i="56"/>
  <c r="F47" i="56"/>
  <c r="F45" i="56"/>
  <c r="F43" i="56"/>
  <c r="F41" i="56"/>
  <c r="F39" i="56"/>
  <c r="F37" i="56"/>
  <c r="F92" i="20"/>
  <c r="F76" i="20"/>
  <c r="D94" i="20"/>
  <c r="F94" i="20" s="1"/>
  <c r="D32" i="20"/>
  <c r="D90" i="20"/>
  <c r="F90" i="20" s="1"/>
  <c r="D28" i="20"/>
  <c r="D86" i="20"/>
  <c r="F86" i="20" s="1"/>
  <c r="D24" i="20"/>
  <c r="D82" i="20"/>
  <c r="F82" i="20" s="1"/>
  <c r="D20" i="20"/>
  <c r="D78" i="20"/>
  <c r="F78" i="20" s="1"/>
  <c r="D16" i="20"/>
  <c r="E64" i="20"/>
  <c r="F64" i="20" s="1"/>
  <c r="F36" i="20"/>
  <c r="D118" i="20"/>
  <c r="F38" i="20"/>
  <c r="F40" i="20"/>
  <c r="F42" i="20"/>
  <c r="F44" i="20"/>
  <c r="F74" i="20"/>
  <c r="F46" i="20"/>
  <c r="F48" i="20"/>
  <c r="F50" i="20"/>
  <c r="F52" i="20"/>
  <c r="F54" i="20"/>
  <c r="F56" i="20"/>
  <c r="F58" i="20"/>
  <c r="F60" i="20"/>
  <c r="F62" i="20"/>
  <c r="F69" i="20"/>
  <c r="F73" i="20"/>
  <c r="F77" i="20"/>
  <c r="F81" i="20"/>
  <c r="F85" i="20"/>
  <c r="F89" i="20"/>
  <c r="F93" i="20"/>
  <c r="F90" i="19"/>
  <c r="F82" i="19"/>
  <c r="F74" i="19"/>
  <c r="E64" i="19"/>
  <c r="F64" i="19" s="1"/>
  <c r="F36" i="19"/>
  <c r="D118" i="19"/>
  <c r="F38" i="19"/>
  <c r="F40" i="19"/>
  <c r="F42" i="19"/>
  <c r="F44" i="19"/>
  <c r="F46" i="19"/>
  <c r="F48" i="19"/>
  <c r="F50" i="19"/>
  <c r="F52" i="19"/>
  <c r="F54" i="19"/>
  <c r="F56" i="19"/>
  <c r="F58" i="19"/>
  <c r="F60" i="19"/>
  <c r="F62" i="19"/>
  <c r="F69" i="19"/>
  <c r="F73" i="19"/>
  <c r="F77" i="19"/>
  <c r="F81" i="19"/>
  <c r="F85" i="19"/>
  <c r="F89" i="19"/>
  <c r="F93" i="19"/>
  <c r="F90" i="18"/>
  <c r="F82" i="18"/>
  <c r="F74" i="18"/>
  <c r="E64" i="18"/>
  <c r="F64" i="18" s="1"/>
  <c r="F36" i="18"/>
  <c r="D118" i="18"/>
  <c r="F38" i="18"/>
  <c r="F40" i="18"/>
  <c r="F42" i="18"/>
  <c r="F44" i="18"/>
  <c r="F46" i="18"/>
  <c r="F48" i="18"/>
  <c r="F50" i="18"/>
  <c r="F52" i="18"/>
  <c r="F54" i="18"/>
  <c r="F56" i="18"/>
  <c r="F58" i="18"/>
  <c r="F60" i="18"/>
  <c r="F62" i="18"/>
  <c r="F69" i="18"/>
  <c r="F73" i="18"/>
  <c r="F77" i="18"/>
  <c r="F81" i="18"/>
  <c r="F85" i="18"/>
  <c r="F89" i="18"/>
  <c r="F93" i="18"/>
  <c r="F90" i="17"/>
  <c r="F82" i="17"/>
  <c r="F74" i="17"/>
  <c r="E64" i="17"/>
  <c r="F64" i="17" s="1"/>
  <c r="F36" i="17"/>
  <c r="D118" i="17"/>
  <c r="F38" i="17"/>
  <c r="F40" i="17"/>
  <c r="F42" i="17"/>
  <c r="F44" i="17"/>
  <c r="F46" i="17"/>
  <c r="F48" i="17"/>
  <c r="F50" i="17"/>
  <c r="F52" i="17"/>
  <c r="F54" i="17"/>
  <c r="F56" i="17"/>
  <c r="F58" i="17"/>
  <c r="F60" i="17"/>
  <c r="F62" i="17"/>
  <c r="F69" i="17"/>
  <c r="F73" i="17"/>
  <c r="F77" i="17"/>
  <c r="F81" i="17"/>
  <c r="F85" i="17"/>
  <c r="F89" i="17"/>
  <c r="F93" i="17"/>
  <c r="F90" i="16"/>
  <c r="F82" i="16"/>
  <c r="F74" i="16"/>
  <c r="E64" i="16"/>
  <c r="F64" i="16" s="1"/>
  <c r="F36" i="16"/>
  <c r="D118" i="16"/>
  <c r="F38" i="16"/>
  <c r="F40" i="16"/>
  <c r="F42" i="16"/>
  <c r="F44" i="16"/>
  <c r="F46" i="16"/>
  <c r="F48" i="16"/>
  <c r="F50" i="16"/>
  <c r="F52" i="16"/>
  <c r="F54" i="16"/>
  <c r="F56" i="16"/>
  <c r="F58" i="16"/>
  <c r="F60" i="16"/>
  <c r="F62" i="16"/>
  <c r="E118" i="16"/>
  <c r="F69" i="16"/>
  <c r="F73" i="16"/>
  <c r="F77" i="16"/>
  <c r="F81" i="16"/>
  <c r="F85" i="16"/>
  <c r="F89" i="16"/>
  <c r="F93" i="16"/>
  <c r="F90" i="15"/>
  <c r="F82" i="15"/>
  <c r="F74" i="15"/>
  <c r="E64" i="15"/>
  <c r="F64" i="15" s="1"/>
  <c r="F36" i="15"/>
  <c r="D118" i="15"/>
  <c r="F38" i="15"/>
  <c r="F40" i="15"/>
  <c r="F42" i="15"/>
  <c r="F44" i="15"/>
  <c r="F46" i="15"/>
  <c r="F48" i="15"/>
  <c r="F50" i="15"/>
  <c r="F52" i="15"/>
  <c r="F54" i="15"/>
  <c r="F56" i="15"/>
  <c r="F58" i="15"/>
  <c r="F60" i="15"/>
  <c r="F62" i="15"/>
  <c r="E118" i="15"/>
  <c r="F69" i="15"/>
  <c r="F73" i="15"/>
  <c r="F77" i="15"/>
  <c r="F81" i="15"/>
  <c r="F85" i="15"/>
  <c r="F89" i="15"/>
  <c r="F93" i="15"/>
  <c r="F90" i="14"/>
  <c r="F82" i="14"/>
  <c r="F74" i="14"/>
  <c r="E64" i="14"/>
  <c r="F64" i="14" s="1"/>
  <c r="F36" i="14"/>
  <c r="D118" i="14"/>
  <c r="F38" i="14"/>
  <c r="F40" i="14"/>
  <c r="F42" i="14"/>
  <c r="F44" i="14"/>
  <c r="F46" i="14"/>
  <c r="F48" i="14"/>
  <c r="F50" i="14"/>
  <c r="F52" i="14"/>
  <c r="F54" i="14"/>
  <c r="F56" i="14"/>
  <c r="F58" i="14"/>
  <c r="F60" i="14"/>
  <c r="F62" i="14"/>
  <c r="F69" i="14"/>
  <c r="F73" i="14"/>
  <c r="F77" i="14"/>
  <c r="F81" i="14"/>
  <c r="F85" i="14"/>
  <c r="F89" i="14"/>
  <c r="F93" i="14"/>
  <c r="F90" i="13"/>
  <c r="F82" i="13"/>
  <c r="F74" i="13"/>
  <c r="E64" i="13"/>
  <c r="F64" i="13" s="1"/>
  <c r="F36" i="13"/>
  <c r="D118" i="13"/>
  <c r="F38" i="13"/>
  <c r="F40" i="13"/>
  <c r="F42" i="13"/>
  <c r="F44" i="13"/>
  <c r="F46" i="13"/>
  <c r="F48" i="13"/>
  <c r="F50" i="13"/>
  <c r="F52" i="13"/>
  <c r="F54" i="13"/>
  <c r="F56" i="13"/>
  <c r="F58" i="13"/>
  <c r="F60" i="13"/>
  <c r="F62" i="13"/>
  <c r="F69" i="13"/>
  <c r="F73" i="13"/>
  <c r="F77" i="13"/>
  <c r="F81" i="13"/>
  <c r="F85" i="13"/>
  <c r="F89" i="13"/>
  <c r="F93" i="13"/>
  <c r="F90" i="12"/>
  <c r="F82" i="12"/>
  <c r="F74" i="12"/>
  <c r="E64" i="12"/>
  <c r="F64" i="12" s="1"/>
  <c r="F36" i="12"/>
  <c r="D118" i="12"/>
  <c r="F38" i="12"/>
  <c r="F40" i="12"/>
  <c r="F42" i="12"/>
  <c r="F44" i="12"/>
  <c r="F46" i="12"/>
  <c r="F48" i="12"/>
  <c r="F50" i="12"/>
  <c r="F52" i="12"/>
  <c r="F54" i="12"/>
  <c r="F56" i="12"/>
  <c r="F58" i="12"/>
  <c r="F60" i="12"/>
  <c r="F62" i="12"/>
  <c r="E118" i="12"/>
  <c r="F69" i="12"/>
  <c r="F73" i="12"/>
  <c r="F77" i="12"/>
  <c r="F81" i="12"/>
  <c r="F85" i="12"/>
  <c r="F89" i="12"/>
  <c r="F93" i="12"/>
  <c r="F90" i="11"/>
  <c r="F82" i="11"/>
  <c r="F74" i="11"/>
  <c r="E64" i="11"/>
  <c r="F64" i="11" s="1"/>
  <c r="F36" i="11"/>
  <c r="D118" i="11"/>
  <c r="F38" i="11"/>
  <c r="F40" i="11"/>
  <c r="F42" i="11"/>
  <c r="F44" i="11"/>
  <c r="F46" i="11"/>
  <c r="F48" i="11"/>
  <c r="F50" i="11"/>
  <c r="F52" i="11"/>
  <c r="F54" i="11"/>
  <c r="F56" i="11"/>
  <c r="F58" i="11"/>
  <c r="F60" i="11"/>
  <c r="F62" i="11"/>
  <c r="F69" i="11"/>
  <c r="F73" i="11"/>
  <c r="F77" i="11"/>
  <c r="F81" i="11"/>
  <c r="F85" i="11"/>
  <c r="F89" i="11"/>
  <c r="F93" i="11"/>
  <c r="F90" i="10"/>
  <c r="F82" i="10"/>
  <c r="F74" i="10"/>
  <c r="E64" i="10"/>
  <c r="F64" i="10" s="1"/>
  <c r="F36" i="10"/>
  <c r="D118" i="10"/>
  <c r="F38" i="10"/>
  <c r="F40" i="10"/>
  <c r="F42" i="10"/>
  <c r="F44" i="10"/>
  <c r="F46" i="10"/>
  <c r="F48" i="10"/>
  <c r="F50" i="10"/>
  <c r="F52" i="10"/>
  <c r="F54" i="10"/>
  <c r="F56" i="10"/>
  <c r="F58" i="10"/>
  <c r="F60" i="10"/>
  <c r="F62" i="10"/>
  <c r="F69" i="10"/>
  <c r="F73" i="10"/>
  <c r="F77" i="10"/>
  <c r="F81" i="10"/>
  <c r="F85" i="10"/>
  <c r="F89" i="10"/>
  <c r="F93" i="10"/>
  <c r="F90" i="9"/>
  <c r="F82" i="9"/>
  <c r="F74" i="9"/>
  <c r="F52" i="9"/>
  <c r="F54" i="9"/>
  <c r="F56" i="9"/>
  <c r="F58" i="9"/>
  <c r="F60" i="9"/>
  <c r="F62" i="9"/>
  <c r="F69" i="9"/>
  <c r="F73" i="9"/>
  <c r="F77" i="9"/>
  <c r="F81" i="9"/>
  <c r="F85" i="9"/>
  <c r="F89" i="9"/>
  <c r="F93" i="9"/>
  <c r="F94" i="8"/>
  <c r="F90" i="8"/>
  <c r="F86" i="8"/>
  <c r="F82" i="8"/>
  <c r="F78" i="8"/>
  <c r="F74" i="8"/>
  <c r="F70" i="8"/>
  <c r="F94" i="7"/>
  <c r="F90" i="7"/>
  <c r="F86" i="7"/>
  <c r="F82" i="7"/>
  <c r="F78" i="7"/>
  <c r="F74" i="7"/>
  <c r="F70" i="7"/>
  <c r="F94" i="6"/>
  <c r="F90" i="6"/>
  <c r="F86" i="6"/>
  <c r="F82" i="6"/>
  <c r="F78" i="6"/>
  <c r="F74" i="6"/>
  <c r="F70" i="6"/>
  <c r="F94" i="5"/>
  <c r="F90" i="5"/>
  <c r="F86" i="5"/>
  <c r="F82" i="5"/>
  <c r="F78" i="5"/>
  <c r="F74" i="5"/>
  <c r="F70" i="5"/>
  <c r="F94" i="4"/>
  <c r="F90" i="4"/>
  <c r="F86" i="4"/>
  <c r="F82" i="4"/>
  <c r="F78" i="4"/>
  <c r="F74" i="4"/>
  <c r="F70" i="4"/>
  <c r="F94" i="3"/>
  <c r="F90" i="3"/>
  <c r="F86" i="3"/>
  <c r="F82" i="3"/>
  <c r="F78" i="3"/>
  <c r="F74" i="3"/>
  <c r="F70" i="3"/>
  <c r="F94" i="59"/>
  <c r="F90" i="59"/>
  <c r="F86" i="59"/>
  <c r="F82" i="59"/>
  <c r="F78" i="59"/>
  <c r="F74" i="59"/>
  <c r="F70" i="59"/>
  <c r="F94" i="1"/>
  <c r="F90" i="1"/>
  <c r="F86" i="1"/>
  <c r="F82" i="1"/>
  <c r="F78" i="1"/>
  <c r="F74" i="1"/>
  <c r="F70" i="1"/>
  <c r="F94" i="56"/>
  <c r="F90" i="56"/>
  <c r="F86" i="56"/>
  <c r="F82" i="56"/>
  <c r="F78" i="56"/>
  <c r="F74" i="56"/>
  <c r="F70" i="56"/>
  <c r="E64" i="60"/>
  <c r="M64" i="63" s="1"/>
  <c r="F38" i="60"/>
  <c r="D64" i="60"/>
  <c r="F120" i="60"/>
  <c r="E105" i="60"/>
  <c r="D32" i="60"/>
  <c r="D94" i="60"/>
  <c r="F94" i="60" s="1"/>
  <c r="D28" i="60"/>
  <c r="D90" i="60"/>
  <c r="F90" i="60" s="1"/>
  <c r="D24" i="60"/>
  <c r="D86" i="60"/>
  <c r="F86" i="60" s="1"/>
  <c r="D20" i="60"/>
  <c r="D82" i="60"/>
  <c r="F82" i="60" s="1"/>
  <c r="D16" i="60"/>
  <c r="D78" i="60"/>
  <c r="F78" i="60" s="1"/>
  <c r="D12" i="60"/>
  <c r="D74" i="60"/>
  <c r="F74" i="60" s="1"/>
  <c r="D8" i="60"/>
  <c r="D70" i="60"/>
  <c r="F70" i="60" s="1"/>
  <c r="E95" i="60"/>
  <c r="E64" i="63" s="1"/>
  <c r="F61" i="60"/>
  <c r="D29" i="60"/>
  <c r="D91" i="60"/>
  <c r="F91" i="60" s="1"/>
  <c r="F57" i="60"/>
  <c r="D25" i="60"/>
  <c r="D87" i="60"/>
  <c r="F87" i="60" s="1"/>
  <c r="F53" i="60"/>
  <c r="D21" i="60"/>
  <c r="D83" i="60"/>
  <c r="F83" i="60" s="1"/>
  <c r="F49" i="60"/>
  <c r="D17" i="60"/>
  <c r="D79" i="60"/>
  <c r="F79" i="60" s="1"/>
  <c r="F45" i="60"/>
  <c r="D13" i="60"/>
  <c r="D75" i="60"/>
  <c r="F75" i="60" s="1"/>
  <c r="F41" i="60"/>
  <c r="D9" i="60"/>
  <c r="D71" i="60"/>
  <c r="F71" i="60" s="1"/>
  <c r="F37" i="60"/>
  <c r="D67" i="60"/>
  <c r="D5" i="60"/>
  <c r="F115" i="60"/>
  <c r="F114" i="60"/>
  <c r="F113" i="60"/>
  <c r="F112" i="60"/>
  <c r="F111" i="60"/>
  <c r="F110" i="60"/>
  <c r="D30" i="60"/>
  <c r="D92" i="60"/>
  <c r="F92" i="60" s="1"/>
  <c r="D26" i="60"/>
  <c r="D88" i="60"/>
  <c r="F88" i="60" s="1"/>
  <c r="D22" i="60"/>
  <c r="D84" i="60"/>
  <c r="F84" i="60" s="1"/>
  <c r="D18" i="60"/>
  <c r="D80" i="60"/>
  <c r="F80" i="60" s="1"/>
  <c r="D14" i="60"/>
  <c r="D76" i="60"/>
  <c r="F76" i="60" s="1"/>
  <c r="D10" i="60"/>
  <c r="D72" i="60"/>
  <c r="F72" i="60" s="1"/>
  <c r="D6" i="60"/>
  <c r="D68" i="60"/>
  <c r="F68" i="60" s="1"/>
  <c r="F63" i="60"/>
  <c r="D31" i="60"/>
  <c r="D93" i="60"/>
  <c r="F93" i="60" s="1"/>
  <c r="F59" i="60"/>
  <c r="D27" i="60"/>
  <c r="D89" i="60"/>
  <c r="F89" i="60" s="1"/>
  <c r="F55" i="60"/>
  <c r="D23" i="60"/>
  <c r="D85" i="60"/>
  <c r="F85" i="60" s="1"/>
  <c r="F51" i="60"/>
  <c r="D19" i="60"/>
  <c r="D81" i="60"/>
  <c r="F81" i="60" s="1"/>
  <c r="F47" i="60"/>
  <c r="D15" i="60"/>
  <c r="D77" i="60"/>
  <c r="F77" i="60" s="1"/>
  <c r="F43" i="60"/>
  <c r="D11" i="60"/>
  <c r="D73" i="60"/>
  <c r="F73" i="60" s="1"/>
  <c r="F39" i="60"/>
  <c r="D7" i="60"/>
  <c r="D69" i="60"/>
  <c r="F69" i="60" s="1"/>
  <c r="D118" i="57"/>
  <c r="D109" i="60"/>
  <c r="E118" i="57"/>
  <c r="E109" i="60"/>
  <c r="D95" i="57"/>
  <c r="F99" i="57" s="1"/>
  <c r="F64" i="57"/>
  <c r="F109" i="57"/>
  <c r="C118" i="57"/>
  <c r="N7" i="63" l="1"/>
  <c r="F7" i="63"/>
  <c r="F64" i="60"/>
  <c r="D33" i="32"/>
  <c r="D33" i="34"/>
  <c r="F44" i="60"/>
  <c r="B43" i="63"/>
  <c r="N43" i="63" s="1"/>
  <c r="D33" i="49"/>
  <c r="B39" i="63"/>
  <c r="N39" i="63" s="1"/>
  <c r="E63" i="63"/>
  <c r="E61" i="63"/>
  <c r="E51" i="63"/>
  <c r="E49" i="63"/>
  <c r="E47" i="63"/>
  <c r="E45" i="63"/>
  <c r="E43" i="63"/>
  <c r="E41" i="63"/>
  <c r="E39" i="63"/>
  <c r="E37" i="63"/>
  <c r="E35" i="63"/>
  <c r="E33" i="63"/>
  <c r="E31" i="63"/>
  <c r="E29" i="63"/>
  <c r="E27" i="63"/>
  <c r="E25" i="63"/>
  <c r="E58" i="63"/>
  <c r="E56" i="63"/>
  <c r="M54" i="63"/>
  <c r="E24" i="63"/>
  <c r="M10" i="63"/>
  <c r="M61" i="63"/>
  <c r="M57" i="63"/>
  <c r="M55" i="63"/>
  <c r="M53" i="63"/>
  <c r="M23" i="63"/>
  <c r="M21" i="63"/>
  <c r="M17" i="63"/>
  <c r="M50" i="63"/>
  <c r="M48" i="63"/>
  <c r="M46" i="63"/>
  <c r="M44" i="63"/>
  <c r="M38" i="63"/>
  <c r="M36" i="63"/>
  <c r="M34" i="63"/>
  <c r="M26" i="63"/>
  <c r="B42" i="63"/>
  <c r="N42" i="63" s="1"/>
  <c r="B41" i="63"/>
  <c r="N41" i="63" s="1"/>
  <c r="B40" i="63"/>
  <c r="N40" i="63" s="1"/>
  <c r="B32" i="63"/>
  <c r="N32" i="63" s="1"/>
  <c r="B30" i="63"/>
  <c r="N30" i="63" s="1"/>
  <c r="B15" i="63"/>
  <c r="N15" i="63" s="1"/>
  <c r="B8" i="63"/>
  <c r="N8" i="63" s="1"/>
  <c r="B62" i="63"/>
  <c r="N62" i="63" s="1"/>
  <c r="B37" i="63"/>
  <c r="N37" i="63" s="1"/>
  <c r="B35" i="63"/>
  <c r="N35" i="63" s="1"/>
  <c r="D33" i="40"/>
  <c r="B24" i="63" s="1"/>
  <c r="N24" i="63" s="1"/>
  <c r="D33" i="42"/>
  <c r="B22" i="63" s="1"/>
  <c r="N22" i="63" s="1"/>
  <c r="E8" i="63"/>
  <c r="F8" i="63" s="1"/>
  <c r="M63" i="63"/>
  <c r="E59" i="63"/>
  <c r="M51" i="63"/>
  <c r="M49" i="63"/>
  <c r="M47" i="63"/>
  <c r="M45" i="63"/>
  <c r="M25" i="63"/>
  <c r="E54" i="63"/>
  <c r="E52" i="63"/>
  <c r="E22" i="63"/>
  <c r="E20" i="63"/>
  <c r="E18" i="63"/>
  <c r="E16" i="63"/>
  <c r="E14" i="63"/>
  <c r="E12" i="63"/>
  <c r="E10" i="63"/>
  <c r="M59" i="63"/>
  <c r="E57" i="63"/>
  <c r="E55" i="63"/>
  <c r="E53" i="63"/>
  <c r="E23" i="63"/>
  <c r="E21" i="63"/>
  <c r="E19" i="63"/>
  <c r="E17" i="63"/>
  <c r="E15" i="63"/>
  <c r="F15" i="63" s="1"/>
  <c r="E13" i="63"/>
  <c r="E11" i="63"/>
  <c r="E9" i="63"/>
  <c r="E62" i="63"/>
  <c r="F62" i="63" s="1"/>
  <c r="E60" i="63"/>
  <c r="M52" i="63"/>
  <c r="E50" i="63"/>
  <c r="E48" i="63"/>
  <c r="E46" i="63"/>
  <c r="E44" i="63"/>
  <c r="E42" i="63"/>
  <c r="F42" i="63" s="1"/>
  <c r="E40" i="63"/>
  <c r="E38" i="63"/>
  <c r="E36" i="63"/>
  <c r="E34" i="63"/>
  <c r="E32" i="63"/>
  <c r="F32" i="63" s="1"/>
  <c r="E30" i="63"/>
  <c r="F30" i="63" s="1"/>
  <c r="E28" i="63"/>
  <c r="E26" i="63"/>
  <c r="K7" i="63"/>
  <c r="L7" i="63" s="1"/>
  <c r="E7" i="25"/>
  <c r="F105" i="25"/>
  <c r="E20" i="38"/>
  <c r="F105" i="38"/>
  <c r="F105" i="5"/>
  <c r="F105" i="7"/>
  <c r="F100" i="57"/>
  <c r="G7" i="63" s="1"/>
  <c r="H7" i="63" s="1"/>
  <c r="F102" i="5"/>
  <c r="F103" i="5"/>
  <c r="F103" i="7"/>
  <c r="F102" i="7"/>
  <c r="F98" i="25"/>
  <c r="I39" i="63" s="1"/>
  <c r="J39" i="63" s="1"/>
  <c r="F99" i="47"/>
  <c r="F98" i="47"/>
  <c r="F104" i="38"/>
  <c r="F102" i="57"/>
  <c r="Q7" i="63" s="1"/>
  <c r="R7" i="63" s="1"/>
  <c r="F103" i="57"/>
  <c r="S7" i="63" s="1"/>
  <c r="T7" i="63" s="1"/>
  <c r="F104" i="5"/>
  <c r="F101" i="5"/>
  <c r="F104" i="7"/>
  <c r="F100" i="25"/>
  <c r="F99" i="25"/>
  <c r="K39" i="63" s="1"/>
  <c r="L39" i="63" s="1"/>
  <c r="F101" i="47"/>
  <c r="F100" i="47"/>
  <c r="F99" i="38"/>
  <c r="F98" i="38"/>
  <c r="F105" i="47"/>
  <c r="F104" i="57"/>
  <c r="U7" i="63" s="1"/>
  <c r="V7" i="63" s="1"/>
  <c r="F101" i="57"/>
  <c r="O7" i="63" s="1"/>
  <c r="P7" i="63" s="1"/>
  <c r="F98" i="5"/>
  <c r="F99" i="5"/>
  <c r="F99" i="7"/>
  <c r="F98" i="7"/>
  <c r="F102" i="25"/>
  <c r="Q39" i="63" s="1"/>
  <c r="R39" i="63" s="1"/>
  <c r="F101" i="25"/>
  <c r="F103" i="47"/>
  <c r="F102" i="47"/>
  <c r="F101" i="38"/>
  <c r="F100" i="38"/>
  <c r="F105" i="57"/>
  <c r="F98" i="57"/>
  <c r="I7" i="63" s="1"/>
  <c r="J7" i="63" s="1"/>
  <c r="F100" i="5"/>
  <c r="F101" i="7"/>
  <c r="F100" i="7"/>
  <c r="F104" i="25"/>
  <c r="F103" i="25"/>
  <c r="S39" i="63" s="1"/>
  <c r="T39" i="63" s="1"/>
  <c r="F104" i="47"/>
  <c r="F103" i="38"/>
  <c r="F102" i="38"/>
  <c r="E10" i="5"/>
  <c r="E20" i="7"/>
  <c r="E18" i="47"/>
  <c r="E29" i="5"/>
  <c r="F29" i="5" s="1"/>
  <c r="Z56" i="62" s="1"/>
  <c r="E21" i="5"/>
  <c r="F21" i="5" s="1"/>
  <c r="R56" i="62" s="1"/>
  <c r="E13" i="5"/>
  <c r="F13" i="5" s="1"/>
  <c r="J56" i="62" s="1"/>
  <c r="E5" i="5"/>
  <c r="E24" i="5"/>
  <c r="E16" i="5"/>
  <c r="E8" i="5"/>
  <c r="E27" i="7"/>
  <c r="F27" i="7" s="1"/>
  <c r="X54" i="62" s="1"/>
  <c r="E19" i="7"/>
  <c r="F19" i="7" s="1"/>
  <c r="P54" i="62" s="1"/>
  <c r="E11" i="7"/>
  <c r="F11" i="7" s="1"/>
  <c r="H54" i="62" s="1"/>
  <c r="E30" i="7"/>
  <c r="E22" i="7"/>
  <c r="E14" i="7"/>
  <c r="E6" i="7"/>
  <c r="E30" i="25"/>
  <c r="E22" i="25"/>
  <c r="E14" i="25"/>
  <c r="E6" i="25"/>
  <c r="E25" i="25"/>
  <c r="E17" i="25"/>
  <c r="E9" i="25"/>
  <c r="E19" i="47"/>
  <c r="F19" i="47" s="1"/>
  <c r="P14" i="62" s="1"/>
  <c r="E32" i="5"/>
  <c r="F32" i="5" s="1"/>
  <c r="AC56" i="62" s="1"/>
  <c r="E15" i="5"/>
  <c r="F15" i="5" s="1"/>
  <c r="L56" i="62" s="1"/>
  <c r="E26" i="5"/>
  <c r="E21" i="7"/>
  <c r="F21" i="7" s="1"/>
  <c r="R54" i="62" s="1"/>
  <c r="E5" i="7"/>
  <c r="E28" i="25"/>
  <c r="E12" i="25"/>
  <c r="E23" i="25"/>
  <c r="E17" i="47"/>
  <c r="F17" i="47" s="1"/>
  <c r="N14" i="62" s="1"/>
  <c r="E32" i="47"/>
  <c r="E16" i="47"/>
  <c r="E21" i="38"/>
  <c r="E5" i="38"/>
  <c r="E11" i="25"/>
  <c r="E19" i="25"/>
  <c r="E27" i="25"/>
  <c r="E8" i="25"/>
  <c r="E16" i="25"/>
  <c r="E24" i="25"/>
  <c r="E32" i="25"/>
  <c r="E6" i="38"/>
  <c r="E14" i="38"/>
  <c r="E22" i="38"/>
  <c r="E30" i="38"/>
  <c r="E11" i="38"/>
  <c r="F11" i="38" s="1"/>
  <c r="H23" i="62" s="1"/>
  <c r="E19" i="38"/>
  <c r="E27" i="38"/>
  <c r="E8" i="38"/>
  <c r="E16" i="38"/>
  <c r="E24" i="38"/>
  <c r="E32" i="38"/>
  <c r="E9" i="38"/>
  <c r="F9" i="38" s="1"/>
  <c r="F23" i="62" s="1"/>
  <c r="E17" i="38"/>
  <c r="F17" i="38" s="1"/>
  <c r="N23" i="62" s="1"/>
  <c r="E25" i="38"/>
  <c r="E10" i="38"/>
  <c r="E18" i="38"/>
  <c r="F18" i="38" s="1"/>
  <c r="O23" i="62" s="1"/>
  <c r="E26" i="38"/>
  <c r="E7" i="38"/>
  <c r="F7" i="38" s="1"/>
  <c r="D23" i="62" s="1"/>
  <c r="E15" i="38"/>
  <c r="F15" i="38" s="1"/>
  <c r="L23" i="62" s="1"/>
  <c r="E23" i="38"/>
  <c r="E31" i="38"/>
  <c r="E6" i="5"/>
  <c r="E14" i="5"/>
  <c r="E22" i="5"/>
  <c r="E30" i="5"/>
  <c r="E11" i="5"/>
  <c r="F11" i="5" s="1"/>
  <c r="H56" i="62" s="1"/>
  <c r="E19" i="5"/>
  <c r="F19" i="5" s="1"/>
  <c r="P56" i="62" s="1"/>
  <c r="E27" i="5"/>
  <c r="F27" i="5" s="1"/>
  <c r="X56" i="62" s="1"/>
  <c r="E8" i="7"/>
  <c r="E16" i="7"/>
  <c r="E24" i="7"/>
  <c r="E32" i="7"/>
  <c r="F32" i="7" s="1"/>
  <c r="AC54" i="62" s="1"/>
  <c r="E9" i="7"/>
  <c r="F9" i="7" s="1"/>
  <c r="F54" i="62" s="1"/>
  <c r="E17" i="7"/>
  <c r="F17" i="7" s="1"/>
  <c r="N54" i="62" s="1"/>
  <c r="E25" i="7"/>
  <c r="F25" i="7" s="1"/>
  <c r="V54" i="62" s="1"/>
  <c r="E6" i="47"/>
  <c r="E14" i="47"/>
  <c r="E22" i="47"/>
  <c r="E30" i="47"/>
  <c r="E12" i="47"/>
  <c r="E20" i="47"/>
  <c r="E28" i="47"/>
  <c r="E5" i="47"/>
  <c r="E13" i="47"/>
  <c r="F13" i="47" s="1"/>
  <c r="J14" i="62" s="1"/>
  <c r="E21" i="47"/>
  <c r="F21" i="47" s="1"/>
  <c r="R14" i="62" s="1"/>
  <c r="E29" i="47"/>
  <c r="F29" i="47" s="1"/>
  <c r="Z14" i="62" s="1"/>
  <c r="E7" i="47"/>
  <c r="E15" i="47"/>
  <c r="F15" i="47" s="1"/>
  <c r="L14" i="62" s="1"/>
  <c r="E23" i="47"/>
  <c r="F23" i="47" s="1"/>
  <c r="T14" i="62" s="1"/>
  <c r="E31" i="47"/>
  <c r="E31" i="5"/>
  <c r="E25" i="5"/>
  <c r="F25" i="5" s="1"/>
  <c r="V56" i="62" s="1"/>
  <c r="E17" i="5"/>
  <c r="F17" i="5" s="1"/>
  <c r="N56" i="62" s="1"/>
  <c r="E9" i="5"/>
  <c r="F9" i="5" s="1"/>
  <c r="F56" i="62" s="1"/>
  <c r="E28" i="5"/>
  <c r="E20" i="5"/>
  <c r="E12" i="5"/>
  <c r="E31" i="7"/>
  <c r="E23" i="7"/>
  <c r="F23" i="7" s="1"/>
  <c r="T54" i="62" s="1"/>
  <c r="E15" i="7"/>
  <c r="F15" i="7" s="1"/>
  <c r="L54" i="62" s="1"/>
  <c r="E7" i="7"/>
  <c r="F7" i="7" s="1"/>
  <c r="D54" i="62" s="1"/>
  <c r="E26" i="7"/>
  <c r="E18" i="7"/>
  <c r="E10" i="7"/>
  <c r="E26" i="25"/>
  <c r="E18" i="25"/>
  <c r="E10" i="25"/>
  <c r="E29" i="25"/>
  <c r="E21" i="25"/>
  <c r="E13" i="25"/>
  <c r="E5" i="25"/>
  <c r="E27" i="47"/>
  <c r="F27" i="47" s="1"/>
  <c r="X14" i="62" s="1"/>
  <c r="E11" i="47"/>
  <c r="F11" i="47" s="1"/>
  <c r="H14" i="62" s="1"/>
  <c r="E23" i="5"/>
  <c r="F23" i="5" s="1"/>
  <c r="T56" i="62" s="1"/>
  <c r="E7" i="5"/>
  <c r="F7" i="5" s="1"/>
  <c r="D56" i="62" s="1"/>
  <c r="E18" i="5"/>
  <c r="E29" i="7"/>
  <c r="F29" i="7" s="1"/>
  <c r="Z54" i="62" s="1"/>
  <c r="E13" i="7"/>
  <c r="F13" i="7" s="1"/>
  <c r="J54" i="62" s="1"/>
  <c r="E28" i="7"/>
  <c r="E12" i="7"/>
  <c r="E20" i="25"/>
  <c r="E31" i="25"/>
  <c r="E15" i="25"/>
  <c r="E25" i="47"/>
  <c r="F25" i="47" s="1"/>
  <c r="V14" i="62" s="1"/>
  <c r="E9" i="47"/>
  <c r="E24" i="47"/>
  <c r="E8" i="47"/>
  <c r="F8" i="47" s="1"/>
  <c r="E14" i="62" s="1"/>
  <c r="E26" i="47"/>
  <c r="E10" i="47"/>
  <c r="F10" i="47" s="1"/>
  <c r="G14" i="62" s="1"/>
  <c r="E29" i="38"/>
  <c r="E13" i="38"/>
  <c r="F13" i="38" s="1"/>
  <c r="J23" i="62" s="1"/>
  <c r="E28" i="38"/>
  <c r="E12" i="38"/>
  <c r="F22" i="38"/>
  <c r="S23" i="62" s="1"/>
  <c r="F9" i="47"/>
  <c r="F14" i="62" s="1"/>
  <c r="E118" i="54"/>
  <c r="D33" i="4"/>
  <c r="B60" i="63" s="1"/>
  <c r="N60" i="63" s="1"/>
  <c r="D33" i="6"/>
  <c r="B58" i="63" s="1"/>
  <c r="N58" i="63" s="1"/>
  <c r="D33" i="8"/>
  <c r="B56" i="63" s="1"/>
  <c r="N56" i="63" s="1"/>
  <c r="D95" i="26"/>
  <c r="F105" i="26" s="1"/>
  <c r="D95" i="28"/>
  <c r="D95" i="30"/>
  <c r="F105" i="30" s="1"/>
  <c r="D33" i="33"/>
  <c r="B31" i="63" s="1"/>
  <c r="N31" i="63" s="1"/>
  <c r="D33" i="35"/>
  <c r="B29" i="63" s="1"/>
  <c r="N29" i="63" s="1"/>
  <c r="D33" i="37"/>
  <c r="B27" i="63" s="1"/>
  <c r="N27" i="63" s="1"/>
  <c r="D95" i="39"/>
  <c r="D95" i="41"/>
  <c r="D95" i="43"/>
  <c r="E118" i="55"/>
  <c r="D95" i="1"/>
  <c r="F105" i="1" s="1"/>
  <c r="D95" i="3"/>
  <c r="D33" i="45"/>
  <c r="B19" i="63" s="1"/>
  <c r="N19" i="63" s="1"/>
  <c r="F64" i="48"/>
  <c r="D95" i="22"/>
  <c r="D95" i="24"/>
  <c r="D33" i="31"/>
  <c r="B33" i="63" s="1"/>
  <c r="N33" i="63" s="1"/>
  <c r="F7" i="47"/>
  <c r="D14" i="62" s="1"/>
  <c r="D33" i="52"/>
  <c r="B12" i="63" s="1"/>
  <c r="N12" i="63" s="1"/>
  <c r="D33" i="50"/>
  <c r="B14" i="63" s="1"/>
  <c r="N14" i="63" s="1"/>
  <c r="C118" i="49"/>
  <c r="F118" i="49"/>
  <c r="F5" i="5"/>
  <c r="B56" i="62" s="1"/>
  <c r="D95" i="21"/>
  <c r="F105" i="21" s="1"/>
  <c r="F95" i="22"/>
  <c r="D95" i="23"/>
  <c r="F95" i="24"/>
  <c r="D33" i="36"/>
  <c r="B28" i="63" s="1"/>
  <c r="N28" i="63" s="1"/>
  <c r="D95" i="36"/>
  <c r="F67" i="36"/>
  <c r="F19" i="38"/>
  <c r="P23" i="62" s="1"/>
  <c r="F23" i="38"/>
  <c r="T23" i="62" s="1"/>
  <c r="F8" i="38"/>
  <c r="E23" i="62" s="1"/>
  <c r="F12" i="38"/>
  <c r="I23" i="62" s="1"/>
  <c r="F25" i="38"/>
  <c r="V23" i="62" s="1"/>
  <c r="F27" i="38"/>
  <c r="X23" i="62" s="1"/>
  <c r="F29" i="38"/>
  <c r="Z23" i="62" s="1"/>
  <c r="F31" i="38"/>
  <c r="AB23" i="62" s="1"/>
  <c r="D33" i="46"/>
  <c r="B18" i="63" s="1"/>
  <c r="N18" i="63" s="1"/>
  <c r="D95" i="46"/>
  <c r="F67" i="46"/>
  <c r="D33" i="51"/>
  <c r="B13" i="63" s="1"/>
  <c r="N13" i="63" s="1"/>
  <c r="D95" i="51"/>
  <c r="F67" i="51"/>
  <c r="D95" i="52"/>
  <c r="F64" i="52"/>
  <c r="D33" i="55"/>
  <c r="B9" i="63" s="1"/>
  <c r="N9" i="63" s="1"/>
  <c r="D95" i="55"/>
  <c r="D95" i="56"/>
  <c r="F105" i="56" s="1"/>
  <c r="D33" i="1"/>
  <c r="B63" i="63" s="1"/>
  <c r="D95" i="59"/>
  <c r="D33" i="3"/>
  <c r="B61" i="63" s="1"/>
  <c r="D95" i="4"/>
  <c r="F105" i="4" s="1"/>
  <c r="D33" i="5"/>
  <c r="B59" i="63" s="1"/>
  <c r="D95" i="6"/>
  <c r="D33" i="7"/>
  <c r="B57" i="63" s="1"/>
  <c r="D95" i="8"/>
  <c r="F105" i="8" s="1"/>
  <c r="D95" i="9"/>
  <c r="D95" i="10"/>
  <c r="D33" i="11"/>
  <c r="B53" i="63" s="1"/>
  <c r="D95" i="12"/>
  <c r="F105" i="12" s="1"/>
  <c r="D33" i="13"/>
  <c r="B51" i="63" s="1"/>
  <c r="D95" i="14"/>
  <c r="D33" i="15"/>
  <c r="B49" i="63" s="1"/>
  <c r="D95" i="16"/>
  <c r="F105" i="16" s="1"/>
  <c r="D33" i="17"/>
  <c r="B47" i="63" s="1"/>
  <c r="D95" i="18"/>
  <c r="D33" i="19"/>
  <c r="B45" i="63" s="1"/>
  <c r="D33" i="20"/>
  <c r="B44" i="63" s="1"/>
  <c r="F64" i="56"/>
  <c r="F67" i="1"/>
  <c r="F95" i="3"/>
  <c r="F64" i="4"/>
  <c r="F67" i="5"/>
  <c r="F6" i="7"/>
  <c r="C54" i="62" s="1"/>
  <c r="F8" i="7"/>
  <c r="E54" i="62" s="1"/>
  <c r="F10" i="7"/>
  <c r="G54" i="62" s="1"/>
  <c r="F12" i="7"/>
  <c r="I54" i="62" s="1"/>
  <c r="F14" i="7"/>
  <c r="K54" i="62" s="1"/>
  <c r="F16" i="7"/>
  <c r="M54" i="62" s="1"/>
  <c r="F18" i="7"/>
  <c r="O54" i="62" s="1"/>
  <c r="F20" i="7"/>
  <c r="Q54" i="62" s="1"/>
  <c r="F22" i="7"/>
  <c r="S54" i="62" s="1"/>
  <c r="F24" i="7"/>
  <c r="U54" i="62" s="1"/>
  <c r="F26" i="7"/>
  <c r="W54" i="62" s="1"/>
  <c r="F28" i="7"/>
  <c r="Y54" i="62" s="1"/>
  <c r="F30" i="7"/>
  <c r="AA54" i="62" s="1"/>
  <c r="F95" i="7"/>
  <c r="F64" i="8"/>
  <c r="F64" i="22"/>
  <c r="F64" i="23"/>
  <c r="F64" i="25"/>
  <c r="D33" i="26"/>
  <c r="B38" i="63" s="1"/>
  <c r="D95" i="27"/>
  <c r="D33" i="28"/>
  <c r="B36" i="63" s="1"/>
  <c r="D95" i="29"/>
  <c r="D33" i="30"/>
  <c r="B34" i="63" s="1"/>
  <c r="D95" i="31"/>
  <c r="F67" i="26"/>
  <c r="F95" i="28"/>
  <c r="F64" i="29"/>
  <c r="F67" i="30"/>
  <c r="F20" i="38"/>
  <c r="Q23" i="62" s="1"/>
  <c r="F16" i="38"/>
  <c r="M23" i="62" s="1"/>
  <c r="D33" i="38"/>
  <c r="B26" i="63" s="1"/>
  <c r="U26" i="63" s="1"/>
  <c r="V26" i="63" s="1"/>
  <c r="F24" i="38"/>
  <c r="U23" i="62" s="1"/>
  <c r="F26" i="38"/>
  <c r="W23" i="62" s="1"/>
  <c r="F28" i="38"/>
  <c r="Y23" i="62" s="1"/>
  <c r="F30" i="38"/>
  <c r="AA23" i="62" s="1"/>
  <c r="F32" i="38"/>
  <c r="AC23" i="62" s="1"/>
  <c r="F67" i="38"/>
  <c r="D33" i="39"/>
  <c r="B25" i="63" s="1"/>
  <c r="D95" i="40"/>
  <c r="D33" i="41"/>
  <c r="B23" i="63" s="1"/>
  <c r="D95" i="42"/>
  <c r="F105" i="42" s="1"/>
  <c r="D33" i="43"/>
  <c r="B21" i="63" s="1"/>
  <c r="D33" i="44"/>
  <c r="B20" i="63" s="1"/>
  <c r="N20" i="63" s="1"/>
  <c r="D95" i="44"/>
  <c r="F95" i="39"/>
  <c r="F64" i="40"/>
  <c r="F67" i="41"/>
  <c r="F95" i="43"/>
  <c r="F64" i="44"/>
  <c r="D33" i="47"/>
  <c r="B17" i="63" s="1"/>
  <c r="F12" i="47"/>
  <c r="I14" i="62" s="1"/>
  <c r="F14" i="47"/>
  <c r="K14" i="62" s="1"/>
  <c r="F16" i="47"/>
  <c r="M14" i="62" s="1"/>
  <c r="F18" i="47"/>
  <c r="O14" i="62" s="1"/>
  <c r="F20" i="47"/>
  <c r="Q14" i="62" s="1"/>
  <c r="F22" i="47"/>
  <c r="S14" i="62" s="1"/>
  <c r="F24" i="47"/>
  <c r="U14" i="62" s="1"/>
  <c r="F26" i="47"/>
  <c r="W14" i="62" s="1"/>
  <c r="F28" i="47"/>
  <c r="Y14" i="62" s="1"/>
  <c r="F30" i="47"/>
  <c r="AA14" i="62" s="1"/>
  <c r="F32" i="47"/>
  <c r="AC14" i="62" s="1"/>
  <c r="F67" i="47"/>
  <c r="D33" i="48"/>
  <c r="B16" i="63" s="1"/>
  <c r="N16" i="63" s="1"/>
  <c r="D95" i="48"/>
  <c r="F116" i="60"/>
  <c r="F67" i="52"/>
  <c r="D33" i="54"/>
  <c r="B10" i="63" s="1"/>
  <c r="D95" i="54"/>
  <c r="F95" i="55"/>
  <c r="F64" i="55"/>
  <c r="E116" i="60"/>
  <c r="E118" i="60" s="1"/>
  <c r="E118" i="6"/>
  <c r="E118" i="31"/>
  <c r="E118" i="42"/>
  <c r="E118" i="4"/>
  <c r="F95" i="56"/>
  <c r="F95" i="4"/>
  <c r="F5" i="7"/>
  <c r="B54" i="62" s="1"/>
  <c r="E33" i="7"/>
  <c r="F95" i="8"/>
  <c r="F95" i="21"/>
  <c r="F95" i="23"/>
  <c r="F95" i="25"/>
  <c r="F32" i="25"/>
  <c r="AC36" i="62" s="1"/>
  <c r="F30" i="25"/>
  <c r="AA36" i="62" s="1"/>
  <c r="F28" i="25"/>
  <c r="Y36" i="62" s="1"/>
  <c r="F26" i="25"/>
  <c r="W36" i="62" s="1"/>
  <c r="F24" i="25"/>
  <c r="U36" i="62" s="1"/>
  <c r="F22" i="25"/>
  <c r="S36" i="62" s="1"/>
  <c r="F20" i="25"/>
  <c r="Q36" i="62" s="1"/>
  <c r="F18" i="25"/>
  <c r="O36" i="62" s="1"/>
  <c r="F16" i="25"/>
  <c r="M36" i="62" s="1"/>
  <c r="F14" i="25"/>
  <c r="K36" i="62" s="1"/>
  <c r="F12" i="25"/>
  <c r="I36" i="62" s="1"/>
  <c r="F10" i="25"/>
  <c r="G36" i="62" s="1"/>
  <c r="F8" i="25"/>
  <c r="E36" i="62" s="1"/>
  <c r="F6" i="25"/>
  <c r="C36" i="62" s="1"/>
  <c r="F95" i="29"/>
  <c r="F95" i="36"/>
  <c r="D95" i="32"/>
  <c r="F67" i="32"/>
  <c r="D95" i="34"/>
  <c r="F67" i="34"/>
  <c r="F95" i="42"/>
  <c r="F95" i="46"/>
  <c r="F5" i="47"/>
  <c r="B14" i="62" s="1"/>
  <c r="D95" i="49"/>
  <c r="F67" i="49"/>
  <c r="F95" i="9"/>
  <c r="D33" i="9"/>
  <c r="B55" i="63" s="1"/>
  <c r="D33" i="10"/>
  <c r="B54" i="63" s="1"/>
  <c r="D95" i="11"/>
  <c r="D33" i="12"/>
  <c r="B52" i="63" s="1"/>
  <c r="D95" i="13"/>
  <c r="D33" i="14"/>
  <c r="B50" i="63" s="1"/>
  <c r="D95" i="15"/>
  <c r="D33" i="16"/>
  <c r="B48" i="63" s="1"/>
  <c r="D95" i="17"/>
  <c r="D33" i="18"/>
  <c r="B46" i="63" s="1"/>
  <c r="D95" i="19"/>
  <c r="D95" i="20"/>
  <c r="F95" i="1"/>
  <c r="F64" i="59"/>
  <c r="F67" i="3"/>
  <c r="F6" i="5"/>
  <c r="C56" i="62" s="1"/>
  <c r="F8" i="5"/>
  <c r="E56" i="62" s="1"/>
  <c r="F10" i="5"/>
  <c r="G56" i="62" s="1"/>
  <c r="F12" i="5"/>
  <c r="I56" i="62" s="1"/>
  <c r="F14" i="5"/>
  <c r="K56" i="62" s="1"/>
  <c r="F16" i="5"/>
  <c r="M56" i="62" s="1"/>
  <c r="F18" i="5"/>
  <c r="O56" i="62" s="1"/>
  <c r="F20" i="5"/>
  <c r="Q56" i="62" s="1"/>
  <c r="F22" i="5"/>
  <c r="S56" i="62" s="1"/>
  <c r="F24" i="5"/>
  <c r="U56" i="62" s="1"/>
  <c r="F26" i="5"/>
  <c r="W56" i="62" s="1"/>
  <c r="F28" i="5"/>
  <c r="Y56" i="62" s="1"/>
  <c r="F30" i="5"/>
  <c r="AA56" i="62" s="1"/>
  <c r="F95" i="5"/>
  <c r="F64" i="6"/>
  <c r="F67" i="7"/>
  <c r="F64" i="21"/>
  <c r="F64" i="24"/>
  <c r="F31" i="25"/>
  <c r="AB36" i="62" s="1"/>
  <c r="F29" i="25"/>
  <c r="Z36" i="62" s="1"/>
  <c r="F27" i="25"/>
  <c r="X36" i="62" s="1"/>
  <c r="F25" i="25"/>
  <c r="V36" i="62" s="1"/>
  <c r="F23" i="25"/>
  <c r="T36" i="62" s="1"/>
  <c r="F21" i="25"/>
  <c r="R36" i="62" s="1"/>
  <c r="F19" i="25"/>
  <c r="P36" i="62" s="1"/>
  <c r="F17" i="25"/>
  <c r="N36" i="62" s="1"/>
  <c r="F15" i="25"/>
  <c r="L36" i="62" s="1"/>
  <c r="F13" i="25"/>
  <c r="J36" i="62" s="1"/>
  <c r="F11" i="25"/>
  <c r="H36" i="62" s="1"/>
  <c r="F9" i="25"/>
  <c r="F36" i="62" s="1"/>
  <c r="F7" i="25"/>
  <c r="D36" i="62" s="1"/>
  <c r="F95" i="26"/>
  <c r="F64" i="27"/>
  <c r="F67" i="28"/>
  <c r="F95" i="30"/>
  <c r="F64" i="31"/>
  <c r="D95" i="33"/>
  <c r="F67" i="33"/>
  <c r="D95" i="35"/>
  <c r="F67" i="35"/>
  <c r="D95" i="37"/>
  <c r="F67" i="37"/>
  <c r="F6" i="38"/>
  <c r="C23" i="62" s="1"/>
  <c r="F10" i="38"/>
  <c r="G23" i="62" s="1"/>
  <c r="F14" i="38"/>
  <c r="K23" i="62" s="1"/>
  <c r="F95" i="38"/>
  <c r="F67" i="39"/>
  <c r="F95" i="41"/>
  <c r="F64" i="42"/>
  <c r="F67" i="43"/>
  <c r="F67" i="44"/>
  <c r="D95" i="45"/>
  <c r="F67" i="45"/>
  <c r="F6" i="47"/>
  <c r="C14" i="62" s="1"/>
  <c r="F95" i="47"/>
  <c r="D95" i="50"/>
  <c r="F67" i="50"/>
  <c r="D33" i="53"/>
  <c r="B11" i="63" s="1"/>
  <c r="N11" i="63" s="1"/>
  <c r="D95" i="53"/>
  <c r="F95" i="52"/>
  <c r="F64" i="53"/>
  <c r="F67" i="55"/>
  <c r="E118" i="59"/>
  <c r="E118" i="27"/>
  <c r="E118" i="56"/>
  <c r="E118" i="8"/>
  <c r="E118" i="29"/>
  <c r="F21" i="38"/>
  <c r="R23" i="62" s="1"/>
  <c r="E118" i="40"/>
  <c r="D105" i="57"/>
  <c r="F95" i="57"/>
  <c r="F67" i="60"/>
  <c r="D95" i="60"/>
  <c r="F105" i="60" s="1"/>
  <c r="D118" i="60"/>
  <c r="F118" i="57"/>
  <c r="D33" i="60"/>
  <c r="B64" i="63" s="1"/>
  <c r="F64" i="63" s="1"/>
  <c r="F39" i="63" l="1"/>
  <c r="F22" i="63"/>
  <c r="F43" i="63"/>
  <c r="F40" i="63"/>
  <c r="N45" i="63"/>
  <c r="N49" i="63"/>
  <c r="N34" i="63"/>
  <c r="N38" i="63"/>
  <c r="N46" i="63"/>
  <c r="N50" i="63"/>
  <c r="N21" i="63"/>
  <c r="N53" i="63"/>
  <c r="N57" i="63"/>
  <c r="N10" i="63"/>
  <c r="N54" i="63"/>
  <c r="N64" i="63"/>
  <c r="N52" i="63"/>
  <c r="N59" i="63"/>
  <c r="N25" i="63"/>
  <c r="N47" i="63"/>
  <c r="N51" i="63"/>
  <c r="N63" i="63"/>
  <c r="N26" i="63"/>
  <c r="N36" i="63"/>
  <c r="N44" i="63"/>
  <c r="N48" i="63"/>
  <c r="N17" i="63"/>
  <c r="N23" i="63"/>
  <c r="N55" i="63"/>
  <c r="N61" i="63"/>
  <c r="F26" i="63"/>
  <c r="F34" i="63"/>
  <c r="F38" i="63"/>
  <c r="F46" i="63"/>
  <c r="F50" i="63"/>
  <c r="F60" i="63"/>
  <c r="F9" i="63"/>
  <c r="F13" i="63"/>
  <c r="F17" i="63"/>
  <c r="F21" i="63"/>
  <c r="F53" i="63"/>
  <c r="F57" i="63"/>
  <c r="F10" i="63"/>
  <c r="F14" i="63"/>
  <c r="F18" i="63"/>
  <c r="F54" i="63"/>
  <c r="F59" i="63"/>
  <c r="F58" i="63"/>
  <c r="F27" i="63"/>
  <c r="F31" i="63"/>
  <c r="F35" i="63"/>
  <c r="F47" i="63"/>
  <c r="F51" i="63"/>
  <c r="F63" i="63"/>
  <c r="F28" i="63"/>
  <c r="F36" i="63"/>
  <c r="F44" i="63"/>
  <c r="F48" i="63"/>
  <c r="F11" i="63"/>
  <c r="F19" i="63"/>
  <c r="F23" i="63"/>
  <c r="F55" i="63"/>
  <c r="F12" i="63"/>
  <c r="F16" i="63"/>
  <c r="F20" i="63"/>
  <c r="F52" i="63"/>
  <c r="F24" i="63"/>
  <c r="F56" i="63"/>
  <c r="F25" i="63"/>
  <c r="F29" i="63"/>
  <c r="F33" i="63"/>
  <c r="F37" i="63"/>
  <c r="F41" i="63"/>
  <c r="F45" i="63"/>
  <c r="F49" i="63"/>
  <c r="F61" i="63"/>
  <c r="U39" i="63"/>
  <c r="V39" i="63" s="1"/>
  <c r="O39" i="63"/>
  <c r="P39" i="63" s="1"/>
  <c r="G39" i="63"/>
  <c r="H39" i="63" s="1"/>
  <c r="F33" i="7"/>
  <c r="AD54" i="62" s="1"/>
  <c r="D54" i="65"/>
  <c r="E54" i="65" s="1"/>
  <c r="S26" i="63"/>
  <c r="T26" i="63" s="1"/>
  <c r="G57" i="63"/>
  <c r="H57" i="63" s="1"/>
  <c r="G59" i="63"/>
  <c r="H59" i="63" s="1"/>
  <c r="O26" i="63"/>
  <c r="P26" i="63" s="1"/>
  <c r="S17" i="63"/>
  <c r="T17" i="63" s="1"/>
  <c r="K57" i="63"/>
  <c r="L57" i="63" s="1"/>
  <c r="I59" i="63"/>
  <c r="J59" i="63" s="1"/>
  <c r="K26" i="63"/>
  <c r="L26" i="63" s="1"/>
  <c r="O17" i="63"/>
  <c r="P17" i="63" s="1"/>
  <c r="O59" i="63"/>
  <c r="P59" i="63" s="1"/>
  <c r="K17" i="63"/>
  <c r="L17" i="63" s="1"/>
  <c r="Q57" i="63"/>
  <c r="R57" i="63" s="1"/>
  <c r="S59" i="63"/>
  <c r="T59" i="63" s="1"/>
  <c r="Q26" i="63"/>
  <c r="R26" i="63" s="1"/>
  <c r="U17" i="63"/>
  <c r="V17" i="63" s="1"/>
  <c r="O57" i="63"/>
  <c r="P57" i="63" s="1"/>
  <c r="G26" i="63"/>
  <c r="H26" i="63" s="1"/>
  <c r="Q17" i="63"/>
  <c r="R17" i="63" s="1"/>
  <c r="I57" i="63"/>
  <c r="J57" i="63" s="1"/>
  <c r="K59" i="63"/>
  <c r="L59" i="63" s="1"/>
  <c r="I26" i="63"/>
  <c r="J26" i="63" s="1"/>
  <c r="G17" i="63"/>
  <c r="H17" i="63" s="1"/>
  <c r="U57" i="63"/>
  <c r="V57" i="63" s="1"/>
  <c r="U59" i="63"/>
  <c r="V59" i="63" s="1"/>
  <c r="I17" i="63"/>
  <c r="J17" i="63" s="1"/>
  <c r="S57" i="63"/>
  <c r="T57" i="63" s="1"/>
  <c r="Q59" i="63"/>
  <c r="R59" i="63" s="1"/>
  <c r="F99" i="37"/>
  <c r="K27" i="63" s="1"/>
  <c r="L27" i="63" s="1"/>
  <c r="F100" i="37"/>
  <c r="G27" i="63" s="1"/>
  <c r="H27" i="63" s="1"/>
  <c r="F98" i="37"/>
  <c r="I27" i="63" s="1"/>
  <c r="J27" i="63" s="1"/>
  <c r="F105" i="37"/>
  <c r="F103" i="37"/>
  <c r="S27" i="63" s="1"/>
  <c r="T27" i="63" s="1"/>
  <c r="F104" i="37"/>
  <c r="U27" i="63" s="1"/>
  <c r="V27" i="63" s="1"/>
  <c r="F101" i="37"/>
  <c r="O27" i="63" s="1"/>
  <c r="P27" i="63" s="1"/>
  <c r="F102" i="37"/>
  <c r="Q27" i="63" s="1"/>
  <c r="R27" i="63" s="1"/>
  <c r="F101" i="35"/>
  <c r="O29" i="63" s="1"/>
  <c r="P29" i="63" s="1"/>
  <c r="F102" i="35"/>
  <c r="Q29" i="63" s="1"/>
  <c r="R29" i="63" s="1"/>
  <c r="F99" i="35"/>
  <c r="K29" i="63" s="1"/>
  <c r="L29" i="63" s="1"/>
  <c r="F100" i="35"/>
  <c r="G29" i="63" s="1"/>
  <c r="H29" i="63" s="1"/>
  <c r="F105" i="35"/>
  <c r="F98" i="35"/>
  <c r="I29" i="63" s="1"/>
  <c r="J29" i="63" s="1"/>
  <c r="F103" i="35"/>
  <c r="S29" i="63" s="1"/>
  <c r="T29" i="63" s="1"/>
  <c r="F104" i="35"/>
  <c r="U29" i="63" s="1"/>
  <c r="V29" i="63" s="1"/>
  <c r="F103" i="33"/>
  <c r="S31" i="63" s="1"/>
  <c r="T31" i="63" s="1"/>
  <c r="F104" i="33"/>
  <c r="U31" i="63" s="1"/>
  <c r="V31" i="63" s="1"/>
  <c r="F105" i="33"/>
  <c r="F101" i="33"/>
  <c r="O31" i="63" s="1"/>
  <c r="P31" i="63" s="1"/>
  <c r="F102" i="33"/>
  <c r="Q31" i="63" s="1"/>
  <c r="R31" i="63" s="1"/>
  <c r="F99" i="33"/>
  <c r="K31" i="63" s="1"/>
  <c r="L31" i="63" s="1"/>
  <c r="F100" i="33"/>
  <c r="G31" i="63" s="1"/>
  <c r="H31" i="63" s="1"/>
  <c r="F98" i="33"/>
  <c r="I31" i="63" s="1"/>
  <c r="J31" i="63" s="1"/>
  <c r="F95" i="20"/>
  <c r="F104" i="20"/>
  <c r="U44" i="63" s="1"/>
  <c r="V44" i="63" s="1"/>
  <c r="F102" i="20"/>
  <c r="Q44" i="63" s="1"/>
  <c r="R44" i="63" s="1"/>
  <c r="F103" i="20"/>
  <c r="S44" i="63" s="1"/>
  <c r="T44" i="63" s="1"/>
  <c r="F100" i="20"/>
  <c r="G44" i="63" s="1"/>
  <c r="H44" i="63" s="1"/>
  <c r="F101" i="20"/>
  <c r="O44" i="63" s="1"/>
  <c r="P44" i="63" s="1"/>
  <c r="F98" i="20"/>
  <c r="I44" i="63" s="1"/>
  <c r="J44" i="63" s="1"/>
  <c r="F99" i="20"/>
  <c r="K44" i="63" s="1"/>
  <c r="L44" i="63" s="1"/>
  <c r="F95" i="17"/>
  <c r="F99" i="17"/>
  <c r="K47" i="63" s="1"/>
  <c r="L47" i="63" s="1"/>
  <c r="F100" i="17"/>
  <c r="G47" i="63" s="1"/>
  <c r="H47" i="63" s="1"/>
  <c r="F98" i="17"/>
  <c r="I47" i="63" s="1"/>
  <c r="J47" i="63" s="1"/>
  <c r="F103" i="17"/>
  <c r="S47" i="63" s="1"/>
  <c r="T47" i="63" s="1"/>
  <c r="F104" i="17"/>
  <c r="U47" i="63" s="1"/>
  <c r="V47" i="63" s="1"/>
  <c r="F101" i="17"/>
  <c r="O47" i="63" s="1"/>
  <c r="P47" i="63" s="1"/>
  <c r="F102" i="17"/>
  <c r="Q47" i="63" s="1"/>
  <c r="R47" i="63" s="1"/>
  <c r="F95" i="13"/>
  <c r="F103" i="13"/>
  <c r="S51" i="63" s="1"/>
  <c r="T51" i="63" s="1"/>
  <c r="F104" i="13"/>
  <c r="U51" i="63" s="1"/>
  <c r="V51" i="63" s="1"/>
  <c r="F101" i="13"/>
  <c r="O51" i="63" s="1"/>
  <c r="P51" i="63" s="1"/>
  <c r="F102" i="13"/>
  <c r="Q51" i="63" s="1"/>
  <c r="R51" i="63" s="1"/>
  <c r="F99" i="13"/>
  <c r="K51" i="63" s="1"/>
  <c r="L51" i="63" s="1"/>
  <c r="F100" i="13"/>
  <c r="G51" i="63" s="1"/>
  <c r="H51" i="63" s="1"/>
  <c r="F98" i="13"/>
  <c r="I51" i="63" s="1"/>
  <c r="J51" i="63" s="1"/>
  <c r="F105" i="34"/>
  <c r="F98" i="34"/>
  <c r="I30" i="63" s="1"/>
  <c r="J30" i="63" s="1"/>
  <c r="F99" i="34"/>
  <c r="K30" i="63" s="1"/>
  <c r="L30" i="63" s="1"/>
  <c r="F104" i="34"/>
  <c r="U30" i="63" s="1"/>
  <c r="V30" i="63" s="1"/>
  <c r="F102" i="34"/>
  <c r="Q30" i="63" s="1"/>
  <c r="R30" i="63" s="1"/>
  <c r="F103" i="34"/>
  <c r="S30" i="63" s="1"/>
  <c r="T30" i="63" s="1"/>
  <c r="F100" i="34"/>
  <c r="G30" i="63" s="1"/>
  <c r="H30" i="63" s="1"/>
  <c r="F101" i="34"/>
  <c r="O30" i="63" s="1"/>
  <c r="P30" i="63" s="1"/>
  <c r="F95" i="32"/>
  <c r="F100" i="32"/>
  <c r="G32" i="63" s="1"/>
  <c r="H32" i="63" s="1"/>
  <c r="F101" i="32"/>
  <c r="O32" i="63" s="1"/>
  <c r="P32" i="63" s="1"/>
  <c r="F98" i="32"/>
  <c r="I32" i="63" s="1"/>
  <c r="J32" i="63" s="1"/>
  <c r="F99" i="32"/>
  <c r="K32" i="63" s="1"/>
  <c r="L32" i="63" s="1"/>
  <c r="F105" i="32"/>
  <c r="F104" i="32"/>
  <c r="U32" i="63" s="1"/>
  <c r="V32" i="63" s="1"/>
  <c r="F102" i="32"/>
  <c r="Q32" i="63" s="1"/>
  <c r="R32" i="63" s="1"/>
  <c r="F103" i="32"/>
  <c r="S32" i="63" s="1"/>
  <c r="T32" i="63" s="1"/>
  <c r="F101" i="54"/>
  <c r="O10" i="63" s="1"/>
  <c r="P10" i="63" s="1"/>
  <c r="F104" i="54"/>
  <c r="U10" i="63" s="1"/>
  <c r="V10" i="63" s="1"/>
  <c r="F103" i="54"/>
  <c r="S10" i="63" s="1"/>
  <c r="T10" i="63" s="1"/>
  <c r="F102" i="54"/>
  <c r="Q10" i="63" s="1"/>
  <c r="R10" i="63" s="1"/>
  <c r="F100" i="54"/>
  <c r="G10" i="63" s="1"/>
  <c r="H10" i="63" s="1"/>
  <c r="F99" i="54"/>
  <c r="K10" i="63" s="1"/>
  <c r="L10" i="63" s="1"/>
  <c r="F98" i="54"/>
  <c r="I10" i="63" s="1"/>
  <c r="J10" i="63" s="1"/>
  <c r="F95" i="44"/>
  <c r="F98" i="44"/>
  <c r="I20" i="63" s="1"/>
  <c r="J20" i="63" s="1"/>
  <c r="F103" i="44"/>
  <c r="S20" i="63" s="1"/>
  <c r="T20" i="63" s="1"/>
  <c r="F104" i="44"/>
  <c r="U20" i="63" s="1"/>
  <c r="V20" i="63" s="1"/>
  <c r="F101" i="44"/>
  <c r="O20" i="63" s="1"/>
  <c r="P20" i="63" s="1"/>
  <c r="F102" i="44"/>
  <c r="Q20" i="63" s="1"/>
  <c r="R20" i="63" s="1"/>
  <c r="F99" i="44"/>
  <c r="K20" i="63" s="1"/>
  <c r="L20" i="63" s="1"/>
  <c r="F100" i="44"/>
  <c r="G20" i="63" s="1"/>
  <c r="H20" i="63" s="1"/>
  <c r="F95" i="31"/>
  <c r="F98" i="31"/>
  <c r="I33" i="63" s="1"/>
  <c r="J33" i="63" s="1"/>
  <c r="F103" i="31"/>
  <c r="S33" i="63" s="1"/>
  <c r="T33" i="63" s="1"/>
  <c r="F104" i="31"/>
  <c r="U33" i="63" s="1"/>
  <c r="V33" i="63" s="1"/>
  <c r="F101" i="31"/>
  <c r="O33" i="63" s="1"/>
  <c r="P33" i="63" s="1"/>
  <c r="F102" i="31"/>
  <c r="Q33" i="63" s="1"/>
  <c r="R33" i="63" s="1"/>
  <c r="F99" i="31"/>
  <c r="K33" i="63" s="1"/>
  <c r="L33" i="63" s="1"/>
  <c r="F100" i="31"/>
  <c r="G33" i="63" s="1"/>
  <c r="H33" i="63" s="1"/>
  <c r="F99" i="29"/>
  <c r="K35" i="63" s="1"/>
  <c r="L35" i="63" s="1"/>
  <c r="F100" i="29"/>
  <c r="G35" i="63" s="1"/>
  <c r="H35" i="63" s="1"/>
  <c r="F98" i="29"/>
  <c r="I35" i="63" s="1"/>
  <c r="J35" i="63" s="1"/>
  <c r="F103" i="29"/>
  <c r="S35" i="63" s="1"/>
  <c r="T35" i="63" s="1"/>
  <c r="F104" i="29"/>
  <c r="U35" i="63" s="1"/>
  <c r="V35" i="63" s="1"/>
  <c r="F101" i="29"/>
  <c r="O35" i="63" s="1"/>
  <c r="P35" i="63" s="1"/>
  <c r="F102" i="29"/>
  <c r="Q35" i="63" s="1"/>
  <c r="R35" i="63" s="1"/>
  <c r="F101" i="27"/>
  <c r="O37" i="63" s="1"/>
  <c r="P37" i="63" s="1"/>
  <c r="F102" i="27"/>
  <c r="Q37" i="63" s="1"/>
  <c r="R37" i="63" s="1"/>
  <c r="F99" i="27"/>
  <c r="K37" i="63" s="1"/>
  <c r="L37" i="63" s="1"/>
  <c r="F100" i="27"/>
  <c r="G37" i="63" s="1"/>
  <c r="H37" i="63" s="1"/>
  <c r="F98" i="27"/>
  <c r="I37" i="63" s="1"/>
  <c r="J37" i="63" s="1"/>
  <c r="F103" i="27"/>
  <c r="S37" i="63" s="1"/>
  <c r="T37" i="63" s="1"/>
  <c r="F104" i="27"/>
  <c r="U37" i="63" s="1"/>
  <c r="V37" i="63" s="1"/>
  <c r="F98" i="18"/>
  <c r="I46" i="63" s="1"/>
  <c r="J46" i="63" s="1"/>
  <c r="F99" i="18"/>
  <c r="K46" i="63" s="1"/>
  <c r="L46" i="63" s="1"/>
  <c r="F104" i="18"/>
  <c r="U46" i="63" s="1"/>
  <c r="V46" i="63" s="1"/>
  <c r="F102" i="18"/>
  <c r="Q46" i="63" s="1"/>
  <c r="R46" i="63" s="1"/>
  <c r="F103" i="18"/>
  <c r="S46" i="63" s="1"/>
  <c r="T46" i="63" s="1"/>
  <c r="F100" i="18"/>
  <c r="G46" i="63" s="1"/>
  <c r="H46" i="63" s="1"/>
  <c r="F101" i="18"/>
  <c r="O46" i="63" s="1"/>
  <c r="P46" i="63" s="1"/>
  <c r="F102" i="14"/>
  <c r="Q50" i="63" s="1"/>
  <c r="R50" i="63" s="1"/>
  <c r="F103" i="14"/>
  <c r="S50" i="63" s="1"/>
  <c r="T50" i="63" s="1"/>
  <c r="F100" i="14"/>
  <c r="G50" i="63" s="1"/>
  <c r="H50" i="63" s="1"/>
  <c r="F101" i="14"/>
  <c r="O50" i="63" s="1"/>
  <c r="P50" i="63" s="1"/>
  <c r="F98" i="14"/>
  <c r="I50" i="63" s="1"/>
  <c r="J50" i="63" s="1"/>
  <c r="F99" i="14"/>
  <c r="K50" i="63" s="1"/>
  <c r="L50" i="63" s="1"/>
  <c r="F104" i="14"/>
  <c r="U50" i="63" s="1"/>
  <c r="V50" i="63" s="1"/>
  <c r="F103" i="10"/>
  <c r="S54" i="63" s="1"/>
  <c r="T54" i="63" s="1"/>
  <c r="F104" i="10"/>
  <c r="U54" i="63" s="1"/>
  <c r="V54" i="63" s="1"/>
  <c r="F101" i="10"/>
  <c r="O54" i="63" s="1"/>
  <c r="P54" i="63" s="1"/>
  <c r="F102" i="10"/>
  <c r="Q54" i="63" s="1"/>
  <c r="R54" i="63" s="1"/>
  <c r="F99" i="10"/>
  <c r="K54" i="63" s="1"/>
  <c r="L54" i="63" s="1"/>
  <c r="F100" i="10"/>
  <c r="G54" i="63" s="1"/>
  <c r="H54" i="63" s="1"/>
  <c r="F98" i="10"/>
  <c r="I54" i="63" s="1"/>
  <c r="J54" i="63" s="1"/>
  <c r="F98" i="9"/>
  <c r="I55" i="63" s="1"/>
  <c r="J55" i="63" s="1"/>
  <c r="F99" i="9"/>
  <c r="K55" i="63" s="1"/>
  <c r="L55" i="63" s="1"/>
  <c r="F104" i="9"/>
  <c r="U55" i="63" s="1"/>
  <c r="V55" i="63" s="1"/>
  <c r="F102" i="9"/>
  <c r="Q55" i="63" s="1"/>
  <c r="R55" i="63" s="1"/>
  <c r="F103" i="9"/>
  <c r="S55" i="63" s="1"/>
  <c r="T55" i="63" s="1"/>
  <c r="F100" i="9"/>
  <c r="G55" i="63" s="1"/>
  <c r="H55" i="63" s="1"/>
  <c r="F101" i="9"/>
  <c r="O55" i="63" s="1"/>
  <c r="P55" i="63" s="1"/>
  <c r="F98" i="55"/>
  <c r="I9" i="63" s="1"/>
  <c r="J9" i="63" s="1"/>
  <c r="F100" i="55"/>
  <c r="G9" i="63" s="1"/>
  <c r="H9" i="63" s="1"/>
  <c r="F99" i="55"/>
  <c r="K9" i="63" s="1"/>
  <c r="L9" i="63" s="1"/>
  <c r="F101" i="55"/>
  <c r="O9" i="63" s="1"/>
  <c r="P9" i="63" s="1"/>
  <c r="F102" i="55"/>
  <c r="Q9" i="63" s="1"/>
  <c r="R9" i="63" s="1"/>
  <c r="F103" i="55"/>
  <c r="S9" i="63" s="1"/>
  <c r="T9" i="63" s="1"/>
  <c r="F104" i="55"/>
  <c r="U9" i="63" s="1"/>
  <c r="V9" i="63" s="1"/>
  <c r="F105" i="46"/>
  <c r="F103" i="46"/>
  <c r="S18" i="63" s="1"/>
  <c r="T18" i="63" s="1"/>
  <c r="F104" i="46"/>
  <c r="U18" i="63" s="1"/>
  <c r="V18" i="63" s="1"/>
  <c r="F101" i="46"/>
  <c r="O18" i="63" s="1"/>
  <c r="P18" i="63" s="1"/>
  <c r="F102" i="46"/>
  <c r="Q18" i="63" s="1"/>
  <c r="R18" i="63" s="1"/>
  <c r="F99" i="46"/>
  <c r="K18" i="63" s="1"/>
  <c r="L18" i="63" s="1"/>
  <c r="F100" i="46"/>
  <c r="G18" i="63" s="1"/>
  <c r="H18" i="63" s="1"/>
  <c r="F98" i="46"/>
  <c r="I18" i="63" s="1"/>
  <c r="J18" i="63" s="1"/>
  <c r="F98" i="23"/>
  <c r="I41" i="63" s="1"/>
  <c r="J41" i="63" s="1"/>
  <c r="F103" i="23"/>
  <c r="S41" i="63" s="1"/>
  <c r="T41" i="63" s="1"/>
  <c r="F104" i="23"/>
  <c r="U41" i="63" s="1"/>
  <c r="V41" i="63" s="1"/>
  <c r="F101" i="23"/>
  <c r="O41" i="63" s="1"/>
  <c r="P41" i="63" s="1"/>
  <c r="F102" i="23"/>
  <c r="Q41" i="63" s="1"/>
  <c r="R41" i="63" s="1"/>
  <c r="F99" i="23"/>
  <c r="K41" i="63" s="1"/>
  <c r="L41" i="63" s="1"/>
  <c r="F100" i="23"/>
  <c r="G41" i="63" s="1"/>
  <c r="H41" i="63" s="1"/>
  <c r="F100" i="24"/>
  <c r="G40" i="63" s="1"/>
  <c r="H40" i="63" s="1"/>
  <c r="F101" i="24"/>
  <c r="O40" i="63" s="1"/>
  <c r="P40" i="63" s="1"/>
  <c r="F98" i="24"/>
  <c r="I40" i="63" s="1"/>
  <c r="J40" i="63" s="1"/>
  <c r="F99" i="24"/>
  <c r="K40" i="63" s="1"/>
  <c r="L40" i="63" s="1"/>
  <c r="F104" i="24"/>
  <c r="U40" i="63" s="1"/>
  <c r="V40" i="63" s="1"/>
  <c r="F102" i="24"/>
  <c r="Q40" i="63" s="1"/>
  <c r="R40" i="63" s="1"/>
  <c r="F103" i="24"/>
  <c r="S40" i="63" s="1"/>
  <c r="T40" i="63" s="1"/>
  <c r="F102" i="22"/>
  <c r="Q42" i="63" s="1"/>
  <c r="R42" i="63" s="1"/>
  <c r="F103" i="22"/>
  <c r="S42" i="63" s="1"/>
  <c r="T42" i="63" s="1"/>
  <c r="F100" i="22"/>
  <c r="G42" i="63" s="1"/>
  <c r="H42" i="63" s="1"/>
  <c r="F101" i="22"/>
  <c r="O42" i="63" s="1"/>
  <c r="P42" i="63" s="1"/>
  <c r="F98" i="22"/>
  <c r="I42" i="63" s="1"/>
  <c r="J42" i="63" s="1"/>
  <c r="F99" i="22"/>
  <c r="K42" i="63" s="1"/>
  <c r="L42" i="63" s="1"/>
  <c r="F104" i="22"/>
  <c r="U42" i="63" s="1"/>
  <c r="V42" i="63" s="1"/>
  <c r="F101" i="3"/>
  <c r="O61" i="63" s="1"/>
  <c r="P61" i="63" s="1"/>
  <c r="F102" i="3"/>
  <c r="Q61" i="63" s="1"/>
  <c r="R61" i="63" s="1"/>
  <c r="F99" i="3"/>
  <c r="K61" i="63" s="1"/>
  <c r="L61" i="63" s="1"/>
  <c r="F100" i="3"/>
  <c r="G61" i="63" s="1"/>
  <c r="H61" i="63" s="1"/>
  <c r="F98" i="3"/>
  <c r="I61" i="63" s="1"/>
  <c r="J61" i="63" s="1"/>
  <c r="F103" i="3"/>
  <c r="S61" i="63" s="1"/>
  <c r="T61" i="63" s="1"/>
  <c r="F104" i="3"/>
  <c r="U61" i="63" s="1"/>
  <c r="V61" i="63" s="1"/>
  <c r="F102" i="41"/>
  <c r="Q23" i="63" s="1"/>
  <c r="R23" i="63" s="1"/>
  <c r="F103" i="41"/>
  <c r="S23" i="63" s="1"/>
  <c r="T23" i="63" s="1"/>
  <c r="F100" i="41"/>
  <c r="G23" i="63" s="1"/>
  <c r="H23" i="63" s="1"/>
  <c r="F101" i="41"/>
  <c r="O23" i="63" s="1"/>
  <c r="P23" i="63" s="1"/>
  <c r="F98" i="41"/>
  <c r="I23" i="63" s="1"/>
  <c r="J23" i="63" s="1"/>
  <c r="F99" i="41"/>
  <c r="K23" i="63" s="1"/>
  <c r="L23" i="63" s="1"/>
  <c r="F104" i="41"/>
  <c r="U23" i="63" s="1"/>
  <c r="V23" i="63" s="1"/>
  <c r="F104" i="28"/>
  <c r="U36" i="63" s="1"/>
  <c r="V36" i="63" s="1"/>
  <c r="F102" i="28"/>
  <c r="Q36" i="63" s="1"/>
  <c r="R36" i="63" s="1"/>
  <c r="F103" i="28"/>
  <c r="S36" i="63" s="1"/>
  <c r="T36" i="63" s="1"/>
  <c r="F100" i="28"/>
  <c r="G36" i="63" s="1"/>
  <c r="H36" i="63" s="1"/>
  <c r="F101" i="28"/>
  <c r="O36" i="63" s="1"/>
  <c r="P36" i="63" s="1"/>
  <c r="F98" i="28"/>
  <c r="I36" i="63" s="1"/>
  <c r="J36" i="63" s="1"/>
  <c r="F99" i="28"/>
  <c r="K36" i="63" s="1"/>
  <c r="L36" i="63" s="1"/>
  <c r="F31" i="5"/>
  <c r="AB56" i="62" s="1"/>
  <c r="F105" i="44"/>
  <c r="F105" i="29"/>
  <c r="F105" i="55"/>
  <c r="F105" i="54"/>
  <c r="F105" i="41"/>
  <c r="F105" i="20"/>
  <c r="F105" i="18"/>
  <c r="F105" i="14"/>
  <c r="F105" i="10"/>
  <c r="F105" i="24"/>
  <c r="F105" i="50"/>
  <c r="F99" i="50"/>
  <c r="K14" i="63" s="1"/>
  <c r="L14" i="63" s="1"/>
  <c r="F100" i="50"/>
  <c r="G14" i="63" s="1"/>
  <c r="H14" i="63" s="1"/>
  <c r="F98" i="50"/>
  <c r="I14" i="63" s="1"/>
  <c r="J14" i="63" s="1"/>
  <c r="F103" i="50"/>
  <c r="S14" i="63" s="1"/>
  <c r="T14" i="63" s="1"/>
  <c r="F104" i="50"/>
  <c r="U14" i="63" s="1"/>
  <c r="V14" i="63" s="1"/>
  <c r="F101" i="50"/>
  <c r="O14" i="63" s="1"/>
  <c r="P14" i="63" s="1"/>
  <c r="F102" i="50"/>
  <c r="Q14" i="63" s="1"/>
  <c r="R14" i="63" s="1"/>
  <c r="F98" i="53"/>
  <c r="I11" i="63" s="1"/>
  <c r="J11" i="63" s="1"/>
  <c r="F99" i="53"/>
  <c r="K11" i="63" s="1"/>
  <c r="L11" i="63" s="1"/>
  <c r="F104" i="53"/>
  <c r="U11" i="63" s="1"/>
  <c r="V11" i="63" s="1"/>
  <c r="F102" i="53"/>
  <c r="Q11" i="63" s="1"/>
  <c r="R11" i="63" s="1"/>
  <c r="F103" i="53"/>
  <c r="S11" i="63" s="1"/>
  <c r="T11" i="63" s="1"/>
  <c r="F100" i="53"/>
  <c r="G11" i="63" s="1"/>
  <c r="H11" i="63" s="1"/>
  <c r="F101" i="53"/>
  <c r="O11" i="63" s="1"/>
  <c r="P11" i="63" s="1"/>
  <c r="F98" i="45"/>
  <c r="I19" i="63" s="1"/>
  <c r="J19" i="63" s="1"/>
  <c r="F99" i="45"/>
  <c r="K19" i="63" s="1"/>
  <c r="L19" i="63" s="1"/>
  <c r="F104" i="45"/>
  <c r="U19" i="63" s="1"/>
  <c r="V19" i="63" s="1"/>
  <c r="F102" i="45"/>
  <c r="Q19" i="63" s="1"/>
  <c r="R19" i="63" s="1"/>
  <c r="F103" i="45"/>
  <c r="S19" i="63" s="1"/>
  <c r="T19" i="63" s="1"/>
  <c r="F105" i="45"/>
  <c r="F100" i="45"/>
  <c r="G19" i="63" s="1"/>
  <c r="H19" i="63" s="1"/>
  <c r="F101" i="45"/>
  <c r="O19" i="63" s="1"/>
  <c r="P19" i="63" s="1"/>
  <c r="F95" i="19"/>
  <c r="F99" i="19"/>
  <c r="K45" i="63" s="1"/>
  <c r="L45" i="63" s="1"/>
  <c r="F98" i="19"/>
  <c r="I45" i="63" s="1"/>
  <c r="J45" i="63" s="1"/>
  <c r="F101" i="19"/>
  <c r="O45" i="63" s="1"/>
  <c r="P45" i="63" s="1"/>
  <c r="F104" i="19"/>
  <c r="U45" i="63" s="1"/>
  <c r="V45" i="63" s="1"/>
  <c r="F103" i="19"/>
  <c r="S45" i="63" s="1"/>
  <c r="T45" i="63" s="1"/>
  <c r="F102" i="19"/>
  <c r="Q45" i="63" s="1"/>
  <c r="R45" i="63" s="1"/>
  <c r="F100" i="19"/>
  <c r="G45" i="63" s="1"/>
  <c r="H45" i="63" s="1"/>
  <c r="F95" i="15"/>
  <c r="F101" i="15"/>
  <c r="O49" i="63" s="1"/>
  <c r="P49" i="63" s="1"/>
  <c r="F102" i="15"/>
  <c r="Q49" i="63" s="1"/>
  <c r="R49" i="63" s="1"/>
  <c r="F99" i="15"/>
  <c r="K49" i="63" s="1"/>
  <c r="L49" i="63" s="1"/>
  <c r="F100" i="15"/>
  <c r="G49" i="63" s="1"/>
  <c r="H49" i="63" s="1"/>
  <c r="F98" i="15"/>
  <c r="I49" i="63" s="1"/>
  <c r="J49" i="63" s="1"/>
  <c r="F103" i="15"/>
  <c r="S49" i="63" s="1"/>
  <c r="T49" i="63" s="1"/>
  <c r="F104" i="15"/>
  <c r="U49" i="63" s="1"/>
  <c r="V49" i="63" s="1"/>
  <c r="F95" i="11"/>
  <c r="F104" i="11"/>
  <c r="U53" i="63" s="1"/>
  <c r="V53" i="63" s="1"/>
  <c r="F102" i="11"/>
  <c r="Q53" i="63" s="1"/>
  <c r="R53" i="63" s="1"/>
  <c r="F103" i="11"/>
  <c r="S53" i="63" s="1"/>
  <c r="T53" i="63" s="1"/>
  <c r="F100" i="11"/>
  <c r="G53" i="63" s="1"/>
  <c r="H53" i="63" s="1"/>
  <c r="F101" i="11"/>
  <c r="O53" i="63" s="1"/>
  <c r="P53" i="63" s="1"/>
  <c r="F98" i="11"/>
  <c r="I53" i="63" s="1"/>
  <c r="J53" i="63" s="1"/>
  <c r="F99" i="11"/>
  <c r="K53" i="63" s="1"/>
  <c r="L53" i="63" s="1"/>
  <c r="F102" i="49"/>
  <c r="Q15" i="63" s="1"/>
  <c r="R15" i="63" s="1"/>
  <c r="F103" i="49"/>
  <c r="S15" i="63" s="1"/>
  <c r="T15" i="63" s="1"/>
  <c r="F100" i="49"/>
  <c r="G15" i="63" s="1"/>
  <c r="H15" i="63" s="1"/>
  <c r="F101" i="49"/>
  <c r="O15" i="63" s="1"/>
  <c r="P15" i="63" s="1"/>
  <c r="F105" i="49"/>
  <c r="F98" i="49"/>
  <c r="I15" i="63" s="1"/>
  <c r="J15" i="63" s="1"/>
  <c r="F99" i="49"/>
  <c r="K15" i="63" s="1"/>
  <c r="L15" i="63" s="1"/>
  <c r="F104" i="49"/>
  <c r="U15" i="63" s="1"/>
  <c r="V15" i="63" s="1"/>
  <c r="F95" i="48"/>
  <c r="F101" i="48"/>
  <c r="O16" i="63" s="1"/>
  <c r="P16" i="63" s="1"/>
  <c r="F102" i="48"/>
  <c r="Q16" i="63" s="1"/>
  <c r="R16" i="63" s="1"/>
  <c r="F99" i="48"/>
  <c r="K16" i="63" s="1"/>
  <c r="L16" i="63" s="1"/>
  <c r="F100" i="48"/>
  <c r="G16" i="63" s="1"/>
  <c r="H16" i="63" s="1"/>
  <c r="F98" i="48"/>
  <c r="I16" i="63" s="1"/>
  <c r="J16" i="63" s="1"/>
  <c r="F103" i="48"/>
  <c r="S16" i="63" s="1"/>
  <c r="T16" i="63" s="1"/>
  <c r="F104" i="48"/>
  <c r="U16" i="63" s="1"/>
  <c r="V16" i="63" s="1"/>
  <c r="F99" i="42"/>
  <c r="K22" i="63" s="1"/>
  <c r="L22" i="63" s="1"/>
  <c r="F100" i="42"/>
  <c r="G22" i="63" s="1"/>
  <c r="H22" i="63" s="1"/>
  <c r="F98" i="42"/>
  <c r="I22" i="63" s="1"/>
  <c r="J22" i="63" s="1"/>
  <c r="F103" i="42"/>
  <c r="S22" i="63" s="1"/>
  <c r="T22" i="63" s="1"/>
  <c r="F104" i="42"/>
  <c r="U22" i="63" s="1"/>
  <c r="V22" i="63" s="1"/>
  <c r="F101" i="42"/>
  <c r="O22" i="63" s="1"/>
  <c r="P22" i="63" s="1"/>
  <c r="F102" i="42"/>
  <c r="Q22" i="63" s="1"/>
  <c r="R22" i="63" s="1"/>
  <c r="F98" i="40"/>
  <c r="I24" i="63" s="1"/>
  <c r="J24" i="63" s="1"/>
  <c r="F101" i="40"/>
  <c r="O24" i="63" s="1"/>
  <c r="P24" i="63" s="1"/>
  <c r="F100" i="40"/>
  <c r="G24" i="63" s="1"/>
  <c r="H24" i="63" s="1"/>
  <c r="F99" i="40"/>
  <c r="K24" i="63" s="1"/>
  <c r="L24" i="63" s="1"/>
  <c r="F102" i="40"/>
  <c r="Q24" i="63" s="1"/>
  <c r="R24" i="63" s="1"/>
  <c r="F104" i="40"/>
  <c r="U24" i="63" s="1"/>
  <c r="V24" i="63" s="1"/>
  <c r="F103" i="40"/>
  <c r="S24" i="63" s="1"/>
  <c r="T24" i="63" s="1"/>
  <c r="F100" i="16"/>
  <c r="G48" i="63" s="1"/>
  <c r="H48" i="63" s="1"/>
  <c r="F101" i="16"/>
  <c r="O48" i="63" s="1"/>
  <c r="P48" i="63" s="1"/>
  <c r="F98" i="16"/>
  <c r="I48" i="63" s="1"/>
  <c r="J48" i="63" s="1"/>
  <c r="F99" i="16"/>
  <c r="K48" i="63" s="1"/>
  <c r="L48" i="63" s="1"/>
  <c r="F104" i="16"/>
  <c r="U48" i="63" s="1"/>
  <c r="V48" i="63" s="1"/>
  <c r="F102" i="16"/>
  <c r="Q48" i="63" s="1"/>
  <c r="R48" i="63" s="1"/>
  <c r="F103" i="16"/>
  <c r="S48" i="63" s="1"/>
  <c r="T48" i="63" s="1"/>
  <c r="F103" i="12"/>
  <c r="S52" i="63" s="1"/>
  <c r="T52" i="63" s="1"/>
  <c r="F102" i="12"/>
  <c r="Q52" i="63" s="1"/>
  <c r="R52" i="63" s="1"/>
  <c r="F100" i="12"/>
  <c r="G52" i="63" s="1"/>
  <c r="H52" i="63" s="1"/>
  <c r="F99" i="12"/>
  <c r="K52" i="63" s="1"/>
  <c r="L52" i="63" s="1"/>
  <c r="F98" i="12"/>
  <c r="I52" i="63" s="1"/>
  <c r="J52" i="63" s="1"/>
  <c r="F101" i="12"/>
  <c r="O52" i="63" s="1"/>
  <c r="P52" i="63" s="1"/>
  <c r="F104" i="12"/>
  <c r="U52" i="63" s="1"/>
  <c r="V52" i="63" s="1"/>
  <c r="F98" i="8"/>
  <c r="I56" i="63" s="1"/>
  <c r="J56" i="63" s="1"/>
  <c r="F103" i="8"/>
  <c r="S56" i="63" s="1"/>
  <c r="T56" i="63" s="1"/>
  <c r="F104" i="8"/>
  <c r="U56" i="63" s="1"/>
  <c r="V56" i="63" s="1"/>
  <c r="F101" i="8"/>
  <c r="O56" i="63" s="1"/>
  <c r="P56" i="63" s="1"/>
  <c r="F102" i="8"/>
  <c r="Q56" i="63" s="1"/>
  <c r="R56" i="63" s="1"/>
  <c r="F99" i="8"/>
  <c r="K56" i="63" s="1"/>
  <c r="L56" i="63" s="1"/>
  <c r="F100" i="8"/>
  <c r="G56" i="63" s="1"/>
  <c r="H56" i="63" s="1"/>
  <c r="F99" i="6"/>
  <c r="K58" i="63" s="1"/>
  <c r="L58" i="63" s="1"/>
  <c r="F100" i="6"/>
  <c r="G58" i="63" s="1"/>
  <c r="H58" i="63" s="1"/>
  <c r="F98" i="6"/>
  <c r="I58" i="63" s="1"/>
  <c r="J58" i="63" s="1"/>
  <c r="F103" i="6"/>
  <c r="S58" i="63" s="1"/>
  <c r="T58" i="63" s="1"/>
  <c r="F104" i="6"/>
  <c r="U58" i="63" s="1"/>
  <c r="V58" i="63" s="1"/>
  <c r="F101" i="6"/>
  <c r="O58" i="63" s="1"/>
  <c r="P58" i="63" s="1"/>
  <c r="F102" i="6"/>
  <c r="Q58" i="63" s="1"/>
  <c r="R58" i="63" s="1"/>
  <c r="F100" i="4"/>
  <c r="G60" i="63" s="1"/>
  <c r="H60" i="63" s="1"/>
  <c r="F101" i="4"/>
  <c r="O60" i="63" s="1"/>
  <c r="P60" i="63" s="1"/>
  <c r="F98" i="4"/>
  <c r="I60" i="63" s="1"/>
  <c r="J60" i="63" s="1"/>
  <c r="F99" i="4"/>
  <c r="K60" i="63" s="1"/>
  <c r="L60" i="63" s="1"/>
  <c r="F104" i="4"/>
  <c r="U60" i="63" s="1"/>
  <c r="V60" i="63" s="1"/>
  <c r="F102" i="4"/>
  <c r="Q60" i="63" s="1"/>
  <c r="R60" i="63" s="1"/>
  <c r="F103" i="4"/>
  <c r="S60" i="63" s="1"/>
  <c r="T60" i="63" s="1"/>
  <c r="F102" i="59"/>
  <c r="Q62" i="63" s="1"/>
  <c r="R62" i="63" s="1"/>
  <c r="F103" i="59"/>
  <c r="S62" i="63" s="1"/>
  <c r="T62" i="63" s="1"/>
  <c r="F100" i="59"/>
  <c r="G62" i="63" s="1"/>
  <c r="H62" i="63" s="1"/>
  <c r="F101" i="59"/>
  <c r="O62" i="63" s="1"/>
  <c r="P62" i="63" s="1"/>
  <c r="F98" i="59"/>
  <c r="I62" i="63" s="1"/>
  <c r="J62" i="63" s="1"/>
  <c r="F99" i="59"/>
  <c r="K62" i="63" s="1"/>
  <c r="L62" i="63" s="1"/>
  <c r="F104" i="59"/>
  <c r="U62" i="63" s="1"/>
  <c r="V62" i="63" s="1"/>
  <c r="F102" i="56"/>
  <c r="Q8" i="63" s="1"/>
  <c r="R8" i="63" s="1"/>
  <c r="F100" i="56"/>
  <c r="G8" i="63" s="1"/>
  <c r="H8" i="63" s="1"/>
  <c r="F99" i="56"/>
  <c r="K8" i="63" s="1"/>
  <c r="L8" i="63" s="1"/>
  <c r="F98" i="56"/>
  <c r="I8" i="63" s="1"/>
  <c r="J8" i="63" s="1"/>
  <c r="F101" i="56"/>
  <c r="O8" i="63" s="1"/>
  <c r="P8" i="63" s="1"/>
  <c r="F104" i="56"/>
  <c r="U8" i="63" s="1"/>
  <c r="V8" i="63" s="1"/>
  <c r="F103" i="56"/>
  <c r="S8" i="63" s="1"/>
  <c r="T8" i="63" s="1"/>
  <c r="F98" i="52"/>
  <c r="I12" i="63" s="1"/>
  <c r="J12" i="63" s="1"/>
  <c r="F103" i="52"/>
  <c r="S12" i="63" s="1"/>
  <c r="T12" i="63" s="1"/>
  <c r="F104" i="52"/>
  <c r="U12" i="63" s="1"/>
  <c r="V12" i="63" s="1"/>
  <c r="F101" i="52"/>
  <c r="O12" i="63" s="1"/>
  <c r="P12" i="63" s="1"/>
  <c r="F102" i="52"/>
  <c r="Q12" i="63" s="1"/>
  <c r="R12" i="63" s="1"/>
  <c r="F99" i="52"/>
  <c r="K12" i="63" s="1"/>
  <c r="L12" i="63" s="1"/>
  <c r="F100" i="52"/>
  <c r="G12" i="63" s="1"/>
  <c r="H12" i="63" s="1"/>
  <c r="F100" i="51"/>
  <c r="G13" i="63" s="1"/>
  <c r="H13" i="63" s="1"/>
  <c r="F101" i="51"/>
  <c r="O13" i="63" s="1"/>
  <c r="P13" i="63" s="1"/>
  <c r="F98" i="51"/>
  <c r="I13" i="63" s="1"/>
  <c r="J13" i="63" s="1"/>
  <c r="F99" i="51"/>
  <c r="K13" i="63" s="1"/>
  <c r="L13" i="63" s="1"/>
  <c r="F104" i="51"/>
  <c r="U13" i="63" s="1"/>
  <c r="V13" i="63" s="1"/>
  <c r="F102" i="51"/>
  <c r="Q13" i="63" s="1"/>
  <c r="R13" i="63" s="1"/>
  <c r="F103" i="51"/>
  <c r="S13" i="63" s="1"/>
  <c r="T13" i="63" s="1"/>
  <c r="F105" i="36"/>
  <c r="F104" i="36"/>
  <c r="U28" i="63" s="1"/>
  <c r="V28" i="63" s="1"/>
  <c r="F102" i="36"/>
  <c r="Q28" i="63" s="1"/>
  <c r="R28" i="63" s="1"/>
  <c r="F103" i="36"/>
  <c r="S28" i="63" s="1"/>
  <c r="T28" i="63" s="1"/>
  <c r="F100" i="36"/>
  <c r="G28" i="63" s="1"/>
  <c r="H28" i="63" s="1"/>
  <c r="F101" i="36"/>
  <c r="O28" i="63" s="1"/>
  <c r="P28" i="63" s="1"/>
  <c r="F98" i="36"/>
  <c r="I28" i="63" s="1"/>
  <c r="J28" i="63" s="1"/>
  <c r="F99" i="36"/>
  <c r="K28" i="63" s="1"/>
  <c r="L28" i="63" s="1"/>
  <c r="F99" i="21"/>
  <c r="K43" i="63" s="1"/>
  <c r="L43" i="63" s="1"/>
  <c r="F100" i="21"/>
  <c r="G43" i="63" s="1"/>
  <c r="H43" i="63" s="1"/>
  <c r="F98" i="21"/>
  <c r="I43" i="63" s="1"/>
  <c r="J43" i="63" s="1"/>
  <c r="F103" i="21"/>
  <c r="S43" i="63" s="1"/>
  <c r="T43" i="63" s="1"/>
  <c r="F104" i="21"/>
  <c r="U43" i="63" s="1"/>
  <c r="V43" i="63" s="1"/>
  <c r="F101" i="21"/>
  <c r="O43" i="63" s="1"/>
  <c r="P43" i="63" s="1"/>
  <c r="F102" i="21"/>
  <c r="Q43" i="63" s="1"/>
  <c r="R43" i="63" s="1"/>
  <c r="F100" i="1"/>
  <c r="G63" i="63" s="1"/>
  <c r="H63" i="63" s="1"/>
  <c r="F99" i="1"/>
  <c r="K63" i="63" s="1"/>
  <c r="L63" i="63" s="1"/>
  <c r="F98" i="1"/>
  <c r="I63" i="63" s="1"/>
  <c r="J63" i="63" s="1"/>
  <c r="F101" i="1"/>
  <c r="O63" i="63" s="1"/>
  <c r="P63" i="63" s="1"/>
  <c r="F104" i="1"/>
  <c r="U63" i="63" s="1"/>
  <c r="V63" i="63" s="1"/>
  <c r="F103" i="1"/>
  <c r="S63" i="63" s="1"/>
  <c r="T63" i="63" s="1"/>
  <c r="F102" i="1"/>
  <c r="Q63" i="63" s="1"/>
  <c r="R63" i="63" s="1"/>
  <c r="F100" i="43"/>
  <c r="G21" i="63" s="1"/>
  <c r="H21" i="63" s="1"/>
  <c r="F101" i="43"/>
  <c r="O21" i="63" s="1"/>
  <c r="P21" i="63" s="1"/>
  <c r="F98" i="43"/>
  <c r="I21" i="63" s="1"/>
  <c r="J21" i="63" s="1"/>
  <c r="F99" i="43"/>
  <c r="K21" i="63" s="1"/>
  <c r="L21" i="63" s="1"/>
  <c r="F104" i="43"/>
  <c r="U21" i="63" s="1"/>
  <c r="V21" i="63" s="1"/>
  <c r="F102" i="43"/>
  <c r="Q21" i="63" s="1"/>
  <c r="R21" i="63" s="1"/>
  <c r="F103" i="43"/>
  <c r="S21" i="63" s="1"/>
  <c r="T21" i="63" s="1"/>
  <c r="F98" i="39"/>
  <c r="I25" i="63" s="1"/>
  <c r="J25" i="63" s="1"/>
  <c r="F103" i="39"/>
  <c r="S25" i="63" s="1"/>
  <c r="T25" i="63" s="1"/>
  <c r="F104" i="39"/>
  <c r="U25" i="63" s="1"/>
  <c r="V25" i="63" s="1"/>
  <c r="F101" i="39"/>
  <c r="O25" i="63" s="1"/>
  <c r="P25" i="63" s="1"/>
  <c r="F102" i="39"/>
  <c r="Q25" i="63" s="1"/>
  <c r="R25" i="63" s="1"/>
  <c r="F99" i="39"/>
  <c r="K25" i="63" s="1"/>
  <c r="L25" i="63" s="1"/>
  <c r="F100" i="39"/>
  <c r="G25" i="63" s="1"/>
  <c r="H25" i="63" s="1"/>
  <c r="F102" i="30"/>
  <c r="Q34" i="63" s="1"/>
  <c r="R34" i="63" s="1"/>
  <c r="F103" i="30"/>
  <c r="S34" i="63" s="1"/>
  <c r="T34" i="63" s="1"/>
  <c r="F100" i="30"/>
  <c r="G34" i="63" s="1"/>
  <c r="H34" i="63" s="1"/>
  <c r="F101" i="30"/>
  <c r="O34" i="63" s="1"/>
  <c r="P34" i="63" s="1"/>
  <c r="F98" i="30"/>
  <c r="I34" i="63" s="1"/>
  <c r="J34" i="63" s="1"/>
  <c r="F99" i="30"/>
  <c r="K34" i="63" s="1"/>
  <c r="L34" i="63" s="1"/>
  <c r="F104" i="30"/>
  <c r="U34" i="63" s="1"/>
  <c r="V34" i="63" s="1"/>
  <c r="F100" i="26"/>
  <c r="G38" i="63" s="1"/>
  <c r="H38" i="63" s="1"/>
  <c r="F99" i="26"/>
  <c r="K38" i="63" s="1"/>
  <c r="L38" i="63" s="1"/>
  <c r="F102" i="26"/>
  <c r="Q38" i="63" s="1"/>
  <c r="R38" i="63" s="1"/>
  <c r="F104" i="26"/>
  <c r="U38" i="63" s="1"/>
  <c r="V38" i="63" s="1"/>
  <c r="F103" i="26"/>
  <c r="S38" i="63" s="1"/>
  <c r="T38" i="63" s="1"/>
  <c r="F98" i="26"/>
  <c r="I38" i="63" s="1"/>
  <c r="J38" i="63" s="1"/>
  <c r="F101" i="26"/>
  <c r="O38" i="63" s="1"/>
  <c r="P38" i="63" s="1"/>
  <c r="F31" i="7"/>
  <c r="AB54" i="62" s="1"/>
  <c r="C57" i="63"/>
  <c r="D57" i="63" s="1"/>
  <c r="F31" i="47"/>
  <c r="AB14" i="62" s="1"/>
  <c r="F105" i="19"/>
  <c r="F105" i="17"/>
  <c r="F105" i="15"/>
  <c r="F105" i="13"/>
  <c r="F105" i="11"/>
  <c r="F105" i="9"/>
  <c r="F105" i="51"/>
  <c r="F105" i="40"/>
  <c r="F105" i="31"/>
  <c r="F105" i="27"/>
  <c r="F105" i="23"/>
  <c r="F105" i="52"/>
  <c r="F105" i="43"/>
  <c r="F105" i="39"/>
  <c r="F105" i="28"/>
  <c r="F105" i="3"/>
  <c r="F105" i="53"/>
  <c r="F105" i="48"/>
  <c r="F105" i="22"/>
  <c r="F105" i="6"/>
  <c r="F105" i="59"/>
  <c r="E29" i="57"/>
  <c r="E13" i="57"/>
  <c r="E28" i="57"/>
  <c r="E12" i="57"/>
  <c r="E27" i="57"/>
  <c r="E19" i="57"/>
  <c r="E11" i="57"/>
  <c r="E30" i="57"/>
  <c r="E22" i="57"/>
  <c r="E14" i="57"/>
  <c r="E6" i="57"/>
  <c r="E17" i="57"/>
  <c r="E32" i="57"/>
  <c r="E16" i="57"/>
  <c r="E21" i="57"/>
  <c r="E5" i="57"/>
  <c r="E20" i="57"/>
  <c r="E31" i="57"/>
  <c r="E23" i="57"/>
  <c r="E15" i="57"/>
  <c r="E7" i="57"/>
  <c r="E26" i="57"/>
  <c r="E18" i="57"/>
  <c r="E10" i="57"/>
  <c r="E25" i="57"/>
  <c r="E9" i="57"/>
  <c r="E24" i="57"/>
  <c r="E8" i="57"/>
  <c r="D105" i="41"/>
  <c r="D105" i="30"/>
  <c r="D105" i="26"/>
  <c r="D105" i="43"/>
  <c r="D105" i="39"/>
  <c r="D105" i="28"/>
  <c r="D105" i="3"/>
  <c r="D105" i="1"/>
  <c r="F95" i="60"/>
  <c r="D105" i="24"/>
  <c r="D105" i="22"/>
  <c r="F118" i="52"/>
  <c r="C118" i="52"/>
  <c r="D105" i="53"/>
  <c r="D105" i="50"/>
  <c r="C118" i="47"/>
  <c r="F118" i="47"/>
  <c r="D105" i="45"/>
  <c r="F118" i="41"/>
  <c r="C118" i="41"/>
  <c r="D105" i="37"/>
  <c r="D105" i="35"/>
  <c r="D105" i="33"/>
  <c r="F118" i="30"/>
  <c r="C118" i="30"/>
  <c r="F118" i="26"/>
  <c r="C118" i="26"/>
  <c r="E33" i="38"/>
  <c r="F5" i="38"/>
  <c r="B23" i="62" s="1"/>
  <c r="C118" i="37"/>
  <c r="F118" i="37"/>
  <c r="C118" i="33"/>
  <c r="F118" i="33"/>
  <c r="D105" i="19"/>
  <c r="F118" i="19"/>
  <c r="C118" i="19"/>
  <c r="D105" i="15"/>
  <c r="F118" i="15"/>
  <c r="C118" i="15"/>
  <c r="D105" i="11"/>
  <c r="F118" i="11"/>
  <c r="C118" i="11"/>
  <c r="F95" i="53"/>
  <c r="C118" i="50"/>
  <c r="F118" i="50"/>
  <c r="E33" i="47"/>
  <c r="C17" i="63" s="1"/>
  <c r="D17" i="63" s="1"/>
  <c r="C118" i="46"/>
  <c r="F118" i="46"/>
  <c r="F95" i="45"/>
  <c r="F118" i="29"/>
  <c r="C118" i="29"/>
  <c r="F118" i="25"/>
  <c r="C118" i="25"/>
  <c r="F118" i="21"/>
  <c r="C118" i="21"/>
  <c r="F118" i="4"/>
  <c r="C118" i="4"/>
  <c r="F118" i="54"/>
  <c r="C118" i="54"/>
  <c r="D105" i="42"/>
  <c r="D105" i="40"/>
  <c r="F118" i="28"/>
  <c r="C118" i="28"/>
  <c r="C118" i="35"/>
  <c r="F118" i="35"/>
  <c r="F5" i="25"/>
  <c r="B36" i="62" s="1"/>
  <c r="E33" i="25"/>
  <c r="F118" i="7"/>
  <c r="C118" i="7"/>
  <c r="D105" i="18"/>
  <c r="F95" i="18"/>
  <c r="D105" i="16"/>
  <c r="F95" i="16"/>
  <c r="D105" i="14"/>
  <c r="F95" i="14"/>
  <c r="D105" i="12"/>
  <c r="F95" i="12"/>
  <c r="D105" i="10"/>
  <c r="F95" i="10"/>
  <c r="D105" i="9"/>
  <c r="D105" i="8"/>
  <c r="D105" i="6"/>
  <c r="D105" i="4"/>
  <c r="D105" i="59"/>
  <c r="D105" i="56"/>
  <c r="D105" i="52"/>
  <c r="D105" i="51"/>
  <c r="F95" i="51"/>
  <c r="F95" i="40"/>
  <c r="C118" i="34"/>
  <c r="F118" i="34"/>
  <c r="F118" i="27"/>
  <c r="C118" i="27"/>
  <c r="D105" i="23"/>
  <c r="D105" i="21"/>
  <c r="F95" i="6"/>
  <c r="E33" i="5"/>
  <c r="F118" i="59"/>
  <c r="C118" i="59"/>
  <c r="F118" i="38"/>
  <c r="C118" i="38"/>
  <c r="F95" i="37"/>
  <c r="F95" i="33"/>
  <c r="F118" i="5"/>
  <c r="C118" i="5"/>
  <c r="F118" i="1"/>
  <c r="C118" i="1"/>
  <c r="D105" i="20"/>
  <c r="D105" i="17"/>
  <c r="F118" i="17"/>
  <c r="C118" i="17"/>
  <c r="D105" i="13"/>
  <c r="F118" i="13"/>
  <c r="C118" i="13"/>
  <c r="F118" i="9"/>
  <c r="C118" i="9"/>
  <c r="F118" i="53"/>
  <c r="C118" i="53"/>
  <c r="D105" i="49"/>
  <c r="F95" i="49"/>
  <c r="F95" i="50"/>
  <c r="F118" i="42"/>
  <c r="C118" i="42"/>
  <c r="C118" i="45"/>
  <c r="F118" i="45"/>
  <c r="D105" i="34"/>
  <c r="D105" i="32"/>
  <c r="C118" i="36"/>
  <c r="F118" i="36"/>
  <c r="C118" i="32"/>
  <c r="F118" i="32"/>
  <c r="F118" i="23"/>
  <c r="C118" i="23"/>
  <c r="F118" i="8"/>
  <c r="C118" i="8"/>
  <c r="F118" i="56"/>
  <c r="C118" i="56"/>
  <c r="C109" i="60"/>
  <c r="C118" i="60" s="1"/>
  <c r="F118" i="55"/>
  <c r="C118" i="55"/>
  <c r="D105" i="54"/>
  <c r="F95" i="54"/>
  <c r="D105" i="48"/>
  <c r="C118" i="44"/>
  <c r="F118" i="44"/>
  <c r="F118" i="43"/>
  <c r="C118" i="43"/>
  <c r="F118" i="39"/>
  <c r="C118" i="39"/>
  <c r="D105" i="44"/>
  <c r="F95" i="35"/>
  <c r="D105" i="31"/>
  <c r="D105" i="29"/>
  <c r="D105" i="27"/>
  <c r="F118" i="3"/>
  <c r="C118" i="3"/>
  <c r="F118" i="20"/>
  <c r="C118" i="20"/>
  <c r="F118" i="18"/>
  <c r="C118" i="18"/>
  <c r="F118" i="16"/>
  <c r="C118" i="16"/>
  <c r="F118" i="14"/>
  <c r="C118" i="14"/>
  <c r="F118" i="12"/>
  <c r="C118" i="12"/>
  <c r="F118" i="10"/>
  <c r="C118" i="10"/>
  <c r="D105" i="55"/>
  <c r="F118" i="51"/>
  <c r="C118" i="51"/>
  <c r="C118" i="48"/>
  <c r="F118" i="48"/>
  <c r="D105" i="46"/>
  <c r="F118" i="40"/>
  <c r="C118" i="40"/>
  <c r="D105" i="36"/>
  <c r="F95" i="34"/>
  <c r="C118" i="31"/>
  <c r="F118" i="31"/>
  <c r="F95" i="27"/>
  <c r="F118" i="24"/>
  <c r="C118" i="24"/>
  <c r="F118" i="22"/>
  <c r="C118" i="22"/>
  <c r="F118" i="6"/>
  <c r="C118" i="6"/>
  <c r="F95" i="59"/>
  <c r="D105" i="60"/>
  <c r="F99" i="60"/>
  <c r="K64" i="63" s="1"/>
  <c r="L64" i="63" s="1"/>
  <c r="F103" i="60"/>
  <c r="S64" i="63" s="1"/>
  <c r="T64" i="63" s="1"/>
  <c r="F104" i="60"/>
  <c r="U64" i="63" s="1"/>
  <c r="V64" i="63" s="1"/>
  <c r="F102" i="60"/>
  <c r="Q64" i="63" s="1"/>
  <c r="R64" i="63" s="1"/>
  <c r="F101" i="60"/>
  <c r="O64" i="63" s="1"/>
  <c r="P64" i="63" s="1"/>
  <c r="F100" i="60"/>
  <c r="G64" i="63" s="1"/>
  <c r="H64" i="63" s="1"/>
  <c r="F98" i="60"/>
  <c r="I64" i="63" s="1"/>
  <c r="J64" i="63" s="1"/>
  <c r="F32" i="57"/>
  <c r="AC4" i="62" s="1"/>
  <c r="F30" i="57"/>
  <c r="AA4" i="62" s="1"/>
  <c r="F31" i="57"/>
  <c r="AB4" i="62" s="1"/>
  <c r="F27" i="57"/>
  <c r="X4" i="62" s="1"/>
  <c r="F28" i="57"/>
  <c r="Y4" i="62" s="1"/>
  <c r="F29" i="57"/>
  <c r="Z4" i="62" s="1"/>
  <c r="F7" i="57"/>
  <c r="D4" i="62" s="1"/>
  <c r="F25" i="57"/>
  <c r="V4" i="62" s="1"/>
  <c r="F9" i="57"/>
  <c r="F4" i="62" s="1"/>
  <c r="F15" i="57"/>
  <c r="L4" i="62" s="1"/>
  <c r="F22" i="57"/>
  <c r="S4" i="62" s="1"/>
  <c r="F14" i="57"/>
  <c r="K4" i="62" s="1"/>
  <c r="F6" i="57"/>
  <c r="C4" i="62" s="1"/>
  <c r="F20" i="57"/>
  <c r="Q4" i="62" s="1"/>
  <c r="F12" i="57"/>
  <c r="I4" i="62" s="1"/>
  <c r="F21" i="57"/>
  <c r="R4" i="62" s="1"/>
  <c r="F19" i="57"/>
  <c r="P4" i="62" s="1"/>
  <c r="F17" i="57"/>
  <c r="N4" i="62" s="1"/>
  <c r="F23" i="57"/>
  <c r="T4" i="62" s="1"/>
  <c r="F26" i="57"/>
  <c r="W4" i="62" s="1"/>
  <c r="F18" i="57"/>
  <c r="O4" i="62" s="1"/>
  <c r="F10" i="57"/>
  <c r="G4" i="62" s="1"/>
  <c r="F24" i="57"/>
  <c r="U4" i="62" s="1"/>
  <c r="F16" i="57"/>
  <c r="M4" i="62" s="1"/>
  <c r="F8" i="57"/>
  <c r="E4" i="62" s="1"/>
  <c r="F13" i="57"/>
  <c r="J4" i="62" s="1"/>
  <c r="F11" i="57"/>
  <c r="H4" i="62" s="1"/>
  <c r="F33" i="5" l="1"/>
  <c r="AD56" i="62" s="1"/>
  <c r="D56" i="65"/>
  <c r="E56" i="65" s="1"/>
  <c r="F33" i="25"/>
  <c r="AD36" i="62" s="1"/>
  <c r="D36" i="65"/>
  <c r="E36" i="65" s="1"/>
  <c r="C59" i="63"/>
  <c r="D59" i="63" s="1"/>
  <c r="F33" i="47"/>
  <c r="AD14" i="62" s="1"/>
  <c r="D14" i="65"/>
  <c r="E14" i="65" s="1"/>
  <c r="F33" i="38"/>
  <c r="AD23" i="62" s="1"/>
  <c r="D23" i="65"/>
  <c r="E23" i="65" s="1"/>
  <c r="C26" i="63"/>
  <c r="D26" i="63" s="1"/>
  <c r="C39" i="63"/>
  <c r="D39" i="63" s="1"/>
  <c r="F109" i="60"/>
  <c r="F118" i="60" s="1"/>
  <c r="E8" i="36"/>
  <c r="E16" i="36"/>
  <c r="E24" i="36"/>
  <c r="E32" i="36"/>
  <c r="E9" i="36"/>
  <c r="E17" i="36"/>
  <c r="E25" i="36"/>
  <c r="E6" i="36"/>
  <c r="E14" i="36"/>
  <c r="E22" i="36"/>
  <c r="E30" i="36"/>
  <c r="E11" i="36"/>
  <c r="E19" i="36"/>
  <c r="E27" i="36"/>
  <c r="E12" i="36"/>
  <c r="E20" i="36"/>
  <c r="E28" i="36"/>
  <c r="E5" i="36"/>
  <c r="E13" i="36"/>
  <c r="E21" i="36"/>
  <c r="E29" i="36"/>
  <c r="E18" i="36"/>
  <c r="E7" i="36"/>
  <c r="E23" i="36"/>
  <c r="E10" i="36"/>
  <c r="E26" i="36"/>
  <c r="E15" i="36"/>
  <c r="E31" i="36"/>
  <c r="E5" i="46"/>
  <c r="E13" i="46"/>
  <c r="E21" i="46"/>
  <c r="E29" i="46"/>
  <c r="E10" i="46"/>
  <c r="E18" i="46"/>
  <c r="E26" i="46"/>
  <c r="E7" i="46"/>
  <c r="E15" i="46"/>
  <c r="E23" i="46"/>
  <c r="E31" i="46"/>
  <c r="E12" i="46"/>
  <c r="E20" i="46"/>
  <c r="E28" i="46"/>
  <c r="E9" i="46"/>
  <c r="E17" i="46"/>
  <c r="E25" i="46"/>
  <c r="E6" i="46"/>
  <c r="E14" i="46"/>
  <c r="E22" i="46"/>
  <c r="E30" i="46"/>
  <c r="E11" i="46"/>
  <c r="E19" i="46"/>
  <c r="E27" i="46"/>
  <c r="E8" i="46"/>
  <c r="E16" i="46"/>
  <c r="E24" i="46"/>
  <c r="E32" i="46"/>
  <c r="E17" i="55"/>
  <c r="E31" i="55"/>
  <c r="E15" i="55"/>
  <c r="E30" i="55"/>
  <c r="E14" i="55"/>
  <c r="E32" i="55"/>
  <c r="E16" i="55"/>
  <c r="E29" i="55"/>
  <c r="E13" i="55"/>
  <c r="E27" i="55"/>
  <c r="E11" i="55"/>
  <c r="E18" i="55"/>
  <c r="E28" i="55"/>
  <c r="E25" i="55"/>
  <c r="E9" i="55"/>
  <c r="E23" i="55"/>
  <c r="E7" i="55"/>
  <c r="E22" i="55"/>
  <c r="E6" i="55"/>
  <c r="E24" i="55"/>
  <c r="E8" i="55"/>
  <c r="E21" i="55"/>
  <c r="E5" i="55"/>
  <c r="E19" i="55"/>
  <c r="E26" i="55"/>
  <c r="E10" i="55"/>
  <c r="E20" i="55"/>
  <c r="E12" i="55"/>
  <c r="E17" i="27"/>
  <c r="E6" i="27"/>
  <c r="E22" i="27"/>
  <c r="E24" i="27"/>
  <c r="E8" i="27"/>
  <c r="E19" i="27"/>
  <c r="E29" i="27"/>
  <c r="E28" i="27"/>
  <c r="E12" i="27"/>
  <c r="E23" i="27"/>
  <c r="E7" i="27"/>
  <c r="E26" i="27"/>
  <c r="E21" i="27"/>
  <c r="E9" i="27"/>
  <c r="E25" i="27"/>
  <c r="E14" i="27"/>
  <c r="E30" i="27"/>
  <c r="E32" i="27"/>
  <c r="E16" i="27"/>
  <c r="E27" i="27"/>
  <c r="E11" i="27"/>
  <c r="E18" i="27"/>
  <c r="E13" i="27"/>
  <c r="E20" i="27"/>
  <c r="E31" i="27"/>
  <c r="E15" i="27"/>
  <c r="E10" i="27"/>
  <c r="E5" i="27"/>
  <c r="E11" i="29"/>
  <c r="E27" i="29"/>
  <c r="E16" i="29"/>
  <c r="E32" i="29"/>
  <c r="E17" i="29"/>
  <c r="E30" i="29"/>
  <c r="E14" i="29"/>
  <c r="E21" i="29"/>
  <c r="E28" i="29"/>
  <c r="E23" i="29"/>
  <c r="E18" i="29"/>
  <c r="E29" i="29"/>
  <c r="E20" i="29"/>
  <c r="E15" i="29"/>
  <c r="E19" i="29"/>
  <c r="E8" i="29"/>
  <c r="E24" i="29"/>
  <c r="E9" i="29"/>
  <c r="E25" i="29"/>
  <c r="E22" i="29"/>
  <c r="E6" i="29"/>
  <c r="E5" i="29"/>
  <c r="E12" i="29"/>
  <c r="E7" i="29"/>
  <c r="E26" i="29"/>
  <c r="E10" i="29"/>
  <c r="E13" i="29"/>
  <c r="E31" i="29"/>
  <c r="E9" i="31"/>
  <c r="E25" i="31"/>
  <c r="E14" i="31"/>
  <c r="E30" i="31"/>
  <c r="E19" i="31"/>
  <c r="E8" i="31"/>
  <c r="E24" i="31"/>
  <c r="E20" i="31"/>
  <c r="E15" i="31"/>
  <c r="E18" i="31"/>
  <c r="E13" i="31"/>
  <c r="E28" i="31"/>
  <c r="E23" i="31"/>
  <c r="E10" i="31"/>
  <c r="E5" i="31"/>
  <c r="E17" i="31"/>
  <c r="E6" i="31"/>
  <c r="E22" i="31"/>
  <c r="E11" i="31"/>
  <c r="E27" i="31"/>
  <c r="E16" i="31"/>
  <c r="E32" i="31"/>
  <c r="E31" i="31"/>
  <c r="E29" i="31"/>
  <c r="E12" i="31"/>
  <c r="E7" i="31"/>
  <c r="E26" i="31"/>
  <c r="E21" i="31"/>
  <c r="E6" i="34"/>
  <c r="E14" i="34"/>
  <c r="E22" i="34"/>
  <c r="E30" i="34"/>
  <c r="E11" i="34"/>
  <c r="E19" i="34"/>
  <c r="E27" i="34"/>
  <c r="E8" i="34"/>
  <c r="E16" i="34"/>
  <c r="E24" i="34"/>
  <c r="E32" i="34"/>
  <c r="E9" i="34"/>
  <c r="E17" i="34"/>
  <c r="E25" i="34"/>
  <c r="E10" i="34"/>
  <c r="E18" i="34"/>
  <c r="E26" i="34"/>
  <c r="E7" i="34"/>
  <c r="E15" i="34"/>
  <c r="E23" i="34"/>
  <c r="E31" i="34"/>
  <c r="E12" i="34"/>
  <c r="E28" i="34"/>
  <c r="E13" i="34"/>
  <c r="E29" i="34"/>
  <c r="E20" i="34"/>
  <c r="E5" i="34"/>
  <c r="E21" i="34"/>
  <c r="E19" i="21"/>
  <c r="E8" i="21"/>
  <c r="E24" i="21"/>
  <c r="E30" i="21"/>
  <c r="E14" i="21"/>
  <c r="E25" i="21"/>
  <c r="E9" i="21"/>
  <c r="E12" i="21"/>
  <c r="E7" i="21"/>
  <c r="E18" i="21"/>
  <c r="E29" i="21"/>
  <c r="E13" i="21"/>
  <c r="E20" i="21"/>
  <c r="E15" i="21"/>
  <c r="E11" i="21"/>
  <c r="E27" i="21"/>
  <c r="E16" i="21"/>
  <c r="E32" i="21"/>
  <c r="E22" i="21"/>
  <c r="E6" i="21"/>
  <c r="E17" i="21"/>
  <c r="E28" i="21"/>
  <c r="E23" i="21"/>
  <c r="E26" i="21"/>
  <c r="E10" i="21"/>
  <c r="E21" i="21"/>
  <c r="E5" i="21"/>
  <c r="E31" i="21"/>
  <c r="E9" i="23"/>
  <c r="E25" i="23"/>
  <c r="E14" i="23"/>
  <c r="E30" i="23"/>
  <c r="E24" i="23"/>
  <c r="E8" i="23"/>
  <c r="E19" i="23"/>
  <c r="E29" i="23"/>
  <c r="E28" i="23"/>
  <c r="E12" i="23"/>
  <c r="E23" i="23"/>
  <c r="E7" i="23"/>
  <c r="E10" i="23"/>
  <c r="E5" i="23"/>
  <c r="E17" i="23"/>
  <c r="E6" i="23"/>
  <c r="E22" i="23"/>
  <c r="E32" i="23"/>
  <c r="E16" i="23"/>
  <c r="E27" i="23"/>
  <c r="E11" i="23"/>
  <c r="E18" i="23"/>
  <c r="E13" i="23"/>
  <c r="E20" i="23"/>
  <c r="E31" i="23"/>
  <c r="E15" i="23"/>
  <c r="E26" i="23"/>
  <c r="E21" i="23"/>
  <c r="E8" i="51"/>
  <c r="E24" i="51"/>
  <c r="E9" i="51"/>
  <c r="E25" i="51"/>
  <c r="E14" i="51"/>
  <c r="E30" i="51"/>
  <c r="E19" i="51"/>
  <c r="E12" i="51"/>
  <c r="E28" i="51"/>
  <c r="E13" i="51"/>
  <c r="E29" i="51"/>
  <c r="E23" i="51"/>
  <c r="E18" i="51"/>
  <c r="E31" i="51"/>
  <c r="E26" i="51"/>
  <c r="E16" i="51"/>
  <c r="E32" i="51"/>
  <c r="E17" i="51"/>
  <c r="E6" i="51"/>
  <c r="E22" i="51"/>
  <c r="E11" i="51"/>
  <c r="E27" i="51"/>
  <c r="E20" i="51"/>
  <c r="E5" i="51"/>
  <c r="E21" i="51"/>
  <c r="E7" i="51"/>
  <c r="E15" i="51"/>
  <c r="E10" i="51"/>
  <c r="E17" i="52"/>
  <c r="E6" i="52"/>
  <c r="E22" i="52"/>
  <c r="E7" i="52"/>
  <c r="E23" i="52"/>
  <c r="E12" i="52"/>
  <c r="E28" i="52"/>
  <c r="E13" i="52"/>
  <c r="E29" i="52"/>
  <c r="E18" i="52"/>
  <c r="E11" i="52"/>
  <c r="E27" i="52"/>
  <c r="E16" i="52"/>
  <c r="E32" i="52"/>
  <c r="E9" i="52"/>
  <c r="E25" i="52"/>
  <c r="E14" i="52"/>
  <c r="E30" i="52"/>
  <c r="E15" i="52"/>
  <c r="E31" i="52"/>
  <c r="E20" i="52"/>
  <c r="E5" i="52"/>
  <c r="E21" i="52"/>
  <c r="E10" i="52"/>
  <c r="E26" i="52"/>
  <c r="E19" i="52"/>
  <c r="E8" i="52"/>
  <c r="E24" i="52"/>
  <c r="E31" i="56"/>
  <c r="E15" i="56"/>
  <c r="E22" i="56"/>
  <c r="E6" i="56"/>
  <c r="E20" i="56"/>
  <c r="E25" i="56"/>
  <c r="E9" i="56"/>
  <c r="E19" i="56"/>
  <c r="E26" i="56"/>
  <c r="E10" i="56"/>
  <c r="E24" i="56"/>
  <c r="E8" i="56"/>
  <c r="E21" i="56"/>
  <c r="E5" i="56"/>
  <c r="E23" i="56"/>
  <c r="E30" i="56"/>
  <c r="E14" i="56"/>
  <c r="E28" i="56"/>
  <c r="E12" i="56"/>
  <c r="E17" i="56"/>
  <c r="E27" i="56"/>
  <c r="E11" i="56"/>
  <c r="E18" i="56"/>
  <c r="E32" i="56"/>
  <c r="E16" i="56"/>
  <c r="E29" i="56"/>
  <c r="E13" i="56"/>
  <c r="E7" i="56"/>
  <c r="E29" i="59"/>
  <c r="E28" i="59"/>
  <c r="E14" i="59"/>
  <c r="E30" i="59"/>
  <c r="E19" i="59"/>
  <c r="E8" i="59"/>
  <c r="E24" i="59"/>
  <c r="E9" i="59"/>
  <c r="E25" i="59"/>
  <c r="E18" i="59"/>
  <c r="E7" i="59"/>
  <c r="E23" i="59"/>
  <c r="E5" i="59"/>
  <c r="E12" i="59"/>
  <c r="E13" i="59"/>
  <c r="E6" i="59"/>
  <c r="E22" i="59"/>
  <c r="E11" i="59"/>
  <c r="E27" i="59"/>
  <c r="E16" i="59"/>
  <c r="E32" i="59"/>
  <c r="E17" i="59"/>
  <c r="E10" i="59"/>
  <c r="E26" i="59"/>
  <c r="E15" i="59"/>
  <c r="E31" i="59"/>
  <c r="E21" i="59"/>
  <c r="E20" i="59"/>
  <c r="E18" i="4"/>
  <c r="E7" i="4"/>
  <c r="E8" i="4"/>
  <c r="E24" i="4"/>
  <c r="E9" i="4"/>
  <c r="E25" i="4"/>
  <c r="E14" i="4"/>
  <c r="E30" i="4"/>
  <c r="E19" i="4"/>
  <c r="E12" i="4"/>
  <c r="E28" i="4"/>
  <c r="E13" i="4"/>
  <c r="E29" i="4"/>
  <c r="E31" i="4"/>
  <c r="E26" i="4"/>
  <c r="E23" i="4"/>
  <c r="E16" i="4"/>
  <c r="E32" i="4"/>
  <c r="E17" i="4"/>
  <c r="E6" i="4"/>
  <c r="E22" i="4"/>
  <c r="E11" i="4"/>
  <c r="E27" i="4"/>
  <c r="E20" i="4"/>
  <c r="E5" i="4"/>
  <c r="E21" i="4"/>
  <c r="E15" i="4"/>
  <c r="E10" i="4"/>
  <c r="E9" i="6"/>
  <c r="E14" i="6"/>
  <c r="E15" i="6"/>
  <c r="E31" i="6"/>
  <c r="E20" i="6"/>
  <c r="E5" i="6"/>
  <c r="E21" i="6"/>
  <c r="E10" i="6"/>
  <c r="E26" i="6"/>
  <c r="E19" i="6"/>
  <c r="E8" i="6"/>
  <c r="E24" i="6"/>
  <c r="E22" i="6"/>
  <c r="E17" i="6"/>
  <c r="E30" i="6"/>
  <c r="E25" i="6"/>
  <c r="E7" i="6"/>
  <c r="E23" i="6"/>
  <c r="E12" i="6"/>
  <c r="E28" i="6"/>
  <c r="E13" i="6"/>
  <c r="E29" i="6"/>
  <c r="E18" i="6"/>
  <c r="E11" i="6"/>
  <c r="E27" i="6"/>
  <c r="E16" i="6"/>
  <c r="E32" i="6"/>
  <c r="E6" i="6"/>
  <c r="E24" i="8"/>
  <c r="E5" i="8"/>
  <c r="E17" i="8"/>
  <c r="E10" i="8"/>
  <c r="E26" i="8"/>
  <c r="E11" i="8"/>
  <c r="E27" i="8"/>
  <c r="E20" i="8"/>
  <c r="E9" i="8"/>
  <c r="E21" i="8"/>
  <c r="E14" i="8"/>
  <c r="E30" i="8"/>
  <c r="E16" i="8"/>
  <c r="E8" i="8"/>
  <c r="E15" i="8"/>
  <c r="E31" i="8"/>
  <c r="E6" i="8"/>
  <c r="E25" i="8"/>
  <c r="E18" i="8"/>
  <c r="E7" i="8"/>
  <c r="E19" i="8"/>
  <c r="E12" i="8"/>
  <c r="E28" i="8"/>
  <c r="E13" i="8"/>
  <c r="E29" i="8"/>
  <c r="E22" i="8"/>
  <c r="E32" i="8"/>
  <c r="E23" i="8"/>
  <c r="E14" i="9"/>
  <c r="E30" i="9"/>
  <c r="E19" i="9"/>
  <c r="E25" i="9"/>
  <c r="E9" i="9"/>
  <c r="E24" i="9"/>
  <c r="E8" i="9"/>
  <c r="E31" i="9"/>
  <c r="E26" i="9"/>
  <c r="E29" i="9"/>
  <c r="E13" i="9"/>
  <c r="E28" i="9"/>
  <c r="E12" i="9"/>
  <c r="E7" i="9"/>
  <c r="E6" i="9"/>
  <c r="E22" i="9"/>
  <c r="E11" i="9"/>
  <c r="E27" i="9"/>
  <c r="E17" i="9"/>
  <c r="E32" i="9"/>
  <c r="E16" i="9"/>
  <c r="E15" i="9"/>
  <c r="E10" i="9"/>
  <c r="E21" i="9"/>
  <c r="E5" i="9"/>
  <c r="E20" i="9"/>
  <c r="E23" i="9"/>
  <c r="E18" i="9"/>
  <c r="E15" i="16"/>
  <c r="E8" i="16"/>
  <c r="E24" i="16"/>
  <c r="E9" i="16"/>
  <c r="E25" i="16"/>
  <c r="E14" i="16"/>
  <c r="E30" i="16"/>
  <c r="E19" i="16"/>
  <c r="E12" i="16"/>
  <c r="E28" i="16"/>
  <c r="E13" i="16"/>
  <c r="E29" i="16"/>
  <c r="E23" i="16"/>
  <c r="E18" i="16"/>
  <c r="E10" i="16"/>
  <c r="E31" i="16"/>
  <c r="E26" i="16"/>
  <c r="E16" i="16"/>
  <c r="E32" i="16"/>
  <c r="E17" i="16"/>
  <c r="E6" i="16"/>
  <c r="E22" i="16"/>
  <c r="E11" i="16"/>
  <c r="E27" i="16"/>
  <c r="E20" i="16"/>
  <c r="E5" i="16"/>
  <c r="E21" i="16"/>
  <c r="E7" i="16"/>
  <c r="E11" i="33"/>
  <c r="E19" i="33"/>
  <c r="E27" i="33"/>
  <c r="E8" i="33"/>
  <c r="E16" i="33"/>
  <c r="E24" i="33"/>
  <c r="E32" i="33"/>
  <c r="E9" i="33"/>
  <c r="E17" i="33"/>
  <c r="E25" i="33"/>
  <c r="E6" i="33"/>
  <c r="E14" i="33"/>
  <c r="E22" i="33"/>
  <c r="E30" i="33"/>
  <c r="E15" i="33"/>
  <c r="E31" i="33"/>
  <c r="E20" i="33"/>
  <c r="E13" i="33"/>
  <c r="E29" i="33"/>
  <c r="E18" i="33"/>
  <c r="E7" i="33"/>
  <c r="E23" i="33"/>
  <c r="E12" i="33"/>
  <c r="E28" i="33"/>
  <c r="E5" i="33"/>
  <c r="E21" i="33"/>
  <c r="E10" i="33"/>
  <c r="E26" i="33"/>
  <c r="E11" i="37"/>
  <c r="E19" i="37"/>
  <c r="E27" i="37"/>
  <c r="E8" i="37"/>
  <c r="E16" i="37"/>
  <c r="E24" i="37"/>
  <c r="E32" i="37"/>
  <c r="E9" i="37"/>
  <c r="E17" i="37"/>
  <c r="E25" i="37"/>
  <c r="E6" i="37"/>
  <c r="E14" i="37"/>
  <c r="E22" i="37"/>
  <c r="E30" i="37"/>
  <c r="E15" i="37"/>
  <c r="E31" i="37"/>
  <c r="E20" i="37"/>
  <c r="E13" i="37"/>
  <c r="E29" i="37"/>
  <c r="E18" i="37"/>
  <c r="E7" i="37"/>
  <c r="E23" i="37"/>
  <c r="E12" i="37"/>
  <c r="E28" i="37"/>
  <c r="E5" i="37"/>
  <c r="E21" i="37"/>
  <c r="E10" i="37"/>
  <c r="E26" i="37"/>
  <c r="E11" i="50"/>
  <c r="E19" i="50"/>
  <c r="E27" i="50"/>
  <c r="E8" i="50"/>
  <c r="E16" i="50"/>
  <c r="E24" i="50"/>
  <c r="E32" i="50"/>
  <c r="E5" i="50"/>
  <c r="E13" i="50"/>
  <c r="E21" i="50"/>
  <c r="E29" i="50"/>
  <c r="E10" i="50"/>
  <c r="E18" i="50"/>
  <c r="E26" i="50"/>
  <c r="E7" i="50"/>
  <c r="E15" i="50"/>
  <c r="E23" i="50"/>
  <c r="E31" i="50"/>
  <c r="E12" i="50"/>
  <c r="E20" i="50"/>
  <c r="E28" i="50"/>
  <c r="E9" i="50"/>
  <c r="E17" i="50"/>
  <c r="E25" i="50"/>
  <c r="E6" i="50"/>
  <c r="E14" i="50"/>
  <c r="E22" i="50"/>
  <c r="E30" i="50"/>
  <c r="E12" i="53"/>
  <c r="E13" i="53"/>
  <c r="E14" i="53"/>
  <c r="E30" i="53"/>
  <c r="E19" i="53"/>
  <c r="E8" i="53"/>
  <c r="E24" i="53"/>
  <c r="E9" i="53"/>
  <c r="E25" i="53"/>
  <c r="E18" i="53"/>
  <c r="E7" i="53"/>
  <c r="E23" i="53"/>
  <c r="E21" i="53"/>
  <c r="E20" i="53"/>
  <c r="E29" i="53"/>
  <c r="E28" i="53"/>
  <c r="E6" i="53"/>
  <c r="E22" i="53"/>
  <c r="E11" i="53"/>
  <c r="E27" i="53"/>
  <c r="E16" i="53"/>
  <c r="E32" i="53"/>
  <c r="E17" i="53"/>
  <c r="E10" i="53"/>
  <c r="E26" i="53"/>
  <c r="E15" i="53"/>
  <c r="E31" i="53"/>
  <c r="E5" i="53"/>
  <c r="E15" i="24"/>
  <c r="E8" i="24"/>
  <c r="E24" i="24"/>
  <c r="E9" i="24"/>
  <c r="E25" i="24"/>
  <c r="E14" i="24"/>
  <c r="E30" i="24"/>
  <c r="E19" i="24"/>
  <c r="E12" i="24"/>
  <c r="E28" i="24"/>
  <c r="E13" i="24"/>
  <c r="E29" i="24"/>
  <c r="E23" i="24"/>
  <c r="E18" i="24"/>
  <c r="E10" i="24"/>
  <c r="E31" i="24"/>
  <c r="E26" i="24"/>
  <c r="E16" i="24"/>
  <c r="E32" i="24"/>
  <c r="E17" i="24"/>
  <c r="E6" i="24"/>
  <c r="E22" i="24"/>
  <c r="E11" i="24"/>
  <c r="E27" i="24"/>
  <c r="E20" i="24"/>
  <c r="E5" i="24"/>
  <c r="E21" i="24"/>
  <c r="E7" i="24"/>
  <c r="E15" i="44"/>
  <c r="E31" i="44"/>
  <c r="E20" i="44"/>
  <c r="E5" i="44"/>
  <c r="E21" i="44"/>
  <c r="E10" i="44"/>
  <c r="E26" i="44"/>
  <c r="E19" i="44"/>
  <c r="E8" i="44"/>
  <c r="E24" i="44"/>
  <c r="E9" i="44"/>
  <c r="E25" i="44"/>
  <c r="E14" i="44"/>
  <c r="E30" i="44"/>
  <c r="E7" i="44"/>
  <c r="E23" i="44"/>
  <c r="E12" i="44"/>
  <c r="E28" i="44"/>
  <c r="E13" i="44"/>
  <c r="E29" i="44"/>
  <c r="E18" i="44"/>
  <c r="E11" i="44"/>
  <c r="E27" i="44"/>
  <c r="E16" i="44"/>
  <c r="E32" i="44"/>
  <c r="E17" i="44"/>
  <c r="E6" i="44"/>
  <c r="E22" i="44"/>
  <c r="E17" i="48"/>
  <c r="E6" i="48"/>
  <c r="E22" i="48"/>
  <c r="E7" i="48"/>
  <c r="E23" i="48"/>
  <c r="E12" i="48"/>
  <c r="E28" i="48"/>
  <c r="E13" i="48"/>
  <c r="E29" i="48"/>
  <c r="E18" i="48"/>
  <c r="E11" i="48"/>
  <c r="E27" i="48"/>
  <c r="E16" i="48"/>
  <c r="E32" i="48"/>
  <c r="E9" i="48"/>
  <c r="E25" i="48"/>
  <c r="E14" i="48"/>
  <c r="E30" i="48"/>
  <c r="E15" i="48"/>
  <c r="E31" i="48"/>
  <c r="E20" i="48"/>
  <c r="E5" i="48"/>
  <c r="E21" i="48"/>
  <c r="E10" i="48"/>
  <c r="E26" i="48"/>
  <c r="E19" i="48"/>
  <c r="E8" i="48"/>
  <c r="E24" i="48"/>
  <c r="E17" i="54"/>
  <c r="E8" i="54"/>
  <c r="E24" i="54"/>
  <c r="E7" i="54"/>
  <c r="E23" i="54"/>
  <c r="E10" i="54"/>
  <c r="E26" i="54"/>
  <c r="E13" i="54"/>
  <c r="E29" i="54"/>
  <c r="E20" i="54"/>
  <c r="E11" i="54"/>
  <c r="E27" i="54"/>
  <c r="E14" i="54"/>
  <c r="E30" i="54"/>
  <c r="E9" i="54"/>
  <c r="E25" i="54"/>
  <c r="E16" i="54"/>
  <c r="E32" i="54"/>
  <c r="E15" i="54"/>
  <c r="E31" i="54"/>
  <c r="E18" i="54"/>
  <c r="E5" i="54"/>
  <c r="E21" i="54"/>
  <c r="E12" i="54"/>
  <c r="E28" i="54"/>
  <c r="E19" i="54"/>
  <c r="E6" i="54"/>
  <c r="E22" i="54"/>
  <c r="E8" i="32"/>
  <c r="E16" i="32"/>
  <c r="E24" i="32"/>
  <c r="E32" i="32"/>
  <c r="E9" i="32"/>
  <c r="E17" i="32"/>
  <c r="E25" i="32"/>
  <c r="E6" i="32"/>
  <c r="E14" i="32"/>
  <c r="E22" i="32"/>
  <c r="E30" i="32"/>
  <c r="E11" i="32"/>
  <c r="E19" i="32"/>
  <c r="E27" i="32"/>
  <c r="E12" i="32"/>
  <c r="E20" i="32"/>
  <c r="E28" i="32"/>
  <c r="E5" i="32"/>
  <c r="E13" i="32"/>
  <c r="E21" i="32"/>
  <c r="E29" i="32"/>
  <c r="E18" i="32"/>
  <c r="E7" i="32"/>
  <c r="E23" i="32"/>
  <c r="E10" i="32"/>
  <c r="E26" i="32"/>
  <c r="E15" i="32"/>
  <c r="E31" i="32"/>
  <c r="E6" i="49"/>
  <c r="E14" i="49"/>
  <c r="E22" i="49"/>
  <c r="E30" i="49"/>
  <c r="E8" i="49"/>
  <c r="E16" i="49"/>
  <c r="E24" i="49"/>
  <c r="E32" i="49"/>
  <c r="E9" i="49"/>
  <c r="E17" i="49"/>
  <c r="E25" i="49"/>
  <c r="E15" i="49"/>
  <c r="E23" i="49"/>
  <c r="E31" i="49"/>
  <c r="E10" i="49"/>
  <c r="E18" i="49"/>
  <c r="E26" i="49"/>
  <c r="E7" i="49"/>
  <c r="E20" i="49"/>
  <c r="E5" i="49"/>
  <c r="E21" i="49"/>
  <c r="E19" i="49"/>
  <c r="E12" i="49"/>
  <c r="E28" i="49"/>
  <c r="E13" i="49"/>
  <c r="E29" i="49"/>
  <c r="E11" i="49"/>
  <c r="E27" i="49"/>
  <c r="E15" i="13"/>
  <c r="E31" i="13"/>
  <c r="E20" i="13"/>
  <c r="E26" i="13"/>
  <c r="E10" i="13"/>
  <c r="E21" i="13"/>
  <c r="E5" i="13"/>
  <c r="E16" i="13"/>
  <c r="E11" i="13"/>
  <c r="E30" i="13"/>
  <c r="E14" i="13"/>
  <c r="E25" i="13"/>
  <c r="E9" i="13"/>
  <c r="E24" i="13"/>
  <c r="E19" i="13"/>
  <c r="E7" i="13"/>
  <c r="E23" i="13"/>
  <c r="E12" i="13"/>
  <c r="E28" i="13"/>
  <c r="E18" i="13"/>
  <c r="E29" i="13"/>
  <c r="E13" i="13"/>
  <c r="E32" i="13"/>
  <c r="E27" i="13"/>
  <c r="E22" i="13"/>
  <c r="E6" i="13"/>
  <c r="E17" i="13"/>
  <c r="E8" i="13"/>
  <c r="E15" i="17"/>
  <c r="E31" i="17"/>
  <c r="E20" i="17"/>
  <c r="E26" i="17"/>
  <c r="E10" i="17"/>
  <c r="E21" i="17"/>
  <c r="E5" i="17"/>
  <c r="E32" i="17"/>
  <c r="E27" i="17"/>
  <c r="E30" i="17"/>
  <c r="E14" i="17"/>
  <c r="E25" i="17"/>
  <c r="E9" i="17"/>
  <c r="E8" i="17"/>
  <c r="E7" i="17"/>
  <c r="E23" i="17"/>
  <c r="E12" i="17"/>
  <c r="E28" i="17"/>
  <c r="E18" i="17"/>
  <c r="E29" i="17"/>
  <c r="E13" i="17"/>
  <c r="E16" i="17"/>
  <c r="E11" i="17"/>
  <c r="E22" i="17"/>
  <c r="E6" i="17"/>
  <c r="E17" i="17"/>
  <c r="E24" i="17"/>
  <c r="E19" i="17"/>
  <c r="E31" i="20"/>
  <c r="E26" i="20"/>
  <c r="E8" i="20"/>
  <c r="E24" i="20"/>
  <c r="E9" i="20"/>
  <c r="E25" i="20"/>
  <c r="E14" i="20"/>
  <c r="E30" i="20"/>
  <c r="E19" i="20"/>
  <c r="E12" i="20"/>
  <c r="E28" i="20"/>
  <c r="E13" i="20"/>
  <c r="E29" i="20"/>
  <c r="E7" i="20"/>
  <c r="E10" i="20"/>
  <c r="E15" i="20"/>
  <c r="E16" i="20"/>
  <c r="E32" i="20"/>
  <c r="E17" i="20"/>
  <c r="E6" i="20"/>
  <c r="E22" i="20"/>
  <c r="E11" i="20"/>
  <c r="E27" i="20"/>
  <c r="E20" i="20"/>
  <c r="E5" i="20"/>
  <c r="E21" i="20"/>
  <c r="E23" i="20"/>
  <c r="E18" i="20"/>
  <c r="E30" i="10"/>
  <c r="E25" i="10"/>
  <c r="E7" i="10"/>
  <c r="E23" i="10"/>
  <c r="E12" i="10"/>
  <c r="E28" i="10"/>
  <c r="E13" i="10"/>
  <c r="E29" i="10"/>
  <c r="E18" i="10"/>
  <c r="E11" i="10"/>
  <c r="E27" i="10"/>
  <c r="E16" i="10"/>
  <c r="E32" i="10"/>
  <c r="E6" i="10"/>
  <c r="E9" i="10"/>
  <c r="E14" i="10"/>
  <c r="E15" i="10"/>
  <c r="E31" i="10"/>
  <c r="E20" i="10"/>
  <c r="E5" i="10"/>
  <c r="E21" i="10"/>
  <c r="E10" i="10"/>
  <c r="E26" i="10"/>
  <c r="E19" i="10"/>
  <c r="E8" i="10"/>
  <c r="E24" i="10"/>
  <c r="E22" i="10"/>
  <c r="E17" i="10"/>
  <c r="E20" i="14"/>
  <c r="E5" i="14"/>
  <c r="E14" i="14"/>
  <c r="E30" i="14"/>
  <c r="E19" i="14"/>
  <c r="E8" i="14"/>
  <c r="E24" i="14"/>
  <c r="E9" i="14"/>
  <c r="E25" i="14"/>
  <c r="E18" i="14"/>
  <c r="E7" i="14"/>
  <c r="E23" i="14"/>
  <c r="E29" i="14"/>
  <c r="E28" i="14"/>
  <c r="E21" i="14"/>
  <c r="E6" i="14"/>
  <c r="E22" i="14"/>
  <c r="E11" i="14"/>
  <c r="E27" i="14"/>
  <c r="E16" i="14"/>
  <c r="E32" i="14"/>
  <c r="E17" i="14"/>
  <c r="E10" i="14"/>
  <c r="E26" i="14"/>
  <c r="E15" i="14"/>
  <c r="E31" i="14"/>
  <c r="E13" i="14"/>
  <c r="E12" i="14"/>
  <c r="E20" i="18"/>
  <c r="E21" i="18"/>
  <c r="E14" i="18"/>
  <c r="E30" i="18"/>
  <c r="E19" i="18"/>
  <c r="E8" i="18"/>
  <c r="E24" i="18"/>
  <c r="E9" i="18"/>
  <c r="E25" i="18"/>
  <c r="E18" i="18"/>
  <c r="E7" i="18"/>
  <c r="E23" i="18"/>
  <c r="E13" i="18"/>
  <c r="E12" i="18"/>
  <c r="E5" i="18"/>
  <c r="E6" i="18"/>
  <c r="E22" i="18"/>
  <c r="E11" i="18"/>
  <c r="E27" i="18"/>
  <c r="E16" i="18"/>
  <c r="E32" i="18"/>
  <c r="E17" i="18"/>
  <c r="E10" i="18"/>
  <c r="E26" i="18"/>
  <c r="E15" i="18"/>
  <c r="E31" i="18"/>
  <c r="E29" i="18"/>
  <c r="E28" i="18"/>
  <c r="E5" i="40"/>
  <c r="E6" i="40"/>
  <c r="E9" i="40"/>
  <c r="E25" i="40"/>
  <c r="E10" i="40"/>
  <c r="E32" i="40"/>
  <c r="E19" i="40"/>
  <c r="E8" i="40"/>
  <c r="E14" i="40"/>
  <c r="E13" i="40"/>
  <c r="E29" i="40"/>
  <c r="E31" i="40"/>
  <c r="E28" i="40"/>
  <c r="E23" i="40"/>
  <c r="E18" i="40"/>
  <c r="E16" i="40"/>
  <c r="E22" i="40"/>
  <c r="E17" i="40"/>
  <c r="E12" i="40"/>
  <c r="E26" i="40"/>
  <c r="E11" i="40"/>
  <c r="E27" i="40"/>
  <c r="E24" i="40"/>
  <c r="E30" i="40"/>
  <c r="E21" i="40"/>
  <c r="E20" i="40"/>
  <c r="E15" i="40"/>
  <c r="E7" i="40"/>
  <c r="E5" i="42"/>
  <c r="E15" i="42"/>
  <c r="E31" i="42"/>
  <c r="E20" i="42"/>
  <c r="E13" i="42"/>
  <c r="E29" i="42"/>
  <c r="E18" i="42"/>
  <c r="E9" i="42"/>
  <c r="E19" i="42"/>
  <c r="E8" i="42"/>
  <c r="E24" i="42"/>
  <c r="E17" i="42"/>
  <c r="E6" i="42"/>
  <c r="E22" i="42"/>
  <c r="E7" i="42"/>
  <c r="E23" i="42"/>
  <c r="E12" i="42"/>
  <c r="E28" i="42"/>
  <c r="E21" i="42"/>
  <c r="E10" i="42"/>
  <c r="E26" i="42"/>
  <c r="E11" i="42"/>
  <c r="E27" i="42"/>
  <c r="E16" i="42"/>
  <c r="E32" i="42"/>
  <c r="E25" i="42"/>
  <c r="E14" i="42"/>
  <c r="E30" i="42"/>
  <c r="E8" i="11"/>
  <c r="E24" i="11"/>
  <c r="E9" i="11"/>
  <c r="E25" i="11"/>
  <c r="E19" i="11"/>
  <c r="E30" i="11"/>
  <c r="E14" i="11"/>
  <c r="E21" i="11"/>
  <c r="E20" i="11"/>
  <c r="E23" i="11"/>
  <c r="E7" i="11"/>
  <c r="E18" i="11"/>
  <c r="E29" i="11"/>
  <c r="E28" i="11"/>
  <c r="E16" i="11"/>
  <c r="E32" i="11"/>
  <c r="E17" i="11"/>
  <c r="E27" i="11"/>
  <c r="E11" i="11"/>
  <c r="E22" i="11"/>
  <c r="E6" i="11"/>
  <c r="E5" i="11"/>
  <c r="E31" i="11"/>
  <c r="E15" i="11"/>
  <c r="E26" i="11"/>
  <c r="E10" i="11"/>
  <c r="E13" i="11"/>
  <c r="E12" i="11"/>
  <c r="E5" i="15"/>
  <c r="E21" i="15"/>
  <c r="E10" i="15"/>
  <c r="E26" i="15"/>
  <c r="E20" i="15"/>
  <c r="E31" i="15"/>
  <c r="E15" i="15"/>
  <c r="E6" i="15"/>
  <c r="E24" i="15"/>
  <c r="E8" i="15"/>
  <c r="E19" i="15"/>
  <c r="E14" i="15"/>
  <c r="E9" i="15"/>
  <c r="E13" i="15"/>
  <c r="E29" i="15"/>
  <c r="E18" i="15"/>
  <c r="E28" i="15"/>
  <c r="E12" i="15"/>
  <c r="E23" i="15"/>
  <c r="E7" i="15"/>
  <c r="E22" i="15"/>
  <c r="E17" i="15"/>
  <c r="E32" i="15"/>
  <c r="E16" i="15"/>
  <c r="E27" i="15"/>
  <c r="E11" i="15"/>
  <c r="E30" i="15"/>
  <c r="E25" i="15"/>
  <c r="E9" i="19"/>
  <c r="E12" i="19"/>
  <c r="E27" i="19"/>
  <c r="E29" i="19"/>
  <c r="E14" i="19"/>
  <c r="E19" i="19"/>
  <c r="E31" i="19"/>
  <c r="E13" i="19"/>
  <c r="E24" i="19"/>
  <c r="E18" i="19"/>
  <c r="E22" i="19"/>
  <c r="E7" i="19"/>
  <c r="E30" i="19"/>
  <c r="E8" i="19"/>
  <c r="E17" i="19"/>
  <c r="E20" i="19"/>
  <c r="E26" i="19"/>
  <c r="E28" i="19"/>
  <c r="E21" i="19"/>
  <c r="E6" i="19"/>
  <c r="E11" i="19"/>
  <c r="E16" i="19"/>
  <c r="E32" i="19"/>
  <c r="E25" i="19"/>
  <c r="E10" i="19"/>
  <c r="E15" i="19"/>
  <c r="E23" i="19"/>
  <c r="E5" i="19"/>
  <c r="E9" i="35"/>
  <c r="E17" i="35"/>
  <c r="E25" i="35"/>
  <c r="E6" i="35"/>
  <c r="E14" i="35"/>
  <c r="E22" i="35"/>
  <c r="E30" i="35"/>
  <c r="E11" i="35"/>
  <c r="E19" i="35"/>
  <c r="E27" i="35"/>
  <c r="E8" i="35"/>
  <c r="E16" i="35"/>
  <c r="E24" i="35"/>
  <c r="E32" i="35"/>
  <c r="E5" i="35"/>
  <c r="E21" i="35"/>
  <c r="E10" i="35"/>
  <c r="E26" i="35"/>
  <c r="E7" i="35"/>
  <c r="E23" i="35"/>
  <c r="E12" i="35"/>
  <c r="E28" i="35"/>
  <c r="E13" i="35"/>
  <c r="E29" i="35"/>
  <c r="E18" i="35"/>
  <c r="E15" i="35"/>
  <c r="E31" i="35"/>
  <c r="E20" i="35"/>
  <c r="E10" i="45"/>
  <c r="E18" i="45"/>
  <c r="E26" i="45"/>
  <c r="E7" i="45"/>
  <c r="E15" i="45"/>
  <c r="E23" i="45"/>
  <c r="E31" i="45"/>
  <c r="E12" i="45"/>
  <c r="E20" i="45"/>
  <c r="E28" i="45"/>
  <c r="E5" i="45"/>
  <c r="E13" i="45"/>
  <c r="E21" i="45"/>
  <c r="E29" i="45"/>
  <c r="E14" i="45"/>
  <c r="E30" i="45"/>
  <c r="E19" i="45"/>
  <c r="E16" i="45"/>
  <c r="E32" i="45"/>
  <c r="E17" i="45"/>
  <c r="E6" i="45"/>
  <c r="E22" i="45"/>
  <c r="E11" i="45"/>
  <c r="E27" i="45"/>
  <c r="E8" i="45"/>
  <c r="E24" i="45"/>
  <c r="E9" i="45"/>
  <c r="E25" i="45"/>
  <c r="E20" i="22"/>
  <c r="E5" i="22"/>
  <c r="E14" i="22"/>
  <c r="E30" i="22"/>
  <c r="E19" i="22"/>
  <c r="E8" i="22"/>
  <c r="E24" i="22"/>
  <c r="E9" i="22"/>
  <c r="E25" i="22"/>
  <c r="E18" i="22"/>
  <c r="E7" i="22"/>
  <c r="E23" i="22"/>
  <c r="E29" i="22"/>
  <c r="E28" i="22"/>
  <c r="E21" i="22"/>
  <c r="E6" i="22"/>
  <c r="E22" i="22"/>
  <c r="E11" i="22"/>
  <c r="E27" i="22"/>
  <c r="E16" i="22"/>
  <c r="E32" i="22"/>
  <c r="E17" i="22"/>
  <c r="E10" i="22"/>
  <c r="E26" i="22"/>
  <c r="E15" i="22"/>
  <c r="E31" i="22"/>
  <c r="E13" i="22"/>
  <c r="E12" i="22"/>
  <c r="E11" i="1"/>
  <c r="E26" i="1"/>
  <c r="E27" i="1"/>
  <c r="E12" i="1"/>
  <c r="E5" i="1"/>
  <c r="E32" i="1"/>
  <c r="E17" i="1"/>
  <c r="E6" i="1"/>
  <c r="E21" i="1"/>
  <c r="E20" i="1"/>
  <c r="E30" i="1"/>
  <c r="E31" i="1"/>
  <c r="E15" i="1"/>
  <c r="E9" i="1"/>
  <c r="E25" i="1"/>
  <c r="E18" i="1"/>
  <c r="E19" i="1"/>
  <c r="E13" i="1"/>
  <c r="E16" i="1"/>
  <c r="E7" i="1"/>
  <c r="E14" i="1"/>
  <c r="E29" i="1"/>
  <c r="E28" i="1"/>
  <c r="E22" i="1"/>
  <c r="E23" i="1"/>
  <c r="E8" i="1"/>
  <c r="E24" i="1"/>
  <c r="E10" i="1"/>
  <c r="E31" i="3"/>
  <c r="E16" i="3"/>
  <c r="E15" i="3"/>
  <c r="E14" i="3"/>
  <c r="E5" i="3"/>
  <c r="E21" i="3"/>
  <c r="E18" i="3"/>
  <c r="E26" i="3"/>
  <c r="E24" i="3"/>
  <c r="E20" i="3"/>
  <c r="E19" i="3"/>
  <c r="E30" i="3"/>
  <c r="E6" i="3"/>
  <c r="E17" i="3"/>
  <c r="E28" i="3"/>
  <c r="E23" i="3"/>
  <c r="E8" i="3"/>
  <c r="E7" i="3"/>
  <c r="E29" i="3"/>
  <c r="E13" i="3"/>
  <c r="E10" i="3"/>
  <c r="E25" i="3"/>
  <c r="E32" i="3"/>
  <c r="E27" i="3"/>
  <c r="E12" i="3"/>
  <c r="E11" i="3"/>
  <c r="E22" i="3"/>
  <c r="E9" i="3"/>
  <c r="E16" i="28"/>
  <c r="E32" i="28"/>
  <c r="E17" i="28"/>
  <c r="E6" i="28"/>
  <c r="E22" i="28"/>
  <c r="E11" i="28"/>
  <c r="E27" i="28"/>
  <c r="E20" i="28"/>
  <c r="E5" i="28"/>
  <c r="E21" i="28"/>
  <c r="E15" i="28"/>
  <c r="E10" i="28"/>
  <c r="E7" i="28"/>
  <c r="E8" i="28"/>
  <c r="E24" i="28"/>
  <c r="E9" i="28"/>
  <c r="E25" i="28"/>
  <c r="E14" i="28"/>
  <c r="E30" i="28"/>
  <c r="E19" i="28"/>
  <c r="E12" i="28"/>
  <c r="E28" i="28"/>
  <c r="E13" i="28"/>
  <c r="E29" i="28"/>
  <c r="E31" i="28"/>
  <c r="E26" i="28"/>
  <c r="E23" i="28"/>
  <c r="E18" i="28"/>
  <c r="E17" i="39"/>
  <c r="E6" i="39"/>
  <c r="E22" i="39"/>
  <c r="E11" i="39"/>
  <c r="E27" i="39"/>
  <c r="E16" i="39"/>
  <c r="E32" i="39"/>
  <c r="E31" i="39"/>
  <c r="E29" i="39"/>
  <c r="E28" i="39"/>
  <c r="E23" i="39"/>
  <c r="E10" i="39"/>
  <c r="E5" i="39"/>
  <c r="E9" i="39"/>
  <c r="E25" i="39"/>
  <c r="E14" i="39"/>
  <c r="E30" i="39"/>
  <c r="E19" i="39"/>
  <c r="E8" i="39"/>
  <c r="E24" i="39"/>
  <c r="E20" i="39"/>
  <c r="E15" i="39"/>
  <c r="E18" i="39"/>
  <c r="E13" i="39"/>
  <c r="E12" i="39"/>
  <c r="E7" i="39"/>
  <c r="E26" i="39"/>
  <c r="E21" i="39"/>
  <c r="E20" i="43"/>
  <c r="E5" i="43"/>
  <c r="E21" i="43"/>
  <c r="E10" i="43"/>
  <c r="E26" i="43"/>
  <c r="E15" i="43"/>
  <c r="E31" i="43"/>
  <c r="E19" i="43"/>
  <c r="E14" i="43"/>
  <c r="E17" i="43"/>
  <c r="E16" i="43"/>
  <c r="E11" i="43"/>
  <c r="E6" i="43"/>
  <c r="E25" i="43"/>
  <c r="E24" i="43"/>
  <c r="E12" i="43"/>
  <c r="E28" i="43"/>
  <c r="E13" i="43"/>
  <c r="E29" i="43"/>
  <c r="E18" i="43"/>
  <c r="E7" i="43"/>
  <c r="E23" i="43"/>
  <c r="E30" i="43"/>
  <c r="E32" i="43"/>
  <c r="E27" i="43"/>
  <c r="E22" i="43"/>
  <c r="E9" i="43"/>
  <c r="E8" i="43"/>
  <c r="E6" i="26"/>
  <c r="E9" i="26"/>
  <c r="E28" i="26"/>
  <c r="E27" i="26"/>
  <c r="E16" i="26"/>
  <c r="E18" i="26"/>
  <c r="E17" i="26"/>
  <c r="E10" i="26"/>
  <c r="E13" i="26"/>
  <c r="E32" i="26"/>
  <c r="E31" i="26"/>
  <c r="E21" i="26"/>
  <c r="E7" i="26"/>
  <c r="E30" i="26"/>
  <c r="E12" i="26"/>
  <c r="E14" i="26"/>
  <c r="E20" i="26"/>
  <c r="E19" i="26"/>
  <c r="E8" i="26"/>
  <c r="E11" i="26"/>
  <c r="E26" i="26"/>
  <c r="E25" i="26"/>
  <c r="E5" i="26"/>
  <c r="E24" i="26"/>
  <c r="E23" i="26"/>
  <c r="E22" i="26"/>
  <c r="E29" i="26"/>
  <c r="E15" i="26"/>
  <c r="E6" i="30"/>
  <c r="E22" i="30"/>
  <c r="E11" i="30"/>
  <c r="E27" i="30"/>
  <c r="E16" i="30"/>
  <c r="E32" i="30"/>
  <c r="E17" i="30"/>
  <c r="E10" i="30"/>
  <c r="E26" i="30"/>
  <c r="E15" i="30"/>
  <c r="E31" i="30"/>
  <c r="E5" i="30"/>
  <c r="E29" i="30"/>
  <c r="E28" i="30"/>
  <c r="E14" i="30"/>
  <c r="E30" i="30"/>
  <c r="E19" i="30"/>
  <c r="E8" i="30"/>
  <c r="E24" i="30"/>
  <c r="E9" i="30"/>
  <c r="E25" i="30"/>
  <c r="E18" i="30"/>
  <c r="E7" i="30"/>
  <c r="E23" i="30"/>
  <c r="E21" i="30"/>
  <c r="E20" i="30"/>
  <c r="E13" i="30"/>
  <c r="E12" i="30"/>
  <c r="E18" i="41"/>
  <c r="E7" i="41"/>
  <c r="E23" i="41"/>
  <c r="E12" i="41"/>
  <c r="E28" i="41"/>
  <c r="E13" i="41"/>
  <c r="E29" i="41"/>
  <c r="E25" i="41"/>
  <c r="E24" i="41"/>
  <c r="E27" i="41"/>
  <c r="E22" i="41"/>
  <c r="E17" i="41"/>
  <c r="E16" i="41"/>
  <c r="E30" i="41"/>
  <c r="E10" i="41"/>
  <c r="E26" i="41"/>
  <c r="E15" i="41"/>
  <c r="E31" i="41"/>
  <c r="E20" i="41"/>
  <c r="E5" i="41"/>
  <c r="E21" i="41"/>
  <c r="E9" i="41"/>
  <c r="E8" i="41"/>
  <c r="E11" i="41"/>
  <c r="E6" i="41"/>
  <c r="E32" i="41"/>
  <c r="E19" i="41"/>
  <c r="E14" i="41"/>
  <c r="E8" i="12"/>
  <c r="E32" i="12"/>
  <c r="E19" i="12"/>
  <c r="E22" i="12"/>
  <c r="E6" i="12"/>
  <c r="E27" i="12"/>
  <c r="E13" i="12"/>
  <c r="E20" i="12"/>
  <c r="E28" i="12"/>
  <c r="E15" i="12"/>
  <c r="E18" i="12"/>
  <c r="E30" i="12"/>
  <c r="E25" i="12"/>
  <c r="E9" i="12"/>
  <c r="E16" i="12"/>
  <c r="E29" i="12"/>
  <c r="E11" i="12"/>
  <c r="E14" i="12"/>
  <c r="E26" i="12"/>
  <c r="E21" i="12"/>
  <c r="E5" i="12"/>
  <c r="E12" i="12"/>
  <c r="E23" i="12"/>
  <c r="E7" i="12"/>
  <c r="E10" i="12"/>
  <c r="E31" i="12"/>
  <c r="E17" i="12"/>
  <c r="E24" i="12"/>
  <c r="E8" i="60"/>
  <c r="E9" i="60"/>
  <c r="E29" i="60"/>
  <c r="E25" i="60"/>
  <c r="E10" i="60"/>
  <c r="E22" i="60"/>
  <c r="F22" i="60" s="1"/>
  <c r="E30" i="60"/>
  <c r="E21" i="60"/>
  <c r="E18" i="60"/>
  <c r="E11" i="60"/>
  <c r="E6" i="60"/>
  <c r="E20" i="60"/>
  <c r="F20" i="60" s="1"/>
  <c r="E28" i="60"/>
  <c r="E31" i="60"/>
  <c r="F31" i="60" s="1"/>
  <c r="E17" i="60"/>
  <c r="E32" i="60"/>
  <c r="E19" i="60"/>
  <c r="E7" i="60"/>
  <c r="E16" i="60"/>
  <c r="E26" i="60"/>
  <c r="E23" i="60"/>
  <c r="E12" i="60"/>
  <c r="F12" i="60" s="1"/>
  <c r="E5" i="60"/>
  <c r="E27" i="60"/>
  <c r="F27" i="60" s="1"/>
  <c r="E13" i="60"/>
  <c r="E14" i="60"/>
  <c r="E24" i="60"/>
  <c r="E15" i="60"/>
  <c r="F32" i="28"/>
  <c r="AC33" i="62" s="1"/>
  <c r="F31" i="28"/>
  <c r="AB33" i="62" s="1"/>
  <c r="F29" i="28"/>
  <c r="Z33" i="62" s="1"/>
  <c r="F27" i="28"/>
  <c r="X33" i="62" s="1"/>
  <c r="F25" i="28"/>
  <c r="V33" i="62" s="1"/>
  <c r="F23" i="28"/>
  <c r="T33" i="62" s="1"/>
  <c r="F21" i="28"/>
  <c r="R33" i="62" s="1"/>
  <c r="F19" i="28"/>
  <c r="P33" i="62" s="1"/>
  <c r="F17" i="28"/>
  <c r="N33" i="62" s="1"/>
  <c r="F15" i="28"/>
  <c r="L33" i="62" s="1"/>
  <c r="F13" i="28"/>
  <c r="J33" i="62" s="1"/>
  <c r="F11" i="28"/>
  <c r="H33" i="62" s="1"/>
  <c r="F9" i="28"/>
  <c r="F33" i="62" s="1"/>
  <c r="F7" i="28"/>
  <c r="D33" i="62" s="1"/>
  <c r="F6" i="28"/>
  <c r="C33" i="62" s="1"/>
  <c r="F10" i="28"/>
  <c r="G33" i="62" s="1"/>
  <c r="F14" i="28"/>
  <c r="K33" i="62" s="1"/>
  <c r="F18" i="28"/>
  <c r="O33" i="62" s="1"/>
  <c r="F22" i="28"/>
  <c r="S33" i="62" s="1"/>
  <c r="F26" i="28"/>
  <c r="W33" i="62" s="1"/>
  <c r="F30" i="28"/>
  <c r="AA33" i="62" s="1"/>
  <c r="F8" i="28"/>
  <c r="E33" i="62" s="1"/>
  <c r="F12" i="28"/>
  <c r="I33" i="62" s="1"/>
  <c r="F16" i="28"/>
  <c r="M33" i="62" s="1"/>
  <c r="F20" i="28"/>
  <c r="Q33" i="62" s="1"/>
  <c r="F24" i="28"/>
  <c r="U33" i="62" s="1"/>
  <c r="F28" i="28"/>
  <c r="Y33" i="62" s="1"/>
  <c r="F32" i="39"/>
  <c r="AC22" i="62" s="1"/>
  <c r="F31" i="39"/>
  <c r="AB22" i="62" s="1"/>
  <c r="F29" i="39"/>
  <c r="Z22" i="62" s="1"/>
  <c r="F27" i="39"/>
  <c r="X22" i="62" s="1"/>
  <c r="F25" i="39"/>
  <c r="V22" i="62" s="1"/>
  <c r="F23" i="39"/>
  <c r="T22" i="62" s="1"/>
  <c r="F21" i="39"/>
  <c r="R22" i="62" s="1"/>
  <c r="F19" i="39"/>
  <c r="P22" i="62" s="1"/>
  <c r="F17" i="39"/>
  <c r="N22" i="62" s="1"/>
  <c r="F15" i="39"/>
  <c r="L22" i="62" s="1"/>
  <c r="F13" i="39"/>
  <c r="J22" i="62" s="1"/>
  <c r="F11" i="39"/>
  <c r="H22" i="62" s="1"/>
  <c r="F9" i="39"/>
  <c r="F22" i="62" s="1"/>
  <c r="F7" i="39"/>
  <c r="D22" i="62" s="1"/>
  <c r="F6" i="39"/>
  <c r="C22" i="62" s="1"/>
  <c r="F10" i="39"/>
  <c r="G22" i="62" s="1"/>
  <c r="F14" i="39"/>
  <c r="K22" i="62" s="1"/>
  <c r="F18" i="39"/>
  <c r="O22" i="62" s="1"/>
  <c r="F22" i="39"/>
  <c r="S22" i="62" s="1"/>
  <c r="F26" i="39"/>
  <c r="W22" i="62" s="1"/>
  <c r="F30" i="39"/>
  <c r="AA22" i="62" s="1"/>
  <c r="F8" i="39"/>
  <c r="E22" i="62" s="1"/>
  <c r="F12" i="39"/>
  <c r="I22" i="62" s="1"/>
  <c r="F16" i="39"/>
  <c r="M22" i="62" s="1"/>
  <c r="F20" i="39"/>
  <c r="Q22" i="62" s="1"/>
  <c r="F24" i="39"/>
  <c r="U22" i="62" s="1"/>
  <c r="F28" i="39"/>
  <c r="Y22" i="62" s="1"/>
  <c r="F32" i="43"/>
  <c r="AC18" i="62" s="1"/>
  <c r="F31" i="43"/>
  <c r="AB18" i="62" s="1"/>
  <c r="F29" i="43"/>
  <c r="Z18" i="62" s="1"/>
  <c r="F27" i="43"/>
  <c r="X18" i="62" s="1"/>
  <c r="F25" i="43"/>
  <c r="V18" i="62" s="1"/>
  <c r="F23" i="43"/>
  <c r="T18" i="62" s="1"/>
  <c r="F21" i="43"/>
  <c r="R18" i="62" s="1"/>
  <c r="F19" i="43"/>
  <c r="P18" i="62" s="1"/>
  <c r="F17" i="43"/>
  <c r="N18" i="62" s="1"/>
  <c r="F15" i="43"/>
  <c r="L18" i="62" s="1"/>
  <c r="F13" i="43"/>
  <c r="J18" i="62" s="1"/>
  <c r="F11" i="43"/>
  <c r="H18" i="62" s="1"/>
  <c r="F9" i="43"/>
  <c r="F18" i="62" s="1"/>
  <c r="F7" i="43"/>
  <c r="D18" i="62" s="1"/>
  <c r="F6" i="43"/>
  <c r="C18" i="62" s="1"/>
  <c r="F10" i="43"/>
  <c r="G18" i="62" s="1"/>
  <c r="F14" i="43"/>
  <c r="K18" i="62" s="1"/>
  <c r="F18" i="43"/>
  <c r="O18" i="62" s="1"/>
  <c r="F22" i="43"/>
  <c r="S18" i="62" s="1"/>
  <c r="F26" i="43"/>
  <c r="W18" i="62" s="1"/>
  <c r="F30" i="43"/>
  <c r="AA18" i="62" s="1"/>
  <c r="F8" i="43"/>
  <c r="E18" i="62" s="1"/>
  <c r="F12" i="43"/>
  <c r="I18" i="62" s="1"/>
  <c r="F16" i="43"/>
  <c r="M18" i="62" s="1"/>
  <c r="F20" i="43"/>
  <c r="Q18" i="62" s="1"/>
  <c r="F24" i="43"/>
  <c r="U18" i="62" s="1"/>
  <c r="F28" i="43"/>
  <c r="Y18" i="62" s="1"/>
  <c r="F32" i="26"/>
  <c r="AC35" i="62" s="1"/>
  <c r="F31" i="26"/>
  <c r="AB35" i="62" s="1"/>
  <c r="F29" i="26"/>
  <c r="Z35" i="62" s="1"/>
  <c r="F27" i="26"/>
  <c r="X35" i="62" s="1"/>
  <c r="F25" i="26"/>
  <c r="V35" i="62" s="1"/>
  <c r="F23" i="26"/>
  <c r="T35" i="62" s="1"/>
  <c r="F21" i="26"/>
  <c r="R35" i="62" s="1"/>
  <c r="F19" i="26"/>
  <c r="P35" i="62" s="1"/>
  <c r="F17" i="26"/>
  <c r="N35" i="62" s="1"/>
  <c r="F15" i="26"/>
  <c r="L35" i="62" s="1"/>
  <c r="F13" i="26"/>
  <c r="J35" i="62" s="1"/>
  <c r="F11" i="26"/>
  <c r="H35" i="62" s="1"/>
  <c r="F9" i="26"/>
  <c r="F35" i="62" s="1"/>
  <c r="F7" i="26"/>
  <c r="D35" i="62" s="1"/>
  <c r="F8" i="26"/>
  <c r="E35" i="62" s="1"/>
  <c r="F12" i="26"/>
  <c r="I35" i="62" s="1"/>
  <c r="F16" i="26"/>
  <c r="M35" i="62" s="1"/>
  <c r="F20" i="26"/>
  <c r="Q35" i="62" s="1"/>
  <c r="F24" i="26"/>
  <c r="U35" i="62" s="1"/>
  <c r="F28" i="26"/>
  <c r="Y35" i="62" s="1"/>
  <c r="F6" i="26"/>
  <c r="C35" i="62" s="1"/>
  <c r="F10" i="26"/>
  <c r="G35" i="62" s="1"/>
  <c r="F14" i="26"/>
  <c r="K35" i="62" s="1"/>
  <c r="F18" i="26"/>
  <c r="O35" i="62" s="1"/>
  <c r="F22" i="26"/>
  <c r="S35" i="62" s="1"/>
  <c r="F26" i="26"/>
  <c r="W35" i="62" s="1"/>
  <c r="F30" i="26"/>
  <c r="AA35" i="62" s="1"/>
  <c r="F32" i="30"/>
  <c r="AC31" i="62" s="1"/>
  <c r="F31" i="30"/>
  <c r="AB31" i="62" s="1"/>
  <c r="F29" i="30"/>
  <c r="Z31" i="62" s="1"/>
  <c r="F27" i="30"/>
  <c r="X31" i="62" s="1"/>
  <c r="F25" i="30"/>
  <c r="V31" i="62" s="1"/>
  <c r="F23" i="30"/>
  <c r="T31" i="62" s="1"/>
  <c r="F21" i="30"/>
  <c r="R31" i="62" s="1"/>
  <c r="F19" i="30"/>
  <c r="P31" i="62" s="1"/>
  <c r="F17" i="30"/>
  <c r="N31" i="62" s="1"/>
  <c r="F15" i="30"/>
  <c r="L31" i="62" s="1"/>
  <c r="F13" i="30"/>
  <c r="J31" i="62" s="1"/>
  <c r="F11" i="30"/>
  <c r="H31" i="62" s="1"/>
  <c r="F9" i="30"/>
  <c r="F31" i="62" s="1"/>
  <c r="F7" i="30"/>
  <c r="D31" i="62" s="1"/>
  <c r="F8" i="30"/>
  <c r="E31" i="62" s="1"/>
  <c r="F12" i="30"/>
  <c r="I31" i="62" s="1"/>
  <c r="F16" i="30"/>
  <c r="M31" i="62" s="1"/>
  <c r="F20" i="30"/>
  <c r="Q31" i="62" s="1"/>
  <c r="F24" i="30"/>
  <c r="U31" i="62" s="1"/>
  <c r="F28" i="30"/>
  <c r="Y31" i="62" s="1"/>
  <c r="F6" i="30"/>
  <c r="C31" i="62" s="1"/>
  <c r="F10" i="30"/>
  <c r="G31" i="62" s="1"/>
  <c r="F14" i="30"/>
  <c r="K31" i="62" s="1"/>
  <c r="F18" i="30"/>
  <c r="O31" i="62" s="1"/>
  <c r="F22" i="30"/>
  <c r="S31" i="62" s="1"/>
  <c r="F26" i="30"/>
  <c r="W31" i="62" s="1"/>
  <c r="F30" i="30"/>
  <c r="AA31" i="62" s="1"/>
  <c r="F32" i="41"/>
  <c r="AC20" i="62" s="1"/>
  <c r="F31" i="41"/>
  <c r="AB20" i="62" s="1"/>
  <c r="F29" i="41"/>
  <c r="Z20" i="62" s="1"/>
  <c r="F27" i="41"/>
  <c r="X20" i="62" s="1"/>
  <c r="F25" i="41"/>
  <c r="V20" i="62" s="1"/>
  <c r="F23" i="41"/>
  <c r="T20" i="62" s="1"/>
  <c r="F21" i="41"/>
  <c r="R20" i="62" s="1"/>
  <c r="F19" i="41"/>
  <c r="P20" i="62" s="1"/>
  <c r="F17" i="41"/>
  <c r="N20" i="62" s="1"/>
  <c r="F15" i="41"/>
  <c r="L20" i="62" s="1"/>
  <c r="F13" i="41"/>
  <c r="J20" i="62" s="1"/>
  <c r="F11" i="41"/>
  <c r="H20" i="62" s="1"/>
  <c r="F9" i="41"/>
  <c r="F20" i="62" s="1"/>
  <c r="F7" i="41"/>
  <c r="D20" i="62" s="1"/>
  <c r="F8" i="41"/>
  <c r="E20" i="62" s="1"/>
  <c r="F12" i="41"/>
  <c r="I20" i="62" s="1"/>
  <c r="F16" i="41"/>
  <c r="M20" i="62" s="1"/>
  <c r="F20" i="41"/>
  <c r="Q20" i="62" s="1"/>
  <c r="F24" i="41"/>
  <c r="U20" i="62" s="1"/>
  <c r="F28" i="41"/>
  <c r="Y20" i="62" s="1"/>
  <c r="F6" i="41"/>
  <c r="C20" i="62" s="1"/>
  <c r="F10" i="41"/>
  <c r="G20" i="62" s="1"/>
  <c r="F14" i="41"/>
  <c r="K20" i="62" s="1"/>
  <c r="F18" i="41"/>
  <c r="O20" i="62" s="1"/>
  <c r="F22" i="41"/>
  <c r="S20" i="62" s="1"/>
  <c r="F26" i="41"/>
  <c r="W20" i="62" s="1"/>
  <c r="F30" i="41"/>
  <c r="AA20" i="62" s="1"/>
  <c r="F32" i="1"/>
  <c r="AC60" i="62" s="1"/>
  <c r="F31" i="1"/>
  <c r="AB60" i="62" s="1"/>
  <c r="F29" i="1"/>
  <c r="Z60" i="62" s="1"/>
  <c r="F27" i="1"/>
  <c r="X60" i="62" s="1"/>
  <c r="F25" i="1"/>
  <c r="V60" i="62" s="1"/>
  <c r="F23" i="1"/>
  <c r="T60" i="62" s="1"/>
  <c r="F21" i="1"/>
  <c r="R60" i="62" s="1"/>
  <c r="F19" i="1"/>
  <c r="P60" i="62" s="1"/>
  <c r="F17" i="1"/>
  <c r="N60" i="62" s="1"/>
  <c r="F15" i="1"/>
  <c r="L60" i="62" s="1"/>
  <c r="F13" i="1"/>
  <c r="J60" i="62" s="1"/>
  <c r="F11" i="1"/>
  <c r="H60" i="62" s="1"/>
  <c r="F9" i="1"/>
  <c r="F60" i="62" s="1"/>
  <c r="F7" i="1"/>
  <c r="D60" i="62" s="1"/>
  <c r="F6" i="1"/>
  <c r="C60" i="62" s="1"/>
  <c r="F10" i="1"/>
  <c r="G60" i="62" s="1"/>
  <c r="F14" i="1"/>
  <c r="K60" i="62" s="1"/>
  <c r="F18" i="1"/>
  <c r="O60" i="62" s="1"/>
  <c r="F22" i="1"/>
  <c r="S60" i="62" s="1"/>
  <c r="F26" i="1"/>
  <c r="W60" i="62" s="1"/>
  <c r="F30" i="1"/>
  <c r="AA60" i="62" s="1"/>
  <c r="F8" i="1"/>
  <c r="E60" i="62" s="1"/>
  <c r="F12" i="1"/>
  <c r="I60" i="62" s="1"/>
  <c r="F16" i="1"/>
  <c r="M60" i="62" s="1"/>
  <c r="F20" i="1"/>
  <c r="Q60" i="62" s="1"/>
  <c r="F24" i="1"/>
  <c r="U60" i="62" s="1"/>
  <c r="F28" i="1"/>
  <c r="Y60" i="62" s="1"/>
  <c r="F32" i="3"/>
  <c r="AC58" i="62" s="1"/>
  <c r="F31" i="3"/>
  <c r="AB58" i="62" s="1"/>
  <c r="F29" i="3"/>
  <c r="Z58" i="62" s="1"/>
  <c r="F27" i="3"/>
  <c r="X58" i="62" s="1"/>
  <c r="F25" i="3"/>
  <c r="V58" i="62" s="1"/>
  <c r="F23" i="3"/>
  <c r="T58" i="62" s="1"/>
  <c r="F21" i="3"/>
  <c r="R58" i="62" s="1"/>
  <c r="F19" i="3"/>
  <c r="P58" i="62" s="1"/>
  <c r="F17" i="3"/>
  <c r="N58" i="62" s="1"/>
  <c r="F15" i="3"/>
  <c r="L58" i="62" s="1"/>
  <c r="F13" i="3"/>
  <c r="J58" i="62" s="1"/>
  <c r="F11" i="3"/>
  <c r="H58" i="62" s="1"/>
  <c r="F9" i="3"/>
  <c r="F58" i="62" s="1"/>
  <c r="F7" i="3"/>
  <c r="D58" i="62" s="1"/>
  <c r="F6" i="3"/>
  <c r="C58" i="62" s="1"/>
  <c r="F10" i="3"/>
  <c r="G58" i="62" s="1"/>
  <c r="F14" i="3"/>
  <c r="K58" i="62" s="1"/>
  <c r="F18" i="3"/>
  <c r="O58" i="62" s="1"/>
  <c r="F22" i="3"/>
  <c r="S58" i="62" s="1"/>
  <c r="F26" i="3"/>
  <c r="W58" i="62" s="1"/>
  <c r="F30" i="3"/>
  <c r="AA58" i="62" s="1"/>
  <c r="F8" i="3"/>
  <c r="E58" i="62" s="1"/>
  <c r="F12" i="3"/>
  <c r="I58" i="62" s="1"/>
  <c r="F16" i="3"/>
  <c r="M58" i="62" s="1"/>
  <c r="F20" i="3"/>
  <c r="Q58" i="62" s="1"/>
  <c r="F24" i="3"/>
  <c r="U58" i="62" s="1"/>
  <c r="F28" i="3"/>
  <c r="Y58" i="62" s="1"/>
  <c r="F30" i="24"/>
  <c r="AA37" i="62" s="1"/>
  <c r="F26" i="24"/>
  <c r="W37" i="62" s="1"/>
  <c r="F22" i="24"/>
  <c r="S37" i="62" s="1"/>
  <c r="F18" i="24"/>
  <c r="O37" i="62" s="1"/>
  <c r="F14" i="24"/>
  <c r="K37" i="62" s="1"/>
  <c r="F10" i="24"/>
  <c r="G37" i="62" s="1"/>
  <c r="F6" i="24"/>
  <c r="C37" i="62" s="1"/>
  <c r="F21" i="24"/>
  <c r="R37" i="62" s="1"/>
  <c r="F31" i="24"/>
  <c r="AB37" i="62" s="1"/>
  <c r="F25" i="24"/>
  <c r="V37" i="62" s="1"/>
  <c r="F19" i="24"/>
  <c r="P37" i="62" s="1"/>
  <c r="F15" i="24"/>
  <c r="L37" i="62" s="1"/>
  <c r="F9" i="24"/>
  <c r="F37" i="62" s="1"/>
  <c r="F32" i="24"/>
  <c r="AC37" i="62" s="1"/>
  <c r="F28" i="24"/>
  <c r="Y37" i="62" s="1"/>
  <c r="F24" i="24"/>
  <c r="U37" i="62" s="1"/>
  <c r="F20" i="24"/>
  <c r="Q37" i="62" s="1"/>
  <c r="F16" i="24"/>
  <c r="M37" i="62" s="1"/>
  <c r="F12" i="24"/>
  <c r="I37" i="62" s="1"/>
  <c r="F8" i="24"/>
  <c r="E37" i="62" s="1"/>
  <c r="F29" i="24"/>
  <c r="Z37" i="62" s="1"/>
  <c r="F13" i="24"/>
  <c r="J37" i="62" s="1"/>
  <c r="F27" i="24"/>
  <c r="X37" i="62" s="1"/>
  <c r="F23" i="24"/>
  <c r="T37" i="62" s="1"/>
  <c r="F17" i="24"/>
  <c r="N37" i="62" s="1"/>
  <c r="F11" i="24"/>
  <c r="H37" i="62" s="1"/>
  <c r="F7" i="24"/>
  <c r="D37" i="62" s="1"/>
  <c r="F30" i="22"/>
  <c r="AA39" i="62" s="1"/>
  <c r="F26" i="22"/>
  <c r="W39" i="62" s="1"/>
  <c r="F22" i="22"/>
  <c r="S39" i="62" s="1"/>
  <c r="F18" i="22"/>
  <c r="O39" i="62" s="1"/>
  <c r="F14" i="22"/>
  <c r="K39" i="62" s="1"/>
  <c r="F10" i="22"/>
  <c r="G39" i="62" s="1"/>
  <c r="F6" i="22"/>
  <c r="C39" i="62" s="1"/>
  <c r="F31" i="22"/>
  <c r="AB39" i="62" s="1"/>
  <c r="F25" i="22"/>
  <c r="V39" i="62" s="1"/>
  <c r="F19" i="22"/>
  <c r="P39" i="62" s="1"/>
  <c r="F15" i="22"/>
  <c r="L39" i="62" s="1"/>
  <c r="F9" i="22"/>
  <c r="F39" i="62" s="1"/>
  <c r="F29" i="22"/>
  <c r="Z39" i="62" s="1"/>
  <c r="F13" i="22"/>
  <c r="J39" i="62" s="1"/>
  <c r="F32" i="22"/>
  <c r="AC39" i="62" s="1"/>
  <c r="F28" i="22"/>
  <c r="Y39" i="62" s="1"/>
  <c r="F24" i="22"/>
  <c r="U39" i="62" s="1"/>
  <c r="F20" i="22"/>
  <c r="Q39" i="62" s="1"/>
  <c r="F16" i="22"/>
  <c r="M39" i="62" s="1"/>
  <c r="F12" i="22"/>
  <c r="I39" i="62" s="1"/>
  <c r="F8" i="22"/>
  <c r="E39" i="62" s="1"/>
  <c r="F27" i="22"/>
  <c r="X39" i="62" s="1"/>
  <c r="F23" i="22"/>
  <c r="T39" i="62" s="1"/>
  <c r="F17" i="22"/>
  <c r="N39" i="62" s="1"/>
  <c r="F11" i="22"/>
  <c r="H39" i="62" s="1"/>
  <c r="F7" i="22"/>
  <c r="D39" i="62" s="1"/>
  <c r="F21" i="22"/>
  <c r="R39" i="62" s="1"/>
  <c r="F6" i="46"/>
  <c r="C15" i="62" s="1"/>
  <c r="F29" i="46"/>
  <c r="Z15" i="62" s="1"/>
  <c r="F25" i="46"/>
  <c r="V15" i="62" s="1"/>
  <c r="F21" i="46"/>
  <c r="R15" i="62" s="1"/>
  <c r="F17" i="46"/>
  <c r="N15" i="62" s="1"/>
  <c r="F13" i="46"/>
  <c r="J15" i="62" s="1"/>
  <c r="F9" i="46"/>
  <c r="F15" i="62" s="1"/>
  <c r="F32" i="46"/>
  <c r="AC15" i="62" s="1"/>
  <c r="F28" i="46"/>
  <c r="Y15" i="62" s="1"/>
  <c r="F24" i="46"/>
  <c r="U15" i="62" s="1"/>
  <c r="F20" i="46"/>
  <c r="Q15" i="62" s="1"/>
  <c r="F16" i="46"/>
  <c r="M15" i="62" s="1"/>
  <c r="F12" i="46"/>
  <c r="I15" i="62" s="1"/>
  <c r="F8" i="46"/>
  <c r="E15" i="62" s="1"/>
  <c r="F31" i="46"/>
  <c r="AB15" i="62" s="1"/>
  <c r="F27" i="46"/>
  <c r="X15" i="62" s="1"/>
  <c r="F23" i="46"/>
  <c r="T15" i="62" s="1"/>
  <c r="F19" i="46"/>
  <c r="P15" i="62" s="1"/>
  <c r="F15" i="46"/>
  <c r="L15" i="62" s="1"/>
  <c r="F11" i="46"/>
  <c r="H15" i="62" s="1"/>
  <c r="F7" i="46"/>
  <c r="D15" i="62" s="1"/>
  <c r="F30" i="46"/>
  <c r="AA15" i="62" s="1"/>
  <c r="F26" i="46"/>
  <c r="W15" i="62" s="1"/>
  <c r="F22" i="46"/>
  <c r="S15" i="62" s="1"/>
  <c r="F18" i="46"/>
  <c r="O15" i="62" s="1"/>
  <c r="F14" i="46"/>
  <c r="K15" i="62" s="1"/>
  <c r="F10" i="46"/>
  <c r="G15" i="62" s="1"/>
  <c r="F24" i="55"/>
  <c r="U6" i="62" s="1"/>
  <c r="F26" i="55"/>
  <c r="W6" i="62" s="1"/>
  <c r="F28" i="55"/>
  <c r="Y6" i="62" s="1"/>
  <c r="F29" i="55"/>
  <c r="Z6" i="62" s="1"/>
  <c r="F31" i="55"/>
  <c r="AB6" i="62" s="1"/>
  <c r="F6" i="55"/>
  <c r="C6" i="62" s="1"/>
  <c r="F8" i="55"/>
  <c r="E6" i="62" s="1"/>
  <c r="F10" i="55"/>
  <c r="G6" i="62" s="1"/>
  <c r="F12" i="55"/>
  <c r="I6" i="62" s="1"/>
  <c r="F14" i="55"/>
  <c r="K6" i="62" s="1"/>
  <c r="F16" i="55"/>
  <c r="M6" i="62" s="1"/>
  <c r="F18" i="55"/>
  <c r="O6" i="62" s="1"/>
  <c r="F20" i="55"/>
  <c r="Q6" i="62" s="1"/>
  <c r="F22" i="55"/>
  <c r="S6" i="62" s="1"/>
  <c r="F25" i="55"/>
  <c r="V6" i="62" s="1"/>
  <c r="F13" i="55"/>
  <c r="J6" i="62" s="1"/>
  <c r="F32" i="55"/>
  <c r="AC6" i="62" s="1"/>
  <c r="F27" i="55"/>
  <c r="X6" i="62" s="1"/>
  <c r="F23" i="55"/>
  <c r="T6" i="62" s="1"/>
  <c r="F19" i="55"/>
  <c r="P6" i="62" s="1"/>
  <c r="F15" i="55"/>
  <c r="L6" i="62" s="1"/>
  <c r="F11" i="55"/>
  <c r="H6" i="62" s="1"/>
  <c r="F7" i="55"/>
  <c r="D6" i="62" s="1"/>
  <c r="F30" i="55"/>
  <c r="AA6" i="62" s="1"/>
  <c r="F21" i="55"/>
  <c r="R6" i="62" s="1"/>
  <c r="F17" i="55"/>
  <c r="N6" i="62" s="1"/>
  <c r="F9" i="55"/>
  <c r="F6" i="62" s="1"/>
  <c r="F32" i="27"/>
  <c r="AC34" i="62" s="1"/>
  <c r="F30" i="27"/>
  <c r="AA34" i="62" s="1"/>
  <c r="F28" i="27"/>
  <c r="Y34" i="62" s="1"/>
  <c r="F26" i="27"/>
  <c r="W34" i="62" s="1"/>
  <c r="F24" i="27"/>
  <c r="U34" i="62" s="1"/>
  <c r="F22" i="27"/>
  <c r="S34" i="62" s="1"/>
  <c r="F20" i="27"/>
  <c r="Q34" i="62" s="1"/>
  <c r="F18" i="27"/>
  <c r="O34" i="62" s="1"/>
  <c r="F16" i="27"/>
  <c r="M34" i="62" s="1"/>
  <c r="F14" i="27"/>
  <c r="K34" i="62" s="1"/>
  <c r="F12" i="27"/>
  <c r="I34" i="62" s="1"/>
  <c r="F10" i="27"/>
  <c r="G34" i="62" s="1"/>
  <c r="F8" i="27"/>
  <c r="E34" i="62" s="1"/>
  <c r="F6" i="27"/>
  <c r="C34" i="62" s="1"/>
  <c r="F7" i="27"/>
  <c r="D34" i="62" s="1"/>
  <c r="F11" i="27"/>
  <c r="H34" i="62" s="1"/>
  <c r="F15" i="27"/>
  <c r="L34" i="62" s="1"/>
  <c r="F19" i="27"/>
  <c r="P34" i="62" s="1"/>
  <c r="F23" i="27"/>
  <c r="T34" i="62" s="1"/>
  <c r="F27" i="27"/>
  <c r="X34" i="62" s="1"/>
  <c r="F31" i="27"/>
  <c r="AB34" i="62" s="1"/>
  <c r="F9" i="27"/>
  <c r="F34" i="62" s="1"/>
  <c r="F13" i="27"/>
  <c r="J34" i="62" s="1"/>
  <c r="F17" i="27"/>
  <c r="N34" i="62" s="1"/>
  <c r="F21" i="27"/>
  <c r="R34" i="62" s="1"/>
  <c r="F25" i="27"/>
  <c r="V34" i="62" s="1"/>
  <c r="F29" i="27"/>
  <c r="Z34" i="62" s="1"/>
  <c r="F32" i="29"/>
  <c r="AC32" i="62" s="1"/>
  <c r="F30" i="29"/>
  <c r="AA32" i="62" s="1"/>
  <c r="F28" i="29"/>
  <c r="Y32" i="62" s="1"/>
  <c r="F26" i="29"/>
  <c r="W32" i="62" s="1"/>
  <c r="F24" i="29"/>
  <c r="U32" i="62" s="1"/>
  <c r="F22" i="29"/>
  <c r="S32" i="62" s="1"/>
  <c r="F20" i="29"/>
  <c r="Q32" i="62" s="1"/>
  <c r="F18" i="29"/>
  <c r="O32" i="62" s="1"/>
  <c r="F16" i="29"/>
  <c r="M32" i="62" s="1"/>
  <c r="F14" i="29"/>
  <c r="K32" i="62" s="1"/>
  <c r="F12" i="29"/>
  <c r="I32" i="62" s="1"/>
  <c r="F10" i="29"/>
  <c r="G32" i="62" s="1"/>
  <c r="F8" i="29"/>
  <c r="E32" i="62" s="1"/>
  <c r="F6" i="29"/>
  <c r="C32" i="62" s="1"/>
  <c r="F7" i="29"/>
  <c r="D32" i="62" s="1"/>
  <c r="F11" i="29"/>
  <c r="H32" i="62" s="1"/>
  <c r="F15" i="29"/>
  <c r="L32" i="62" s="1"/>
  <c r="F19" i="29"/>
  <c r="P32" i="62" s="1"/>
  <c r="F23" i="29"/>
  <c r="T32" i="62" s="1"/>
  <c r="F27" i="29"/>
  <c r="X32" i="62" s="1"/>
  <c r="F31" i="29"/>
  <c r="AB32" i="62" s="1"/>
  <c r="F9" i="29"/>
  <c r="F32" i="62" s="1"/>
  <c r="F13" i="29"/>
  <c r="J32" i="62" s="1"/>
  <c r="F17" i="29"/>
  <c r="N32" i="62" s="1"/>
  <c r="F21" i="29"/>
  <c r="R32" i="62" s="1"/>
  <c r="F25" i="29"/>
  <c r="V32" i="62" s="1"/>
  <c r="F29" i="29"/>
  <c r="Z32" i="62" s="1"/>
  <c r="F32" i="31"/>
  <c r="AC30" i="62" s="1"/>
  <c r="F30" i="31"/>
  <c r="AA30" i="62" s="1"/>
  <c r="F28" i="31"/>
  <c r="Y30" i="62" s="1"/>
  <c r="F26" i="31"/>
  <c r="W30" i="62" s="1"/>
  <c r="F24" i="31"/>
  <c r="U30" i="62" s="1"/>
  <c r="F22" i="31"/>
  <c r="S30" i="62" s="1"/>
  <c r="F20" i="31"/>
  <c r="Q30" i="62" s="1"/>
  <c r="F18" i="31"/>
  <c r="O30" i="62" s="1"/>
  <c r="F16" i="31"/>
  <c r="M30" i="62" s="1"/>
  <c r="F14" i="31"/>
  <c r="K30" i="62" s="1"/>
  <c r="F12" i="31"/>
  <c r="I30" i="62" s="1"/>
  <c r="F10" i="31"/>
  <c r="G30" i="62" s="1"/>
  <c r="F8" i="31"/>
  <c r="E30" i="62" s="1"/>
  <c r="F6" i="31"/>
  <c r="C30" i="62" s="1"/>
  <c r="F7" i="31"/>
  <c r="D30" i="62" s="1"/>
  <c r="F11" i="31"/>
  <c r="H30" i="62" s="1"/>
  <c r="F15" i="31"/>
  <c r="L30" i="62" s="1"/>
  <c r="F19" i="31"/>
  <c r="P30" i="62" s="1"/>
  <c r="F23" i="31"/>
  <c r="T30" i="62" s="1"/>
  <c r="F27" i="31"/>
  <c r="X30" i="62" s="1"/>
  <c r="F31" i="31"/>
  <c r="AB30" i="62" s="1"/>
  <c r="F9" i="31"/>
  <c r="F30" i="62" s="1"/>
  <c r="F13" i="31"/>
  <c r="J30" i="62" s="1"/>
  <c r="F17" i="31"/>
  <c r="N30" i="62" s="1"/>
  <c r="F21" i="31"/>
  <c r="R30" i="62" s="1"/>
  <c r="F25" i="31"/>
  <c r="V30" i="62" s="1"/>
  <c r="F29" i="31"/>
  <c r="Z30" i="62" s="1"/>
  <c r="F7" i="34"/>
  <c r="D27" i="62" s="1"/>
  <c r="F9" i="34"/>
  <c r="F27" i="62" s="1"/>
  <c r="F11" i="34"/>
  <c r="H27" i="62" s="1"/>
  <c r="F13" i="34"/>
  <c r="J27" i="62" s="1"/>
  <c r="F15" i="34"/>
  <c r="L27" i="62" s="1"/>
  <c r="F17" i="34"/>
  <c r="N27" i="62" s="1"/>
  <c r="F19" i="34"/>
  <c r="P27" i="62" s="1"/>
  <c r="F21" i="34"/>
  <c r="R27" i="62" s="1"/>
  <c r="F23" i="34"/>
  <c r="T27" i="62" s="1"/>
  <c r="F25" i="34"/>
  <c r="V27" i="62" s="1"/>
  <c r="F27" i="34"/>
  <c r="X27" i="62" s="1"/>
  <c r="F29" i="34"/>
  <c r="Z27" i="62" s="1"/>
  <c r="F31" i="34"/>
  <c r="AB27" i="62" s="1"/>
  <c r="F30" i="34"/>
  <c r="AA27" i="62" s="1"/>
  <c r="F26" i="34"/>
  <c r="W27" i="62" s="1"/>
  <c r="F22" i="34"/>
  <c r="S27" i="62" s="1"/>
  <c r="F18" i="34"/>
  <c r="O27" i="62" s="1"/>
  <c r="F14" i="34"/>
  <c r="K27" i="62" s="1"/>
  <c r="F10" i="34"/>
  <c r="G27" i="62" s="1"/>
  <c r="F6" i="34"/>
  <c r="C27" i="62" s="1"/>
  <c r="F32" i="34"/>
  <c r="AC27" i="62" s="1"/>
  <c r="F28" i="34"/>
  <c r="Y27" i="62" s="1"/>
  <c r="F24" i="34"/>
  <c r="U27" i="62" s="1"/>
  <c r="F20" i="34"/>
  <c r="Q27" i="62" s="1"/>
  <c r="F16" i="34"/>
  <c r="M27" i="62" s="1"/>
  <c r="F12" i="34"/>
  <c r="I27" i="62" s="1"/>
  <c r="F8" i="34"/>
  <c r="E27" i="62" s="1"/>
  <c r="F9" i="21"/>
  <c r="F40" i="62" s="1"/>
  <c r="F29" i="21"/>
  <c r="Z40" i="62" s="1"/>
  <c r="F21" i="21"/>
  <c r="R40" i="62" s="1"/>
  <c r="F13" i="21"/>
  <c r="J40" i="62" s="1"/>
  <c r="F32" i="21"/>
  <c r="AC40" i="62" s="1"/>
  <c r="F28" i="21"/>
  <c r="Y40" i="62" s="1"/>
  <c r="F24" i="21"/>
  <c r="U40" i="62" s="1"/>
  <c r="F20" i="21"/>
  <c r="Q40" i="62" s="1"/>
  <c r="F16" i="21"/>
  <c r="M40" i="62" s="1"/>
  <c r="F12" i="21"/>
  <c r="I40" i="62" s="1"/>
  <c r="F8" i="21"/>
  <c r="E40" i="62" s="1"/>
  <c r="F27" i="21"/>
  <c r="X40" i="62" s="1"/>
  <c r="F19" i="21"/>
  <c r="P40" i="62" s="1"/>
  <c r="F11" i="21"/>
  <c r="H40" i="62" s="1"/>
  <c r="F25" i="21"/>
  <c r="V40" i="62" s="1"/>
  <c r="F17" i="21"/>
  <c r="N40" i="62" s="1"/>
  <c r="F30" i="21"/>
  <c r="AA40" i="62" s="1"/>
  <c r="F26" i="21"/>
  <c r="W40" i="62" s="1"/>
  <c r="F22" i="21"/>
  <c r="S40" i="62" s="1"/>
  <c r="F18" i="21"/>
  <c r="O40" i="62" s="1"/>
  <c r="F14" i="21"/>
  <c r="K40" i="62" s="1"/>
  <c r="F10" i="21"/>
  <c r="G40" i="62" s="1"/>
  <c r="F6" i="21"/>
  <c r="C40" i="62" s="1"/>
  <c r="F31" i="21"/>
  <c r="AB40" i="62" s="1"/>
  <c r="F23" i="21"/>
  <c r="T40" i="62" s="1"/>
  <c r="F15" i="21"/>
  <c r="L40" i="62" s="1"/>
  <c r="F7" i="21"/>
  <c r="D40" i="62" s="1"/>
  <c r="F31" i="23"/>
  <c r="AB38" i="62" s="1"/>
  <c r="F23" i="23"/>
  <c r="T38" i="62" s="1"/>
  <c r="F15" i="23"/>
  <c r="L38" i="62" s="1"/>
  <c r="F7" i="23"/>
  <c r="D38" i="62" s="1"/>
  <c r="F30" i="23"/>
  <c r="AA38" i="62" s="1"/>
  <c r="F26" i="23"/>
  <c r="W38" i="62" s="1"/>
  <c r="F22" i="23"/>
  <c r="S38" i="62" s="1"/>
  <c r="F18" i="23"/>
  <c r="O38" i="62" s="1"/>
  <c r="F14" i="23"/>
  <c r="K38" i="62" s="1"/>
  <c r="F10" i="23"/>
  <c r="G38" i="62" s="1"/>
  <c r="F6" i="23"/>
  <c r="C38" i="62" s="1"/>
  <c r="F25" i="23"/>
  <c r="V38" i="62" s="1"/>
  <c r="F17" i="23"/>
  <c r="N38" i="62" s="1"/>
  <c r="F9" i="23"/>
  <c r="F38" i="62" s="1"/>
  <c r="F27" i="23"/>
  <c r="X38" i="62" s="1"/>
  <c r="F19" i="23"/>
  <c r="P38" i="62" s="1"/>
  <c r="F11" i="23"/>
  <c r="H38" i="62" s="1"/>
  <c r="F32" i="23"/>
  <c r="AC38" i="62" s="1"/>
  <c r="F28" i="23"/>
  <c r="Y38" i="62" s="1"/>
  <c r="F24" i="23"/>
  <c r="U38" i="62" s="1"/>
  <c r="F20" i="23"/>
  <c r="Q38" i="62" s="1"/>
  <c r="F16" i="23"/>
  <c r="M38" i="62" s="1"/>
  <c r="F12" i="23"/>
  <c r="I38" i="62" s="1"/>
  <c r="F8" i="23"/>
  <c r="E38" i="62" s="1"/>
  <c r="F29" i="23"/>
  <c r="Z38" i="62" s="1"/>
  <c r="F21" i="23"/>
  <c r="R38" i="62" s="1"/>
  <c r="F13" i="23"/>
  <c r="J38" i="62" s="1"/>
  <c r="F21" i="51"/>
  <c r="R10" i="62" s="1"/>
  <c r="F30" i="51"/>
  <c r="AA10" i="62" s="1"/>
  <c r="F22" i="51"/>
  <c r="S10" i="62" s="1"/>
  <c r="F27" i="51"/>
  <c r="X10" i="62" s="1"/>
  <c r="F10" i="51"/>
  <c r="G10" i="62" s="1"/>
  <c r="F29" i="51"/>
  <c r="Z10" i="62" s="1"/>
  <c r="F7" i="51"/>
  <c r="D10" i="62" s="1"/>
  <c r="F11" i="51"/>
  <c r="H10" i="62" s="1"/>
  <c r="F15" i="51"/>
  <c r="L10" i="62" s="1"/>
  <c r="F12" i="51"/>
  <c r="I10" i="62" s="1"/>
  <c r="F28" i="51"/>
  <c r="Y10" i="62" s="1"/>
  <c r="F26" i="51"/>
  <c r="W10" i="62" s="1"/>
  <c r="F18" i="51"/>
  <c r="O10" i="62" s="1"/>
  <c r="F19" i="51"/>
  <c r="P10" i="62" s="1"/>
  <c r="F6" i="51"/>
  <c r="C10" i="62" s="1"/>
  <c r="F14" i="51"/>
  <c r="K10" i="62" s="1"/>
  <c r="F9" i="51"/>
  <c r="F10" i="62" s="1"/>
  <c r="F13" i="51"/>
  <c r="J10" i="62" s="1"/>
  <c r="F8" i="51"/>
  <c r="E10" i="62" s="1"/>
  <c r="F23" i="51"/>
  <c r="T10" i="62" s="1"/>
  <c r="F32" i="51"/>
  <c r="AC10" i="62" s="1"/>
  <c r="F24" i="51"/>
  <c r="U10" i="62" s="1"/>
  <c r="F16" i="51"/>
  <c r="M10" i="62" s="1"/>
  <c r="F17" i="51"/>
  <c r="N10" i="62" s="1"/>
  <c r="F31" i="51"/>
  <c r="AB10" i="62" s="1"/>
  <c r="F20" i="51"/>
  <c r="Q10" i="62" s="1"/>
  <c r="F25" i="51"/>
  <c r="V10" i="62" s="1"/>
  <c r="F32" i="52"/>
  <c r="AC9" i="62" s="1"/>
  <c r="F30" i="52"/>
  <c r="AA9" i="62" s="1"/>
  <c r="F28" i="52"/>
  <c r="Y9" i="62" s="1"/>
  <c r="F26" i="52"/>
  <c r="W9" i="62" s="1"/>
  <c r="F24" i="52"/>
  <c r="U9" i="62" s="1"/>
  <c r="F22" i="52"/>
  <c r="S9" i="62" s="1"/>
  <c r="F20" i="52"/>
  <c r="Q9" i="62" s="1"/>
  <c r="F18" i="52"/>
  <c r="O9" i="62" s="1"/>
  <c r="F16" i="52"/>
  <c r="M9" i="62" s="1"/>
  <c r="F14" i="52"/>
  <c r="K9" i="62" s="1"/>
  <c r="F12" i="52"/>
  <c r="I9" i="62" s="1"/>
  <c r="F10" i="52"/>
  <c r="G9" i="62" s="1"/>
  <c r="F8" i="52"/>
  <c r="E9" i="62" s="1"/>
  <c r="F6" i="52"/>
  <c r="C9" i="62" s="1"/>
  <c r="F31" i="52"/>
  <c r="AB9" i="62" s="1"/>
  <c r="F29" i="52"/>
  <c r="Z9" i="62" s="1"/>
  <c r="F27" i="52"/>
  <c r="X9" i="62" s="1"/>
  <c r="F25" i="52"/>
  <c r="V9" i="62" s="1"/>
  <c r="F23" i="52"/>
  <c r="T9" i="62" s="1"/>
  <c r="F21" i="52"/>
  <c r="R9" i="62" s="1"/>
  <c r="F19" i="52"/>
  <c r="P9" i="62" s="1"/>
  <c r="F17" i="52"/>
  <c r="N9" i="62" s="1"/>
  <c r="F15" i="52"/>
  <c r="L9" i="62" s="1"/>
  <c r="F13" i="52"/>
  <c r="J9" i="62" s="1"/>
  <c r="F11" i="52"/>
  <c r="H9" i="62" s="1"/>
  <c r="F9" i="52"/>
  <c r="F9" i="62" s="1"/>
  <c r="F7" i="52"/>
  <c r="D9" i="62" s="1"/>
  <c r="F32" i="56"/>
  <c r="AC5" i="62" s="1"/>
  <c r="F30" i="56"/>
  <c r="AA5" i="62" s="1"/>
  <c r="F28" i="56"/>
  <c r="Y5" i="62" s="1"/>
  <c r="F26" i="56"/>
  <c r="W5" i="62" s="1"/>
  <c r="F24" i="56"/>
  <c r="U5" i="62" s="1"/>
  <c r="F22" i="56"/>
  <c r="S5" i="62" s="1"/>
  <c r="F20" i="56"/>
  <c r="Q5" i="62" s="1"/>
  <c r="F18" i="56"/>
  <c r="O5" i="62" s="1"/>
  <c r="F16" i="56"/>
  <c r="M5" i="62" s="1"/>
  <c r="F14" i="56"/>
  <c r="K5" i="62" s="1"/>
  <c r="F12" i="56"/>
  <c r="I5" i="62" s="1"/>
  <c r="F10" i="56"/>
  <c r="G5" i="62" s="1"/>
  <c r="F8" i="56"/>
  <c r="E5" i="62" s="1"/>
  <c r="F6" i="56"/>
  <c r="C5" i="62" s="1"/>
  <c r="F31" i="56"/>
  <c r="AB5" i="62" s="1"/>
  <c r="F7" i="56"/>
  <c r="D5" i="62" s="1"/>
  <c r="F11" i="56"/>
  <c r="H5" i="62" s="1"/>
  <c r="F15" i="56"/>
  <c r="L5" i="62" s="1"/>
  <c r="F19" i="56"/>
  <c r="P5" i="62" s="1"/>
  <c r="F23" i="56"/>
  <c r="T5" i="62" s="1"/>
  <c r="F27" i="56"/>
  <c r="X5" i="62" s="1"/>
  <c r="F9" i="56"/>
  <c r="F5" i="62" s="1"/>
  <c r="F13" i="56"/>
  <c r="J5" i="62" s="1"/>
  <c r="F17" i="56"/>
  <c r="N5" i="62" s="1"/>
  <c r="F21" i="56"/>
  <c r="R5" i="62" s="1"/>
  <c r="F25" i="56"/>
  <c r="V5" i="62" s="1"/>
  <c r="F29" i="56"/>
  <c r="Z5" i="62" s="1"/>
  <c r="F32" i="59"/>
  <c r="AC59" i="62" s="1"/>
  <c r="F30" i="59"/>
  <c r="AA59" i="62" s="1"/>
  <c r="F28" i="59"/>
  <c r="Y59" i="62" s="1"/>
  <c r="F26" i="59"/>
  <c r="W59" i="62" s="1"/>
  <c r="F24" i="59"/>
  <c r="U59" i="62" s="1"/>
  <c r="F22" i="59"/>
  <c r="S59" i="62" s="1"/>
  <c r="F20" i="59"/>
  <c r="Q59" i="62" s="1"/>
  <c r="F18" i="59"/>
  <c r="O59" i="62" s="1"/>
  <c r="F16" i="59"/>
  <c r="M59" i="62" s="1"/>
  <c r="F14" i="59"/>
  <c r="K59" i="62" s="1"/>
  <c r="F12" i="59"/>
  <c r="I59" i="62" s="1"/>
  <c r="F10" i="59"/>
  <c r="G59" i="62" s="1"/>
  <c r="F8" i="59"/>
  <c r="E59" i="62" s="1"/>
  <c r="F6" i="59"/>
  <c r="C59" i="62" s="1"/>
  <c r="F9" i="59"/>
  <c r="F59" i="62" s="1"/>
  <c r="F13" i="59"/>
  <c r="J59" i="62" s="1"/>
  <c r="F17" i="59"/>
  <c r="N59" i="62" s="1"/>
  <c r="F21" i="59"/>
  <c r="R59" i="62" s="1"/>
  <c r="F25" i="59"/>
  <c r="V59" i="62" s="1"/>
  <c r="F29" i="59"/>
  <c r="Z59" i="62" s="1"/>
  <c r="F7" i="59"/>
  <c r="D59" i="62" s="1"/>
  <c r="F11" i="59"/>
  <c r="H59" i="62" s="1"/>
  <c r="F15" i="59"/>
  <c r="L59" i="62" s="1"/>
  <c r="F19" i="59"/>
  <c r="P59" i="62" s="1"/>
  <c r="F23" i="59"/>
  <c r="T59" i="62" s="1"/>
  <c r="F27" i="59"/>
  <c r="X59" i="62" s="1"/>
  <c r="F31" i="59"/>
  <c r="AB59" i="62" s="1"/>
  <c r="F32" i="4"/>
  <c r="AC57" i="62" s="1"/>
  <c r="F30" i="4"/>
  <c r="AA57" i="62" s="1"/>
  <c r="F28" i="4"/>
  <c r="Y57" i="62" s="1"/>
  <c r="F26" i="4"/>
  <c r="W57" i="62" s="1"/>
  <c r="F24" i="4"/>
  <c r="U57" i="62" s="1"/>
  <c r="F22" i="4"/>
  <c r="S57" i="62" s="1"/>
  <c r="F20" i="4"/>
  <c r="Q57" i="62" s="1"/>
  <c r="F18" i="4"/>
  <c r="O57" i="62" s="1"/>
  <c r="F16" i="4"/>
  <c r="M57" i="62" s="1"/>
  <c r="F14" i="4"/>
  <c r="K57" i="62" s="1"/>
  <c r="F12" i="4"/>
  <c r="I57" i="62" s="1"/>
  <c r="F10" i="4"/>
  <c r="G57" i="62" s="1"/>
  <c r="F8" i="4"/>
  <c r="E57" i="62" s="1"/>
  <c r="F6" i="4"/>
  <c r="C57" i="62" s="1"/>
  <c r="F9" i="4"/>
  <c r="F57" i="62" s="1"/>
  <c r="F13" i="4"/>
  <c r="J57" i="62" s="1"/>
  <c r="F17" i="4"/>
  <c r="N57" i="62" s="1"/>
  <c r="F21" i="4"/>
  <c r="R57" i="62" s="1"/>
  <c r="F25" i="4"/>
  <c r="V57" i="62" s="1"/>
  <c r="F29" i="4"/>
  <c r="Z57" i="62" s="1"/>
  <c r="F31" i="4"/>
  <c r="AB57" i="62" s="1"/>
  <c r="F7" i="4"/>
  <c r="D57" i="62" s="1"/>
  <c r="F11" i="4"/>
  <c r="H57" i="62" s="1"/>
  <c r="F15" i="4"/>
  <c r="L57" i="62" s="1"/>
  <c r="F19" i="4"/>
  <c r="P57" i="62" s="1"/>
  <c r="F23" i="4"/>
  <c r="T57" i="62" s="1"/>
  <c r="F27" i="4"/>
  <c r="X57" i="62" s="1"/>
  <c r="F32" i="6"/>
  <c r="AC55" i="62" s="1"/>
  <c r="F30" i="6"/>
  <c r="AA55" i="62" s="1"/>
  <c r="F28" i="6"/>
  <c r="Y55" i="62" s="1"/>
  <c r="F26" i="6"/>
  <c r="W55" i="62" s="1"/>
  <c r="F24" i="6"/>
  <c r="U55" i="62" s="1"/>
  <c r="F22" i="6"/>
  <c r="S55" i="62" s="1"/>
  <c r="F20" i="6"/>
  <c r="Q55" i="62" s="1"/>
  <c r="F18" i="6"/>
  <c r="O55" i="62" s="1"/>
  <c r="F16" i="6"/>
  <c r="M55" i="62" s="1"/>
  <c r="F14" i="6"/>
  <c r="K55" i="62" s="1"/>
  <c r="F12" i="6"/>
  <c r="I55" i="62" s="1"/>
  <c r="F10" i="6"/>
  <c r="G55" i="62" s="1"/>
  <c r="F8" i="6"/>
  <c r="E55" i="62" s="1"/>
  <c r="F6" i="6"/>
  <c r="C55" i="62" s="1"/>
  <c r="F9" i="6"/>
  <c r="F55" i="62" s="1"/>
  <c r="F13" i="6"/>
  <c r="J55" i="62" s="1"/>
  <c r="F17" i="6"/>
  <c r="N55" i="62" s="1"/>
  <c r="F21" i="6"/>
  <c r="R55" i="62" s="1"/>
  <c r="F25" i="6"/>
  <c r="V55" i="62" s="1"/>
  <c r="F29" i="6"/>
  <c r="Z55" i="62" s="1"/>
  <c r="F7" i="6"/>
  <c r="D55" i="62" s="1"/>
  <c r="F11" i="6"/>
  <c r="H55" i="62" s="1"/>
  <c r="F15" i="6"/>
  <c r="L55" i="62" s="1"/>
  <c r="F19" i="6"/>
  <c r="P55" i="62" s="1"/>
  <c r="F23" i="6"/>
  <c r="T55" i="62" s="1"/>
  <c r="F27" i="6"/>
  <c r="X55" i="62" s="1"/>
  <c r="F31" i="6"/>
  <c r="AB55" i="62" s="1"/>
  <c r="F32" i="8"/>
  <c r="AC53" i="62" s="1"/>
  <c r="F30" i="8"/>
  <c r="AA53" i="62" s="1"/>
  <c r="F28" i="8"/>
  <c r="Y53" i="62" s="1"/>
  <c r="F26" i="8"/>
  <c r="W53" i="62" s="1"/>
  <c r="F24" i="8"/>
  <c r="U53" i="62" s="1"/>
  <c r="F22" i="8"/>
  <c r="S53" i="62" s="1"/>
  <c r="F20" i="8"/>
  <c r="Q53" i="62" s="1"/>
  <c r="F18" i="8"/>
  <c r="O53" i="62" s="1"/>
  <c r="F16" i="8"/>
  <c r="M53" i="62" s="1"/>
  <c r="F14" i="8"/>
  <c r="K53" i="62" s="1"/>
  <c r="F12" i="8"/>
  <c r="I53" i="62" s="1"/>
  <c r="F10" i="8"/>
  <c r="G53" i="62" s="1"/>
  <c r="F8" i="8"/>
  <c r="E53" i="62" s="1"/>
  <c r="F6" i="8"/>
  <c r="C53" i="62" s="1"/>
  <c r="F31" i="8"/>
  <c r="AB53" i="62" s="1"/>
  <c r="F7" i="8"/>
  <c r="D53" i="62" s="1"/>
  <c r="F11" i="8"/>
  <c r="H53" i="62" s="1"/>
  <c r="F15" i="8"/>
  <c r="L53" i="62" s="1"/>
  <c r="F19" i="8"/>
  <c r="P53" i="62" s="1"/>
  <c r="F23" i="8"/>
  <c r="T53" i="62" s="1"/>
  <c r="F27" i="8"/>
  <c r="X53" i="62" s="1"/>
  <c r="F9" i="8"/>
  <c r="F53" i="62" s="1"/>
  <c r="F13" i="8"/>
  <c r="J53" i="62" s="1"/>
  <c r="F17" i="8"/>
  <c r="N53" i="62" s="1"/>
  <c r="F21" i="8"/>
  <c r="R53" i="62" s="1"/>
  <c r="F25" i="8"/>
  <c r="V53" i="62" s="1"/>
  <c r="F29" i="8"/>
  <c r="Z53" i="62" s="1"/>
  <c r="F22" i="9"/>
  <c r="S52" i="62" s="1"/>
  <c r="F24" i="9"/>
  <c r="U52" i="62" s="1"/>
  <c r="F26" i="9"/>
  <c r="W52" i="62" s="1"/>
  <c r="F28" i="9"/>
  <c r="Y52" i="62" s="1"/>
  <c r="F30" i="9"/>
  <c r="AA52" i="62" s="1"/>
  <c r="F32" i="9"/>
  <c r="AC52" i="62" s="1"/>
  <c r="F21" i="9"/>
  <c r="R52" i="62" s="1"/>
  <c r="F23" i="9"/>
  <c r="T52" i="62" s="1"/>
  <c r="F25" i="9"/>
  <c r="V52" i="62" s="1"/>
  <c r="F27" i="9"/>
  <c r="X52" i="62" s="1"/>
  <c r="F29" i="9"/>
  <c r="Z52" i="62" s="1"/>
  <c r="F31" i="9"/>
  <c r="AB52" i="62" s="1"/>
  <c r="F19" i="9"/>
  <c r="P52" i="62" s="1"/>
  <c r="F17" i="9"/>
  <c r="N52" i="62" s="1"/>
  <c r="F15" i="9"/>
  <c r="L52" i="62" s="1"/>
  <c r="F13" i="9"/>
  <c r="J52" i="62" s="1"/>
  <c r="F11" i="9"/>
  <c r="H52" i="62" s="1"/>
  <c r="F9" i="9"/>
  <c r="F52" i="62" s="1"/>
  <c r="F7" i="9"/>
  <c r="D52" i="62" s="1"/>
  <c r="F8" i="9"/>
  <c r="E52" i="62" s="1"/>
  <c r="F12" i="9"/>
  <c r="I52" i="62" s="1"/>
  <c r="F16" i="9"/>
  <c r="M52" i="62" s="1"/>
  <c r="F20" i="9"/>
  <c r="Q52" i="62" s="1"/>
  <c r="F6" i="9"/>
  <c r="C52" i="62" s="1"/>
  <c r="F10" i="9"/>
  <c r="G52" i="62" s="1"/>
  <c r="F14" i="9"/>
  <c r="K52" i="62" s="1"/>
  <c r="F18" i="9"/>
  <c r="O52" i="62" s="1"/>
  <c r="F7" i="12"/>
  <c r="D49" i="62" s="1"/>
  <c r="F9" i="12"/>
  <c r="F49" i="62" s="1"/>
  <c r="F11" i="12"/>
  <c r="H49" i="62" s="1"/>
  <c r="F13" i="12"/>
  <c r="J49" i="62" s="1"/>
  <c r="F15" i="12"/>
  <c r="L49" i="62" s="1"/>
  <c r="F17" i="12"/>
  <c r="N49" i="62" s="1"/>
  <c r="F19" i="12"/>
  <c r="P49" i="62" s="1"/>
  <c r="F21" i="12"/>
  <c r="R49" i="62" s="1"/>
  <c r="F23" i="12"/>
  <c r="T49" i="62" s="1"/>
  <c r="F25" i="12"/>
  <c r="V49" i="62" s="1"/>
  <c r="F27" i="12"/>
  <c r="X49" i="62" s="1"/>
  <c r="F29" i="12"/>
  <c r="Z49" i="62" s="1"/>
  <c r="F31" i="12"/>
  <c r="AB49" i="62" s="1"/>
  <c r="F6" i="12"/>
  <c r="C49" i="62" s="1"/>
  <c r="F32" i="12"/>
  <c r="AC49" i="62" s="1"/>
  <c r="F28" i="12"/>
  <c r="Y49" i="62" s="1"/>
  <c r="F24" i="12"/>
  <c r="U49" i="62" s="1"/>
  <c r="F20" i="12"/>
  <c r="Q49" i="62" s="1"/>
  <c r="F16" i="12"/>
  <c r="M49" i="62" s="1"/>
  <c r="F12" i="12"/>
  <c r="I49" i="62" s="1"/>
  <c r="F8" i="12"/>
  <c r="E49" i="62" s="1"/>
  <c r="F30" i="12"/>
  <c r="AA49" i="62" s="1"/>
  <c r="F26" i="12"/>
  <c r="W49" i="62" s="1"/>
  <c r="F22" i="12"/>
  <c r="S49" i="62" s="1"/>
  <c r="F18" i="12"/>
  <c r="O49" i="62" s="1"/>
  <c r="F14" i="12"/>
  <c r="K49" i="62" s="1"/>
  <c r="F10" i="12"/>
  <c r="G49" i="62" s="1"/>
  <c r="F7" i="16"/>
  <c r="D45" i="62" s="1"/>
  <c r="F9" i="16"/>
  <c r="F45" i="62" s="1"/>
  <c r="F11" i="16"/>
  <c r="H45" i="62" s="1"/>
  <c r="F13" i="16"/>
  <c r="J45" i="62" s="1"/>
  <c r="F15" i="16"/>
  <c r="L45" i="62" s="1"/>
  <c r="F17" i="16"/>
  <c r="N45" i="62" s="1"/>
  <c r="F19" i="16"/>
  <c r="P45" i="62" s="1"/>
  <c r="F21" i="16"/>
  <c r="R45" i="62" s="1"/>
  <c r="F23" i="16"/>
  <c r="T45" i="62" s="1"/>
  <c r="F25" i="16"/>
  <c r="V45" i="62" s="1"/>
  <c r="F27" i="16"/>
  <c r="X45" i="62" s="1"/>
  <c r="F29" i="16"/>
  <c r="Z45" i="62" s="1"/>
  <c r="F31" i="16"/>
  <c r="AB45" i="62" s="1"/>
  <c r="F6" i="16"/>
  <c r="C45" i="62" s="1"/>
  <c r="F32" i="16"/>
  <c r="AC45" i="62" s="1"/>
  <c r="F28" i="16"/>
  <c r="Y45" i="62" s="1"/>
  <c r="F24" i="16"/>
  <c r="U45" i="62" s="1"/>
  <c r="F20" i="16"/>
  <c r="Q45" i="62" s="1"/>
  <c r="F16" i="16"/>
  <c r="M45" i="62" s="1"/>
  <c r="F12" i="16"/>
  <c r="I45" i="62" s="1"/>
  <c r="F8" i="16"/>
  <c r="E45" i="62" s="1"/>
  <c r="F30" i="16"/>
  <c r="AA45" i="62" s="1"/>
  <c r="F26" i="16"/>
  <c r="W45" i="62" s="1"/>
  <c r="F22" i="16"/>
  <c r="S45" i="62" s="1"/>
  <c r="F18" i="16"/>
  <c r="O45" i="62" s="1"/>
  <c r="F14" i="16"/>
  <c r="K45" i="62" s="1"/>
  <c r="F10" i="16"/>
  <c r="G45" i="62" s="1"/>
  <c r="F6" i="11"/>
  <c r="C50" i="62" s="1"/>
  <c r="F8" i="11"/>
  <c r="E50" i="62" s="1"/>
  <c r="F10" i="11"/>
  <c r="G50" i="62" s="1"/>
  <c r="F12" i="11"/>
  <c r="I50" i="62" s="1"/>
  <c r="F14" i="11"/>
  <c r="K50" i="62" s="1"/>
  <c r="F16" i="11"/>
  <c r="M50" i="62" s="1"/>
  <c r="F18" i="11"/>
  <c r="O50" i="62" s="1"/>
  <c r="F20" i="11"/>
  <c r="Q50" i="62" s="1"/>
  <c r="F22" i="11"/>
  <c r="S50" i="62" s="1"/>
  <c r="F24" i="11"/>
  <c r="U50" i="62" s="1"/>
  <c r="F26" i="11"/>
  <c r="W50" i="62" s="1"/>
  <c r="F28" i="11"/>
  <c r="Y50" i="62" s="1"/>
  <c r="F30" i="11"/>
  <c r="AA50" i="62" s="1"/>
  <c r="F32" i="11"/>
  <c r="AC50" i="62" s="1"/>
  <c r="F7" i="11"/>
  <c r="D50" i="62" s="1"/>
  <c r="F9" i="11"/>
  <c r="F50" i="62" s="1"/>
  <c r="F11" i="11"/>
  <c r="H50" i="62" s="1"/>
  <c r="F13" i="11"/>
  <c r="J50" i="62" s="1"/>
  <c r="F15" i="11"/>
  <c r="L50" i="62" s="1"/>
  <c r="F17" i="11"/>
  <c r="N50" i="62" s="1"/>
  <c r="F19" i="11"/>
  <c r="P50" i="62" s="1"/>
  <c r="F21" i="11"/>
  <c r="R50" i="62" s="1"/>
  <c r="F23" i="11"/>
  <c r="T50" i="62" s="1"/>
  <c r="F25" i="11"/>
  <c r="V50" i="62" s="1"/>
  <c r="F27" i="11"/>
  <c r="X50" i="62" s="1"/>
  <c r="F29" i="11"/>
  <c r="Z50" i="62" s="1"/>
  <c r="F31" i="11"/>
  <c r="AB50" i="62" s="1"/>
  <c r="F6" i="15"/>
  <c r="C46" i="62" s="1"/>
  <c r="F8" i="15"/>
  <c r="E46" i="62" s="1"/>
  <c r="F10" i="15"/>
  <c r="G46" i="62" s="1"/>
  <c r="F12" i="15"/>
  <c r="I46" i="62" s="1"/>
  <c r="F14" i="15"/>
  <c r="K46" i="62" s="1"/>
  <c r="F16" i="15"/>
  <c r="M46" i="62" s="1"/>
  <c r="F18" i="15"/>
  <c r="O46" i="62" s="1"/>
  <c r="F20" i="15"/>
  <c r="Q46" i="62" s="1"/>
  <c r="F22" i="15"/>
  <c r="S46" i="62" s="1"/>
  <c r="F24" i="15"/>
  <c r="U46" i="62" s="1"/>
  <c r="F26" i="15"/>
  <c r="W46" i="62" s="1"/>
  <c r="F28" i="15"/>
  <c r="Y46" i="62" s="1"/>
  <c r="F30" i="15"/>
  <c r="AA46" i="62" s="1"/>
  <c r="F32" i="15"/>
  <c r="AC46" i="62" s="1"/>
  <c r="F7" i="15"/>
  <c r="D46" i="62" s="1"/>
  <c r="F9" i="15"/>
  <c r="F46" i="62" s="1"/>
  <c r="F11" i="15"/>
  <c r="H46" i="62" s="1"/>
  <c r="F13" i="15"/>
  <c r="J46" i="62" s="1"/>
  <c r="F15" i="15"/>
  <c r="L46" i="62" s="1"/>
  <c r="F17" i="15"/>
  <c r="N46" i="62" s="1"/>
  <c r="F19" i="15"/>
  <c r="P46" i="62" s="1"/>
  <c r="F21" i="15"/>
  <c r="R46" i="62" s="1"/>
  <c r="F23" i="15"/>
  <c r="T46" i="62" s="1"/>
  <c r="F25" i="15"/>
  <c r="V46" i="62" s="1"/>
  <c r="F27" i="15"/>
  <c r="X46" i="62" s="1"/>
  <c r="F29" i="15"/>
  <c r="Z46" i="62" s="1"/>
  <c r="F31" i="15"/>
  <c r="AB46" i="62" s="1"/>
  <c r="F6" i="19"/>
  <c r="C42" i="62" s="1"/>
  <c r="F8" i="19"/>
  <c r="E42" i="62" s="1"/>
  <c r="F10" i="19"/>
  <c r="G42" i="62" s="1"/>
  <c r="F12" i="19"/>
  <c r="I42" i="62" s="1"/>
  <c r="F14" i="19"/>
  <c r="K42" i="62" s="1"/>
  <c r="F16" i="19"/>
  <c r="M42" i="62" s="1"/>
  <c r="F18" i="19"/>
  <c r="O42" i="62" s="1"/>
  <c r="F20" i="19"/>
  <c r="Q42" i="62" s="1"/>
  <c r="F22" i="19"/>
  <c r="S42" i="62" s="1"/>
  <c r="F24" i="19"/>
  <c r="U42" i="62" s="1"/>
  <c r="F26" i="19"/>
  <c r="W42" i="62" s="1"/>
  <c r="F28" i="19"/>
  <c r="Y42" i="62" s="1"/>
  <c r="F30" i="19"/>
  <c r="AA42" i="62" s="1"/>
  <c r="F32" i="19"/>
  <c r="AC42" i="62" s="1"/>
  <c r="F7" i="19"/>
  <c r="D42" i="62" s="1"/>
  <c r="F9" i="19"/>
  <c r="F42" i="62" s="1"/>
  <c r="F11" i="19"/>
  <c r="H42" i="62" s="1"/>
  <c r="F13" i="19"/>
  <c r="J42" i="62" s="1"/>
  <c r="F15" i="19"/>
  <c r="L42" i="62" s="1"/>
  <c r="F17" i="19"/>
  <c r="N42" i="62" s="1"/>
  <c r="F19" i="19"/>
  <c r="P42" i="62" s="1"/>
  <c r="F21" i="19"/>
  <c r="R42" i="62" s="1"/>
  <c r="F23" i="19"/>
  <c r="T42" i="62" s="1"/>
  <c r="F25" i="19"/>
  <c r="V42" i="62" s="1"/>
  <c r="F27" i="19"/>
  <c r="X42" i="62" s="1"/>
  <c r="F29" i="19"/>
  <c r="Z42" i="62" s="1"/>
  <c r="F31" i="19"/>
  <c r="AB42" i="62" s="1"/>
  <c r="F30" i="35"/>
  <c r="AA26" i="62" s="1"/>
  <c r="F26" i="35"/>
  <c r="W26" i="62" s="1"/>
  <c r="F22" i="35"/>
  <c r="S26" i="62" s="1"/>
  <c r="F18" i="35"/>
  <c r="O26" i="62" s="1"/>
  <c r="F14" i="35"/>
  <c r="K26" i="62" s="1"/>
  <c r="F10" i="35"/>
  <c r="G26" i="62" s="1"/>
  <c r="F6" i="35"/>
  <c r="C26" i="62" s="1"/>
  <c r="F31" i="35"/>
  <c r="AB26" i="62" s="1"/>
  <c r="F27" i="35"/>
  <c r="X26" i="62" s="1"/>
  <c r="F23" i="35"/>
  <c r="T26" i="62" s="1"/>
  <c r="F19" i="35"/>
  <c r="P26" i="62" s="1"/>
  <c r="F15" i="35"/>
  <c r="L26" i="62" s="1"/>
  <c r="F11" i="35"/>
  <c r="H26" i="62" s="1"/>
  <c r="F7" i="35"/>
  <c r="D26" i="62" s="1"/>
  <c r="F29" i="35"/>
  <c r="Z26" i="62" s="1"/>
  <c r="F25" i="35"/>
  <c r="V26" i="62" s="1"/>
  <c r="F21" i="35"/>
  <c r="R26" i="62" s="1"/>
  <c r="F17" i="35"/>
  <c r="N26" i="62" s="1"/>
  <c r="F13" i="35"/>
  <c r="J26" i="62" s="1"/>
  <c r="F9" i="35"/>
  <c r="F26" i="62" s="1"/>
  <c r="F32" i="35"/>
  <c r="AC26" i="62" s="1"/>
  <c r="F28" i="35"/>
  <c r="Y26" i="62" s="1"/>
  <c r="F24" i="35"/>
  <c r="U26" i="62" s="1"/>
  <c r="F20" i="35"/>
  <c r="Q26" i="62" s="1"/>
  <c r="F16" i="35"/>
  <c r="M26" i="62" s="1"/>
  <c r="F12" i="35"/>
  <c r="I26" i="62" s="1"/>
  <c r="F8" i="35"/>
  <c r="E26" i="62" s="1"/>
  <c r="F7" i="45"/>
  <c r="D16" i="62" s="1"/>
  <c r="F9" i="45"/>
  <c r="F16" i="62" s="1"/>
  <c r="F11" i="45"/>
  <c r="H16" i="62" s="1"/>
  <c r="F13" i="45"/>
  <c r="J16" i="62" s="1"/>
  <c r="F15" i="45"/>
  <c r="L16" i="62" s="1"/>
  <c r="F17" i="45"/>
  <c r="N16" i="62" s="1"/>
  <c r="F19" i="45"/>
  <c r="P16" i="62" s="1"/>
  <c r="F21" i="45"/>
  <c r="R16" i="62" s="1"/>
  <c r="F23" i="45"/>
  <c r="T16" i="62" s="1"/>
  <c r="F25" i="45"/>
  <c r="V16" i="62" s="1"/>
  <c r="F27" i="45"/>
  <c r="X16" i="62" s="1"/>
  <c r="F29" i="45"/>
  <c r="Z16" i="62" s="1"/>
  <c r="F31" i="45"/>
  <c r="AB16" i="62" s="1"/>
  <c r="F30" i="45"/>
  <c r="AA16" i="62" s="1"/>
  <c r="F26" i="45"/>
  <c r="W16" i="62" s="1"/>
  <c r="F22" i="45"/>
  <c r="S16" i="62" s="1"/>
  <c r="F18" i="45"/>
  <c r="O16" i="62" s="1"/>
  <c r="F14" i="45"/>
  <c r="K16" i="62" s="1"/>
  <c r="F10" i="45"/>
  <c r="G16" i="62" s="1"/>
  <c r="F6" i="45"/>
  <c r="C16" i="62" s="1"/>
  <c r="F32" i="45"/>
  <c r="AC16" i="62" s="1"/>
  <c r="F28" i="45"/>
  <c r="Y16" i="62" s="1"/>
  <c r="F24" i="45"/>
  <c r="U16" i="62" s="1"/>
  <c r="F20" i="45"/>
  <c r="Q16" i="62" s="1"/>
  <c r="F16" i="45"/>
  <c r="M16" i="62" s="1"/>
  <c r="F12" i="45"/>
  <c r="I16" i="62" s="1"/>
  <c r="F8" i="45"/>
  <c r="E16" i="62" s="1"/>
  <c r="F7" i="36"/>
  <c r="D25" i="62" s="1"/>
  <c r="F9" i="36"/>
  <c r="F25" i="62" s="1"/>
  <c r="F11" i="36"/>
  <c r="H25" i="62" s="1"/>
  <c r="F13" i="36"/>
  <c r="J25" i="62" s="1"/>
  <c r="F15" i="36"/>
  <c r="L25" i="62" s="1"/>
  <c r="F17" i="36"/>
  <c r="N25" i="62" s="1"/>
  <c r="F19" i="36"/>
  <c r="P25" i="62" s="1"/>
  <c r="F21" i="36"/>
  <c r="R25" i="62" s="1"/>
  <c r="F23" i="36"/>
  <c r="T25" i="62" s="1"/>
  <c r="F25" i="36"/>
  <c r="V25" i="62" s="1"/>
  <c r="F27" i="36"/>
  <c r="X25" i="62" s="1"/>
  <c r="F29" i="36"/>
  <c r="Z25" i="62" s="1"/>
  <c r="F31" i="36"/>
  <c r="AB25" i="62" s="1"/>
  <c r="F30" i="36"/>
  <c r="AA25" i="62" s="1"/>
  <c r="F26" i="36"/>
  <c r="W25" i="62" s="1"/>
  <c r="F22" i="36"/>
  <c r="S25" i="62" s="1"/>
  <c r="F18" i="36"/>
  <c r="O25" i="62" s="1"/>
  <c r="F14" i="36"/>
  <c r="K25" i="62" s="1"/>
  <c r="F10" i="36"/>
  <c r="G25" i="62" s="1"/>
  <c r="F6" i="36"/>
  <c r="C25" i="62" s="1"/>
  <c r="F32" i="36"/>
  <c r="AC25" i="62" s="1"/>
  <c r="F28" i="36"/>
  <c r="Y25" i="62" s="1"/>
  <c r="F24" i="36"/>
  <c r="U25" i="62" s="1"/>
  <c r="F20" i="36"/>
  <c r="Q25" i="62" s="1"/>
  <c r="F16" i="36"/>
  <c r="M25" i="62" s="1"/>
  <c r="F12" i="36"/>
  <c r="I25" i="62" s="1"/>
  <c r="F8" i="36"/>
  <c r="E25" i="62" s="1"/>
  <c r="F31" i="44"/>
  <c r="AB17" i="62" s="1"/>
  <c r="F32" i="44"/>
  <c r="AC17" i="62" s="1"/>
  <c r="F30" i="44"/>
  <c r="AA17" i="62" s="1"/>
  <c r="F28" i="44"/>
  <c r="Y17" i="62" s="1"/>
  <c r="F26" i="44"/>
  <c r="W17" i="62" s="1"/>
  <c r="F24" i="44"/>
  <c r="U17" i="62" s="1"/>
  <c r="F22" i="44"/>
  <c r="S17" i="62" s="1"/>
  <c r="F20" i="44"/>
  <c r="Q17" i="62" s="1"/>
  <c r="F18" i="44"/>
  <c r="O17" i="62" s="1"/>
  <c r="F16" i="44"/>
  <c r="M17" i="62" s="1"/>
  <c r="F14" i="44"/>
  <c r="K17" i="62" s="1"/>
  <c r="F12" i="44"/>
  <c r="I17" i="62" s="1"/>
  <c r="F10" i="44"/>
  <c r="G17" i="62" s="1"/>
  <c r="F8" i="44"/>
  <c r="E17" i="62" s="1"/>
  <c r="F6" i="44"/>
  <c r="C17" i="62" s="1"/>
  <c r="F29" i="44"/>
  <c r="Z17" i="62" s="1"/>
  <c r="F9" i="44"/>
  <c r="F17" i="62" s="1"/>
  <c r="F13" i="44"/>
  <c r="J17" i="62" s="1"/>
  <c r="F17" i="44"/>
  <c r="N17" i="62" s="1"/>
  <c r="F21" i="44"/>
  <c r="R17" i="62" s="1"/>
  <c r="F25" i="44"/>
  <c r="V17" i="62" s="1"/>
  <c r="F7" i="44"/>
  <c r="D17" i="62" s="1"/>
  <c r="F11" i="44"/>
  <c r="H17" i="62" s="1"/>
  <c r="F15" i="44"/>
  <c r="L17" i="62" s="1"/>
  <c r="F19" i="44"/>
  <c r="P17" i="62" s="1"/>
  <c r="F23" i="44"/>
  <c r="T17" i="62" s="1"/>
  <c r="F27" i="44"/>
  <c r="X17" i="62" s="1"/>
  <c r="F31" i="48"/>
  <c r="AB13" i="62" s="1"/>
  <c r="F27" i="48"/>
  <c r="X13" i="62" s="1"/>
  <c r="F23" i="48"/>
  <c r="T13" i="62" s="1"/>
  <c r="F19" i="48"/>
  <c r="P13" i="62" s="1"/>
  <c r="F11" i="48"/>
  <c r="H13" i="62" s="1"/>
  <c r="F7" i="48"/>
  <c r="D13" i="62" s="1"/>
  <c r="F13" i="48"/>
  <c r="J13" i="62" s="1"/>
  <c r="F9" i="48"/>
  <c r="F13" i="62" s="1"/>
  <c r="F10" i="48"/>
  <c r="G13" i="62" s="1"/>
  <c r="F17" i="48"/>
  <c r="N13" i="62" s="1"/>
  <c r="F18" i="48"/>
  <c r="O13" i="62" s="1"/>
  <c r="F26" i="48"/>
  <c r="W13" i="62" s="1"/>
  <c r="F8" i="48"/>
  <c r="E13" i="62" s="1"/>
  <c r="F25" i="48"/>
  <c r="V13" i="62" s="1"/>
  <c r="F16" i="48"/>
  <c r="M13" i="62" s="1"/>
  <c r="F24" i="48"/>
  <c r="U13" i="62" s="1"/>
  <c r="F32" i="48"/>
  <c r="AC13" i="62" s="1"/>
  <c r="F15" i="48"/>
  <c r="L13" i="62" s="1"/>
  <c r="F6" i="48"/>
  <c r="C13" i="62" s="1"/>
  <c r="F14" i="48"/>
  <c r="K13" i="62" s="1"/>
  <c r="F22" i="48"/>
  <c r="S13" i="62" s="1"/>
  <c r="F30" i="48"/>
  <c r="AA13" i="62" s="1"/>
  <c r="F21" i="48"/>
  <c r="R13" i="62" s="1"/>
  <c r="F29" i="48"/>
  <c r="Z13" i="62" s="1"/>
  <c r="F12" i="48"/>
  <c r="I13" i="62" s="1"/>
  <c r="F20" i="48"/>
  <c r="Q13" i="62" s="1"/>
  <c r="F28" i="48"/>
  <c r="Y13" i="62" s="1"/>
  <c r="F9" i="54"/>
  <c r="F7" i="62" s="1"/>
  <c r="F7" i="54"/>
  <c r="D7" i="62" s="1"/>
  <c r="F11" i="54"/>
  <c r="H7" i="62" s="1"/>
  <c r="F13" i="54"/>
  <c r="J7" i="62" s="1"/>
  <c r="F15" i="54"/>
  <c r="L7" i="62" s="1"/>
  <c r="F17" i="54"/>
  <c r="N7" i="62" s="1"/>
  <c r="F19" i="54"/>
  <c r="P7" i="62" s="1"/>
  <c r="F21" i="54"/>
  <c r="R7" i="62" s="1"/>
  <c r="F23" i="54"/>
  <c r="T7" i="62" s="1"/>
  <c r="F25" i="54"/>
  <c r="V7" i="62" s="1"/>
  <c r="F27" i="54"/>
  <c r="X7" i="62" s="1"/>
  <c r="F29" i="54"/>
  <c r="Z7" i="62" s="1"/>
  <c r="F31" i="54"/>
  <c r="AB7" i="62" s="1"/>
  <c r="F8" i="54"/>
  <c r="E7" i="62" s="1"/>
  <c r="F32" i="54"/>
  <c r="AC7" i="62" s="1"/>
  <c r="F16" i="54"/>
  <c r="M7" i="62" s="1"/>
  <c r="F6" i="54"/>
  <c r="C7" i="62" s="1"/>
  <c r="F30" i="54"/>
  <c r="AA7" i="62" s="1"/>
  <c r="F26" i="54"/>
  <c r="W7" i="62" s="1"/>
  <c r="F22" i="54"/>
  <c r="S7" i="62" s="1"/>
  <c r="F18" i="54"/>
  <c r="O7" i="62" s="1"/>
  <c r="F14" i="54"/>
  <c r="K7" i="62" s="1"/>
  <c r="F10" i="54"/>
  <c r="G7" i="62" s="1"/>
  <c r="F28" i="54"/>
  <c r="Y7" i="62" s="1"/>
  <c r="F24" i="54"/>
  <c r="U7" i="62" s="1"/>
  <c r="F20" i="54"/>
  <c r="Q7" i="62" s="1"/>
  <c r="F12" i="54"/>
  <c r="I7" i="62" s="1"/>
  <c r="F7" i="32"/>
  <c r="D29" i="62" s="1"/>
  <c r="F9" i="32"/>
  <c r="F29" i="62" s="1"/>
  <c r="F11" i="32"/>
  <c r="H29" i="62" s="1"/>
  <c r="F13" i="32"/>
  <c r="J29" i="62" s="1"/>
  <c r="F15" i="32"/>
  <c r="L29" i="62" s="1"/>
  <c r="F17" i="32"/>
  <c r="N29" i="62" s="1"/>
  <c r="F19" i="32"/>
  <c r="P29" i="62" s="1"/>
  <c r="F21" i="32"/>
  <c r="R29" i="62" s="1"/>
  <c r="F23" i="32"/>
  <c r="T29" i="62" s="1"/>
  <c r="F25" i="32"/>
  <c r="V29" i="62" s="1"/>
  <c r="F27" i="32"/>
  <c r="X29" i="62" s="1"/>
  <c r="F29" i="32"/>
  <c r="Z29" i="62" s="1"/>
  <c r="F31" i="32"/>
  <c r="AB29" i="62" s="1"/>
  <c r="F32" i="32"/>
  <c r="AC29" i="62" s="1"/>
  <c r="F28" i="32"/>
  <c r="Y29" i="62" s="1"/>
  <c r="F24" i="32"/>
  <c r="U29" i="62" s="1"/>
  <c r="F20" i="32"/>
  <c r="Q29" i="62" s="1"/>
  <c r="F16" i="32"/>
  <c r="M29" i="62" s="1"/>
  <c r="F12" i="32"/>
  <c r="I29" i="62" s="1"/>
  <c r="F8" i="32"/>
  <c r="E29" i="62" s="1"/>
  <c r="F30" i="32"/>
  <c r="AA29" i="62" s="1"/>
  <c r="F26" i="32"/>
  <c r="W29" i="62" s="1"/>
  <c r="F22" i="32"/>
  <c r="S29" i="62" s="1"/>
  <c r="F18" i="32"/>
  <c r="O29" i="62" s="1"/>
  <c r="F14" i="32"/>
  <c r="K29" i="62" s="1"/>
  <c r="F10" i="32"/>
  <c r="G29" i="62" s="1"/>
  <c r="F6" i="32"/>
  <c r="C29" i="62" s="1"/>
  <c r="F29" i="49"/>
  <c r="Z12" i="62" s="1"/>
  <c r="F25" i="49"/>
  <c r="V12" i="62" s="1"/>
  <c r="F21" i="49"/>
  <c r="R12" i="62" s="1"/>
  <c r="F17" i="49"/>
  <c r="N12" i="62" s="1"/>
  <c r="F13" i="49"/>
  <c r="J12" i="62" s="1"/>
  <c r="F9" i="49"/>
  <c r="F12" i="62" s="1"/>
  <c r="F32" i="49"/>
  <c r="AC12" i="62" s="1"/>
  <c r="F28" i="49"/>
  <c r="Y12" i="62" s="1"/>
  <c r="F24" i="49"/>
  <c r="U12" i="62" s="1"/>
  <c r="F20" i="49"/>
  <c r="Q12" i="62" s="1"/>
  <c r="F16" i="49"/>
  <c r="M12" i="62" s="1"/>
  <c r="F12" i="49"/>
  <c r="I12" i="62" s="1"/>
  <c r="F8" i="49"/>
  <c r="E12" i="62" s="1"/>
  <c r="F31" i="49"/>
  <c r="AB12" i="62" s="1"/>
  <c r="F27" i="49"/>
  <c r="X12" i="62" s="1"/>
  <c r="F23" i="49"/>
  <c r="T12" i="62" s="1"/>
  <c r="F19" i="49"/>
  <c r="P12" i="62" s="1"/>
  <c r="F15" i="49"/>
  <c r="L12" i="62" s="1"/>
  <c r="F11" i="49"/>
  <c r="H12" i="62" s="1"/>
  <c r="F7" i="49"/>
  <c r="D12" i="62" s="1"/>
  <c r="F30" i="49"/>
  <c r="AA12" i="62" s="1"/>
  <c r="F26" i="49"/>
  <c r="W12" i="62" s="1"/>
  <c r="F22" i="49"/>
  <c r="S12" i="62" s="1"/>
  <c r="F18" i="49"/>
  <c r="O12" i="62" s="1"/>
  <c r="F14" i="49"/>
  <c r="K12" i="62" s="1"/>
  <c r="F10" i="49"/>
  <c r="G12" i="62" s="1"/>
  <c r="F6" i="49"/>
  <c r="C12" i="62" s="1"/>
  <c r="F6" i="13"/>
  <c r="C48" i="62" s="1"/>
  <c r="F8" i="13"/>
  <c r="E48" i="62" s="1"/>
  <c r="F10" i="13"/>
  <c r="G48" i="62" s="1"/>
  <c r="F12" i="13"/>
  <c r="I48" i="62" s="1"/>
  <c r="F14" i="13"/>
  <c r="K48" i="62" s="1"/>
  <c r="F16" i="13"/>
  <c r="M48" i="62" s="1"/>
  <c r="F18" i="13"/>
  <c r="O48" i="62" s="1"/>
  <c r="F20" i="13"/>
  <c r="Q48" i="62" s="1"/>
  <c r="F22" i="13"/>
  <c r="S48" i="62" s="1"/>
  <c r="F24" i="13"/>
  <c r="U48" i="62" s="1"/>
  <c r="F26" i="13"/>
  <c r="W48" i="62" s="1"/>
  <c r="F28" i="13"/>
  <c r="Y48" i="62" s="1"/>
  <c r="F30" i="13"/>
  <c r="AA48" i="62" s="1"/>
  <c r="F32" i="13"/>
  <c r="AC48" i="62" s="1"/>
  <c r="F7" i="13"/>
  <c r="D48" i="62" s="1"/>
  <c r="F9" i="13"/>
  <c r="F48" i="62" s="1"/>
  <c r="F11" i="13"/>
  <c r="H48" i="62" s="1"/>
  <c r="F13" i="13"/>
  <c r="J48" i="62" s="1"/>
  <c r="F15" i="13"/>
  <c r="L48" i="62" s="1"/>
  <c r="F17" i="13"/>
  <c r="N48" i="62" s="1"/>
  <c r="F19" i="13"/>
  <c r="P48" i="62" s="1"/>
  <c r="F21" i="13"/>
  <c r="R48" i="62" s="1"/>
  <c r="F23" i="13"/>
  <c r="T48" i="62" s="1"/>
  <c r="F25" i="13"/>
  <c r="V48" i="62" s="1"/>
  <c r="F27" i="13"/>
  <c r="X48" i="62" s="1"/>
  <c r="F29" i="13"/>
  <c r="Z48" i="62" s="1"/>
  <c r="F31" i="13"/>
  <c r="AB48" i="62" s="1"/>
  <c r="F6" i="17"/>
  <c r="C44" i="62" s="1"/>
  <c r="F8" i="17"/>
  <c r="E44" i="62" s="1"/>
  <c r="F10" i="17"/>
  <c r="G44" i="62" s="1"/>
  <c r="F12" i="17"/>
  <c r="I44" i="62" s="1"/>
  <c r="F14" i="17"/>
  <c r="K44" i="62" s="1"/>
  <c r="F16" i="17"/>
  <c r="M44" i="62" s="1"/>
  <c r="F18" i="17"/>
  <c r="O44" i="62" s="1"/>
  <c r="F20" i="17"/>
  <c r="Q44" i="62" s="1"/>
  <c r="F22" i="17"/>
  <c r="S44" i="62" s="1"/>
  <c r="F24" i="17"/>
  <c r="U44" i="62" s="1"/>
  <c r="F26" i="17"/>
  <c r="W44" i="62" s="1"/>
  <c r="F28" i="17"/>
  <c r="Y44" i="62" s="1"/>
  <c r="F30" i="17"/>
  <c r="AA44" i="62" s="1"/>
  <c r="F32" i="17"/>
  <c r="AC44" i="62" s="1"/>
  <c r="F7" i="17"/>
  <c r="D44" i="62" s="1"/>
  <c r="F9" i="17"/>
  <c r="F44" i="62" s="1"/>
  <c r="F11" i="17"/>
  <c r="H44" i="62" s="1"/>
  <c r="F13" i="17"/>
  <c r="J44" i="62" s="1"/>
  <c r="F15" i="17"/>
  <c r="L44" i="62" s="1"/>
  <c r="F17" i="17"/>
  <c r="N44" i="62" s="1"/>
  <c r="F19" i="17"/>
  <c r="P44" i="62" s="1"/>
  <c r="F21" i="17"/>
  <c r="R44" i="62" s="1"/>
  <c r="F23" i="17"/>
  <c r="T44" i="62" s="1"/>
  <c r="F25" i="17"/>
  <c r="V44" i="62" s="1"/>
  <c r="F27" i="17"/>
  <c r="X44" i="62" s="1"/>
  <c r="F29" i="17"/>
  <c r="Z44" i="62" s="1"/>
  <c r="F31" i="17"/>
  <c r="AB44" i="62" s="1"/>
  <c r="F14" i="20"/>
  <c r="K41" i="62" s="1"/>
  <c r="F16" i="20"/>
  <c r="M41" i="62" s="1"/>
  <c r="F18" i="20"/>
  <c r="O41" i="62" s="1"/>
  <c r="F20" i="20"/>
  <c r="Q41" i="62" s="1"/>
  <c r="F22" i="20"/>
  <c r="S41" i="62" s="1"/>
  <c r="F24" i="20"/>
  <c r="U41" i="62" s="1"/>
  <c r="F26" i="20"/>
  <c r="W41" i="62" s="1"/>
  <c r="F28" i="20"/>
  <c r="Y41" i="62" s="1"/>
  <c r="F30" i="20"/>
  <c r="AA41" i="62" s="1"/>
  <c r="F32" i="20"/>
  <c r="AC41" i="62" s="1"/>
  <c r="F7" i="20"/>
  <c r="D41" i="62" s="1"/>
  <c r="F9" i="20"/>
  <c r="F41" i="62" s="1"/>
  <c r="F11" i="20"/>
  <c r="H41" i="62" s="1"/>
  <c r="F13" i="20"/>
  <c r="J41" i="62" s="1"/>
  <c r="F17" i="20"/>
  <c r="N41" i="62" s="1"/>
  <c r="F21" i="20"/>
  <c r="R41" i="62" s="1"/>
  <c r="F25" i="20"/>
  <c r="V41" i="62" s="1"/>
  <c r="F29" i="20"/>
  <c r="Z41" i="62" s="1"/>
  <c r="F15" i="20"/>
  <c r="L41" i="62" s="1"/>
  <c r="F19" i="20"/>
  <c r="P41" i="62" s="1"/>
  <c r="F23" i="20"/>
  <c r="T41" i="62" s="1"/>
  <c r="F27" i="20"/>
  <c r="X41" i="62" s="1"/>
  <c r="F31" i="20"/>
  <c r="AB41" i="62" s="1"/>
  <c r="F10" i="20"/>
  <c r="G41" i="62" s="1"/>
  <c r="F6" i="20"/>
  <c r="C41" i="62" s="1"/>
  <c r="F12" i="20"/>
  <c r="I41" i="62" s="1"/>
  <c r="F8" i="20"/>
  <c r="E41" i="62" s="1"/>
  <c r="F7" i="10"/>
  <c r="D51" i="62" s="1"/>
  <c r="F9" i="10"/>
  <c r="F51" i="62" s="1"/>
  <c r="F11" i="10"/>
  <c r="H51" i="62" s="1"/>
  <c r="F13" i="10"/>
  <c r="J51" i="62" s="1"/>
  <c r="F15" i="10"/>
  <c r="L51" i="62" s="1"/>
  <c r="F17" i="10"/>
  <c r="N51" i="62" s="1"/>
  <c r="F19" i="10"/>
  <c r="P51" i="62" s="1"/>
  <c r="F21" i="10"/>
  <c r="R51" i="62" s="1"/>
  <c r="F23" i="10"/>
  <c r="T51" i="62" s="1"/>
  <c r="F25" i="10"/>
  <c r="V51" i="62" s="1"/>
  <c r="F27" i="10"/>
  <c r="X51" i="62" s="1"/>
  <c r="F29" i="10"/>
  <c r="Z51" i="62" s="1"/>
  <c r="F31" i="10"/>
  <c r="AB51" i="62" s="1"/>
  <c r="F32" i="10"/>
  <c r="AC51" i="62" s="1"/>
  <c r="F28" i="10"/>
  <c r="Y51" i="62" s="1"/>
  <c r="F24" i="10"/>
  <c r="U51" i="62" s="1"/>
  <c r="F20" i="10"/>
  <c r="Q51" i="62" s="1"/>
  <c r="F16" i="10"/>
  <c r="M51" i="62" s="1"/>
  <c r="F12" i="10"/>
  <c r="I51" i="62" s="1"/>
  <c r="F8" i="10"/>
  <c r="E51" i="62" s="1"/>
  <c r="F6" i="10"/>
  <c r="C51" i="62" s="1"/>
  <c r="F30" i="10"/>
  <c r="AA51" i="62" s="1"/>
  <c r="F26" i="10"/>
  <c r="W51" i="62" s="1"/>
  <c r="F22" i="10"/>
  <c r="S51" i="62" s="1"/>
  <c r="F18" i="10"/>
  <c r="O51" i="62" s="1"/>
  <c r="F14" i="10"/>
  <c r="K51" i="62" s="1"/>
  <c r="F10" i="10"/>
  <c r="G51" i="62" s="1"/>
  <c r="F7" i="14"/>
  <c r="D47" i="62" s="1"/>
  <c r="F9" i="14"/>
  <c r="F47" i="62" s="1"/>
  <c r="F11" i="14"/>
  <c r="H47" i="62" s="1"/>
  <c r="F13" i="14"/>
  <c r="J47" i="62" s="1"/>
  <c r="F15" i="14"/>
  <c r="L47" i="62" s="1"/>
  <c r="F17" i="14"/>
  <c r="N47" i="62" s="1"/>
  <c r="F19" i="14"/>
  <c r="P47" i="62" s="1"/>
  <c r="F21" i="14"/>
  <c r="R47" i="62" s="1"/>
  <c r="F23" i="14"/>
  <c r="T47" i="62" s="1"/>
  <c r="F25" i="14"/>
  <c r="V47" i="62" s="1"/>
  <c r="F27" i="14"/>
  <c r="X47" i="62" s="1"/>
  <c r="F29" i="14"/>
  <c r="Z47" i="62" s="1"/>
  <c r="F31" i="14"/>
  <c r="AB47" i="62" s="1"/>
  <c r="F32" i="14"/>
  <c r="AC47" i="62" s="1"/>
  <c r="F28" i="14"/>
  <c r="Y47" i="62" s="1"/>
  <c r="F24" i="14"/>
  <c r="U47" i="62" s="1"/>
  <c r="F20" i="14"/>
  <c r="Q47" i="62" s="1"/>
  <c r="F16" i="14"/>
  <c r="M47" i="62" s="1"/>
  <c r="F12" i="14"/>
  <c r="I47" i="62" s="1"/>
  <c r="F8" i="14"/>
  <c r="E47" i="62" s="1"/>
  <c r="F6" i="14"/>
  <c r="C47" i="62" s="1"/>
  <c r="F30" i="14"/>
  <c r="AA47" i="62" s="1"/>
  <c r="F26" i="14"/>
  <c r="W47" i="62" s="1"/>
  <c r="F22" i="14"/>
  <c r="S47" i="62" s="1"/>
  <c r="F18" i="14"/>
  <c r="O47" i="62" s="1"/>
  <c r="F14" i="14"/>
  <c r="K47" i="62" s="1"/>
  <c r="F10" i="14"/>
  <c r="G47" i="62" s="1"/>
  <c r="F7" i="18"/>
  <c r="D43" i="62" s="1"/>
  <c r="F9" i="18"/>
  <c r="F43" i="62" s="1"/>
  <c r="F11" i="18"/>
  <c r="H43" i="62" s="1"/>
  <c r="F13" i="18"/>
  <c r="J43" i="62" s="1"/>
  <c r="F15" i="18"/>
  <c r="L43" i="62" s="1"/>
  <c r="F17" i="18"/>
  <c r="N43" i="62" s="1"/>
  <c r="F19" i="18"/>
  <c r="P43" i="62" s="1"/>
  <c r="F21" i="18"/>
  <c r="R43" i="62" s="1"/>
  <c r="F23" i="18"/>
  <c r="T43" i="62" s="1"/>
  <c r="F25" i="18"/>
  <c r="V43" i="62" s="1"/>
  <c r="F27" i="18"/>
  <c r="X43" i="62" s="1"/>
  <c r="F29" i="18"/>
  <c r="Z43" i="62" s="1"/>
  <c r="F31" i="18"/>
  <c r="AB43" i="62" s="1"/>
  <c r="F32" i="18"/>
  <c r="AC43" i="62" s="1"/>
  <c r="F28" i="18"/>
  <c r="Y43" i="62" s="1"/>
  <c r="F24" i="18"/>
  <c r="U43" i="62" s="1"/>
  <c r="F20" i="18"/>
  <c r="Q43" i="62" s="1"/>
  <c r="F16" i="18"/>
  <c r="M43" i="62" s="1"/>
  <c r="F12" i="18"/>
  <c r="I43" i="62" s="1"/>
  <c r="F8" i="18"/>
  <c r="E43" i="62" s="1"/>
  <c r="F6" i="18"/>
  <c r="C43" i="62" s="1"/>
  <c r="F30" i="18"/>
  <c r="AA43" i="62" s="1"/>
  <c r="F26" i="18"/>
  <c r="W43" i="62" s="1"/>
  <c r="F22" i="18"/>
  <c r="S43" i="62" s="1"/>
  <c r="F18" i="18"/>
  <c r="O43" i="62" s="1"/>
  <c r="F14" i="18"/>
  <c r="K43" i="62" s="1"/>
  <c r="F10" i="18"/>
  <c r="G43" i="62" s="1"/>
  <c r="F32" i="40"/>
  <c r="AC21" i="62" s="1"/>
  <c r="F30" i="40"/>
  <c r="AA21" i="62" s="1"/>
  <c r="F28" i="40"/>
  <c r="Y21" i="62" s="1"/>
  <c r="F26" i="40"/>
  <c r="W21" i="62" s="1"/>
  <c r="F24" i="40"/>
  <c r="U21" i="62" s="1"/>
  <c r="F22" i="40"/>
  <c r="S21" i="62" s="1"/>
  <c r="F20" i="40"/>
  <c r="Q21" i="62" s="1"/>
  <c r="F18" i="40"/>
  <c r="O21" i="62" s="1"/>
  <c r="F16" i="40"/>
  <c r="M21" i="62" s="1"/>
  <c r="F14" i="40"/>
  <c r="K21" i="62" s="1"/>
  <c r="F12" i="40"/>
  <c r="I21" i="62" s="1"/>
  <c r="F10" i="40"/>
  <c r="G21" i="62" s="1"/>
  <c r="F8" i="40"/>
  <c r="E21" i="62" s="1"/>
  <c r="F6" i="40"/>
  <c r="C21" i="62" s="1"/>
  <c r="F9" i="40"/>
  <c r="F21" i="62" s="1"/>
  <c r="F13" i="40"/>
  <c r="J21" i="62" s="1"/>
  <c r="F17" i="40"/>
  <c r="N21" i="62" s="1"/>
  <c r="F21" i="40"/>
  <c r="R21" i="62" s="1"/>
  <c r="F25" i="40"/>
  <c r="V21" i="62" s="1"/>
  <c r="F29" i="40"/>
  <c r="Z21" i="62" s="1"/>
  <c r="F7" i="40"/>
  <c r="D21" i="62" s="1"/>
  <c r="F11" i="40"/>
  <c r="H21" i="62" s="1"/>
  <c r="F15" i="40"/>
  <c r="L21" i="62" s="1"/>
  <c r="F19" i="40"/>
  <c r="P21" i="62" s="1"/>
  <c r="F23" i="40"/>
  <c r="T21" i="62" s="1"/>
  <c r="F27" i="40"/>
  <c r="X21" i="62" s="1"/>
  <c r="F31" i="40"/>
  <c r="AB21" i="62" s="1"/>
  <c r="F32" i="42"/>
  <c r="AC19" i="62" s="1"/>
  <c r="F30" i="42"/>
  <c r="AA19" i="62" s="1"/>
  <c r="F28" i="42"/>
  <c r="Y19" i="62" s="1"/>
  <c r="F26" i="42"/>
  <c r="W19" i="62" s="1"/>
  <c r="F24" i="42"/>
  <c r="U19" i="62" s="1"/>
  <c r="F22" i="42"/>
  <c r="S19" i="62" s="1"/>
  <c r="F20" i="42"/>
  <c r="Q19" i="62" s="1"/>
  <c r="F18" i="42"/>
  <c r="O19" i="62" s="1"/>
  <c r="F16" i="42"/>
  <c r="M19" i="62" s="1"/>
  <c r="F14" i="42"/>
  <c r="K19" i="62" s="1"/>
  <c r="F12" i="42"/>
  <c r="I19" i="62" s="1"/>
  <c r="F10" i="42"/>
  <c r="G19" i="62" s="1"/>
  <c r="F8" i="42"/>
  <c r="E19" i="62" s="1"/>
  <c r="F6" i="42"/>
  <c r="C19" i="62" s="1"/>
  <c r="F7" i="42"/>
  <c r="D19" i="62" s="1"/>
  <c r="F11" i="42"/>
  <c r="H19" i="62" s="1"/>
  <c r="F15" i="42"/>
  <c r="L19" i="62" s="1"/>
  <c r="F19" i="42"/>
  <c r="P19" i="62" s="1"/>
  <c r="F23" i="42"/>
  <c r="T19" i="62" s="1"/>
  <c r="F27" i="42"/>
  <c r="X19" i="62" s="1"/>
  <c r="F31" i="42"/>
  <c r="AB19" i="62" s="1"/>
  <c r="F9" i="42"/>
  <c r="F19" i="62" s="1"/>
  <c r="F13" i="42"/>
  <c r="J19" i="62" s="1"/>
  <c r="F17" i="42"/>
  <c r="N19" i="62" s="1"/>
  <c r="F21" i="42"/>
  <c r="R19" i="62" s="1"/>
  <c r="F25" i="42"/>
  <c r="V19" i="62" s="1"/>
  <c r="F29" i="42"/>
  <c r="Z19" i="62" s="1"/>
  <c r="F30" i="33"/>
  <c r="AA28" i="62" s="1"/>
  <c r="F26" i="33"/>
  <c r="W28" i="62" s="1"/>
  <c r="F22" i="33"/>
  <c r="S28" i="62" s="1"/>
  <c r="F18" i="33"/>
  <c r="O28" i="62" s="1"/>
  <c r="F14" i="33"/>
  <c r="K28" i="62" s="1"/>
  <c r="F29" i="33"/>
  <c r="Z28" i="62" s="1"/>
  <c r="F25" i="33"/>
  <c r="V28" i="62" s="1"/>
  <c r="F21" i="33"/>
  <c r="R28" i="62" s="1"/>
  <c r="F17" i="33"/>
  <c r="N28" i="62" s="1"/>
  <c r="F13" i="33"/>
  <c r="J28" i="62" s="1"/>
  <c r="F9" i="33"/>
  <c r="F28" i="62" s="1"/>
  <c r="F10" i="33"/>
  <c r="G28" i="62" s="1"/>
  <c r="F32" i="33"/>
  <c r="AC28" i="62" s="1"/>
  <c r="F28" i="33"/>
  <c r="Y28" i="62" s="1"/>
  <c r="F24" i="33"/>
  <c r="U28" i="62" s="1"/>
  <c r="F20" i="33"/>
  <c r="Q28" i="62" s="1"/>
  <c r="F16" i="33"/>
  <c r="M28" i="62" s="1"/>
  <c r="F12" i="33"/>
  <c r="I28" i="62" s="1"/>
  <c r="F8" i="33"/>
  <c r="E28" i="62" s="1"/>
  <c r="F31" i="33"/>
  <c r="AB28" i="62" s="1"/>
  <c r="F27" i="33"/>
  <c r="X28" i="62" s="1"/>
  <c r="F23" i="33"/>
  <c r="T28" i="62" s="1"/>
  <c r="F19" i="33"/>
  <c r="P28" i="62" s="1"/>
  <c r="F15" i="33"/>
  <c r="L28" i="62" s="1"/>
  <c r="F11" i="33"/>
  <c r="H28" i="62" s="1"/>
  <c r="F7" i="33"/>
  <c r="D28" i="62" s="1"/>
  <c r="F6" i="33"/>
  <c r="C28" i="62" s="1"/>
  <c r="F30" i="37"/>
  <c r="AA24" i="62" s="1"/>
  <c r="F26" i="37"/>
  <c r="W24" i="62" s="1"/>
  <c r="F22" i="37"/>
  <c r="S24" i="62" s="1"/>
  <c r="F18" i="37"/>
  <c r="O24" i="62" s="1"/>
  <c r="F14" i="37"/>
  <c r="K24" i="62" s="1"/>
  <c r="F10" i="37"/>
  <c r="G24" i="62" s="1"/>
  <c r="F6" i="37"/>
  <c r="C24" i="62" s="1"/>
  <c r="F29" i="37"/>
  <c r="Z24" i="62" s="1"/>
  <c r="F25" i="37"/>
  <c r="V24" i="62" s="1"/>
  <c r="F21" i="37"/>
  <c r="R24" i="62" s="1"/>
  <c r="F17" i="37"/>
  <c r="N24" i="62" s="1"/>
  <c r="F13" i="37"/>
  <c r="J24" i="62" s="1"/>
  <c r="F9" i="37"/>
  <c r="F24" i="62" s="1"/>
  <c r="F31" i="37"/>
  <c r="AB24" i="62" s="1"/>
  <c r="F27" i="37"/>
  <c r="X24" i="62" s="1"/>
  <c r="F23" i="37"/>
  <c r="T24" i="62" s="1"/>
  <c r="F19" i="37"/>
  <c r="P24" i="62" s="1"/>
  <c r="F15" i="37"/>
  <c r="L24" i="62" s="1"/>
  <c r="F11" i="37"/>
  <c r="H24" i="62" s="1"/>
  <c r="F7" i="37"/>
  <c r="D24" i="62" s="1"/>
  <c r="F32" i="37"/>
  <c r="AC24" i="62" s="1"/>
  <c r="F28" i="37"/>
  <c r="Y24" i="62" s="1"/>
  <c r="F24" i="37"/>
  <c r="U24" i="62" s="1"/>
  <c r="F20" i="37"/>
  <c r="Q24" i="62" s="1"/>
  <c r="F16" i="37"/>
  <c r="M24" i="62" s="1"/>
  <c r="F12" i="37"/>
  <c r="I24" i="62" s="1"/>
  <c r="F8" i="37"/>
  <c r="E24" i="62" s="1"/>
  <c r="F7" i="50"/>
  <c r="D11" i="62" s="1"/>
  <c r="F9" i="50"/>
  <c r="F11" i="62" s="1"/>
  <c r="F11" i="50"/>
  <c r="H11" i="62" s="1"/>
  <c r="F13" i="50"/>
  <c r="J11" i="62" s="1"/>
  <c r="F15" i="50"/>
  <c r="L11" i="62" s="1"/>
  <c r="F17" i="50"/>
  <c r="N11" i="62" s="1"/>
  <c r="F19" i="50"/>
  <c r="P11" i="62" s="1"/>
  <c r="F21" i="50"/>
  <c r="R11" i="62" s="1"/>
  <c r="F23" i="50"/>
  <c r="T11" i="62" s="1"/>
  <c r="F25" i="50"/>
  <c r="V11" i="62" s="1"/>
  <c r="F27" i="50"/>
  <c r="X11" i="62" s="1"/>
  <c r="F29" i="50"/>
  <c r="Z11" i="62" s="1"/>
  <c r="F31" i="50"/>
  <c r="AB11" i="62" s="1"/>
  <c r="F30" i="50"/>
  <c r="AA11" i="62" s="1"/>
  <c r="F26" i="50"/>
  <c r="W11" i="62" s="1"/>
  <c r="F22" i="50"/>
  <c r="S11" i="62" s="1"/>
  <c r="F18" i="50"/>
  <c r="O11" i="62" s="1"/>
  <c r="F14" i="50"/>
  <c r="K11" i="62" s="1"/>
  <c r="F10" i="50"/>
  <c r="G11" i="62" s="1"/>
  <c r="F6" i="50"/>
  <c r="C11" i="62" s="1"/>
  <c r="F32" i="50"/>
  <c r="AC11" i="62" s="1"/>
  <c r="F28" i="50"/>
  <c r="Y11" i="62" s="1"/>
  <c r="F24" i="50"/>
  <c r="U11" i="62" s="1"/>
  <c r="F20" i="50"/>
  <c r="Q11" i="62" s="1"/>
  <c r="F16" i="50"/>
  <c r="M11" i="62" s="1"/>
  <c r="F12" i="50"/>
  <c r="I11" i="62" s="1"/>
  <c r="F8" i="50"/>
  <c r="E11" i="62" s="1"/>
  <c r="F32" i="53"/>
  <c r="AC8" i="62" s="1"/>
  <c r="F28" i="53"/>
  <c r="Y8" i="62" s="1"/>
  <c r="F24" i="53"/>
  <c r="U8" i="62" s="1"/>
  <c r="F20" i="53"/>
  <c r="Q8" i="62" s="1"/>
  <c r="F6" i="53"/>
  <c r="C8" i="62" s="1"/>
  <c r="F10" i="53"/>
  <c r="G8" i="62" s="1"/>
  <c r="F14" i="53"/>
  <c r="K8" i="62" s="1"/>
  <c r="F18" i="53"/>
  <c r="O8" i="62" s="1"/>
  <c r="F31" i="53"/>
  <c r="AB8" i="62" s="1"/>
  <c r="F27" i="53"/>
  <c r="X8" i="62" s="1"/>
  <c r="F23" i="53"/>
  <c r="T8" i="62" s="1"/>
  <c r="F21" i="53"/>
  <c r="R8" i="62" s="1"/>
  <c r="F30" i="53"/>
  <c r="AA8" i="62" s="1"/>
  <c r="F26" i="53"/>
  <c r="W8" i="62" s="1"/>
  <c r="F22" i="53"/>
  <c r="S8" i="62" s="1"/>
  <c r="F8" i="53"/>
  <c r="E8" i="62" s="1"/>
  <c r="F12" i="53"/>
  <c r="I8" i="62" s="1"/>
  <c r="F16" i="53"/>
  <c r="M8" i="62" s="1"/>
  <c r="F29" i="53"/>
  <c r="Z8" i="62" s="1"/>
  <c r="F25" i="53"/>
  <c r="V8" i="62" s="1"/>
  <c r="F7" i="53"/>
  <c r="D8" i="62" s="1"/>
  <c r="F11" i="53"/>
  <c r="H8" i="62" s="1"/>
  <c r="F15" i="53"/>
  <c r="L8" i="62" s="1"/>
  <c r="F19" i="53"/>
  <c r="P8" i="62" s="1"/>
  <c r="F9" i="53"/>
  <c r="F8" i="62" s="1"/>
  <c r="F13" i="53"/>
  <c r="J8" i="62" s="1"/>
  <c r="F17" i="53"/>
  <c r="N8" i="62" s="1"/>
  <c r="E33" i="57"/>
  <c r="F5" i="57"/>
  <c r="B4" i="62" s="1"/>
  <c r="F32" i="60"/>
  <c r="F7" i="60"/>
  <c r="F6" i="60"/>
  <c r="F14" i="60"/>
  <c r="F28" i="60"/>
  <c r="F8" i="60"/>
  <c r="F19" i="60"/>
  <c r="F9" i="60"/>
  <c r="F17" i="60"/>
  <c r="F25" i="60"/>
  <c r="F30" i="60"/>
  <c r="F29" i="60"/>
  <c r="F16" i="60"/>
  <c r="F11" i="60"/>
  <c r="F23" i="60"/>
  <c r="F10" i="60"/>
  <c r="F18" i="60"/>
  <c r="F26" i="60"/>
  <c r="F24" i="60"/>
  <c r="F15" i="60"/>
  <c r="F13" i="60"/>
  <c r="F21" i="60"/>
  <c r="Z62" i="62" l="1"/>
  <c r="R62" i="62"/>
  <c r="J62" i="62"/>
  <c r="X62" i="62"/>
  <c r="P62" i="62"/>
  <c r="H62" i="62"/>
  <c r="AB62" i="62"/>
  <c r="E62" i="62"/>
  <c r="I62" i="62"/>
  <c r="M62" i="62"/>
  <c r="Q62" i="62"/>
  <c r="U62" i="62"/>
  <c r="Y62" i="62"/>
  <c r="AC62" i="62"/>
  <c r="F33" i="57"/>
  <c r="AD4" i="62" s="1"/>
  <c r="D4" i="65"/>
  <c r="V62" i="62"/>
  <c r="N62" i="62"/>
  <c r="F62" i="62"/>
  <c r="T62" i="62"/>
  <c r="L62" i="62"/>
  <c r="D62" i="62"/>
  <c r="C62" i="62"/>
  <c r="G62" i="62"/>
  <c r="K62" i="62"/>
  <c r="O62" i="62"/>
  <c r="S62" i="62"/>
  <c r="W62" i="62"/>
  <c r="AA62" i="62"/>
  <c r="C7" i="63"/>
  <c r="D7" i="63" s="1"/>
  <c r="AC63" i="62"/>
  <c r="AC65" i="62"/>
  <c r="D63" i="62"/>
  <c r="D65" i="62"/>
  <c r="S63" i="62"/>
  <c r="S65" i="62"/>
  <c r="I63" i="62"/>
  <c r="I65" i="62"/>
  <c r="T63" i="62"/>
  <c r="T65" i="62"/>
  <c r="O63" i="62"/>
  <c r="O65" i="62"/>
  <c r="U63" i="62"/>
  <c r="U65" i="62"/>
  <c r="H63" i="62"/>
  <c r="H65" i="62"/>
  <c r="AA63" i="62"/>
  <c r="AA65" i="62"/>
  <c r="X63" i="62"/>
  <c r="X65" i="62"/>
  <c r="Z63" i="62"/>
  <c r="Z65" i="62"/>
  <c r="V63" i="62"/>
  <c r="V65" i="62"/>
  <c r="L63" i="62"/>
  <c r="L65" i="62"/>
  <c r="K63" i="62"/>
  <c r="K65" i="62"/>
  <c r="Q63" i="62"/>
  <c r="Q65" i="62"/>
  <c r="R63" i="62"/>
  <c r="R65" i="62"/>
  <c r="N63" i="62"/>
  <c r="N65" i="62"/>
  <c r="W63" i="62"/>
  <c r="W65" i="62"/>
  <c r="G63" i="62"/>
  <c r="G65" i="62"/>
  <c r="M63" i="62"/>
  <c r="M65" i="62"/>
  <c r="J63" i="62"/>
  <c r="J65" i="62"/>
  <c r="AB63" i="62"/>
  <c r="AB65" i="62"/>
  <c r="Y63" i="62"/>
  <c r="Y65" i="62"/>
  <c r="F63" i="62"/>
  <c r="F65" i="62"/>
  <c r="C63" i="62"/>
  <c r="C65" i="62"/>
  <c r="P63" i="62"/>
  <c r="P65" i="62"/>
  <c r="E63" i="62"/>
  <c r="E65" i="62"/>
  <c r="AC64" i="62"/>
  <c r="D64" i="62"/>
  <c r="S64" i="62"/>
  <c r="I64" i="62"/>
  <c r="T64" i="62"/>
  <c r="O64" i="62"/>
  <c r="U64" i="62"/>
  <c r="H64" i="62"/>
  <c r="AA64" i="62"/>
  <c r="X64" i="62"/>
  <c r="Z64" i="62"/>
  <c r="V64" i="62"/>
  <c r="L64" i="62"/>
  <c r="K64" i="62"/>
  <c r="Q64" i="62"/>
  <c r="R64" i="62"/>
  <c r="N64" i="62"/>
  <c r="W64" i="62"/>
  <c r="G64" i="62"/>
  <c r="M64" i="62"/>
  <c r="J64" i="62"/>
  <c r="AB64" i="62"/>
  <c r="Y64" i="62"/>
  <c r="F64" i="62"/>
  <c r="C64" i="62"/>
  <c r="P64" i="62"/>
  <c r="E64" i="62"/>
  <c r="L61" i="62"/>
  <c r="U61" i="62"/>
  <c r="W61" i="62"/>
  <c r="G61" i="62"/>
  <c r="H61" i="62"/>
  <c r="Z61" i="62"/>
  <c r="V61" i="62"/>
  <c r="F61" i="62"/>
  <c r="E61" i="62"/>
  <c r="Y61" i="62"/>
  <c r="K61" i="62"/>
  <c r="D61" i="62"/>
  <c r="AC61" i="62"/>
  <c r="R61" i="62"/>
  <c r="J61" i="62"/>
  <c r="I61" i="62"/>
  <c r="AB61" i="62"/>
  <c r="O61" i="62"/>
  <c r="T61" i="62"/>
  <c r="M61" i="62"/>
  <c r="AA61" i="62"/>
  <c r="N61" i="62"/>
  <c r="P61" i="62"/>
  <c r="X61" i="62"/>
  <c r="S61" i="62"/>
  <c r="C61" i="62"/>
  <c r="Q61" i="62"/>
  <c r="F5" i="41"/>
  <c r="B20" i="62" s="1"/>
  <c r="E33" i="41"/>
  <c r="F5" i="30"/>
  <c r="B31" i="62" s="1"/>
  <c r="E33" i="30"/>
  <c r="C34" i="63" s="1"/>
  <c r="D34" i="63" s="1"/>
  <c r="F5" i="26"/>
  <c r="B35" i="62" s="1"/>
  <c r="E33" i="26"/>
  <c r="F5" i="43"/>
  <c r="B18" i="62" s="1"/>
  <c r="E33" i="43"/>
  <c r="C21" i="63" s="1"/>
  <c r="D21" i="63" s="1"/>
  <c r="F5" i="39"/>
  <c r="B22" i="62" s="1"/>
  <c r="E33" i="39"/>
  <c r="F5" i="28"/>
  <c r="B33" i="62" s="1"/>
  <c r="E33" i="28"/>
  <c r="F5" i="3"/>
  <c r="B58" i="62" s="1"/>
  <c r="E33" i="3"/>
  <c r="F5" i="1"/>
  <c r="B60" i="62" s="1"/>
  <c r="E33" i="1"/>
  <c r="C63" i="63" s="1"/>
  <c r="D63" i="63" s="1"/>
  <c r="E33" i="24"/>
  <c r="F5" i="24"/>
  <c r="B37" i="62" s="1"/>
  <c r="F5" i="22"/>
  <c r="B39" i="62" s="1"/>
  <c r="E33" i="22"/>
  <c r="E33" i="33"/>
  <c r="F5" i="33"/>
  <c r="B28" i="62" s="1"/>
  <c r="F5" i="10"/>
  <c r="B51" i="62" s="1"/>
  <c r="E33" i="10"/>
  <c r="E33" i="48"/>
  <c r="F5" i="48"/>
  <c r="B13" i="62" s="1"/>
  <c r="F5" i="44"/>
  <c r="B17" i="62" s="1"/>
  <c r="E33" i="44"/>
  <c r="F5" i="15"/>
  <c r="B46" i="62" s="1"/>
  <c r="E33" i="15"/>
  <c r="F5" i="11"/>
  <c r="B50" i="62" s="1"/>
  <c r="E33" i="11"/>
  <c r="C53" i="63" s="1"/>
  <c r="D53" i="63" s="1"/>
  <c r="F5" i="9"/>
  <c r="B52" i="62" s="1"/>
  <c r="E33" i="9"/>
  <c r="F5" i="8"/>
  <c r="B53" i="62" s="1"/>
  <c r="E33" i="8"/>
  <c r="C56" i="63" s="1"/>
  <c r="D56" i="63" s="1"/>
  <c r="F5" i="4"/>
  <c r="B57" i="62" s="1"/>
  <c r="E33" i="4"/>
  <c r="F5" i="56"/>
  <c r="B5" i="62" s="1"/>
  <c r="E33" i="56"/>
  <c r="C8" i="63" s="1"/>
  <c r="D8" i="63" s="1"/>
  <c r="F5" i="52"/>
  <c r="B9" i="62" s="1"/>
  <c r="E33" i="52"/>
  <c r="E33" i="46"/>
  <c r="F5" i="46"/>
  <c r="B15" i="62" s="1"/>
  <c r="F5" i="53"/>
  <c r="B8" i="62" s="1"/>
  <c r="E33" i="53"/>
  <c r="E33" i="50"/>
  <c r="F5" i="50"/>
  <c r="B11" i="62" s="1"/>
  <c r="E33" i="37"/>
  <c r="F5" i="37"/>
  <c r="B24" i="62" s="1"/>
  <c r="F5" i="42"/>
  <c r="B19" i="62" s="1"/>
  <c r="E33" i="42"/>
  <c r="F5" i="40"/>
  <c r="B21" i="62" s="1"/>
  <c r="E33" i="40"/>
  <c r="F5" i="18"/>
  <c r="B43" i="62" s="1"/>
  <c r="E33" i="18"/>
  <c r="F5" i="14"/>
  <c r="B47" i="62" s="1"/>
  <c r="E33" i="14"/>
  <c r="F5" i="20"/>
  <c r="B41" i="62" s="1"/>
  <c r="E33" i="20"/>
  <c r="F5" i="17"/>
  <c r="B44" i="62" s="1"/>
  <c r="E33" i="17"/>
  <c r="F5" i="13"/>
  <c r="B48" i="62" s="1"/>
  <c r="E33" i="13"/>
  <c r="E33" i="49"/>
  <c r="F5" i="49"/>
  <c r="B12" i="62" s="1"/>
  <c r="E33" i="32"/>
  <c r="F5" i="32"/>
  <c r="B29" i="62" s="1"/>
  <c r="F5" i="54"/>
  <c r="B7" i="62" s="1"/>
  <c r="E33" i="54"/>
  <c r="E33" i="36"/>
  <c r="F5" i="36"/>
  <c r="B25" i="62" s="1"/>
  <c r="E33" i="45"/>
  <c r="F5" i="45"/>
  <c r="B16" i="62" s="1"/>
  <c r="E33" i="35"/>
  <c r="F5" i="35"/>
  <c r="B26" i="62" s="1"/>
  <c r="F5" i="19"/>
  <c r="B42" i="62" s="1"/>
  <c r="E33" i="19"/>
  <c r="F5" i="16"/>
  <c r="B45" i="62" s="1"/>
  <c r="E33" i="16"/>
  <c r="F5" i="12"/>
  <c r="B49" i="62" s="1"/>
  <c r="E33" i="12"/>
  <c r="F5" i="6"/>
  <c r="B55" i="62" s="1"/>
  <c r="E33" i="6"/>
  <c r="F5" i="59"/>
  <c r="B59" i="62" s="1"/>
  <c r="E33" i="59"/>
  <c r="E33" i="51"/>
  <c r="F5" i="51"/>
  <c r="B10" i="62" s="1"/>
  <c r="F5" i="23"/>
  <c r="B38" i="62" s="1"/>
  <c r="E33" i="23"/>
  <c r="F5" i="21"/>
  <c r="B40" i="62" s="1"/>
  <c r="E33" i="21"/>
  <c r="E33" i="34"/>
  <c r="F5" i="34"/>
  <c r="B27" i="62" s="1"/>
  <c r="F5" i="31"/>
  <c r="B30" i="62" s="1"/>
  <c r="E33" i="31"/>
  <c r="F5" i="29"/>
  <c r="B32" i="62" s="1"/>
  <c r="E33" i="29"/>
  <c r="F5" i="27"/>
  <c r="B34" i="62" s="1"/>
  <c r="E33" i="27"/>
  <c r="E33" i="55"/>
  <c r="F5" i="55"/>
  <c r="B6" i="62" s="1"/>
  <c r="E33" i="60"/>
  <c r="F5" i="60"/>
  <c r="F33" i="27" l="1"/>
  <c r="AD34" i="62" s="1"/>
  <c r="D34" i="65"/>
  <c r="E34" i="65" s="1"/>
  <c r="F33" i="21"/>
  <c r="AD40" i="62" s="1"/>
  <c r="D40" i="65"/>
  <c r="E40" i="65" s="1"/>
  <c r="F33" i="6"/>
  <c r="AD55" i="62" s="1"/>
  <c r="D55" i="65"/>
  <c r="E55" i="65" s="1"/>
  <c r="F33" i="16"/>
  <c r="AD45" i="62" s="1"/>
  <c r="D45" i="65"/>
  <c r="E45" i="65" s="1"/>
  <c r="F33" i="13"/>
  <c r="AD48" i="62" s="1"/>
  <c r="D48" i="65"/>
  <c r="E48" i="65" s="1"/>
  <c r="F33" i="20"/>
  <c r="AD41" i="62" s="1"/>
  <c r="D41" i="65"/>
  <c r="E41" i="65" s="1"/>
  <c r="F33" i="18"/>
  <c r="AD43" i="62" s="1"/>
  <c r="D43" i="65"/>
  <c r="E43" i="65" s="1"/>
  <c r="F33" i="42"/>
  <c r="AD19" i="62" s="1"/>
  <c r="D19" i="65"/>
  <c r="E19" i="65" s="1"/>
  <c r="F33" i="53"/>
  <c r="AD8" i="62" s="1"/>
  <c r="D8" i="65"/>
  <c r="E8" i="65" s="1"/>
  <c r="F33" i="52"/>
  <c r="AD9" i="62" s="1"/>
  <c r="D9" i="65"/>
  <c r="E9" i="65" s="1"/>
  <c r="F33" i="4"/>
  <c r="AD57" i="62" s="1"/>
  <c r="D57" i="65"/>
  <c r="E57" i="65" s="1"/>
  <c r="F33" i="9"/>
  <c r="AD52" i="62" s="1"/>
  <c r="D52" i="65"/>
  <c r="E52" i="65" s="1"/>
  <c r="F33" i="15"/>
  <c r="AD46" i="62" s="1"/>
  <c r="D46" i="65"/>
  <c r="E46" i="65" s="1"/>
  <c r="F33" i="10"/>
  <c r="AD51" i="62" s="1"/>
  <c r="D51" i="65"/>
  <c r="E51" i="65" s="1"/>
  <c r="F33" i="3"/>
  <c r="AD58" i="62" s="1"/>
  <c r="D58" i="65"/>
  <c r="E58" i="65" s="1"/>
  <c r="F33" i="39"/>
  <c r="AD22" i="62" s="1"/>
  <c r="D22" i="65"/>
  <c r="E22" i="65" s="1"/>
  <c r="F33" i="26"/>
  <c r="AD35" i="62" s="1"/>
  <c r="D35" i="65"/>
  <c r="E35" i="65" s="1"/>
  <c r="F33" i="41"/>
  <c r="AD20" i="62" s="1"/>
  <c r="D20" i="65"/>
  <c r="E20" i="65" s="1"/>
  <c r="F33" i="55"/>
  <c r="AD6" i="62" s="1"/>
  <c r="D6" i="65"/>
  <c r="E6" i="65" s="1"/>
  <c r="F33" i="34"/>
  <c r="AD27" i="62" s="1"/>
  <c r="D27" i="65"/>
  <c r="E27" i="65" s="1"/>
  <c r="F33" i="51"/>
  <c r="AD10" i="62" s="1"/>
  <c r="D10" i="65"/>
  <c r="E10" i="65" s="1"/>
  <c r="F33" i="35"/>
  <c r="AD26" i="62" s="1"/>
  <c r="D26" i="65"/>
  <c r="E26" i="65" s="1"/>
  <c r="F33" i="45"/>
  <c r="AD16" i="62" s="1"/>
  <c r="D16" i="65"/>
  <c r="E16" i="65" s="1"/>
  <c r="F33" i="36"/>
  <c r="AD25" i="62" s="1"/>
  <c r="D25" i="65"/>
  <c r="E25" i="65" s="1"/>
  <c r="F33" i="32"/>
  <c r="AD29" i="62" s="1"/>
  <c r="D29" i="65"/>
  <c r="E29" i="65" s="1"/>
  <c r="F33" i="49"/>
  <c r="AD12" i="62" s="1"/>
  <c r="D12" i="65"/>
  <c r="E12" i="65" s="1"/>
  <c r="F33" i="37"/>
  <c r="AD24" i="62" s="1"/>
  <c r="D24" i="65"/>
  <c r="E24" i="65" s="1"/>
  <c r="F33" i="50"/>
  <c r="AD11" i="62" s="1"/>
  <c r="D11" i="65"/>
  <c r="E11" i="65" s="1"/>
  <c r="F33" i="46"/>
  <c r="AD15" i="62" s="1"/>
  <c r="D15" i="65"/>
  <c r="E15" i="65" s="1"/>
  <c r="F33" i="48"/>
  <c r="AD13" i="62" s="1"/>
  <c r="D13" i="65"/>
  <c r="E13" i="65" s="1"/>
  <c r="F33" i="33"/>
  <c r="AD28" i="62" s="1"/>
  <c r="D28" i="65"/>
  <c r="E28" i="65" s="1"/>
  <c r="F33" i="24"/>
  <c r="AD37" i="62" s="1"/>
  <c r="D37" i="65"/>
  <c r="E37" i="65" s="1"/>
  <c r="C37" i="63"/>
  <c r="D37" i="63" s="1"/>
  <c r="C30" i="63"/>
  <c r="D30" i="63" s="1"/>
  <c r="C44" i="63"/>
  <c r="D44" i="63" s="1"/>
  <c r="C29" i="63"/>
  <c r="D29" i="63" s="1"/>
  <c r="C61" i="63"/>
  <c r="D61" i="63" s="1"/>
  <c r="C9" i="63"/>
  <c r="D9" i="63" s="1"/>
  <c r="C43" i="63"/>
  <c r="D43" i="63" s="1"/>
  <c r="C12" i="63"/>
  <c r="D12" i="63" s="1"/>
  <c r="C60" i="63"/>
  <c r="D60" i="63" s="1"/>
  <c r="C48" i="63"/>
  <c r="D48" i="63" s="1"/>
  <c r="C27" i="63"/>
  <c r="D27" i="63" s="1"/>
  <c r="C40" i="63"/>
  <c r="D40" i="63" s="1"/>
  <c r="C16" i="63"/>
  <c r="D16" i="63" s="1"/>
  <c r="C32" i="63"/>
  <c r="D32" i="63" s="1"/>
  <c r="C51" i="63"/>
  <c r="D51" i="63" s="1"/>
  <c r="C54" i="63"/>
  <c r="D54" i="63" s="1"/>
  <c r="C46" i="63"/>
  <c r="D46" i="63" s="1"/>
  <c r="C49" i="63"/>
  <c r="D49" i="63" s="1"/>
  <c r="C23" i="63"/>
  <c r="D23" i="63" s="1"/>
  <c r="F33" i="29"/>
  <c r="AD32" i="62" s="1"/>
  <c r="D32" i="65"/>
  <c r="E32" i="65" s="1"/>
  <c r="F33" i="31"/>
  <c r="AD30" i="62" s="1"/>
  <c r="D30" i="65"/>
  <c r="E30" i="65" s="1"/>
  <c r="F33" i="23"/>
  <c r="AD38" i="62" s="1"/>
  <c r="D38" i="65"/>
  <c r="E38" i="65" s="1"/>
  <c r="F33" i="59"/>
  <c r="AD59" i="62" s="1"/>
  <c r="D59" i="65"/>
  <c r="E59" i="65" s="1"/>
  <c r="F33" i="12"/>
  <c r="AD49" i="62" s="1"/>
  <c r="D49" i="65"/>
  <c r="E49" i="65" s="1"/>
  <c r="F33" i="19"/>
  <c r="AD42" i="62" s="1"/>
  <c r="D42" i="65"/>
  <c r="E42" i="65" s="1"/>
  <c r="F33" i="54"/>
  <c r="AD7" i="62" s="1"/>
  <c r="D7" i="65"/>
  <c r="E7" i="65" s="1"/>
  <c r="F33" i="17"/>
  <c r="AD44" i="62" s="1"/>
  <c r="D44" i="65"/>
  <c r="E44" i="65" s="1"/>
  <c r="F33" i="14"/>
  <c r="AD47" i="62" s="1"/>
  <c r="D47" i="65"/>
  <c r="E47" i="65" s="1"/>
  <c r="F33" i="40"/>
  <c r="AD21" i="62" s="1"/>
  <c r="D21" i="65"/>
  <c r="E21" i="65" s="1"/>
  <c r="F33" i="56"/>
  <c r="AD5" i="62" s="1"/>
  <c r="D5" i="65"/>
  <c r="E5" i="65" s="1"/>
  <c r="F33" i="8"/>
  <c r="AD53" i="62" s="1"/>
  <c r="D53" i="65"/>
  <c r="E53" i="65" s="1"/>
  <c r="F33" i="11"/>
  <c r="AD50" i="62" s="1"/>
  <c r="D50" i="65"/>
  <c r="E50" i="65" s="1"/>
  <c r="F33" i="44"/>
  <c r="AD17" i="62" s="1"/>
  <c r="D17" i="65"/>
  <c r="E17" i="65" s="1"/>
  <c r="F33" i="22"/>
  <c r="AD39" i="62" s="1"/>
  <c r="D39" i="65"/>
  <c r="E39" i="65" s="1"/>
  <c r="F33" i="1"/>
  <c r="AD60" i="62" s="1"/>
  <c r="D60" i="65"/>
  <c r="E60" i="65" s="1"/>
  <c r="F33" i="28"/>
  <c r="AD33" i="62" s="1"/>
  <c r="D33" i="65"/>
  <c r="E33" i="65" s="1"/>
  <c r="F33" i="43"/>
  <c r="AD18" i="62" s="1"/>
  <c r="D18" i="65"/>
  <c r="E18" i="65" s="1"/>
  <c r="F33" i="30"/>
  <c r="AD31" i="62" s="1"/>
  <c r="D31" i="65"/>
  <c r="E31" i="65" s="1"/>
  <c r="C18" i="63"/>
  <c r="D18" i="63" s="1"/>
  <c r="C33" i="63"/>
  <c r="D33" i="63" s="1"/>
  <c r="C41" i="63"/>
  <c r="D41" i="63" s="1"/>
  <c r="C11" i="63"/>
  <c r="D11" i="63" s="1"/>
  <c r="C22" i="63"/>
  <c r="D22" i="63" s="1"/>
  <c r="C45" i="63"/>
  <c r="D45" i="63" s="1"/>
  <c r="C19" i="63"/>
  <c r="D19" i="63" s="1"/>
  <c r="C36" i="63"/>
  <c r="D36" i="63" s="1"/>
  <c r="C38" i="63"/>
  <c r="D38" i="63" s="1"/>
  <c r="C28" i="63"/>
  <c r="D28" i="63" s="1"/>
  <c r="C35" i="63"/>
  <c r="D35" i="63" s="1"/>
  <c r="C13" i="63"/>
  <c r="D13" i="63" s="1"/>
  <c r="C62" i="63"/>
  <c r="D62" i="63" s="1"/>
  <c r="C58" i="63"/>
  <c r="D58" i="63" s="1"/>
  <c r="C55" i="63"/>
  <c r="D55" i="63" s="1"/>
  <c r="C31" i="63"/>
  <c r="D31" i="63" s="1"/>
  <c r="C14" i="63"/>
  <c r="D14" i="63" s="1"/>
  <c r="C20" i="63"/>
  <c r="D20" i="63" s="1"/>
  <c r="C10" i="63"/>
  <c r="D10" i="63" s="1"/>
  <c r="C15" i="63"/>
  <c r="D15" i="63" s="1"/>
  <c r="C47" i="63"/>
  <c r="D47" i="63" s="1"/>
  <c r="C50" i="63"/>
  <c r="D50" i="63" s="1"/>
  <c r="C24" i="63"/>
  <c r="D24" i="63" s="1"/>
  <c r="C42" i="63"/>
  <c r="D42" i="63" s="1"/>
  <c r="C25" i="63"/>
  <c r="D25" i="63" s="1"/>
  <c r="C52" i="63"/>
  <c r="D52" i="63" s="1"/>
  <c r="B61" i="65"/>
  <c r="C61" i="65" s="1"/>
  <c r="E4" i="65"/>
  <c r="D61" i="65"/>
  <c r="AD65" i="62"/>
  <c r="B65" i="62"/>
  <c r="F33" i="60"/>
  <c r="C64" i="63"/>
  <c r="D64" i="63" s="1"/>
  <c r="AD64" i="62"/>
  <c r="AD62" i="62"/>
  <c r="B63" i="62"/>
  <c r="B64" i="62"/>
  <c r="AD63" i="62"/>
  <c r="B62" i="62"/>
  <c r="AD61" i="62"/>
  <c r="B61" i="62"/>
  <c r="E61" i="65" l="1"/>
  <c r="D62" i="64"/>
  <c r="E62" i="64" s="1"/>
  <c r="D61" i="64"/>
  <c r="E61" i="64" s="1"/>
  <c r="D60" i="64"/>
  <c r="E60" i="64" s="1"/>
  <c r="D59" i="64"/>
  <c r="E59" i="64" s="1"/>
  <c r="D58" i="64"/>
  <c r="E58" i="64" s="1"/>
  <c r="D57" i="64"/>
  <c r="E57" i="64" s="1"/>
  <c r="D56" i="64"/>
  <c r="E56" i="64" s="1"/>
  <c r="D55" i="64"/>
  <c r="E55" i="64" s="1"/>
  <c r="D54" i="64"/>
  <c r="E54" i="64" s="1"/>
  <c r="D53" i="64"/>
  <c r="E53" i="64" s="1"/>
  <c r="D52" i="64"/>
  <c r="E52" i="64" s="1"/>
  <c r="D51" i="64"/>
  <c r="E51" i="64" s="1"/>
  <c r="D50" i="64"/>
  <c r="E50" i="64" s="1"/>
  <c r="D49" i="64"/>
  <c r="E49" i="64" s="1"/>
  <c r="D48" i="64"/>
  <c r="E48" i="64" s="1"/>
  <c r="D47" i="64"/>
  <c r="E47" i="64" s="1"/>
  <c r="D46" i="64"/>
  <c r="E46" i="64" s="1"/>
  <c r="D45" i="64"/>
  <c r="E45" i="64" s="1"/>
  <c r="D44" i="64"/>
  <c r="E44" i="64" s="1"/>
  <c r="D43" i="64"/>
  <c r="E43" i="64" s="1"/>
  <c r="D42" i="64"/>
  <c r="E42" i="64" s="1"/>
  <c r="D41" i="64"/>
  <c r="E41" i="64" s="1"/>
  <c r="D40" i="64"/>
  <c r="E40" i="64" s="1"/>
  <c r="D39" i="64"/>
  <c r="E39" i="64" s="1"/>
  <c r="D38" i="64"/>
  <c r="E38" i="64" s="1"/>
  <c r="D37" i="64"/>
  <c r="E37" i="64" s="1"/>
  <c r="D36" i="64"/>
  <c r="E36" i="64" s="1"/>
  <c r="D35" i="64"/>
  <c r="E35" i="64" s="1"/>
  <c r="D34" i="64"/>
  <c r="E34" i="64" s="1"/>
  <c r="D33" i="64"/>
  <c r="E33" i="64" s="1"/>
  <c r="D32" i="64"/>
  <c r="E32" i="64" s="1"/>
  <c r="D31" i="64"/>
  <c r="E31" i="64" s="1"/>
  <c r="D30" i="64"/>
  <c r="E30" i="64" s="1"/>
  <c r="D29" i="64"/>
  <c r="E29" i="64" s="1"/>
  <c r="D28" i="64"/>
  <c r="E28" i="64" s="1"/>
  <c r="D27" i="64"/>
  <c r="E27" i="64" s="1"/>
  <c r="D26" i="64"/>
  <c r="E26" i="64" s="1"/>
  <c r="D25" i="64"/>
  <c r="E25" i="64" s="1"/>
  <c r="D24" i="64"/>
  <c r="E24" i="64" s="1"/>
  <c r="D23" i="64"/>
  <c r="E23" i="64" s="1"/>
  <c r="D22" i="64"/>
  <c r="E22" i="64" s="1"/>
  <c r="D21" i="64"/>
  <c r="E21" i="64" s="1"/>
  <c r="D20" i="64"/>
  <c r="E20" i="64" s="1"/>
  <c r="D19" i="64"/>
  <c r="E19" i="64" s="1"/>
  <c r="D18" i="64"/>
  <c r="E18" i="64" s="1"/>
  <c r="D17" i="64"/>
  <c r="E17" i="64" s="1"/>
  <c r="D16" i="64"/>
  <c r="E16" i="64" s="1"/>
  <c r="D15" i="64"/>
  <c r="E15" i="64" s="1"/>
  <c r="D14" i="64"/>
  <c r="E14" i="64" s="1"/>
  <c r="D13" i="64"/>
  <c r="E13" i="64" s="1"/>
  <c r="D12" i="64"/>
  <c r="E12" i="64" s="1"/>
  <c r="D11" i="64"/>
  <c r="E11" i="64" s="1"/>
  <c r="D10" i="64"/>
  <c r="E10" i="64" s="1"/>
  <c r="D9" i="64"/>
  <c r="E9" i="64" s="1"/>
  <c r="D8" i="64"/>
  <c r="E8" i="64" s="1"/>
  <c r="D7" i="64"/>
  <c r="E7" i="64" s="1"/>
  <c r="D6" i="64" l="1"/>
  <c r="E6" i="64" s="1"/>
  <c r="C63" i="64"/>
  <c r="D63" i="64" s="1"/>
  <c r="E63" i="64" s="1"/>
</calcChain>
</file>

<file path=xl/connections.xml><?xml version="1.0" encoding="utf-8"?>
<connections xmlns="http://schemas.openxmlformats.org/spreadsheetml/2006/main">
  <connection id="1" keepAlive="1" name="Broadway AP_FRP_RFOE CCSurvey" type="5" refreshedVersion="4" background="1" saveData="1">
    <dbPr connection="Provider=SQLOLEDB.1;Integrated Security=SSPI;Persist Security Info=True;Initial Catalog=AP_FRP_RFOE;Data Source=Broadway;Use Procedure for Prepare=1;Auto Translate=True;Packet Size=4096;Workstation ID=TURCOTTEPL;Use Encryption for Data=False;Tag with column collation when possible=False" command="&quot;AP_FRP_RFOE&quot;.&quot;dbo&quot;.&quot;CCSurvey&quot;" commandType="3"/>
  </connection>
  <connection id="2" odcFile="\\THECB-AUVFS41\UserDoc$\turcottepl\My Documents\My Data Sources\Broadway AP_FRP_RFOE CCSurvey.odc" keepAlive="1" name="Broadway AP_FRP_RFOE CCSurvey1" type="5" refreshedVersion="0" new="1" background="1">
    <dbPr connection="Provider=SQLOLEDB.1;Integrated Security=SSPI;Persist Security Info=True;Data Source=Broadway;Use Procedure for Prepare=1;Auto Translate=True;Packet Size=4096;Workstation ID=TURCOTTEPL;Use Encryption for Data=False;Tag with column collation when possible=False;Initial Catalog=AP_FRP_RFOE" command="&quot;AP_FRP_RFOE&quot;.&quot;dbo&quot;.&quot;CCSurvey&quot;" commandType="3"/>
  </connection>
</connections>
</file>

<file path=xl/sharedStrings.xml><?xml version="1.0" encoding="utf-8"?>
<sst xmlns="http://schemas.openxmlformats.org/spreadsheetml/2006/main" count="10008" uniqueCount="1430">
  <si>
    <t>Agriculture</t>
  </si>
  <si>
    <t>Architecture and Precision Production Trades</t>
  </si>
  <si>
    <t>Biology, Physical Sciences, and Science Technology</t>
  </si>
  <si>
    <t>Business Management, Marketing, and Administrative Services</t>
  </si>
  <si>
    <t>Career Pilot</t>
  </si>
  <si>
    <t>Communications</t>
  </si>
  <si>
    <t>Computer and Information Sciences</t>
  </si>
  <si>
    <t>Construction Trades</t>
  </si>
  <si>
    <t>Consumer and Homemaking Education</t>
  </si>
  <si>
    <t>Engineering</t>
  </si>
  <si>
    <t>Engineering Related</t>
  </si>
  <si>
    <t>English Language, Lit, Philosophy, Humanities, &amp; Interdisciplinary</t>
  </si>
  <si>
    <t>Foreign Languages</t>
  </si>
  <si>
    <t>Health Occupations - Dental Hygiene</t>
  </si>
  <si>
    <t>Health Occupations - Other</t>
  </si>
  <si>
    <t>Health Occupations - Respiratory Therapy</t>
  </si>
  <si>
    <t>Health Occupations - Vocational Nursing</t>
  </si>
  <si>
    <t>Mathematics</t>
  </si>
  <si>
    <t>Mechanics and Repairers - Automotive</t>
  </si>
  <si>
    <t>Mechanics and Repairers - Electronics</t>
  </si>
  <si>
    <t>Physical Education and Fitness</t>
  </si>
  <si>
    <t>Protective Services and Public Administration</t>
  </si>
  <si>
    <t>Psychology, Social Sciences, and History</t>
  </si>
  <si>
    <t>Visual and Performing Arts</t>
  </si>
  <si>
    <t>Developmental Education - Math</t>
  </si>
  <si>
    <t>Developmental Education - Reading/Writing</t>
  </si>
  <si>
    <t>Fund</t>
  </si>
  <si>
    <t>Contact Hours</t>
  </si>
  <si>
    <t>Research</t>
  </si>
  <si>
    <t>Local Benefits</t>
  </si>
  <si>
    <t>Institutional Support</t>
  </si>
  <si>
    <t>Student Services</t>
  </si>
  <si>
    <t>Academic Support</t>
  </si>
  <si>
    <t>Scholarships and Fellowships</t>
  </si>
  <si>
    <t>Equipment Depreciation</t>
  </si>
  <si>
    <t>Total</t>
  </si>
  <si>
    <t>FICE</t>
  </si>
  <si>
    <t>Password</t>
  </si>
  <si>
    <t>Approved</t>
  </si>
  <si>
    <t>ApprovalDate</t>
  </si>
  <si>
    <t>LastMod</t>
  </si>
  <si>
    <t>CBNote</t>
  </si>
  <si>
    <t>dist_name</t>
  </si>
  <si>
    <t>person</t>
  </si>
  <si>
    <t>title</t>
  </si>
  <si>
    <t>phone</t>
  </si>
  <si>
    <t>email</t>
  </si>
  <si>
    <t>GrandTotal</t>
  </si>
  <si>
    <t>SecATotal</t>
  </si>
  <si>
    <t>SecBTotal</t>
  </si>
  <si>
    <t>AFRExb2</t>
  </si>
  <si>
    <t>Difference</t>
  </si>
  <si>
    <t>Sec2Local</t>
  </si>
  <si>
    <t>Sec2State</t>
  </si>
  <si>
    <t>Sec2_Total</t>
  </si>
  <si>
    <t>Sec3SW1</t>
  </si>
  <si>
    <t>Sec3SW2</t>
  </si>
  <si>
    <t>Sec3SW3</t>
  </si>
  <si>
    <t>Sec3SW4</t>
  </si>
  <si>
    <t>Sec3SW5</t>
  </si>
  <si>
    <t>Sec3SW6</t>
  </si>
  <si>
    <t>Sec3SWTotal</t>
  </si>
  <si>
    <t>Sec3Oth1</t>
  </si>
  <si>
    <t>Sec3Oth2</t>
  </si>
  <si>
    <t>Sec3Oth3</t>
  </si>
  <si>
    <t>Sec3Oth4</t>
  </si>
  <si>
    <t>Sec3Oth5</t>
  </si>
  <si>
    <t>Sec3Oth6</t>
  </si>
  <si>
    <t>Sec3OthTotal</t>
  </si>
  <si>
    <t>Sec3_1</t>
  </si>
  <si>
    <t>Sec3_2</t>
  </si>
  <si>
    <t>Sec3_3</t>
  </si>
  <si>
    <t>Sec3_4</t>
  </si>
  <si>
    <t>Sec3_5</t>
  </si>
  <si>
    <t>Sec3_6</t>
  </si>
  <si>
    <t>Sec3_Total</t>
  </si>
  <si>
    <t>Sec4SW1</t>
  </si>
  <si>
    <t>Sec4SW2</t>
  </si>
  <si>
    <t>Sec4SW3</t>
  </si>
  <si>
    <t>Sec4SW4</t>
  </si>
  <si>
    <t>Sec4SWTotal</t>
  </si>
  <si>
    <t>Sec4Oth1</t>
  </si>
  <si>
    <t>Sec4Oth2</t>
  </si>
  <si>
    <t>Sec4Oth3</t>
  </si>
  <si>
    <t>Sec4Oth4</t>
  </si>
  <si>
    <t>Sec4OthTotal</t>
  </si>
  <si>
    <t>Sec4_1</t>
  </si>
  <si>
    <t>Sec4_2</t>
  </si>
  <si>
    <t>Sec4_3</t>
  </si>
  <si>
    <t>Sec4_4</t>
  </si>
  <si>
    <t>Sec4_Total</t>
  </si>
  <si>
    <t>Sec5SW1</t>
  </si>
  <si>
    <t>Sec5SW2</t>
  </si>
  <si>
    <t>Sec5SW3</t>
  </si>
  <si>
    <t>Sec5SW4</t>
  </si>
  <si>
    <t>Sec5SW5</t>
  </si>
  <si>
    <t>Sec5SWTotal</t>
  </si>
  <si>
    <t>Sec5SB1</t>
  </si>
  <si>
    <t>Sec5SB2</t>
  </si>
  <si>
    <t>Sec5SB3</t>
  </si>
  <si>
    <t>Sec5SB4</t>
  </si>
  <si>
    <t>Sec5SB5</t>
  </si>
  <si>
    <t>Sec5SBTotal</t>
  </si>
  <si>
    <t>Sec5Oth1</t>
  </si>
  <si>
    <t>Sec5Oth2</t>
  </si>
  <si>
    <t>Sec5Oth3</t>
  </si>
  <si>
    <t>Sec5Oth4</t>
  </si>
  <si>
    <t>Sec5Oth5</t>
  </si>
  <si>
    <t>Sec5OthTotal</t>
  </si>
  <si>
    <t>Sec5_1</t>
  </si>
  <si>
    <t>Sec5_2</t>
  </si>
  <si>
    <t>Sec5_3</t>
  </si>
  <si>
    <t>Sec5_4</t>
  </si>
  <si>
    <t>Sec5_5</t>
  </si>
  <si>
    <t>Sec5_Total</t>
  </si>
  <si>
    <t>Sec6SW1</t>
  </si>
  <si>
    <t>Sec6SW2</t>
  </si>
  <si>
    <t>Sec6SW3</t>
  </si>
  <si>
    <t>Sec6SWTotal</t>
  </si>
  <si>
    <t>Sec6SB1</t>
  </si>
  <si>
    <t>Sec6SB2</t>
  </si>
  <si>
    <t>Sec6SB3</t>
  </si>
  <si>
    <t>Sec6SBTotal</t>
  </si>
  <si>
    <t>Sec6Oth1</t>
  </si>
  <si>
    <t>Sec6Oth2</t>
  </si>
  <si>
    <t>Sec6Oth3</t>
  </si>
  <si>
    <t>Sec6OthTotal</t>
  </si>
  <si>
    <t>Sec6_1</t>
  </si>
  <si>
    <t>Sec6_2</t>
  </si>
  <si>
    <t>Sec6_3</t>
  </si>
  <si>
    <t>Sec6_Total</t>
  </si>
  <si>
    <t>FICE_Link</t>
  </si>
  <si>
    <t>LocalBenefits</t>
  </si>
  <si>
    <t>StateBenefits</t>
  </si>
  <si>
    <t>HRS1</t>
  </si>
  <si>
    <t>HRS2</t>
  </si>
  <si>
    <t>HRS3</t>
  </si>
  <si>
    <t>HRS4</t>
  </si>
  <si>
    <t>HRS5</t>
  </si>
  <si>
    <t>HRS6</t>
  </si>
  <si>
    <t>HRS7</t>
  </si>
  <si>
    <t>HRS8</t>
  </si>
  <si>
    <t>HRS9</t>
  </si>
  <si>
    <t>HRS10</t>
  </si>
  <si>
    <t>HRS11</t>
  </si>
  <si>
    <t>HRS12</t>
  </si>
  <si>
    <t>HRS13</t>
  </si>
  <si>
    <t>HRS14</t>
  </si>
  <si>
    <t>HRS15</t>
  </si>
  <si>
    <t>HRS16</t>
  </si>
  <si>
    <t>HRS17</t>
  </si>
  <si>
    <t>HRS18</t>
  </si>
  <si>
    <t>HRS19</t>
  </si>
  <si>
    <t>HRS20</t>
  </si>
  <si>
    <t>HRS21</t>
  </si>
  <si>
    <t>HRS22</t>
  </si>
  <si>
    <t>HRS23</t>
  </si>
  <si>
    <t>HRS24</t>
  </si>
  <si>
    <t>HRS25</t>
  </si>
  <si>
    <t>HRS26</t>
  </si>
  <si>
    <t>HRS27</t>
  </si>
  <si>
    <t>HRS28</t>
  </si>
  <si>
    <t>HRS29</t>
  </si>
  <si>
    <t>HRSTotal</t>
  </si>
  <si>
    <t>FacSal1</t>
  </si>
  <si>
    <t>FacSal2</t>
  </si>
  <si>
    <t>FacSal3</t>
  </si>
  <si>
    <t>FacSal4</t>
  </si>
  <si>
    <t>FacSal5</t>
  </si>
  <si>
    <t>FacSal6</t>
  </si>
  <si>
    <t>FacSal7</t>
  </si>
  <si>
    <t>FacSal8</t>
  </si>
  <si>
    <t>FacSal9</t>
  </si>
  <si>
    <t>FacSal10</t>
  </si>
  <si>
    <t>FacSal11</t>
  </si>
  <si>
    <t>FacSal12</t>
  </si>
  <si>
    <t>FacSal13</t>
  </si>
  <si>
    <t>FacSal14</t>
  </si>
  <si>
    <t>FacSal15</t>
  </si>
  <si>
    <t>FacSal16</t>
  </si>
  <si>
    <t>FacSal17</t>
  </si>
  <si>
    <t>FacSal18</t>
  </si>
  <si>
    <t>FacSal19</t>
  </si>
  <si>
    <t>FacSal20</t>
  </si>
  <si>
    <t>FacSal21</t>
  </si>
  <si>
    <t>FacSal22</t>
  </si>
  <si>
    <t>FacSal23</t>
  </si>
  <si>
    <t>FacSal24</t>
  </si>
  <si>
    <t>FacSal25</t>
  </si>
  <si>
    <t>FacSal26</t>
  </si>
  <si>
    <t>FacSal27</t>
  </si>
  <si>
    <t>FacSal28</t>
  </si>
  <si>
    <t>FacSal29</t>
  </si>
  <si>
    <t>FacSalTotal</t>
  </si>
  <si>
    <t>OthSal1</t>
  </si>
  <si>
    <t>OthSal2</t>
  </si>
  <si>
    <t>OthSal3</t>
  </si>
  <si>
    <t>OthSal4</t>
  </si>
  <si>
    <t>OthSal5</t>
  </si>
  <si>
    <t>OthSal6</t>
  </si>
  <si>
    <t>OthSal7</t>
  </si>
  <si>
    <t>OthSal8</t>
  </si>
  <si>
    <t>OthSal9</t>
  </si>
  <si>
    <t>OthSal10</t>
  </si>
  <si>
    <t>OthSal11</t>
  </si>
  <si>
    <t>OthSal12</t>
  </si>
  <si>
    <t>OthSal13</t>
  </si>
  <si>
    <t>OthSal14</t>
  </si>
  <si>
    <t>OthSal15</t>
  </si>
  <si>
    <t>OthSal16</t>
  </si>
  <si>
    <t>OthSal17</t>
  </si>
  <si>
    <t>OthSal18</t>
  </si>
  <si>
    <t>OthSal19</t>
  </si>
  <si>
    <t>OthSal20</t>
  </si>
  <si>
    <t>OthSal21</t>
  </si>
  <si>
    <t>OthSal22</t>
  </si>
  <si>
    <t>OthSal23</t>
  </si>
  <si>
    <t>OthSal24</t>
  </si>
  <si>
    <t>OthSal25</t>
  </si>
  <si>
    <t>OthSal26</t>
  </si>
  <si>
    <t>OthSal27</t>
  </si>
  <si>
    <t>OthSal28</t>
  </si>
  <si>
    <t>OthSal29</t>
  </si>
  <si>
    <t>OthSalTotal</t>
  </si>
  <si>
    <t>Benefits1</t>
  </si>
  <si>
    <t>Benefits2</t>
  </si>
  <si>
    <t>Benefits3</t>
  </si>
  <si>
    <t>Benefits4</t>
  </si>
  <si>
    <t>Benefits5</t>
  </si>
  <si>
    <t>Benefits6</t>
  </si>
  <si>
    <t>Benefits7</t>
  </si>
  <si>
    <t>Benefits8</t>
  </si>
  <si>
    <t>Benefits9</t>
  </si>
  <si>
    <t>Benefits10</t>
  </si>
  <si>
    <t>Benefits11</t>
  </si>
  <si>
    <t>Benefits12</t>
  </si>
  <si>
    <t>Benefits13</t>
  </si>
  <si>
    <t>Benefits14</t>
  </si>
  <si>
    <t>Benefits15</t>
  </si>
  <si>
    <t>Benefits16</t>
  </si>
  <si>
    <t>Benefits17</t>
  </si>
  <si>
    <t>Benefits18</t>
  </si>
  <si>
    <t>Benefits19</t>
  </si>
  <si>
    <t>Benefits20</t>
  </si>
  <si>
    <t>Benefits21</t>
  </si>
  <si>
    <t>Benefits22</t>
  </si>
  <si>
    <t>Benefits23</t>
  </si>
  <si>
    <t>Benefits24</t>
  </si>
  <si>
    <t>Benefits25</t>
  </si>
  <si>
    <t>Benefits26</t>
  </si>
  <si>
    <t>Benefits27</t>
  </si>
  <si>
    <t>Benefits28</t>
  </si>
  <si>
    <t>Benefits29</t>
  </si>
  <si>
    <t>BenefitsTotal</t>
  </si>
  <si>
    <t>OtherOps1</t>
  </si>
  <si>
    <t>OtherOps2</t>
  </si>
  <si>
    <t>OtherOps3</t>
  </si>
  <si>
    <t>OtherOps4</t>
  </si>
  <si>
    <t>OtherOps5</t>
  </si>
  <si>
    <t>OtherOps6</t>
  </si>
  <si>
    <t>OtherOps7</t>
  </si>
  <si>
    <t>OtherOps8</t>
  </si>
  <si>
    <t>OtherOps9</t>
  </si>
  <si>
    <t>OtherOps10</t>
  </si>
  <si>
    <t>OtherOps11</t>
  </si>
  <si>
    <t>OtherOps12</t>
  </si>
  <si>
    <t>OtherOps13</t>
  </si>
  <si>
    <t>OtherOps14</t>
  </si>
  <si>
    <t>OtherOps15</t>
  </si>
  <si>
    <t>OtherOps16</t>
  </si>
  <si>
    <t>OtherOps17</t>
  </si>
  <si>
    <t>OtherOps18</t>
  </si>
  <si>
    <t>OtherOps19</t>
  </si>
  <si>
    <t>OtherOps20</t>
  </si>
  <si>
    <t>OtherOps21</t>
  </si>
  <si>
    <t>OtherOps22</t>
  </si>
  <si>
    <t>OtherOps23</t>
  </si>
  <si>
    <t>OtherOps24</t>
  </si>
  <si>
    <t>OtherOps25</t>
  </si>
  <si>
    <t>OtherOps26</t>
  </si>
  <si>
    <t>OtherOps27</t>
  </si>
  <si>
    <t>OtherOps28</t>
  </si>
  <si>
    <t>OtherOps29</t>
  </si>
  <si>
    <t>OtherOpsTotal</t>
  </si>
  <si>
    <t>DOE1</t>
  </si>
  <si>
    <t>DOE2</t>
  </si>
  <si>
    <t>DOE3</t>
  </si>
  <si>
    <t>DOE4</t>
  </si>
  <si>
    <t>DOE5</t>
  </si>
  <si>
    <t>DOE6</t>
  </si>
  <si>
    <t>DOE7</t>
  </si>
  <si>
    <t>DOE8</t>
  </si>
  <si>
    <t>DOE9</t>
  </si>
  <si>
    <t>DOE10</t>
  </si>
  <si>
    <t>DOE11</t>
  </si>
  <si>
    <t>DOE12</t>
  </si>
  <si>
    <t>DOE13</t>
  </si>
  <si>
    <t>DOE14</t>
  </si>
  <si>
    <t>DOE15</t>
  </si>
  <si>
    <t>DOE16</t>
  </si>
  <si>
    <t>DOE17</t>
  </si>
  <si>
    <t>DOE18</t>
  </si>
  <si>
    <t>DOE19</t>
  </si>
  <si>
    <t>DOE20</t>
  </si>
  <si>
    <t>DOE21</t>
  </si>
  <si>
    <t>DOE22</t>
  </si>
  <si>
    <t>DOE23</t>
  </si>
  <si>
    <t>DOE24</t>
  </si>
  <si>
    <t>DOE25</t>
  </si>
  <si>
    <t>DOE26</t>
  </si>
  <si>
    <t>DOE27</t>
  </si>
  <si>
    <t>DOE28</t>
  </si>
  <si>
    <t>DOE29</t>
  </si>
  <si>
    <t>DOETotal</t>
  </si>
  <si>
    <t>Total1</t>
  </si>
  <si>
    <t>Total2</t>
  </si>
  <si>
    <t>Total3</t>
  </si>
  <si>
    <t>Total4</t>
  </si>
  <si>
    <t>Total5</t>
  </si>
  <si>
    <t>Total6</t>
  </si>
  <si>
    <t>Total7</t>
  </si>
  <si>
    <t>Total8</t>
  </si>
  <si>
    <t>Total9</t>
  </si>
  <si>
    <t>Total10</t>
  </si>
  <si>
    <t>Total11</t>
  </si>
  <si>
    <t>Total12</t>
  </si>
  <si>
    <t>Total13</t>
  </si>
  <si>
    <t>Total14</t>
  </si>
  <si>
    <t>Total15</t>
  </si>
  <si>
    <t>Total16</t>
  </si>
  <si>
    <t>Total17</t>
  </si>
  <si>
    <t>Total18</t>
  </si>
  <si>
    <t>Total19</t>
  </si>
  <si>
    <t>Total20</t>
  </si>
  <si>
    <t>Total21</t>
  </si>
  <si>
    <t>Total22</t>
  </si>
  <si>
    <t>Total23</t>
  </si>
  <si>
    <t>Total24</t>
  </si>
  <si>
    <t>Total25</t>
  </si>
  <si>
    <t>Total26</t>
  </si>
  <si>
    <t>Total27</t>
  </si>
  <si>
    <t>Total28</t>
  </si>
  <si>
    <t>Total29</t>
  </si>
  <si>
    <t>Sec1_Total</t>
  </si>
  <si>
    <t>Comments</t>
  </si>
  <si>
    <t>PartA</t>
  </si>
  <si>
    <t>PartB</t>
  </si>
  <si>
    <t>GrandTotalExpenses</t>
  </si>
  <si>
    <t>AFRDifference</t>
  </si>
  <si>
    <t>Depreciation</t>
  </si>
  <si>
    <t>003539</t>
  </si>
  <si>
    <t>ACC001</t>
  </si>
  <si>
    <t>1</t>
  </si>
  <si>
    <t>Jan 31 2012  2:08PM</t>
  </si>
  <si>
    <t>Alvin Community College</t>
  </si>
  <si>
    <t>Darryl Stevens</t>
  </si>
  <si>
    <t>Dean - Financial Administration</t>
  </si>
  <si>
    <t>(281) 756-3594</t>
  </si>
  <si>
    <t>dstevens@alvincollege.edu</t>
  </si>
  <si>
    <t/>
  </si>
  <si>
    <t>003540</t>
  </si>
  <si>
    <t>FORDOG</t>
  </si>
  <si>
    <t>Jan 25 2012  4:50PM</t>
  </si>
  <si>
    <t>Amarillo College</t>
  </si>
  <si>
    <t>Terry Berg</t>
  </si>
  <si>
    <t>Vice-President of Business Affairs</t>
  </si>
  <si>
    <t>(806) 371-5008</t>
  </si>
  <si>
    <t>tlberg@actx.edu</t>
  </si>
  <si>
    <t>003546</t>
  </si>
  <si>
    <t>NEBGAB</t>
  </si>
  <si>
    <t>Feb  1 2012  4:29PM</t>
  </si>
  <si>
    <t>Coastal Bend College</t>
  </si>
  <si>
    <t>Ruth L. Cude</t>
  </si>
  <si>
    <t>Dean of Administrative Services</t>
  </si>
  <si>
    <t>(361) 354-2267</t>
  </si>
  <si>
    <t>rcude@coastalbend.edu</t>
  </si>
  <si>
    <t>003549</t>
  </si>
  <si>
    <t>FINEEL</t>
  </si>
  <si>
    <t>Jan 24 2012 11:49AM</t>
  </si>
  <si>
    <t>Blinn College</t>
  </si>
  <si>
    <t>Thomas J. Brazzel</t>
  </si>
  <si>
    <t>Director of Accounting</t>
  </si>
  <si>
    <t>(979) 830-4041</t>
  </si>
  <si>
    <t>thomas.brazzel@blinn.edu</t>
  </si>
  <si>
    <t>003553</t>
  </si>
  <si>
    <t>PORELF</t>
  </si>
  <si>
    <t>Jan 25 2012 10:38AM</t>
  </si>
  <si>
    <t>Cisco Junior College</t>
  </si>
  <si>
    <t>Audra Taylor</t>
  </si>
  <si>
    <t>Dean of Business Services</t>
  </si>
  <si>
    <t>(254) 442-5017</t>
  </si>
  <si>
    <t>audra.taylor@cisco.edu</t>
  </si>
  <si>
    <t>003554</t>
  </si>
  <si>
    <t>BONFOX</t>
  </si>
  <si>
    <t>Jan 27 2012 10:25AM</t>
  </si>
  <si>
    <t>Clarendon College</t>
  </si>
  <si>
    <t>Annette Ferguson</t>
  </si>
  <si>
    <t>(806) 874-3571 x104</t>
  </si>
  <si>
    <t>annette.ferguson@clarendoncollege.edu</t>
  </si>
  <si>
    <t>003558</t>
  </si>
  <si>
    <t>ALTNOT</t>
  </si>
  <si>
    <t>Jan 24 2012  1:34PM</t>
  </si>
  <si>
    <t>North Central Texas College</t>
  </si>
  <si>
    <t>Janie Neighbors</t>
  </si>
  <si>
    <t>Vice President of Financial Services</t>
  </si>
  <si>
    <t>(940) 668-3333</t>
  </si>
  <si>
    <t>jneighbors@nctc.edu</t>
  </si>
  <si>
    <t>003563</t>
  </si>
  <si>
    <t>CEMJOK</t>
  </si>
  <si>
    <t>Jan 23 2012  7:52AM</t>
  </si>
  <si>
    <t>Del Mar College</t>
  </si>
  <si>
    <t>John Johnson</t>
  </si>
  <si>
    <t>Comptroller</t>
  </si>
  <si>
    <t>(361) 698-1259</t>
  </si>
  <si>
    <t>jjohnson@delmar.edu</t>
  </si>
  <si>
    <t>003568</t>
  </si>
  <si>
    <t>TAPKOP</t>
  </si>
  <si>
    <t>Jan 23 2012 10:03AM</t>
  </si>
  <si>
    <t>Frank Phillips College</t>
  </si>
  <si>
    <t>Bridey McCormack</t>
  </si>
  <si>
    <t>(806) 457-4200 ext 714</t>
  </si>
  <si>
    <t>bmccormack@fpctx.edu</t>
  </si>
  <si>
    <t>003570</t>
  </si>
  <si>
    <t>FOPKAM</t>
  </si>
  <si>
    <t>Jan 25 2012  8:41AM</t>
  </si>
  <si>
    <t>Grayson County College</t>
  </si>
  <si>
    <t>Giles Brown</t>
  </si>
  <si>
    <t>Vice President of Business Services</t>
  </si>
  <si>
    <t>(903) 863-8620</t>
  </si>
  <si>
    <t>browng@grayson.edu</t>
  </si>
  <si>
    <t>Category 21 relates to an affiliation with an air traffic control school.  The contact hours listed are exempt from funding by the State of Texas</t>
  </si>
  <si>
    <t>003572</t>
  </si>
  <si>
    <t>BEDWUB</t>
  </si>
  <si>
    <t>Jan 26 2012  3:56PM</t>
  </si>
  <si>
    <t>Trinity Valley Community College</t>
  </si>
  <si>
    <t>Courtney Walker</t>
  </si>
  <si>
    <t>Senior Accountant</t>
  </si>
  <si>
    <t>903-670-2688</t>
  </si>
  <si>
    <t>cwalker@tvcc.edu</t>
  </si>
  <si>
    <t>003573</t>
  </si>
  <si>
    <t>GOPLAR</t>
  </si>
  <si>
    <t>Jan 26 2012  3:51PM</t>
  </si>
  <si>
    <t>Hill College</t>
  </si>
  <si>
    <t>Billy Curbo</t>
  </si>
  <si>
    <t>Vice President for Administrative Services</t>
  </si>
  <si>
    <t>(254) 582-2555 ext.206</t>
  </si>
  <si>
    <t>bdcurbo@hillcollege.edu</t>
  </si>
  <si>
    <t>003574</t>
  </si>
  <si>
    <t>FETLAX</t>
  </si>
  <si>
    <t>Jan 25 2012  2:43PM</t>
  </si>
  <si>
    <t>Howard College</t>
  </si>
  <si>
    <t>Brenda Claxton</t>
  </si>
  <si>
    <t>Controller</t>
  </si>
  <si>
    <t>(432) 264-5012</t>
  </si>
  <si>
    <t>bclaxton@howardcollege.edu</t>
  </si>
  <si>
    <t>003580</t>
  </si>
  <si>
    <t>REPMOP</t>
  </si>
  <si>
    <t>Jan 25 2012  1:30PM</t>
  </si>
  <si>
    <t>Kilgore College</t>
  </si>
  <si>
    <t>Duane McNaney</t>
  </si>
  <si>
    <t>Vice President Finance and CFO</t>
  </si>
  <si>
    <t>(903) 983-8107</t>
  </si>
  <si>
    <t>mcnaneyd@kilgore.cc.tx.us</t>
  </si>
  <si>
    <t>003582</t>
  </si>
  <si>
    <t>PENMEG</t>
  </si>
  <si>
    <t>Jan 31 2012  6:29PM</t>
  </si>
  <si>
    <t>Laredo Community College</t>
  </si>
  <si>
    <t>Cesar E Vela Jr</t>
  </si>
  <si>
    <t>(956) 721-5370</t>
  </si>
  <si>
    <t>cvela@laredo.edu</t>
  </si>
  <si>
    <t>003583</t>
  </si>
  <si>
    <t>NUKMET</t>
  </si>
  <si>
    <t>Jan 23 2012  3:03PM</t>
  </si>
  <si>
    <t>Lee College</t>
  </si>
  <si>
    <t>Steve Evans</t>
  </si>
  <si>
    <t>VP for Finance and Administration</t>
  </si>
  <si>
    <t>(281) 425-6887</t>
  </si>
  <si>
    <t>sevans@lee.edu</t>
  </si>
  <si>
    <t>003590</t>
  </si>
  <si>
    <t>ERTMOR</t>
  </si>
  <si>
    <t>Jan 12 2012  8:41AM</t>
  </si>
  <si>
    <t>McLennan Community College</t>
  </si>
  <si>
    <t>Gene Gooch</t>
  </si>
  <si>
    <t>Vice President Finance &amp; Administration</t>
  </si>
  <si>
    <t>(254) 299-8649</t>
  </si>
  <si>
    <t>ggooch@mclennan.edu</t>
  </si>
  <si>
    <t>003593</t>
  </si>
  <si>
    <t>BULLDOGS</t>
  </si>
  <si>
    <t>Jan 31 2012  9:41AM</t>
  </si>
  <si>
    <t>Navarro College</t>
  </si>
  <si>
    <t>Rhina Sandoval</t>
  </si>
  <si>
    <t>Chief Accountant</t>
  </si>
  <si>
    <t>(903) 875-7465</t>
  </si>
  <si>
    <t>rhina.sandoval@navarrocolleg.edu</t>
  </si>
  <si>
    <t>The Equipment depreciation total amount on Schedule B is $389,448. However, in this report we didn't include the Auxiliary depreciation for $161,550.00. We only included the total equipment depreciation for Administrative $172,496.00 and Physical Plant $55,402.00. Then, our total is $227,898.00.</t>
  </si>
  <si>
    <t>003596</t>
  </si>
  <si>
    <t>ORBNIC</t>
  </si>
  <si>
    <t>Jan 31 2012 10:30PM</t>
  </si>
  <si>
    <t>Odessa College</t>
  </si>
  <si>
    <t>Kristi Gibbs</t>
  </si>
  <si>
    <t>(432) 335-6663</t>
  </si>
  <si>
    <t>kgibbs@odessa.edu</t>
  </si>
  <si>
    <t>003600</t>
  </si>
  <si>
    <t>ORGOAT</t>
  </si>
  <si>
    <t>Jan 26 2012  1:10PM</t>
  </si>
  <si>
    <t>Panola College</t>
  </si>
  <si>
    <t>Stephen K. Williams</t>
  </si>
  <si>
    <t>Vice President of Finance &amp; Business Services</t>
  </si>
  <si>
    <t>(903) 693-2023</t>
  </si>
  <si>
    <t>swilliams@panola.edu</t>
  </si>
  <si>
    <t>003601</t>
  </si>
  <si>
    <t>parisjc</t>
  </si>
  <si>
    <t>Jan 24 2012  9:11AM</t>
  </si>
  <si>
    <t>Paris Junior College</t>
  </si>
  <si>
    <t>Keitha Carlton</t>
  </si>
  <si>
    <t>(903) 782-0289</t>
  </si>
  <si>
    <t>kcarlton@parisjc.edu</t>
  </si>
  <si>
    <t>003603</t>
  </si>
  <si>
    <t>OPTORD</t>
  </si>
  <si>
    <t>Ranger College</t>
  </si>
  <si>
    <t>Laura Flowers</t>
  </si>
  <si>
    <t>Dean of Finance</t>
  </si>
  <si>
    <t>254-647-3234</t>
  </si>
  <si>
    <t>lflowers@ranger.cc.tx.us</t>
  </si>
  <si>
    <t>003607</t>
  </si>
  <si>
    <t>ROCKCUT</t>
  </si>
  <si>
    <t>Jan 31 2012  8:39AM</t>
  </si>
  <si>
    <t>Alamo Community College District</t>
  </si>
  <si>
    <t>Pamela K. Ansboury</t>
  </si>
  <si>
    <t>Associate Vice Chancellor for Finance and Fiscal Services</t>
  </si>
  <si>
    <t>(210) 485-0301</t>
  </si>
  <si>
    <t>pansboury@alamo.edu</t>
  </si>
  <si>
    <t>003609</t>
  </si>
  <si>
    <t>OCTPAC</t>
  </si>
  <si>
    <t>Feb  1 2012  1:49PM</t>
  </si>
  <si>
    <t>San Jacinto College District</t>
  </si>
  <si>
    <t>Anita Dewease</t>
  </si>
  <si>
    <t>(281) 998-6141</t>
  </si>
  <si>
    <t>anita.dewease@sjcd.edu</t>
  </si>
  <si>
    <t xml:space="preserve">Total Instructional expenses shown on CAFR Schedule B     $59,301,676_x000D_
Expenses moved to Non-state Funded Educational Prog       ( 1,270,357)_x000D_
_x000D_
Adjusted total Instructional expenses                     $58,031,319_x000D_
_x000D_
Note:  Depreciation expenses are not recorded for individual functional areas such as Instruction or Public Support._x000D_
</t>
  </si>
  <si>
    <t>003611</t>
  </si>
  <si>
    <t>OLDQUE</t>
  </si>
  <si>
    <t>Jan 26 2012 11:33AM</t>
  </si>
  <si>
    <t>South Plains College</t>
  </si>
  <si>
    <t>Tony Riley</t>
  </si>
  <si>
    <t>Vice President for Finance and Administration</t>
  </si>
  <si>
    <t>(806) 894-9611 x2205</t>
  </si>
  <si>
    <t>triley@spc.cc.tx.us</t>
  </si>
  <si>
    <t>003614</t>
  </si>
  <si>
    <t>TUNRAG</t>
  </si>
  <si>
    <t>Jan 19 2012  9:45AM</t>
  </si>
  <si>
    <t>Southwest Texas Junior College</t>
  </si>
  <si>
    <t>Anne Tarski</t>
  </si>
  <si>
    <t>Associate Dean of Finance</t>
  </si>
  <si>
    <t>(830) 591-7294</t>
  </si>
  <si>
    <t>atarski@swtjc.cc.tx.us</t>
  </si>
  <si>
    <t xml:space="preserve"> </t>
  </si>
  <si>
    <t>003626</t>
  </si>
  <si>
    <t>sharon1</t>
  </si>
  <si>
    <t>Jan 24 2012  4:31PM</t>
  </si>
  <si>
    <t>Tarrant County College District</t>
  </si>
  <si>
    <t>Nancy H. Chang</t>
  </si>
  <si>
    <t>Associate Vice Chancellor for Finance</t>
  </si>
  <si>
    <t>(817) 515-5222</t>
  </si>
  <si>
    <t>nancy.chang@tccd.edu</t>
  </si>
  <si>
    <t>003627</t>
  </si>
  <si>
    <t>RATSIS</t>
  </si>
  <si>
    <t>Jan 11 2012  1:45PM</t>
  </si>
  <si>
    <t>Temple College</t>
  </si>
  <si>
    <t>Gary C. Jackson</t>
  </si>
  <si>
    <t>Interim Vice President Administrative Services</t>
  </si>
  <si>
    <t>(254) 298-8601</t>
  </si>
  <si>
    <t>gary.jackson@templejc.edu</t>
  </si>
  <si>
    <t>003628</t>
  </si>
  <si>
    <t>FUNSEL</t>
  </si>
  <si>
    <t>Texarkana College</t>
  </si>
  <si>
    <t>Dr. Daniel DoBell</t>
  </si>
  <si>
    <t>Vice President of Administration and Finance</t>
  </si>
  <si>
    <t>(903) 832-5565 ext 3077</t>
  </si>
  <si>
    <t>daniel.dobell@texarkanacollege.edu</t>
  </si>
  <si>
    <t>003634</t>
  </si>
  <si>
    <t>Baylor70</t>
  </si>
  <si>
    <t>Jan 31 2012  4:38PM</t>
  </si>
  <si>
    <t>Texas State Technical College-Waco</t>
  </si>
  <si>
    <t>Paul Woodfin</t>
  </si>
  <si>
    <t>Vice President-Administrative &amp; Financial Services</t>
  </si>
  <si>
    <t>(254) 867-4801</t>
  </si>
  <si>
    <t>paul.woodfin@tstc.edu</t>
  </si>
  <si>
    <t>003643</t>
  </si>
  <si>
    <t>ABESAC</t>
  </si>
  <si>
    <t>Texas Southmost College</t>
  </si>
  <si>
    <t>Melba M. Sanchez</t>
  </si>
  <si>
    <t>Assistant Vice President for Finance</t>
  </si>
  <si>
    <t>(956) 882-7306</t>
  </si>
  <si>
    <t>melba.sanchez@utb.edu</t>
  </si>
  <si>
    <t>003648</t>
  </si>
  <si>
    <t>BADWEL</t>
  </si>
  <si>
    <t>Jan 30 2012 11:53AM</t>
  </si>
  <si>
    <t>Tyler Junior College</t>
  </si>
  <si>
    <t>Carol Hutson</t>
  </si>
  <si>
    <t>Director, Accounting Services/Controller</t>
  </si>
  <si>
    <t>(903) 510-2569</t>
  </si>
  <si>
    <t>chut@tjc.edu</t>
  </si>
  <si>
    <t>003662</t>
  </si>
  <si>
    <t>BAMYAP</t>
  </si>
  <si>
    <t>Jan 17 2012  6:00PM</t>
  </si>
  <si>
    <t>Victoria College, The</t>
  </si>
  <si>
    <t>Tracey Bergstrom</t>
  </si>
  <si>
    <t>Director Of Finance</t>
  </si>
  <si>
    <t>361-582-2565</t>
  </si>
  <si>
    <t>tracey.bergstrom@victoriacollege.edu</t>
  </si>
  <si>
    <t>003664</t>
  </si>
  <si>
    <t>COTYET</t>
  </si>
  <si>
    <t>Jan 26 2012  4:31PM</t>
  </si>
  <si>
    <t>Weatherford College</t>
  </si>
  <si>
    <t>Andra Cantrell</t>
  </si>
  <si>
    <t>Vice President of Financial and Administrative Affairs</t>
  </si>
  <si>
    <t>(817) 598-6260</t>
  </si>
  <si>
    <t>acantrell@wc.edu</t>
  </si>
  <si>
    <t>003668</t>
  </si>
  <si>
    <t>COPZIG</t>
  </si>
  <si>
    <t>Jan 30 2012  1:30PM</t>
  </si>
  <si>
    <t>Wharton County Junior College</t>
  </si>
  <si>
    <t>Gus Wessels Jr., CPA</t>
  </si>
  <si>
    <t>Dean of Financial and Business Services</t>
  </si>
  <si>
    <t>(979) 532-6505</t>
  </si>
  <si>
    <t>gusw@wcjc.edu</t>
  </si>
  <si>
    <t>004003</t>
  </si>
  <si>
    <t>BELELK</t>
  </si>
  <si>
    <t>Jan 30 2012 12:43PM</t>
  </si>
  <si>
    <t>Central Texas College</t>
  </si>
  <si>
    <t>Bob Liberty</t>
  </si>
  <si>
    <t>(254)526-1310</t>
  </si>
  <si>
    <t>bob.liberty@ctcd.edu</t>
  </si>
  <si>
    <t>006661</t>
  </si>
  <si>
    <t>BETEEK</t>
  </si>
  <si>
    <t>Jan 31 2012  3:42PM</t>
  </si>
  <si>
    <t>Angelina College</t>
  </si>
  <si>
    <t>Sheryl Rawls</t>
  </si>
  <si>
    <t>Coordinator of Accounting</t>
  </si>
  <si>
    <t>(936) 633-5487</t>
  </si>
  <si>
    <t>srawls@angelina.edu</t>
  </si>
  <si>
    <t>006662</t>
  </si>
  <si>
    <t>LIDKEN</t>
  </si>
  <si>
    <t>Feb  2 2012  8:02AM</t>
  </si>
  <si>
    <t>Galveston College</t>
  </si>
  <si>
    <t>Jeff Engbrock</t>
  </si>
  <si>
    <t>Director of Business Services</t>
  </si>
  <si>
    <t>(409) 944-1205</t>
  </si>
  <si>
    <t>mengbroc@gc.edu</t>
  </si>
  <si>
    <t>007096</t>
  </si>
  <si>
    <t>ACTHUB</t>
  </si>
  <si>
    <t>College of the Mainland Community College District</t>
  </si>
  <si>
    <t>Lisa Templer</t>
  </si>
  <si>
    <t>Vice President of College and Financial Services</t>
  </si>
  <si>
    <t>(409) 933-8261</t>
  </si>
  <si>
    <t>ltempler@com.edu</t>
  </si>
  <si>
    <t>007857</t>
  </si>
  <si>
    <t>becker45</t>
  </si>
  <si>
    <t>Jan 17 2012  9:29AM</t>
  </si>
  <si>
    <t>Brazosport College</t>
  </si>
  <si>
    <t>Chris Bahr</t>
  </si>
  <si>
    <t>Internal Auditor</t>
  </si>
  <si>
    <t>(979) 230-3119</t>
  </si>
  <si>
    <t>chris.bahr@brazosport.edu</t>
  </si>
  <si>
    <t>009225</t>
  </si>
  <si>
    <t>rfoe01</t>
  </si>
  <si>
    <t>Jan 27 2012  3:47PM</t>
  </si>
  <si>
    <t>Texas State Technical College-Harlingen</t>
  </si>
  <si>
    <t>Gisela Figueroa</t>
  </si>
  <si>
    <t>(956) 364-4416</t>
  </si>
  <si>
    <t>gisela.figueroa@harlingen.tstc.edu</t>
  </si>
  <si>
    <t>009549</t>
  </si>
  <si>
    <t>CATZAG</t>
  </si>
  <si>
    <t>Jan 19 2012  2:59PM</t>
  </si>
  <si>
    <t>Western Texas College</t>
  </si>
  <si>
    <t>Patricia Claxton</t>
  </si>
  <si>
    <t>Chief Financial Officer</t>
  </si>
  <si>
    <t>(325) 574-7607</t>
  </si>
  <si>
    <t>pclaxton@wtc.edu</t>
  </si>
  <si>
    <t>009797</t>
  </si>
  <si>
    <t>ORTMAD</t>
  </si>
  <si>
    <t>Jan 18 2012  3:12PM</t>
  </si>
  <si>
    <t>Midland College</t>
  </si>
  <si>
    <t>Bob Vincent</t>
  </si>
  <si>
    <t>(432) 685-4571</t>
  </si>
  <si>
    <t>bvincent@midland.edu</t>
  </si>
  <si>
    <t xml:space="preserve">Our Bachelor program expenses of $127,071($123,347 faculty salaries and $3,724 other operating expenses) have been reported under Academic Support for RFOE purposes and under Instruction on our AFS. There were 15,792 contact hours associated with the Bachelor program.  </t>
  </si>
  <si>
    <t>009932</t>
  </si>
  <si>
    <t>hearty2</t>
  </si>
  <si>
    <t>Jan 23 2012  5:09PM</t>
  </si>
  <si>
    <t>Texas State Technical College-West Texas</t>
  </si>
  <si>
    <t>Kevin L. Shipp</t>
  </si>
  <si>
    <t>Interim Vice President-Financial Services</t>
  </si>
  <si>
    <t>(325) 235-7337</t>
  </si>
  <si>
    <t>kevin.shipp@sweetwater.tstc.edu</t>
  </si>
  <si>
    <t>010060</t>
  </si>
  <si>
    <t>BAGWEN</t>
  </si>
  <si>
    <t>Vernon College</t>
  </si>
  <si>
    <t>Garry David</t>
  </si>
  <si>
    <t>(940) 552-6291 ext 2273</t>
  </si>
  <si>
    <t>GDavid@vernoncollege.edu</t>
  </si>
  <si>
    <t>010387</t>
  </si>
  <si>
    <t>TATJOG</t>
  </si>
  <si>
    <t>Jan 30 2012 11:49AM</t>
  </si>
  <si>
    <t>El Paso Community College</t>
  </si>
  <si>
    <t>Josette Shaughnessy</t>
  </si>
  <si>
    <t>Associate Vice President Budget &amp; Financial Services</t>
  </si>
  <si>
    <t>(915) 831-6401</t>
  </si>
  <si>
    <t>josettes@epcc.edu</t>
  </si>
  <si>
    <t>010633</t>
  </si>
  <si>
    <t>YENLEM</t>
  </si>
  <si>
    <t>Jan 30 2012 11:10AM</t>
  </si>
  <si>
    <t>Houston Community College System</t>
  </si>
  <si>
    <t>Dr. Arthur Tyler</t>
  </si>
  <si>
    <t>Deputy Chancellor</t>
  </si>
  <si>
    <t>(713) 718-8464</t>
  </si>
  <si>
    <t>arthur.tyler@hccs.edu</t>
  </si>
  <si>
    <t>011145</t>
  </si>
  <si>
    <t>ADENET</t>
  </si>
  <si>
    <t>Feb  3 2012  2:25PM</t>
  </si>
  <si>
    <t>Lone Star College System District</t>
  </si>
  <si>
    <t>Cynthia Gilliam</t>
  </si>
  <si>
    <t>Vice Chancellor, Administration &amp; Finance/CFO</t>
  </si>
  <si>
    <t>(832)-832-6512</t>
  </si>
  <si>
    <t>Cynthia.f.gilliam@lonestar.edu</t>
  </si>
  <si>
    <t>012015</t>
  </si>
  <si>
    <t>GETEAT</t>
  </si>
  <si>
    <t>Feb  2 2012  9:23AM</t>
  </si>
  <si>
    <t>Austin Community College</t>
  </si>
  <si>
    <t>Neil Vickers</t>
  </si>
  <si>
    <t>Associate Vice President, Finance &amp; Budget</t>
  </si>
  <si>
    <t>(512) 223-1078</t>
  </si>
  <si>
    <t>nvickers@austincc.edu</t>
  </si>
  <si>
    <t>023154</t>
  </si>
  <si>
    <t>AOLNAG</t>
  </si>
  <si>
    <t>Jan 31 2012 10:41AM</t>
  </si>
  <si>
    <t>Northeast Texas Community College</t>
  </si>
  <si>
    <t>Beth Thompson</t>
  </si>
  <si>
    <t>(903) 434-8106</t>
  </si>
  <si>
    <t>bthompson@ntcc.edu</t>
  </si>
  <si>
    <t>023485</t>
  </si>
  <si>
    <t>JEPMUD</t>
  </si>
  <si>
    <t>Jan 25 2012  1:31PM</t>
  </si>
  <si>
    <t>Lamar State College-Port Arthur</t>
  </si>
  <si>
    <t>Raymond Mathers</t>
  </si>
  <si>
    <t>Accountant</t>
  </si>
  <si>
    <t>409-984-6122</t>
  </si>
  <si>
    <t>mathersrm@lamarpa.edu</t>
  </si>
  <si>
    <t>023582</t>
  </si>
  <si>
    <t>PUPMED</t>
  </si>
  <si>
    <t>Jan 31 2012  3:26PM</t>
  </si>
  <si>
    <t>Lamar State College-Orange</t>
  </si>
  <si>
    <t>Brenda Bedair</t>
  </si>
  <si>
    <t>(409) 882-3356</t>
  </si>
  <si>
    <t>brenda.bedair@lsco.edu</t>
  </si>
  <si>
    <t>The contact hours for Architecture and Precision Production Trades, as well as Mechanics and Repairs, appear to be incorrectly distributed.  To the best of my knowledge we do not offer any of these related courses on this campus.</t>
  </si>
  <si>
    <t>023614</t>
  </si>
  <si>
    <t>tennis59</t>
  </si>
  <si>
    <t>Jan 30 2012  9:05AM</t>
  </si>
  <si>
    <t>Collin County Community College District</t>
  </si>
  <si>
    <t>Julie Bradley</t>
  </si>
  <si>
    <t>Associate Vice President - Controller</t>
  </si>
  <si>
    <t>(972) 758-3821</t>
  </si>
  <si>
    <t>jbradley@collin.edu</t>
  </si>
  <si>
    <t>029150</t>
  </si>
  <si>
    <t>NANBEG</t>
  </si>
  <si>
    <t>Jan 25 2012  2:28PM</t>
  </si>
  <si>
    <t>Dallas County Community College District</t>
  </si>
  <si>
    <t>Edward DesPlas</t>
  </si>
  <si>
    <t>Executive Vice Chancellor Business Affairs</t>
  </si>
  <si>
    <t>(972) 860-7783</t>
  </si>
  <si>
    <t>edesplas@dcccd.edu</t>
  </si>
  <si>
    <t>Reconciliation of Total Unrestricted Educational Activities on RFOE to AFR:_x000D_
_x000D_
Total Unrestricted Educational Activities per RFOE $298,731,816_x000D_
Richland Collegiate High School expenses excluded:_x000D_
Instruction  $252,267_x000D_
Public Service  $16,084_x000D_
Academic Support  $86,944_x000D_
Student Services  $59,812_x000D_
Institutional Support  $90,795_x000D_
_x000D_
Unrestricted Educational Activvities per AFR $299,237.718_x000D_
_x000D_
Depreciation expense for Restricted and Auxiliary Fund equipment in the amount of $871,698 is excluded.</t>
  </si>
  <si>
    <t>031034</t>
  </si>
  <si>
    <t>UPPROT</t>
  </si>
  <si>
    <t>Feb  3 2012 11:46AM</t>
  </si>
  <si>
    <t>South Texas College</t>
  </si>
  <si>
    <t>Diana Pena</t>
  </si>
  <si>
    <t>Vice President of Finance and Administrative Services</t>
  </si>
  <si>
    <t>(956) 872-3558</t>
  </si>
  <si>
    <t>dpena@southtexascollege.edu</t>
  </si>
  <si>
    <t>033965</t>
  </si>
  <si>
    <t>AMEVAN</t>
  </si>
  <si>
    <t>Jan 18 2012  1:42PM</t>
  </si>
  <si>
    <t>Texas State Technical Collage-Marshall</t>
  </si>
  <si>
    <t>Deborah Sanders</t>
  </si>
  <si>
    <t>(903) 923-3239</t>
  </si>
  <si>
    <t>deborah.sanders@tstc.edu</t>
  </si>
  <si>
    <t>036273</t>
  </si>
  <si>
    <t>CUPMAX</t>
  </si>
  <si>
    <t>Jan 11 2012  4:17PM</t>
  </si>
  <si>
    <t>Lamar Institute of Technology</t>
  </si>
  <si>
    <t>Jonathan Wolfe</t>
  </si>
  <si>
    <t>Vice President of Finance &amp; Operations</t>
  </si>
  <si>
    <t>(409) 880-7633</t>
  </si>
  <si>
    <t>jonathan.wolfe@lit.edu</t>
  </si>
  <si>
    <t>999999</t>
  </si>
  <si>
    <t>ZZ Test Institution</t>
  </si>
  <si>
    <t>Faculty Salaries</t>
  </si>
  <si>
    <t>Departmental Operating Expense</t>
  </si>
  <si>
    <t>Mechanics and Repairers - Diesel, Aviation Mechanics, and Transportation Workers</t>
  </si>
  <si>
    <t>Expense</t>
  </si>
  <si>
    <t>Expense per Contact Hour</t>
  </si>
  <si>
    <t>Health Occupations - Dental Assistants, Medical Lab, and Assoc. Degree Nursing</t>
  </si>
  <si>
    <t>Total Expense by
 Discipline</t>
  </si>
  <si>
    <t>Departmental Operating Expense by
 Discipline</t>
  </si>
  <si>
    <t>Faculty Salaries by
 Discipline</t>
  </si>
  <si>
    <t>Allocated Administrative Expense</t>
  </si>
  <si>
    <t>THECB*/</t>
  </si>
  <si>
    <t>Paul Turcotte</t>
  </si>
  <si>
    <t>Program Director</t>
  </si>
  <si>
    <t>(512) 427-6235</t>
  </si>
  <si>
    <t>paul.turcotte@thecb.state.tx.us</t>
  </si>
  <si>
    <t>Paul's Comments</t>
  </si>
  <si>
    <t>Not Used</t>
  </si>
  <si>
    <t>Other Allocated Administrative Expenses - Institutional Support - Salaries and Wages</t>
  </si>
  <si>
    <t>Other Allocated Administrative Expenses - Student Services - Salaries and Wages</t>
  </si>
  <si>
    <t>Other Allocated Administrative Expenses - Academic Support - Salaries and Wages</t>
  </si>
  <si>
    <t>Other Allocated Administrative Expenses - Scholarships and Fellowships - Salaries and Wages</t>
  </si>
  <si>
    <t>Other Allocated Administrative Expenses - Total - Salaries and Wages</t>
  </si>
  <si>
    <t>Other Allocated Administrative Expenses - Institutional Support - Other Operating Expenses</t>
  </si>
  <si>
    <t>Other Allocated Administrative Expenses - Student Services - Other Operating Expenses</t>
  </si>
  <si>
    <t>Other Allocated Administrative Expenses - Academic Support - Other Operating Expenses</t>
  </si>
  <si>
    <t>Other Allocated Administrative Expenses - Research - Salaries and Support</t>
  </si>
  <si>
    <t>Other Allocated Administrative Expenses - Scholarships and Fellowships - Other Operating Expenses</t>
  </si>
  <si>
    <t>Other Allocated Administrative Expenses - Equipment Depreciation - Other Operating Expenses</t>
  </si>
  <si>
    <t>Other Allocated Administrative Expenses - Total - Other Operating Expenses</t>
  </si>
  <si>
    <t>Reconciling Items Non-Fundable, Unrestricted Operating Expenses - Public Services - Museums - Salaries and Wages</t>
  </si>
  <si>
    <t>Reconciling Items Non-Fundable, Unrestricted Operating Expenses - Public Services - Non-state Funded Educational Programs - Salaries and Wages</t>
  </si>
  <si>
    <t>Reconciling Items Non-Fundable, Unrestricted Operating Expenses - Public Services - Other Public Services - Salaries and Wages</t>
  </si>
  <si>
    <t>Reconciling Items Non-Fundable, Unrestricted Operating Expenses - Public Services - Total - Salaries and Wages</t>
  </si>
  <si>
    <t>Reconciling Items Non-Fundable, Unrestricted Operating Expenses - Public Services - Non-state Funded Educational Programs - Other Operating Expenses</t>
  </si>
  <si>
    <t>Reconciling Items Non-Fundable, Unrestricted Operating Expenses - Public Services - Museums - Other Operating Expenses</t>
  </si>
  <si>
    <t>Reconciling Items Non-Fundable, Unrestricted Operating Expenses - Public Services - Other Public Services - Other Operating Expenses</t>
  </si>
  <si>
    <t>Reconciling Items Non-Fundable, Unrestricted Operating Expenses - Public Services - Depreciation of Public Service Equipment - Other Operating Expenses</t>
  </si>
  <si>
    <t>Reconciling Items Non-Fundable, Unrestricted Operating Expenses - Public Services - Total - Other Operating Expenses</t>
  </si>
  <si>
    <t xml:space="preserve">Reconciling Items Non-Fundable, Unrestricted Operating Expenses - Public Services - Non-state Funded Educational Programs </t>
  </si>
  <si>
    <t xml:space="preserve">Reconciling Items Non-Fundable, Unrestricted Operating Expenses - Public Services - Museums </t>
  </si>
  <si>
    <t xml:space="preserve">Reconciling Items Non-Fundable, Unrestricted Operating Expenses - Public Services - Other Public Services </t>
  </si>
  <si>
    <t xml:space="preserve">Reconciling Items Non-Fundable, Unrestricted Operating Expenses - Public Services - Depreciation of Public Service Equipment </t>
  </si>
  <si>
    <t xml:space="preserve">Reconciling Items Non-Fundable, Unrestricted Operating Expenses - Public Services - Total </t>
  </si>
  <si>
    <t>Reconciling Items Non-Fundable, Unrestricted Operating Expenses - Operations And Maintenance Of Plant - Physical Plant Services - Salaries And Wages</t>
  </si>
  <si>
    <t>Reconciling Items Non-Fundable, Unrestricted Operating Expenses - Operations And Maintenance Of Plant - Major Repairs and Renovations - Salaries And Wages</t>
  </si>
  <si>
    <t>Reconciling Items Non-Fundable, Unrestricted Operating Expenses - Operations And Maintenance Of Plant - Total - Salaries And Wages</t>
  </si>
  <si>
    <t>Reconciling Items Non-Fundable, Unrestricted Operating Expenses - Operations And Maintenance Of Plant - Staff Benefits</t>
  </si>
  <si>
    <t>Reconciling Items Non-Fundable, Unrestricted Operating Expenses - Operations And Maintenance Of Plant - Physical Plant Services - Other Operating Expense</t>
  </si>
  <si>
    <t>Reconciling Items Non-Fundable, Unrestricted Operating Expenses - Operations And Maintenance Of Plant - Major Repairs and Renovations - Other Operating Expenses</t>
  </si>
  <si>
    <t>Reconciling Items Non-Fundable, Unrestricted Operating Expenses - Operations And Maintenance Of Plant - Depreciation of Physical Plant Equipment - Other Operating Expenses</t>
  </si>
  <si>
    <t>Reconciling Items Non-Fundable, Unrestricted Operating Expenses - Operations And Maintenance Of Plant - Total - Other Operating Expenses</t>
  </si>
  <si>
    <t>Reconciling Items Non-Fundable, Unrestricted Operating Expenses - Operations And Maintenance Of Plant - Physical Plant Services - Total</t>
  </si>
  <si>
    <t>Reconciling Items Non-Fundable, Unrestricted Operating Expenses - Operations And Maintenance Of Plant - Major Repairs and Renovations - Total</t>
  </si>
  <si>
    <t>Reconciling Items Non-Fundable, Unrestricted Operating Expenses - Operations And Maintenance Of Plant - Staff Benefits - Total</t>
  </si>
  <si>
    <t>Reconciling Items Non-Fundable, Unrestricted Operating Expenses - Operations And Maintenance Of Plant - Depreciation of Physical Plant Equipment - Total</t>
  </si>
  <si>
    <t>Reconciling Items Non-Fundable, Unrestricted Operating Expenses - Operations And Maintenance Of Plant - Total</t>
  </si>
  <si>
    <t>Instructional Staff Benefits - Local Paid Benefits</t>
  </si>
  <si>
    <t>Fundable, Unrestricted Operating Expenses - Instructional Programs - 
Agriculture - Contact Hours</t>
  </si>
  <si>
    <t>Fundable, Unrestricted Operating Expenses - Instructional Programs - 
Architecture and Precision Production Trades - Contact Hours</t>
  </si>
  <si>
    <t>Fundable, Unrestricted Operating Expenses - Instructional Programs - 
Biology, Physical Sciences, and Science Technology - Contact Hours</t>
  </si>
  <si>
    <t>Fundable, Unrestricted Operating Expenses - Instructional Programs - 
Business Management, Marketing, and Administrative Services - Contact Hours</t>
  </si>
  <si>
    <t>Fundable, Unrestricted Operating Expenses - Instructional Programs - 
Career Pilot - Contact Hours</t>
  </si>
  <si>
    <t>Fundable, Unrestricted Operating Expenses - Instructional Programs - 
Communications - Contact Hours</t>
  </si>
  <si>
    <t>Fundable, Unrestricted Operating Expenses - Instructional Programs - 
Computer and Information Sciences - Contact Hours</t>
  </si>
  <si>
    <t>Fundable, Unrestricted Operating Expenses - Instructional Programs - 
Construction Trades - Contact Hours</t>
  </si>
  <si>
    <t>Fundable, Unrestricted Operating Expenses - Instructional Programs - 
Consumer and Homemaking Education - Contact Hours</t>
  </si>
  <si>
    <t>Fundable, Unrestricted Operating Expenses - Instructional Programs - 
Engineering - Contact Hours</t>
  </si>
  <si>
    <t>Fundable, Unrestricted Operating Expenses - Instructional Programs - 
Engineering Related - Contact Hours</t>
  </si>
  <si>
    <t>Fundable, Unrestricted Operating Expenses - Instructional Programs - 
English Language, Lit, Philosophy, Humanities, &amp; Interdisciplinary - Contact Hours</t>
  </si>
  <si>
    <t>Fundable, Unrestricted Operating Expenses - Instructional Programs - 
Foreign Languages - Contact Hours</t>
  </si>
  <si>
    <t>Fundable, Unrestricted Operating Expenses - Instructional Programs - 
Health Occupations - Dental Assistants, Medical Lab, and Assoc. Degree Nursing - Contact Hours</t>
  </si>
  <si>
    <t>Fundable, Unrestricted Operating Expenses - Instructional Programs - 
Health Occupations - Dental Hygiene - Contact Hours</t>
  </si>
  <si>
    <t>Fundable, Unrestricted Operating Expenses - Instructional Programs - 
Health Occupations - Other - Contact Hours</t>
  </si>
  <si>
    <t>Fundable, Unrestricted Operating Expenses - Instructional Programs - 
Health Occupations - Respiratory Therapy - Contact Hours</t>
  </si>
  <si>
    <t>Fundable, Unrestricted Operating Expenses - Instructional Programs - 
Health Occupations - Vocational Nursing - Contact Hours</t>
  </si>
  <si>
    <t>Fundable, Unrestricted Operating Expenses - Instructional Programs - 
Mathematics - Contact Hours</t>
  </si>
  <si>
    <t>Fundable, Unrestricted Operating Expenses - Instructional Programs - 
Mechanics and Repairers - Automotive - Contact Hours</t>
  </si>
  <si>
    <t>Fundable, Unrestricted Operating Expenses - Instructional Programs - 
Mechanics and Repairers - Diesel, Aviation Mechanics, and Transportation Workers - Contact Hours</t>
  </si>
  <si>
    <t>Fundable, Unrestricted Operating Expenses - Instructional Programs - 
Mechanics and Repairers - Electronics - Contact Hours</t>
  </si>
  <si>
    <t>Fundable, Unrestricted Operating Expenses - Instructional Programs - 
Physical Education and Fitness - Contact Hours</t>
  </si>
  <si>
    <t>Fundable, Unrestricted Operating Expenses - Instructional Programs - 
Protective Services and Public Administration - Contact Hours</t>
  </si>
  <si>
    <t>Fundable, Unrestricted Operating Expenses - Instructional Programs - 
Psychology, Social Sciences, and History - Contact Hours</t>
  </si>
  <si>
    <t>Fundable, Unrestricted Operating Expenses - Instructional Programs - 
Visual and Performing Arts - Contact Hours</t>
  </si>
  <si>
    <t>Fundable, Unrestricted Operating Expenses - Instructional Programs - 
Developmental Education - Math - Contact Hours</t>
  </si>
  <si>
    <t>Fundable, Unrestricted Operating Expenses - Instructional Programs - 
Developmental Education - Reading/Writing - Contact Hours</t>
  </si>
  <si>
    <t>Fundable, Unrestricted Operating Expenses - Instructional Programs - 
Total - Contact Hours</t>
  </si>
  <si>
    <t>Fundable, Unrestricted Operating Expenses - Instructional Programs - 
Agriculture - Faculty Salaries</t>
  </si>
  <si>
    <t>Fundable, Unrestricted Operating Expenses - Instructional Programs - 
Architecture and Precision Production Trades - Faculty Salaries</t>
  </si>
  <si>
    <t>Fundable, Unrestricted Operating Expenses - Instructional Programs - 
Biology, Physical Sciences, and Science Technology - Faculty Salaries</t>
  </si>
  <si>
    <t>Fundable, Unrestricted Operating Expenses - Instructional Programs - 
Business Management, Marketing, and Administrative Services - Faculty Salaries</t>
  </si>
  <si>
    <t>Fundable, Unrestricted Operating Expenses - Instructional Programs - 
Career Pilot - Faculty Salaries</t>
  </si>
  <si>
    <t>Fundable, Unrestricted Operating Expenses - Instructional Programs - 
Communications - Faculty Salaries</t>
  </si>
  <si>
    <t>Fundable, Unrestricted Operating Expenses - Instructional Programs - 
Computer and Information Sciences - Faculty Salaries</t>
  </si>
  <si>
    <t>Fundable, Unrestricted Operating Expenses - Instructional Programs - 
Construction Trades - Faculty Salaries</t>
  </si>
  <si>
    <t>Fundable, Unrestricted Operating Expenses - Instructional Programs - 
Consumer and Homemaking Education - Faculty Salaries</t>
  </si>
  <si>
    <t>Fundable, Unrestricted Operating Expenses - Instructional Programs - 
Engineering - Faculty Salaries</t>
  </si>
  <si>
    <t>Fundable, Unrestricted Operating Expenses - Instructional Programs - 
Engineering Related - Faculty Salaries</t>
  </si>
  <si>
    <t>Fundable, Unrestricted Operating Expenses - Instructional Programs - 
English Language, Lit, Philosophy, Humanities, &amp; Interdisciplinary - Faculty Salaries</t>
  </si>
  <si>
    <t>Fundable, Unrestricted Operating Expenses - Instructional Programs - 
Foreign Languages - Faculty Salaries</t>
  </si>
  <si>
    <t>Fundable, Unrestricted Operating Expenses - Instructional Programs - 
Health Occupations - Dental Assistants, Medical Lab, and Assoc. Degree Nursing - Faculty Salaries</t>
  </si>
  <si>
    <t>Fundable, Unrestricted Operating Expenses - Instructional Programs - 
Health Occupations - Dental Hygiene - Faculty Salaries</t>
  </si>
  <si>
    <t>Fundable, Unrestricted Operating Expenses - Instructional Programs - 
Health Occupations - Other - Faculty Salaries</t>
  </si>
  <si>
    <t>Fundable, Unrestricted Operating Expenses - Instructional Programs - 
Health Occupations - Respiratory Therapy - Faculty Salaries</t>
  </si>
  <si>
    <t>Fundable, Unrestricted Operating Expenses - Instructional Programs - 
Health Occupations - Vocational Nursing - Faculty Salaries</t>
  </si>
  <si>
    <t>Fundable, Unrestricted Operating Expenses - Instructional Programs - 
Mathematics - Faculty Salaries</t>
  </si>
  <si>
    <t>Fundable, Unrestricted Operating Expenses - Instructional Programs - 
Mechanics and Repairers - Automotive - Faculty Salaries</t>
  </si>
  <si>
    <t>Fundable, Unrestricted Operating Expenses - Instructional Programs - 
Mechanics and Repairers - Diesel, Aviation Mechanics, and Transportation Workers - Faculty Salaries</t>
  </si>
  <si>
    <t>Fundable, Unrestricted Operating Expenses - Instructional Programs - 
Mechanics and Repairers - Electronics - Faculty Salaries</t>
  </si>
  <si>
    <t>Fundable, Unrestricted Operating Expenses - Instructional Programs - 
Physical Education and Fitness - Faculty Salaries</t>
  </si>
  <si>
    <t>Fundable, Unrestricted Operating Expenses - Instructional Programs - 
Protective Services and Public Administration - Faculty Salaries</t>
  </si>
  <si>
    <t>Fundable, Unrestricted Operating Expenses - Instructional Programs - 
Psychology, Social Sciences, and History - Faculty Salaries</t>
  </si>
  <si>
    <t>Fundable, Unrestricted Operating Expenses - Instructional Programs - 
Visual and Performing Arts - Faculty Salaries</t>
  </si>
  <si>
    <t>Fundable, Unrestricted Operating Expenses - Instructional Programs - 
Developmental Education - Math - Faculty Salaries</t>
  </si>
  <si>
    <t>Fundable, Unrestricted Operating Expenses - Instructional Programs - 
Developmental Education - Reading/Writing - Faculty Salaries</t>
  </si>
  <si>
    <t>Fundable, Unrestricted Operating Expenses - Instructional Programs - 
Total - Faculty Salaries</t>
  </si>
  <si>
    <t>Fundable, Unrestricted Operating Expenses - Instructional Programs - 
Agriculture - Other Salaries and Wages</t>
  </si>
  <si>
    <t>Fundable, Unrestricted Operating Expenses - Instructional Programs - 
Architecture and Precision Production Trades - Other Salaries and Wages</t>
  </si>
  <si>
    <t>Fundable, Unrestricted Operating Expenses - Instructional Programs - 
Biology, Physical Sciences, and Science Technology - Other Salaries and Wages</t>
  </si>
  <si>
    <t>Fundable, Unrestricted Operating Expenses - Instructional Programs - 
Business Management, Marketing, and Administrative Services - Other Salaries and Wages</t>
  </si>
  <si>
    <t>Fundable, Unrestricted Operating Expenses - Instructional Programs - 
Career Pilot - Other Salaries and Wages</t>
  </si>
  <si>
    <t>Fundable, Unrestricted Operating Expenses - Instructional Programs - 
Communications - Other Salaries and Wages</t>
  </si>
  <si>
    <t>Fundable, Unrestricted Operating Expenses - Instructional Programs - 
Computer and Information Sciences - Other Salaries and Wages</t>
  </si>
  <si>
    <t>Fundable, Unrestricted Operating Expenses - Instructional Programs - 
Construction Trades - Other Salaries and Wages</t>
  </si>
  <si>
    <t>Fundable, Unrestricted Operating Expenses - Instructional Programs - 
Consumer and Homemaking Education - Other Salaries and Wages</t>
  </si>
  <si>
    <t>Fundable, Unrestricted Operating Expenses - Instructional Programs - 
Engineering - Other Salaries and Wages</t>
  </si>
  <si>
    <t>Fundable, Unrestricted Operating Expenses - Instructional Programs - 
Engineering Related - Other Salaries and Wages</t>
  </si>
  <si>
    <t>Fundable, Unrestricted Operating Expenses - Instructional Programs - 
English Language, Lit, Philosophy, Humanities, &amp; Interdisciplinary - Other Salaries and Wages</t>
  </si>
  <si>
    <t>Fundable, Unrestricted Operating Expenses - Instructional Programs - 
Foreign Languages - Other Salaries and Wages</t>
  </si>
  <si>
    <t>Fundable, Unrestricted Operating Expenses - Instructional Programs - 
Health Occupations - Dental Assistants, Medical Lab, and Assoc. Degree Nursing - Other Salaries and Wages</t>
  </si>
  <si>
    <t>Fundable, Unrestricted Operating Expenses - Instructional Programs - 
Health Occupations - Dental Hygiene - Other Salaries and Wages</t>
  </si>
  <si>
    <t>Fundable, Unrestricted Operating Expenses - Instructional Programs - 
Health Occupations - Other - Other Salaries and Wages</t>
  </si>
  <si>
    <t>Fundable, Unrestricted Operating Expenses - Instructional Programs - 
Health Occupations - Respiratory Therapy - Other Salaries and Wages</t>
  </si>
  <si>
    <t>Fundable, Unrestricted Operating Expenses - Instructional Programs - 
Health Occupations - Vocational Nursing - Other Salaries and Wages</t>
  </si>
  <si>
    <t>Fundable, Unrestricted Operating Expenses - Instructional Programs - 
Mathematics - Other Salaries and Wages</t>
  </si>
  <si>
    <t>Fundable, Unrestricted Operating Expenses - Instructional Programs - 
Mechanics and Repairers - Automotive - Other Salaries and Wages</t>
  </si>
  <si>
    <t>Fundable, Unrestricted Operating Expenses - Instructional Programs - 
Mechanics and Repairers - Diesel, Aviation Mechanics, and Transportation Workers - Other Salaries and Wages</t>
  </si>
  <si>
    <t>Fundable, Unrestricted Operating Expenses - Instructional Programs - 
Mechanics and Repairers - Electronics - Other Salaries and Wages</t>
  </si>
  <si>
    <t>Fundable, Unrestricted Operating Expenses - Instructional Programs - 
Physical Education and Fitness - Other Salaries and Wages</t>
  </si>
  <si>
    <t>Fundable, Unrestricted Operating Expenses - Instructional Programs - 
Protective Services and Public Administration - Other Salaries and Wages</t>
  </si>
  <si>
    <t>Fundable, Unrestricted Operating Expenses - Instructional Programs - 
Psychology, Social Sciences, and History - Other Salaries and Wages</t>
  </si>
  <si>
    <t>Fundable, Unrestricted Operating Expenses - Instructional Programs - 
Visual and Performing Arts - Other Salaries and Wages</t>
  </si>
  <si>
    <t>Fundable, Unrestricted Operating Expenses - Instructional Programs - 
Developmental Education - Math - Other Salaries and Wages</t>
  </si>
  <si>
    <t>Fundable, Unrestricted Operating Expenses - Instructional Programs - 
Developmental Education - Reading/Writing - Other Salaries and Wages</t>
  </si>
  <si>
    <t>Fundable, Unrestricted Operating Expenses - Instructional Programs - 
Total - Other Salaries and Wages</t>
  </si>
  <si>
    <t>Fundable, Unrestricted Operating Expenses - Instructional Programs - 
Agriculture - Staff Benefits</t>
  </si>
  <si>
    <t>Fundable, Unrestricted Operating Expenses - Instructional Programs - 
Architecture and Precision Production Trades - Staff Benefits</t>
  </si>
  <si>
    <t>Fundable, Unrestricted Operating Expenses - Instructional Programs - 
Biology, Physical Sciences, and Science Technology - Staff Benefits</t>
  </si>
  <si>
    <t>Fundable, Unrestricted Operating Expenses - Instructional Programs - 
Business Management, Marketing, and Administrative Services - Staff Benefits</t>
  </si>
  <si>
    <t>Fundable, Unrestricted Operating Expenses - Instructional Programs - 
Career Pilot - Staff Benefits</t>
  </si>
  <si>
    <t>Fundable, Unrestricted Operating Expenses - Instructional Programs - 
Communications - Staff Benefits</t>
  </si>
  <si>
    <t>Fundable, Unrestricted Operating Expenses - Instructional Programs - 
Computer and Information Sciences - Staff Benefits</t>
  </si>
  <si>
    <t>Fundable, Unrestricted Operating Expenses - Instructional Programs - 
Construction Trades - Staff Benefits</t>
  </si>
  <si>
    <t>Fundable, Unrestricted Operating Expenses - Instructional Programs - 
Consumer and Homemaking Education - Staff Benefits</t>
  </si>
  <si>
    <t>Fundable, Unrestricted Operating Expenses - Instructional Programs - 
Engineering - Staff Benefits</t>
  </si>
  <si>
    <t>Fundable, Unrestricted Operating Expenses - Instructional Programs - 
Engineering Related - Staff Benefits</t>
  </si>
  <si>
    <t>Fundable, Unrestricted Operating Expenses - Instructional Programs - 
English Language, Lit, Philosophy, Humanities, &amp; Interdisciplinary - Staff Benefits</t>
  </si>
  <si>
    <t>Fundable, Unrestricted Operating Expenses - Instructional Programs - 
Foreign Languages - Staff Benefits</t>
  </si>
  <si>
    <t>Fundable, Unrestricted Operating Expenses - Instructional Programs - 
Health Occupations - Dental Assistants, Medical Lab, and Assoc. Degree Nursing - Staff Benefits</t>
  </si>
  <si>
    <t>Fundable, Unrestricted Operating Expenses - Instructional Programs - 
Health Occupations - Dental Hygiene - Staff Benefits</t>
  </si>
  <si>
    <t>Fundable, Unrestricted Operating Expenses - Instructional Programs - 
Health Occupations - Other - Staff Benefits</t>
  </si>
  <si>
    <t>Fundable, Unrestricted Operating Expenses - Instructional Programs - 
Health Occupations - Respiratory Therapy - Staff Benefits</t>
  </si>
  <si>
    <t>Fundable, Unrestricted Operating Expenses - Instructional Programs - 
Health Occupations - Vocational Nursing - Staff Benefits</t>
  </si>
  <si>
    <t>Fundable, Unrestricted Operating Expenses - Instructional Programs - 
Mathematics - Staff Benefits</t>
  </si>
  <si>
    <t>Fundable, Unrestricted Operating Expenses - Instructional Programs - 
Mechanics and Repairers - Automotive - Staff Benefits</t>
  </si>
  <si>
    <t>Fundable, Unrestricted Operating Expenses - Instructional Programs - 
Mechanics and Repairers - Diesel, Aviation Mechanics, and Transportation Workers - Staff Benefits</t>
  </si>
  <si>
    <t>Fundable, Unrestricted Operating Expenses - Instructional Programs - 
Mechanics and Repairers - Electronics - Staff Benefits</t>
  </si>
  <si>
    <t>Fundable, Unrestricted Operating Expenses - Instructional Programs - 
Physical Education and Fitness - Staff Benefits</t>
  </si>
  <si>
    <t>Fundable, Unrestricted Operating Expenses - Instructional Programs - 
Protective Services and Public Administration - Staff Benefits</t>
  </si>
  <si>
    <t>Fundable, Unrestricted Operating Expenses - Instructional Programs - 
Psychology, Social Sciences, and History - Staff Benefits</t>
  </si>
  <si>
    <t>Fundable, Unrestricted Operating Expenses - Instructional Programs - 
Visual and Performing Arts - Staff Benefits</t>
  </si>
  <si>
    <t>Fundable, Unrestricted Operating Expenses - Instructional Programs - 
Developmental Education - Math - Staff Benefits</t>
  </si>
  <si>
    <t>Fundable, Unrestricted Operating Expenses - Instructional Programs - 
Developmental Education - Reading/Writing - Staff Benefits</t>
  </si>
  <si>
    <t>Fundable, Unrestricted Operating Expenses - Instructional Programs - 
Total - Staff Benefits</t>
  </si>
  <si>
    <t>Fundable, Unrestricted Operating Expenses - Instructional Programs - 
Agriculture - Other Operating Expense</t>
  </si>
  <si>
    <t>Fundable, Unrestricted Operating Expenses - Instructional Programs - 
Architecture and Precision Production Trades - Other Operating Expense</t>
  </si>
  <si>
    <t>Fundable, Unrestricted Operating Expenses - Instructional Programs - 
Biology, Physical Sciences, and Science Technology - Other Operating Expense</t>
  </si>
  <si>
    <t>Fundable, Unrestricted Operating Expenses - Instructional Programs - 
Business Management, Marketing, and Administrative Services - Other Operating Expense</t>
  </si>
  <si>
    <t>Fundable, Unrestricted Operating Expenses - Instructional Programs - 
Career Pilot - Other Operating Expense</t>
  </si>
  <si>
    <t>Fundable, Unrestricted Operating Expenses - Instructional Programs - 
Communications - Other Operating Expense</t>
  </si>
  <si>
    <t>Fundable, Unrestricted Operating Expenses - Instructional Programs - 
Computer and Information Sciences - Other Operating Expense</t>
  </si>
  <si>
    <t>Fundable, Unrestricted Operating Expenses - Instructional Programs - 
Construction Trades - Other Operating Expense</t>
  </si>
  <si>
    <t>Fundable, Unrestricted Operating Expenses - Instructional Programs - 
Consumer and Homemaking Education - Other Operating Expense</t>
  </si>
  <si>
    <t>Fundable, Unrestricted Operating Expenses - Instructional Programs - 
Engineering - Other Operating Expense</t>
  </si>
  <si>
    <t>Fundable, Unrestricted Operating Expenses - Instructional Programs - 
Engineering Related - Other Operating Expense</t>
  </si>
  <si>
    <t>Fundable, Unrestricted Operating Expenses - Instructional Programs - 
English Language, Lit, Philosophy, Humanities, &amp; Interdisciplinary - Other Operating Expense</t>
  </si>
  <si>
    <t>Fundable, Unrestricted Operating Expenses - Instructional Programs - 
Foreign Languages - Other Operating Expense</t>
  </si>
  <si>
    <t>Fundable, Unrestricted Operating Expenses - Instructional Programs - 
Health Occupations - Dental Assistants, Medical Lab, and Assoc. Degree Nursing - Other Operating Expense</t>
  </si>
  <si>
    <t>Fundable, Unrestricted Operating Expenses - Instructional Programs - 
Health Occupations - Dental Hygiene - Other Operating Expense</t>
  </si>
  <si>
    <t>Fundable, Unrestricted Operating Expenses - Instructional Programs - 
Health Occupations - Other - Other Operating Expense</t>
  </si>
  <si>
    <t>Fundable, Unrestricted Operating Expenses - Instructional Programs - 
Health Occupations - Respiratory Therapy - Other Operating Expense</t>
  </si>
  <si>
    <t>Fundable, Unrestricted Operating Expenses - Instructional Programs - 
Health Occupations - Vocational Nursing - Other Operating Expense</t>
  </si>
  <si>
    <t>Fundable, Unrestricted Operating Expenses - Instructional Programs - 
Mathematics - Other Operating Expense</t>
  </si>
  <si>
    <t>Fundable, Unrestricted Operating Expenses - Instructional Programs - 
Mechanics and Repairers - Automotive - Other Operating Expense</t>
  </si>
  <si>
    <t>Fundable, Unrestricted Operating Expenses - Instructional Programs - 
Mechanics and Repairers - Diesel, Aviation Mechanics, and Transportation Workers - Other Operating Expense</t>
  </si>
  <si>
    <t>Fundable, Unrestricted Operating Expenses - Instructional Programs - 
Mechanics and Repairers - Electronics - Other Operating Expense</t>
  </si>
  <si>
    <t>Fundable, Unrestricted Operating Expenses - Instructional Programs - 
Physical Education and Fitness - Other Operating Expense</t>
  </si>
  <si>
    <t>Fundable, Unrestricted Operating Expenses - Instructional Programs - 
Protective Services and Public Administration - Other Operating Expense</t>
  </si>
  <si>
    <t>Fundable, Unrestricted Operating Expenses - Instructional Programs - 
Psychology, Social Sciences, and History - Other Operating Expense</t>
  </si>
  <si>
    <t>Fundable, Unrestricted Operating Expenses - Instructional Programs - 
Visual and Performing Arts - Other Operating Expense</t>
  </si>
  <si>
    <t>Fundable, Unrestricted Operating Expenses - Instructional Programs - 
Developmental Education - Math - Other Operating Expense</t>
  </si>
  <si>
    <t>Fundable, Unrestricted Operating Expenses - Instructional Programs - 
Developmental Education - Reading/Writing - Other Operating Expense</t>
  </si>
  <si>
    <t>Fundable, Unrestricted Operating Expenses - Instructional Programs - 
Total - Other Operating Expense</t>
  </si>
  <si>
    <t>Fundable, Unrestricted Operating Expenses - Instructional Programs - 
Agriculture - Departmental Operating Expense</t>
  </si>
  <si>
    <t>Fundable, Unrestricted Operating Expenses - Instructional Programs - 
Architecture and Precision Production Trades - Departmental Operating Expense</t>
  </si>
  <si>
    <t>Fundable, Unrestricted Operating Expenses - Instructional Programs - 
Biology, Physical Sciences, and Science Technology - Departmental Operating Expense</t>
  </si>
  <si>
    <t>Fundable, Unrestricted Operating Expenses - Instructional Programs - 
Business Management, Marketing, and Administrative Services - Departmental Operating Expense</t>
  </si>
  <si>
    <t>Fundable, Unrestricted Operating Expenses - Instructional Programs - 
Career Pilot - Departmental Operating Expense</t>
  </si>
  <si>
    <t>Fundable, Unrestricted Operating Expenses - Instructional Programs - 
Communications - Departmental Operating Expense</t>
  </si>
  <si>
    <t>Fundable, Unrestricted Operating Expenses - Instructional Programs - 
Computer and Information Sciences - Departmental Operating Expense</t>
  </si>
  <si>
    <t>Fundable, Unrestricted Operating Expenses - Instructional Programs - 
Construction Trades - Departmental Operating Expense</t>
  </si>
  <si>
    <t>Fundable, Unrestricted Operating Expenses - Instructional Programs - 
Consumer and Homemaking Education - Departmental Operating Expense</t>
  </si>
  <si>
    <t>Fundable, Unrestricted Operating Expenses - Instructional Programs - 
Engineering - Departmental Operating Expense</t>
  </si>
  <si>
    <t>Fundable, Unrestricted Operating Expenses - Instructional Programs - 
Engineering Related - Departmental Operating Expense</t>
  </si>
  <si>
    <t>Fundable, Unrestricted Operating Expenses - Instructional Programs - 
English Language, Lit, Philosophy, Humanities, &amp; Interdisciplinary - Departmental Operating Expense</t>
  </si>
  <si>
    <t>Fundable, Unrestricted Operating Expenses - Instructional Programs - 
Foreign Languages - Departmental Operating Expense</t>
  </si>
  <si>
    <t>Fundable, Unrestricted Operating Expenses - Instructional Programs - 
Health Occupations - Dental Assistants, Medical Lab, and Assoc. Degree Nursing - Departmental Operating Expense</t>
  </si>
  <si>
    <t>Fundable, Unrestricted Operating Expenses - Instructional Programs - 
Health Occupations - Dental Hygiene - Departmental Operating Expense</t>
  </si>
  <si>
    <t>Fundable, Unrestricted Operating Expenses - Instructional Programs - 
Health Occupations - Other - Departmental Operating Expense</t>
  </si>
  <si>
    <t>Fundable, Unrestricted Operating Expenses - Instructional Programs - 
Health Occupations - Respiratory Therapy - Departmental Operating Expense</t>
  </si>
  <si>
    <t>Fundable, Unrestricted Operating Expenses - Instructional Programs - 
Health Occupations - Vocational Nursing - Departmental Operating Expense</t>
  </si>
  <si>
    <t>Fundable, Unrestricted Operating Expenses - Instructional Programs - 
Mathematics - Departmental Operating Expense</t>
  </si>
  <si>
    <t>Fundable, Unrestricted Operating Expenses - Instructional Programs - 
Mechanics and Repairers - Automotive - Departmental Operating Expense</t>
  </si>
  <si>
    <t>Fundable, Unrestricted Operating Expenses - Instructional Programs - 
Mechanics and Repairers - Diesel, Aviation Mechanics, and Transportation Workers - Departmental Operating Expense</t>
  </si>
  <si>
    <t>Fundable, Unrestricted Operating Expenses - Instructional Programs - 
Mechanics and Repairers - Electronics - Departmental Operating Expense</t>
  </si>
  <si>
    <t>Fundable, Unrestricted Operating Expenses - Instructional Programs - 
Physical Education and Fitness - Departmental Operating Expense</t>
  </si>
  <si>
    <t>Fundable, Unrestricted Operating Expenses - Instructional Programs - 
Protective Services and Public Administration - Departmental Operating Expense</t>
  </si>
  <si>
    <t>Fundable, Unrestricted Operating Expenses - Instructional Programs - 
Psychology, Social Sciences, and History - Departmental Operating Expense</t>
  </si>
  <si>
    <t>Fundable, Unrestricted Operating Expenses - Instructional Programs - 
Visual and Performing Arts - Departmental Operating Expense</t>
  </si>
  <si>
    <t>Fundable, Unrestricted Operating Expenses - Instructional Programs - 
Developmental Education - Math - Departmental Operating Expense</t>
  </si>
  <si>
    <t>Fundable, Unrestricted Operating Expenses - Instructional Programs - 
Developmental Education - Reading/Writing - Departmental Operating Expense</t>
  </si>
  <si>
    <t>Fundable, Unrestricted Operating Expenses - Instructional Programs - 
Total - Departmental Operating Expense</t>
  </si>
  <si>
    <t>Fundable, Unrestricted Operating Expenses - Instructional Programs - 
Agriculture - Total</t>
  </si>
  <si>
    <t>Fundable, Unrestricted Operating Expenses - Instructional Programs - 
Architecture and Precision Production Trades - Total</t>
  </si>
  <si>
    <t>Fundable, Unrestricted Operating Expenses - Instructional Programs - 
Biology, Physical Sciences, and Science Technology - Total</t>
  </si>
  <si>
    <t>Fundable, Unrestricted Operating Expenses - Instructional Programs - 
Business Management, Marketing, and Administrative Services - Total</t>
  </si>
  <si>
    <t>Fundable, Unrestricted Operating Expenses - Instructional Programs - 
Career Pilot - Total</t>
  </si>
  <si>
    <t>Fundable, Unrestricted Operating Expenses - Instructional Programs - 
Communications - Total</t>
  </si>
  <si>
    <t>Fundable, Unrestricted Operating Expenses - Instructional Programs - 
Computer and Information Sciences - Total</t>
  </si>
  <si>
    <t>Fundable, Unrestricted Operating Expenses - Instructional Programs - 
Construction Trades - Total</t>
  </si>
  <si>
    <t>Fundable, Unrestricted Operating Expenses - Instructional Programs - 
Consumer and Homemaking Education - Total</t>
  </si>
  <si>
    <t>Fundable, Unrestricted Operating Expenses - Instructional Programs - 
Engineering - Total</t>
  </si>
  <si>
    <t>Fundable, Unrestricted Operating Expenses - Instructional Programs - 
Engineering Related - Total</t>
  </si>
  <si>
    <t>Fundable, Unrestricted Operating Expenses - Instructional Programs - 
English Language, Lit, Philosophy, Humanities, &amp; Interdisciplinary - Total</t>
  </si>
  <si>
    <t>Fundable, Unrestricted Operating Expenses - Instructional Programs - 
Foreign Languages - Total</t>
  </si>
  <si>
    <t>Fundable, Unrestricted Operating Expenses - Instructional Programs - 
Health Occupations - Dental Assistants, Medical Lab, and Assoc. Degree Nursing - Total</t>
  </si>
  <si>
    <t>Fundable, Unrestricted Operating Expenses - Instructional Programs - 
Health Occupations - Dental Hygiene - Total</t>
  </si>
  <si>
    <t>Fundable, Unrestricted Operating Expenses - Instructional Programs - 
Health Occupations - Other - Total</t>
  </si>
  <si>
    <t>Fundable, Unrestricted Operating Expenses - Instructional Programs - 
Health Occupations - Respiratory Therapy - Total</t>
  </si>
  <si>
    <t>Fundable, Unrestricted Operating Expenses - Instructional Programs - 
Health Occupations - Vocational Nursing - Total</t>
  </si>
  <si>
    <t>Fundable, Unrestricted Operating Expenses - Instructional Programs - 
Mathematics - Total</t>
  </si>
  <si>
    <t>Fundable, Unrestricted Operating Expenses - Instructional Programs - 
Mechanics and Repairers - Automotive - Total</t>
  </si>
  <si>
    <t>Fundable, Unrestricted Operating Expenses - Instructional Programs - 
Mechanics and Repairers - Diesel, Aviation Mechanics, and Transportation Workers - Total</t>
  </si>
  <si>
    <t>Fundable, Unrestricted Operating Expenses - Instructional Programs - 
Mechanics and Repairers - Electronics - Total</t>
  </si>
  <si>
    <t>Fundable, Unrestricted Operating Expenses - Instructional Programs - 
Physical Education and Fitness - Total</t>
  </si>
  <si>
    <t>Fundable, Unrestricted Operating Expenses - Instructional Programs - 
Protective Services and Public Administration - Total</t>
  </si>
  <si>
    <t>Fundable, Unrestricted Operating Expenses - Instructional Programs - 
Psychology, Social Sciences, and History - Total</t>
  </si>
  <si>
    <t>Fundable, Unrestricted Operating Expenses - Instructional Programs - 
Visual and Performing Arts - Total</t>
  </si>
  <si>
    <t>Fundable, Unrestricted Operating Expenses - Instructional Programs - 
Developmental Education - Math - Total</t>
  </si>
  <si>
    <t>Fundable, Unrestricted Operating Expenses - Instructional Programs - 
Developmental Education - Reading/Writing - Total</t>
  </si>
  <si>
    <t>Fundable, Unrestricted Operating Expenses - Instructional Programs - 
Total - Total</t>
  </si>
  <si>
    <t>Depreciation Expense - Equipment and Furniture - AFR Schedule B</t>
  </si>
  <si>
    <t>Reconciliation Difference</t>
  </si>
  <si>
    <t>Total Unrestricted Educational Activities - AFR Schedule B</t>
  </si>
  <si>
    <t>Website Field Name</t>
  </si>
  <si>
    <t>Section and Part</t>
  </si>
  <si>
    <t>Model Address</t>
  </si>
  <si>
    <t>D104</t>
  </si>
  <si>
    <t>D98</t>
  </si>
  <si>
    <t>D99</t>
  </si>
  <si>
    <t>D100</t>
  </si>
  <si>
    <t>D101</t>
  </si>
  <si>
    <t>D102</t>
  </si>
  <si>
    <t>D103</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</si>
  <si>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</si>
  <si>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</si>
  <si>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</si>
  <si>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</si>
  <si>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</si>
  <si>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</si>
  <si>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</si>
  <si>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</si>
  <si>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</si>
  <si>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</si>
  <si>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</si>
  <si>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</si>
  <si>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</si>
  <si>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</si>
  <si>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</si>
  <si>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</si>
  <si>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</si>
  <si>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</si>
  <si>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</si>
  <si>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</si>
  <si>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</si>
  <si>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</si>
  <si>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</si>
  <si>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</si>
  <si>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</si>
  <si>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</si>
  <si>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</si>
  <si>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</si>
  <si>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</si>
  <si>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</si>
  <si>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</si>
  <si>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</si>
  <si>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</si>
  <si>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</si>
  <si>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</si>
  <si>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</si>
  <si>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</si>
  <si>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</si>
  <si>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</si>
  <si>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</si>
  <si>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</si>
  <si>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</si>
  <si>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</si>
  <si>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</si>
  <si>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</si>
  <si>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</si>
  <si>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</si>
  <si>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</si>
  <si>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</si>
  <si>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</si>
  <si>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</si>
  <si>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</si>
  <si>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</si>
  <si>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</si>
  <si>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</si>
  <si>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</si>
  <si>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</si>
  <si>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</si>
  <si>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</si>
  <si>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</si>
  <si>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</si>
  <si>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</si>
  <si>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</si>
  <si>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</si>
  <si>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</si>
  <si>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</si>
  <si>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</si>
  <si>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</si>
  <si>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</si>
  <si>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</si>
  <si>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</si>
  <si>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</si>
  <si>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</si>
  <si>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</si>
  <si>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</si>
  <si>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</si>
  <si>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</si>
  <si>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</si>
  <si>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</si>
  <si>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</si>
  <si>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</si>
  <si>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</si>
  <si>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</si>
  <si>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</si>
  <si>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I36</t>
  </si>
  <si>
    <t>I37</t>
  </si>
  <si>
    <t>I38</t>
  </si>
  <si>
    <t>I39</t>
  </si>
  <si>
    <t>I40</t>
  </si>
  <si>
    <t>I41</t>
  </si>
  <si>
    <t>I42</t>
  </si>
  <si>
    <t>I43</t>
  </si>
  <si>
    <t>I44</t>
  </si>
  <si>
    <t>I45</t>
  </si>
  <si>
    <t>I46</t>
  </si>
  <si>
    <t>I47</t>
  </si>
  <si>
    <t>I48</t>
  </si>
  <si>
    <t>I49</t>
  </si>
  <si>
    <t>I50</t>
  </si>
  <si>
    <t>I51</t>
  </si>
  <si>
    <t>I52</t>
  </si>
  <si>
    <t>I53</t>
  </si>
  <si>
    <t>I54</t>
  </si>
  <si>
    <t>I55</t>
  </si>
  <si>
    <t>I56</t>
  </si>
  <si>
    <t>I57</t>
  </si>
  <si>
    <t>I58</t>
  </si>
  <si>
    <t>I59</t>
  </si>
  <si>
    <t>I60</t>
  </si>
  <si>
    <t>I61</t>
  </si>
  <si>
    <t>I62</t>
  </si>
  <si>
    <t>I63</t>
  </si>
  <si>
    <t>I64</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</si>
  <si>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</si>
  <si>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</si>
  <si>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</si>
  <si>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</si>
  <si>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</si>
  <si>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</si>
  <si>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</si>
  <si>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</si>
  <si>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</si>
  <si>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</si>
  <si>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</si>
  <si>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</si>
  <si>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</si>
  <si>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</si>
  <si>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</si>
  <si>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</si>
  <si>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</si>
  <si>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</si>
  <si>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</si>
  <si>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</si>
  <si>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</si>
  <si>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</si>
  <si>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</si>
  <si>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</si>
  <si>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</si>
  <si>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</si>
  <si>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</si>
  <si>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</si>
  <si>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</si>
  <si>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</si>
  <si>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</si>
  <si>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</si>
  <si>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</si>
  <si>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</si>
  <si>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</si>
  <si>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</si>
  <si>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</si>
  <si>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</si>
  <si>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</si>
  <si>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</si>
  <si>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</si>
  <si>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</si>
  <si>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</si>
  <si>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</si>
  <si>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</si>
  <si>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</si>
  <si>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</si>
  <si>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</si>
  <si>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</si>
  <si>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</si>
  <si>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</si>
  <si>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</si>
  <si>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</si>
  <si>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</si>
  <si>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</si>
  <si>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</si>
  <si>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Total Expenses</t>
  </si>
  <si>
    <t>Total Fundable Expenses</t>
  </si>
  <si>
    <t>Section 1 Comments</t>
  </si>
  <si>
    <t>Other Allocated Administrative Expenses - Institutional Support - Total</t>
  </si>
  <si>
    <t>Other Allocated Administrative Expenses - Student Services - Total</t>
  </si>
  <si>
    <t>Other Allocated Administrative Expenses - Academic Support - Total</t>
  </si>
  <si>
    <t>Other Allocated Administrative Expenses - Research - Total</t>
  </si>
  <si>
    <t>Other Allocated Administrative Expenses - Scholarships and Fellowships - Total</t>
  </si>
  <si>
    <t>Other Allocated Administrative Expenses - Equipment Depreciation - Total</t>
  </si>
  <si>
    <t>Other Fundable Staff Benefits Excluding Instructional (Section 1) and Physical Plant (Section 5) Local</t>
  </si>
  <si>
    <t>Other Allocated Administrative Expenses - Total</t>
  </si>
  <si>
    <t>Website Password</t>
  </si>
  <si>
    <t>Certification  Flag</t>
  </si>
  <si>
    <t>Certification Date</t>
  </si>
  <si>
    <t>Last Modification Date</t>
  </si>
  <si>
    <t>Staff Notes</t>
  </si>
  <si>
    <t>Institution Name</t>
  </si>
  <si>
    <t>Institution Contact</t>
  </si>
  <si>
    <t>Institution Contact Title</t>
  </si>
  <si>
    <t>Institution Contact Phone</t>
  </si>
  <si>
    <t>Institution Contact Email</t>
  </si>
  <si>
    <t>FICE Code</t>
  </si>
  <si>
    <t>Password Page</t>
  </si>
  <si>
    <t>Coded</t>
  </si>
  <si>
    <t>Unknown</t>
  </si>
  <si>
    <t>Contact Information</t>
  </si>
  <si>
    <t>Part A Section 1</t>
  </si>
  <si>
    <t>Part A Section 2</t>
  </si>
  <si>
    <t>Part A Section 3</t>
  </si>
  <si>
    <t>Part B Section 4</t>
  </si>
  <si>
    <t>Part B Section 5</t>
  </si>
  <si>
    <t>Part A</t>
  </si>
  <si>
    <t>Part B</t>
  </si>
  <si>
    <t>All</t>
  </si>
  <si>
    <t>Unrestricted - Educational Activities</t>
  </si>
  <si>
    <t>Instruction</t>
  </si>
  <si>
    <t>Public Service</t>
  </si>
  <si>
    <t>Operation and Maintenance of Plant</t>
  </si>
  <si>
    <t>Salaries and Wages</t>
  </si>
  <si>
    <t>Other Expenses</t>
  </si>
  <si>
    <t>Annual Financial Report - Schedule B</t>
  </si>
  <si>
    <t>Other</t>
  </si>
  <si>
    <t>Depreciation Expense - Equipment</t>
  </si>
  <si>
    <t xml:space="preserve">Each year, the Texas Higher Education Coordinating Board revises the Texas Public Community and Technical Colleges Expense per Contact Hour Rates used in its Instruction and Operations Formula Funding Recommendation to the Legislative Budget Board (LBB).  The Report of Fundable Operating Expenses (RFOE),  completed by the institutions, collects departmental operating expense, faculty salaries, institutional support, student services, academic support, research, scholarships and fellowships, equipment depreciation, and local benefits for input into this summary using Annual Financial Report (AFR) Schedule B, which ties to the AFR Statement of Revenues, Expenses and Changes in Net Assets (SRECNA). The RFOE subcategorizes the expenditures collected in Schedule B funded with unrestricted funds, totals them for all institutions, and divides them by the statewide contact hours to determine rates by discipline. </t>
  </si>
  <si>
    <t>Rate History</t>
  </si>
  <si>
    <t>Expense per Contact Hour by
 Discipline</t>
  </si>
  <si>
    <t>Year over Year Change</t>
  </si>
  <si>
    <t>College Of The Mainland</t>
  </si>
  <si>
    <t>TSTC-Harlingen</t>
  </si>
  <si>
    <t>TSTC-West Texas</t>
  </si>
  <si>
    <t>TSTC-Marshall</t>
  </si>
  <si>
    <t>TSTC-Waco</t>
  </si>
  <si>
    <t>Lamar-IOT</t>
  </si>
  <si>
    <t>Lamar-Orange</t>
  </si>
  <si>
    <t>Lamar-Port Arthur</t>
  </si>
  <si>
    <t>Institution</t>
  </si>
  <si>
    <t>Discipline</t>
  </si>
  <si>
    <t>All Disciplines</t>
  </si>
  <si>
    <t>Average</t>
  </si>
  <si>
    <t>Median</t>
  </si>
  <si>
    <t>Average (Excluding zero values)</t>
  </si>
  <si>
    <t>High</t>
  </si>
  <si>
    <t>Low (Excluding zero values)</t>
  </si>
  <si>
    <t>Median (Excluding zero values)</t>
  </si>
  <si>
    <t>Discipline Summary of Expense per Contact Hour by Institution</t>
  </si>
  <si>
    <t>AG</t>
  </si>
  <si>
    <t>ARCH</t>
  </si>
  <si>
    <t>AG - Agriculture</t>
  </si>
  <si>
    <t>ARCH - Architecture and Precision Production Trades</t>
  </si>
  <si>
    <t>BA - Business Management, Marketing, and Administrative Services</t>
  </si>
  <si>
    <t>SCI - Biology, Physical Sciences, and Science Technology</t>
  </si>
  <si>
    <t>CP - Career Pilot</t>
  </si>
  <si>
    <t>COMM - Communications</t>
  </si>
  <si>
    <t>CS - Computer and Information Sciences</t>
  </si>
  <si>
    <t>CNSTR - Construction Trades</t>
  </si>
  <si>
    <t>HE - Consumer and Homemaking Education</t>
  </si>
  <si>
    <t>ENG - Engineering</t>
  </si>
  <si>
    <t>LA - English Language, Lit, Philosophy, Humanities, &amp; Interdisciplinary</t>
  </si>
  <si>
    <t>FL - Foreign Languages</t>
  </si>
  <si>
    <t>HODA - Health Occupations - Dental Assistants, Medical Lab, and Assoc. Degree Nursing</t>
  </si>
  <si>
    <t>HODH - Health Occupations - Dental Hygiene</t>
  </si>
  <si>
    <t>HOO - Health Occupations - Other</t>
  </si>
  <si>
    <t>HORT - Health Occupations - Respiratory Therapy</t>
  </si>
  <si>
    <t>NUR - Health Occupations - Vocational Nursing</t>
  </si>
  <si>
    <t>MATH - Mathematics</t>
  </si>
  <si>
    <t>AUTO - Mechanics and Repairers - Automotive</t>
  </si>
  <si>
    <t>MECH - Mechanics and Repairers - Diesel, Aviation Mechanics, and Transportation Workers</t>
  </si>
  <si>
    <t>ELECT - Mechanics and Repairers - Electronics</t>
  </si>
  <si>
    <t>PE - Physical Education and Fitness</t>
  </si>
  <si>
    <t>PA - Protective Services and Public Administration</t>
  </si>
  <si>
    <t>SS - Psychology, Social Sciences, and History</t>
  </si>
  <si>
    <t>FA - Visual and Performing Arts</t>
  </si>
  <si>
    <t>DEM - Developmental Education - Math</t>
  </si>
  <si>
    <t>DER - Developmental Education - Reading/Writing</t>
  </si>
  <si>
    <t>Total - All Disciplines</t>
  </si>
  <si>
    <t>SCI</t>
  </si>
  <si>
    <t>BA</t>
  </si>
  <si>
    <t>CP</t>
  </si>
  <si>
    <t>COMM</t>
  </si>
  <si>
    <t>CS</t>
  </si>
  <si>
    <t>CNSTR</t>
  </si>
  <si>
    <t>HE</t>
  </si>
  <si>
    <t>ENG</t>
  </si>
  <si>
    <t>ENGR - Engineering Related</t>
  </si>
  <si>
    <t>ENGR</t>
  </si>
  <si>
    <t>LA</t>
  </si>
  <si>
    <t>FL</t>
  </si>
  <si>
    <t>HODA</t>
  </si>
  <si>
    <t>HODH</t>
  </si>
  <si>
    <t>HOO</t>
  </si>
  <si>
    <t>HORT</t>
  </si>
  <si>
    <t>NUR</t>
  </si>
  <si>
    <t>MATH</t>
  </si>
  <si>
    <t>AUTO</t>
  </si>
  <si>
    <t>MECH</t>
  </si>
  <si>
    <t>ELECT</t>
  </si>
  <si>
    <t>PE</t>
  </si>
  <si>
    <t>PA</t>
  </si>
  <si>
    <t>SS</t>
  </si>
  <si>
    <t>FA</t>
  </si>
  <si>
    <t>DEM</t>
  </si>
  <si>
    <t>DER</t>
  </si>
  <si>
    <t>Instructional Support</t>
  </si>
  <si>
    <t>Total Non-fundable Expenses</t>
  </si>
  <si>
    <t>This calculation is completed to indicate the relative change in financing assuming the legislature were to fund the institutions at the same total as the previous biennium. The percent funded used against the current rates is adjusted so that the total funded for all institutions is equal to the previous biennium's percent funded.</t>
  </si>
  <si>
    <t>Percent Change</t>
  </si>
  <si>
    <t>Total FTSE</t>
  </si>
  <si>
    <t>Total Expenditure</t>
  </si>
  <si>
    <t>Average Expenditure per FTSE</t>
  </si>
  <si>
    <t>Total for Instutions Reporting Expense</t>
  </si>
  <si>
    <t>Standard Deviation</t>
  </si>
  <si>
    <t>Community and Technical Colleges, Report of Fundable Operating Expenses, Fiscal Year (FY) 2011</t>
  </si>
  <si>
    <t>Summary of Expense divided  Contact Hours</t>
  </si>
  <si>
    <t>Contact Hours for fall 2010 and spring and summer 2011</t>
  </si>
  <si>
    <t>Average Total Expenditure per Full-Time Student Equivalent (FTSE)</t>
  </si>
  <si>
    <t>Discipline Analysis by Institution</t>
  </si>
  <si>
    <t>Percent of Rates to Maintain Funding Total</t>
  </si>
  <si>
    <t>Percent of Rates Funded</t>
  </si>
  <si>
    <t>Annual State Funded Semester Credit Hours</t>
  </si>
  <si>
    <t>Alvin</t>
  </si>
  <si>
    <t>Austin</t>
  </si>
  <si>
    <t>Mclennan</t>
  </si>
  <si>
    <t>Northeast Texas</t>
  </si>
  <si>
    <t>Cisco</t>
  </si>
  <si>
    <t>Laredo</t>
  </si>
  <si>
    <t>Paris</t>
  </si>
  <si>
    <t>Southwest Texas</t>
  </si>
  <si>
    <t>Temple</t>
  </si>
  <si>
    <t>Tyler</t>
  </si>
  <si>
    <t>Amarillo</t>
  </si>
  <si>
    <t>Angelina</t>
  </si>
  <si>
    <t>Blinn</t>
  </si>
  <si>
    <t>Brazosport</t>
  </si>
  <si>
    <t>Clarendon</t>
  </si>
  <si>
    <t>Coastal Bend</t>
  </si>
  <si>
    <t>Del Mar</t>
  </si>
  <si>
    <t>Frank Phillips</t>
  </si>
  <si>
    <t>Galveston</t>
  </si>
  <si>
    <t>Hill</t>
  </si>
  <si>
    <t xml:space="preserve">Howard </t>
  </si>
  <si>
    <t>Kilgore</t>
  </si>
  <si>
    <t>Lee</t>
  </si>
  <si>
    <t>Lonestar</t>
  </si>
  <si>
    <t>Midland</t>
  </si>
  <si>
    <t>Navarro</t>
  </si>
  <si>
    <t>North Central Texas</t>
  </si>
  <si>
    <t>Odessa</t>
  </si>
  <si>
    <t>Panola</t>
  </si>
  <si>
    <t>Ranger</t>
  </si>
  <si>
    <t>South Plains</t>
  </si>
  <si>
    <t>South Texas</t>
  </si>
  <si>
    <t>Texarkana</t>
  </si>
  <si>
    <t>Texas Southmost</t>
  </si>
  <si>
    <t>Vernon</t>
  </si>
  <si>
    <t>Victoria</t>
  </si>
  <si>
    <t>Weatherford</t>
  </si>
  <si>
    <t>Western Texas</t>
  </si>
  <si>
    <t>Collin</t>
  </si>
  <si>
    <t>Dallas</t>
  </si>
  <si>
    <t>El Paso</t>
  </si>
  <si>
    <t>Houston</t>
  </si>
  <si>
    <t>San Jacinto</t>
  </si>
  <si>
    <t>Tarrant</t>
  </si>
  <si>
    <t>Trinity Valley</t>
  </si>
  <si>
    <t>Wharton</t>
  </si>
  <si>
    <t>Alamo</t>
  </si>
  <si>
    <t>Central Texas</t>
  </si>
  <si>
    <t>Grayson</t>
  </si>
  <si>
    <t>per Hour</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</si>
</sst>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
    <numFmt numFmtId="167" formatCode="&quot;$&quot;#,##0.00"/>
    <numFmt numFmtId="168" formatCode="&quot;$&quot;#,##0"/>
    <numFmt numFmtId="169" formatCode="&quot;$&quot;#,##0\ ;\(&quot;$&quot;#,##0\)"/>
  </numFmts>
  <fonts count="20" x14ac:knownFonts="1">
    <font>
      <sz val="11"/>
      <color theme="1"/>
      <name val="Calibri"/>
      <family val="2"/>
      <scheme val="minor"/>
    </font>
    <font>
      <sz val="11"/>
      <color theme="1"/>
      <name val="Calibri"/>
      <family val="2"/>
      <scheme val="minor"/>
    </font>
    <font>
      <sz val="11"/>
      <color theme="1"/>
      <name val="Tahoma"/>
      <family val="2"/>
    </font>
    <font>
      <b/>
      <sz val="11"/>
      <color theme="1"/>
      <name val="Tahoma"/>
      <family val="2"/>
    </font>
    <font>
      <sz val="10"/>
      <name val="MS Sans Serif"/>
      <family val="2"/>
    </font>
    <font>
      <sz val="11"/>
      <name val="Tahoma"/>
      <family val="2"/>
    </font>
    <font>
      <b/>
      <sz val="11"/>
      <name val="Tahoma"/>
      <family val="2"/>
    </font>
    <font>
      <b/>
      <sz val="11"/>
      <color theme="0"/>
      <name val="Tahoma"/>
      <family val="2"/>
    </font>
    <font>
      <sz val="11"/>
      <color theme="0"/>
      <name val="Tahoma"/>
      <family val="2"/>
    </font>
    <font>
      <sz val="12"/>
      <name val="Arial"/>
      <family val="2"/>
    </font>
    <font>
      <sz val="10"/>
      <name val="Arial"/>
      <family val="2"/>
    </font>
    <font>
      <sz val="11"/>
      <color indexed="8"/>
      <name val="Calibri"/>
      <family val="2"/>
    </font>
    <font>
      <sz val="11"/>
      <color indexed="8"/>
      <name val="Tahoma"/>
      <family val="2"/>
    </font>
    <font>
      <sz val="10"/>
      <name val="System"/>
      <family val="2"/>
    </font>
    <font>
      <i/>
      <sz val="10"/>
      <name val="System"/>
      <family val="2"/>
    </font>
    <font>
      <sz val="10"/>
      <color indexed="24"/>
      <name val="Arial"/>
      <family val="2"/>
    </font>
    <font>
      <b/>
      <sz val="18"/>
      <color indexed="24"/>
      <name val="Arial"/>
      <family val="2"/>
    </font>
    <font>
      <b/>
      <sz val="12"/>
      <color indexed="24"/>
      <name val="Arial"/>
      <family val="2"/>
    </font>
    <font>
      <sz val="10"/>
      <name val="Verdana"/>
      <family val="2"/>
    </font>
    <font>
      <sz val="10"/>
      <color indexed="8"/>
      <name val="Arial"/>
      <family val="2"/>
    </font>
  </fonts>
  <fills count="4">
    <fill>
      <patternFill patternType="none"/>
    </fill>
    <fill>
      <patternFill patternType="gray125"/>
    </fill>
    <fill>
      <patternFill patternType="solid">
        <fgColor rgb="FFFF0000"/>
        <bgColor indexed="64"/>
      </patternFill>
    </fill>
    <fill>
      <patternFill patternType="solid">
        <fgColor rgb="FFFFE1E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29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37" fontId="9" fillId="0" borderId="0"/>
    <xf numFmtId="9" fontId="10"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0" fontId="4" fillId="0" borderId="0"/>
    <xf numFmtId="43" fontId="4" fillId="0" borderId="0" applyFont="0" applyFill="0" applyBorder="0" applyAlignment="0" applyProtection="0"/>
    <xf numFmtId="0" fontId="1" fillId="0" borderId="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9" fillId="0" borderId="0"/>
    <xf numFmtId="0" fontId="1" fillId="0" borderId="0"/>
    <xf numFmtId="0" fontId="1" fillId="0" borderId="0"/>
    <xf numFmtId="0" fontId="1" fillId="0" borderId="0"/>
    <xf numFmtId="9" fontId="1" fillId="0" borderId="0" applyFont="0" applyFill="0" applyBorder="0" applyAlignment="0" applyProtection="0"/>
    <xf numFmtId="0" fontId="10" fillId="0" borderId="0"/>
    <xf numFmtId="44" fontId="10" fillId="0" borderId="0" applyFont="0" applyFill="0" applyBorder="0" applyAlignment="0" applyProtection="0"/>
    <xf numFmtId="0" fontId="10" fillId="0" borderId="0"/>
    <xf numFmtId="0" fontId="4" fillId="0" borderId="0"/>
    <xf numFmtId="0" fontId="4" fillId="0" borderId="0"/>
    <xf numFmtId="0" fontId="9" fillId="0" borderId="0"/>
    <xf numFmtId="43"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3" fontId="10" fillId="0" borderId="0"/>
    <xf numFmtId="43" fontId="4" fillId="0" borderId="0" applyFont="0" applyFill="0" applyBorder="0" applyAlignment="0" applyProtection="0"/>
    <xf numFmtId="43" fontId="10" fillId="0" borderId="0" applyFont="0" applyFill="0" applyBorder="0" applyAlignment="0" applyProtection="0"/>
    <xf numFmtId="3" fontId="10" fillId="0" borderId="0"/>
    <xf numFmtId="44" fontId="10" fillId="0" borderId="0" applyFont="0" applyFill="0" applyBorder="0" applyAlignment="0" applyProtection="0"/>
    <xf numFmtId="44" fontId="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 fillId="0" borderId="0"/>
    <xf numFmtId="0" fontId="9" fillId="0" borderId="0"/>
    <xf numFmtId="0" fontId="9" fillId="0" borderId="0"/>
    <xf numFmtId="0" fontId="9" fillId="0" borderId="0"/>
    <xf numFmtId="0" fontId="2" fillId="0" borderId="0"/>
    <xf numFmtId="9" fontId="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4" fillId="0" borderId="0" applyFont="0" applyFill="0" applyBorder="0" applyAlignment="0" applyProtection="0"/>
    <xf numFmtId="0" fontId="10" fillId="0" borderId="0"/>
    <xf numFmtId="0" fontId="10" fillId="0" borderId="0"/>
    <xf numFmtId="0" fontId="10"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43" fontId="14" fillId="0" borderId="0" applyFont="0" applyFill="0" applyBorder="0" applyAlignment="0" applyProtection="0"/>
    <xf numFmtId="0" fontId="1" fillId="0" borderId="0"/>
    <xf numFmtId="43" fontId="10" fillId="0" borderId="0" applyFont="0" applyFill="0" applyBorder="0" applyAlignment="0" applyProtection="0"/>
    <xf numFmtId="3" fontId="15" fillId="0" borderId="0" applyFont="0" applyFill="0" applyBorder="0" applyAlignment="0" applyProtection="0"/>
    <xf numFmtId="169" fontId="15" fillId="0" borderId="0" applyFont="0" applyFill="0" applyBorder="0" applyAlignment="0" applyProtection="0"/>
    <xf numFmtId="0" fontId="15" fillId="0" borderId="0" applyFont="0" applyFill="0" applyBorder="0" applyAlignment="0" applyProtection="0"/>
    <xf numFmtId="2" fontId="15" fillId="0" borderId="0" applyFon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5" fillId="0" borderId="37" applyNumberFormat="0" applyFont="0" applyFill="0" applyAlignment="0" applyProtection="0"/>
    <xf numFmtId="43"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4"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43" fontId="19" fillId="0" borderId="0" applyFont="0" applyFill="0" applyBorder="0" applyAlignment="0" applyProtection="0"/>
    <xf numFmtId="43" fontId="4" fillId="0" borderId="0" applyFont="0" applyFill="0" applyBorder="0" applyAlignment="0" applyProtection="0"/>
    <xf numFmtId="43" fontId="10" fillId="0" borderId="0" applyFont="0" applyFill="0" applyBorder="0" applyAlignment="0" applyProtection="0"/>
    <xf numFmtId="43" fontId="4" fillId="0" borderId="0" applyFont="0" applyFill="0" applyBorder="0" applyAlignment="0" applyProtection="0"/>
    <xf numFmtId="0" fontId="19" fillId="0" borderId="0"/>
    <xf numFmtId="0" fontId="4" fillId="0" borderId="0"/>
    <xf numFmtId="0" fontId="10" fillId="0" borderId="0"/>
    <xf numFmtId="0" fontId="4" fillId="0" borderId="0"/>
  </cellStyleXfs>
  <cellXfs count="208">
    <xf numFmtId="0" fontId="0" fillId="0" borderId="0" xfId="0"/>
    <xf numFmtId="0" fontId="2" fillId="0" borderId="0" xfId="0" applyFont="1"/>
    <xf numFmtId="22" fontId="0" fillId="0" borderId="0" xfId="0" applyNumberFormat="1"/>
    <xf numFmtId="43" fontId="2" fillId="0" borderId="0" xfId="2" applyNumberFormat="1" applyFont="1"/>
    <xf numFmtId="0" fontId="2" fillId="0" borderId="0" xfId="0" quotePrefix="1" applyFont="1"/>
    <xf numFmtId="165" fontId="2" fillId="0" borderId="0" xfId="2" applyNumberFormat="1" applyFont="1"/>
    <xf numFmtId="0" fontId="3" fillId="0" borderId="0" xfId="0" quotePrefix="1" applyFont="1"/>
    <xf numFmtId="0" fontId="2" fillId="0" borderId="0" xfId="0" applyFont="1"/>
    <xf numFmtId="0" fontId="2" fillId="0" borderId="0" xfId="0" applyFont="1"/>
    <xf numFmtId="44" fontId="2" fillId="0" borderId="0" xfId="2" applyNumberFormat="1" applyFont="1"/>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horizontal="right"/>
    </xf>
    <xf numFmtId="164" fontId="2" fillId="0" borderId="1" xfId="1" applyNumberFormat="1" applyFont="1" applyBorder="1"/>
    <xf numFmtId="165" fontId="2" fillId="0" borderId="1" xfId="2" applyNumberFormat="1" applyFont="1" applyBorder="1"/>
    <xf numFmtId="44" fontId="2" fillId="0" borderId="1" xfId="2" applyNumberFormat="1" applyFont="1" applyBorder="1"/>
    <xf numFmtId="164" fontId="2" fillId="0" borderId="1" xfId="2" applyNumberFormat="1" applyFont="1" applyBorder="1"/>
    <xf numFmtId="43" fontId="2" fillId="0" borderId="1" xfId="2" applyNumberFormat="1" applyFont="1" applyBorder="1"/>
    <xf numFmtId="0" fontId="5" fillId="0" borderId="5" xfId="4" applyFont="1" applyBorder="1" applyAlignment="1">
      <alignment horizontal="center"/>
    </xf>
    <xf numFmtId="44" fontId="2" fillId="0" borderId="6" xfId="2" applyNumberFormat="1" applyFont="1" applyBorder="1"/>
    <xf numFmtId="43" fontId="2" fillId="0" borderId="6" xfId="2" applyNumberFormat="1" applyFont="1" applyBorder="1"/>
    <xf numFmtId="0" fontId="5" fillId="0" borderId="7" xfId="4" applyFont="1" applyBorder="1" applyAlignment="1">
      <alignment horizontal="center"/>
    </xf>
    <xf numFmtId="164" fontId="2" fillId="0" borderId="8" xfId="1" applyNumberFormat="1" applyFont="1" applyBorder="1"/>
    <xf numFmtId="164" fontId="2" fillId="0" borderId="8" xfId="2" applyNumberFormat="1" applyFont="1" applyBorder="1"/>
    <xf numFmtId="43" fontId="2" fillId="0" borderId="9" xfId="2" applyNumberFormat="1" applyFont="1" applyBorder="1"/>
    <xf numFmtId="0" fontId="7" fillId="2" borderId="2" xfId="0" applyFont="1" applyFill="1" applyBorder="1" applyAlignment="1">
      <alignment horizontal="center"/>
    </xf>
    <xf numFmtId="0" fontId="7" fillId="2" borderId="3" xfId="0" applyFont="1" applyFill="1" applyBorder="1" applyAlignment="1">
      <alignment horizontal="center" wrapText="1"/>
    </xf>
    <xf numFmtId="164" fontId="7" fillId="2" borderId="3" xfId="1" applyNumberFormat="1" applyFont="1" applyFill="1" applyBorder="1" applyAlignment="1">
      <alignment horizontal="center" wrapText="1"/>
    </xf>
    <xf numFmtId="43" fontId="7" fillId="2" borderId="4" xfId="1" applyFont="1" applyFill="1" applyBorder="1" applyAlignment="1">
      <alignment horizontal="center" wrapText="1"/>
    </xf>
    <xf numFmtId="0" fontId="3" fillId="0" borderId="0" xfId="0" applyFont="1" applyAlignment="1">
      <alignment horizontal="right"/>
    </xf>
    <xf numFmtId="165" fontId="3" fillId="0" borderId="0" xfId="2" applyNumberFormat="1" applyFont="1"/>
    <xf numFmtId="44" fontId="3" fillId="0" borderId="0" xfId="2" applyNumberFormat="1" applyFont="1"/>
    <xf numFmtId="0" fontId="7" fillId="2" borderId="3" xfId="0" applyFont="1" applyFill="1" applyBorder="1" applyAlignment="1">
      <alignment horizontal="center"/>
    </xf>
    <xf numFmtId="164" fontId="3" fillId="0" borderId="0" xfId="0" applyNumberFormat="1" applyFont="1"/>
    <xf numFmtId="0" fontId="2" fillId="0" borderId="10" xfId="0" applyFont="1" applyBorder="1"/>
    <xf numFmtId="0" fontId="2" fillId="0" borderId="11" xfId="0" applyFont="1" applyBorder="1"/>
    <xf numFmtId="0" fontId="2" fillId="0" borderId="12" xfId="0" applyFont="1" applyBorder="1"/>
    <xf numFmtId="0" fontId="6" fillId="0" borderId="0" xfId="4" applyFont="1" applyAlignment="1"/>
    <xf numFmtId="0" fontId="6" fillId="0" borderId="0" xfId="4" applyFont="1" applyAlignment="1">
      <alignment horizontal="right"/>
    </xf>
    <xf numFmtId="0" fontId="0" fillId="0" borderId="0" xfId="0" applyAlignment="1">
      <alignment horizontal="center" wrapText="1"/>
    </xf>
    <xf numFmtId="0" fontId="0" fillId="0" borderId="0" xfId="0" applyAlignment="1"/>
    <xf numFmtId="0" fontId="2" fillId="0" borderId="5" xfId="0" applyFont="1" applyBorder="1"/>
    <xf numFmtId="0" fontId="2" fillId="0" borderId="7" xfId="0" applyFont="1" applyBorder="1"/>
    <xf numFmtId="0" fontId="7" fillId="2" borderId="4" xfId="0" applyFont="1" applyFill="1" applyBorder="1" applyAlignment="1">
      <alignment horizontal="center"/>
    </xf>
    <xf numFmtId="0" fontId="7" fillId="2" borderId="2" xfId="0" applyFont="1" applyFill="1" applyBorder="1" applyAlignment="1">
      <alignment horizontal="center" wrapText="1"/>
    </xf>
    <xf numFmtId="0" fontId="7" fillId="2" borderId="4" xfId="0" applyFont="1" applyFill="1" applyBorder="1" applyAlignment="1">
      <alignment horizontal="center" wrapText="1"/>
    </xf>
    <xf numFmtId="165" fontId="2" fillId="0" borderId="6" xfId="2" applyNumberFormat="1" applyFont="1" applyBorder="1"/>
    <xf numFmtId="41" fontId="2" fillId="0" borderId="6" xfId="2" applyNumberFormat="1" applyFont="1" applyBorder="1"/>
    <xf numFmtId="41" fontId="2" fillId="0" borderId="9" xfId="2" applyNumberFormat="1" applyFont="1" applyBorder="1"/>
    <xf numFmtId="41" fontId="2" fillId="0" borderId="1" xfId="2" applyNumberFormat="1" applyFont="1" applyBorder="1"/>
    <xf numFmtId="41" fontId="3" fillId="0" borderId="1" xfId="2" applyNumberFormat="1" applyFont="1" applyBorder="1"/>
    <xf numFmtId="41" fontId="2" fillId="0" borderId="8" xfId="2" applyNumberFormat="1" applyFont="1" applyBorder="1"/>
    <xf numFmtId="0" fontId="2" fillId="0" borderId="0" xfId="0" applyFont="1" applyBorder="1"/>
    <xf numFmtId="41" fontId="2" fillId="0" borderId="28" xfId="2" applyNumberFormat="1" applyFont="1" applyBorder="1"/>
    <xf numFmtId="41" fontId="2" fillId="0" borderId="29" xfId="2" applyNumberFormat="1" applyFont="1" applyBorder="1"/>
    <xf numFmtId="0" fontId="2" fillId="0" borderId="23" xfId="0" applyFont="1" applyBorder="1" applyAlignment="1">
      <alignment wrapText="1"/>
    </xf>
    <xf numFmtId="0" fontId="8" fillId="0" borderId="0" xfId="0" applyFont="1"/>
    <xf numFmtId="0" fontId="2" fillId="0" borderId="0" xfId="0" applyFont="1"/>
    <xf numFmtId="0" fontId="3" fillId="0" borderId="0" xfId="0" applyFont="1"/>
    <xf numFmtId="164" fontId="3" fillId="0" borderId="0" xfId="1" applyNumberFormat="1" applyFont="1"/>
    <xf numFmtId="0" fontId="0" fillId="0" borderId="0" xfId="0" quotePrefix="1"/>
    <xf numFmtId="0" fontId="7" fillId="2" borderId="3" xfId="1" applyNumberFormat="1" applyFont="1" applyFill="1" applyBorder="1" applyAlignment="1">
      <alignment horizontal="center" wrapText="1"/>
    </xf>
    <xf numFmtId="0" fontId="2" fillId="0" borderId="0" xfId="0" applyFont="1"/>
    <xf numFmtId="164" fontId="2" fillId="0" borderId="0" xfId="1" applyNumberFormat="1" applyFont="1"/>
    <xf numFmtId="44" fontId="2" fillId="0" borderId="0" xfId="2" applyFont="1"/>
    <xf numFmtId="0" fontId="3" fillId="0" borderId="0" xfId="0" applyFont="1"/>
    <xf numFmtId="43" fontId="2" fillId="0" borderId="0" xfId="0" applyNumberFormat="1" applyFont="1"/>
    <xf numFmtId="43" fontId="2" fillId="0" borderId="8" xfId="2" applyNumberFormat="1" applyFont="1" applyBorder="1"/>
    <xf numFmtId="0" fontId="7" fillId="2" borderId="2" xfId="1" applyNumberFormat="1" applyFont="1" applyFill="1" applyBorder="1" applyAlignment="1">
      <alignment horizontal="center" wrapText="1"/>
    </xf>
    <xf numFmtId="166" fontId="2" fillId="0" borderId="5" xfId="3" applyNumberFormat="1" applyFont="1" applyBorder="1"/>
    <xf numFmtId="166" fontId="2" fillId="0" borderId="7" xfId="3" applyNumberFormat="1" applyFont="1" applyBorder="1"/>
    <xf numFmtId="0" fontId="0" fillId="0" borderId="0" xfId="0"/>
    <xf numFmtId="0" fontId="2" fillId="0" borderId="0" xfId="0" applyFont="1"/>
    <xf numFmtId="164" fontId="2" fillId="0" borderId="0" xfId="0" applyNumberFormat="1" applyFont="1"/>
    <xf numFmtId="0" fontId="3" fillId="0" borderId="0" xfId="0" applyFont="1"/>
    <xf numFmtId="43" fontId="2" fillId="3" borderId="10" xfId="2" applyNumberFormat="1" applyFont="1" applyFill="1" applyBorder="1"/>
    <xf numFmtId="164" fontId="2" fillId="0" borderId="0" xfId="1" applyNumberFormat="1" applyFont="1" applyBorder="1" applyAlignment="1">
      <alignment wrapText="1"/>
    </xf>
    <xf numFmtId="43" fontId="2" fillId="0" borderId="27" xfId="0" applyNumberFormat="1" applyFont="1" applyBorder="1"/>
    <xf numFmtId="0" fontId="12" fillId="0" borderId="26" xfId="27" applyFont="1" applyFill="1" applyBorder="1" applyAlignment="1" applyProtection="1">
      <alignment horizontal="left" wrapText="1"/>
    </xf>
    <xf numFmtId="43" fontId="2" fillId="3" borderId="1" xfId="2" applyNumberFormat="1" applyFont="1" applyFill="1" applyBorder="1"/>
    <xf numFmtId="44" fontId="2" fillId="3" borderId="1" xfId="2" applyNumberFormat="1" applyFont="1" applyFill="1" applyBorder="1"/>
    <xf numFmtId="0" fontId="8" fillId="0" borderId="0" xfId="4" applyFont="1" applyFill="1" applyBorder="1" applyAlignment="1"/>
    <xf numFmtId="41" fontId="2" fillId="0" borderId="1" xfId="2" applyNumberFormat="1" applyFont="1" applyFill="1" applyBorder="1"/>
    <xf numFmtId="165" fontId="2" fillId="0" borderId="19" xfId="2" applyNumberFormat="1" applyFont="1" applyFill="1" applyBorder="1"/>
    <xf numFmtId="165" fontId="2" fillId="0" borderId="8" xfId="2" applyNumberFormat="1" applyFont="1" applyFill="1" applyBorder="1"/>
    <xf numFmtId="164" fontId="2" fillId="0" borderId="8" xfId="1" applyNumberFormat="1" applyFont="1" applyFill="1" applyBorder="1"/>
    <xf numFmtId="165" fontId="2" fillId="0" borderId="17" xfId="2" applyNumberFormat="1" applyFont="1" applyFill="1" applyBorder="1"/>
    <xf numFmtId="0" fontId="12" fillId="0" borderId="7" xfId="27" applyFont="1" applyFill="1" applyBorder="1" applyAlignment="1" applyProtection="1">
      <alignment horizontal="left" wrapText="1"/>
    </xf>
    <xf numFmtId="165" fontId="2" fillId="0" borderId="1" xfId="2" applyNumberFormat="1" applyFont="1" applyFill="1" applyBorder="1"/>
    <xf numFmtId="0" fontId="2" fillId="0" borderId="0" xfId="0" applyFont="1" applyAlignment="1">
      <alignment wrapText="1"/>
    </xf>
    <xf numFmtId="164" fontId="2" fillId="0" borderId="1" xfId="1" applyNumberFormat="1" applyFont="1" applyFill="1" applyBorder="1"/>
    <xf numFmtId="0" fontId="5" fillId="0" borderId="0" xfId="0" applyFont="1" applyFill="1" applyBorder="1" applyAlignment="1"/>
    <xf numFmtId="0" fontId="6" fillId="0" borderId="0" xfId="0" applyFont="1" applyFill="1" applyBorder="1" applyAlignment="1"/>
    <xf numFmtId="0" fontId="5" fillId="0" borderId="0" xfId="4" applyFont="1" applyFill="1" applyBorder="1" applyAlignment="1"/>
    <xf numFmtId="0" fontId="7" fillId="0" borderId="0" xfId="0" applyFont="1" applyFill="1" applyBorder="1" applyAlignment="1"/>
    <xf numFmtId="0" fontId="12" fillId="0" borderId="2" xfId="27" applyFont="1" applyFill="1" applyBorder="1" applyAlignment="1" applyProtection="1">
      <alignment horizontal="left" wrapText="1"/>
    </xf>
    <xf numFmtId="3" fontId="5" fillId="0" borderId="7" xfId="60" applyNumberFormat="1" applyFont="1" applyFill="1" applyBorder="1" applyAlignment="1" applyProtection="1">
      <alignment horizontal="left"/>
    </xf>
    <xf numFmtId="0" fontId="12" fillId="0" borderId="5" xfId="27" applyFont="1" applyFill="1" applyBorder="1" applyAlignment="1" applyProtection="1">
      <alignment horizontal="left" wrapText="1"/>
    </xf>
    <xf numFmtId="37" fontId="5" fillId="0" borderId="5" xfId="7" applyFont="1" applyFill="1" applyBorder="1"/>
    <xf numFmtId="37" fontId="5" fillId="0" borderId="5" xfId="7" applyFont="1" applyBorder="1"/>
    <xf numFmtId="43" fontId="2" fillId="0" borderId="6" xfId="0" applyNumberFormat="1" applyFont="1" applyBorder="1"/>
    <xf numFmtId="44" fontId="2" fillId="0" borderId="6" xfId="0" applyNumberFormat="1" applyFont="1" applyBorder="1"/>
    <xf numFmtId="3" fontId="5" fillId="0" borderId="5" xfId="60" applyNumberFormat="1" applyFont="1" applyFill="1" applyBorder="1" applyAlignment="1" applyProtection="1">
      <alignment horizontal="left"/>
    </xf>
    <xf numFmtId="165" fontId="5" fillId="0" borderId="8" xfId="2" applyNumberFormat="1" applyFont="1" applyFill="1" applyBorder="1" applyAlignment="1">
      <alignment horizontal="right" indent="1"/>
    </xf>
    <xf numFmtId="164" fontId="5" fillId="0" borderId="17" xfId="140" applyNumberFormat="1" applyFont="1" applyFill="1" applyBorder="1" applyAlignment="1">
      <alignment horizontal="right" indent="1"/>
    </xf>
    <xf numFmtId="10" fontId="5" fillId="0" borderId="9" xfId="3" applyNumberFormat="1" applyFont="1" applyFill="1" applyBorder="1" applyAlignment="1">
      <alignment horizontal="right" indent="1"/>
    </xf>
    <xf numFmtId="10" fontId="5" fillId="0" borderId="6" xfId="3" applyNumberFormat="1" applyFont="1" applyFill="1" applyBorder="1" applyAlignment="1">
      <alignment horizontal="right" indent="1"/>
    </xf>
    <xf numFmtId="165" fontId="5" fillId="0" borderId="19" xfId="2" applyNumberFormat="1" applyFont="1" applyFill="1" applyBorder="1" applyAlignment="1">
      <alignment horizontal="right" indent="1"/>
    </xf>
    <xf numFmtId="3" fontId="5" fillId="3" borderId="18" xfId="60" quotePrefix="1" applyNumberFormat="1" applyFont="1" applyFill="1" applyBorder="1" applyAlignment="1" applyProtection="1">
      <alignment horizontal="right"/>
    </xf>
    <xf numFmtId="3" fontId="5" fillId="3" borderId="18" xfId="60" applyNumberFormat="1" applyFont="1" applyFill="1" applyBorder="1" applyAlignment="1" applyProtection="1">
      <alignment horizontal="right"/>
    </xf>
    <xf numFmtId="3" fontId="5" fillId="3" borderId="13" xfId="60" applyNumberFormat="1" applyFont="1" applyFill="1" applyBorder="1" applyAlignment="1" applyProtection="1">
      <alignment horizontal="right"/>
    </xf>
    <xf numFmtId="10" fontId="6" fillId="3" borderId="30" xfId="3" applyNumberFormat="1" applyFont="1" applyFill="1" applyBorder="1" applyAlignment="1" applyProtection="1">
      <alignment horizontal="center" wrapText="1"/>
    </xf>
    <xf numFmtId="3" fontId="7" fillId="2" borderId="30" xfId="38" applyNumberFormat="1" applyFont="1" applyFill="1" applyBorder="1" applyAlignment="1" applyProtection="1">
      <alignment horizontal="center" wrapText="1"/>
    </xf>
    <xf numFmtId="165" fontId="5" fillId="0" borderId="1" xfId="140" applyNumberFormat="1" applyFont="1" applyFill="1" applyBorder="1" applyAlignment="1">
      <alignment horizontal="right" indent="1"/>
    </xf>
    <xf numFmtId="165" fontId="5" fillId="0" borderId="17" xfId="140" applyNumberFormat="1" applyFont="1" applyFill="1" applyBorder="1" applyAlignment="1">
      <alignment horizontal="right" indent="1"/>
    </xf>
    <xf numFmtId="10" fontId="6" fillId="3" borderId="31" xfId="108" quotePrefix="1" applyNumberFormat="1" applyFont="1" applyFill="1" applyBorder="1" applyAlignment="1" applyProtection="1">
      <alignment horizontal="center" wrapText="1"/>
    </xf>
    <xf numFmtId="167" fontId="7" fillId="2" borderId="31" xfId="38" applyNumberFormat="1" applyFont="1" applyFill="1" applyBorder="1" applyAlignment="1" applyProtection="1">
      <alignment horizontal="center" wrapText="1"/>
    </xf>
    <xf numFmtId="3" fontId="7" fillId="2" borderId="31" xfId="38" quotePrefix="1" applyNumberFormat="1" applyFont="1" applyFill="1" applyBorder="1" applyAlignment="1" applyProtection="1">
      <alignment horizontal="center" wrapText="1"/>
    </xf>
    <xf numFmtId="3" fontId="7" fillId="2" borderId="32" xfId="38" applyNumberFormat="1" applyFont="1" applyFill="1" applyBorder="1" applyAlignment="1" applyProtection="1">
      <alignment horizontal="center"/>
    </xf>
    <xf numFmtId="41" fontId="5" fillId="0" borderId="1" xfId="140" applyNumberFormat="1" applyFont="1" applyFill="1" applyBorder="1" applyAlignment="1">
      <alignment horizontal="right" indent="1"/>
    </xf>
    <xf numFmtId="0" fontId="5" fillId="0" borderId="0" xfId="38" applyFont="1" applyFill="1" applyBorder="1" applyAlignment="1">
      <alignment vertical="top" wrapText="1"/>
    </xf>
    <xf numFmtId="0" fontId="10" fillId="0" borderId="0" xfId="60"/>
    <xf numFmtId="0" fontId="6" fillId="0" borderId="0" xfId="60" applyFont="1"/>
    <xf numFmtId="0" fontId="5" fillId="0" borderId="0" xfId="38" applyFont="1" applyFill="1" applyBorder="1" applyAlignment="1">
      <alignment horizontal="right"/>
    </xf>
    <xf numFmtId="3" fontId="6" fillId="0" borderId="0" xfId="38" applyNumberFormat="1" applyFont="1" applyFill="1" applyBorder="1" applyAlignment="1" applyProtection="1">
      <alignment horizontal="left"/>
    </xf>
    <xf numFmtId="10" fontId="6" fillId="3" borderId="31" xfId="3" applyNumberFormat="1" applyFont="1" applyFill="1" applyBorder="1" applyAlignment="1" applyProtection="1">
      <alignment horizontal="center" wrapText="1"/>
    </xf>
    <xf numFmtId="0" fontId="10" fillId="0" borderId="0" xfId="60"/>
    <xf numFmtId="0" fontId="5" fillId="0" borderId="0" xfId="38" applyFont="1" applyFill="1" applyBorder="1" applyAlignment="1">
      <alignment horizontal="right"/>
    </xf>
    <xf numFmtId="168" fontId="0" fillId="0" borderId="0" xfId="0" applyNumberFormat="1"/>
    <xf numFmtId="0" fontId="7" fillId="2" borderId="34" xfId="60" applyFont="1" applyFill="1" applyBorder="1" applyAlignment="1">
      <alignment horizontal="center" wrapText="1"/>
    </xf>
    <xf numFmtId="37" fontId="5" fillId="0" borderId="33" xfId="7" applyFont="1" applyBorder="1"/>
    <xf numFmtId="0" fontId="7" fillId="2" borderId="30" xfId="60" applyFont="1" applyFill="1" applyBorder="1" applyAlignment="1">
      <alignment horizontal="center" wrapText="1"/>
    </xf>
    <xf numFmtId="0" fontId="7" fillId="2" borderId="31" xfId="60" applyFont="1" applyFill="1" applyBorder="1" applyAlignment="1">
      <alignment horizontal="center" wrapText="1"/>
    </xf>
    <xf numFmtId="0" fontId="10" fillId="0" borderId="0" xfId="60"/>
    <xf numFmtId="0" fontId="5" fillId="0" borderId="0" xfId="60" applyFont="1"/>
    <xf numFmtId="0" fontId="6" fillId="0" borderId="0" xfId="60" applyFont="1" applyFill="1" applyAlignment="1">
      <alignment horizontal="left"/>
    </xf>
    <xf numFmtId="0" fontId="6" fillId="0" borderId="0" xfId="60" quotePrefix="1" applyFont="1" applyFill="1" applyAlignment="1">
      <alignment horizontal="left"/>
    </xf>
    <xf numFmtId="164" fontId="5" fillId="0" borderId="3" xfId="33" applyNumberFormat="1" applyFont="1" applyFill="1" applyBorder="1" applyAlignment="1">
      <alignment horizontal="right"/>
    </xf>
    <xf numFmtId="168" fontId="5" fillId="0" borderId="3" xfId="60" applyNumberFormat="1" applyFont="1" applyFill="1" applyBorder="1"/>
    <xf numFmtId="168" fontId="5" fillId="0" borderId="4" xfId="60" applyNumberFormat="1" applyFont="1" applyFill="1" applyBorder="1"/>
    <xf numFmtId="3" fontId="5" fillId="0" borderId="1" xfId="60" applyNumberFormat="1" applyFont="1" applyFill="1" applyBorder="1" applyAlignment="1">
      <alignment horizontal="right"/>
    </xf>
    <xf numFmtId="3" fontId="5" fillId="0" borderId="6" xfId="60" applyNumberFormat="1" applyFont="1" applyFill="1" applyBorder="1" applyAlignment="1">
      <alignment horizontal="right"/>
    </xf>
    <xf numFmtId="3" fontId="5" fillId="0" borderId="1" xfId="60" applyNumberFormat="1" applyFont="1" applyFill="1" applyBorder="1"/>
    <xf numFmtId="3" fontId="5" fillId="0" borderId="6" xfId="60" applyNumberFormat="1" applyFont="1" applyFill="1" applyBorder="1"/>
    <xf numFmtId="3" fontId="6" fillId="0" borderId="8" xfId="60" applyNumberFormat="1" applyFont="1" applyFill="1" applyBorder="1" applyAlignment="1">
      <alignment horizontal="right"/>
    </xf>
    <xf numFmtId="168" fontId="6" fillId="0" borderId="8" xfId="60" applyNumberFormat="1" applyFont="1" applyFill="1" applyBorder="1"/>
    <xf numFmtId="168" fontId="6" fillId="0" borderId="9" xfId="60" applyNumberFormat="1" applyFont="1" applyFill="1" applyBorder="1"/>
    <xf numFmtId="166" fontId="2" fillId="0" borderId="0" xfId="3" applyNumberFormat="1" applyFont="1"/>
    <xf numFmtId="44" fontId="2" fillId="0" borderId="0" xfId="0" applyNumberFormat="1" applyFont="1"/>
    <xf numFmtId="3" fontId="6" fillId="3" borderId="32" xfId="38" applyNumberFormat="1" applyFont="1" applyFill="1" applyBorder="1" applyAlignment="1" applyProtection="1">
      <alignment horizontal="right"/>
    </xf>
    <xf numFmtId="44" fontId="2" fillId="0" borderId="3" xfId="2" applyFont="1" applyBorder="1"/>
    <xf numFmtId="44" fontId="2" fillId="0" borderId="4" xfId="2" applyFont="1" applyBorder="1"/>
    <xf numFmtId="0" fontId="5" fillId="0" borderId="17" xfId="4" applyFont="1" applyBorder="1" applyAlignment="1">
      <alignment horizontal="left" wrapText="1"/>
    </xf>
    <xf numFmtId="0" fontId="5" fillId="0" borderId="19" xfId="4" applyFont="1" applyBorder="1" applyAlignment="1">
      <alignment horizontal="left" wrapText="1"/>
    </xf>
    <xf numFmtId="0" fontId="7" fillId="2" borderId="16" xfId="0" applyFont="1" applyFill="1" applyBorder="1" applyAlignment="1">
      <alignment horizontal="center" wrapText="1"/>
    </xf>
    <xf numFmtId="0" fontId="7" fillId="2" borderId="2" xfId="0" applyFont="1" applyFill="1" applyBorder="1" applyAlignment="1">
      <alignment horizontal="center"/>
    </xf>
    <xf numFmtId="0" fontId="7" fillId="2" borderId="33" xfId="0" applyFont="1" applyFill="1" applyBorder="1" applyAlignment="1">
      <alignment horizontal="center" wrapText="1"/>
    </xf>
    <xf numFmtId="0" fontId="7" fillId="2" borderId="38" xfId="0" applyFont="1" applyFill="1" applyBorder="1" applyAlignment="1">
      <alignment horizontal="center" wrapText="1"/>
    </xf>
    <xf numFmtId="0" fontId="7" fillId="2" borderId="6" xfId="0" applyFont="1" applyFill="1" applyBorder="1" applyAlignment="1">
      <alignment horizontal="center" wrapText="1"/>
    </xf>
    <xf numFmtId="44" fontId="2" fillId="0" borderId="1" xfId="2" applyFont="1" applyFill="1" applyBorder="1"/>
    <xf numFmtId="43" fontId="2" fillId="0" borderId="1" xfId="1" applyFont="1" applyFill="1" applyBorder="1"/>
    <xf numFmtId="43" fontId="2" fillId="0" borderId="8" xfId="1" applyFont="1" applyFill="1" applyBorder="1"/>
    <xf numFmtId="44" fontId="2" fillId="0" borderId="6" xfId="2" applyFont="1" applyFill="1" applyBorder="1"/>
    <xf numFmtId="43" fontId="2" fillId="0" borderId="6" xfId="1" applyFont="1" applyFill="1" applyBorder="1"/>
    <xf numFmtId="43" fontId="2" fillId="0" borderId="9" xfId="1" applyFont="1" applyFill="1" applyBorder="1"/>
    <xf numFmtId="0" fontId="7" fillId="2" borderId="40" xfId="1" applyNumberFormat="1" applyFont="1" applyFill="1" applyBorder="1" applyAlignment="1">
      <alignment horizontal="center" wrapText="1"/>
    </xf>
    <xf numFmtId="0" fontId="7" fillId="2" borderId="13" xfId="1" applyNumberFormat="1" applyFont="1" applyFill="1" applyBorder="1" applyAlignment="1">
      <alignment horizontal="center" wrapText="1"/>
    </xf>
    <xf numFmtId="44" fontId="2" fillId="0" borderId="36" xfId="2" applyNumberFormat="1" applyFont="1" applyBorder="1"/>
    <xf numFmtId="166" fontId="2" fillId="0" borderId="18" xfId="3" applyNumberFormat="1" applyFont="1" applyBorder="1"/>
    <xf numFmtId="166" fontId="2" fillId="0" borderId="36" xfId="3" applyNumberFormat="1" applyFont="1" applyBorder="1"/>
    <xf numFmtId="43" fontId="2" fillId="0" borderId="36" xfId="2" applyNumberFormat="1" applyFont="1" applyBorder="1"/>
    <xf numFmtId="43" fontId="2" fillId="0" borderId="41" xfId="2" applyNumberFormat="1" applyFont="1" applyBorder="1"/>
    <xf numFmtId="166" fontId="2" fillId="0" borderId="20" xfId="3" applyNumberFormat="1" applyFont="1" applyBorder="1"/>
    <xf numFmtId="166" fontId="2" fillId="0" borderId="41" xfId="3" applyNumberFormat="1" applyFont="1" applyBorder="1"/>
    <xf numFmtId="165" fontId="0" fillId="0" borderId="0" xfId="0" applyNumberFormat="1"/>
    <xf numFmtId="164" fontId="2" fillId="0" borderId="24" xfId="1" applyNumberFormat="1" applyFont="1" applyBorder="1" applyAlignment="1">
      <alignment horizontal="left" wrapText="1"/>
    </xf>
    <xf numFmtId="164" fontId="2" fillId="0" borderId="15" xfId="1" applyNumberFormat="1" applyFont="1" applyBorder="1" applyAlignment="1">
      <alignment horizontal="left" wrapText="1"/>
    </xf>
    <xf numFmtId="0" fontId="5" fillId="0" borderId="17" xfId="4" applyFont="1" applyBorder="1" applyAlignment="1">
      <alignment horizontal="left" wrapText="1"/>
    </xf>
    <xf numFmtId="0" fontId="5" fillId="0" borderId="18" xfId="4" applyFont="1" applyBorder="1" applyAlignment="1">
      <alignment horizontal="left" wrapText="1"/>
    </xf>
    <xf numFmtId="0" fontId="5" fillId="0" borderId="19" xfId="4" applyFont="1" applyBorder="1" applyAlignment="1">
      <alignment horizontal="left" wrapText="1"/>
    </xf>
    <xf numFmtId="0" fontId="5" fillId="0" borderId="20" xfId="4" applyFont="1" applyBorder="1" applyAlignment="1">
      <alignment horizontal="left" wrapText="1"/>
    </xf>
    <xf numFmtId="0" fontId="7" fillId="2" borderId="21" xfId="0" applyFont="1" applyFill="1" applyBorder="1" applyAlignment="1">
      <alignment horizontal="center"/>
    </xf>
    <xf numFmtId="0" fontId="7" fillId="2" borderId="13" xfId="0" applyFont="1" applyFill="1" applyBorder="1" applyAlignment="1">
      <alignment horizontal="center"/>
    </xf>
    <xf numFmtId="164" fontId="2" fillId="0" borderId="22" xfId="1" applyNumberFormat="1" applyFont="1" applyBorder="1" applyAlignment="1">
      <alignment horizontal="left" wrapText="1"/>
    </xf>
    <xf numFmtId="164" fontId="2" fillId="0" borderId="14" xfId="1" applyNumberFormat="1" applyFont="1" applyBorder="1" applyAlignment="1">
      <alignment horizontal="left" wrapText="1"/>
    </xf>
    <xf numFmtId="164" fontId="2" fillId="0" borderId="25" xfId="1" applyNumberFormat="1" applyFont="1" applyBorder="1" applyAlignment="1">
      <alignment horizontal="left" wrapText="1"/>
    </xf>
    <xf numFmtId="164" fontId="2" fillId="0" borderId="18" xfId="1" applyNumberFormat="1" applyFont="1" applyBorder="1" applyAlignment="1">
      <alignment horizontal="left" wrapText="1"/>
    </xf>
    <xf numFmtId="0" fontId="7" fillId="2" borderId="16" xfId="0" applyFont="1" applyFill="1" applyBorder="1" applyAlignment="1">
      <alignment horizontal="center" wrapText="1"/>
    </xf>
    <xf numFmtId="0" fontId="7" fillId="2" borderId="13" xfId="0" applyFont="1" applyFill="1" applyBorder="1" applyAlignment="1">
      <alignment horizontal="center" wrapText="1"/>
    </xf>
    <xf numFmtId="0" fontId="2" fillId="0" borderId="0" xfId="0" quotePrefix="1" applyFont="1" applyAlignment="1">
      <alignment horizontal="left" vertical="top" wrapText="1"/>
    </xf>
    <xf numFmtId="0" fontId="5" fillId="0" borderId="7" xfId="4" applyFont="1" applyBorder="1" applyAlignment="1">
      <alignment horizontal="left"/>
    </xf>
    <xf numFmtId="0" fontId="5" fillId="0" borderId="8" xfId="4" applyFont="1" applyBorder="1" applyAlignment="1">
      <alignment horizontal="left"/>
    </xf>
    <xf numFmtId="0" fontId="5" fillId="0" borderId="9" xfId="4" applyFont="1" applyBorder="1" applyAlignment="1">
      <alignment horizontal="left"/>
    </xf>
    <xf numFmtId="0" fontId="2" fillId="0" borderId="25" xfId="0" applyFont="1" applyBorder="1" applyAlignment="1">
      <alignment horizontal="left"/>
    </xf>
    <xf numFmtId="0" fontId="2" fillId="0" borderId="35" xfId="0" applyFont="1" applyBorder="1" applyAlignment="1">
      <alignment horizontal="left"/>
    </xf>
    <xf numFmtId="0" fontId="2" fillId="0" borderId="36" xfId="0" applyFont="1" applyBorder="1" applyAlignment="1">
      <alignment horizontal="left"/>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5" fillId="0" borderId="5" xfId="4" applyFont="1" applyBorder="1" applyAlignment="1">
      <alignment horizontal="left"/>
    </xf>
    <xf numFmtId="0" fontId="5" fillId="0" borderId="1" xfId="4" applyFont="1" applyBorder="1" applyAlignment="1">
      <alignment horizontal="left"/>
    </xf>
    <xf numFmtId="0" fontId="5" fillId="0" borderId="6" xfId="4" applyFont="1" applyBorder="1" applyAlignment="1">
      <alignment horizontal="left"/>
    </xf>
    <xf numFmtId="0" fontId="7" fillId="2" borderId="39" xfId="0" applyFont="1" applyFill="1" applyBorder="1" applyAlignment="1">
      <alignment horizontal="center" wrapText="1"/>
    </xf>
    <xf numFmtId="0" fontId="7" fillId="2" borderId="38" xfId="0" applyFont="1" applyFill="1" applyBorder="1" applyAlignment="1">
      <alignment horizontal="center" wrapText="1"/>
    </xf>
    <xf numFmtId="0" fontId="7" fillId="2" borderId="40" xfId="0" applyFont="1" applyFill="1" applyBorder="1" applyAlignment="1">
      <alignment horizontal="center" wrapText="1"/>
    </xf>
    <xf numFmtId="0" fontId="5" fillId="0" borderId="0" xfId="38" applyFont="1" applyFill="1" applyBorder="1" applyAlignment="1">
      <alignment horizontal="left" vertical="top" wrapText="1"/>
    </xf>
  </cellXfs>
  <cellStyles count="290">
    <cellStyle name="Comma" xfId="1" builtinId="3"/>
    <cellStyle name="Comma 10" xfId="108"/>
    <cellStyle name="Comma 11" xfId="109"/>
    <cellStyle name="Comma 12" xfId="110"/>
    <cellStyle name="Comma 13" xfId="111"/>
    <cellStyle name="Comma 14" xfId="112"/>
    <cellStyle name="Comma 15" xfId="113"/>
    <cellStyle name="Comma 16" xfId="114"/>
    <cellStyle name="Comma 17" xfId="115"/>
    <cellStyle name="Comma 18" xfId="116"/>
    <cellStyle name="Comma 19" xfId="117"/>
    <cellStyle name="Comma 2" xfId="5"/>
    <cellStyle name="Comma 2 10" xfId="118"/>
    <cellStyle name="Comma 2 11" xfId="119"/>
    <cellStyle name="Comma 2 12" xfId="120"/>
    <cellStyle name="Comma 2 13" xfId="121"/>
    <cellStyle name="Comma 2 14" xfId="122"/>
    <cellStyle name="Comma 2 15" xfId="123"/>
    <cellStyle name="Comma 2 16" xfId="124"/>
    <cellStyle name="Comma 2 17" xfId="125"/>
    <cellStyle name="Comma 2 18" xfId="126"/>
    <cellStyle name="Comma 2 19" xfId="127"/>
    <cellStyle name="Comma 2 2" xfId="9"/>
    <cellStyle name="Comma 2 2 2" xfId="32"/>
    <cellStyle name="Comma 2 2 3" xfId="77"/>
    <cellStyle name="Comma 2 20" xfId="128"/>
    <cellStyle name="Comma 2 21" xfId="129"/>
    <cellStyle name="Comma 2 22" xfId="130"/>
    <cellStyle name="Comma 2 23" xfId="131"/>
    <cellStyle name="Comma 2 24" xfId="132"/>
    <cellStyle name="Comma 2 25" xfId="67"/>
    <cellStyle name="Comma 2 26" xfId="282"/>
    <cellStyle name="Comma 2 27" xfId="283"/>
    <cellStyle name="Comma 2 28" xfId="284"/>
    <cellStyle name="Comma 2 29" xfId="285"/>
    <cellStyle name="Comma 2 3" xfId="75"/>
    <cellStyle name="Comma 2 4" xfId="89"/>
    <cellStyle name="Comma 2 5" xfId="95"/>
    <cellStyle name="Comma 2 6" xfId="94"/>
    <cellStyle name="Comma 2 7" xfId="99"/>
    <cellStyle name="Comma 2 8" xfId="133"/>
    <cellStyle name="Comma 2 9" xfId="134"/>
    <cellStyle name="Comma 20" xfId="135"/>
    <cellStyle name="Comma 3" xfId="12"/>
    <cellStyle name="Comma 3 2" xfId="33"/>
    <cellStyle name="Comma 3 3" xfId="28"/>
    <cellStyle name="Comma 3 4" xfId="90"/>
    <cellStyle name="Comma 3 5" xfId="96"/>
    <cellStyle name="Comma 3 6" xfId="97"/>
    <cellStyle name="Comma 3 7" xfId="93"/>
    <cellStyle name="Comma 4" xfId="15"/>
    <cellStyle name="Comma 4 2" xfId="136"/>
    <cellStyle name="Comma 5" xfId="16"/>
    <cellStyle name="Comma 5 2" xfId="65"/>
    <cellStyle name="Comma 5 3" xfId="137"/>
    <cellStyle name="Comma 6" xfId="14"/>
    <cellStyle name="Comma 6 2" xfId="138"/>
    <cellStyle name="Comma 9" xfId="139"/>
    <cellStyle name="Comma0" xfId="31"/>
    <cellStyle name="Comma0 2" xfId="34"/>
    <cellStyle name="Comma0 3" xfId="68"/>
    <cellStyle name="Currency" xfId="2" builtinId="4"/>
    <cellStyle name="Currency 10" xfId="140"/>
    <cellStyle name="Currency 11" xfId="141"/>
    <cellStyle name="Currency 12" xfId="142"/>
    <cellStyle name="Currency 13" xfId="143"/>
    <cellStyle name="Currency 14" xfId="144"/>
    <cellStyle name="Currency 15" xfId="145"/>
    <cellStyle name="Currency 16" xfId="146"/>
    <cellStyle name="Currency 17" xfId="147"/>
    <cellStyle name="Currency 18" xfId="148"/>
    <cellStyle name="Currency 19" xfId="149"/>
    <cellStyle name="Currency 2" xfId="30"/>
    <cellStyle name="Currency 2 10" xfId="150"/>
    <cellStyle name="Currency 2 11" xfId="151"/>
    <cellStyle name="Currency 2 12" xfId="152"/>
    <cellStyle name="Currency 2 13" xfId="153"/>
    <cellStyle name="Currency 2 14" xfId="154"/>
    <cellStyle name="Currency 2 15" xfId="155"/>
    <cellStyle name="Currency 2 16" xfId="156"/>
    <cellStyle name="Currency 2 17" xfId="157"/>
    <cellStyle name="Currency 2 18" xfId="158"/>
    <cellStyle name="Currency 2 19" xfId="159"/>
    <cellStyle name="Currency 2 2" xfId="35"/>
    <cellStyle name="Currency 2 20" xfId="160"/>
    <cellStyle name="Currency 2 21" xfId="161"/>
    <cellStyle name="Currency 2 22" xfId="162"/>
    <cellStyle name="Currency 2 23" xfId="163"/>
    <cellStyle name="Currency 2 24" xfId="164"/>
    <cellStyle name="Currency 2 3" xfId="85"/>
    <cellStyle name="Currency 2 4" xfId="86"/>
    <cellStyle name="Currency 2 5" xfId="98"/>
    <cellStyle name="Currency 2 6" xfId="102"/>
    <cellStyle name="Currency 2 7" xfId="105"/>
    <cellStyle name="Currency 2 8" xfId="165"/>
    <cellStyle name="Currency 2 9" xfId="166"/>
    <cellStyle name="Currency 3" xfId="58"/>
    <cellStyle name="Currency 3 2" xfId="36"/>
    <cellStyle name="Currency 4" xfId="63"/>
    <cellStyle name="Currency 4 2" xfId="167"/>
    <cellStyle name="Currency 5" xfId="23"/>
    <cellStyle name="Currency 7" xfId="168"/>
    <cellStyle name="Currency 8" xfId="169"/>
    <cellStyle name="Currency 9" xfId="170"/>
    <cellStyle name="Currency0" xfId="69"/>
    <cellStyle name="Date" xfId="70"/>
    <cellStyle name="Fixed" xfId="71"/>
    <cellStyle name="Heading 1 10" xfId="171"/>
    <cellStyle name="Heading 1 11" xfId="172"/>
    <cellStyle name="Heading 1 12" xfId="173"/>
    <cellStyle name="Heading 1 13" xfId="174"/>
    <cellStyle name="Heading 1 14" xfId="175"/>
    <cellStyle name="Heading 1 15" xfId="176"/>
    <cellStyle name="Heading 1 16" xfId="177"/>
    <cellStyle name="Heading 1 17" xfId="178"/>
    <cellStyle name="Heading 1 18" xfId="179"/>
    <cellStyle name="Heading 1 19" xfId="180"/>
    <cellStyle name="Heading 1 2" xfId="181"/>
    <cellStyle name="Heading 1 20" xfId="72"/>
    <cellStyle name="Heading 1 3" xfId="182"/>
    <cellStyle name="Heading 1 4" xfId="183"/>
    <cellStyle name="Heading 1 5" xfId="184"/>
    <cellStyle name="Heading 1 6" xfId="185"/>
    <cellStyle name="Heading 1 7" xfId="186"/>
    <cellStyle name="Heading 1 8" xfId="187"/>
    <cellStyle name="Heading 1 9" xfId="188"/>
    <cellStyle name="Heading 2 10" xfId="189"/>
    <cellStyle name="Heading 2 11" xfId="190"/>
    <cellStyle name="Heading 2 12" xfId="191"/>
    <cellStyle name="Heading 2 13" xfId="192"/>
    <cellStyle name="Heading 2 14" xfId="193"/>
    <cellStyle name="Heading 2 15" xfId="194"/>
    <cellStyle name="Heading 2 16" xfId="195"/>
    <cellStyle name="Heading 2 17" xfId="196"/>
    <cellStyle name="Heading 2 18" xfId="197"/>
    <cellStyle name="Heading 2 19" xfId="198"/>
    <cellStyle name="Heading 2 2" xfId="199"/>
    <cellStyle name="Heading 2 20" xfId="73"/>
    <cellStyle name="Heading 2 3" xfId="200"/>
    <cellStyle name="Heading 2 4" xfId="201"/>
    <cellStyle name="Heading 2 5" xfId="202"/>
    <cellStyle name="Heading 2 6" xfId="203"/>
    <cellStyle name="Heading 2 7" xfId="204"/>
    <cellStyle name="Heading 2 8" xfId="205"/>
    <cellStyle name="Heading 2 9" xfId="206"/>
    <cellStyle name="Normal" xfId="0" builtinId="0"/>
    <cellStyle name="Normal 10" xfId="60"/>
    <cellStyle name="Normal 10 2" xfId="61"/>
    <cellStyle name="Normal 11" xfId="62"/>
    <cellStyle name="Normal 11 2" xfId="207"/>
    <cellStyle name="Normal 12" xfId="66"/>
    <cellStyle name="Normal 12 2" xfId="208"/>
    <cellStyle name="Normal 13" xfId="209"/>
    <cellStyle name="Normal 14" xfId="210"/>
    <cellStyle name="Normal 15" xfId="211"/>
    <cellStyle name="Normal 16" xfId="212"/>
    <cellStyle name="Normal 17" xfId="213"/>
    <cellStyle name="Normal 18" xfId="214"/>
    <cellStyle name="Normal 19" xfId="215"/>
    <cellStyle name="Normal 2" xfId="4"/>
    <cellStyle name="Normal 2 10" xfId="38"/>
    <cellStyle name="Normal 2 11" xfId="39"/>
    <cellStyle name="Normal 2 12" xfId="40"/>
    <cellStyle name="Normal 2 13" xfId="41"/>
    <cellStyle name="Normal 2 14" xfId="24"/>
    <cellStyle name="Normal 2 15" xfId="216"/>
    <cellStyle name="Normal 2 16" xfId="217"/>
    <cellStyle name="Normal 2 17" xfId="218"/>
    <cellStyle name="Normal 2 18" xfId="219"/>
    <cellStyle name="Normal 2 19" xfId="220"/>
    <cellStyle name="Normal 2 2" xfId="11"/>
    <cellStyle name="Normal 2 2 2" xfId="37"/>
    <cellStyle name="Normal 2 2 2 2" xfId="79"/>
    <cellStyle name="Normal 2 2 3" xfId="88"/>
    <cellStyle name="Normal 2 2 4" xfId="92"/>
    <cellStyle name="Normal 2 20" xfId="221"/>
    <cellStyle name="Normal 2 21" xfId="222"/>
    <cellStyle name="Normal 2 22" xfId="223"/>
    <cellStyle name="Normal 2 23" xfId="224"/>
    <cellStyle name="Normal 2 24" xfId="225"/>
    <cellStyle name="Normal 2 25" xfId="226"/>
    <cellStyle name="Normal 2 26" xfId="227"/>
    <cellStyle name="Normal 2 27" xfId="286"/>
    <cellStyle name="Normal 2 28" xfId="287"/>
    <cellStyle name="Normal 2 29" xfId="288"/>
    <cellStyle name="Normal 2 3" xfId="7"/>
    <cellStyle name="Normal 2 3 2" xfId="42"/>
    <cellStyle name="Normal 2 3 3" xfId="81"/>
    <cellStyle name="Normal 2 30" xfId="289"/>
    <cellStyle name="Normal 2 4" xfId="43"/>
    <cellStyle name="Normal 2 4 2" xfId="83"/>
    <cellStyle name="Normal 2 5" xfId="44"/>
    <cellStyle name="Normal 2 6" xfId="45"/>
    <cellStyle name="Normal 2 7" xfId="46"/>
    <cellStyle name="Normal 2 8" xfId="47"/>
    <cellStyle name="Normal 2 9" xfId="48"/>
    <cellStyle name="Normal 20" xfId="228"/>
    <cellStyle name="Normal 3" xfId="17"/>
    <cellStyle name="Normal 3 2" xfId="49"/>
    <cellStyle name="Normal 3 2 2" xfId="80"/>
    <cellStyle name="Normal 3 3" xfId="59"/>
    <cellStyle name="Normal 3 3 2" xfId="82"/>
    <cellStyle name="Normal 3 4" xfId="25"/>
    <cellStyle name="Normal 3 4 2" xfId="84"/>
    <cellStyle name="Normal 4" xfId="18"/>
    <cellStyle name="Normal 4 2" xfId="50"/>
    <cellStyle name="Normal 4 3" xfId="26"/>
    <cellStyle name="Normal 4 4" xfId="78"/>
    <cellStyle name="Normal 5" xfId="19"/>
    <cellStyle name="Normal 5 2" xfId="27"/>
    <cellStyle name="Normal 5 3" xfId="229"/>
    <cellStyle name="Normal 6" xfId="20"/>
    <cellStyle name="Normal 6 2" xfId="51"/>
    <cellStyle name="Normal 6 3" xfId="230"/>
    <cellStyle name="Normal 7" xfId="13"/>
    <cellStyle name="Normal 7 2" xfId="52"/>
    <cellStyle name="Normal 8" xfId="22"/>
    <cellStyle name="Normal 8 2" xfId="53"/>
    <cellStyle name="Normal 9" xfId="54"/>
    <cellStyle name="Normal 9 2" xfId="231"/>
    <cellStyle name="Percent" xfId="3" builtinId="5"/>
    <cellStyle name="Percent 10" xfId="232"/>
    <cellStyle name="Percent 11" xfId="233"/>
    <cellStyle name="Percent 12" xfId="234"/>
    <cellStyle name="Percent 13" xfId="235"/>
    <cellStyle name="Percent 14" xfId="236"/>
    <cellStyle name="Percent 15" xfId="237"/>
    <cellStyle name="Percent 16" xfId="238"/>
    <cellStyle name="Percent 17" xfId="239"/>
    <cellStyle name="Percent 18" xfId="240"/>
    <cellStyle name="Percent 19" xfId="241"/>
    <cellStyle name="Percent 2" xfId="6"/>
    <cellStyle name="Percent 2 10" xfId="242"/>
    <cellStyle name="Percent 2 11" xfId="243"/>
    <cellStyle name="Percent 2 12" xfId="244"/>
    <cellStyle name="Percent 2 13" xfId="245"/>
    <cellStyle name="Percent 2 14" xfId="246"/>
    <cellStyle name="Percent 2 15" xfId="247"/>
    <cellStyle name="Percent 2 16" xfId="248"/>
    <cellStyle name="Percent 2 17" xfId="249"/>
    <cellStyle name="Percent 2 18" xfId="250"/>
    <cellStyle name="Percent 2 19" xfId="251"/>
    <cellStyle name="Percent 2 2" xfId="8"/>
    <cellStyle name="Percent 2 2 2" xfId="55"/>
    <cellStyle name="Percent 2 20" xfId="252"/>
    <cellStyle name="Percent 2 21" xfId="253"/>
    <cellStyle name="Percent 2 22" xfId="254"/>
    <cellStyle name="Percent 2 23" xfId="255"/>
    <cellStyle name="Percent 2 24" xfId="256"/>
    <cellStyle name="Percent 2 3" xfId="87"/>
    <cellStyle name="Percent 2 4" xfId="76"/>
    <cellStyle name="Percent 2 5" xfId="100"/>
    <cellStyle name="Percent 2 6" xfId="103"/>
    <cellStyle name="Percent 2 7" xfId="106"/>
    <cellStyle name="Percent 2 8" xfId="257"/>
    <cellStyle name="Percent 2 9" xfId="258"/>
    <cellStyle name="Percent 20" xfId="259"/>
    <cellStyle name="Percent 3" xfId="10"/>
    <cellStyle name="Percent 3 2" xfId="56"/>
    <cellStyle name="Percent 3 3" xfId="29"/>
    <cellStyle name="Percent 3 4" xfId="91"/>
    <cellStyle name="Percent 3 5" xfId="101"/>
    <cellStyle name="Percent 3 6" xfId="104"/>
    <cellStyle name="Percent 3 7" xfId="107"/>
    <cellStyle name="Percent 4" xfId="21"/>
    <cellStyle name="Percent 4 2" xfId="57"/>
    <cellStyle name="Percent 5" xfId="64"/>
    <cellStyle name="Percent 5 2" xfId="260"/>
    <cellStyle name="Percent 6" xfId="261"/>
    <cellStyle name="Percent 8" xfId="262"/>
    <cellStyle name="Percent 9" xfId="263"/>
    <cellStyle name="Total 10" xfId="264"/>
    <cellStyle name="Total 11" xfId="265"/>
    <cellStyle name="Total 12" xfId="266"/>
    <cellStyle name="Total 13" xfId="267"/>
    <cellStyle name="Total 14" xfId="268"/>
    <cellStyle name="Total 15" xfId="269"/>
    <cellStyle name="Total 16" xfId="270"/>
    <cellStyle name="Total 17" xfId="271"/>
    <cellStyle name="Total 18" xfId="272"/>
    <cellStyle name="Total 19" xfId="273"/>
    <cellStyle name="Total 2" xfId="274"/>
    <cellStyle name="Total 20" xfId="74"/>
    <cellStyle name="Total 3" xfId="275"/>
    <cellStyle name="Total 4" xfId="276"/>
    <cellStyle name="Total 5" xfId="277"/>
    <cellStyle name="Total 6" xfId="278"/>
    <cellStyle name="Total 7" xfId="279"/>
    <cellStyle name="Total 8" xfId="280"/>
    <cellStyle name="Total 9" xfId="281"/>
  </cellStyles>
  <dxfs count="2">
    <dxf>
      <font>
        <b/>
        <i val="0"/>
        <strike val="0"/>
        <u val="none"/>
        <color theme="0"/>
      </font>
      <fill>
        <patternFill>
          <bgColor rgb="FFFF0000"/>
        </patternFill>
      </fill>
    </dxf>
    <dxf>
      <numFmt numFmtId="27" formatCode="m/d/yyyy\ h:mm"/>
    </dxf>
  </dxfs>
  <tableStyles count="0" defaultTableStyle="TableStyleMedium2" defaultPivotStyle="PivotStyleLight16"/>
  <colors>
    <mruColors>
      <color rgb="FFFFE1E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onnections" Target="connection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trlProps/ctrlProp1.xml><?xml version="1.0" encoding="utf-8"?>
<formControlPr xmlns="http://schemas.microsoft.com/office/spreadsheetml/2009/9/main" objectType="Drop" dropLines="30" dropStyle="combo" dx="16" fmlaLink="A3" fmlaRange="$X$3:$X$31" noThreeD="1"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1</xdr:row>
          <xdr:rowOff>171450</xdr:rowOff>
        </xdr:from>
        <xdr:to>
          <xdr:col>3</xdr:col>
          <xdr:colOff>314325</xdr:colOff>
          <xdr:row>3</xdr:row>
          <xdr:rowOff>85725</xdr:rowOff>
        </xdr:to>
        <xdr:sp macro="" textlink="">
          <xdr:nvSpPr>
            <xdr:cNvPr id="63489" name="Drop Down 1" hidden="1">
              <a:extLst>
                <a:ext uri="{63B3BB69-23CF-44E3-9099-C40C66FF867C}">
                  <a14:compatExt spid="_x0000_s63489"/>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TC%20Expenditure%20Study%20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ate History"/>
      <sheetName val="FTSE Summary"/>
      <sheetName val="Discipline Summary"/>
      <sheetName val="Discipline Analysis"/>
      <sheetName val="Neutral"/>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Data"/>
    </sheetNames>
    <sheetDataSet>
      <sheetData sheetId="0">
        <row r="1">
          <cell r="A1" t="str">
            <v>Community and Technical Colleges, Report of Fundable Operating Expenses, Fiscal Year (FY) 2010</v>
          </cell>
        </row>
        <row r="5">
          <cell r="F5">
            <v>8.3546442290931431</v>
          </cell>
        </row>
        <row r="6">
          <cell r="F6">
            <v>9.1518481254453672</v>
          </cell>
        </row>
        <row r="7">
          <cell r="F7">
            <v>7.4246458040228518</v>
          </cell>
        </row>
        <row r="8">
          <cell r="F8">
            <v>7.5459725534394755</v>
          </cell>
        </row>
        <row r="9">
          <cell r="F9">
            <v>31.732203333682957</v>
          </cell>
        </row>
        <row r="10">
          <cell r="F10">
            <v>8.541594870968245</v>
          </cell>
        </row>
        <row r="11">
          <cell r="F11">
            <v>9.0091906669667399</v>
          </cell>
        </row>
        <row r="12">
          <cell r="F12">
            <v>9.1499254382485358</v>
          </cell>
        </row>
        <row r="13">
          <cell r="F13">
            <v>7.5340118023845886</v>
          </cell>
        </row>
        <row r="14">
          <cell r="F14">
            <v>10.56902124915373</v>
          </cell>
        </row>
        <row r="15">
          <cell r="F15">
            <v>8.153855531845009</v>
          </cell>
        </row>
        <row r="16">
          <cell r="F16">
            <v>7.8328440633494703</v>
          </cell>
        </row>
        <row r="17">
          <cell r="F17">
            <v>7.1257352266631182</v>
          </cell>
        </row>
        <row r="18">
          <cell r="F18">
            <v>12.111094836233011</v>
          </cell>
        </row>
        <row r="19">
          <cell r="F19">
            <v>17.633103100940758</v>
          </cell>
        </row>
        <row r="20">
          <cell r="F20">
            <v>9.5915482693631073</v>
          </cell>
        </row>
        <row r="21">
          <cell r="F21">
            <v>13.077344395368245</v>
          </cell>
        </row>
        <row r="22">
          <cell r="F22">
            <v>9.5527306305894655</v>
          </cell>
        </row>
        <row r="23">
          <cell r="F23">
            <v>7.2223418419406</v>
          </cell>
        </row>
        <row r="24">
          <cell r="F24">
            <v>9.4803055374889773</v>
          </cell>
        </row>
        <row r="25">
          <cell r="F25">
            <v>9.9406163548426232</v>
          </cell>
        </row>
        <row r="26">
          <cell r="F26">
            <v>8.8233437865140854</v>
          </cell>
        </row>
        <row r="27">
          <cell r="F27">
            <v>8.9122924849299654</v>
          </cell>
        </row>
        <row r="28">
          <cell r="F28">
            <v>8.1073405502530669</v>
          </cell>
        </row>
        <row r="29">
          <cell r="F29">
            <v>6.7497984570272118</v>
          </cell>
        </row>
        <row r="30">
          <cell r="F30">
            <v>9.1497976957113369</v>
          </cell>
        </row>
        <row r="31">
          <cell r="F31">
            <v>0</v>
          </cell>
        </row>
        <row r="32">
          <cell r="F32">
            <v>0</v>
          </cell>
        </row>
      </sheetData>
      <sheetData sheetId="1">
        <row r="4">
          <cell r="C4">
            <v>8.3546442290931431</v>
          </cell>
        </row>
      </sheetData>
      <sheetData sheetId="2"/>
      <sheetData sheetId="3"/>
      <sheetData sheetId="4"/>
      <sheetData sheetId="5">
        <row r="6">
          <cell r="A6" t="str">
            <v>Alamo Community College District</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ow r="1">
          <cell r="G1" t="str">
            <v>Institution Name</v>
          </cell>
        </row>
      </sheetData>
    </sheetDataSet>
  </externalBook>
</externalLink>
</file>

<file path=xl/queryTables/queryTable1.xml><?xml version="1.0" encoding="utf-8"?>
<queryTable xmlns="http://schemas.openxmlformats.org/spreadsheetml/2006/main" name="Broadway AP_FRP_RFOE CCSurvey" adjustColumnWidth="0" connectionId="1" autoFormatId="16" applyNumberFormats="0" applyBorderFormats="0" applyFontFormats="0" applyPatternFormats="0" applyAlignmentFormats="0" applyWidthHeightFormats="0">
  <queryTableRefresh nextId="315">
    <queryTableFields count="314">
      <queryTableField id="1" name="FICE" tableColumnId="1"/>
      <queryTableField id="2" name="Password" tableColumnId="2"/>
      <queryTableField id="3" name="Approved" tableColumnId="3"/>
      <queryTableField id="4" name="ApprovalDate" tableColumnId="4"/>
      <queryTableField id="5" name="LastMod" tableColumnId="5"/>
      <queryTableField id="6" name="CBNote" tableColumnId="6"/>
      <queryTableField id="7" name="dist_name" tableColumnId="7"/>
      <queryTableField id="8" name="person" tableColumnId="8"/>
      <queryTableField id="9" name="title" tableColumnId="9"/>
      <queryTableField id="10" name="phone" tableColumnId="10"/>
      <queryTableField id="11" name="email" tableColumnId="11"/>
      <queryTableField id="12" name="GrandTotal" tableColumnId="12"/>
      <queryTableField id="13" name="SecATotal" tableColumnId="13"/>
      <queryTableField id="14" name="SecBTotal" tableColumnId="14"/>
      <queryTableField id="15" name="AFRExb2" tableColumnId="15"/>
      <queryTableField id="16" name="Difference" tableColumnId="16"/>
      <queryTableField id="17" name="Sec2Local" tableColumnId="17"/>
      <queryTableField id="18" name="Sec2State" tableColumnId="18"/>
      <queryTableField id="19" name="Sec2_Total" tableColumnId="19"/>
      <queryTableField id="20" name="Sec3SW1" tableColumnId="20"/>
      <queryTableField id="21" name="Sec3SW2" tableColumnId="21"/>
      <queryTableField id="22" name="Sec3SW3" tableColumnId="22"/>
      <queryTableField id="23" name="Sec3SW4" tableColumnId="23"/>
      <queryTableField id="24" name="Sec3SW5" tableColumnId="24"/>
      <queryTableField id="25" name="Sec3SW6" tableColumnId="25"/>
      <queryTableField id="26" name="Sec3SWTotal" tableColumnId="26"/>
      <queryTableField id="27" name="Sec3Oth1" tableColumnId="27"/>
      <queryTableField id="28" name="Sec3Oth2" tableColumnId="28"/>
      <queryTableField id="29" name="Sec3Oth3" tableColumnId="29"/>
      <queryTableField id="30" name="Sec3Oth4" tableColumnId="30"/>
      <queryTableField id="31" name="Sec3Oth5" tableColumnId="31"/>
      <queryTableField id="32" name="Sec3Oth6" tableColumnId="32"/>
      <queryTableField id="33" name="Sec3OthTotal" tableColumnId="33"/>
      <queryTableField id="34" name="Sec3_1" tableColumnId="34"/>
      <queryTableField id="35" name="Sec3_2" tableColumnId="35"/>
      <queryTableField id="36" name="Sec3_3" tableColumnId="36"/>
      <queryTableField id="37" name="Sec3_4" tableColumnId="37"/>
      <queryTableField id="38" name="Sec3_5" tableColumnId="38"/>
      <queryTableField id="39" name="Sec3_6" tableColumnId="39"/>
      <queryTableField id="40" name="Sec3_Total" tableColumnId="40"/>
      <queryTableField id="41" name="Sec4SW1" tableColumnId="41"/>
      <queryTableField id="42" name="Sec4SW2" tableColumnId="42"/>
      <queryTableField id="43" name="Sec4SW3" tableColumnId="43"/>
      <queryTableField id="44" name="Sec4SW4" tableColumnId="44"/>
      <queryTableField id="45" name="Sec4SWTotal" tableColumnId="45"/>
      <queryTableField id="46" name="Sec4Oth1" tableColumnId="46"/>
      <queryTableField id="47" name="Sec4Oth2" tableColumnId="47"/>
      <queryTableField id="48" name="Sec4Oth3" tableColumnId="48"/>
      <queryTableField id="49" name="Sec4Oth4" tableColumnId="49"/>
      <queryTableField id="50" name="Sec4OthTotal" tableColumnId="50"/>
      <queryTableField id="51" name="Sec4_1" tableColumnId="51"/>
      <queryTableField id="52" name="Sec4_2" tableColumnId="52"/>
      <queryTableField id="53" name="Sec4_3" tableColumnId="53"/>
      <queryTableField id="54" name="Sec4_4" tableColumnId="54"/>
      <queryTableField id="55" name="Sec4_Total" tableColumnId="55"/>
      <queryTableField id="56" name="Sec5SW1" tableColumnId="56"/>
      <queryTableField id="57" name="Sec5SW2" tableColumnId="57"/>
      <queryTableField id="58" name="Sec5SW3" tableColumnId="58"/>
      <queryTableField id="59" name="Sec5SW4" tableColumnId="59"/>
      <queryTableField id="60" name="Sec5SW5" tableColumnId="60"/>
      <queryTableField id="61" name="Sec5SWTotal" tableColumnId="61"/>
      <queryTableField id="62" name="Sec5SB1" tableColumnId="62"/>
      <queryTableField id="63" name="Sec5SB2" tableColumnId="63"/>
      <queryTableField id="64" name="Sec5SB3" tableColumnId="64"/>
      <queryTableField id="65" name="Sec5SB4" tableColumnId="65"/>
      <queryTableField id="66" name="Sec5SB5" tableColumnId="66"/>
      <queryTableField id="67" name="Sec5SBTotal" tableColumnId="67"/>
      <queryTableField id="68" name="Sec5Oth1" tableColumnId="68"/>
      <queryTableField id="69" name="Sec5Oth2" tableColumnId="69"/>
      <queryTableField id="70" name="Sec5Oth3" tableColumnId="70"/>
      <queryTableField id="71" name="Sec5Oth4" tableColumnId="71"/>
      <queryTableField id="72" name="Sec5Oth5" tableColumnId="72"/>
      <queryTableField id="73" name="Sec5OthTotal" tableColumnId="73"/>
      <queryTableField id="74" name="Sec5_1" tableColumnId="74"/>
      <queryTableField id="75" name="Sec5_2" tableColumnId="75"/>
      <queryTableField id="76" name="Sec5_3" tableColumnId="76"/>
      <queryTableField id="77" name="Sec5_4" tableColumnId="77"/>
      <queryTableField id="78" name="Sec5_5" tableColumnId="78"/>
      <queryTableField id="79" name="Sec5_Total" tableColumnId="79"/>
      <queryTableField id="80" name="Sec6SW1" tableColumnId="80"/>
      <queryTableField id="81" name="Sec6SW2" tableColumnId="81"/>
      <queryTableField id="82" name="Sec6SW3" tableColumnId="82"/>
      <queryTableField id="83" name="Sec6SWTotal" tableColumnId="83"/>
      <queryTableField id="84" name="Sec6SB1" tableColumnId="84"/>
      <queryTableField id="85" name="Sec6SB2" tableColumnId="85"/>
      <queryTableField id="86" name="Sec6SB3" tableColumnId="86"/>
      <queryTableField id="87" name="Sec6SBTotal" tableColumnId="87"/>
      <queryTableField id="88" name="Sec6Oth1" tableColumnId="88"/>
      <queryTableField id="89" name="Sec6Oth2" tableColumnId="89"/>
      <queryTableField id="90" name="Sec6Oth3" tableColumnId="90"/>
      <queryTableField id="91" name="Sec6OthTotal" tableColumnId="91"/>
      <queryTableField id="92" name="Sec6_1" tableColumnId="92"/>
      <queryTableField id="93" name="Sec6_2" tableColumnId="93"/>
      <queryTableField id="94" name="Sec6_3" tableColumnId="94"/>
      <queryTableField id="95" name="Sec6_Total" tableColumnId="95"/>
      <queryTableField id="96" name="FICE_Link" tableColumnId="96"/>
      <queryTableField id="97" name="LocalBenefits" tableColumnId="97"/>
      <queryTableField id="98" name="StateBenefits" tableColumnId="98"/>
      <queryTableField id="99" name="HRS1" tableColumnId="99"/>
      <queryTableField id="100" name="HRS2" tableColumnId="100"/>
      <queryTableField id="101" name="HRS3" tableColumnId="101"/>
      <queryTableField id="102" name="HRS4" tableColumnId="102"/>
      <queryTableField id="103" name="HRS5" tableColumnId="103"/>
      <queryTableField id="104" name="HRS6" tableColumnId="104"/>
      <queryTableField id="105" name="HRS7" tableColumnId="105"/>
      <queryTableField id="106" name="HRS8" tableColumnId="106"/>
      <queryTableField id="107" name="HRS9" tableColumnId="107"/>
      <queryTableField id="108" name="HRS10" tableColumnId="108"/>
      <queryTableField id="109" name="HRS11" tableColumnId="109"/>
      <queryTableField id="110" name="HRS12" tableColumnId="110"/>
      <queryTableField id="111" name="HRS13" tableColumnId="111"/>
      <queryTableField id="112" name="HRS14" tableColumnId="112"/>
      <queryTableField id="113" name="HRS15" tableColumnId="113"/>
      <queryTableField id="114" name="HRS16" tableColumnId="114"/>
      <queryTableField id="115" name="HRS17" tableColumnId="115"/>
      <queryTableField id="116" name="HRS18" tableColumnId="116"/>
      <queryTableField id="117" name="HRS19" tableColumnId="117"/>
      <queryTableField id="118" name="HRS20" tableColumnId="118"/>
      <queryTableField id="119" name="HRS21" tableColumnId="119"/>
      <queryTableField id="120" name="HRS22" tableColumnId="120"/>
      <queryTableField id="121" name="HRS23" tableColumnId="121"/>
      <queryTableField id="122" name="HRS24" tableColumnId="122"/>
      <queryTableField id="123" name="HRS25" tableColumnId="123"/>
      <queryTableField id="124" name="HRS26" tableColumnId="124"/>
      <queryTableField id="125" name="HRS27" tableColumnId="125"/>
      <queryTableField id="126" name="HRS28" tableColumnId="126"/>
      <queryTableField id="127" name="HRS29" tableColumnId="127"/>
      <queryTableField id="128" name="HRSTotal" tableColumnId="128"/>
      <queryTableField id="129" name="FacSal1" tableColumnId="129"/>
      <queryTableField id="130" name="FacSal2" tableColumnId="130"/>
      <queryTableField id="131" name="FacSal3" tableColumnId="131"/>
      <queryTableField id="132" name="FacSal4" tableColumnId="132"/>
      <queryTableField id="133" name="FacSal5" tableColumnId="133"/>
      <queryTableField id="134" name="FacSal6" tableColumnId="134"/>
      <queryTableField id="135" name="FacSal7" tableColumnId="135"/>
      <queryTableField id="136" name="FacSal8" tableColumnId="136"/>
      <queryTableField id="137" name="FacSal9" tableColumnId="137"/>
      <queryTableField id="138" name="FacSal10" tableColumnId="138"/>
      <queryTableField id="139" name="FacSal11" tableColumnId="139"/>
      <queryTableField id="140" name="FacSal12" tableColumnId="140"/>
      <queryTableField id="141" name="FacSal13" tableColumnId="141"/>
      <queryTableField id="142" name="FacSal14" tableColumnId="142"/>
      <queryTableField id="143" name="FacSal15" tableColumnId="143"/>
      <queryTableField id="144" name="FacSal16" tableColumnId="144"/>
      <queryTableField id="145" name="FacSal17" tableColumnId="145"/>
      <queryTableField id="146" name="FacSal18" tableColumnId="146"/>
      <queryTableField id="147" name="FacSal19" tableColumnId="147"/>
      <queryTableField id="148" name="FacSal20" tableColumnId="148"/>
      <queryTableField id="149" name="FacSal21" tableColumnId="149"/>
      <queryTableField id="150" name="FacSal22" tableColumnId="150"/>
      <queryTableField id="151" name="FacSal23" tableColumnId="151"/>
      <queryTableField id="152" name="FacSal24" tableColumnId="152"/>
      <queryTableField id="153" name="FacSal25" tableColumnId="153"/>
      <queryTableField id="154" name="FacSal26" tableColumnId="154"/>
      <queryTableField id="155" name="FacSal27" tableColumnId="155"/>
      <queryTableField id="156" name="FacSal28" tableColumnId="156"/>
      <queryTableField id="157" name="FacSal29" tableColumnId="157"/>
      <queryTableField id="158" name="FacSalTotal" tableColumnId="158"/>
      <queryTableField id="159" name="OthSal1" tableColumnId="159"/>
      <queryTableField id="160" name="OthSal2" tableColumnId="160"/>
      <queryTableField id="161" name="OthSal3" tableColumnId="161"/>
      <queryTableField id="162" name="OthSal4" tableColumnId="162"/>
      <queryTableField id="163" name="OthSal5" tableColumnId="163"/>
      <queryTableField id="164" name="OthSal6" tableColumnId="164"/>
      <queryTableField id="165" name="OthSal7" tableColumnId="165"/>
      <queryTableField id="166" name="OthSal8" tableColumnId="166"/>
      <queryTableField id="167" name="OthSal9" tableColumnId="167"/>
      <queryTableField id="168" name="OthSal10" tableColumnId="168"/>
      <queryTableField id="169" name="OthSal11" tableColumnId="169"/>
      <queryTableField id="170" name="OthSal12" tableColumnId="170"/>
      <queryTableField id="171" name="OthSal13" tableColumnId="171"/>
      <queryTableField id="172" name="OthSal14" tableColumnId="172"/>
      <queryTableField id="173" name="OthSal15" tableColumnId="173"/>
      <queryTableField id="174" name="OthSal16" tableColumnId="174"/>
      <queryTableField id="175" name="OthSal17" tableColumnId="175"/>
      <queryTableField id="176" name="OthSal18" tableColumnId="176"/>
      <queryTableField id="177" name="OthSal19" tableColumnId="177"/>
      <queryTableField id="178" name="OthSal20" tableColumnId="178"/>
      <queryTableField id="179" name="OthSal21" tableColumnId="179"/>
      <queryTableField id="180" name="OthSal22" tableColumnId="180"/>
      <queryTableField id="181" name="OthSal23" tableColumnId="181"/>
      <queryTableField id="182" name="OthSal24" tableColumnId="182"/>
      <queryTableField id="183" name="OthSal25" tableColumnId="183"/>
      <queryTableField id="184" name="OthSal26" tableColumnId="184"/>
      <queryTableField id="185" name="OthSal27" tableColumnId="185"/>
      <queryTableField id="186" name="OthSal28" tableColumnId="186"/>
      <queryTableField id="187" name="OthSal29" tableColumnId="187"/>
      <queryTableField id="188" name="OthSalTotal" tableColumnId="188"/>
      <queryTableField id="189" name="Benefits1" tableColumnId="189"/>
      <queryTableField id="190" name="Benefits2" tableColumnId="190"/>
      <queryTableField id="191" name="Benefits3" tableColumnId="191"/>
      <queryTableField id="192" name="Benefits4" tableColumnId="192"/>
      <queryTableField id="193" name="Benefits5" tableColumnId="193"/>
      <queryTableField id="194" name="Benefits6" tableColumnId="194"/>
      <queryTableField id="195" name="Benefits7" tableColumnId="195"/>
      <queryTableField id="196" name="Benefits8" tableColumnId="196"/>
      <queryTableField id="197" name="Benefits9" tableColumnId="197"/>
      <queryTableField id="198" name="Benefits10" tableColumnId="198"/>
      <queryTableField id="199" name="Benefits11" tableColumnId="199"/>
      <queryTableField id="200" name="Benefits12" tableColumnId="200"/>
      <queryTableField id="201" name="Benefits13" tableColumnId="201"/>
      <queryTableField id="202" name="Benefits14" tableColumnId="202"/>
      <queryTableField id="203" name="Benefits15" tableColumnId="203"/>
      <queryTableField id="204" name="Benefits16" tableColumnId="204"/>
      <queryTableField id="205" name="Benefits17" tableColumnId="205"/>
      <queryTableField id="206" name="Benefits18" tableColumnId="206"/>
      <queryTableField id="207" name="Benefits19" tableColumnId="207"/>
      <queryTableField id="208" name="Benefits20" tableColumnId="208"/>
      <queryTableField id="209" name="Benefits21" tableColumnId="209"/>
      <queryTableField id="210" name="Benefits22" tableColumnId="210"/>
      <queryTableField id="211" name="Benefits23" tableColumnId="211"/>
      <queryTableField id="212" name="Benefits24" tableColumnId="212"/>
      <queryTableField id="213" name="Benefits25" tableColumnId="213"/>
      <queryTableField id="214" name="Benefits26" tableColumnId="214"/>
      <queryTableField id="215" name="Benefits27" tableColumnId="215"/>
      <queryTableField id="216" name="Benefits28" tableColumnId="216"/>
      <queryTableField id="217" name="Benefits29" tableColumnId="217"/>
      <queryTableField id="218" name="BenefitsTotal" tableColumnId="218"/>
      <queryTableField id="219" name="OtherOps1" tableColumnId="219"/>
      <queryTableField id="220" name="OtherOps2" tableColumnId="220"/>
      <queryTableField id="221" name="OtherOps3" tableColumnId="221"/>
      <queryTableField id="222" name="OtherOps4" tableColumnId="222"/>
      <queryTableField id="223" name="OtherOps5" tableColumnId="223"/>
      <queryTableField id="224" name="OtherOps6" tableColumnId="224"/>
      <queryTableField id="225" name="OtherOps7" tableColumnId="225"/>
      <queryTableField id="226" name="OtherOps8" tableColumnId="226"/>
      <queryTableField id="227" name="OtherOps9" tableColumnId="227"/>
      <queryTableField id="228" name="OtherOps10" tableColumnId="228"/>
      <queryTableField id="229" name="OtherOps11" tableColumnId="229"/>
      <queryTableField id="230" name="OtherOps12" tableColumnId="230"/>
      <queryTableField id="231" name="OtherOps13" tableColumnId="231"/>
      <queryTableField id="232" name="OtherOps14" tableColumnId="232"/>
      <queryTableField id="233" name="OtherOps15" tableColumnId="233"/>
      <queryTableField id="234" name="OtherOps16" tableColumnId="234"/>
      <queryTableField id="235" name="OtherOps17" tableColumnId="235"/>
      <queryTableField id="236" name="OtherOps18" tableColumnId="236"/>
      <queryTableField id="237" name="OtherOps19" tableColumnId="237"/>
      <queryTableField id="238" name="OtherOps20" tableColumnId="238"/>
      <queryTableField id="239" name="OtherOps21" tableColumnId="239"/>
      <queryTableField id="240" name="OtherOps22" tableColumnId="240"/>
      <queryTableField id="241" name="OtherOps23" tableColumnId="241"/>
      <queryTableField id="242" name="OtherOps24" tableColumnId="242"/>
      <queryTableField id="243" name="OtherOps25" tableColumnId="243"/>
      <queryTableField id="244" name="OtherOps26" tableColumnId="244"/>
      <queryTableField id="245" name="OtherOps27" tableColumnId="245"/>
      <queryTableField id="246" name="OtherOps28" tableColumnId="246"/>
      <queryTableField id="247" name="OtherOps29" tableColumnId="247"/>
      <queryTableField id="248" name="OtherOpsTotal" tableColumnId="248"/>
      <queryTableField id="249" name="DOE1" tableColumnId="249"/>
      <queryTableField id="250" name="DOE2" tableColumnId="250"/>
      <queryTableField id="251" name="DOE3" tableColumnId="251"/>
      <queryTableField id="252" name="DOE4" tableColumnId="252"/>
      <queryTableField id="253" name="DOE5" tableColumnId="253"/>
      <queryTableField id="254" name="DOE6" tableColumnId="254"/>
      <queryTableField id="255" name="DOE7" tableColumnId="255"/>
      <queryTableField id="256" name="DOE8" tableColumnId="256"/>
      <queryTableField id="257" name="DOE9" tableColumnId="257"/>
      <queryTableField id="258" name="DOE10" tableColumnId="258"/>
      <queryTableField id="259" name="DOE11" tableColumnId="259"/>
      <queryTableField id="260" name="DOE12" tableColumnId="260"/>
      <queryTableField id="261" name="DOE13" tableColumnId="261"/>
      <queryTableField id="262" name="DOE14" tableColumnId="262"/>
      <queryTableField id="263" name="DOE15" tableColumnId="263"/>
      <queryTableField id="264" name="DOE16" tableColumnId="264"/>
      <queryTableField id="265" name="DOE17" tableColumnId="265"/>
      <queryTableField id="266" name="DOE18" tableColumnId="266"/>
      <queryTableField id="267" name="DOE19" tableColumnId="267"/>
      <queryTableField id="268" name="DOE20" tableColumnId="268"/>
      <queryTableField id="269" name="DOE21" tableColumnId="269"/>
      <queryTableField id="270" name="DOE22" tableColumnId="270"/>
      <queryTableField id="271" name="DOE23" tableColumnId="271"/>
      <queryTableField id="272" name="DOE24" tableColumnId="272"/>
      <queryTableField id="273" name="DOE25" tableColumnId="273"/>
      <queryTableField id="274" name="DOE26" tableColumnId="274"/>
      <queryTableField id="275" name="DOE27" tableColumnId="275"/>
      <queryTableField id="276" name="DOE28" tableColumnId="276"/>
      <queryTableField id="277" name="DOE29" tableColumnId="277"/>
      <queryTableField id="278" name="DOETotal" tableColumnId="278"/>
      <queryTableField id="279" name="Total1" tableColumnId="279"/>
      <queryTableField id="280" name="Total2" tableColumnId="280"/>
      <queryTableField id="281" name="Total3" tableColumnId="281"/>
      <queryTableField id="282" name="Total4" tableColumnId="282"/>
      <queryTableField id="283" name="Total5" tableColumnId="283"/>
      <queryTableField id="284" name="Total6" tableColumnId="284"/>
      <queryTableField id="285" name="Total7" tableColumnId="285"/>
      <queryTableField id="286" name="Total8" tableColumnId="286"/>
      <queryTableField id="287" name="Total9" tableColumnId="287"/>
      <queryTableField id="288" name="Total10" tableColumnId="288"/>
      <queryTableField id="289" name="Total11" tableColumnId="289"/>
      <queryTableField id="290" name="Total12" tableColumnId="290"/>
      <queryTableField id="291" name="Total13" tableColumnId="291"/>
      <queryTableField id="292" name="Total14" tableColumnId="292"/>
      <queryTableField id="293" name="Total15" tableColumnId="293"/>
      <queryTableField id="294" name="Total16" tableColumnId="294"/>
      <queryTableField id="295" name="Total17" tableColumnId="295"/>
      <queryTableField id="296" name="Total18" tableColumnId="296"/>
      <queryTableField id="297" name="Total19" tableColumnId="297"/>
      <queryTableField id="298" name="Total20" tableColumnId="298"/>
      <queryTableField id="299" name="Total21" tableColumnId="299"/>
      <queryTableField id="300" name="Total22" tableColumnId="300"/>
      <queryTableField id="301" name="Total23" tableColumnId="301"/>
      <queryTableField id="302" name="Total24" tableColumnId="302"/>
      <queryTableField id="303" name="Total25" tableColumnId="303"/>
      <queryTableField id="304" name="Total26" tableColumnId="304"/>
      <queryTableField id="305" name="Total27" tableColumnId="305"/>
      <queryTableField id="306" name="Total28" tableColumnId="306"/>
      <queryTableField id="307" name="Total29" tableColumnId="307"/>
      <queryTableField id="308" name="Sec1_Total" tableColumnId="308"/>
      <queryTableField id="309" name="Comments" tableColumnId="309"/>
      <queryTableField id="310" name="PartA" tableColumnId="310"/>
      <queryTableField id="311" name="PartB" tableColumnId="311"/>
      <queryTableField id="312" name="GrandTotalExpenses" tableColumnId="312"/>
      <queryTableField id="313" name="AFRDifference" tableColumnId="313"/>
      <queryTableField id="314" name="Depreciation" tableColumnId="3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Broadway_AP_FRP_RFOE_CCSurvey" displayName="Table_Broadway_AP_FRP_RFOE_CCSurvey" ref="A4:LB62" tableType="queryTable" totalsRowShown="0">
  <autoFilter ref="A4:LB62"/>
  <tableColumns count="314">
    <tableColumn id="1" uniqueName="1" name="FICE" queryTableFieldId="1"/>
    <tableColumn id="2" uniqueName="2" name="Password" queryTableFieldId="2"/>
    <tableColumn id="3" uniqueName="3" name="Approved" queryTableFieldId="3"/>
    <tableColumn id="4" uniqueName="4" name="ApprovalDate" queryTableFieldId="4"/>
    <tableColumn id="5" uniqueName="5" name="LastMod" queryTableFieldId="5" dataDxfId="1"/>
    <tableColumn id="6" uniqueName="6" name="CBNote" queryTableFieldId="6"/>
    <tableColumn id="7" uniqueName="7" name="dist_name" queryTableFieldId="7"/>
    <tableColumn id="8" uniqueName="8" name="person" queryTableFieldId="8"/>
    <tableColumn id="9" uniqueName="9" name="title" queryTableFieldId="9"/>
    <tableColumn id="10" uniqueName="10" name="phone" queryTableFieldId="10"/>
    <tableColumn id="11" uniqueName="11" name="email" queryTableFieldId="11"/>
    <tableColumn id="12" uniqueName="12" name="GrandTotal" queryTableFieldId="12"/>
    <tableColumn id="13" uniqueName="13" name="SecATotal" queryTableFieldId="13"/>
    <tableColumn id="14" uniqueName="14" name="SecBTotal" queryTableFieldId="14"/>
    <tableColumn id="15" uniqueName="15" name="AFRExb2" queryTableFieldId="15"/>
    <tableColumn id="16" uniqueName="16" name="Difference" queryTableFieldId="16"/>
    <tableColumn id="17" uniqueName="17" name="Sec2Local" queryTableFieldId="17"/>
    <tableColumn id="18" uniqueName="18" name="Sec2State" queryTableFieldId="18"/>
    <tableColumn id="19" uniqueName="19" name="Sec2_Total" queryTableFieldId="19"/>
    <tableColumn id="20" uniqueName="20" name="Sec3SW1" queryTableFieldId="20"/>
    <tableColumn id="21" uniqueName="21" name="Sec3SW2" queryTableFieldId="21"/>
    <tableColumn id="22" uniqueName="22" name="Sec3SW3" queryTableFieldId="22"/>
    <tableColumn id="23" uniqueName="23" name="Sec3SW4" queryTableFieldId="23"/>
    <tableColumn id="24" uniqueName="24" name="Sec3SW5" queryTableFieldId="24"/>
    <tableColumn id="25" uniqueName="25" name="Sec3SW6" queryTableFieldId="25"/>
    <tableColumn id="26" uniqueName="26" name="Sec3SWTotal" queryTableFieldId="26"/>
    <tableColumn id="27" uniqueName="27" name="Sec3Oth1" queryTableFieldId="27"/>
    <tableColumn id="28" uniqueName="28" name="Sec3Oth2" queryTableFieldId="28"/>
    <tableColumn id="29" uniqueName="29" name="Sec3Oth3" queryTableFieldId="29"/>
    <tableColumn id="30" uniqueName="30" name="Sec3Oth4" queryTableFieldId="30"/>
    <tableColumn id="31" uniqueName="31" name="Sec3Oth5" queryTableFieldId="31"/>
    <tableColumn id="32" uniqueName="32" name="Sec3Oth6" queryTableFieldId="32"/>
    <tableColumn id="33" uniqueName="33" name="Sec3OthTotal" queryTableFieldId="33"/>
    <tableColumn id="34" uniqueName="34" name="Sec3_1" queryTableFieldId="34"/>
    <tableColumn id="35" uniqueName="35" name="Sec3_2" queryTableFieldId="35"/>
    <tableColumn id="36" uniqueName="36" name="Sec3_3" queryTableFieldId="36"/>
    <tableColumn id="37" uniqueName="37" name="Sec3_4" queryTableFieldId="37"/>
    <tableColumn id="38" uniqueName="38" name="Sec3_5" queryTableFieldId="38"/>
    <tableColumn id="39" uniqueName="39" name="Sec3_6" queryTableFieldId="39"/>
    <tableColumn id="40" uniqueName="40" name="Sec3_Total" queryTableFieldId="40"/>
    <tableColumn id="41" uniqueName="41" name="Sec4SW1" queryTableFieldId="41"/>
    <tableColumn id="42" uniqueName="42" name="Sec4SW2" queryTableFieldId="42"/>
    <tableColumn id="43" uniqueName="43" name="Sec4SW3" queryTableFieldId="43"/>
    <tableColumn id="44" uniqueName="44" name="Sec4SW4" queryTableFieldId="44"/>
    <tableColumn id="45" uniqueName="45" name="Sec4SWTotal" queryTableFieldId="45"/>
    <tableColumn id="46" uniqueName="46" name="Sec4Oth1" queryTableFieldId="46"/>
    <tableColumn id="47" uniqueName="47" name="Sec4Oth2" queryTableFieldId="47"/>
    <tableColumn id="48" uniqueName="48" name="Sec4Oth3" queryTableFieldId="48"/>
    <tableColumn id="49" uniqueName="49" name="Sec4Oth4" queryTableFieldId="49"/>
    <tableColumn id="50" uniqueName="50" name="Sec4OthTotal" queryTableFieldId="50"/>
    <tableColumn id="51" uniqueName="51" name="Sec4_1" queryTableFieldId="51"/>
    <tableColumn id="52" uniqueName="52" name="Sec4_2" queryTableFieldId="52"/>
    <tableColumn id="53" uniqueName="53" name="Sec4_3" queryTableFieldId="53"/>
    <tableColumn id="54" uniqueName="54" name="Sec4_4" queryTableFieldId="54"/>
    <tableColumn id="55" uniqueName="55" name="Sec4_Total" queryTableFieldId="55"/>
    <tableColumn id="56" uniqueName="56" name="Sec5SW1" queryTableFieldId="56"/>
    <tableColumn id="57" uniqueName="57" name="Sec5SW2" queryTableFieldId="57"/>
    <tableColumn id="58" uniqueName="58" name="Sec5SW3" queryTableFieldId="58"/>
    <tableColumn id="59" uniqueName="59" name="Sec5SW4" queryTableFieldId="59"/>
    <tableColumn id="60" uniqueName="60" name="Sec5SW5" queryTableFieldId="60"/>
    <tableColumn id="61" uniqueName="61" name="Sec5SWTotal" queryTableFieldId="61"/>
    <tableColumn id="62" uniqueName="62" name="Sec5SB1" queryTableFieldId="62"/>
    <tableColumn id="63" uniqueName="63" name="Sec5SB2" queryTableFieldId="63"/>
    <tableColumn id="64" uniqueName="64" name="Sec5SB3" queryTableFieldId="64"/>
    <tableColumn id="65" uniqueName="65" name="Sec5SB4" queryTableFieldId="65"/>
    <tableColumn id="66" uniqueName="66" name="Sec5SB5" queryTableFieldId="66"/>
    <tableColumn id="67" uniqueName="67" name="Sec5SBTotal" queryTableFieldId="67"/>
    <tableColumn id="68" uniqueName="68" name="Sec5Oth1" queryTableFieldId="68"/>
    <tableColumn id="69" uniqueName="69" name="Sec5Oth2" queryTableFieldId="69"/>
    <tableColumn id="70" uniqueName="70" name="Sec5Oth3" queryTableFieldId="70"/>
    <tableColumn id="71" uniqueName="71" name="Sec5Oth4" queryTableFieldId="71"/>
    <tableColumn id="72" uniqueName="72" name="Sec5Oth5" queryTableFieldId="72"/>
    <tableColumn id="73" uniqueName="73" name="Sec5OthTotal" queryTableFieldId="73"/>
    <tableColumn id="74" uniqueName="74" name="Sec5_1" queryTableFieldId="74"/>
    <tableColumn id="75" uniqueName="75" name="Sec5_2" queryTableFieldId="75"/>
    <tableColumn id="76" uniqueName="76" name="Sec5_3" queryTableFieldId="76"/>
    <tableColumn id="77" uniqueName="77" name="Sec5_4" queryTableFieldId="77"/>
    <tableColumn id="78" uniqueName="78" name="Sec5_5" queryTableFieldId="78"/>
    <tableColumn id="79" uniqueName="79" name="Sec5_Total" queryTableFieldId="79"/>
    <tableColumn id="80" uniqueName="80" name="Sec6SW1" queryTableFieldId="80"/>
    <tableColumn id="81" uniqueName="81" name="Sec6SW2" queryTableFieldId="81"/>
    <tableColumn id="82" uniqueName="82" name="Sec6SW3" queryTableFieldId="82"/>
    <tableColumn id="83" uniqueName="83" name="Sec6SWTotal" queryTableFieldId="83"/>
    <tableColumn id="84" uniqueName="84" name="Sec6SB1" queryTableFieldId="84"/>
    <tableColumn id="85" uniqueName="85" name="Sec6SB2" queryTableFieldId="85"/>
    <tableColumn id="86" uniqueName="86" name="Sec6SB3" queryTableFieldId="86"/>
    <tableColumn id="87" uniqueName="87" name="Sec6SBTotal" queryTableFieldId="87"/>
    <tableColumn id="88" uniqueName="88" name="Sec6Oth1" queryTableFieldId="88"/>
    <tableColumn id="89" uniqueName="89" name="Sec6Oth2" queryTableFieldId="89"/>
    <tableColumn id="90" uniqueName="90" name="Sec6Oth3" queryTableFieldId="90"/>
    <tableColumn id="91" uniqueName="91" name="Sec6OthTotal" queryTableFieldId="91"/>
    <tableColumn id="92" uniqueName="92" name="Sec6_1" queryTableFieldId="92"/>
    <tableColumn id="93" uniqueName="93" name="Sec6_2" queryTableFieldId="93"/>
    <tableColumn id="94" uniqueName="94" name="Sec6_3" queryTableFieldId="94"/>
    <tableColumn id="95" uniqueName="95" name="Sec6_Total" queryTableFieldId="95"/>
    <tableColumn id="96" uniqueName="96" name="FICE_Link" queryTableFieldId="96"/>
    <tableColumn id="97" uniqueName="97" name="LocalBenefits" queryTableFieldId="97"/>
    <tableColumn id="98" uniqueName="98" name="StateBenefits" queryTableFieldId="98"/>
    <tableColumn id="99" uniqueName="99" name="HRS1" queryTableFieldId="99"/>
    <tableColumn id="100" uniqueName="100" name="HRS2" queryTableFieldId="100"/>
    <tableColumn id="101" uniqueName="101" name="HRS3" queryTableFieldId="101"/>
    <tableColumn id="102" uniqueName="102" name="HRS4" queryTableFieldId="102"/>
    <tableColumn id="103" uniqueName="103" name="HRS5" queryTableFieldId="103"/>
    <tableColumn id="104" uniqueName="104" name="HRS6" queryTableFieldId="104"/>
    <tableColumn id="105" uniqueName="105" name="HRS7" queryTableFieldId="105"/>
    <tableColumn id="106" uniqueName="106" name="HRS8" queryTableFieldId="106"/>
    <tableColumn id="107" uniqueName="107" name="HRS9" queryTableFieldId="107"/>
    <tableColumn id="108" uniqueName="108" name="HRS10" queryTableFieldId="108"/>
    <tableColumn id="109" uniqueName="109" name="HRS11" queryTableFieldId="109"/>
    <tableColumn id="110" uniqueName="110" name="HRS12" queryTableFieldId="110"/>
    <tableColumn id="111" uniqueName="111" name="HRS13" queryTableFieldId="111"/>
    <tableColumn id="112" uniqueName="112" name="HRS14" queryTableFieldId="112"/>
    <tableColumn id="113" uniqueName="113" name="HRS15" queryTableFieldId="113"/>
    <tableColumn id="114" uniqueName="114" name="HRS16" queryTableFieldId="114"/>
    <tableColumn id="115" uniqueName="115" name="HRS17" queryTableFieldId="115"/>
    <tableColumn id="116" uniqueName="116" name="HRS18" queryTableFieldId="116"/>
    <tableColumn id="117" uniqueName="117" name="HRS19" queryTableFieldId="117"/>
    <tableColumn id="118" uniqueName="118" name="HRS20" queryTableFieldId="118"/>
    <tableColumn id="119" uniqueName="119" name="HRS21" queryTableFieldId="119"/>
    <tableColumn id="120" uniqueName="120" name="HRS22" queryTableFieldId="120"/>
    <tableColumn id="121" uniqueName="121" name="HRS23" queryTableFieldId="121"/>
    <tableColumn id="122" uniqueName="122" name="HRS24" queryTableFieldId="122"/>
    <tableColumn id="123" uniqueName="123" name="HRS25" queryTableFieldId="123"/>
    <tableColumn id="124" uniqueName="124" name="HRS26" queryTableFieldId="124"/>
    <tableColumn id="125" uniqueName="125" name="HRS27" queryTableFieldId="125"/>
    <tableColumn id="126" uniqueName="126" name="HRS28" queryTableFieldId="126"/>
    <tableColumn id="127" uniqueName="127" name="HRS29" queryTableFieldId="127"/>
    <tableColumn id="128" uniqueName="128" name="HRSTotal" queryTableFieldId="128"/>
    <tableColumn id="129" uniqueName="129" name="FacSal1" queryTableFieldId="129"/>
    <tableColumn id="130" uniqueName="130" name="FacSal2" queryTableFieldId="130"/>
    <tableColumn id="131" uniqueName="131" name="FacSal3" queryTableFieldId="131"/>
    <tableColumn id="132" uniqueName="132" name="FacSal4" queryTableFieldId="132"/>
    <tableColumn id="133" uniqueName="133" name="FacSal5" queryTableFieldId="133"/>
    <tableColumn id="134" uniqueName="134" name="FacSal6" queryTableFieldId="134"/>
    <tableColumn id="135" uniqueName="135" name="FacSal7" queryTableFieldId="135"/>
    <tableColumn id="136" uniqueName="136" name="FacSal8" queryTableFieldId="136"/>
    <tableColumn id="137" uniqueName="137" name="FacSal9" queryTableFieldId="137"/>
    <tableColumn id="138" uniqueName="138" name="FacSal10" queryTableFieldId="138"/>
    <tableColumn id="139" uniqueName="139" name="FacSal11" queryTableFieldId="139"/>
    <tableColumn id="140" uniqueName="140" name="FacSal12" queryTableFieldId="140"/>
    <tableColumn id="141" uniqueName="141" name="FacSal13" queryTableFieldId="141"/>
    <tableColumn id="142" uniqueName="142" name="FacSal14" queryTableFieldId="142"/>
    <tableColumn id="143" uniqueName="143" name="FacSal15" queryTableFieldId="143"/>
    <tableColumn id="144" uniqueName="144" name="FacSal16" queryTableFieldId="144"/>
    <tableColumn id="145" uniqueName="145" name="FacSal17" queryTableFieldId="145"/>
    <tableColumn id="146" uniqueName="146" name="FacSal18" queryTableFieldId="146"/>
    <tableColumn id="147" uniqueName="147" name="FacSal19" queryTableFieldId="147"/>
    <tableColumn id="148" uniqueName="148" name="FacSal20" queryTableFieldId="148"/>
    <tableColumn id="149" uniqueName="149" name="FacSal21" queryTableFieldId="149"/>
    <tableColumn id="150" uniqueName="150" name="FacSal22" queryTableFieldId="150"/>
    <tableColumn id="151" uniqueName="151" name="FacSal23" queryTableFieldId="151"/>
    <tableColumn id="152" uniqueName="152" name="FacSal24" queryTableFieldId="152"/>
    <tableColumn id="153" uniqueName="153" name="FacSal25" queryTableFieldId="153"/>
    <tableColumn id="154" uniqueName="154" name="FacSal26" queryTableFieldId="154"/>
    <tableColumn id="155" uniqueName="155" name="FacSal27" queryTableFieldId="155"/>
    <tableColumn id="156" uniqueName="156" name="FacSal28" queryTableFieldId="156"/>
    <tableColumn id="157" uniqueName="157" name="FacSal29" queryTableFieldId="157"/>
    <tableColumn id="158" uniqueName="158" name="FacSalTotal" queryTableFieldId="158"/>
    <tableColumn id="159" uniqueName="159" name="OthSal1" queryTableFieldId="159"/>
    <tableColumn id="160" uniqueName="160" name="OthSal2" queryTableFieldId="160"/>
    <tableColumn id="161" uniqueName="161" name="OthSal3" queryTableFieldId="161"/>
    <tableColumn id="162" uniqueName="162" name="OthSal4" queryTableFieldId="162"/>
    <tableColumn id="163" uniqueName="163" name="OthSal5" queryTableFieldId="163"/>
    <tableColumn id="164" uniqueName="164" name="OthSal6" queryTableFieldId="164"/>
    <tableColumn id="165" uniqueName="165" name="OthSal7" queryTableFieldId="165"/>
    <tableColumn id="166" uniqueName="166" name="OthSal8" queryTableFieldId="166"/>
    <tableColumn id="167" uniqueName="167" name="OthSal9" queryTableFieldId="167"/>
    <tableColumn id="168" uniqueName="168" name="OthSal10" queryTableFieldId="168"/>
    <tableColumn id="169" uniqueName="169" name="OthSal11" queryTableFieldId="169"/>
    <tableColumn id="170" uniqueName="170" name="OthSal12" queryTableFieldId="170"/>
    <tableColumn id="171" uniqueName="171" name="OthSal13" queryTableFieldId="171"/>
    <tableColumn id="172" uniqueName="172" name="OthSal14" queryTableFieldId="172"/>
    <tableColumn id="173" uniqueName="173" name="OthSal15" queryTableFieldId="173"/>
    <tableColumn id="174" uniqueName="174" name="OthSal16" queryTableFieldId="174"/>
    <tableColumn id="175" uniqueName="175" name="OthSal17" queryTableFieldId="175"/>
    <tableColumn id="176" uniqueName="176" name="OthSal18" queryTableFieldId="176"/>
    <tableColumn id="177" uniqueName="177" name="OthSal19" queryTableFieldId="177"/>
    <tableColumn id="178" uniqueName="178" name="OthSal20" queryTableFieldId="178"/>
    <tableColumn id="179" uniqueName="179" name="OthSal21" queryTableFieldId="179"/>
    <tableColumn id="180" uniqueName="180" name="OthSal22" queryTableFieldId="180"/>
    <tableColumn id="181" uniqueName="181" name="OthSal23" queryTableFieldId="181"/>
    <tableColumn id="182" uniqueName="182" name="OthSal24" queryTableFieldId="182"/>
    <tableColumn id="183" uniqueName="183" name="OthSal25" queryTableFieldId="183"/>
    <tableColumn id="184" uniqueName="184" name="OthSal26" queryTableFieldId="184"/>
    <tableColumn id="185" uniqueName="185" name="OthSal27" queryTableFieldId="185"/>
    <tableColumn id="186" uniqueName="186" name="OthSal28" queryTableFieldId="186"/>
    <tableColumn id="187" uniqueName="187" name="OthSal29" queryTableFieldId="187"/>
    <tableColumn id="188" uniqueName="188" name="OthSalTotal" queryTableFieldId="188"/>
    <tableColumn id="189" uniqueName="189" name="Benefits1" queryTableFieldId="189"/>
    <tableColumn id="190" uniqueName="190" name="Benefits2" queryTableFieldId="190"/>
    <tableColumn id="191" uniqueName="191" name="Benefits3" queryTableFieldId="191"/>
    <tableColumn id="192" uniqueName="192" name="Benefits4" queryTableFieldId="192"/>
    <tableColumn id="193" uniqueName="193" name="Benefits5" queryTableFieldId="193"/>
    <tableColumn id="194" uniqueName="194" name="Benefits6" queryTableFieldId="194"/>
    <tableColumn id="195" uniqueName="195" name="Benefits7" queryTableFieldId="195"/>
    <tableColumn id="196" uniqueName="196" name="Benefits8" queryTableFieldId="196"/>
    <tableColumn id="197" uniqueName="197" name="Benefits9" queryTableFieldId="197"/>
    <tableColumn id="198" uniqueName="198" name="Benefits10" queryTableFieldId="198"/>
    <tableColumn id="199" uniqueName="199" name="Benefits11" queryTableFieldId="199"/>
    <tableColumn id="200" uniqueName="200" name="Benefits12" queryTableFieldId="200"/>
    <tableColumn id="201" uniqueName="201" name="Benefits13" queryTableFieldId="201"/>
    <tableColumn id="202" uniqueName="202" name="Benefits14" queryTableFieldId="202"/>
    <tableColumn id="203" uniqueName="203" name="Benefits15" queryTableFieldId="203"/>
    <tableColumn id="204" uniqueName="204" name="Benefits16" queryTableFieldId="204"/>
    <tableColumn id="205" uniqueName="205" name="Benefits17" queryTableFieldId="205"/>
    <tableColumn id="206" uniqueName="206" name="Benefits18" queryTableFieldId="206"/>
    <tableColumn id="207" uniqueName="207" name="Benefits19" queryTableFieldId="207"/>
    <tableColumn id="208" uniqueName="208" name="Benefits20" queryTableFieldId="208"/>
    <tableColumn id="209" uniqueName="209" name="Benefits21" queryTableFieldId="209"/>
    <tableColumn id="210" uniqueName="210" name="Benefits22" queryTableFieldId="210"/>
    <tableColumn id="211" uniqueName="211" name="Benefits23" queryTableFieldId="211"/>
    <tableColumn id="212" uniqueName="212" name="Benefits24" queryTableFieldId="212"/>
    <tableColumn id="213" uniqueName="213" name="Benefits25" queryTableFieldId="213"/>
    <tableColumn id="214" uniqueName="214" name="Benefits26" queryTableFieldId="214"/>
    <tableColumn id="215" uniqueName="215" name="Benefits27" queryTableFieldId="215"/>
    <tableColumn id="216" uniqueName="216" name="Benefits28" queryTableFieldId="216"/>
    <tableColumn id="217" uniqueName="217" name="Benefits29" queryTableFieldId="217"/>
    <tableColumn id="218" uniqueName="218" name="BenefitsTotal" queryTableFieldId="218"/>
    <tableColumn id="219" uniqueName="219" name="OtherOps1" queryTableFieldId="219"/>
    <tableColumn id="220" uniqueName="220" name="OtherOps2" queryTableFieldId="220"/>
    <tableColumn id="221" uniqueName="221" name="OtherOps3" queryTableFieldId="221"/>
    <tableColumn id="222" uniqueName="222" name="OtherOps4" queryTableFieldId="222"/>
    <tableColumn id="223" uniqueName="223" name="OtherOps5" queryTableFieldId="223"/>
    <tableColumn id="224" uniqueName="224" name="OtherOps6" queryTableFieldId="224"/>
    <tableColumn id="225" uniqueName="225" name="OtherOps7" queryTableFieldId="225"/>
    <tableColumn id="226" uniqueName="226" name="OtherOps8" queryTableFieldId="226"/>
    <tableColumn id="227" uniqueName="227" name="OtherOps9" queryTableFieldId="227"/>
    <tableColumn id="228" uniqueName="228" name="OtherOps10" queryTableFieldId="228"/>
    <tableColumn id="229" uniqueName="229" name="OtherOps11" queryTableFieldId="229"/>
    <tableColumn id="230" uniqueName="230" name="OtherOps12" queryTableFieldId="230"/>
    <tableColumn id="231" uniqueName="231" name="OtherOps13" queryTableFieldId="231"/>
    <tableColumn id="232" uniqueName="232" name="OtherOps14" queryTableFieldId="232"/>
    <tableColumn id="233" uniqueName="233" name="OtherOps15" queryTableFieldId="233"/>
    <tableColumn id="234" uniqueName="234" name="OtherOps16" queryTableFieldId="234"/>
    <tableColumn id="235" uniqueName="235" name="OtherOps17" queryTableFieldId="235"/>
    <tableColumn id="236" uniqueName="236" name="OtherOps18" queryTableFieldId="236"/>
    <tableColumn id="237" uniqueName="237" name="OtherOps19" queryTableFieldId="237"/>
    <tableColumn id="238" uniqueName="238" name="OtherOps20" queryTableFieldId="238"/>
    <tableColumn id="239" uniqueName="239" name="OtherOps21" queryTableFieldId="239"/>
    <tableColumn id="240" uniqueName="240" name="OtherOps22" queryTableFieldId="240"/>
    <tableColumn id="241" uniqueName="241" name="OtherOps23" queryTableFieldId="241"/>
    <tableColumn id="242" uniqueName="242" name="OtherOps24" queryTableFieldId="242"/>
    <tableColumn id="243" uniqueName="243" name="OtherOps25" queryTableFieldId="243"/>
    <tableColumn id="244" uniqueName="244" name="OtherOps26" queryTableFieldId="244"/>
    <tableColumn id="245" uniqueName="245" name="OtherOps27" queryTableFieldId="245"/>
    <tableColumn id="246" uniqueName="246" name="OtherOps28" queryTableFieldId="246"/>
    <tableColumn id="247" uniqueName="247" name="OtherOps29" queryTableFieldId="247"/>
    <tableColumn id="248" uniqueName="248" name="OtherOpsTotal" queryTableFieldId="248"/>
    <tableColumn id="249" uniqueName="249" name="DOE1" queryTableFieldId="249"/>
    <tableColumn id="250" uniqueName="250" name="DOE2" queryTableFieldId="250"/>
    <tableColumn id="251" uniqueName="251" name="DOE3" queryTableFieldId="251"/>
    <tableColumn id="252" uniqueName="252" name="DOE4" queryTableFieldId="252"/>
    <tableColumn id="253" uniqueName="253" name="DOE5" queryTableFieldId="253"/>
    <tableColumn id="254" uniqueName="254" name="DOE6" queryTableFieldId="254"/>
    <tableColumn id="255" uniqueName="255" name="DOE7" queryTableFieldId="255"/>
    <tableColumn id="256" uniqueName="256" name="DOE8" queryTableFieldId="256"/>
    <tableColumn id="257" uniqueName="257" name="DOE9" queryTableFieldId="257"/>
    <tableColumn id="258" uniqueName="258" name="DOE10" queryTableFieldId="258"/>
    <tableColumn id="259" uniqueName="259" name="DOE11" queryTableFieldId="259"/>
    <tableColumn id="260" uniqueName="260" name="DOE12" queryTableFieldId="260"/>
    <tableColumn id="261" uniqueName="261" name="DOE13" queryTableFieldId="261"/>
    <tableColumn id="262" uniqueName="262" name="DOE14" queryTableFieldId="262"/>
    <tableColumn id="263" uniqueName="263" name="DOE15" queryTableFieldId="263"/>
    <tableColumn id="264" uniqueName="264" name="DOE16" queryTableFieldId="264"/>
    <tableColumn id="265" uniqueName="265" name="DOE17" queryTableFieldId="265"/>
    <tableColumn id="266" uniqueName="266" name="DOE18" queryTableFieldId="266"/>
    <tableColumn id="267" uniqueName="267" name="DOE19" queryTableFieldId="267"/>
    <tableColumn id="268" uniqueName="268" name="DOE20" queryTableFieldId="268"/>
    <tableColumn id="269" uniqueName="269" name="DOE21" queryTableFieldId="269"/>
    <tableColumn id="270" uniqueName="270" name="DOE22" queryTableFieldId="270"/>
    <tableColumn id="271" uniqueName="271" name="DOE23" queryTableFieldId="271"/>
    <tableColumn id="272" uniqueName="272" name="DOE24" queryTableFieldId="272"/>
    <tableColumn id="273" uniqueName="273" name="DOE25" queryTableFieldId="273"/>
    <tableColumn id="274" uniqueName="274" name="DOE26" queryTableFieldId="274"/>
    <tableColumn id="275" uniqueName="275" name="DOE27" queryTableFieldId="275"/>
    <tableColumn id="276" uniqueName="276" name="DOE28" queryTableFieldId="276"/>
    <tableColumn id="277" uniqueName="277" name="DOE29" queryTableFieldId="277"/>
    <tableColumn id="278" uniqueName="278" name="DOETotal" queryTableFieldId="278"/>
    <tableColumn id="279" uniqueName="279" name="Total1" queryTableFieldId="279"/>
    <tableColumn id="280" uniqueName="280" name="Total2" queryTableFieldId="280"/>
    <tableColumn id="281" uniqueName="281" name="Total3" queryTableFieldId="281"/>
    <tableColumn id="282" uniqueName="282" name="Total4" queryTableFieldId="282"/>
    <tableColumn id="283" uniqueName="283" name="Total5" queryTableFieldId="283"/>
    <tableColumn id="284" uniqueName="284" name="Total6" queryTableFieldId="284"/>
    <tableColumn id="285" uniqueName="285" name="Total7" queryTableFieldId="285"/>
    <tableColumn id="286" uniqueName="286" name="Total8" queryTableFieldId="286"/>
    <tableColumn id="287" uniqueName="287" name="Total9" queryTableFieldId="287"/>
    <tableColumn id="288" uniqueName="288" name="Total10" queryTableFieldId="288"/>
    <tableColumn id="289" uniqueName="289" name="Total11" queryTableFieldId="289"/>
    <tableColumn id="290" uniqueName="290" name="Total12" queryTableFieldId="290"/>
    <tableColumn id="291" uniqueName="291" name="Total13" queryTableFieldId="291"/>
    <tableColumn id="292" uniqueName="292" name="Total14" queryTableFieldId="292"/>
    <tableColumn id="293" uniqueName="293" name="Total15" queryTableFieldId="293"/>
    <tableColumn id="294" uniqueName="294" name="Total16" queryTableFieldId="294"/>
    <tableColumn id="295" uniqueName="295" name="Total17" queryTableFieldId="295"/>
    <tableColumn id="296" uniqueName="296" name="Total18" queryTableFieldId="296"/>
    <tableColumn id="297" uniqueName="297" name="Total19" queryTableFieldId="297"/>
    <tableColumn id="298" uniqueName="298" name="Total20" queryTableFieldId="298"/>
    <tableColumn id="299" uniqueName="299" name="Total21" queryTableFieldId="299"/>
    <tableColumn id="300" uniqueName="300" name="Total22" queryTableFieldId="300"/>
    <tableColumn id="301" uniqueName="301" name="Total23" queryTableFieldId="301"/>
    <tableColumn id="302" uniqueName="302" name="Total24" queryTableFieldId="302"/>
    <tableColumn id="303" uniqueName="303" name="Total25" queryTableFieldId="303"/>
    <tableColumn id="304" uniqueName="304" name="Total26" queryTableFieldId="304"/>
    <tableColumn id="305" uniqueName="305" name="Total27" queryTableFieldId="305"/>
    <tableColumn id="306" uniqueName="306" name="Total28" queryTableFieldId="306"/>
    <tableColumn id="307" uniqueName="307" name="Total29" queryTableFieldId="307"/>
    <tableColumn id="308" uniqueName="308" name="Sec1_Total" queryTableFieldId="308"/>
    <tableColumn id="309" uniqueName="309" name="Comments" queryTableFieldId="309"/>
    <tableColumn id="310" uniqueName="310" name="PartA" queryTableFieldId="310"/>
    <tableColumn id="311" uniqueName="311" name="PartB" queryTableFieldId="311"/>
    <tableColumn id="312" uniqueName="312" name="GrandTotalExpenses" queryTableFieldId="312"/>
    <tableColumn id="313" uniqueName="313" name="AFRDifference" queryTableFieldId="313"/>
    <tableColumn id="314" uniqueName="314" name="Depreciation" queryTableFieldId="3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2"/>
  <sheetViews>
    <sheetView showGridLines="0" tabSelected="1" zoomScale="70" zoomScaleNormal="70" workbookViewId="0"/>
  </sheetViews>
  <sheetFormatPr defaultRowHeight="14.25" x14ac:dyDescent="0.2"/>
  <cols>
    <col min="1" max="1" width="9.42578125" style="11" customWidth="1"/>
    <col min="2" max="2" width="42.42578125" style="11" customWidth="1"/>
    <col min="3" max="3" width="17.85546875" style="11" customWidth="1"/>
    <col min="4" max="4" width="15.85546875" style="11" customWidth="1"/>
    <col min="5" max="5" width="18.28515625" style="11" bestFit="1" customWidth="1"/>
    <col min="6" max="6" width="17.7109375" style="11" bestFit="1" customWidth="1"/>
    <col min="7" max="7" width="2.85546875" style="11" customWidth="1"/>
    <col min="8" max="8" width="13.140625" style="11" bestFit="1" customWidth="1"/>
    <col min="9" max="9" width="16.5703125" style="11" bestFit="1" customWidth="1"/>
    <col min="10" max="10" width="15" style="11" bestFit="1" customWidth="1"/>
    <col min="11" max="11" width="16.140625" style="11" bestFit="1" customWidth="1"/>
    <col min="12" max="12" width="17.7109375" style="11" bestFit="1" customWidth="1"/>
    <col min="13" max="13" width="16.85546875" style="11" bestFit="1" customWidth="1"/>
    <col min="14" max="14" width="17.7109375" style="11" bestFit="1" customWidth="1"/>
    <col min="15" max="15" width="9.140625" style="11"/>
    <col min="16" max="16" width="20.5703125" style="11" bestFit="1" customWidth="1"/>
    <col min="17" max="17" width="18.140625" style="11" bestFit="1" customWidth="1"/>
    <col min="18" max="18" width="19.5703125" style="11" bestFit="1" customWidth="1"/>
    <col min="19" max="19" width="11" style="11" bestFit="1" customWidth="1"/>
    <col min="20" max="20" width="18.28515625" style="11" bestFit="1" customWidth="1"/>
    <col min="21" max="21" width="13.42578125" style="11" bestFit="1" customWidth="1"/>
    <col min="22" max="22" width="15.28515625" style="11" bestFit="1" customWidth="1"/>
    <col min="23" max="23" width="16.42578125" style="11" bestFit="1" customWidth="1"/>
    <col min="24" max="24" width="14.85546875" style="11" bestFit="1" customWidth="1"/>
    <col min="25" max="25" width="16.42578125" style="11" bestFit="1" customWidth="1"/>
    <col min="26" max="26" width="9.140625" style="11"/>
    <col min="27" max="27" width="13.140625" style="11" bestFit="1" customWidth="1"/>
    <col min="28" max="28" width="11.140625" style="11" bestFit="1" customWidth="1"/>
    <col min="29" max="29" width="13.140625" style="11" bestFit="1" customWidth="1"/>
    <col min="30" max="30" width="10" style="11" bestFit="1" customWidth="1"/>
    <col min="31" max="33" width="11.140625" style="11" bestFit="1" customWidth="1"/>
    <col min="34" max="34" width="13.140625" style="11" bestFit="1" customWidth="1"/>
    <col min="35" max="35" width="9.140625" style="11"/>
    <col min="36" max="36" width="17.85546875" style="11" bestFit="1" customWidth="1"/>
    <col min="37" max="37" width="9.140625" style="11"/>
    <col min="38" max="38" width="14.5703125" style="11" bestFit="1" customWidth="1"/>
    <col min="39" max="16384" width="9.140625" style="11"/>
  </cols>
  <sheetData>
    <row r="1" spans="1:6" x14ac:dyDescent="0.2">
      <c r="A1" s="39" t="s">
        <v>1372</v>
      </c>
      <c r="B1" s="39"/>
      <c r="C1" s="39"/>
      <c r="D1" s="39"/>
      <c r="E1" s="39"/>
      <c r="F1" s="39"/>
    </row>
    <row r="2" spans="1:6" x14ac:dyDescent="0.2">
      <c r="A2" s="6" t="s">
        <v>1373</v>
      </c>
      <c r="B2" s="12"/>
      <c r="C2" s="12"/>
    </row>
    <row r="3" spans="1:6" ht="15" thickBot="1" x14ac:dyDescent="0.25">
      <c r="A3" s="6" t="s">
        <v>1374</v>
      </c>
    </row>
    <row r="4" spans="1:6" ht="29.25" customHeight="1" x14ac:dyDescent="0.2">
      <c r="A4" s="27" t="s">
        <v>26</v>
      </c>
      <c r="B4" s="189" t="s">
        <v>805</v>
      </c>
      <c r="C4" s="190"/>
      <c r="D4" s="29" t="s">
        <v>27</v>
      </c>
      <c r="E4" s="29" t="s">
        <v>802</v>
      </c>
      <c r="F4" s="30" t="s">
        <v>803</v>
      </c>
    </row>
    <row r="5" spans="1:6" x14ac:dyDescent="0.2">
      <c r="A5" s="20">
        <v>1</v>
      </c>
      <c r="B5" s="179" t="s">
        <v>0</v>
      </c>
      <c r="C5" s="180"/>
      <c r="D5" s="15">
        <f>D36</f>
        <v>1666064</v>
      </c>
      <c r="E5" s="17">
        <f>E36+E67+IFERROR($E$105/$D$105*D5,0)</f>
        <v>14427031.120202221</v>
      </c>
      <c r="F5" s="21">
        <f>IFERROR(E5/D5,"")</f>
        <v>8.6593498930426573</v>
      </c>
    </row>
    <row r="6" spans="1:6" x14ac:dyDescent="0.2">
      <c r="A6" s="20">
        <v>2</v>
      </c>
      <c r="B6" s="179" t="s">
        <v>1</v>
      </c>
      <c r="C6" s="180"/>
      <c r="D6" s="15">
        <f t="shared" ref="D6:D32" si="0">D37</f>
        <v>4138279</v>
      </c>
      <c r="E6" s="18">
        <f t="shared" ref="E6:E32" si="1">E37+E68+IFERROR($E$105/$D$105*D6,0)</f>
        <v>38008197.828751072</v>
      </c>
      <c r="F6" s="22">
        <f t="shared" ref="F6:F33" si="2">IFERROR(E6/D6,"")</f>
        <v>9.184542131826074</v>
      </c>
    </row>
    <row r="7" spans="1:6" x14ac:dyDescent="0.2">
      <c r="A7" s="20">
        <v>3</v>
      </c>
      <c r="B7" s="179" t="s">
        <v>2</v>
      </c>
      <c r="C7" s="180"/>
      <c r="D7" s="15">
        <f t="shared" si="0"/>
        <v>37945389</v>
      </c>
      <c r="E7" s="18">
        <f t="shared" si="1"/>
        <v>284306486.28987968</v>
      </c>
      <c r="F7" s="22">
        <f t="shared" si="2"/>
        <v>7.4925173725292336</v>
      </c>
    </row>
    <row r="8" spans="1:6" x14ac:dyDescent="0.2">
      <c r="A8" s="20">
        <v>4</v>
      </c>
      <c r="B8" s="179" t="s">
        <v>3</v>
      </c>
      <c r="C8" s="180"/>
      <c r="D8" s="15">
        <f t="shared" si="0"/>
        <v>21610769</v>
      </c>
      <c r="E8" s="18">
        <f t="shared" si="1"/>
        <v>161131838.65451774</v>
      </c>
      <c r="F8" s="22">
        <f t="shared" si="2"/>
        <v>7.4560900009859781</v>
      </c>
    </row>
    <row r="9" spans="1:6" x14ac:dyDescent="0.2">
      <c r="A9" s="20">
        <v>5</v>
      </c>
      <c r="B9" s="179" t="s">
        <v>4</v>
      </c>
      <c r="C9" s="180"/>
      <c r="D9" s="15">
        <f t="shared" si="0"/>
        <v>179523</v>
      </c>
      <c r="E9" s="18">
        <f t="shared" si="1"/>
        <v>5918978.8660682086</v>
      </c>
      <c r="F9" s="22">
        <f t="shared" si="2"/>
        <v>32.970587980750146</v>
      </c>
    </row>
    <row r="10" spans="1:6" x14ac:dyDescent="0.2">
      <c r="A10" s="20">
        <v>6</v>
      </c>
      <c r="B10" s="179" t="s">
        <v>5</v>
      </c>
      <c r="C10" s="180"/>
      <c r="D10" s="15">
        <f t="shared" si="0"/>
        <v>4159700</v>
      </c>
      <c r="E10" s="18">
        <f t="shared" si="1"/>
        <v>36697386.375734173</v>
      </c>
      <c r="F10" s="22">
        <f t="shared" si="2"/>
        <v>8.8221233203678562</v>
      </c>
    </row>
    <row r="11" spans="1:6" x14ac:dyDescent="0.2">
      <c r="A11" s="20">
        <v>7</v>
      </c>
      <c r="B11" s="179" t="s">
        <v>6</v>
      </c>
      <c r="C11" s="180"/>
      <c r="D11" s="15">
        <f t="shared" si="0"/>
        <v>12425247</v>
      </c>
      <c r="E11" s="18">
        <f t="shared" si="1"/>
        <v>114496796.55161405</v>
      </c>
      <c r="F11" s="22">
        <f t="shared" si="2"/>
        <v>9.2148507431372622</v>
      </c>
    </row>
    <row r="12" spans="1:6" x14ac:dyDescent="0.2">
      <c r="A12" s="20">
        <v>8</v>
      </c>
      <c r="B12" s="179" t="s">
        <v>7</v>
      </c>
      <c r="C12" s="180"/>
      <c r="D12" s="15">
        <f t="shared" si="0"/>
        <v>1881721</v>
      </c>
      <c r="E12" s="18">
        <f t="shared" si="1"/>
        <v>17738139.201231793</v>
      </c>
      <c r="F12" s="22">
        <f t="shared" si="2"/>
        <v>9.4265511206134125</v>
      </c>
    </row>
    <row r="13" spans="1:6" x14ac:dyDescent="0.2">
      <c r="A13" s="20">
        <v>9</v>
      </c>
      <c r="B13" s="179" t="s">
        <v>8</v>
      </c>
      <c r="C13" s="180"/>
      <c r="D13" s="15">
        <f t="shared" si="0"/>
        <v>10974053</v>
      </c>
      <c r="E13" s="18">
        <f t="shared" si="1"/>
        <v>82531091.386654735</v>
      </c>
      <c r="F13" s="22">
        <f t="shared" si="2"/>
        <v>7.5205661378393867</v>
      </c>
    </row>
    <row r="14" spans="1:6" x14ac:dyDescent="0.2">
      <c r="A14" s="20">
        <v>10</v>
      </c>
      <c r="B14" s="179" t="s">
        <v>9</v>
      </c>
      <c r="C14" s="180"/>
      <c r="D14" s="15">
        <f t="shared" si="0"/>
        <v>221181</v>
      </c>
      <c r="E14" s="18">
        <f t="shared" si="1"/>
        <v>3315396.1316590765</v>
      </c>
      <c r="F14" s="22">
        <f t="shared" si="2"/>
        <v>14.989515969541129</v>
      </c>
    </row>
    <row r="15" spans="1:6" x14ac:dyDescent="0.2">
      <c r="A15" s="20">
        <v>11</v>
      </c>
      <c r="B15" s="179" t="s">
        <v>10</v>
      </c>
      <c r="C15" s="180"/>
      <c r="D15" s="15">
        <f t="shared" si="0"/>
        <v>8267631</v>
      </c>
      <c r="E15" s="18">
        <f t="shared" si="1"/>
        <v>68415559.211635098</v>
      </c>
      <c r="F15" s="22">
        <f t="shared" si="2"/>
        <v>8.2751103927636702</v>
      </c>
    </row>
    <row r="16" spans="1:6" x14ac:dyDescent="0.2">
      <c r="A16" s="20">
        <v>12</v>
      </c>
      <c r="B16" s="179" t="s">
        <v>11</v>
      </c>
      <c r="C16" s="180"/>
      <c r="D16" s="15">
        <f t="shared" si="0"/>
        <v>34309312</v>
      </c>
      <c r="E16" s="18">
        <f t="shared" si="1"/>
        <v>280309663.40179461</v>
      </c>
      <c r="F16" s="22">
        <f t="shared" si="2"/>
        <v>8.1700753253750644</v>
      </c>
    </row>
    <row r="17" spans="1:6" x14ac:dyDescent="0.2">
      <c r="A17" s="20">
        <v>13</v>
      </c>
      <c r="B17" s="179" t="s">
        <v>12</v>
      </c>
      <c r="C17" s="180"/>
      <c r="D17" s="15">
        <f t="shared" si="0"/>
        <v>7359635</v>
      </c>
      <c r="E17" s="18">
        <f t="shared" si="1"/>
        <v>53634383.544837698</v>
      </c>
      <c r="F17" s="22">
        <f t="shared" si="2"/>
        <v>7.2876417845229691</v>
      </c>
    </row>
    <row r="18" spans="1:6" x14ac:dyDescent="0.2">
      <c r="A18" s="20">
        <v>14</v>
      </c>
      <c r="B18" s="179" t="s">
        <v>804</v>
      </c>
      <c r="C18" s="180"/>
      <c r="D18" s="15">
        <f t="shared" si="0"/>
        <v>9440807</v>
      </c>
      <c r="E18" s="18">
        <f t="shared" si="1"/>
        <v>114951370.4262117</v>
      </c>
      <c r="F18" s="22">
        <f t="shared" si="2"/>
        <v>12.176011057763569</v>
      </c>
    </row>
    <row r="19" spans="1:6" x14ac:dyDescent="0.2">
      <c r="A19" s="20">
        <v>15</v>
      </c>
      <c r="B19" s="179" t="s">
        <v>13</v>
      </c>
      <c r="C19" s="180"/>
      <c r="D19" s="15">
        <f t="shared" si="0"/>
        <v>501038</v>
      </c>
      <c r="E19" s="18">
        <f t="shared" si="1"/>
        <v>9439966.3391213547</v>
      </c>
      <c r="F19" s="22">
        <f t="shared" si="2"/>
        <v>18.840819137712817</v>
      </c>
    </row>
    <row r="20" spans="1:6" x14ac:dyDescent="0.2">
      <c r="A20" s="20">
        <v>16</v>
      </c>
      <c r="B20" s="179" t="s">
        <v>14</v>
      </c>
      <c r="C20" s="180"/>
      <c r="D20" s="15">
        <f t="shared" si="0"/>
        <v>13004383</v>
      </c>
      <c r="E20" s="18">
        <f t="shared" si="1"/>
        <v>123543718.44179678</v>
      </c>
      <c r="F20" s="22">
        <f t="shared" si="2"/>
        <v>9.5001599415979037</v>
      </c>
    </row>
    <row r="21" spans="1:6" x14ac:dyDescent="0.2">
      <c r="A21" s="20">
        <v>17</v>
      </c>
      <c r="B21" s="179" t="s">
        <v>15</v>
      </c>
      <c r="C21" s="180"/>
      <c r="D21" s="15">
        <f t="shared" si="0"/>
        <v>854298</v>
      </c>
      <c r="E21" s="18">
        <f t="shared" si="1"/>
        <v>11804780.849146562</v>
      </c>
      <c r="F21" s="22">
        <f t="shared" si="2"/>
        <v>13.818106619875689</v>
      </c>
    </row>
    <row r="22" spans="1:6" x14ac:dyDescent="0.2">
      <c r="A22" s="20">
        <v>18</v>
      </c>
      <c r="B22" s="179" t="s">
        <v>16</v>
      </c>
      <c r="C22" s="180"/>
      <c r="D22" s="15">
        <f t="shared" si="0"/>
        <v>5423486</v>
      </c>
      <c r="E22" s="18">
        <f t="shared" si="1"/>
        <v>52751747.246635824</v>
      </c>
      <c r="F22" s="22">
        <f t="shared" si="2"/>
        <v>9.7265388435843345</v>
      </c>
    </row>
    <row r="23" spans="1:6" x14ac:dyDescent="0.2">
      <c r="A23" s="20">
        <v>19</v>
      </c>
      <c r="B23" s="179" t="s">
        <v>17</v>
      </c>
      <c r="C23" s="180"/>
      <c r="D23" s="15">
        <f t="shared" si="0"/>
        <v>16316517</v>
      </c>
      <c r="E23" s="18">
        <f t="shared" si="1"/>
        <v>119354114.51958603</v>
      </c>
      <c r="F23" s="22">
        <f t="shared" si="2"/>
        <v>7.3149260053224614</v>
      </c>
    </row>
    <row r="24" spans="1:6" x14ac:dyDescent="0.2">
      <c r="A24" s="20">
        <v>20</v>
      </c>
      <c r="B24" s="179" t="s">
        <v>18</v>
      </c>
      <c r="C24" s="180"/>
      <c r="D24" s="15">
        <f t="shared" si="0"/>
        <v>3749799</v>
      </c>
      <c r="E24" s="18">
        <f t="shared" si="1"/>
        <v>35498626.869925871</v>
      </c>
      <c r="F24" s="22">
        <f t="shared" si="2"/>
        <v>9.4668079195513872</v>
      </c>
    </row>
    <row r="25" spans="1:6" x14ac:dyDescent="0.2">
      <c r="A25" s="20">
        <v>21</v>
      </c>
      <c r="B25" s="179" t="s">
        <v>801</v>
      </c>
      <c r="C25" s="180"/>
      <c r="D25" s="15">
        <f t="shared" si="0"/>
        <v>2415419</v>
      </c>
      <c r="E25" s="18">
        <f t="shared" si="1"/>
        <v>23389673.954828106</v>
      </c>
      <c r="F25" s="22">
        <f t="shared" si="2"/>
        <v>9.6834851240418764</v>
      </c>
    </row>
    <row r="26" spans="1:6" x14ac:dyDescent="0.2">
      <c r="A26" s="20">
        <v>22</v>
      </c>
      <c r="B26" s="179" t="s">
        <v>19</v>
      </c>
      <c r="C26" s="180"/>
      <c r="D26" s="15">
        <f t="shared" si="0"/>
        <v>1341796</v>
      </c>
      <c r="E26" s="18">
        <f t="shared" si="1"/>
        <v>11600863.623908121</v>
      </c>
      <c r="F26" s="22">
        <f t="shared" si="2"/>
        <v>8.645772996720904</v>
      </c>
    </row>
    <row r="27" spans="1:6" x14ac:dyDescent="0.2">
      <c r="A27" s="20">
        <v>23</v>
      </c>
      <c r="B27" s="179" t="s">
        <v>20</v>
      </c>
      <c r="C27" s="180"/>
      <c r="D27" s="15">
        <f t="shared" si="0"/>
        <v>7016541</v>
      </c>
      <c r="E27" s="18">
        <f t="shared" si="1"/>
        <v>62686429.9328392</v>
      </c>
      <c r="F27" s="22">
        <f t="shared" si="2"/>
        <v>8.934093014327031</v>
      </c>
    </row>
    <row r="28" spans="1:6" x14ac:dyDescent="0.2">
      <c r="A28" s="20">
        <v>24</v>
      </c>
      <c r="B28" s="179" t="s">
        <v>21</v>
      </c>
      <c r="C28" s="180"/>
      <c r="D28" s="15">
        <f t="shared" si="0"/>
        <v>8577814</v>
      </c>
      <c r="E28" s="18">
        <f t="shared" si="1"/>
        <v>70554133.9624338</v>
      </c>
      <c r="F28" s="22">
        <f t="shared" si="2"/>
        <v>8.2251881379607674</v>
      </c>
    </row>
    <row r="29" spans="1:6" x14ac:dyDescent="0.2">
      <c r="A29" s="20">
        <v>25</v>
      </c>
      <c r="B29" s="179" t="s">
        <v>22</v>
      </c>
      <c r="C29" s="180"/>
      <c r="D29" s="15">
        <f t="shared" si="0"/>
        <v>52884597</v>
      </c>
      <c r="E29" s="18">
        <f t="shared" si="1"/>
        <v>361791218.61368835</v>
      </c>
      <c r="F29" s="22">
        <f t="shared" si="2"/>
        <v>6.8411454211079334</v>
      </c>
    </row>
    <row r="30" spans="1:6" x14ac:dyDescent="0.2">
      <c r="A30" s="20">
        <v>26</v>
      </c>
      <c r="B30" s="179" t="s">
        <v>23</v>
      </c>
      <c r="C30" s="180"/>
      <c r="D30" s="15">
        <f t="shared" si="0"/>
        <v>16425348</v>
      </c>
      <c r="E30" s="18">
        <f t="shared" si="1"/>
        <v>152991294.42998788</v>
      </c>
      <c r="F30" s="22">
        <f t="shared" si="2"/>
        <v>9.3143411287229885</v>
      </c>
    </row>
    <row r="31" spans="1:6" x14ac:dyDescent="0.2">
      <c r="A31" s="20">
        <v>28</v>
      </c>
      <c r="B31" s="179" t="s">
        <v>24</v>
      </c>
      <c r="C31" s="180"/>
      <c r="D31" s="15">
        <f t="shared" si="0"/>
        <v>19307120</v>
      </c>
      <c r="E31" s="18">
        <f t="shared" si="1"/>
        <v>139254438.3428576</v>
      </c>
      <c r="F31" s="22">
        <f t="shared" si="2"/>
        <v>7.2125950604159295</v>
      </c>
    </row>
    <row r="32" spans="1:6" ht="15.75" customHeight="1" thickBot="1" x14ac:dyDescent="0.25">
      <c r="A32" s="23">
        <v>29</v>
      </c>
      <c r="B32" s="181" t="s">
        <v>25</v>
      </c>
      <c r="C32" s="182"/>
      <c r="D32" s="24">
        <f t="shared" si="0"/>
        <v>16845004</v>
      </c>
      <c r="E32" s="25">
        <f t="shared" si="1"/>
        <v>118345429.57245274</v>
      </c>
      <c r="F32" s="26">
        <f t="shared" si="2"/>
        <v>7.0255506957702556</v>
      </c>
    </row>
    <row r="33" spans="1:14" x14ac:dyDescent="0.2">
      <c r="B33" s="14" t="s">
        <v>35</v>
      </c>
      <c r="C33" s="14"/>
      <c r="D33" s="65">
        <f>SUM(D5:D32)</f>
        <v>319242471</v>
      </c>
      <c r="E33" s="5">
        <f>SUM(E5:E32)</f>
        <v>2568888755.6899996</v>
      </c>
      <c r="F33" s="9">
        <f t="shared" si="2"/>
        <v>8.0468264377329657</v>
      </c>
    </row>
    <row r="34" spans="1:14" ht="15" thickBot="1" x14ac:dyDescent="0.25">
      <c r="H34" s="75"/>
      <c r="I34" s="75"/>
      <c r="J34" s="75"/>
      <c r="K34" s="75"/>
      <c r="L34" s="75"/>
      <c r="M34" s="75"/>
      <c r="N34" s="75"/>
    </row>
    <row r="35" spans="1:14" ht="29.25" customHeight="1" x14ac:dyDescent="0.2">
      <c r="A35" s="27" t="s">
        <v>26</v>
      </c>
      <c r="B35" s="189" t="s">
        <v>806</v>
      </c>
      <c r="C35" s="190"/>
      <c r="D35" s="29" t="s">
        <v>27</v>
      </c>
      <c r="E35" s="29" t="s">
        <v>802</v>
      </c>
      <c r="F35" s="30" t="s">
        <v>803</v>
      </c>
    </row>
    <row r="36" spans="1:14" x14ac:dyDescent="0.2">
      <c r="A36" s="20">
        <v>1</v>
      </c>
      <c r="B36" s="179" t="s">
        <v>0</v>
      </c>
      <c r="C36" s="180"/>
      <c r="D36" s="15">
        <f>SUM('1:57'!D36)</f>
        <v>1666064</v>
      </c>
      <c r="E36" s="16">
        <f>SUM('1:57'!E36)</f>
        <v>2846280</v>
      </c>
      <c r="F36" s="21">
        <f t="shared" ref="F36:F64" si="3">IFERROR(E36/D36,"")</f>
        <v>1.7083857522880272</v>
      </c>
    </row>
    <row r="37" spans="1:14" x14ac:dyDescent="0.2">
      <c r="A37" s="20">
        <v>2</v>
      </c>
      <c r="B37" s="179" t="s">
        <v>1</v>
      </c>
      <c r="C37" s="180"/>
      <c r="D37" s="15">
        <f>SUM('1:57'!D37)</f>
        <v>4138279</v>
      </c>
      <c r="E37" s="18">
        <f>SUM('1:57'!E37)</f>
        <v>7920031</v>
      </c>
      <c r="F37" s="22">
        <f t="shared" si="3"/>
        <v>1.9138465531202706</v>
      </c>
    </row>
    <row r="38" spans="1:14" x14ac:dyDescent="0.2">
      <c r="A38" s="20">
        <v>3</v>
      </c>
      <c r="B38" s="179" t="s">
        <v>2</v>
      </c>
      <c r="C38" s="180"/>
      <c r="D38" s="15">
        <f>SUM('1:57'!D38)</f>
        <v>37945389</v>
      </c>
      <c r="E38" s="18">
        <f>SUM('1:57'!E38)</f>
        <v>41225350</v>
      </c>
      <c r="F38" s="22">
        <f t="shared" si="3"/>
        <v>1.0864389873562768</v>
      </c>
    </row>
    <row r="39" spans="1:14" x14ac:dyDescent="0.2">
      <c r="A39" s="20">
        <v>4</v>
      </c>
      <c r="B39" s="179" t="s">
        <v>3</v>
      </c>
      <c r="C39" s="180"/>
      <c r="D39" s="15">
        <f>SUM('1:57'!D39)</f>
        <v>21610769</v>
      </c>
      <c r="E39" s="18">
        <f>SUM('1:57'!E39)</f>
        <v>23555723</v>
      </c>
      <c r="F39" s="22">
        <f t="shared" si="3"/>
        <v>1.0899992961842311</v>
      </c>
    </row>
    <row r="40" spans="1:14" x14ac:dyDescent="0.2">
      <c r="A40" s="20">
        <v>5</v>
      </c>
      <c r="B40" s="179" t="s">
        <v>4</v>
      </c>
      <c r="C40" s="180"/>
      <c r="D40" s="15">
        <f>SUM('1:57'!D40)</f>
        <v>179523</v>
      </c>
      <c r="E40" s="18">
        <f>SUM('1:57'!E40)</f>
        <v>3413055</v>
      </c>
      <c r="F40" s="22">
        <f t="shared" si="3"/>
        <v>19.011797931184304</v>
      </c>
    </row>
    <row r="41" spans="1:14" x14ac:dyDescent="0.2">
      <c r="A41" s="20">
        <v>6</v>
      </c>
      <c r="B41" s="179" t="s">
        <v>5</v>
      </c>
      <c r="C41" s="180"/>
      <c r="D41" s="15">
        <f>SUM('1:57'!D41)</f>
        <v>4159700</v>
      </c>
      <c r="E41" s="18">
        <f>SUM('1:57'!E41)</f>
        <v>10452163</v>
      </c>
      <c r="F41" s="22">
        <f t="shared" si="3"/>
        <v>2.5127203884895546</v>
      </c>
    </row>
    <row r="42" spans="1:14" x14ac:dyDescent="0.2">
      <c r="A42" s="20">
        <v>7</v>
      </c>
      <c r="B42" s="179" t="s">
        <v>6</v>
      </c>
      <c r="C42" s="180"/>
      <c r="D42" s="15">
        <f>SUM('1:57'!D42)</f>
        <v>12425247</v>
      </c>
      <c r="E42" s="18">
        <f>SUM('1:57'!E42)</f>
        <v>20512811</v>
      </c>
      <c r="F42" s="22">
        <f t="shared" si="3"/>
        <v>1.650897644127316</v>
      </c>
    </row>
    <row r="43" spans="1:14" x14ac:dyDescent="0.2">
      <c r="A43" s="20">
        <v>8</v>
      </c>
      <c r="B43" s="179" t="s">
        <v>7</v>
      </c>
      <c r="C43" s="180"/>
      <c r="D43" s="15">
        <f>SUM('1:57'!D43)</f>
        <v>1881721</v>
      </c>
      <c r="E43" s="18">
        <f>SUM('1:57'!E43)</f>
        <v>4375819</v>
      </c>
      <c r="F43" s="22">
        <f t="shared" si="3"/>
        <v>2.3254345357255408</v>
      </c>
    </row>
    <row r="44" spans="1:14" x14ac:dyDescent="0.2">
      <c r="A44" s="20">
        <v>9</v>
      </c>
      <c r="B44" s="179" t="s">
        <v>8</v>
      </c>
      <c r="C44" s="180"/>
      <c r="D44" s="15">
        <f>SUM('1:57'!D44)</f>
        <v>10974053</v>
      </c>
      <c r="E44" s="18">
        <f>SUM('1:57'!E44)</f>
        <v>14761833</v>
      </c>
      <c r="F44" s="22">
        <f t="shared" si="3"/>
        <v>1.345157800859901</v>
      </c>
    </row>
    <row r="45" spans="1:14" x14ac:dyDescent="0.2">
      <c r="A45" s="20">
        <v>10</v>
      </c>
      <c r="B45" s="179" t="s">
        <v>9</v>
      </c>
      <c r="C45" s="180"/>
      <c r="D45" s="15">
        <f>SUM('1:57'!D45)</f>
        <v>221181</v>
      </c>
      <c r="E45" s="18">
        <f>SUM('1:57'!E45)</f>
        <v>668989</v>
      </c>
      <c r="F45" s="22">
        <f t="shared" si="3"/>
        <v>3.0246223681057596</v>
      </c>
    </row>
    <row r="46" spans="1:14" x14ac:dyDescent="0.2">
      <c r="A46" s="20">
        <v>11</v>
      </c>
      <c r="B46" s="179" t="s">
        <v>10</v>
      </c>
      <c r="C46" s="180"/>
      <c r="D46" s="15">
        <f>SUM('1:57'!D46)</f>
        <v>8267631</v>
      </c>
      <c r="E46" s="18">
        <f>SUM('1:57'!E46)</f>
        <v>13899145</v>
      </c>
      <c r="F46" s="22">
        <f t="shared" si="3"/>
        <v>1.6811520736714061</v>
      </c>
    </row>
    <row r="47" spans="1:14" x14ac:dyDescent="0.2">
      <c r="A47" s="20">
        <v>12</v>
      </c>
      <c r="B47" s="179" t="s">
        <v>11</v>
      </c>
      <c r="C47" s="180"/>
      <c r="D47" s="15">
        <f>SUM('1:57'!D47)</f>
        <v>34309312</v>
      </c>
      <c r="E47" s="18">
        <f>SUM('1:57'!E47)</f>
        <v>33520064</v>
      </c>
      <c r="F47" s="22">
        <f t="shared" si="3"/>
        <v>0.97699609948459476</v>
      </c>
    </row>
    <row r="48" spans="1:14" x14ac:dyDescent="0.2">
      <c r="A48" s="20">
        <v>13</v>
      </c>
      <c r="B48" s="179" t="s">
        <v>12</v>
      </c>
      <c r="C48" s="180"/>
      <c r="D48" s="15">
        <f>SUM('1:57'!D48)</f>
        <v>7359635</v>
      </c>
      <c r="E48" s="18">
        <f>SUM('1:57'!E48)</f>
        <v>5266058</v>
      </c>
      <c r="F48" s="22">
        <f t="shared" si="3"/>
        <v>0.71553249583708978</v>
      </c>
    </row>
    <row r="49" spans="1:6" x14ac:dyDescent="0.2">
      <c r="A49" s="20">
        <v>14</v>
      </c>
      <c r="B49" s="179" t="s">
        <v>804</v>
      </c>
      <c r="C49" s="180"/>
      <c r="D49" s="15">
        <f>SUM('1:57'!D49)</f>
        <v>9440807</v>
      </c>
      <c r="E49" s="18">
        <f>SUM('1:57'!E49)</f>
        <v>22473369</v>
      </c>
      <c r="F49" s="22">
        <f t="shared" si="3"/>
        <v>2.380449997547879</v>
      </c>
    </row>
    <row r="50" spans="1:6" x14ac:dyDescent="0.2">
      <c r="A50" s="20">
        <v>15</v>
      </c>
      <c r="B50" s="179" t="s">
        <v>13</v>
      </c>
      <c r="C50" s="180"/>
      <c r="D50" s="15">
        <f>SUM('1:57'!D50)</f>
        <v>501038</v>
      </c>
      <c r="E50" s="18">
        <f>SUM('1:57'!E50)</f>
        <v>2322392</v>
      </c>
      <c r="F50" s="22">
        <f t="shared" si="3"/>
        <v>4.6351614049233794</v>
      </c>
    </row>
    <row r="51" spans="1:6" x14ac:dyDescent="0.2">
      <c r="A51" s="20">
        <v>16</v>
      </c>
      <c r="B51" s="179" t="s">
        <v>14</v>
      </c>
      <c r="C51" s="180"/>
      <c r="D51" s="15">
        <f>SUM('1:57'!D51)</f>
        <v>13004383</v>
      </c>
      <c r="E51" s="18">
        <f>SUM('1:57'!E51)</f>
        <v>23200925</v>
      </c>
      <c r="F51" s="22">
        <f t="shared" si="3"/>
        <v>1.7840850273327078</v>
      </c>
    </row>
    <row r="52" spans="1:6" x14ac:dyDescent="0.2">
      <c r="A52" s="20">
        <v>17</v>
      </c>
      <c r="B52" s="179" t="s">
        <v>15</v>
      </c>
      <c r="C52" s="180"/>
      <c r="D52" s="15">
        <f>SUM('1:57'!D52)</f>
        <v>854298</v>
      </c>
      <c r="E52" s="18">
        <f>SUM('1:57'!E52)</f>
        <v>1909352</v>
      </c>
      <c r="F52" s="22">
        <f t="shared" si="3"/>
        <v>2.2349952826765369</v>
      </c>
    </row>
    <row r="53" spans="1:6" x14ac:dyDescent="0.2">
      <c r="A53" s="20">
        <v>18</v>
      </c>
      <c r="B53" s="179" t="s">
        <v>16</v>
      </c>
      <c r="C53" s="180"/>
      <c r="D53" s="15">
        <f>SUM('1:57'!D53)</f>
        <v>5423486</v>
      </c>
      <c r="E53" s="18">
        <f>SUM('1:57'!E53)</f>
        <v>7204017</v>
      </c>
      <c r="F53" s="22">
        <f t="shared" si="3"/>
        <v>1.3283001007101336</v>
      </c>
    </row>
    <row r="54" spans="1:6" x14ac:dyDescent="0.2">
      <c r="A54" s="20">
        <v>19</v>
      </c>
      <c r="B54" s="179" t="s">
        <v>17</v>
      </c>
      <c r="C54" s="180"/>
      <c r="D54" s="15">
        <f>SUM('1:57'!D54)</f>
        <v>16316517</v>
      </c>
      <c r="E54" s="18">
        <f>SUM('1:57'!E54)</f>
        <v>12221451</v>
      </c>
      <c r="F54" s="22">
        <f t="shared" si="3"/>
        <v>0.74902327500409549</v>
      </c>
    </row>
    <row r="55" spans="1:6" x14ac:dyDescent="0.2">
      <c r="A55" s="20">
        <v>20</v>
      </c>
      <c r="B55" s="179" t="s">
        <v>18</v>
      </c>
      <c r="C55" s="180"/>
      <c r="D55" s="15">
        <f>SUM('1:57'!D55)</f>
        <v>3749799</v>
      </c>
      <c r="E55" s="18">
        <f>SUM('1:57'!E55)</f>
        <v>6715042</v>
      </c>
      <c r="F55" s="22">
        <f t="shared" si="3"/>
        <v>1.7907738521451417</v>
      </c>
    </row>
    <row r="56" spans="1:6" ht="14.25" customHeight="1" x14ac:dyDescent="0.2">
      <c r="A56" s="20">
        <v>21</v>
      </c>
      <c r="B56" s="179" t="s">
        <v>801</v>
      </c>
      <c r="C56" s="180"/>
      <c r="D56" s="15">
        <f>SUM('1:57'!D56)</f>
        <v>2415419</v>
      </c>
      <c r="E56" s="18">
        <f>SUM('1:57'!E56)</f>
        <v>6848442</v>
      </c>
      <c r="F56" s="22">
        <f t="shared" si="3"/>
        <v>2.8353018668810672</v>
      </c>
    </row>
    <row r="57" spans="1:6" x14ac:dyDescent="0.2">
      <c r="A57" s="20">
        <v>22</v>
      </c>
      <c r="B57" s="179" t="s">
        <v>19</v>
      </c>
      <c r="C57" s="180"/>
      <c r="D57" s="15">
        <f>SUM('1:57'!D57)</f>
        <v>1341796</v>
      </c>
      <c r="E57" s="18">
        <f>SUM('1:57'!E57)</f>
        <v>2652865</v>
      </c>
      <c r="F57" s="22">
        <f t="shared" si="3"/>
        <v>1.9771000956926388</v>
      </c>
    </row>
    <row r="58" spans="1:6" x14ac:dyDescent="0.2">
      <c r="A58" s="20">
        <v>23</v>
      </c>
      <c r="B58" s="179" t="s">
        <v>20</v>
      </c>
      <c r="C58" s="180"/>
      <c r="D58" s="15">
        <f>SUM('1:57'!D58)</f>
        <v>7016541</v>
      </c>
      <c r="E58" s="18">
        <f>SUM('1:57'!E58)</f>
        <v>9105927</v>
      </c>
      <c r="F58" s="22">
        <f t="shared" si="3"/>
        <v>1.2977800600039251</v>
      </c>
    </row>
    <row r="59" spans="1:6" x14ac:dyDescent="0.2">
      <c r="A59" s="20">
        <v>24</v>
      </c>
      <c r="B59" s="179" t="s">
        <v>21</v>
      </c>
      <c r="C59" s="180"/>
      <c r="D59" s="15">
        <f>SUM('1:57'!D59)</f>
        <v>8577814</v>
      </c>
      <c r="E59" s="18">
        <f>SUM('1:57'!E59)</f>
        <v>16085071</v>
      </c>
      <c r="F59" s="22">
        <f t="shared" si="3"/>
        <v>1.8751946591520869</v>
      </c>
    </row>
    <row r="60" spans="1:6" x14ac:dyDescent="0.2">
      <c r="A60" s="20">
        <v>25</v>
      </c>
      <c r="B60" s="179" t="s">
        <v>22</v>
      </c>
      <c r="C60" s="180"/>
      <c r="D60" s="15">
        <f>SUM('1:57'!D60)</f>
        <v>52884597</v>
      </c>
      <c r="E60" s="18">
        <f>SUM('1:57'!E60)</f>
        <v>29721938</v>
      </c>
      <c r="F60" s="22">
        <f t="shared" si="3"/>
        <v>0.56201502301322259</v>
      </c>
    </row>
    <row r="61" spans="1:6" x14ac:dyDescent="0.2">
      <c r="A61" s="20">
        <v>26</v>
      </c>
      <c r="B61" s="179" t="s">
        <v>23</v>
      </c>
      <c r="C61" s="180"/>
      <c r="D61" s="15">
        <f>SUM('1:57'!D61)</f>
        <v>16425348</v>
      </c>
      <c r="E61" s="18">
        <f>SUM('1:57'!E61)</f>
        <v>25737074</v>
      </c>
      <c r="F61" s="22">
        <f t="shared" si="3"/>
        <v>1.5669119460969716</v>
      </c>
    </row>
    <row r="62" spans="1:6" x14ac:dyDescent="0.2">
      <c r="A62" s="20">
        <v>28</v>
      </c>
      <c r="B62" s="179" t="s">
        <v>24</v>
      </c>
      <c r="C62" s="180"/>
      <c r="D62" s="15">
        <f>SUM('1:57'!D62)</f>
        <v>19307120</v>
      </c>
      <c r="E62" s="18">
        <f>SUM('1:57'!E62)</f>
        <v>14391956</v>
      </c>
      <c r="F62" s="22">
        <f t="shared" si="3"/>
        <v>0.74542220693712991</v>
      </c>
    </row>
    <row r="63" spans="1:6" ht="15.75" customHeight="1" thickBot="1" x14ac:dyDescent="0.25">
      <c r="A63" s="23">
        <v>29</v>
      </c>
      <c r="B63" s="181" t="s">
        <v>25</v>
      </c>
      <c r="C63" s="182"/>
      <c r="D63" s="24">
        <f>SUM('1:57'!D63)</f>
        <v>16845004</v>
      </c>
      <c r="E63" s="25">
        <f>SUM('1:57'!E63)</f>
        <v>11536482</v>
      </c>
      <c r="F63" s="26">
        <f t="shared" si="3"/>
        <v>0.68486074565491351</v>
      </c>
    </row>
    <row r="64" spans="1:6" x14ac:dyDescent="0.2">
      <c r="C64" s="14" t="s">
        <v>35</v>
      </c>
      <c r="D64" s="65">
        <f>SUM(D36:D63)</f>
        <v>319242471</v>
      </c>
      <c r="E64" s="5">
        <f>SUM(E36:E63)</f>
        <v>374543624</v>
      </c>
      <c r="F64" s="9">
        <f t="shared" si="3"/>
        <v>1.1732261776660662</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1666064</v>
      </c>
      <c r="E67" s="16">
        <f>SUM('1:57'!E67)</f>
        <v>5564025</v>
      </c>
      <c r="F67" s="21">
        <f>IFERROR(E67/D67,"")</f>
        <v>3.3396226075348845</v>
      </c>
    </row>
    <row r="68" spans="1:6" x14ac:dyDescent="0.2">
      <c r="A68" s="20">
        <v>2</v>
      </c>
      <c r="B68" s="179" t="s">
        <v>1</v>
      </c>
      <c r="C68" s="180"/>
      <c r="D68" s="15">
        <f t="shared" ref="D68:D94" si="4">D37</f>
        <v>4138279</v>
      </c>
      <c r="E68" s="18">
        <f>SUM('1:57'!E68)</f>
        <v>15143428</v>
      </c>
      <c r="F68" s="22">
        <f t="shared" ref="F68:F95" si="5">IFERROR(E68/D68,"")</f>
        <v>3.6593540454860585</v>
      </c>
    </row>
    <row r="69" spans="1:6" x14ac:dyDescent="0.2">
      <c r="A69" s="20">
        <v>3</v>
      </c>
      <c r="B69" s="179" t="s">
        <v>2</v>
      </c>
      <c r="C69" s="180"/>
      <c r="D69" s="15">
        <f t="shared" si="4"/>
        <v>37945389</v>
      </c>
      <c r="E69" s="18">
        <f>SUM('1:57'!E69)</f>
        <v>106047377</v>
      </c>
      <c r="F69" s="22">
        <f t="shared" si="5"/>
        <v>2.794736851953211</v>
      </c>
    </row>
    <row r="70" spans="1:6" x14ac:dyDescent="0.2">
      <c r="A70" s="20">
        <v>4</v>
      </c>
      <c r="B70" s="179" t="s">
        <v>3</v>
      </c>
      <c r="C70" s="180"/>
      <c r="D70" s="15">
        <f t="shared" si="4"/>
        <v>21610769</v>
      </c>
      <c r="E70" s="18">
        <f>SUM('1:57'!E70)</f>
        <v>59532248</v>
      </c>
      <c r="F70" s="22">
        <f t="shared" si="5"/>
        <v>2.7547491715820014</v>
      </c>
    </row>
    <row r="71" spans="1:6" x14ac:dyDescent="0.2">
      <c r="A71" s="20">
        <v>5</v>
      </c>
      <c r="B71" s="179" t="s">
        <v>4</v>
      </c>
      <c r="C71" s="180"/>
      <c r="D71" s="15">
        <f t="shared" si="4"/>
        <v>179523</v>
      </c>
      <c r="E71" s="18">
        <f>SUM('1:57'!E71)</f>
        <v>1857605</v>
      </c>
      <c r="F71" s="22">
        <f t="shared" si="5"/>
        <v>10.347448516346095</v>
      </c>
    </row>
    <row r="72" spans="1:6" x14ac:dyDescent="0.2">
      <c r="A72" s="20">
        <v>6</v>
      </c>
      <c r="B72" s="179" t="s">
        <v>5</v>
      </c>
      <c r="C72" s="180"/>
      <c r="D72" s="15">
        <f t="shared" si="4"/>
        <v>4159700</v>
      </c>
      <c r="E72" s="18">
        <f>SUM('1:57'!E72)</f>
        <v>11223126</v>
      </c>
      <c r="F72" s="22">
        <f t="shared" si="5"/>
        <v>2.6980613986585573</v>
      </c>
    </row>
    <row r="73" spans="1:6" x14ac:dyDescent="0.2">
      <c r="A73" s="20">
        <v>7</v>
      </c>
      <c r="B73" s="179" t="s">
        <v>6</v>
      </c>
      <c r="C73" s="180"/>
      <c r="D73" s="15">
        <f t="shared" si="4"/>
        <v>12425247</v>
      </c>
      <c r="E73" s="18">
        <f>SUM('1:57'!E73)</f>
        <v>49112175</v>
      </c>
      <c r="F73" s="22">
        <f t="shared" si="5"/>
        <v>3.952611565790201</v>
      </c>
    </row>
    <row r="74" spans="1:6" x14ac:dyDescent="0.2">
      <c r="A74" s="20">
        <v>8</v>
      </c>
      <c r="B74" s="179" t="s">
        <v>7</v>
      </c>
      <c r="C74" s="180"/>
      <c r="D74" s="15">
        <f t="shared" si="4"/>
        <v>1881721</v>
      </c>
      <c r="E74" s="18">
        <f>SUM('1:57'!E74)</f>
        <v>6566783</v>
      </c>
      <c r="F74" s="22">
        <f t="shared" si="5"/>
        <v>3.4897750516681274</v>
      </c>
    </row>
    <row r="75" spans="1:6" x14ac:dyDescent="0.2">
      <c r="A75" s="20">
        <v>9</v>
      </c>
      <c r="B75" s="179" t="s">
        <v>8</v>
      </c>
      <c r="C75" s="180"/>
      <c r="D75" s="15">
        <f t="shared" si="4"/>
        <v>10974053</v>
      </c>
      <c r="E75" s="18">
        <f>SUM('1:57'!E75)</f>
        <v>28138205</v>
      </c>
      <c r="F75" s="22">
        <f t="shared" si="5"/>
        <v>2.5640668037597414</v>
      </c>
    </row>
    <row r="76" spans="1:6" x14ac:dyDescent="0.2">
      <c r="A76" s="20">
        <v>10</v>
      </c>
      <c r="B76" s="179" t="s">
        <v>9</v>
      </c>
      <c r="C76" s="180"/>
      <c r="D76" s="15">
        <f t="shared" si="4"/>
        <v>221181</v>
      </c>
      <c r="E76" s="18">
        <f>SUM('1:57'!E76)</f>
        <v>1847647</v>
      </c>
      <c r="F76" s="22">
        <f t="shared" si="5"/>
        <v>8.3535520682156239</v>
      </c>
    </row>
    <row r="77" spans="1:6" x14ac:dyDescent="0.2">
      <c r="A77" s="20">
        <v>11</v>
      </c>
      <c r="B77" s="179" t="s">
        <v>10</v>
      </c>
      <c r="C77" s="180"/>
      <c r="D77" s="15">
        <f t="shared" si="4"/>
        <v>8267631</v>
      </c>
      <c r="E77" s="18">
        <f>SUM('1:57'!E77)</f>
        <v>24659175</v>
      </c>
      <c r="F77" s="22">
        <f t="shared" si="5"/>
        <v>2.9826167858725188</v>
      </c>
    </row>
    <row r="78" spans="1:6" x14ac:dyDescent="0.2">
      <c r="A78" s="20">
        <v>12</v>
      </c>
      <c r="B78" s="179" t="s">
        <v>11</v>
      </c>
      <c r="C78" s="180"/>
      <c r="D78" s="15">
        <f t="shared" si="4"/>
        <v>34309312</v>
      </c>
      <c r="E78" s="18">
        <f>SUM('1:57'!E78)</f>
        <v>122886956</v>
      </c>
      <c r="F78" s="22">
        <f t="shared" si="5"/>
        <v>3.5817376926707243</v>
      </c>
    </row>
    <row r="79" spans="1:6" x14ac:dyDescent="0.2">
      <c r="A79" s="20">
        <v>13</v>
      </c>
      <c r="B79" s="179" t="s">
        <v>12</v>
      </c>
      <c r="C79" s="180"/>
      <c r="D79" s="15">
        <f t="shared" si="4"/>
        <v>7359635</v>
      </c>
      <c r="E79" s="18">
        <f>SUM('1:57'!E79)</f>
        <v>21790170</v>
      </c>
      <c r="F79" s="22">
        <f t="shared" si="5"/>
        <v>2.9607677554661338</v>
      </c>
    </row>
    <row r="80" spans="1:6" x14ac:dyDescent="0.2">
      <c r="A80" s="20">
        <v>14</v>
      </c>
      <c r="B80" s="179" t="s">
        <v>804</v>
      </c>
      <c r="C80" s="180"/>
      <c r="D80" s="15">
        <f t="shared" si="4"/>
        <v>9440807</v>
      </c>
      <c r="E80" s="18">
        <f>SUM('1:57'!E80)</f>
        <v>58384023</v>
      </c>
      <c r="F80" s="22">
        <f t="shared" si="5"/>
        <v>6.1842195269959443</v>
      </c>
    </row>
    <row r="81" spans="1:6" x14ac:dyDescent="0.2">
      <c r="A81" s="20">
        <v>15</v>
      </c>
      <c r="B81" s="179" t="s">
        <v>13</v>
      </c>
      <c r="C81" s="180"/>
      <c r="D81" s="15">
        <f t="shared" si="4"/>
        <v>501038</v>
      </c>
      <c r="E81" s="18">
        <f>SUM('1:57'!E81)</f>
        <v>5308155</v>
      </c>
      <c r="F81" s="22">
        <f t="shared" si="5"/>
        <v>10.594316199569693</v>
      </c>
    </row>
    <row r="82" spans="1:6" x14ac:dyDescent="0.2">
      <c r="A82" s="20">
        <v>16</v>
      </c>
      <c r="B82" s="179" t="s">
        <v>14</v>
      </c>
      <c r="C82" s="180"/>
      <c r="D82" s="15">
        <f t="shared" si="4"/>
        <v>13004383</v>
      </c>
      <c r="E82" s="18">
        <f>SUM('1:57'!E82)</f>
        <v>53379525</v>
      </c>
      <c r="F82" s="22">
        <f t="shared" si="5"/>
        <v>4.1047333810454525</v>
      </c>
    </row>
    <row r="83" spans="1:6" x14ac:dyDescent="0.2">
      <c r="A83" s="20">
        <v>17</v>
      </c>
      <c r="B83" s="179" t="s">
        <v>15</v>
      </c>
      <c r="C83" s="180"/>
      <c r="D83" s="15">
        <f t="shared" si="4"/>
        <v>854298</v>
      </c>
      <c r="E83" s="18">
        <f>SUM('1:57'!E83)</f>
        <v>6810267</v>
      </c>
      <c r="F83" s="22">
        <f t="shared" si="5"/>
        <v>7.9717698039794076</v>
      </c>
    </row>
    <row r="84" spans="1:6" x14ac:dyDescent="0.2">
      <c r="A84" s="20">
        <v>18</v>
      </c>
      <c r="B84" s="179" t="s">
        <v>16</v>
      </c>
      <c r="C84" s="180"/>
      <c r="D84" s="15">
        <f t="shared" si="4"/>
        <v>5423486</v>
      </c>
      <c r="E84" s="18">
        <f>SUM('1:57'!E84)</f>
        <v>25961670</v>
      </c>
      <c r="F84" s="22">
        <f t="shared" si="5"/>
        <v>4.7868972096544544</v>
      </c>
    </row>
    <row r="85" spans="1:6" x14ac:dyDescent="0.2">
      <c r="A85" s="20">
        <v>19</v>
      </c>
      <c r="B85" s="179" t="s">
        <v>17</v>
      </c>
      <c r="C85" s="180"/>
      <c r="D85" s="15">
        <f t="shared" si="4"/>
        <v>16316517</v>
      </c>
      <c r="E85" s="18">
        <f>SUM('1:57'!E85)</f>
        <v>48208148</v>
      </c>
      <c r="F85" s="22">
        <f t="shared" si="5"/>
        <v>2.954561197098621</v>
      </c>
    </row>
    <row r="86" spans="1:6" x14ac:dyDescent="0.2">
      <c r="A86" s="20">
        <v>20</v>
      </c>
      <c r="B86" s="179" t="s">
        <v>18</v>
      </c>
      <c r="C86" s="180"/>
      <c r="D86" s="15">
        <f t="shared" si="4"/>
        <v>3749799</v>
      </c>
      <c r="E86" s="18">
        <f>SUM('1:57'!E86)</f>
        <v>15241780</v>
      </c>
      <c r="F86" s="22">
        <f t="shared" si="5"/>
        <v>4.0646925341864995</v>
      </c>
    </row>
    <row r="87" spans="1:6" x14ac:dyDescent="0.2">
      <c r="A87" s="20">
        <v>21</v>
      </c>
      <c r="B87" s="179" t="s">
        <v>801</v>
      </c>
      <c r="C87" s="180"/>
      <c r="D87" s="15">
        <f t="shared" si="4"/>
        <v>2415419</v>
      </c>
      <c r="E87" s="18">
        <f>SUM('1:57'!E87)</f>
        <v>7818329</v>
      </c>
      <c r="F87" s="22">
        <f t="shared" si="5"/>
        <v>3.2368417239410636</v>
      </c>
    </row>
    <row r="88" spans="1:6" x14ac:dyDescent="0.2">
      <c r="A88" s="20">
        <v>22</v>
      </c>
      <c r="B88" s="179" t="s">
        <v>19</v>
      </c>
      <c r="C88" s="180"/>
      <c r="D88" s="15">
        <f t="shared" si="4"/>
        <v>1341796</v>
      </c>
      <c r="E88" s="18">
        <f>SUM('1:57'!E88)</f>
        <v>4102315</v>
      </c>
      <c r="F88" s="22">
        <f t="shared" si="5"/>
        <v>3.0573313678085192</v>
      </c>
    </row>
    <row r="89" spans="1:6" x14ac:dyDescent="0.2">
      <c r="A89" s="20">
        <v>23</v>
      </c>
      <c r="B89" s="179" t="s">
        <v>20</v>
      </c>
      <c r="C89" s="180"/>
      <c r="D89" s="15">
        <f t="shared" si="4"/>
        <v>7016541</v>
      </c>
      <c r="E89" s="18">
        <f>SUM('1:57'!E89)</f>
        <v>28241377</v>
      </c>
      <c r="F89" s="22">
        <f t="shared" si="5"/>
        <v>4.0249714211033609</v>
      </c>
    </row>
    <row r="90" spans="1:6" x14ac:dyDescent="0.2">
      <c r="A90" s="20">
        <v>24</v>
      </c>
      <c r="B90" s="179" t="s">
        <v>21</v>
      </c>
      <c r="C90" s="180"/>
      <c r="D90" s="15">
        <f t="shared" si="4"/>
        <v>8577814</v>
      </c>
      <c r="E90" s="18">
        <f>SUM('1:57'!E90)</f>
        <v>23491647</v>
      </c>
      <c r="F90" s="22">
        <f t="shared" si="5"/>
        <v>2.7386519455889342</v>
      </c>
    </row>
    <row r="91" spans="1:6" x14ac:dyDescent="0.2">
      <c r="A91" s="20">
        <v>25</v>
      </c>
      <c r="B91" s="179" t="s">
        <v>22</v>
      </c>
      <c r="C91" s="180"/>
      <c r="D91" s="15">
        <f t="shared" si="4"/>
        <v>52884597</v>
      </c>
      <c r="E91" s="18">
        <f>SUM('1:57'!E91)</f>
        <v>141084939</v>
      </c>
      <c r="F91" s="22">
        <f t="shared" si="5"/>
        <v>2.6677888648749652</v>
      </c>
    </row>
    <row r="92" spans="1:6" x14ac:dyDescent="0.2">
      <c r="A92" s="20">
        <v>26</v>
      </c>
      <c r="B92" s="179" t="s">
        <v>23</v>
      </c>
      <c r="C92" s="180"/>
      <c r="D92" s="15">
        <f t="shared" si="4"/>
        <v>16425348</v>
      </c>
      <c r="E92" s="18">
        <f>SUM('1:57'!E92)</f>
        <v>67936679</v>
      </c>
      <c r="F92" s="22">
        <f t="shared" si="5"/>
        <v>4.1360876494062717</v>
      </c>
    </row>
    <row r="93" spans="1:6" x14ac:dyDescent="0.2">
      <c r="A93" s="20">
        <v>28</v>
      </c>
      <c r="B93" s="179" t="s">
        <v>24</v>
      </c>
      <c r="C93" s="180"/>
      <c r="D93" s="15">
        <f t="shared" si="4"/>
        <v>19307120</v>
      </c>
      <c r="E93" s="18">
        <f>SUM('1:57'!E93)</f>
        <v>55137878</v>
      </c>
      <c r="F93" s="22">
        <f t="shared" si="5"/>
        <v>2.8558313202590546</v>
      </c>
    </row>
    <row r="94" spans="1:6" ht="15.75" customHeight="1" thickBot="1" x14ac:dyDescent="0.25">
      <c r="A94" s="23">
        <v>29</v>
      </c>
      <c r="B94" s="181" t="s">
        <v>25</v>
      </c>
      <c r="C94" s="182"/>
      <c r="D94" s="24">
        <f t="shared" si="4"/>
        <v>16845004</v>
      </c>
      <c r="E94" s="25">
        <f>SUM('1:57'!E94)</f>
        <v>45975885</v>
      </c>
      <c r="F94" s="26">
        <f t="shared" si="5"/>
        <v>2.729348416895597</v>
      </c>
    </row>
    <row r="95" spans="1:6" x14ac:dyDescent="0.2">
      <c r="C95" s="14" t="s">
        <v>35</v>
      </c>
      <c r="D95" s="65">
        <f>SUM(D67:D94)</f>
        <v>319242471</v>
      </c>
      <c r="E95" s="5">
        <f>SUM(E67:E94)</f>
        <v>1041451537</v>
      </c>
      <c r="F95" s="9">
        <f t="shared" si="5"/>
        <v>3.2622587268471555</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SUM('1:57'!E98)</f>
        <v>477318384</v>
      </c>
      <c r="F98" s="21">
        <f t="shared" ref="F98:F105" si="6">IFERROR(E98/$D$95,"")</f>
        <v>1.4951594081603259</v>
      </c>
    </row>
    <row r="99" spans="2:6" x14ac:dyDescent="0.2">
      <c r="B99" s="185" t="s">
        <v>31</v>
      </c>
      <c r="C99" s="186"/>
      <c r="D99" s="37"/>
      <c r="E99" s="18">
        <f>SUM('1:57'!E99)</f>
        <v>264454060</v>
      </c>
      <c r="F99" s="22">
        <f t="shared" si="6"/>
        <v>0.82837994321877051</v>
      </c>
    </row>
    <row r="100" spans="2:6" x14ac:dyDescent="0.2">
      <c r="B100" s="185" t="s">
        <v>32</v>
      </c>
      <c r="C100" s="186"/>
      <c r="D100" s="37"/>
      <c r="E100" s="18">
        <f>SUM('1:57'!E100)</f>
        <v>250116331</v>
      </c>
      <c r="F100" s="22">
        <f t="shared" si="6"/>
        <v>0.78346822155752582</v>
      </c>
    </row>
    <row r="101" spans="2:6" x14ac:dyDescent="0.2">
      <c r="B101" s="185" t="s">
        <v>28</v>
      </c>
      <c r="C101" s="186"/>
      <c r="D101" s="37"/>
      <c r="E101" s="18">
        <f>SUM('1:57'!E101)</f>
        <v>920649</v>
      </c>
      <c r="F101" s="22">
        <f t="shared" si="6"/>
        <v>2.8838550118853077E-3</v>
      </c>
    </row>
    <row r="102" spans="2:6" x14ac:dyDescent="0.2">
      <c r="B102" s="185" t="s">
        <v>33</v>
      </c>
      <c r="C102" s="186"/>
      <c r="D102" s="37"/>
      <c r="E102" s="18">
        <f>SUM('1:57'!E102)</f>
        <v>18637246</v>
      </c>
      <c r="F102" s="22">
        <f t="shared" si="6"/>
        <v>5.837959448697539E-2</v>
      </c>
    </row>
    <row r="103" spans="2:6" x14ac:dyDescent="0.2">
      <c r="B103" s="187" t="s">
        <v>34</v>
      </c>
      <c r="C103" s="188"/>
      <c r="D103" s="37"/>
      <c r="E103" s="18">
        <f>SUM('1:57'!E103)</f>
        <v>51189603</v>
      </c>
      <c r="F103" s="22">
        <f t="shared" si="6"/>
        <v>0.16034709554669496</v>
      </c>
    </row>
    <row r="104" spans="2:6" ht="15.75" customHeight="1" thickBot="1" x14ac:dyDescent="0.25">
      <c r="B104" s="177" t="s">
        <v>29</v>
      </c>
      <c r="C104" s="178"/>
      <c r="D104" s="38"/>
      <c r="E104" s="25">
        <f>SUM('1:57'!E104)</f>
        <v>90257321.689999998</v>
      </c>
      <c r="F104" s="26">
        <f t="shared" si="6"/>
        <v>0.28272341523756717</v>
      </c>
    </row>
    <row r="105" spans="2:6" x14ac:dyDescent="0.2">
      <c r="C105" s="14" t="s">
        <v>35</v>
      </c>
      <c r="D105" s="13">
        <f>D95</f>
        <v>319242471</v>
      </c>
      <c r="E105" s="5">
        <f>SUM(E98:E104)</f>
        <v>1152893594.6900001</v>
      </c>
      <c r="F105" s="9">
        <f t="shared" si="6"/>
        <v>3.6113415332197452</v>
      </c>
    </row>
    <row r="107" spans="2:6" ht="15" thickBot="1" x14ac:dyDescent="0.25">
      <c r="B107" s="12" t="s">
        <v>1281</v>
      </c>
    </row>
    <row r="108" spans="2:6" ht="28.5" x14ac:dyDescent="0.2">
      <c r="B108" s="46" t="s">
        <v>1275</v>
      </c>
      <c r="C108" s="28" t="s">
        <v>1279</v>
      </c>
      <c r="D108" s="28" t="s">
        <v>29</v>
      </c>
      <c r="E108" s="28" t="s">
        <v>1280</v>
      </c>
      <c r="F108" s="47" t="s">
        <v>35</v>
      </c>
    </row>
    <row r="109" spans="2:6" x14ac:dyDescent="0.2">
      <c r="B109" s="43" t="s">
        <v>1276</v>
      </c>
      <c r="C109" s="16">
        <f>SUM('1:57'!C109)</f>
        <v>1169238358</v>
      </c>
      <c r="D109" s="16">
        <f>SUM('1:57'!D109)</f>
        <v>117790795</v>
      </c>
      <c r="E109" s="16">
        <f>SUM('1:57'!E109)</f>
        <v>134786380</v>
      </c>
      <c r="F109" s="48">
        <f>SUM('1:57'!F109)</f>
        <v>1421815533</v>
      </c>
    </row>
    <row r="110" spans="2:6" x14ac:dyDescent="0.2">
      <c r="B110" s="43" t="s">
        <v>28</v>
      </c>
      <c r="C110" s="51">
        <f>SUM('1:57'!C110)</f>
        <v>747147</v>
      </c>
      <c r="D110" s="52">
        <f>SUM('1:57'!D110)</f>
        <v>0</v>
      </c>
      <c r="E110" s="51">
        <f>SUM('1:57'!E110)</f>
        <v>747147</v>
      </c>
      <c r="F110" s="49">
        <f>SUM('1:57'!F110)</f>
        <v>1494294</v>
      </c>
    </row>
    <row r="111" spans="2:6" x14ac:dyDescent="0.2">
      <c r="B111" s="43" t="s">
        <v>1277</v>
      </c>
      <c r="C111" s="51">
        <f>SUM('1:57'!C111)</f>
        <v>57516158</v>
      </c>
      <c r="D111" s="52">
        <f>SUM('1:57'!D111)</f>
        <v>0</v>
      </c>
      <c r="E111" s="51">
        <f>SUM('1:57'!E111)</f>
        <v>35605880</v>
      </c>
      <c r="F111" s="49">
        <f>SUM('1:57'!F111)</f>
        <v>93122038</v>
      </c>
    </row>
    <row r="112" spans="2:6" x14ac:dyDescent="0.2">
      <c r="B112" s="43" t="s">
        <v>32</v>
      </c>
      <c r="C112" s="51">
        <f>SUM('1:57'!C112)</f>
        <v>196449669</v>
      </c>
      <c r="D112" s="52">
        <f>SUM('1:57'!D112)</f>
        <v>0</v>
      </c>
      <c r="E112" s="51">
        <f>SUM('1:57'!E112)</f>
        <v>53666662</v>
      </c>
      <c r="F112" s="49">
        <f>SUM('1:57'!F112)</f>
        <v>250116331</v>
      </c>
    </row>
    <row r="113" spans="1:6" x14ac:dyDescent="0.2">
      <c r="B113" s="43" t="s">
        <v>31</v>
      </c>
      <c r="C113" s="51">
        <f>SUM('1:57'!C113)</f>
        <v>212621101</v>
      </c>
      <c r="D113" s="52">
        <f>SUM('1:57'!D113)</f>
        <v>0</v>
      </c>
      <c r="E113" s="51">
        <f>SUM('1:57'!E113)</f>
        <v>51832959</v>
      </c>
      <c r="F113" s="49">
        <f>SUM('1:57'!F113)</f>
        <v>264454060</v>
      </c>
    </row>
    <row r="114" spans="1:6" x14ac:dyDescent="0.2">
      <c r="B114" s="43" t="s">
        <v>1363</v>
      </c>
      <c r="C114" s="51">
        <f>SUM('1:57'!C114)</f>
        <v>301779788</v>
      </c>
      <c r="D114" s="52">
        <f>SUM('1:57'!D114)</f>
        <v>0</v>
      </c>
      <c r="E114" s="51">
        <f>SUM('1:57'!E114)</f>
        <v>175538596</v>
      </c>
      <c r="F114" s="49">
        <f>SUM('1:57'!F114)</f>
        <v>477318384</v>
      </c>
    </row>
    <row r="115" spans="1:6" x14ac:dyDescent="0.2">
      <c r="B115" s="43" t="s">
        <v>1278</v>
      </c>
      <c r="C115" s="51">
        <f>SUM('1:57'!C115)</f>
        <v>96273800</v>
      </c>
      <c r="D115" s="51">
        <f>SUM('1:57'!D115)</f>
        <v>25838273</v>
      </c>
      <c r="E115" s="51">
        <f>SUM('1:57'!E115)</f>
        <v>307643246</v>
      </c>
      <c r="F115" s="49">
        <f>SUM('1:57'!F115)</f>
        <v>429755319</v>
      </c>
    </row>
    <row r="116" spans="1:6" x14ac:dyDescent="0.2">
      <c r="B116" s="43" t="s">
        <v>33</v>
      </c>
      <c r="C116" s="51">
        <f>SUM('1:57'!C116)</f>
        <v>255173</v>
      </c>
      <c r="D116" s="51">
        <f>SUM('1:57'!D116)</f>
        <v>0</v>
      </c>
      <c r="E116" s="51">
        <f>SUM('1:57'!E116)</f>
        <v>18637246</v>
      </c>
      <c r="F116" s="49">
        <f>SUM('1:57'!F116)</f>
        <v>18892419</v>
      </c>
    </row>
    <row r="117" spans="1:6" ht="15" thickBot="1" x14ac:dyDescent="0.25">
      <c r="B117" s="44" t="s">
        <v>1282</v>
      </c>
      <c r="C117" s="53">
        <f>SUM('1:57'!C117)</f>
        <v>0</v>
      </c>
      <c r="D117" s="53">
        <f>SUM('1:57'!D117)</f>
        <v>90257321.689999998</v>
      </c>
      <c r="E117" s="53">
        <f>SUM('1:57'!E117)</f>
        <v>0</v>
      </c>
      <c r="F117" s="50">
        <f>SUM('1:57'!F117)</f>
        <v>90257321.689999998</v>
      </c>
    </row>
    <row r="118" spans="1:6" x14ac:dyDescent="0.2">
      <c r="B118" s="14" t="s">
        <v>35</v>
      </c>
      <c r="C118" s="5">
        <f>SUM(C109:C116)</f>
        <v>2034881194</v>
      </c>
      <c r="D118" s="5">
        <f>SUM(D109:D116)</f>
        <v>143629068</v>
      </c>
      <c r="E118" s="5">
        <f>SUM(E109:E116)</f>
        <v>778458116</v>
      </c>
      <c r="F118" s="5">
        <f>SUM(F109:F116)</f>
        <v>2956968378</v>
      </c>
    </row>
    <row r="119" spans="1:6" ht="15" thickBot="1" x14ac:dyDescent="0.25"/>
    <row r="120" spans="1:6" ht="15" thickBot="1" x14ac:dyDescent="0.25">
      <c r="B120" s="57" t="s">
        <v>1283</v>
      </c>
      <c r="C120" s="55">
        <f>SUM('1:57'!C120)</f>
        <v>0</v>
      </c>
      <c r="D120" s="55">
        <f>SUM('1:57'!D120)</f>
        <v>0</v>
      </c>
      <c r="E120" s="55">
        <f>SUM('1:57'!E120)</f>
        <v>51189603</v>
      </c>
      <c r="F120" s="56">
        <f>SUM('1:57'!F120)</f>
        <v>51189603</v>
      </c>
    </row>
    <row r="122" spans="1:6" s="59" customFormat="1" ht="113.25" customHeight="1" x14ac:dyDescent="0.2">
      <c r="A122" s="191" t="s">
        <v>1284</v>
      </c>
      <c r="B122" s="191"/>
      <c r="C122" s="191"/>
      <c r="D122" s="191"/>
      <c r="E122" s="191"/>
      <c r="F122" s="191"/>
    </row>
  </sheetData>
  <mergeCells count="96">
    <mergeCell ref="A122:F122"/>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78:C78"/>
    <mergeCell ref="B67:C67"/>
    <mergeCell ref="B68:C68"/>
    <mergeCell ref="B69:C69"/>
    <mergeCell ref="B70:C70"/>
    <mergeCell ref="B71:C71"/>
    <mergeCell ref="B72:C72"/>
    <mergeCell ref="B73:C73"/>
    <mergeCell ref="B74:C74"/>
    <mergeCell ref="B75:C75"/>
    <mergeCell ref="B76:C76"/>
    <mergeCell ref="B77:C77"/>
    <mergeCell ref="B90:C90"/>
    <mergeCell ref="B79:C79"/>
    <mergeCell ref="B80:C80"/>
    <mergeCell ref="B81:C81"/>
    <mergeCell ref="B82:C82"/>
    <mergeCell ref="B83:C83"/>
    <mergeCell ref="B84:C84"/>
    <mergeCell ref="B85:C85"/>
    <mergeCell ref="B86:C86"/>
    <mergeCell ref="B87:C87"/>
    <mergeCell ref="B88:C88"/>
    <mergeCell ref="B89:C89"/>
    <mergeCell ref="B104:C104"/>
    <mergeCell ref="B91:C91"/>
    <mergeCell ref="B92:C92"/>
    <mergeCell ref="B93:C93"/>
    <mergeCell ref="B94:C94"/>
    <mergeCell ref="B97:C97"/>
    <mergeCell ref="B98:C98"/>
    <mergeCell ref="B99:C99"/>
    <mergeCell ref="B100:C100"/>
    <mergeCell ref="B101:C101"/>
    <mergeCell ref="B102:C102"/>
    <mergeCell ref="B103:C103"/>
  </mergeCells>
  <pageMargins left="0.25" right="0.25" top="0.75" bottom="0.75" header="0.3" footer="0.3"/>
  <pageSetup orientation="landscape" r:id="rId1"/>
  <rowBreaks count="2" manualBreakCount="2">
    <brk id="64" max="16383" man="1"/>
    <brk id="9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4"/>
  <sheetViews>
    <sheetView showGridLines="0" zoomScale="70" zoomScaleNormal="70" workbookViewId="0"/>
  </sheetViews>
  <sheetFormatPr defaultRowHeight="14.25" x14ac:dyDescent="0.2"/>
  <cols>
    <col min="1" max="1" width="6.5703125" style="74" customWidth="1"/>
    <col min="2" max="2" width="43.5703125" style="74" customWidth="1"/>
    <col min="3" max="5" width="9.140625" style="74" bestFit="1" customWidth="1"/>
    <col min="6" max="15" width="8.140625" style="74" customWidth="1"/>
    <col min="16" max="16" width="2.85546875" style="74" customWidth="1"/>
    <col min="17" max="28" width="9.42578125" style="74" customWidth="1"/>
    <col min="29" max="42" width="9.140625" style="74"/>
    <col min="43" max="43" width="17.85546875" style="74" bestFit="1" customWidth="1"/>
    <col min="44" max="46" width="9.140625" style="74"/>
    <col min="47" max="47" width="17.85546875" style="74" bestFit="1" customWidth="1"/>
    <col min="48" max="16384" width="9.140625" style="74"/>
  </cols>
  <sheetData>
    <row r="1" spans="1:28" x14ac:dyDescent="0.2">
      <c r="A1" s="39" t="str">
        <f>[1]Summary!A1</f>
        <v>Community and Technical Colleges, Report of Fundable Operating Expenses, Fiscal Year (FY) 2010</v>
      </c>
      <c r="B1" s="39"/>
      <c r="C1" s="39"/>
      <c r="D1" s="39"/>
      <c r="E1" s="39"/>
      <c r="F1" s="39"/>
      <c r="G1" s="39"/>
      <c r="H1" s="39"/>
      <c r="I1" s="39"/>
      <c r="J1" s="39"/>
      <c r="K1" s="39"/>
      <c r="L1" s="39"/>
      <c r="M1" s="39"/>
      <c r="N1" s="39"/>
      <c r="O1" s="39"/>
    </row>
    <row r="2" spans="1:28" ht="15" thickBot="1" x14ac:dyDescent="0.25">
      <c r="A2" s="6" t="s">
        <v>1285</v>
      </c>
      <c r="Q2" s="76" t="s">
        <v>1287</v>
      </c>
      <c r="R2" s="76"/>
      <c r="S2" s="76"/>
      <c r="T2" s="76"/>
      <c r="U2" s="76"/>
      <c r="V2" s="76"/>
      <c r="W2" s="76"/>
      <c r="X2" s="76"/>
      <c r="Y2" s="76"/>
      <c r="Z2" s="76"/>
      <c r="AA2" s="76"/>
      <c r="AB2" s="76"/>
    </row>
    <row r="3" spans="1:28" ht="29.25" customHeight="1" x14ac:dyDescent="0.2">
      <c r="A3" s="157" t="s">
        <v>26</v>
      </c>
      <c r="B3" s="156" t="s">
        <v>1286</v>
      </c>
      <c r="C3" s="63">
        <v>2011</v>
      </c>
      <c r="D3" s="63">
        <v>2010</v>
      </c>
      <c r="E3" s="63">
        <v>2009</v>
      </c>
      <c r="F3" s="63">
        <v>2008</v>
      </c>
      <c r="G3" s="63">
        <v>2007</v>
      </c>
      <c r="H3" s="63">
        <v>2006</v>
      </c>
      <c r="I3" s="63">
        <v>2005</v>
      </c>
      <c r="J3" s="63">
        <v>2004</v>
      </c>
      <c r="K3" s="63">
        <v>2003</v>
      </c>
      <c r="L3" s="63">
        <v>2002</v>
      </c>
      <c r="M3" s="63">
        <v>2001</v>
      </c>
      <c r="N3" s="63">
        <v>2000</v>
      </c>
      <c r="O3" s="167">
        <v>1999</v>
      </c>
      <c r="Q3" s="70">
        <v>2011</v>
      </c>
      <c r="R3" s="168">
        <v>2010</v>
      </c>
      <c r="S3" s="168">
        <v>2009</v>
      </c>
      <c r="T3" s="168">
        <v>2008</v>
      </c>
      <c r="U3" s="168">
        <v>2007</v>
      </c>
      <c r="V3" s="168">
        <v>2006</v>
      </c>
      <c r="W3" s="168">
        <v>2005</v>
      </c>
      <c r="X3" s="168">
        <v>2004</v>
      </c>
      <c r="Y3" s="168">
        <v>2003</v>
      </c>
      <c r="Z3" s="168">
        <v>2002</v>
      </c>
      <c r="AA3" s="168">
        <v>2001</v>
      </c>
      <c r="AB3" s="167">
        <v>2000</v>
      </c>
    </row>
    <row r="4" spans="1:28" x14ac:dyDescent="0.2">
      <c r="A4" s="20">
        <v>1</v>
      </c>
      <c r="B4" s="154" t="s">
        <v>0</v>
      </c>
      <c r="C4" s="17">
        <f>Summary!F5</f>
        <v>8.6593498930426573</v>
      </c>
      <c r="D4" s="17">
        <f>[1]Summary!F5</f>
        <v>8.3546442290931431</v>
      </c>
      <c r="E4" s="17">
        <v>8.9459923907540038</v>
      </c>
      <c r="F4" s="17">
        <v>7.6999999999999993</v>
      </c>
      <c r="G4" s="17">
        <v>7.3699999999999992</v>
      </c>
      <c r="H4" s="17"/>
      <c r="I4" s="17">
        <v>7.25</v>
      </c>
      <c r="J4" s="17">
        <v>9.82</v>
      </c>
      <c r="K4" s="17">
        <v>7.1800000000000006</v>
      </c>
      <c r="L4" s="17">
        <v>7.58</v>
      </c>
      <c r="M4" s="17">
        <v>7</v>
      </c>
      <c r="N4" s="17">
        <v>6.669999999999999</v>
      </c>
      <c r="O4" s="169">
        <v>6.8100000000000005</v>
      </c>
      <c r="Q4" s="71">
        <f t="shared" ref="Q4:Q31" si="0">IFERROR(C4/D4-1,"")</f>
        <v>3.6471411061220982E-2</v>
      </c>
      <c r="R4" s="170">
        <f t="shared" ref="R4:R31" si="1">IFERROR(D4/E4-1,"")</f>
        <v>-6.6102019298835968E-2</v>
      </c>
      <c r="S4" s="170">
        <f t="shared" ref="S4:S31" si="2">IFERROR(E4/F4-1,"")</f>
        <v>0.16181719360441615</v>
      </c>
      <c r="T4" s="170">
        <f t="shared" ref="T4:T31" si="3">IFERROR(F4/G4-1,"")</f>
        <v>4.4776119402984982E-2</v>
      </c>
      <c r="U4" s="170" t="str">
        <f t="shared" ref="U4:U31" si="4">IFERROR(G4/H4-1,"")</f>
        <v/>
      </c>
      <c r="V4" s="170">
        <f t="shared" ref="V4:V31" si="5">IFERROR(H4/I4-1,"")</f>
        <v>-1</v>
      </c>
      <c r="W4" s="170">
        <f t="shared" ref="W4:W31" si="6">IFERROR(I4/J4-1,"")</f>
        <v>-0.26171079429735233</v>
      </c>
      <c r="X4" s="170">
        <f t="shared" ref="X4:X31" si="7">IFERROR(J4/K4-1,"")</f>
        <v>0.36768802228412256</v>
      </c>
      <c r="Y4" s="170">
        <f t="shared" ref="Y4:Y31" si="8">IFERROR(K4/L4-1,"")</f>
        <v>-5.2770448548812632E-2</v>
      </c>
      <c r="Z4" s="170">
        <f t="shared" ref="Z4:Z31" si="9">IFERROR(L4/M4-1,"")</f>
        <v>8.2857142857142962E-2</v>
      </c>
      <c r="AA4" s="170">
        <f t="shared" ref="AA4:AA31" si="10">IFERROR(M4/N4-1,"")</f>
        <v>4.947526236881572E-2</v>
      </c>
      <c r="AB4" s="171">
        <f t="shared" ref="AB4:AB31" si="11">IFERROR(N4/O4-1,"")</f>
        <v>-2.0558002936857722E-2</v>
      </c>
    </row>
    <row r="5" spans="1:28" ht="28.5" x14ac:dyDescent="0.2">
      <c r="A5" s="20">
        <v>2</v>
      </c>
      <c r="B5" s="154" t="s">
        <v>1</v>
      </c>
      <c r="C5" s="19">
        <f>Summary!F6</f>
        <v>9.184542131826074</v>
      </c>
      <c r="D5" s="19">
        <f>[1]Summary!F6</f>
        <v>9.1518481254453672</v>
      </c>
      <c r="E5" s="19">
        <v>9.8950420932895486</v>
      </c>
      <c r="F5" s="19">
        <v>8.879999999999999</v>
      </c>
      <c r="G5" s="19">
        <v>10.29</v>
      </c>
      <c r="H5" s="19"/>
      <c r="I5" s="19">
        <v>8.82</v>
      </c>
      <c r="J5" s="19">
        <v>11.31</v>
      </c>
      <c r="K5" s="19">
        <v>7.3100000000000005</v>
      </c>
      <c r="L5" s="19">
        <v>7.27</v>
      </c>
      <c r="M5" s="19">
        <v>7.5600000000000005</v>
      </c>
      <c r="N5" s="19">
        <v>6.8299999999999992</v>
      </c>
      <c r="O5" s="172">
        <v>6.6400000000000006</v>
      </c>
      <c r="Q5" s="71">
        <f t="shared" si="0"/>
        <v>3.5723938960270374E-3</v>
      </c>
      <c r="R5" s="170">
        <f t="shared" si="1"/>
        <v>-7.5107711603186411E-2</v>
      </c>
      <c r="S5" s="170">
        <f t="shared" si="2"/>
        <v>0.11430654203711144</v>
      </c>
      <c r="T5" s="170">
        <f t="shared" si="3"/>
        <v>-0.13702623906705547</v>
      </c>
      <c r="U5" s="170" t="str">
        <f t="shared" si="4"/>
        <v/>
      </c>
      <c r="V5" s="170">
        <f t="shared" si="5"/>
        <v>-1</v>
      </c>
      <c r="W5" s="170">
        <f t="shared" si="6"/>
        <v>-0.22015915119363394</v>
      </c>
      <c r="X5" s="170">
        <f t="shared" si="7"/>
        <v>0.54719562243502051</v>
      </c>
      <c r="Y5" s="170">
        <f t="shared" si="8"/>
        <v>5.5020632737277086E-3</v>
      </c>
      <c r="Z5" s="170">
        <f t="shared" si="9"/>
        <v>-3.8359788359788483E-2</v>
      </c>
      <c r="AA5" s="170">
        <f t="shared" si="10"/>
        <v>0.10688140556368975</v>
      </c>
      <c r="AB5" s="171">
        <f t="shared" si="11"/>
        <v>2.8614457831324991E-2</v>
      </c>
    </row>
    <row r="6" spans="1:28" ht="28.5" x14ac:dyDescent="0.2">
      <c r="A6" s="20">
        <v>3</v>
      </c>
      <c r="B6" s="154" t="s">
        <v>2</v>
      </c>
      <c r="C6" s="19">
        <f>Summary!F7</f>
        <v>7.4925173725292336</v>
      </c>
      <c r="D6" s="19">
        <f>[1]Summary!F7</f>
        <v>7.4246458040228518</v>
      </c>
      <c r="E6" s="19">
        <v>7.7869596956256011</v>
      </c>
      <c r="F6" s="19">
        <v>6.85</v>
      </c>
      <c r="G6" s="19">
        <v>6.65</v>
      </c>
      <c r="H6" s="19"/>
      <c r="I6" s="19">
        <v>6.1899999999999995</v>
      </c>
      <c r="J6" s="19">
        <v>7.98</v>
      </c>
      <c r="K6" s="19">
        <v>5.86</v>
      </c>
      <c r="L6" s="19">
        <v>6.0399999999999991</v>
      </c>
      <c r="M6" s="19">
        <v>5.9</v>
      </c>
      <c r="N6" s="19">
        <v>5.6899999999999995</v>
      </c>
      <c r="O6" s="172">
        <v>5.51</v>
      </c>
      <c r="Q6" s="71">
        <f t="shared" si="0"/>
        <v>9.1413880605062392E-3</v>
      </c>
      <c r="R6" s="170">
        <f t="shared" si="1"/>
        <v>-4.6528286489819992E-2</v>
      </c>
      <c r="S6" s="170">
        <f t="shared" si="2"/>
        <v>0.13678243731760609</v>
      </c>
      <c r="T6" s="170">
        <f t="shared" si="3"/>
        <v>3.007518796992481E-2</v>
      </c>
      <c r="U6" s="170" t="str">
        <f t="shared" si="4"/>
        <v/>
      </c>
      <c r="V6" s="170">
        <f t="shared" si="5"/>
        <v>-1</v>
      </c>
      <c r="W6" s="170">
        <f t="shared" si="6"/>
        <v>-0.22431077694235602</v>
      </c>
      <c r="X6" s="170">
        <f t="shared" si="7"/>
        <v>0.36177474402730381</v>
      </c>
      <c r="Y6" s="170">
        <f t="shared" si="8"/>
        <v>-2.9801324503311077E-2</v>
      </c>
      <c r="Z6" s="170">
        <f t="shared" si="9"/>
        <v>2.3728813559321882E-2</v>
      </c>
      <c r="AA6" s="170">
        <f t="shared" si="10"/>
        <v>3.6906854130052791E-2</v>
      </c>
      <c r="AB6" s="171">
        <f t="shared" si="11"/>
        <v>3.2667876588021727E-2</v>
      </c>
    </row>
    <row r="7" spans="1:28" ht="28.5" x14ac:dyDescent="0.2">
      <c r="A7" s="20">
        <v>4</v>
      </c>
      <c r="B7" s="154" t="s">
        <v>3</v>
      </c>
      <c r="C7" s="19">
        <f>Summary!F8</f>
        <v>7.4560900009859781</v>
      </c>
      <c r="D7" s="19">
        <f>[1]Summary!F8</f>
        <v>7.5459725534394755</v>
      </c>
      <c r="E7" s="19">
        <v>7.9514487703004368</v>
      </c>
      <c r="F7" s="19">
        <v>7.1099999999999994</v>
      </c>
      <c r="G7" s="19">
        <v>6.9700000000000006</v>
      </c>
      <c r="H7" s="19"/>
      <c r="I7" s="19">
        <v>6.58</v>
      </c>
      <c r="J7" s="19">
        <v>8.86</v>
      </c>
      <c r="K7" s="19">
        <v>6.69</v>
      </c>
      <c r="L7" s="19">
        <v>6.4599999999999991</v>
      </c>
      <c r="M7" s="19">
        <v>6.07</v>
      </c>
      <c r="N7" s="19">
        <v>6.129999999999999</v>
      </c>
      <c r="O7" s="172">
        <v>6.22</v>
      </c>
      <c r="Q7" s="71">
        <f t="shared" si="0"/>
        <v>-1.191132777345294E-2</v>
      </c>
      <c r="R7" s="170">
        <f t="shared" si="1"/>
        <v>-5.0994004812740634E-2</v>
      </c>
      <c r="S7" s="170">
        <f t="shared" si="2"/>
        <v>0.11834722507741735</v>
      </c>
      <c r="T7" s="170">
        <f t="shared" si="3"/>
        <v>2.0086083213773032E-2</v>
      </c>
      <c r="U7" s="170" t="str">
        <f t="shared" si="4"/>
        <v/>
      </c>
      <c r="V7" s="170">
        <f t="shared" si="5"/>
        <v>-1</v>
      </c>
      <c r="W7" s="170">
        <f t="shared" si="6"/>
        <v>-0.2573363431151241</v>
      </c>
      <c r="X7" s="170">
        <f t="shared" si="7"/>
        <v>0.32436472346786238</v>
      </c>
      <c r="Y7" s="170">
        <f t="shared" si="8"/>
        <v>3.5603715170278827E-2</v>
      </c>
      <c r="Z7" s="170">
        <f t="shared" si="9"/>
        <v>6.4250411861614287E-2</v>
      </c>
      <c r="AA7" s="170">
        <f t="shared" si="10"/>
        <v>-9.7879282218594765E-3</v>
      </c>
      <c r="AB7" s="171">
        <f t="shared" si="11"/>
        <v>-1.4469453376205865E-2</v>
      </c>
    </row>
    <row r="8" spans="1:28" x14ac:dyDescent="0.2">
      <c r="A8" s="20">
        <v>5</v>
      </c>
      <c r="B8" s="154" t="s">
        <v>4</v>
      </c>
      <c r="C8" s="19">
        <f>Summary!F9</f>
        <v>32.970587980750146</v>
      </c>
      <c r="D8" s="19">
        <f>[1]Summary!F9</f>
        <v>31.732203333682957</v>
      </c>
      <c r="E8" s="19">
        <v>35.064015681109112</v>
      </c>
      <c r="F8" s="19">
        <v>33.869999999999997</v>
      </c>
      <c r="G8" s="19">
        <v>30.76</v>
      </c>
      <c r="H8" s="19"/>
      <c r="I8" s="19">
        <v>23.45</v>
      </c>
      <c r="J8" s="19">
        <v>25.28</v>
      </c>
      <c r="K8" s="19">
        <v>13.77</v>
      </c>
      <c r="L8" s="19">
        <v>11.03</v>
      </c>
      <c r="M8" s="19">
        <v>16.04</v>
      </c>
      <c r="N8" s="19">
        <v>19.419999999999998</v>
      </c>
      <c r="O8" s="172">
        <v>18.690000000000001</v>
      </c>
      <c r="Q8" s="71">
        <f t="shared" si="0"/>
        <v>3.9026115963169739E-2</v>
      </c>
      <c r="R8" s="170">
        <f t="shared" si="1"/>
        <v>-9.502084352595086E-2</v>
      </c>
      <c r="S8" s="170">
        <f t="shared" si="2"/>
        <v>3.5252898763186158E-2</v>
      </c>
      <c r="T8" s="170">
        <f t="shared" si="3"/>
        <v>0.10110533159947965</v>
      </c>
      <c r="U8" s="170" t="str">
        <f t="shared" si="4"/>
        <v/>
      </c>
      <c r="V8" s="170">
        <f t="shared" si="5"/>
        <v>-1</v>
      </c>
      <c r="W8" s="170">
        <f t="shared" si="6"/>
        <v>-7.2389240506329222E-2</v>
      </c>
      <c r="X8" s="170">
        <f t="shared" si="7"/>
        <v>0.8358750907770518</v>
      </c>
      <c r="Y8" s="170">
        <f t="shared" si="8"/>
        <v>0.24841341795104266</v>
      </c>
      <c r="Z8" s="170">
        <f t="shared" si="9"/>
        <v>-0.31234413965087282</v>
      </c>
      <c r="AA8" s="170">
        <f t="shared" si="10"/>
        <v>-0.17404737384140057</v>
      </c>
      <c r="AB8" s="171">
        <f t="shared" si="11"/>
        <v>3.9058319957196108E-2</v>
      </c>
    </row>
    <row r="9" spans="1:28" x14ac:dyDescent="0.2">
      <c r="A9" s="20">
        <v>6</v>
      </c>
      <c r="B9" s="154" t="s">
        <v>5</v>
      </c>
      <c r="C9" s="19">
        <f>Summary!F10</f>
        <v>8.8221233203678562</v>
      </c>
      <c r="D9" s="19">
        <f>[1]Summary!F10</f>
        <v>8.541594870968245</v>
      </c>
      <c r="E9" s="19">
        <v>8.9135549933875176</v>
      </c>
      <c r="F9" s="19">
        <v>7.65</v>
      </c>
      <c r="G9" s="19">
        <v>7.3000000000000007</v>
      </c>
      <c r="H9" s="19"/>
      <c r="I9" s="19">
        <v>7.3</v>
      </c>
      <c r="J9" s="19">
        <v>10.010000000000002</v>
      </c>
      <c r="K9" s="19">
        <v>7.2100000000000009</v>
      </c>
      <c r="L9" s="19">
        <v>7.26</v>
      </c>
      <c r="M9" s="19">
        <v>6.99</v>
      </c>
      <c r="N9" s="19">
        <v>9.2100000000000009</v>
      </c>
      <c r="O9" s="172">
        <v>8.2100000000000009</v>
      </c>
      <c r="Q9" s="71">
        <f t="shared" si="0"/>
        <v>3.284263110547303E-2</v>
      </c>
      <c r="R9" s="170">
        <f t="shared" si="1"/>
        <v>-4.1729716448174692E-2</v>
      </c>
      <c r="S9" s="170">
        <f t="shared" si="2"/>
        <v>0.16517058737091728</v>
      </c>
      <c r="T9" s="170">
        <f t="shared" si="3"/>
        <v>4.7945205479452024E-2</v>
      </c>
      <c r="U9" s="170" t="str">
        <f t="shared" si="4"/>
        <v/>
      </c>
      <c r="V9" s="170">
        <f t="shared" si="5"/>
        <v>-1</v>
      </c>
      <c r="W9" s="170">
        <f t="shared" si="6"/>
        <v>-0.27072927072927089</v>
      </c>
      <c r="X9" s="170">
        <f t="shared" si="7"/>
        <v>0.38834951456310685</v>
      </c>
      <c r="Y9" s="170">
        <f t="shared" si="8"/>
        <v>-6.8870523415976992E-3</v>
      </c>
      <c r="Z9" s="170">
        <f t="shared" si="9"/>
        <v>3.8626609442059978E-2</v>
      </c>
      <c r="AA9" s="170">
        <f t="shared" si="10"/>
        <v>-0.24104234527687296</v>
      </c>
      <c r="AB9" s="171">
        <f t="shared" si="11"/>
        <v>0.12180267965895242</v>
      </c>
    </row>
    <row r="10" spans="1:28" x14ac:dyDescent="0.2">
      <c r="A10" s="20">
        <v>7</v>
      </c>
      <c r="B10" s="154" t="s">
        <v>6</v>
      </c>
      <c r="C10" s="19">
        <f>Summary!F11</f>
        <v>9.2148507431372622</v>
      </c>
      <c r="D10" s="19">
        <f>[1]Summary!F11</f>
        <v>9.0091906669667399</v>
      </c>
      <c r="E10" s="19">
        <v>9.8773789312762741</v>
      </c>
      <c r="F10" s="19">
        <v>8.52</v>
      </c>
      <c r="G10" s="19">
        <v>8.44</v>
      </c>
      <c r="H10" s="19"/>
      <c r="I10" s="19">
        <v>7.57</v>
      </c>
      <c r="J10" s="19">
        <v>9.93</v>
      </c>
      <c r="K10" s="19">
        <v>6.94</v>
      </c>
      <c r="L10" s="19">
        <v>6.92</v>
      </c>
      <c r="M10" s="19">
        <v>6.6899999999999995</v>
      </c>
      <c r="N10" s="19">
        <v>6.3199999999999994</v>
      </c>
      <c r="O10" s="172">
        <v>5.4399999999999995</v>
      </c>
      <c r="Q10" s="71">
        <f t="shared" si="0"/>
        <v>2.28278081542439E-2</v>
      </c>
      <c r="R10" s="170">
        <f t="shared" si="1"/>
        <v>-8.7896624230994647E-2</v>
      </c>
      <c r="S10" s="170">
        <f t="shared" si="2"/>
        <v>0.15931677597139382</v>
      </c>
      <c r="T10" s="170">
        <f t="shared" si="3"/>
        <v>9.4786729857820884E-3</v>
      </c>
      <c r="U10" s="170" t="str">
        <f t="shared" si="4"/>
        <v/>
      </c>
      <c r="V10" s="170">
        <f t="shared" si="5"/>
        <v>-1</v>
      </c>
      <c r="W10" s="170">
        <f t="shared" si="6"/>
        <v>-0.2376636455186304</v>
      </c>
      <c r="X10" s="170">
        <f t="shared" si="7"/>
        <v>0.4308357348703169</v>
      </c>
      <c r="Y10" s="170">
        <f t="shared" si="8"/>
        <v>2.8901734104047616E-3</v>
      </c>
      <c r="Z10" s="170">
        <f t="shared" si="9"/>
        <v>3.4379671150971625E-2</v>
      </c>
      <c r="AA10" s="170">
        <f t="shared" si="10"/>
        <v>5.8544303797468444E-2</v>
      </c>
      <c r="AB10" s="171">
        <f t="shared" si="11"/>
        <v>0.16176470588235303</v>
      </c>
    </row>
    <row r="11" spans="1:28" x14ac:dyDescent="0.2">
      <c r="A11" s="20">
        <v>8</v>
      </c>
      <c r="B11" s="154" t="s">
        <v>7</v>
      </c>
      <c r="C11" s="19">
        <f>Summary!F12</f>
        <v>9.4265511206134125</v>
      </c>
      <c r="D11" s="19">
        <f>[1]Summary!F12</f>
        <v>9.1499254382485358</v>
      </c>
      <c r="E11" s="19">
        <v>10.673804372943733</v>
      </c>
      <c r="F11" s="19">
        <v>8.0299999999999994</v>
      </c>
      <c r="G11" s="19">
        <v>7.77</v>
      </c>
      <c r="H11" s="19"/>
      <c r="I11" s="19">
        <v>8.1999999999999993</v>
      </c>
      <c r="J11" s="19">
        <v>10.92</v>
      </c>
      <c r="K11" s="19">
        <v>7.36</v>
      </c>
      <c r="L11" s="19">
        <v>6.75</v>
      </c>
      <c r="M11" s="19">
        <v>6.1199999999999992</v>
      </c>
      <c r="N11" s="19">
        <v>6.42</v>
      </c>
      <c r="O11" s="172">
        <v>5.99</v>
      </c>
      <c r="Q11" s="71">
        <f t="shared" si="0"/>
        <v>3.0232561372415701E-2</v>
      </c>
      <c r="R11" s="170">
        <f t="shared" si="1"/>
        <v>-0.14276811542077439</v>
      </c>
      <c r="S11" s="170">
        <f t="shared" si="2"/>
        <v>0.32924089326821093</v>
      </c>
      <c r="T11" s="170">
        <f t="shared" si="3"/>
        <v>3.3462033462033469E-2</v>
      </c>
      <c r="U11" s="170" t="str">
        <f t="shared" si="4"/>
        <v/>
      </c>
      <c r="V11" s="170">
        <f t="shared" si="5"/>
        <v>-1</v>
      </c>
      <c r="W11" s="170">
        <f t="shared" si="6"/>
        <v>-0.2490842490842492</v>
      </c>
      <c r="X11" s="170">
        <f t="shared" si="7"/>
        <v>0.48369565217391286</v>
      </c>
      <c r="Y11" s="170">
        <f t="shared" si="8"/>
        <v>9.0370370370370434E-2</v>
      </c>
      <c r="Z11" s="170">
        <f t="shared" si="9"/>
        <v>0.10294117647058831</v>
      </c>
      <c r="AA11" s="170">
        <f t="shared" si="10"/>
        <v>-4.6728971962616939E-2</v>
      </c>
      <c r="AB11" s="171">
        <f t="shared" si="11"/>
        <v>7.178631051752915E-2</v>
      </c>
    </row>
    <row r="12" spans="1:28" x14ac:dyDescent="0.2">
      <c r="A12" s="20">
        <v>9</v>
      </c>
      <c r="B12" s="154" t="s">
        <v>8</v>
      </c>
      <c r="C12" s="19">
        <f>Summary!F13</f>
        <v>7.5205661378393867</v>
      </c>
      <c r="D12" s="19">
        <f>[1]Summary!F13</f>
        <v>7.5340118023845886</v>
      </c>
      <c r="E12" s="19">
        <v>7.7785581546913374</v>
      </c>
      <c r="F12" s="19">
        <v>6.75</v>
      </c>
      <c r="G12" s="19">
        <v>6.49</v>
      </c>
      <c r="H12" s="19"/>
      <c r="I12" s="19">
        <v>6.14</v>
      </c>
      <c r="J12" s="19">
        <v>8.0800000000000018</v>
      </c>
      <c r="K12" s="19">
        <v>5.49</v>
      </c>
      <c r="L12" s="19">
        <v>5.51</v>
      </c>
      <c r="M12" s="19">
        <v>5.52</v>
      </c>
      <c r="N12" s="19">
        <v>5.1399999999999988</v>
      </c>
      <c r="O12" s="172">
        <v>5.35</v>
      </c>
      <c r="Q12" s="71">
        <f t="shared" si="0"/>
        <v>-1.7846619965402599E-3</v>
      </c>
      <c r="R12" s="170">
        <f t="shared" si="1"/>
        <v>-3.1438519510104901E-2</v>
      </c>
      <c r="S12" s="170">
        <f t="shared" si="2"/>
        <v>0.15237898588019805</v>
      </c>
      <c r="T12" s="170">
        <f t="shared" si="3"/>
        <v>4.006163328197232E-2</v>
      </c>
      <c r="U12" s="170" t="str">
        <f t="shared" si="4"/>
        <v/>
      </c>
      <c r="V12" s="170">
        <f t="shared" si="5"/>
        <v>-1</v>
      </c>
      <c r="W12" s="170">
        <f t="shared" si="6"/>
        <v>-0.24009900990099031</v>
      </c>
      <c r="X12" s="170">
        <f t="shared" si="7"/>
        <v>0.47176684881602937</v>
      </c>
      <c r="Y12" s="170">
        <f t="shared" si="8"/>
        <v>-3.6297640653356611E-3</v>
      </c>
      <c r="Z12" s="170">
        <f t="shared" si="9"/>
        <v>-1.8115942028985588E-3</v>
      </c>
      <c r="AA12" s="170">
        <f t="shared" si="10"/>
        <v>7.3929961089494345E-2</v>
      </c>
      <c r="AB12" s="171">
        <f t="shared" si="11"/>
        <v>-3.9252336448598268E-2</v>
      </c>
    </row>
    <row r="13" spans="1:28" x14ac:dyDescent="0.2">
      <c r="A13" s="20">
        <v>10</v>
      </c>
      <c r="B13" s="154" t="s">
        <v>9</v>
      </c>
      <c r="C13" s="19">
        <f>Summary!F14</f>
        <v>14.989515969541129</v>
      </c>
      <c r="D13" s="19">
        <f>[1]Summary!F14</f>
        <v>10.56902124915373</v>
      </c>
      <c r="E13" s="19">
        <v>11.277205573362895</v>
      </c>
      <c r="F13" s="19">
        <v>7.8599999999999994</v>
      </c>
      <c r="G13" s="19">
        <v>7.5299999999999994</v>
      </c>
      <c r="H13" s="19"/>
      <c r="I13" s="19">
        <v>10.3</v>
      </c>
      <c r="J13" s="19">
        <v>11.38</v>
      </c>
      <c r="K13" s="19">
        <v>8.9200000000000017</v>
      </c>
      <c r="L13" s="19">
        <v>8.5399999999999991</v>
      </c>
      <c r="M13" s="19">
        <v>11.49</v>
      </c>
      <c r="N13" s="19">
        <v>9.8299999999999983</v>
      </c>
      <c r="O13" s="172">
        <v>7.6400000000000006</v>
      </c>
      <c r="Q13" s="71">
        <f t="shared" si="0"/>
        <v>0.41825014977061881</v>
      </c>
      <c r="R13" s="170">
        <f t="shared" si="1"/>
        <v>-6.2797855337666131E-2</v>
      </c>
      <c r="S13" s="170">
        <f t="shared" si="2"/>
        <v>0.43475897879935066</v>
      </c>
      <c r="T13" s="170">
        <f t="shared" si="3"/>
        <v>4.3824701195219085E-2</v>
      </c>
      <c r="U13" s="170" t="str">
        <f t="shared" si="4"/>
        <v/>
      </c>
      <c r="V13" s="170">
        <f t="shared" si="5"/>
        <v>-1</v>
      </c>
      <c r="W13" s="170">
        <f t="shared" si="6"/>
        <v>-9.4903339191564129E-2</v>
      </c>
      <c r="X13" s="170">
        <f t="shared" si="7"/>
        <v>0.2757847533632285</v>
      </c>
      <c r="Y13" s="170">
        <f t="shared" si="8"/>
        <v>4.4496487119438211E-2</v>
      </c>
      <c r="Z13" s="170">
        <f t="shared" si="9"/>
        <v>-0.25674499564839004</v>
      </c>
      <c r="AA13" s="170">
        <f t="shared" si="10"/>
        <v>0.1688708036622586</v>
      </c>
      <c r="AB13" s="171">
        <f t="shared" si="11"/>
        <v>0.28664921465968551</v>
      </c>
    </row>
    <row r="14" spans="1:28" x14ac:dyDescent="0.2">
      <c r="A14" s="20">
        <v>11</v>
      </c>
      <c r="B14" s="154" t="s">
        <v>10</v>
      </c>
      <c r="C14" s="19">
        <f>Summary!F15</f>
        <v>8.2751103927636702</v>
      </c>
      <c r="D14" s="19">
        <f>[1]Summary!F15</f>
        <v>8.153855531845009</v>
      </c>
      <c r="E14" s="19">
        <v>8.4264374352275713</v>
      </c>
      <c r="F14" s="19">
        <v>7.41</v>
      </c>
      <c r="G14" s="19">
        <v>7.09</v>
      </c>
      <c r="H14" s="19"/>
      <c r="I14" s="19">
        <v>6.82</v>
      </c>
      <c r="J14" s="19">
        <v>9.52</v>
      </c>
      <c r="K14" s="19">
        <v>7.23</v>
      </c>
      <c r="L14" s="19">
        <v>6.8899999999999988</v>
      </c>
      <c r="M14" s="19">
        <v>6.58</v>
      </c>
      <c r="N14" s="19">
        <v>6.71</v>
      </c>
      <c r="O14" s="172">
        <v>6.42</v>
      </c>
      <c r="Q14" s="71">
        <f t="shared" si="0"/>
        <v>1.4870862065816448E-2</v>
      </c>
      <c r="R14" s="170">
        <f t="shared" si="1"/>
        <v>-3.234841597980731E-2</v>
      </c>
      <c r="S14" s="170">
        <f t="shared" si="2"/>
        <v>0.13717104389036039</v>
      </c>
      <c r="T14" s="170">
        <f t="shared" si="3"/>
        <v>4.5133991537376739E-2</v>
      </c>
      <c r="U14" s="170" t="str">
        <f t="shared" si="4"/>
        <v/>
      </c>
      <c r="V14" s="170">
        <f t="shared" si="5"/>
        <v>-1</v>
      </c>
      <c r="W14" s="170">
        <f t="shared" si="6"/>
        <v>-0.28361344537815125</v>
      </c>
      <c r="X14" s="170">
        <f t="shared" si="7"/>
        <v>0.31673582295988911</v>
      </c>
      <c r="Y14" s="170">
        <f t="shared" si="8"/>
        <v>4.9346879535558941E-2</v>
      </c>
      <c r="Z14" s="170">
        <f t="shared" si="9"/>
        <v>4.711246200607877E-2</v>
      </c>
      <c r="AA14" s="170">
        <f t="shared" si="10"/>
        <v>-1.9374068554396384E-2</v>
      </c>
      <c r="AB14" s="171">
        <f t="shared" si="11"/>
        <v>4.5171339563862878E-2</v>
      </c>
    </row>
    <row r="15" spans="1:28" ht="28.5" x14ac:dyDescent="0.2">
      <c r="A15" s="20">
        <v>12</v>
      </c>
      <c r="B15" s="154" t="s">
        <v>11</v>
      </c>
      <c r="C15" s="19">
        <f>Summary!F16</f>
        <v>8.1700753253750644</v>
      </c>
      <c r="D15" s="19">
        <f>[1]Summary!F16</f>
        <v>7.8328440633494703</v>
      </c>
      <c r="E15" s="19">
        <v>8.2593827201899597</v>
      </c>
      <c r="F15" s="19">
        <v>7.3099999999999987</v>
      </c>
      <c r="G15" s="19">
        <v>7.08</v>
      </c>
      <c r="H15" s="19"/>
      <c r="I15" s="19">
        <v>6.48</v>
      </c>
      <c r="J15" s="19">
        <v>8.33</v>
      </c>
      <c r="K15" s="19">
        <v>5.83</v>
      </c>
      <c r="L15" s="19">
        <v>5.9399999999999995</v>
      </c>
      <c r="M15" s="19">
        <v>5.75</v>
      </c>
      <c r="N15" s="19">
        <v>5.68</v>
      </c>
      <c r="O15" s="172">
        <v>5.26</v>
      </c>
      <c r="Q15" s="71">
        <f t="shared" si="0"/>
        <v>4.3053488528327355E-2</v>
      </c>
      <c r="R15" s="170">
        <f t="shared" si="1"/>
        <v>-5.1642921909626605E-2</v>
      </c>
      <c r="S15" s="170">
        <f t="shared" si="2"/>
        <v>0.12987451712584974</v>
      </c>
      <c r="T15" s="170">
        <f t="shared" si="3"/>
        <v>3.2485875706214529E-2</v>
      </c>
      <c r="U15" s="170" t="str">
        <f t="shared" si="4"/>
        <v/>
      </c>
      <c r="V15" s="170">
        <f t="shared" si="5"/>
        <v>-1</v>
      </c>
      <c r="W15" s="170">
        <f t="shared" si="6"/>
        <v>-0.22208883553421366</v>
      </c>
      <c r="X15" s="170">
        <f t="shared" si="7"/>
        <v>0.42881646655231553</v>
      </c>
      <c r="Y15" s="170">
        <f t="shared" si="8"/>
        <v>-1.8518518518518379E-2</v>
      </c>
      <c r="Z15" s="170">
        <f t="shared" si="9"/>
        <v>3.3043478260869508E-2</v>
      </c>
      <c r="AA15" s="170">
        <f t="shared" si="10"/>
        <v>1.2323943661971981E-2</v>
      </c>
      <c r="AB15" s="171">
        <f t="shared" si="11"/>
        <v>7.9847908745247054E-2</v>
      </c>
    </row>
    <row r="16" spans="1:28" x14ac:dyDescent="0.2">
      <c r="A16" s="20">
        <v>13</v>
      </c>
      <c r="B16" s="154" t="s">
        <v>12</v>
      </c>
      <c r="C16" s="19">
        <f>Summary!F17</f>
        <v>7.2876417845229691</v>
      </c>
      <c r="D16" s="19">
        <f>[1]Summary!F17</f>
        <v>7.1257352266631182</v>
      </c>
      <c r="E16" s="19">
        <v>7.5285434016318522</v>
      </c>
      <c r="F16" s="19">
        <v>6.8699999999999992</v>
      </c>
      <c r="G16" s="19">
        <v>6.68</v>
      </c>
      <c r="H16" s="19"/>
      <c r="I16" s="19">
        <v>5.97</v>
      </c>
      <c r="J16" s="19">
        <v>7.870000000000001</v>
      </c>
      <c r="K16" s="19">
        <v>6.1400000000000006</v>
      </c>
      <c r="L16" s="19">
        <v>6.06</v>
      </c>
      <c r="M16" s="19">
        <v>5.93</v>
      </c>
      <c r="N16" s="19">
        <v>5.81</v>
      </c>
      <c r="O16" s="172">
        <v>5.6999999999999993</v>
      </c>
      <c r="Q16" s="71">
        <f t="shared" si="0"/>
        <v>2.2721382806089707E-2</v>
      </c>
      <c r="R16" s="170">
        <f t="shared" si="1"/>
        <v>-5.3504131341186589E-2</v>
      </c>
      <c r="S16" s="170">
        <f t="shared" si="2"/>
        <v>9.5857845943501108E-2</v>
      </c>
      <c r="T16" s="170">
        <f t="shared" si="3"/>
        <v>2.8443113772455009E-2</v>
      </c>
      <c r="U16" s="170" t="str">
        <f t="shared" si="4"/>
        <v/>
      </c>
      <c r="V16" s="170">
        <f t="shared" si="5"/>
        <v>-1</v>
      </c>
      <c r="W16" s="170">
        <f t="shared" si="6"/>
        <v>-0.24142312579415515</v>
      </c>
      <c r="X16" s="170">
        <f t="shared" si="7"/>
        <v>0.28175895765472325</v>
      </c>
      <c r="Y16" s="170">
        <f t="shared" si="8"/>
        <v>1.3201320132013361E-2</v>
      </c>
      <c r="Z16" s="170">
        <f t="shared" si="9"/>
        <v>2.1922428330522825E-2</v>
      </c>
      <c r="AA16" s="170">
        <f t="shared" si="10"/>
        <v>2.0654044750430423E-2</v>
      </c>
      <c r="AB16" s="171">
        <f t="shared" si="11"/>
        <v>1.9298245614035148E-2</v>
      </c>
    </row>
    <row r="17" spans="1:28" ht="28.5" x14ac:dyDescent="0.2">
      <c r="A17" s="20">
        <v>14</v>
      </c>
      <c r="B17" s="154" t="s">
        <v>804</v>
      </c>
      <c r="C17" s="19">
        <f>Summary!F18</f>
        <v>12.176011057763569</v>
      </c>
      <c r="D17" s="19">
        <f>[1]Summary!F18</f>
        <v>12.111094836233011</v>
      </c>
      <c r="E17" s="19">
        <v>12.214498350729462</v>
      </c>
      <c r="F17" s="19">
        <v>10.549999999999999</v>
      </c>
      <c r="G17" s="19">
        <v>10.75</v>
      </c>
      <c r="H17" s="19"/>
      <c r="I17" s="19">
        <v>9.9600000000000009</v>
      </c>
      <c r="J17" s="19">
        <v>11.930000000000001</v>
      </c>
      <c r="K17" s="19">
        <v>8.9</v>
      </c>
      <c r="L17" s="19">
        <v>9.8099999999999987</v>
      </c>
      <c r="M17" s="19">
        <v>9.73</v>
      </c>
      <c r="N17" s="19">
        <v>8.92</v>
      </c>
      <c r="O17" s="172">
        <v>9.0399999999999991</v>
      </c>
      <c r="Q17" s="71">
        <f t="shared" si="0"/>
        <v>5.3600621915985691E-3</v>
      </c>
      <c r="R17" s="170">
        <f t="shared" si="1"/>
        <v>-8.465637435717932E-3</v>
      </c>
      <c r="S17" s="170">
        <f t="shared" si="2"/>
        <v>0.1577723555193804</v>
      </c>
      <c r="T17" s="170">
        <f t="shared" si="3"/>
        <v>-1.8604651162790753E-2</v>
      </c>
      <c r="U17" s="170" t="str">
        <f t="shared" si="4"/>
        <v/>
      </c>
      <c r="V17" s="170">
        <f t="shared" si="5"/>
        <v>-1</v>
      </c>
      <c r="W17" s="170">
        <f t="shared" si="6"/>
        <v>-0.16512992455993303</v>
      </c>
      <c r="X17" s="170">
        <f t="shared" si="7"/>
        <v>0.34044943820224738</v>
      </c>
      <c r="Y17" s="170">
        <f t="shared" si="8"/>
        <v>-9.2762487257899928E-2</v>
      </c>
      <c r="Z17" s="170">
        <f t="shared" si="9"/>
        <v>8.2219938335044152E-3</v>
      </c>
      <c r="AA17" s="170">
        <f t="shared" si="10"/>
        <v>9.0807174887892472E-2</v>
      </c>
      <c r="AB17" s="171">
        <f t="shared" si="11"/>
        <v>-1.327433628318575E-2</v>
      </c>
    </row>
    <row r="18" spans="1:28" x14ac:dyDescent="0.2">
      <c r="A18" s="20">
        <v>15</v>
      </c>
      <c r="B18" s="154" t="s">
        <v>13</v>
      </c>
      <c r="C18" s="19">
        <f>Summary!F19</f>
        <v>18.840819137712817</v>
      </c>
      <c r="D18" s="19">
        <f>[1]Summary!F19</f>
        <v>17.633103100940758</v>
      </c>
      <c r="E18" s="19">
        <v>17.743962007010442</v>
      </c>
      <c r="F18" s="19">
        <v>16.87</v>
      </c>
      <c r="G18" s="19">
        <v>16.05</v>
      </c>
      <c r="H18" s="19"/>
      <c r="I18" s="19">
        <v>14.870000000000001</v>
      </c>
      <c r="J18" s="19">
        <v>17.009999999999998</v>
      </c>
      <c r="K18" s="19">
        <v>12.530000000000001</v>
      </c>
      <c r="L18" s="19">
        <v>12.22</v>
      </c>
      <c r="M18" s="19">
        <v>11.790000000000001</v>
      </c>
      <c r="N18" s="19">
        <v>12.639999999999997</v>
      </c>
      <c r="O18" s="172">
        <v>11.21</v>
      </c>
      <c r="Q18" s="71">
        <f t="shared" si="0"/>
        <v>6.8491406751181705E-2</v>
      </c>
      <c r="R18" s="170">
        <f t="shared" si="1"/>
        <v>-6.2476974435520249E-3</v>
      </c>
      <c r="S18" s="170">
        <f t="shared" si="2"/>
        <v>5.1805690990541775E-2</v>
      </c>
      <c r="T18" s="170">
        <f t="shared" si="3"/>
        <v>5.109034267912782E-2</v>
      </c>
      <c r="U18" s="170" t="str">
        <f t="shared" si="4"/>
        <v/>
      </c>
      <c r="V18" s="170">
        <f t="shared" si="5"/>
        <v>-1</v>
      </c>
      <c r="W18" s="170">
        <f t="shared" si="6"/>
        <v>-0.12580834803057006</v>
      </c>
      <c r="X18" s="170">
        <f t="shared" si="7"/>
        <v>0.35754189944134041</v>
      </c>
      <c r="Y18" s="170">
        <f t="shared" si="8"/>
        <v>2.5368248772504209E-2</v>
      </c>
      <c r="Z18" s="170">
        <f t="shared" si="9"/>
        <v>3.6471586089906749E-2</v>
      </c>
      <c r="AA18" s="170">
        <f t="shared" si="10"/>
        <v>-6.7246835443037667E-2</v>
      </c>
      <c r="AB18" s="171">
        <f t="shared" si="11"/>
        <v>0.12756467439785868</v>
      </c>
    </row>
    <row r="19" spans="1:28" x14ac:dyDescent="0.2">
      <c r="A19" s="20">
        <v>16</v>
      </c>
      <c r="B19" s="154" t="s">
        <v>14</v>
      </c>
      <c r="C19" s="19">
        <f>Summary!F20</f>
        <v>9.5001599415979037</v>
      </c>
      <c r="D19" s="19">
        <f>[1]Summary!F20</f>
        <v>9.5915482693631073</v>
      </c>
      <c r="E19" s="19">
        <v>9.9532602049975178</v>
      </c>
      <c r="F19" s="19">
        <v>8.34</v>
      </c>
      <c r="G19" s="19">
        <v>8.09</v>
      </c>
      <c r="H19" s="19"/>
      <c r="I19" s="19">
        <v>7.39</v>
      </c>
      <c r="J19" s="19">
        <v>9.24</v>
      </c>
      <c r="K19" s="19">
        <v>6.78</v>
      </c>
      <c r="L19" s="19">
        <v>6.5499999999999989</v>
      </c>
      <c r="M19" s="19">
        <v>6.6899999999999995</v>
      </c>
      <c r="N19" s="19">
        <v>6.26</v>
      </c>
      <c r="O19" s="172">
        <v>6.51</v>
      </c>
      <c r="Q19" s="71">
        <f t="shared" si="0"/>
        <v>-9.5280058233259135E-3</v>
      </c>
      <c r="R19" s="170">
        <f t="shared" si="1"/>
        <v>-3.6341050890319915E-2</v>
      </c>
      <c r="S19" s="170">
        <f t="shared" si="2"/>
        <v>0.1934364754193667</v>
      </c>
      <c r="T19" s="170">
        <f t="shared" si="3"/>
        <v>3.0902348578492056E-2</v>
      </c>
      <c r="U19" s="170" t="str">
        <f t="shared" si="4"/>
        <v/>
      </c>
      <c r="V19" s="170">
        <f t="shared" si="5"/>
        <v>-1</v>
      </c>
      <c r="W19" s="170">
        <f t="shared" si="6"/>
        <v>-0.20021645021645029</v>
      </c>
      <c r="X19" s="170">
        <f t="shared" si="7"/>
        <v>0.36283185840707954</v>
      </c>
      <c r="Y19" s="170">
        <f t="shared" si="8"/>
        <v>3.5114503816794151E-2</v>
      </c>
      <c r="Z19" s="170">
        <f t="shared" si="9"/>
        <v>-2.0926756352765419E-2</v>
      </c>
      <c r="AA19" s="170">
        <f t="shared" si="10"/>
        <v>6.8690095846645427E-2</v>
      </c>
      <c r="AB19" s="171">
        <f t="shared" si="11"/>
        <v>-3.8402457757296449E-2</v>
      </c>
    </row>
    <row r="20" spans="1:28" x14ac:dyDescent="0.2">
      <c r="A20" s="20">
        <v>17</v>
      </c>
      <c r="B20" s="154" t="s">
        <v>15</v>
      </c>
      <c r="C20" s="19">
        <f>Summary!F21</f>
        <v>13.818106619875689</v>
      </c>
      <c r="D20" s="19">
        <f>[1]Summary!F21</f>
        <v>13.077344395368245</v>
      </c>
      <c r="E20" s="19">
        <v>12.498638367095474</v>
      </c>
      <c r="F20" s="19">
        <v>11.1</v>
      </c>
      <c r="G20" s="19">
        <v>11.56</v>
      </c>
      <c r="H20" s="19"/>
      <c r="I20" s="19">
        <v>9.26</v>
      </c>
      <c r="J20" s="19">
        <v>12.15</v>
      </c>
      <c r="K20" s="19">
        <v>10.030000000000001</v>
      </c>
      <c r="L20" s="19">
        <v>11.94</v>
      </c>
      <c r="M20" s="19">
        <v>10.23</v>
      </c>
      <c r="N20" s="19">
        <v>8.7399999999999984</v>
      </c>
      <c r="O20" s="172">
        <v>8.64</v>
      </c>
      <c r="Q20" s="71">
        <f t="shared" si="0"/>
        <v>5.6644698045102304E-2</v>
      </c>
      <c r="R20" s="170">
        <f t="shared" si="1"/>
        <v>4.6301525916319086E-2</v>
      </c>
      <c r="S20" s="170">
        <f t="shared" si="2"/>
        <v>0.12600345649508782</v>
      </c>
      <c r="T20" s="170">
        <f t="shared" si="3"/>
        <v>-3.979238754325265E-2</v>
      </c>
      <c r="U20" s="170" t="str">
        <f t="shared" si="4"/>
        <v/>
      </c>
      <c r="V20" s="170">
        <f t="shared" si="5"/>
        <v>-1</v>
      </c>
      <c r="W20" s="170">
        <f t="shared" si="6"/>
        <v>-0.23786008230452682</v>
      </c>
      <c r="X20" s="170">
        <f t="shared" si="7"/>
        <v>0.21136590229312047</v>
      </c>
      <c r="Y20" s="170">
        <f t="shared" si="8"/>
        <v>-0.15996649916247896</v>
      </c>
      <c r="Z20" s="170">
        <f t="shared" si="9"/>
        <v>0.1671554252199412</v>
      </c>
      <c r="AA20" s="170">
        <f t="shared" si="10"/>
        <v>0.17048054919908484</v>
      </c>
      <c r="AB20" s="171">
        <f t="shared" si="11"/>
        <v>1.1574074074073737E-2</v>
      </c>
    </row>
    <row r="21" spans="1:28" x14ac:dyDescent="0.2">
      <c r="A21" s="20">
        <v>18</v>
      </c>
      <c r="B21" s="154" t="s">
        <v>16</v>
      </c>
      <c r="C21" s="19">
        <f>Summary!F22</f>
        <v>9.7265388435843345</v>
      </c>
      <c r="D21" s="19">
        <f>[1]Summary!F22</f>
        <v>9.5527306305894655</v>
      </c>
      <c r="E21" s="19">
        <v>9.6819620212801532</v>
      </c>
      <c r="F21" s="19">
        <v>8.42</v>
      </c>
      <c r="G21" s="19">
        <v>8.24</v>
      </c>
      <c r="H21" s="19"/>
      <c r="I21" s="19">
        <v>6.89</v>
      </c>
      <c r="J21" s="19">
        <v>9.32</v>
      </c>
      <c r="K21" s="19">
        <v>6.5400000000000009</v>
      </c>
      <c r="L21" s="19">
        <v>6.66</v>
      </c>
      <c r="M21" s="19">
        <v>6.59</v>
      </c>
      <c r="N21" s="19">
        <v>6.9999999999999991</v>
      </c>
      <c r="O21" s="172">
        <v>5.76</v>
      </c>
      <c r="Q21" s="71">
        <f t="shared" si="0"/>
        <v>1.8194610495799513E-2</v>
      </c>
      <c r="R21" s="170">
        <f t="shared" si="1"/>
        <v>-1.334764486853468E-2</v>
      </c>
      <c r="S21" s="170">
        <f t="shared" si="2"/>
        <v>0.14987672461759538</v>
      </c>
      <c r="T21" s="170">
        <f t="shared" si="3"/>
        <v>2.1844660194174637E-2</v>
      </c>
      <c r="U21" s="170" t="str">
        <f t="shared" si="4"/>
        <v/>
      </c>
      <c r="V21" s="170">
        <f t="shared" si="5"/>
        <v>-1</v>
      </c>
      <c r="W21" s="170">
        <f t="shared" si="6"/>
        <v>-0.26072961373390569</v>
      </c>
      <c r="X21" s="170">
        <f t="shared" si="7"/>
        <v>0.4250764525993882</v>
      </c>
      <c r="Y21" s="170">
        <f t="shared" si="8"/>
        <v>-1.8018018018017945E-2</v>
      </c>
      <c r="Z21" s="170">
        <f t="shared" si="9"/>
        <v>1.0622154779969639E-2</v>
      </c>
      <c r="AA21" s="170">
        <f t="shared" si="10"/>
        <v>-5.8571428571428497E-2</v>
      </c>
      <c r="AB21" s="171">
        <f t="shared" si="11"/>
        <v>0.21527777777777768</v>
      </c>
    </row>
    <row r="22" spans="1:28" x14ac:dyDescent="0.2">
      <c r="A22" s="20">
        <v>19</v>
      </c>
      <c r="B22" s="154" t="s">
        <v>17</v>
      </c>
      <c r="C22" s="19">
        <f>Summary!F23</f>
        <v>7.3149260053224614</v>
      </c>
      <c r="D22" s="19">
        <f>[1]Summary!F23</f>
        <v>7.2223418419406</v>
      </c>
      <c r="E22" s="19">
        <v>7.5967619035937064</v>
      </c>
      <c r="F22" s="19">
        <v>6.9799999999999995</v>
      </c>
      <c r="G22" s="19">
        <v>6.84</v>
      </c>
      <c r="H22" s="19"/>
      <c r="I22" s="19">
        <v>6.1099999999999994</v>
      </c>
      <c r="J22" s="19">
        <v>8.0300000000000011</v>
      </c>
      <c r="K22" s="19">
        <v>5.5600000000000005</v>
      </c>
      <c r="L22" s="19">
        <v>5.5499999999999989</v>
      </c>
      <c r="M22" s="19">
        <v>5.3900000000000006</v>
      </c>
      <c r="N22" s="19">
        <v>5.26</v>
      </c>
      <c r="O22" s="172">
        <v>4.96</v>
      </c>
      <c r="Q22" s="71">
        <f t="shared" si="0"/>
        <v>1.2819133379178949E-2</v>
      </c>
      <c r="R22" s="170">
        <f t="shared" si="1"/>
        <v>-4.9286796980695713E-2</v>
      </c>
      <c r="S22" s="170">
        <f t="shared" si="2"/>
        <v>8.8361304239786165E-2</v>
      </c>
      <c r="T22" s="170">
        <f t="shared" si="3"/>
        <v>2.0467836257309857E-2</v>
      </c>
      <c r="U22" s="170" t="str">
        <f t="shared" si="4"/>
        <v/>
      </c>
      <c r="V22" s="170">
        <f t="shared" si="5"/>
        <v>-1</v>
      </c>
      <c r="W22" s="170">
        <f t="shared" si="6"/>
        <v>-0.2391033623910338</v>
      </c>
      <c r="X22" s="170">
        <f t="shared" si="7"/>
        <v>0.44424460431654689</v>
      </c>
      <c r="Y22" s="170">
        <f t="shared" si="8"/>
        <v>1.8018018018020054E-3</v>
      </c>
      <c r="Z22" s="170">
        <f t="shared" si="9"/>
        <v>2.9684601113172171E-2</v>
      </c>
      <c r="AA22" s="170">
        <f t="shared" si="10"/>
        <v>2.4714828897338448E-2</v>
      </c>
      <c r="AB22" s="171">
        <f t="shared" si="11"/>
        <v>6.0483870967741993E-2</v>
      </c>
    </row>
    <row r="23" spans="1:28" x14ac:dyDescent="0.2">
      <c r="A23" s="20">
        <v>20</v>
      </c>
      <c r="B23" s="154" t="s">
        <v>18</v>
      </c>
      <c r="C23" s="19">
        <f>Summary!F24</f>
        <v>9.4668079195513872</v>
      </c>
      <c r="D23" s="19">
        <f>[1]Summary!F24</f>
        <v>9.4803055374889773</v>
      </c>
      <c r="E23" s="19">
        <v>10.076582128857593</v>
      </c>
      <c r="F23" s="19">
        <v>8.57</v>
      </c>
      <c r="G23" s="19">
        <v>8.5299999999999994</v>
      </c>
      <c r="H23" s="19"/>
      <c r="I23" s="19">
        <v>7.6000000000000005</v>
      </c>
      <c r="J23" s="19">
        <v>9.5400000000000009</v>
      </c>
      <c r="K23" s="19">
        <v>7.0500000000000007</v>
      </c>
      <c r="L23" s="19">
        <v>7.6199999999999992</v>
      </c>
      <c r="M23" s="19">
        <v>7.74</v>
      </c>
      <c r="N23" s="19">
        <v>7.669999999999999</v>
      </c>
      <c r="O23" s="172">
        <v>6.49</v>
      </c>
      <c r="Q23" s="71">
        <f t="shared" si="0"/>
        <v>-1.4237534733679835E-3</v>
      </c>
      <c r="R23" s="170">
        <f t="shared" si="1"/>
        <v>-5.9174488307993101E-2</v>
      </c>
      <c r="S23" s="170">
        <f t="shared" si="2"/>
        <v>0.17579721456914732</v>
      </c>
      <c r="T23" s="170">
        <f t="shared" si="3"/>
        <v>4.6893317702227932E-3</v>
      </c>
      <c r="U23" s="170" t="str">
        <f t="shared" si="4"/>
        <v/>
      </c>
      <c r="V23" s="170">
        <f t="shared" si="5"/>
        <v>-1</v>
      </c>
      <c r="W23" s="170">
        <f t="shared" si="6"/>
        <v>-0.20335429769392033</v>
      </c>
      <c r="X23" s="170">
        <f t="shared" si="7"/>
        <v>0.35319148936170208</v>
      </c>
      <c r="Y23" s="170">
        <f t="shared" si="8"/>
        <v>-7.480314960629908E-2</v>
      </c>
      <c r="Z23" s="170">
        <f t="shared" si="9"/>
        <v>-1.5503875968992387E-2</v>
      </c>
      <c r="AA23" s="170">
        <f t="shared" si="10"/>
        <v>9.1264667535855271E-3</v>
      </c>
      <c r="AB23" s="171">
        <f t="shared" si="11"/>
        <v>0.18181818181818166</v>
      </c>
    </row>
    <row r="24" spans="1:28" ht="28.5" x14ac:dyDescent="0.2">
      <c r="A24" s="20">
        <v>21</v>
      </c>
      <c r="B24" s="154" t="s">
        <v>801</v>
      </c>
      <c r="C24" s="19">
        <f>Summary!F25</f>
        <v>9.6834851240418764</v>
      </c>
      <c r="D24" s="19">
        <f>[1]Summary!F25</f>
        <v>9.9406163548426232</v>
      </c>
      <c r="E24" s="19">
        <v>10.221683915849301</v>
      </c>
      <c r="F24" s="19">
        <v>9.33</v>
      </c>
      <c r="G24" s="19">
        <v>8.879999999999999</v>
      </c>
      <c r="H24" s="19"/>
      <c r="I24" s="19">
        <v>9.3099999999999987</v>
      </c>
      <c r="J24" s="19">
        <v>10.89</v>
      </c>
      <c r="K24" s="19">
        <v>8.3000000000000007</v>
      </c>
      <c r="L24" s="19">
        <v>8.76</v>
      </c>
      <c r="M24" s="19">
        <v>7.41</v>
      </c>
      <c r="N24" s="19">
        <v>7.8199999999999994</v>
      </c>
      <c r="O24" s="172">
        <v>7.32</v>
      </c>
      <c r="Q24" s="71">
        <f t="shared" si="0"/>
        <v>-2.586672914657695E-2</v>
      </c>
      <c r="R24" s="170">
        <f t="shared" si="1"/>
        <v>-2.74971876767649E-2</v>
      </c>
      <c r="S24" s="170">
        <f t="shared" si="2"/>
        <v>9.5571695160696857E-2</v>
      </c>
      <c r="T24" s="170">
        <f t="shared" si="3"/>
        <v>5.067567567567588E-2</v>
      </c>
      <c r="U24" s="170" t="str">
        <f t="shared" si="4"/>
        <v/>
      </c>
      <c r="V24" s="170">
        <f t="shared" si="5"/>
        <v>-1</v>
      </c>
      <c r="W24" s="170">
        <f t="shared" si="6"/>
        <v>-0.14508723599632711</v>
      </c>
      <c r="X24" s="170">
        <f t="shared" si="7"/>
        <v>0.31204819277108431</v>
      </c>
      <c r="Y24" s="170">
        <f t="shared" si="8"/>
        <v>-5.2511415525114069E-2</v>
      </c>
      <c r="Z24" s="170">
        <f t="shared" si="9"/>
        <v>0.18218623481781382</v>
      </c>
      <c r="AA24" s="170">
        <f t="shared" si="10"/>
        <v>-5.2429667519181544E-2</v>
      </c>
      <c r="AB24" s="171">
        <f t="shared" si="11"/>
        <v>6.8306010928961713E-2</v>
      </c>
    </row>
    <row r="25" spans="1:28" x14ac:dyDescent="0.2">
      <c r="A25" s="20">
        <v>22</v>
      </c>
      <c r="B25" s="154" t="s">
        <v>19</v>
      </c>
      <c r="C25" s="19">
        <f>Summary!F26</f>
        <v>8.645772996720904</v>
      </c>
      <c r="D25" s="19">
        <f>[1]Summary!F26</f>
        <v>8.8233437865140854</v>
      </c>
      <c r="E25" s="19">
        <v>9.3156647280961771</v>
      </c>
      <c r="F25" s="19">
        <v>7.2200000000000006</v>
      </c>
      <c r="G25" s="19">
        <v>7.52</v>
      </c>
      <c r="H25" s="19"/>
      <c r="I25" s="19">
        <v>8.52</v>
      </c>
      <c r="J25" s="19">
        <v>10.200000000000001</v>
      </c>
      <c r="K25" s="19">
        <v>7.1400000000000006</v>
      </c>
      <c r="L25" s="19">
        <v>8.36</v>
      </c>
      <c r="M25" s="19">
        <v>7.41</v>
      </c>
      <c r="N25" s="19">
        <v>7.3299999999999992</v>
      </c>
      <c r="O25" s="172">
        <v>6.4700000000000006</v>
      </c>
      <c r="Q25" s="71">
        <f t="shared" si="0"/>
        <v>-2.0125112892527941E-2</v>
      </c>
      <c r="R25" s="170">
        <f t="shared" si="1"/>
        <v>-5.2848718363300962E-2</v>
      </c>
      <c r="S25" s="170">
        <f t="shared" si="2"/>
        <v>0.29025827258949799</v>
      </c>
      <c r="T25" s="170">
        <f t="shared" si="3"/>
        <v>-3.9893617021276473E-2</v>
      </c>
      <c r="U25" s="170" t="str">
        <f t="shared" si="4"/>
        <v/>
      </c>
      <c r="V25" s="170">
        <f t="shared" si="5"/>
        <v>-1</v>
      </c>
      <c r="W25" s="170">
        <f t="shared" si="6"/>
        <v>-0.16470588235294126</v>
      </c>
      <c r="X25" s="170">
        <f t="shared" si="7"/>
        <v>0.4285714285714286</v>
      </c>
      <c r="Y25" s="170">
        <f t="shared" si="8"/>
        <v>-0.14593301435406691</v>
      </c>
      <c r="Z25" s="170">
        <f t="shared" si="9"/>
        <v>0.12820512820512819</v>
      </c>
      <c r="AA25" s="170">
        <f t="shared" si="10"/>
        <v>1.0914051841746319E-2</v>
      </c>
      <c r="AB25" s="171">
        <f t="shared" si="11"/>
        <v>0.13292117465224096</v>
      </c>
    </row>
    <row r="26" spans="1:28" x14ac:dyDescent="0.2">
      <c r="A26" s="20">
        <v>23</v>
      </c>
      <c r="B26" s="154" t="s">
        <v>20</v>
      </c>
      <c r="C26" s="19">
        <f>Summary!F27</f>
        <v>8.934093014327031</v>
      </c>
      <c r="D26" s="19">
        <f>[1]Summary!F27</f>
        <v>8.9122924849299654</v>
      </c>
      <c r="E26" s="19">
        <v>9.3467053854110613</v>
      </c>
      <c r="F26" s="19">
        <v>8.3199999999999985</v>
      </c>
      <c r="G26" s="19">
        <v>8.02</v>
      </c>
      <c r="H26" s="19"/>
      <c r="I26" s="19">
        <v>7.42</v>
      </c>
      <c r="J26" s="19">
        <v>9.6900000000000013</v>
      </c>
      <c r="K26" s="19">
        <v>6.8800000000000008</v>
      </c>
      <c r="L26" s="19">
        <v>7.32</v>
      </c>
      <c r="M26" s="19">
        <v>6.98</v>
      </c>
      <c r="N26" s="19">
        <v>6.879999999999999</v>
      </c>
      <c r="O26" s="172">
        <v>6.21</v>
      </c>
      <c r="Q26" s="71">
        <f t="shared" si="0"/>
        <v>2.4461191588953657E-3</v>
      </c>
      <c r="R26" s="170">
        <f t="shared" si="1"/>
        <v>-4.6477649884969718E-2</v>
      </c>
      <c r="S26" s="170">
        <f t="shared" si="2"/>
        <v>0.12340208959267573</v>
      </c>
      <c r="T26" s="170">
        <f t="shared" si="3"/>
        <v>3.740648379052347E-2</v>
      </c>
      <c r="U26" s="170" t="str">
        <f t="shared" si="4"/>
        <v/>
      </c>
      <c r="V26" s="170">
        <f t="shared" si="5"/>
        <v>-1</v>
      </c>
      <c r="W26" s="170">
        <f t="shared" si="6"/>
        <v>-0.23426212590299289</v>
      </c>
      <c r="X26" s="170">
        <f t="shared" si="7"/>
        <v>0.40843023255813948</v>
      </c>
      <c r="Y26" s="170">
        <f t="shared" si="8"/>
        <v>-6.0109289617486295E-2</v>
      </c>
      <c r="Z26" s="170">
        <f t="shared" si="9"/>
        <v>4.871060171919761E-2</v>
      </c>
      <c r="AA26" s="170">
        <f t="shared" si="10"/>
        <v>1.453488372093048E-2</v>
      </c>
      <c r="AB26" s="171">
        <f t="shared" si="11"/>
        <v>0.10789049919484683</v>
      </c>
    </row>
    <row r="27" spans="1:28" x14ac:dyDescent="0.2">
      <c r="A27" s="20">
        <v>24</v>
      </c>
      <c r="B27" s="154" t="s">
        <v>21</v>
      </c>
      <c r="C27" s="19">
        <f>Summary!F28</f>
        <v>8.2251881379607674</v>
      </c>
      <c r="D27" s="19">
        <f>[1]Summary!F28</f>
        <v>8.1073405502530669</v>
      </c>
      <c r="E27" s="19">
        <v>8.5938489145308665</v>
      </c>
      <c r="F27" s="19">
        <v>7.58</v>
      </c>
      <c r="G27" s="19">
        <v>7.4399999999999995</v>
      </c>
      <c r="H27" s="19"/>
      <c r="I27" s="19">
        <v>6.81</v>
      </c>
      <c r="J27" s="19">
        <v>8.5500000000000007</v>
      </c>
      <c r="K27" s="19">
        <v>6.2200000000000006</v>
      </c>
      <c r="L27" s="19">
        <v>6.34</v>
      </c>
      <c r="M27" s="19">
        <v>5.9</v>
      </c>
      <c r="N27" s="19">
        <v>5.5799999999999992</v>
      </c>
      <c r="O27" s="172">
        <v>4.9399999999999995</v>
      </c>
      <c r="Q27" s="71">
        <f t="shared" si="0"/>
        <v>1.4535911866194073E-2</v>
      </c>
      <c r="R27" s="170">
        <f t="shared" si="1"/>
        <v>-5.6611230790337697E-2</v>
      </c>
      <c r="S27" s="170">
        <f t="shared" si="2"/>
        <v>0.13375315495130158</v>
      </c>
      <c r="T27" s="170">
        <f t="shared" si="3"/>
        <v>1.8817204301075252E-2</v>
      </c>
      <c r="U27" s="170" t="str">
        <f t="shared" si="4"/>
        <v/>
      </c>
      <c r="V27" s="170">
        <f t="shared" si="5"/>
        <v>-1</v>
      </c>
      <c r="W27" s="170">
        <f t="shared" si="6"/>
        <v>-0.20350877192982464</v>
      </c>
      <c r="X27" s="170">
        <f t="shared" si="7"/>
        <v>0.37459807073954976</v>
      </c>
      <c r="Y27" s="170">
        <f t="shared" si="8"/>
        <v>-1.8927444794952564E-2</v>
      </c>
      <c r="Z27" s="170">
        <f t="shared" si="9"/>
        <v>7.4576271186440612E-2</v>
      </c>
      <c r="AA27" s="170">
        <f t="shared" si="10"/>
        <v>5.7347670250896376E-2</v>
      </c>
      <c r="AB27" s="171">
        <f t="shared" si="11"/>
        <v>0.12955465587044523</v>
      </c>
    </row>
    <row r="28" spans="1:28" x14ac:dyDescent="0.2">
      <c r="A28" s="20">
        <v>25</v>
      </c>
      <c r="B28" s="154" t="s">
        <v>22</v>
      </c>
      <c r="C28" s="19">
        <f>Summary!F29</f>
        <v>6.8411454211079334</v>
      </c>
      <c r="D28" s="19">
        <f>[1]Summary!F29</f>
        <v>6.7497984570272118</v>
      </c>
      <c r="E28" s="19">
        <v>7.0742804305984075</v>
      </c>
      <c r="F28" s="19">
        <v>6.3100000000000005</v>
      </c>
      <c r="G28" s="19">
        <v>6.2</v>
      </c>
      <c r="H28" s="19"/>
      <c r="I28" s="19">
        <v>5.63</v>
      </c>
      <c r="J28" s="19">
        <v>7.4200000000000008</v>
      </c>
      <c r="K28" s="19">
        <v>5.36</v>
      </c>
      <c r="L28" s="19">
        <v>5.3199999999999994</v>
      </c>
      <c r="M28" s="19">
        <v>5.27</v>
      </c>
      <c r="N28" s="19">
        <v>5.17</v>
      </c>
      <c r="O28" s="172">
        <v>4.97</v>
      </c>
      <c r="Q28" s="71">
        <f t="shared" si="0"/>
        <v>1.3533287647369718E-2</v>
      </c>
      <c r="R28" s="170">
        <f t="shared" si="1"/>
        <v>-4.5867841507627127E-2</v>
      </c>
      <c r="S28" s="170">
        <f t="shared" si="2"/>
        <v>0.12112209676678409</v>
      </c>
      <c r="T28" s="170">
        <f t="shared" si="3"/>
        <v>1.7741935483871041E-2</v>
      </c>
      <c r="U28" s="170" t="str">
        <f t="shared" si="4"/>
        <v/>
      </c>
      <c r="V28" s="170">
        <f t="shared" si="5"/>
        <v>-1</v>
      </c>
      <c r="W28" s="170">
        <f t="shared" si="6"/>
        <v>-0.24123989218328856</v>
      </c>
      <c r="X28" s="170">
        <f t="shared" si="7"/>
        <v>0.38432835820895539</v>
      </c>
      <c r="Y28" s="170">
        <f t="shared" si="8"/>
        <v>7.5187969924814801E-3</v>
      </c>
      <c r="Z28" s="170">
        <f t="shared" si="9"/>
        <v>9.4876660341556285E-3</v>
      </c>
      <c r="AA28" s="170">
        <f t="shared" si="10"/>
        <v>1.934235976789167E-2</v>
      </c>
      <c r="AB28" s="171">
        <f t="shared" si="11"/>
        <v>4.0241448692152959E-2</v>
      </c>
    </row>
    <row r="29" spans="1:28" x14ac:dyDescent="0.2">
      <c r="A29" s="20">
        <v>26</v>
      </c>
      <c r="B29" s="154" t="s">
        <v>23</v>
      </c>
      <c r="C29" s="19">
        <f>Summary!F30</f>
        <v>9.3143411287229885</v>
      </c>
      <c r="D29" s="19">
        <f>[1]Summary!F30</f>
        <v>9.1497976957113369</v>
      </c>
      <c r="E29" s="19">
        <v>9.6981825054517703</v>
      </c>
      <c r="F29" s="19">
        <v>8.36</v>
      </c>
      <c r="G29" s="19">
        <v>8.44</v>
      </c>
      <c r="H29" s="19"/>
      <c r="I29" s="19">
        <v>7.54</v>
      </c>
      <c r="J29" s="19">
        <v>9.81</v>
      </c>
      <c r="K29" s="19">
        <v>7.1800000000000006</v>
      </c>
      <c r="L29" s="19">
        <v>7.5</v>
      </c>
      <c r="M29" s="19">
        <v>7.5299999999999994</v>
      </c>
      <c r="N29" s="19">
        <v>7.35</v>
      </c>
      <c r="O29" s="172">
        <v>7.33</v>
      </c>
      <c r="Q29" s="71">
        <f t="shared" si="0"/>
        <v>1.7983286459849923E-2</v>
      </c>
      <c r="R29" s="170">
        <f t="shared" si="1"/>
        <v>-5.6545111357943822E-2</v>
      </c>
      <c r="S29" s="170">
        <f t="shared" si="2"/>
        <v>0.16006967768561853</v>
      </c>
      <c r="T29" s="170">
        <f t="shared" si="3"/>
        <v>-9.4786729857819774E-3</v>
      </c>
      <c r="U29" s="170" t="str">
        <f t="shared" si="4"/>
        <v/>
      </c>
      <c r="V29" s="170">
        <f t="shared" si="5"/>
        <v>-1</v>
      </c>
      <c r="W29" s="170">
        <f t="shared" si="6"/>
        <v>-0.23139653414882777</v>
      </c>
      <c r="X29" s="170">
        <f t="shared" si="7"/>
        <v>0.36629526462395545</v>
      </c>
      <c r="Y29" s="170">
        <f t="shared" si="8"/>
        <v>-4.2666666666666631E-2</v>
      </c>
      <c r="Z29" s="170">
        <f t="shared" si="9"/>
        <v>-3.9840637450198058E-3</v>
      </c>
      <c r="AA29" s="170">
        <f t="shared" si="10"/>
        <v>2.4489795918367419E-2</v>
      </c>
      <c r="AB29" s="171">
        <f t="shared" si="11"/>
        <v>2.7285129604364133E-3</v>
      </c>
    </row>
    <row r="30" spans="1:28" x14ac:dyDescent="0.2">
      <c r="A30" s="20">
        <v>28</v>
      </c>
      <c r="B30" s="154" t="s">
        <v>24</v>
      </c>
      <c r="C30" s="19">
        <f>Summary!F31</f>
        <v>7.2125950604159295</v>
      </c>
      <c r="D30" s="19">
        <f>[1]Summary!F31</f>
        <v>0</v>
      </c>
      <c r="E30" s="19">
        <v>0</v>
      </c>
      <c r="F30" s="19">
        <v>0</v>
      </c>
      <c r="G30" s="19">
        <v>0</v>
      </c>
      <c r="H30" s="19"/>
      <c r="I30" s="19">
        <v>0</v>
      </c>
      <c r="J30" s="19">
        <v>0</v>
      </c>
      <c r="K30" s="19">
        <v>0</v>
      </c>
      <c r="L30" s="19">
        <v>0</v>
      </c>
      <c r="M30" s="19">
        <v>0</v>
      </c>
      <c r="N30" s="19">
        <v>0</v>
      </c>
      <c r="O30" s="172">
        <v>0</v>
      </c>
      <c r="Q30" s="71" t="str">
        <f t="shared" si="0"/>
        <v/>
      </c>
      <c r="R30" s="170" t="str">
        <f t="shared" si="1"/>
        <v/>
      </c>
      <c r="S30" s="170" t="str">
        <f t="shared" si="2"/>
        <v/>
      </c>
      <c r="T30" s="170" t="str">
        <f t="shared" si="3"/>
        <v/>
      </c>
      <c r="U30" s="170" t="str">
        <f t="shared" si="4"/>
        <v/>
      </c>
      <c r="V30" s="170" t="str">
        <f t="shared" si="5"/>
        <v/>
      </c>
      <c r="W30" s="170" t="str">
        <f t="shared" si="6"/>
        <v/>
      </c>
      <c r="X30" s="170" t="str">
        <f t="shared" si="7"/>
        <v/>
      </c>
      <c r="Y30" s="170" t="str">
        <f t="shared" si="8"/>
        <v/>
      </c>
      <c r="Z30" s="170" t="str">
        <f t="shared" si="9"/>
        <v/>
      </c>
      <c r="AA30" s="170" t="str">
        <f t="shared" si="10"/>
        <v/>
      </c>
      <c r="AB30" s="171" t="str">
        <f t="shared" si="11"/>
        <v/>
      </c>
    </row>
    <row r="31" spans="1:28" ht="15" thickBot="1" x14ac:dyDescent="0.25">
      <c r="A31" s="23">
        <v>29</v>
      </c>
      <c r="B31" s="155" t="s">
        <v>25</v>
      </c>
      <c r="C31" s="69">
        <f>Summary!F32</f>
        <v>7.0255506957702556</v>
      </c>
      <c r="D31" s="69">
        <f>[1]Summary!F32</f>
        <v>0</v>
      </c>
      <c r="E31" s="69">
        <v>0</v>
      </c>
      <c r="F31" s="69">
        <v>0</v>
      </c>
      <c r="G31" s="69">
        <v>0</v>
      </c>
      <c r="H31" s="69"/>
      <c r="I31" s="69">
        <v>0</v>
      </c>
      <c r="J31" s="69">
        <v>0</v>
      </c>
      <c r="K31" s="69">
        <v>0</v>
      </c>
      <c r="L31" s="69">
        <v>0</v>
      </c>
      <c r="M31" s="69">
        <v>0</v>
      </c>
      <c r="N31" s="69">
        <v>0</v>
      </c>
      <c r="O31" s="173">
        <v>0</v>
      </c>
      <c r="Q31" s="72" t="str">
        <f t="shared" si="0"/>
        <v/>
      </c>
      <c r="R31" s="174" t="str">
        <f t="shared" si="1"/>
        <v/>
      </c>
      <c r="S31" s="174" t="str">
        <f t="shared" si="2"/>
        <v/>
      </c>
      <c r="T31" s="174" t="str">
        <f t="shared" si="3"/>
        <v/>
      </c>
      <c r="U31" s="174" t="str">
        <f t="shared" si="4"/>
        <v/>
      </c>
      <c r="V31" s="174" t="str">
        <f t="shared" si="5"/>
        <v/>
      </c>
      <c r="W31" s="174" t="str">
        <f t="shared" si="6"/>
        <v/>
      </c>
      <c r="X31" s="174" t="str">
        <f t="shared" si="7"/>
        <v/>
      </c>
      <c r="Y31" s="174" t="str">
        <f t="shared" si="8"/>
        <v/>
      </c>
      <c r="Z31" s="174" t="str">
        <f t="shared" si="9"/>
        <v/>
      </c>
      <c r="AA31" s="174" t="str">
        <f t="shared" si="10"/>
        <v/>
      </c>
      <c r="AB31" s="175" t="str">
        <f t="shared" si="11"/>
        <v/>
      </c>
    </row>
    <row r="32" spans="1:28" x14ac:dyDescent="0.2">
      <c r="B32" s="14" t="s">
        <v>1299</v>
      </c>
      <c r="C32" s="66">
        <f>AVERAGE(C4:C31)</f>
        <v>10.221252259920382</v>
      </c>
      <c r="D32" s="66">
        <f>AVERAGE(D4:D31)</f>
        <v>9.3741839584452027</v>
      </c>
      <c r="E32" s="66">
        <f>AVERAGE(E4:E31)</f>
        <v>9.8712269670461357</v>
      </c>
      <c r="F32" s="66">
        <f>AVERAGE(F4:F31)</f>
        <v>8.67</v>
      </c>
      <c r="G32" s="66">
        <f>AVERAGE(G4:G31)</f>
        <v>8.463571428571429</v>
      </c>
      <c r="H32" s="66"/>
      <c r="I32" s="66">
        <f t="shared" ref="I32:O32" si="12">AVERAGE(I4:I31)</f>
        <v>7.7992857142857117</v>
      </c>
      <c r="J32" s="66">
        <f t="shared" si="12"/>
        <v>9.7524999999999995</v>
      </c>
      <c r="K32" s="66">
        <f t="shared" si="12"/>
        <v>6.9428571428571448</v>
      </c>
      <c r="L32" s="66">
        <f t="shared" si="12"/>
        <v>7.007142857142858</v>
      </c>
      <c r="M32" s="66">
        <f t="shared" si="12"/>
        <v>7.0107142857142861</v>
      </c>
      <c r="N32" s="66">
        <f t="shared" si="12"/>
        <v>7.017142857142856</v>
      </c>
      <c r="O32" s="66">
        <f t="shared" si="12"/>
        <v>6.5617857142857163</v>
      </c>
      <c r="Q32" s="149">
        <f t="shared" ref="Q32:V34" si="13">IFERROR(C32/D32-1,"")</f>
        <v>9.0361817650490561E-2</v>
      </c>
      <c r="R32" s="149">
        <f t="shared" si="13"/>
        <v>-5.0352707952136977E-2</v>
      </c>
      <c r="S32" s="149">
        <f t="shared" si="13"/>
        <v>0.13854982318871234</v>
      </c>
      <c r="T32" s="149">
        <f t="shared" si="13"/>
        <v>2.4390243902439046E-2</v>
      </c>
      <c r="U32" s="149" t="str">
        <f t="shared" si="13"/>
        <v/>
      </c>
      <c r="V32" s="149">
        <f t="shared" si="13"/>
        <v>-1</v>
      </c>
      <c r="W32" s="149">
        <f t="shared" ref="W32:AB34" si="14">IFERROR(I32/J32-1,"")</f>
        <v>-0.20027831691507691</v>
      </c>
      <c r="X32" s="149">
        <f t="shared" si="14"/>
        <v>0.40468106995884723</v>
      </c>
      <c r="Y32" s="149">
        <f t="shared" si="14"/>
        <v>-9.1743119266053386E-3</v>
      </c>
      <c r="Z32" s="149">
        <f t="shared" si="14"/>
        <v>-5.0942435048384471E-4</v>
      </c>
      <c r="AA32" s="149">
        <f t="shared" si="14"/>
        <v>-9.1612377850136539E-4</v>
      </c>
      <c r="AB32" s="149">
        <f t="shared" si="14"/>
        <v>6.9395308332879324E-2</v>
      </c>
    </row>
    <row r="33" spans="2:28" x14ac:dyDescent="0.2">
      <c r="B33" s="14" t="s">
        <v>1300</v>
      </c>
      <c r="C33" s="150">
        <f>MEDIAN(C4:C31)</f>
        <v>8.8781081673474436</v>
      </c>
      <c r="D33" s="150">
        <f>MEDIAN(D4:D31)</f>
        <v>8.8678181357220254</v>
      </c>
      <c r="E33" s="150">
        <f>MEDIAN(E4:E31)</f>
        <v>9.3311850567536183</v>
      </c>
      <c r="F33" s="150">
        <f>MEDIAN(F4:F31)</f>
        <v>7.7799999999999994</v>
      </c>
      <c r="G33" s="150">
        <f>MEDIAN(G4:G31)</f>
        <v>7.5249999999999995</v>
      </c>
      <c r="H33" s="150"/>
      <c r="I33" s="150">
        <f t="shared" ref="I33:O33" si="15">MEDIAN(I4:I31)</f>
        <v>7.3449999999999998</v>
      </c>
      <c r="J33" s="150">
        <f t="shared" si="15"/>
        <v>9.615000000000002</v>
      </c>
      <c r="K33" s="150">
        <f t="shared" si="15"/>
        <v>6.995000000000001</v>
      </c>
      <c r="L33" s="150">
        <f t="shared" si="15"/>
        <v>6.9049999999999994</v>
      </c>
      <c r="M33" s="150">
        <f t="shared" si="15"/>
        <v>6.6899999999999995</v>
      </c>
      <c r="N33" s="150">
        <f t="shared" si="15"/>
        <v>6.6899999999999995</v>
      </c>
      <c r="O33" s="150">
        <f t="shared" si="15"/>
        <v>6.32</v>
      </c>
      <c r="Q33" s="149">
        <f t="shared" si="13"/>
        <v>1.1603791900025584E-3</v>
      </c>
      <c r="R33" s="149">
        <f t="shared" si="13"/>
        <v>-4.9657885704048166E-2</v>
      </c>
      <c r="S33" s="149">
        <f t="shared" si="13"/>
        <v>0.19938111269326719</v>
      </c>
      <c r="T33" s="149">
        <f t="shared" si="13"/>
        <v>3.3887043189368748E-2</v>
      </c>
      <c r="U33" s="149" t="str">
        <f t="shared" si="13"/>
        <v/>
      </c>
      <c r="V33" s="149">
        <f t="shared" si="13"/>
        <v>-1</v>
      </c>
      <c r="W33" s="149">
        <f t="shared" si="14"/>
        <v>-0.23608944357774331</v>
      </c>
      <c r="X33" s="149">
        <f t="shared" si="14"/>
        <v>0.37455325232308812</v>
      </c>
      <c r="Y33" s="149">
        <f t="shared" si="14"/>
        <v>1.3034033309196502E-2</v>
      </c>
      <c r="Z33" s="149">
        <f t="shared" si="14"/>
        <v>3.2137518684603794E-2</v>
      </c>
      <c r="AA33" s="149">
        <f t="shared" si="14"/>
        <v>0</v>
      </c>
      <c r="AB33" s="149">
        <f t="shared" si="14"/>
        <v>5.8544303797468222E-2</v>
      </c>
    </row>
    <row r="34" spans="2:28" x14ac:dyDescent="0.2">
      <c r="B34" s="14" t="s">
        <v>1371</v>
      </c>
      <c r="C34" s="66">
        <f>STDEV(C4:C31)</f>
        <v>5.18949112940214</v>
      </c>
      <c r="D34" s="66">
        <f>STDEV(D4:D31)</f>
        <v>5.4500749567038866</v>
      </c>
      <c r="E34" s="66">
        <f>STDEV(E4:E31)</f>
        <v>5.9203333911590876</v>
      </c>
      <c r="F34" s="66">
        <f>STDEV(F4:F31)</f>
        <v>5.7536854533678099</v>
      </c>
      <c r="G34" s="66">
        <f>STDEV(G4:G31)</f>
        <v>5.2587227109122772</v>
      </c>
      <c r="H34" s="66"/>
      <c r="I34" s="66">
        <f t="shared" ref="I34:O34" si="16">STDEV(I4:I31)</f>
        <v>4.1137528406386368</v>
      </c>
      <c r="J34" s="66">
        <f t="shared" si="16"/>
        <v>4.4105652824905679</v>
      </c>
      <c r="K34" s="66">
        <f t="shared" si="16"/>
        <v>2.7509807774855881</v>
      </c>
      <c r="L34" s="66">
        <f t="shared" si="16"/>
        <v>2.6772025990973756</v>
      </c>
      <c r="M34" s="66">
        <f t="shared" si="16"/>
        <v>3.0868057666898725</v>
      </c>
      <c r="N34" s="66">
        <f t="shared" si="16"/>
        <v>3.4645515525558972</v>
      </c>
      <c r="O34" s="66">
        <f t="shared" si="16"/>
        <v>3.252536393250347</v>
      </c>
      <c r="Q34" s="149">
        <f t="shared" si="13"/>
        <v>-4.7812888698202993E-2</v>
      </c>
      <c r="R34" s="149">
        <f t="shared" si="13"/>
        <v>-7.9431073114470951E-2</v>
      </c>
      <c r="S34" s="149">
        <f t="shared" si="13"/>
        <v>2.8963685822229523E-2</v>
      </c>
      <c r="T34" s="149">
        <f t="shared" si="13"/>
        <v>9.4122236456477326E-2</v>
      </c>
      <c r="U34" s="149" t="str">
        <f t="shared" si="13"/>
        <v/>
      </c>
      <c r="V34" s="149">
        <f t="shared" si="13"/>
        <v>-1</v>
      </c>
      <c r="W34" s="149">
        <f t="shared" si="14"/>
        <v>-6.7295782477189925E-2</v>
      </c>
      <c r="X34" s="149">
        <f t="shared" si="14"/>
        <v>0.60327012045567585</v>
      </c>
      <c r="Y34" s="149">
        <f t="shared" si="14"/>
        <v>2.7557936187977417E-2</v>
      </c>
      <c r="Z34" s="149">
        <f t="shared" si="14"/>
        <v>-0.13269483036884877</v>
      </c>
      <c r="AA34" s="149">
        <f t="shared" si="14"/>
        <v>-0.10903165391992831</v>
      </c>
      <c r="AB34" s="149">
        <f t="shared" si="14"/>
        <v>6.5184561730200263E-2</v>
      </c>
    </row>
  </sheetData>
  <pageMargins left="0.25" right="0.25" top="0.25" bottom="0.2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
  <sheetViews>
    <sheetView showGridLines="0" zoomScale="70" zoomScaleNormal="70" workbookViewId="0">
      <pane xSplit="1" ySplit="3" topLeftCell="B4" activePane="bottomRight" state="frozen"/>
      <selection pane="topRight" activeCell="B1" sqref="B1"/>
      <selection pane="bottomLeft" activeCell="A5" sqref="A5"/>
      <selection pane="bottomRight" activeCell="B4" sqref="B4"/>
    </sheetView>
  </sheetViews>
  <sheetFormatPr defaultRowHeight="15" x14ac:dyDescent="0.25"/>
  <cols>
    <col min="1" max="1" width="37.5703125" customWidth="1"/>
    <col min="2" max="2" width="22.7109375" style="73" customWidth="1"/>
    <col min="3" max="3" width="12.5703125" bestFit="1" customWidth="1"/>
    <col min="4" max="4" width="19.28515625" customWidth="1"/>
    <col min="5" max="5" width="25.5703125" customWidth="1"/>
  </cols>
  <sheetData>
    <row r="1" spans="1:5" x14ac:dyDescent="0.25">
      <c r="A1" s="137" t="str">
        <f>Summary!A1</f>
        <v>Community and Technical Colleges, Report of Fundable Operating Expenses, Fiscal Year (FY) 2011</v>
      </c>
      <c r="B1" s="137"/>
      <c r="C1" s="136"/>
      <c r="D1" s="135"/>
      <c r="E1" s="135"/>
    </row>
    <row r="2" spans="1:5" ht="15.75" thickBot="1" x14ac:dyDescent="0.3">
      <c r="A2" s="138" t="s">
        <v>1375</v>
      </c>
      <c r="B2" s="138"/>
      <c r="C2" s="135"/>
      <c r="D2" s="135"/>
      <c r="E2" s="135"/>
    </row>
    <row r="3" spans="1:5" ht="44.25" thickBot="1" x14ac:dyDescent="0.3">
      <c r="A3" s="131" t="s">
        <v>1296</v>
      </c>
      <c r="B3" s="134" t="s">
        <v>1379</v>
      </c>
      <c r="C3" s="134" t="s">
        <v>1367</v>
      </c>
      <c r="D3" s="134" t="s">
        <v>1368</v>
      </c>
      <c r="E3" s="133" t="s">
        <v>1369</v>
      </c>
    </row>
    <row r="4" spans="1:5" x14ac:dyDescent="0.25">
      <c r="A4" s="132" t="s">
        <v>1426</v>
      </c>
      <c r="B4" s="112">
        <v>1150767</v>
      </c>
      <c r="C4" s="139">
        <f>B4/30</f>
        <v>38358.9</v>
      </c>
      <c r="D4" s="140">
        <f>'1'!$E$33</f>
        <v>221935602.00000003</v>
      </c>
      <c r="E4" s="141">
        <f>IFERROR(D4/C4,"")</f>
        <v>5785.7655459358848</v>
      </c>
    </row>
    <row r="5" spans="1:5" x14ac:dyDescent="0.25">
      <c r="A5" s="101" t="s">
        <v>1380</v>
      </c>
      <c r="B5" s="111">
        <v>109654</v>
      </c>
      <c r="C5" s="142">
        <f t="shared" ref="C5:C60" si="0">B5/30</f>
        <v>3655.1333333333332</v>
      </c>
      <c r="D5" s="142">
        <f>'2'!$E$33</f>
        <v>23251748</v>
      </c>
      <c r="E5" s="143">
        <f t="shared" ref="E5:E61" si="1">IFERROR(D5/C5,"")</f>
        <v>6361.3952979371479</v>
      </c>
    </row>
    <row r="6" spans="1:5" x14ac:dyDescent="0.25">
      <c r="A6" s="101" t="s">
        <v>1390</v>
      </c>
      <c r="B6" s="111">
        <v>213908</v>
      </c>
      <c r="C6" s="142">
        <f t="shared" si="0"/>
        <v>7130.2666666666664</v>
      </c>
      <c r="D6" s="142">
        <f>'3'!$E$33</f>
        <v>41699788.000000007</v>
      </c>
      <c r="E6" s="143">
        <f t="shared" si="1"/>
        <v>5848.2788862501648</v>
      </c>
    </row>
    <row r="7" spans="1:5" x14ac:dyDescent="0.25">
      <c r="A7" s="101" t="s">
        <v>1391</v>
      </c>
      <c r="B7" s="111">
        <v>115461</v>
      </c>
      <c r="C7" s="142">
        <f t="shared" si="0"/>
        <v>3848.7</v>
      </c>
      <c r="D7" s="142">
        <f>'4'!$E$33</f>
        <v>16490784.000000002</v>
      </c>
      <c r="E7" s="143">
        <f t="shared" si="1"/>
        <v>4284.7673240314916</v>
      </c>
    </row>
    <row r="8" spans="1:5" x14ac:dyDescent="0.25">
      <c r="A8" s="101" t="s">
        <v>1381</v>
      </c>
      <c r="B8" s="111">
        <v>841118</v>
      </c>
      <c r="C8" s="142">
        <f t="shared" si="0"/>
        <v>28037.266666666666</v>
      </c>
      <c r="D8" s="142">
        <f>'5'!$E$33</f>
        <v>179278986.00000003</v>
      </c>
      <c r="E8" s="143">
        <f t="shared" si="1"/>
        <v>6394.3104059121324</v>
      </c>
    </row>
    <row r="9" spans="1:5" x14ac:dyDescent="0.25">
      <c r="A9" s="101" t="s">
        <v>1392</v>
      </c>
      <c r="B9" s="111">
        <v>390889</v>
      </c>
      <c r="C9" s="142">
        <f t="shared" si="0"/>
        <v>13029.633333333333</v>
      </c>
      <c r="D9" s="144">
        <f>'6'!$E$33</f>
        <v>49493685.000000007</v>
      </c>
      <c r="E9" s="145">
        <f t="shared" si="1"/>
        <v>3798.5477974565674</v>
      </c>
    </row>
    <row r="10" spans="1:5" x14ac:dyDescent="0.25">
      <c r="A10" s="101" t="s">
        <v>1393</v>
      </c>
      <c r="B10" s="111">
        <v>82319</v>
      </c>
      <c r="C10" s="142">
        <f t="shared" si="0"/>
        <v>2743.9666666666667</v>
      </c>
      <c r="D10" s="144">
        <f>'7'!$E$33</f>
        <v>17754969.000000004</v>
      </c>
      <c r="E10" s="145">
        <f t="shared" si="1"/>
        <v>6470.5483545718498</v>
      </c>
    </row>
    <row r="11" spans="1:5" x14ac:dyDescent="0.25">
      <c r="A11" s="101" t="s">
        <v>1427</v>
      </c>
      <c r="B11" s="111">
        <v>322601</v>
      </c>
      <c r="C11" s="142">
        <f t="shared" si="0"/>
        <v>10753.366666666667</v>
      </c>
      <c r="D11" s="142">
        <f>'8'!$E$33</f>
        <v>47350613.999999993</v>
      </c>
      <c r="E11" s="143">
        <f t="shared" si="1"/>
        <v>4403.3292519242032</v>
      </c>
    </row>
    <row r="12" spans="1:5" x14ac:dyDescent="0.25">
      <c r="A12" s="101" t="s">
        <v>1384</v>
      </c>
      <c r="B12" s="111">
        <v>97474</v>
      </c>
      <c r="C12" s="142">
        <f t="shared" si="0"/>
        <v>3249.1333333333332</v>
      </c>
      <c r="D12" s="144">
        <f>'9'!$E$33</f>
        <v>11054198</v>
      </c>
      <c r="E12" s="145">
        <f t="shared" si="1"/>
        <v>3402.1989453597885</v>
      </c>
    </row>
    <row r="13" spans="1:5" x14ac:dyDescent="0.25">
      <c r="A13" s="101" t="s">
        <v>1394</v>
      </c>
      <c r="B13" s="111">
        <v>36049</v>
      </c>
      <c r="C13" s="142">
        <f t="shared" si="0"/>
        <v>1201.6333333333334</v>
      </c>
      <c r="D13" s="142">
        <f>'10'!$E$33</f>
        <v>4653177</v>
      </c>
      <c r="E13" s="143">
        <f t="shared" si="1"/>
        <v>3872.3767649588058</v>
      </c>
    </row>
    <row r="14" spans="1:5" x14ac:dyDescent="0.25">
      <c r="A14" s="101" t="s">
        <v>1395</v>
      </c>
      <c r="B14" s="111">
        <v>84482</v>
      </c>
      <c r="C14" s="142">
        <f t="shared" si="0"/>
        <v>2816.0666666666666</v>
      </c>
      <c r="D14" s="142">
        <f>'11'!$E$33</f>
        <v>15091918</v>
      </c>
      <c r="E14" s="143">
        <f t="shared" si="1"/>
        <v>5359.2190052318838</v>
      </c>
    </row>
    <row r="15" spans="1:5" x14ac:dyDescent="0.25">
      <c r="A15" s="101" t="s">
        <v>1288</v>
      </c>
      <c r="B15" s="110">
        <v>89076</v>
      </c>
      <c r="C15" s="142">
        <f t="shared" si="0"/>
        <v>2969.2</v>
      </c>
      <c r="D15" s="144">
        <f>'12'!$E$33</f>
        <v>0</v>
      </c>
      <c r="E15" s="145">
        <f t="shared" si="1"/>
        <v>0</v>
      </c>
    </row>
    <row r="16" spans="1:5" x14ac:dyDescent="0.25">
      <c r="A16" s="101" t="s">
        <v>1418</v>
      </c>
      <c r="B16" s="110">
        <v>534420</v>
      </c>
      <c r="C16" s="142">
        <f t="shared" si="0"/>
        <v>17814</v>
      </c>
      <c r="D16" s="144">
        <f>'13'!$E$33</f>
        <v>79972030.999999985</v>
      </c>
      <c r="E16" s="145">
        <f t="shared" si="1"/>
        <v>4489.2798360839779</v>
      </c>
    </row>
    <row r="17" spans="1:5" x14ac:dyDescent="0.25">
      <c r="A17" s="101" t="s">
        <v>1419</v>
      </c>
      <c r="B17" s="111">
        <v>1434012</v>
      </c>
      <c r="C17" s="142">
        <f t="shared" si="0"/>
        <v>47800.4</v>
      </c>
      <c r="D17" s="144">
        <f>'14'!$E$33</f>
        <v>257510898</v>
      </c>
      <c r="E17" s="145">
        <f t="shared" si="1"/>
        <v>5387.2121990610958</v>
      </c>
    </row>
    <row r="18" spans="1:5" x14ac:dyDescent="0.25">
      <c r="A18" s="101" t="s">
        <v>1396</v>
      </c>
      <c r="B18" s="111">
        <v>233439</v>
      </c>
      <c r="C18" s="142">
        <f t="shared" si="0"/>
        <v>7781.3</v>
      </c>
      <c r="D18" s="142">
        <f>'15'!$E$33</f>
        <v>56476548.999999993</v>
      </c>
      <c r="E18" s="143">
        <f t="shared" si="1"/>
        <v>7257.9837559276721</v>
      </c>
    </row>
    <row r="19" spans="1:5" x14ac:dyDescent="0.25">
      <c r="A19" s="100" t="s">
        <v>1420</v>
      </c>
      <c r="B19" s="111">
        <v>576460</v>
      </c>
      <c r="C19" s="142">
        <f t="shared" si="0"/>
        <v>19215.333333333332</v>
      </c>
      <c r="D19" s="142">
        <f>'16'!$E$33</f>
        <v>90954151</v>
      </c>
      <c r="E19" s="143">
        <f t="shared" si="1"/>
        <v>4733.4152066058359</v>
      </c>
    </row>
    <row r="20" spans="1:5" x14ac:dyDescent="0.25">
      <c r="A20" s="101" t="s">
        <v>1397</v>
      </c>
      <c r="B20" s="111">
        <v>24684</v>
      </c>
      <c r="C20" s="142">
        <f t="shared" si="0"/>
        <v>822.8</v>
      </c>
      <c r="D20" s="142">
        <f>'17'!$E$33</f>
        <v>6030690</v>
      </c>
      <c r="E20" s="143">
        <f t="shared" si="1"/>
        <v>7329.4725328147788</v>
      </c>
    </row>
    <row r="21" spans="1:5" x14ac:dyDescent="0.25">
      <c r="A21" s="101" t="s">
        <v>1398</v>
      </c>
      <c r="B21" s="111">
        <v>48686</v>
      </c>
      <c r="C21" s="142">
        <f t="shared" si="0"/>
        <v>1622.8666666666666</v>
      </c>
      <c r="D21" s="142">
        <f>'18'!$E$33</f>
        <v>12174011.999999998</v>
      </c>
      <c r="E21" s="143">
        <f t="shared" si="1"/>
        <v>7501.5478782401506</v>
      </c>
    </row>
    <row r="22" spans="1:5" x14ac:dyDescent="0.25">
      <c r="A22" s="101" t="s">
        <v>1428</v>
      </c>
      <c r="B22" s="111">
        <v>117086</v>
      </c>
      <c r="C22" s="142">
        <f t="shared" si="0"/>
        <v>3902.8666666666668</v>
      </c>
      <c r="D22" s="142">
        <f>'19'!$E$33</f>
        <v>17042091</v>
      </c>
      <c r="E22" s="143">
        <f t="shared" si="1"/>
        <v>4366.5573168440287</v>
      </c>
    </row>
    <row r="23" spans="1:5" x14ac:dyDescent="0.25">
      <c r="A23" s="101" t="s">
        <v>1399</v>
      </c>
      <c r="B23" s="111">
        <v>97856</v>
      </c>
      <c r="C23" s="142">
        <f t="shared" si="0"/>
        <v>3261.8666666666668</v>
      </c>
      <c r="D23" s="142">
        <f>'20'!$E$33</f>
        <v>12759358.000000002</v>
      </c>
      <c r="E23" s="143">
        <f t="shared" si="1"/>
        <v>3911.6736837802491</v>
      </c>
    </row>
    <row r="24" spans="1:5" x14ac:dyDescent="0.25">
      <c r="A24" s="101" t="s">
        <v>1421</v>
      </c>
      <c r="B24" s="111">
        <v>1174406</v>
      </c>
      <c r="C24" s="142">
        <f t="shared" si="0"/>
        <v>39146.866666666669</v>
      </c>
      <c r="D24" s="142">
        <f>'21'!$E$33</f>
        <v>199204927.00000003</v>
      </c>
      <c r="E24" s="143">
        <f t="shared" si="1"/>
        <v>5088.6557204237724</v>
      </c>
    </row>
    <row r="25" spans="1:5" x14ac:dyDescent="0.25">
      <c r="A25" s="101" t="s">
        <v>1400</v>
      </c>
      <c r="B25" s="111">
        <v>88350</v>
      </c>
      <c r="C25" s="142">
        <f t="shared" si="0"/>
        <v>2945</v>
      </c>
      <c r="D25" s="144">
        <f>'22'!$E$33</f>
        <v>19086124.000000004</v>
      </c>
      <c r="E25" s="145">
        <f t="shared" si="1"/>
        <v>6480.8570458404083</v>
      </c>
    </row>
    <row r="26" spans="1:5" x14ac:dyDescent="0.25">
      <c r="A26" s="101" t="s">
        <v>1401</v>
      </c>
      <c r="B26" s="111">
        <v>145760</v>
      </c>
      <c r="C26" s="142">
        <f t="shared" si="0"/>
        <v>4858.666666666667</v>
      </c>
      <c r="D26" s="144">
        <f>'23'!$E$33</f>
        <v>24477258</v>
      </c>
      <c r="E26" s="145">
        <f t="shared" si="1"/>
        <v>5037.8549670691546</v>
      </c>
    </row>
    <row r="27" spans="1:5" x14ac:dyDescent="0.25">
      <c r="A27" s="101" t="s">
        <v>1385</v>
      </c>
      <c r="B27" s="111">
        <v>189345</v>
      </c>
      <c r="C27" s="142">
        <f t="shared" si="0"/>
        <v>6311.5</v>
      </c>
      <c r="D27" s="142">
        <f>'24'!$E$33</f>
        <v>39942494</v>
      </c>
      <c r="E27" s="143">
        <f t="shared" si="1"/>
        <v>6328.5263408064648</v>
      </c>
    </row>
    <row r="28" spans="1:5" x14ac:dyDescent="0.25">
      <c r="A28" s="101" t="s">
        <v>1402</v>
      </c>
      <c r="B28" s="111">
        <v>143174</v>
      </c>
      <c r="C28" s="142">
        <f t="shared" si="0"/>
        <v>4772.4666666666662</v>
      </c>
      <c r="D28" s="144">
        <f>'25'!$E$33</f>
        <v>27430898.000000004</v>
      </c>
      <c r="E28" s="145">
        <f t="shared" si="1"/>
        <v>5747.7400924748918</v>
      </c>
    </row>
    <row r="29" spans="1:5" x14ac:dyDescent="0.25">
      <c r="A29" s="100" t="s">
        <v>1403</v>
      </c>
      <c r="B29" s="110">
        <v>1139753</v>
      </c>
      <c r="C29" s="142">
        <f t="shared" si="0"/>
        <v>37991.76666666667</v>
      </c>
      <c r="D29" s="144">
        <f>'26'!$E$33</f>
        <v>191125448.00000003</v>
      </c>
      <c r="E29" s="145">
        <f t="shared" si="1"/>
        <v>5030.7070391567295</v>
      </c>
    </row>
    <row r="30" spans="1:5" x14ac:dyDescent="0.25">
      <c r="A30" s="101" t="s">
        <v>1382</v>
      </c>
      <c r="B30" s="111">
        <v>224617</v>
      </c>
      <c r="C30" s="142">
        <f t="shared" si="0"/>
        <v>7487.2333333333336</v>
      </c>
      <c r="D30" s="144">
        <f>'27'!$E$33</f>
        <v>39230494.000000007</v>
      </c>
      <c r="E30" s="145">
        <f t="shared" si="1"/>
        <v>5239.651584697508</v>
      </c>
    </row>
    <row r="31" spans="1:5" x14ac:dyDescent="0.25">
      <c r="A31" s="101" t="s">
        <v>1404</v>
      </c>
      <c r="B31" s="111">
        <v>127007</v>
      </c>
      <c r="C31" s="142">
        <f t="shared" si="0"/>
        <v>4233.5666666666666</v>
      </c>
      <c r="D31" s="144">
        <f>'28'!$E$33</f>
        <v>28923135.000000004</v>
      </c>
      <c r="E31" s="145">
        <f t="shared" si="1"/>
        <v>6831.8600549576022</v>
      </c>
    </row>
    <row r="32" spans="1:5" x14ac:dyDescent="0.25">
      <c r="A32" s="101" t="s">
        <v>1405</v>
      </c>
      <c r="B32" s="111">
        <v>243241</v>
      </c>
      <c r="C32" s="142">
        <f t="shared" si="0"/>
        <v>8108.0333333333338</v>
      </c>
      <c r="D32" s="144">
        <f>'29'!$E$33</f>
        <v>26106563</v>
      </c>
      <c r="E32" s="145">
        <f t="shared" si="1"/>
        <v>3219.8391307386501</v>
      </c>
    </row>
    <row r="33" spans="1:5" x14ac:dyDescent="0.25">
      <c r="A33" s="101" t="s">
        <v>1406</v>
      </c>
      <c r="B33" s="111">
        <v>181189</v>
      </c>
      <c r="C33" s="142">
        <f t="shared" si="0"/>
        <v>6039.6333333333332</v>
      </c>
      <c r="D33" s="142">
        <f>'30'!$E$33</f>
        <v>22531563.000000004</v>
      </c>
      <c r="E33" s="143">
        <f t="shared" si="1"/>
        <v>3730.6176975423459</v>
      </c>
    </row>
    <row r="34" spans="1:5" x14ac:dyDescent="0.25">
      <c r="A34" s="101" t="s">
        <v>1383</v>
      </c>
      <c r="B34" s="111">
        <v>68492</v>
      </c>
      <c r="C34" s="142">
        <f t="shared" si="0"/>
        <v>2283.0666666666666</v>
      </c>
      <c r="D34" s="142">
        <f>'31'!$E$33</f>
        <v>11278034</v>
      </c>
      <c r="E34" s="143">
        <f t="shared" si="1"/>
        <v>4939.8618816796125</v>
      </c>
    </row>
    <row r="35" spans="1:5" x14ac:dyDescent="0.25">
      <c r="A35" s="101" t="s">
        <v>1407</v>
      </c>
      <c r="B35" s="110">
        <v>100321</v>
      </c>
      <c r="C35" s="142">
        <f t="shared" si="0"/>
        <v>3344.0333333333333</v>
      </c>
      <c r="D35" s="142">
        <f>'32'!$E$33</f>
        <v>24888115.999999996</v>
      </c>
      <c r="E35" s="143">
        <f t="shared" si="1"/>
        <v>7442.5442330120304</v>
      </c>
    </row>
    <row r="36" spans="1:5" x14ac:dyDescent="0.25">
      <c r="A36" s="101" t="s">
        <v>1408</v>
      </c>
      <c r="B36" s="111">
        <v>48696</v>
      </c>
      <c r="C36" s="142">
        <f t="shared" si="0"/>
        <v>1623.2</v>
      </c>
      <c r="D36" s="142">
        <f>'33'!$E$33</f>
        <v>9727429.0000000019</v>
      </c>
      <c r="E36" s="143">
        <f t="shared" si="1"/>
        <v>5992.7482750123227</v>
      </c>
    </row>
    <row r="37" spans="1:5" x14ac:dyDescent="0.25">
      <c r="A37" s="101" t="s">
        <v>1386</v>
      </c>
      <c r="B37" s="110">
        <v>133600</v>
      </c>
      <c r="C37" s="142">
        <f t="shared" si="0"/>
        <v>4453.333333333333</v>
      </c>
      <c r="D37" s="142">
        <f>'34'!$E$33</f>
        <v>16050357.000000002</v>
      </c>
      <c r="E37" s="143">
        <f t="shared" si="1"/>
        <v>3604.1220808383241</v>
      </c>
    </row>
    <row r="38" spans="1:5" x14ac:dyDescent="0.25">
      <c r="A38" s="101" t="s">
        <v>1409</v>
      </c>
      <c r="B38" s="110">
        <v>32208</v>
      </c>
      <c r="C38" s="142">
        <f t="shared" si="0"/>
        <v>1073.5999999999999</v>
      </c>
      <c r="D38" s="142">
        <f>'35'!$E$33</f>
        <v>0</v>
      </c>
      <c r="E38" s="143">
        <f t="shared" si="1"/>
        <v>0</v>
      </c>
    </row>
    <row r="39" spans="1:5" x14ac:dyDescent="0.25">
      <c r="A39" s="101" t="s">
        <v>1422</v>
      </c>
      <c r="B39" s="111">
        <v>621630</v>
      </c>
      <c r="C39" s="142">
        <f t="shared" si="0"/>
        <v>20721</v>
      </c>
      <c r="D39" s="142">
        <f>'36'!$E$33</f>
        <v>106736876.99999999</v>
      </c>
      <c r="E39" s="143">
        <f t="shared" si="1"/>
        <v>5151.1450702186185</v>
      </c>
    </row>
    <row r="40" spans="1:5" x14ac:dyDescent="0.25">
      <c r="A40" s="101" t="s">
        <v>1410</v>
      </c>
      <c r="B40" s="110">
        <v>217696</v>
      </c>
      <c r="C40" s="142">
        <f t="shared" si="0"/>
        <v>7256.5333333333338</v>
      </c>
      <c r="D40" s="144">
        <f>'37'!$E$33</f>
        <v>31608092</v>
      </c>
      <c r="E40" s="145">
        <f t="shared" si="1"/>
        <v>4355.8115904747901</v>
      </c>
    </row>
    <row r="41" spans="1:5" x14ac:dyDescent="0.25">
      <c r="A41" s="101" t="s">
        <v>1411</v>
      </c>
      <c r="B41" s="110">
        <v>550135</v>
      </c>
      <c r="C41" s="142">
        <f t="shared" si="0"/>
        <v>18337.833333333332</v>
      </c>
      <c r="D41" s="144">
        <f>'38'!$E$33</f>
        <v>87561798.999999985</v>
      </c>
      <c r="E41" s="145">
        <f t="shared" si="1"/>
        <v>4774.9260999572825</v>
      </c>
    </row>
    <row r="42" spans="1:5" x14ac:dyDescent="0.25">
      <c r="A42" s="101" t="s">
        <v>1387</v>
      </c>
      <c r="B42" s="110">
        <v>117098</v>
      </c>
      <c r="C42" s="142">
        <f t="shared" si="0"/>
        <v>3903.2666666666669</v>
      </c>
      <c r="D42" s="144">
        <f>'39'!$E$33</f>
        <v>19102508.999999996</v>
      </c>
      <c r="E42" s="145">
        <f t="shared" si="1"/>
        <v>4893.9799996584043</v>
      </c>
    </row>
    <row r="43" spans="1:5" x14ac:dyDescent="0.25">
      <c r="A43" s="101" t="s">
        <v>1423</v>
      </c>
      <c r="B43" s="110">
        <v>992819</v>
      </c>
      <c r="C43" s="142">
        <f t="shared" si="0"/>
        <v>33093.966666666667</v>
      </c>
      <c r="D43" s="144">
        <f>'40'!$E$33</f>
        <v>174945539</v>
      </c>
      <c r="E43" s="145">
        <f t="shared" si="1"/>
        <v>5286.3272862425074</v>
      </c>
    </row>
    <row r="44" spans="1:5" x14ac:dyDescent="0.25">
      <c r="A44" s="101" t="s">
        <v>1388</v>
      </c>
      <c r="B44" s="110">
        <v>123274</v>
      </c>
      <c r="C44" s="142">
        <f t="shared" si="0"/>
        <v>4109.1333333333332</v>
      </c>
      <c r="D44" s="144">
        <f>'41'!$E$33</f>
        <v>19894767</v>
      </c>
      <c r="E44" s="145">
        <f t="shared" si="1"/>
        <v>4841.596849295066</v>
      </c>
    </row>
    <row r="45" spans="1:5" x14ac:dyDescent="0.25">
      <c r="A45" s="101" t="s">
        <v>1412</v>
      </c>
      <c r="B45" s="110">
        <v>88663</v>
      </c>
      <c r="C45" s="142">
        <f t="shared" si="0"/>
        <v>2955.4333333333334</v>
      </c>
      <c r="D45" s="144">
        <f>'42'!$E$33</f>
        <v>0</v>
      </c>
      <c r="E45" s="145">
        <f t="shared" si="1"/>
        <v>0</v>
      </c>
    </row>
    <row r="46" spans="1:5" x14ac:dyDescent="0.25">
      <c r="A46" s="101" t="s">
        <v>1413</v>
      </c>
      <c r="B46" s="110">
        <v>196366</v>
      </c>
      <c r="C46" s="142">
        <f t="shared" si="0"/>
        <v>6545.5333333333338</v>
      </c>
      <c r="D46" s="144">
        <f>'43'!$E$33</f>
        <v>0</v>
      </c>
      <c r="E46" s="145">
        <f t="shared" si="1"/>
        <v>0</v>
      </c>
    </row>
    <row r="47" spans="1:5" x14ac:dyDescent="0.25">
      <c r="A47" s="101" t="s">
        <v>1424</v>
      </c>
      <c r="B47" s="110">
        <v>169107</v>
      </c>
      <c r="C47" s="142">
        <f t="shared" si="0"/>
        <v>5636.9</v>
      </c>
      <c r="D47" s="144">
        <f>'44'!$E$33</f>
        <v>23077740</v>
      </c>
      <c r="E47" s="145">
        <f t="shared" si="1"/>
        <v>4094.0481470311697</v>
      </c>
    </row>
    <row r="48" spans="1:5" x14ac:dyDescent="0.25">
      <c r="A48" s="101" t="s">
        <v>1389</v>
      </c>
      <c r="B48" s="110">
        <v>263418</v>
      </c>
      <c r="C48" s="142">
        <f t="shared" si="0"/>
        <v>8780.6</v>
      </c>
      <c r="D48" s="144">
        <f>'45'!$E$33</f>
        <v>47224953.999999993</v>
      </c>
      <c r="E48" s="145">
        <f t="shared" si="1"/>
        <v>5378.3288157984634</v>
      </c>
    </row>
    <row r="49" spans="1:5" x14ac:dyDescent="0.25">
      <c r="A49" s="101" t="s">
        <v>1414</v>
      </c>
      <c r="B49" s="110">
        <v>67120</v>
      </c>
      <c r="C49" s="142">
        <f t="shared" si="0"/>
        <v>2237.3333333333335</v>
      </c>
      <c r="D49" s="144">
        <f>'46'!$E$33</f>
        <v>11878897.000000002</v>
      </c>
      <c r="E49" s="145">
        <f t="shared" si="1"/>
        <v>5309.3997318235997</v>
      </c>
    </row>
    <row r="50" spans="1:5" x14ac:dyDescent="0.25">
      <c r="A50" s="101" t="s">
        <v>1415</v>
      </c>
      <c r="B50" s="110">
        <v>84659</v>
      </c>
      <c r="C50" s="142">
        <f t="shared" si="0"/>
        <v>2821.9666666666667</v>
      </c>
      <c r="D50" s="144">
        <f>'47'!$E$33</f>
        <v>18082682</v>
      </c>
      <c r="E50" s="145">
        <f t="shared" si="1"/>
        <v>6407.8297641124982</v>
      </c>
    </row>
    <row r="51" spans="1:5" x14ac:dyDescent="0.25">
      <c r="A51" s="101" t="s">
        <v>1416</v>
      </c>
      <c r="B51" s="110">
        <v>117302</v>
      </c>
      <c r="C51" s="142">
        <f t="shared" si="0"/>
        <v>3910.0666666666666</v>
      </c>
      <c r="D51" s="144">
        <f>'48'!$E$33</f>
        <v>22836060.999999996</v>
      </c>
      <c r="E51" s="145">
        <f t="shared" si="1"/>
        <v>5840.3252288963522</v>
      </c>
    </row>
    <row r="52" spans="1:5" x14ac:dyDescent="0.25">
      <c r="A52" s="101" t="s">
        <v>1417</v>
      </c>
      <c r="B52" s="110">
        <v>46143</v>
      </c>
      <c r="C52" s="142">
        <f t="shared" si="0"/>
        <v>1538.1</v>
      </c>
      <c r="D52" s="144">
        <f>'49'!$E$33</f>
        <v>7249509.9999999972</v>
      </c>
      <c r="E52" s="145">
        <f t="shared" si="1"/>
        <v>4713.2891229438901</v>
      </c>
    </row>
    <row r="53" spans="1:5" x14ac:dyDescent="0.25">
      <c r="A53" s="101" t="s">
        <v>1425</v>
      </c>
      <c r="B53" s="110">
        <v>147787</v>
      </c>
      <c r="C53" s="142">
        <f t="shared" si="0"/>
        <v>4926.2333333333336</v>
      </c>
      <c r="D53" s="144">
        <f>'50'!$E$33</f>
        <v>24448874</v>
      </c>
      <c r="E53" s="145">
        <f t="shared" si="1"/>
        <v>4962.9955273467895</v>
      </c>
    </row>
    <row r="54" spans="1:5" x14ac:dyDescent="0.25">
      <c r="A54" s="99" t="s">
        <v>1289</v>
      </c>
      <c r="B54" s="110">
        <v>133661</v>
      </c>
      <c r="C54" s="142">
        <f t="shared" si="0"/>
        <v>4455.3666666666668</v>
      </c>
      <c r="D54" s="144">
        <f>'51'!$E$33</f>
        <v>23923434.999999996</v>
      </c>
      <c r="E54" s="145">
        <f t="shared" si="1"/>
        <v>5369.5771391804628</v>
      </c>
    </row>
    <row r="55" spans="1:5" x14ac:dyDescent="0.25">
      <c r="A55" s="99" t="s">
        <v>1290</v>
      </c>
      <c r="B55" s="110">
        <v>28905</v>
      </c>
      <c r="C55" s="142">
        <f t="shared" si="0"/>
        <v>963.5</v>
      </c>
      <c r="D55" s="144">
        <f>'52'!$E$33</f>
        <v>12306051</v>
      </c>
      <c r="E55" s="145">
        <f t="shared" si="1"/>
        <v>12772.237675142709</v>
      </c>
    </row>
    <row r="56" spans="1:5" x14ac:dyDescent="0.25">
      <c r="A56" s="99" t="s">
        <v>1291</v>
      </c>
      <c r="B56" s="110">
        <v>22996</v>
      </c>
      <c r="C56" s="142">
        <f t="shared" si="0"/>
        <v>766.5333333333333</v>
      </c>
      <c r="D56" s="144">
        <f>'53'!$E$33</f>
        <v>5359962</v>
      </c>
      <c r="E56" s="145">
        <f t="shared" si="1"/>
        <v>6992.4708644981738</v>
      </c>
    </row>
    <row r="57" spans="1:5" x14ac:dyDescent="0.25">
      <c r="A57" s="99" t="s">
        <v>1292</v>
      </c>
      <c r="B57" s="110">
        <v>28905</v>
      </c>
      <c r="C57" s="142">
        <f t="shared" si="0"/>
        <v>963.5</v>
      </c>
      <c r="D57" s="144">
        <f>'54'!$E$33</f>
        <v>41418505.999999993</v>
      </c>
      <c r="E57" s="145">
        <f t="shared" si="1"/>
        <v>42987.551634665273</v>
      </c>
    </row>
    <row r="58" spans="1:5" x14ac:dyDescent="0.25">
      <c r="A58" s="99" t="s">
        <v>1293</v>
      </c>
      <c r="B58" s="110">
        <v>66956</v>
      </c>
      <c r="C58" s="142">
        <f t="shared" si="0"/>
        <v>2231.8666666666668</v>
      </c>
      <c r="D58" s="144">
        <f>'55'!$E$33</f>
        <v>23274984.000000004</v>
      </c>
      <c r="E58" s="145">
        <f t="shared" si="1"/>
        <v>10428.483182985843</v>
      </c>
    </row>
    <row r="59" spans="1:5" x14ac:dyDescent="0.25">
      <c r="A59" s="99" t="s">
        <v>1294</v>
      </c>
      <c r="B59" s="110">
        <v>55853</v>
      </c>
      <c r="C59" s="142">
        <f t="shared" si="0"/>
        <v>1861.7666666666667</v>
      </c>
      <c r="D59" s="144">
        <f>'56'!$E$33</f>
        <v>12737776.689999999</v>
      </c>
      <c r="E59" s="145">
        <f t="shared" si="1"/>
        <v>6841.768583603387</v>
      </c>
    </row>
    <row r="60" spans="1:5" x14ac:dyDescent="0.25">
      <c r="A60" s="80" t="s">
        <v>1295</v>
      </c>
      <c r="B60" s="110">
        <v>59502</v>
      </c>
      <c r="C60" s="142">
        <f t="shared" si="0"/>
        <v>1983.4</v>
      </c>
      <c r="D60" s="144">
        <f>'57'!$E$33</f>
        <v>14241651</v>
      </c>
      <c r="E60" s="145">
        <f t="shared" si="1"/>
        <v>7180.4230109912269</v>
      </c>
    </row>
    <row r="61" spans="1:5" ht="30" thickBot="1" x14ac:dyDescent="0.3">
      <c r="A61" s="89" t="s">
        <v>1370</v>
      </c>
      <c r="B61" s="146">
        <f>SUMIF(D4:D60,"&gt;0",B4:B60)</f>
        <v>14434282</v>
      </c>
      <c r="C61" s="146">
        <f>B61/30</f>
        <v>481142.73333333334</v>
      </c>
      <c r="D61" s="147">
        <f>SUM(D4:D60)</f>
        <v>2568888755.6900001</v>
      </c>
      <c r="E61" s="148">
        <f t="shared" si="1"/>
        <v>5339.1407117236595</v>
      </c>
    </row>
    <row r="63" spans="1:5" x14ac:dyDescent="0.25">
      <c r="D63" s="130"/>
    </row>
    <row r="87" ht="15" customHeight="1" x14ac:dyDescent="0.25"/>
  </sheetData>
  <pageMargins left="0.25" right="0.25" top="0.25" bottom="0.2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6"/>
  <sheetViews>
    <sheetView showGridLines="0" zoomScale="70" zoomScaleNormal="70" workbookViewId="0">
      <pane xSplit="1" ySplit="3" topLeftCell="B4" activePane="bottomRight" state="frozen"/>
      <selection activeCell="A49" sqref="A49"/>
      <selection pane="topRight" activeCell="A49" sqref="A49"/>
      <selection pane="bottomLeft" activeCell="A49" sqref="A49"/>
      <selection pane="bottomRight" activeCell="B4" sqref="B4"/>
    </sheetView>
  </sheetViews>
  <sheetFormatPr defaultRowHeight="14.25" x14ac:dyDescent="0.2"/>
  <cols>
    <col min="1" max="1" width="31.5703125" style="64" customWidth="1"/>
    <col min="2" max="6" width="9.7109375" style="64" customWidth="1"/>
    <col min="7" max="7" width="11" style="64" customWidth="1"/>
    <col min="8" max="30" width="9.7109375" style="64" customWidth="1"/>
    <col min="31" max="31" width="8.140625" style="64" bestFit="1" customWidth="1"/>
    <col min="32" max="37" width="9.140625" style="64"/>
    <col min="38" max="38" width="17.85546875" style="64" bestFit="1" customWidth="1"/>
    <col min="39" max="41" width="9.140625" style="64"/>
    <col min="42" max="42" width="17.85546875" style="64" bestFit="1" customWidth="1"/>
    <col min="43" max="16384" width="9.140625" style="64"/>
  </cols>
  <sheetData>
    <row r="1" spans="1:30" x14ac:dyDescent="0.2">
      <c r="A1" s="39" t="str">
        <f>Summary!A1</f>
        <v>Community and Technical Colleges, Report of Fundable Operating Expenses, Fiscal Year (FY) 2011</v>
      </c>
      <c r="B1" s="39"/>
      <c r="C1" s="39"/>
      <c r="E1" s="39"/>
      <c r="F1" s="39"/>
      <c r="G1" s="39"/>
      <c r="H1" s="39"/>
      <c r="J1" s="39"/>
      <c r="K1" s="40"/>
      <c r="L1" s="39"/>
    </row>
    <row r="2" spans="1:30" ht="15" thickBot="1" x14ac:dyDescent="0.25">
      <c r="A2" s="67" t="s">
        <v>1305</v>
      </c>
    </row>
    <row r="3" spans="1:30" s="74" customFormat="1" x14ac:dyDescent="0.2">
      <c r="A3" s="27" t="s">
        <v>1296</v>
      </c>
      <c r="B3" s="34" t="s">
        <v>1306</v>
      </c>
      <c r="C3" s="34" t="s">
        <v>1307</v>
      </c>
      <c r="D3" s="34" t="s">
        <v>1336</v>
      </c>
      <c r="E3" s="34" t="s">
        <v>1337</v>
      </c>
      <c r="F3" s="34" t="s">
        <v>1338</v>
      </c>
      <c r="G3" s="34" t="s">
        <v>1339</v>
      </c>
      <c r="H3" s="34" t="s">
        <v>1340</v>
      </c>
      <c r="I3" s="34" t="s">
        <v>1341</v>
      </c>
      <c r="J3" s="34" t="s">
        <v>1342</v>
      </c>
      <c r="K3" s="34" t="s">
        <v>1343</v>
      </c>
      <c r="L3" s="34" t="s">
        <v>1345</v>
      </c>
      <c r="M3" s="34" t="s">
        <v>1346</v>
      </c>
      <c r="N3" s="34" t="s">
        <v>1347</v>
      </c>
      <c r="O3" s="34" t="s">
        <v>1348</v>
      </c>
      <c r="P3" s="34" t="s">
        <v>1349</v>
      </c>
      <c r="Q3" s="34" t="s">
        <v>1350</v>
      </c>
      <c r="R3" s="34" t="s">
        <v>1351</v>
      </c>
      <c r="S3" s="34" t="s">
        <v>1352</v>
      </c>
      <c r="T3" s="34" t="s">
        <v>1353</v>
      </c>
      <c r="U3" s="34" t="s">
        <v>1354</v>
      </c>
      <c r="V3" s="34" t="s">
        <v>1355</v>
      </c>
      <c r="W3" s="34" t="s">
        <v>1356</v>
      </c>
      <c r="X3" s="34" t="s">
        <v>1357</v>
      </c>
      <c r="Y3" s="34" t="s">
        <v>1358</v>
      </c>
      <c r="Z3" s="34" t="s">
        <v>1359</v>
      </c>
      <c r="AA3" s="34" t="s">
        <v>1360</v>
      </c>
      <c r="AB3" s="34" t="s">
        <v>1361</v>
      </c>
      <c r="AC3" s="34" t="s">
        <v>1362</v>
      </c>
      <c r="AD3" s="45" t="s">
        <v>35</v>
      </c>
    </row>
    <row r="4" spans="1:30" x14ac:dyDescent="0.2">
      <c r="A4" s="101" t="s">
        <v>1426</v>
      </c>
      <c r="B4" s="82">
        <f>'1'!$F$5</f>
        <v>6.3547180386172828</v>
      </c>
      <c r="C4" s="82">
        <f>'1'!$F$6</f>
        <v>11.487581896250532</v>
      </c>
      <c r="D4" s="82">
        <f>'1'!$F$7</f>
        <v>9.691786979188171</v>
      </c>
      <c r="E4" s="82">
        <f>'1'!$F$8</f>
        <v>9.4203861891403591</v>
      </c>
      <c r="F4" s="82">
        <f>'1'!$F$9</f>
        <v>39.802770717976514</v>
      </c>
      <c r="G4" s="82">
        <f>'1'!$F$10</f>
        <v>10.503102827263808</v>
      </c>
      <c r="H4" s="82">
        <f>'1'!$F$11</f>
        <v>12.308045257458808</v>
      </c>
      <c r="I4" s="82">
        <f>'1'!$F$12</f>
        <v>14.155478354247441</v>
      </c>
      <c r="J4" s="82">
        <f>'1'!$F$13</f>
        <v>9.2657116213440087</v>
      </c>
      <c r="K4" s="82">
        <f>'1'!$F$14</f>
        <v>17.494223251089469</v>
      </c>
      <c r="L4" s="82">
        <f>'1'!$F$15</f>
        <v>12.89329456723298</v>
      </c>
      <c r="M4" s="82">
        <f>'1'!$F$16</f>
        <v>8.7173276843996952</v>
      </c>
      <c r="N4" s="82">
        <f>'1'!$F$17</f>
        <v>8.0185235264747678</v>
      </c>
      <c r="O4" s="82">
        <f>'1'!$F$18</f>
        <v>18.008072742797921</v>
      </c>
      <c r="P4" s="82" t="str">
        <f>'1'!$F$19</f>
        <v/>
      </c>
      <c r="Q4" s="82">
        <f>'1'!$F$20</f>
        <v>9.054144845914994</v>
      </c>
      <c r="R4" s="82">
        <f>'1'!$F$21</f>
        <v>19.828419718897539</v>
      </c>
      <c r="S4" s="82">
        <f>'1'!$F$22</f>
        <v>13.444831630281646</v>
      </c>
      <c r="T4" s="82">
        <f>'1'!$F$23</f>
        <v>8.1604679220240719</v>
      </c>
      <c r="U4" s="82">
        <f>'1'!$F$24</f>
        <v>11.017053518485394</v>
      </c>
      <c r="V4" s="82">
        <f>'1'!$F$25</f>
        <v>8.5850673432279372</v>
      </c>
      <c r="W4" s="82">
        <f>'1'!$F$26</f>
        <v>9.33302393049361</v>
      </c>
      <c r="X4" s="82">
        <f>'1'!$F$27</f>
        <v>9.3451233102889049</v>
      </c>
      <c r="Y4" s="82">
        <f>'1'!$F$28</f>
        <v>8.902998053029652</v>
      </c>
      <c r="Z4" s="82">
        <f>'1'!$F$29</f>
        <v>8.1299167549478017</v>
      </c>
      <c r="AA4" s="82">
        <f>'1'!$F$30</f>
        <v>11.213030132269758</v>
      </c>
      <c r="AB4" s="82">
        <f>'1'!$F$31</f>
        <v>8.160467900225731</v>
      </c>
      <c r="AC4" s="82">
        <f>'1'!$F$32</f>
        <v>8.7173276938298994</v>
      </c>
      <c r="AD4" s="103">
        <f>'1'!$F$33</f>
        <v>9.4282111227057968</v>
      </c>
    </row>
    <row r="5" spans="1:30" x14ac:dyDescent="0.2">
      <c r="A5" s="101" t="s">
        <v>1380</v>
      </c>
      <c r="B5" s="81">
        <f>'2'!$F$5</f>
        <v>11.231148200155035</v>
      </c>
      <c r="C5" s="81">
        <f>'2'!$F$6</f>
        <v>13.06492469031201</v>
      </c>
      <c r="D5" s="81">
        <f>'2'!$F$7</f>
        <v>6.1909216185638325</v>
      </c>
      <c r="E5" s="81">
        <f>'2'!$F$8</f>
        <v>8.6598497475942455</v>
      </c>
      <c r="F5" s="81">
        <f>'2'!$F$9</f>
        <v>30.581036386834668</v>
      </c>
      <c r="G5" s="81">
        <f>'2'!$F$10</f>
        <v>10.430748140756036</v>
      </c>
      <c r="H5" s="81">
        <f>'2'!$F$11</f>
        <v>19.072300821253773</v>
      </c>
      <c r="I5" s="81">
        <f>'2'!$F$12</f>
        <v>3.9387905598240436</v>
      </c>
      <c r="J5" s="81">
        <f>'2'!$F$13</f>
        <v>9.0869158076749219</v>
      </c>
      <c r="K5" s="81" t="str">
        <f>'2'!$F$14</f>
        <v/>
      </c>
      <c r="L5" s="81">
        <f>'2'!$F$15</f>
        <v>17.675058193047377</v>
      </c>
      <c r="M5" s="81">
        <f>'2'!$F$16</f>
        <v>7.3152797223956663</v>
      </c>
      <c r="N5" s="81">
        <f>'2'!$F$17</f>
        <v>6.1389031978796043</v>
      </c>
      <c r="O5" s="81">
        <f>'2'!$F$18</f>
        <v>11.601558870237627</v>
      </c>
      <c r="P5" s="81" t="str">
        <f>'2'!$F$19</f>
        <v/>
      </c>
      <c r="Q5" s="81">
        <f>'2'!$F$20</f>
        <v>10.145274064137729</v>
      </c>
      <c r="R5" s="81">
        <f>'2'!$F$21</f>
        <v>17.676415415432032</v>
      </c>
      <c r="S5" s="81">
        <f>'2'!$F$22</f>
        <v>10.884921437953759</v>
      </c>
      <c r="T5" s="81">
        <f>'2'!$F$23</f>
        <v>7.7654869925333525</v>
      </c>
      <c r="U5" s="81">
        <f>'2'!$F$24</f>
        <v>13.295001738133992</v>
      </c>
      <c r="V5" s="81" t="str">
        <f>'2'!$F$25</f>
        <v/>
      </c>
      <c r="W5" s="81">
        <f>'2'!$F$26</f>
        <v>5.371489387967169</v>
      </c>
      <c r="X5" s="81">
        <f>'2'!$F$27</f>
        <v>13.719679063602342</v>
      </c>
      <c r="Y5" s="81">
        <f>'2'!$F$28</f>
        <v>8.1243848913860308</v>
      </c>
      <c r="Z5" s="81">
        <f>'2'!$F$29</f>
        <v>7.7462407164127525</v>
      </c>
      <c r="AA5" s="81">
        <f>'2'!$F$30</f>
        <v>13.659647944354418</v>
      </c>
      <c r="AB5" s="81">
        <f>'2'!$F$31</f>
        <v>8.010490631941261</v>
      </c>
      <c r="AC5" s="81">
        <f>'2'!$F$32</f>
        <v>8.7757765675784967</v>
      </c>
      <c r="AD5" s="102">
        <f>'2'!$F$33</f>
        <v>9.1820052544764348</v>
      </c>
    </row>
    <row r="6" spans="1:30" x14ac:dyDescent="0.2">
      <c r="A6" s="101" t="s">
        <v>1390</v>
      </c>
      <c r="B6" s="81">
        <f>'3'!$F$5</f>
        <v>8.2922257782114652</v>
      </c>
      <c r="C6" s="81">
        <f>'3'!$F$6</f>
        <v>9.1252680404575752</v>
      </c>
      <c r="D6" s="81">
        <f>'3'!$F$7</f>
        <v>7.6447981002396235</v>
      </c>
      <c r="E6" s="81">
        <f>'3'!$F$8</f>
        <v>8.1522400806507012</v>
      </c>
      <c r="F6" s="81">
        <f>'3'!$F$9</f>
        <v>9.1248990885526045</v>
      </c>
      <c r="G6" s="81">
        <f>'3'!$F$10</f>
        <v>8.7597721329380125</v>
      </c>
      <c r="H6" s="81">
        <f>'3'!$F$11</f>
        <v>7.9761013173679869</v>
      </c>
      <c r="I6" s="81">
        <f>'3'!$F$12</f>
        <v>9.1252030513757383</v>
      </c>
      <c r="J6" s="81">
        <f>'3'!$F$13</f>
        <v>6.7035044672723014</v>
      </c>
      <c r="K6" s="81">
        <f>'3'!$F$14</f>
        <v>7.641338264797815</v>
      </c>
      <c r="L6" s="81">
        <f>'3'!$F$15</f>
        <v>8.3310924941552802</v>
      </c>
      <c r="M6" s="81">
        <f>'3'!$F$16</f>
        <v>8.1706962085253387</v>
      </c>
      <c r="N6" s="81">
        <f>'3'!$F$17</f>
        <v>7.7259798158556912</v>
      </c>
      <c r="O6" s="81">
        <f>'3'!$F$18</f>
        <v>10.014030154705887</v>
      </c>
      <c r="P6" s="81">
        <f>'3'!$F$19</f>
        <v>8.4385243067286524</v>
      </c>
      <c r="Q6" s="81">
        <f>'3'!$F$20</f>
        <v>8.4414524773830291</v>
      </c>
      <c r="R6" s="81">
        <f>'3'!$F$21</f>
        <v>8.5051162683119816</v>
      </c>
      <c r="S6" s="81">
        <f>'3'!$F$22</f>
        <v>10.49212477710997</v>
      </c>
      <c r="T6" s="81">
        <f>'3'!$F$23</f>
        <v>7.8193388825654901</v>
      </c>
      <c r="U6" s="81">
        <f>'3'!$F$24</f>
        <v>9.1252545660010203</v>
      </c>
      <c r="V6" s="81">
        <f>'3'!$F$25</f>
        <v>9.165777006494201</v>
      </c>
      <c r="W6" s="81">
        <f>'3'!$F$26</f>
        <v>8.8246569131187904</v>
      </c>
      <c r="X6" s="81">
        <f>'3'!$F$27</f>
        <v>5.7019351258357345</v>
      </c>
      <c r="Y6" s="81">
        <f>'3'!$F$28</f>
        <v>8.1144623277987531</v>
      </c>
      <c r="Z6" s="81">
        <f>'3'!$F$29</f>
        <v>5.9052612013449766</v>
      </c>
      <c r="AA6" s="81">
        <f>'3'!$F$30</f>
        <v>7.6626033806197498</v>
      </c>
      <c r="AB6" s="81">
        <f>'3'!$F$31</f>
        <v>7.8193405036912251</v>
      </c>
      <c r="AC6" s="81">
        <f>'3'!$F$32</f>
        <v>8.1706961287675455</v>
      </c>
      <c r="AD6" s="102">
        <f>'3'!$F$33</f>
        <v>7.9311526800299994</v>
      </c>
    </row>
    <row r="7" spans="1:30" x14ac:dyDescent="0.2">
      <c r="A7" s="101" t="s">
        <v>1391</v>
      </c>
      <c r="B7" s="81">
        <f>'4'!$F$5</f>
        <v>14.418036122877687</v>
      </c>
      <c r="C7" s="81">
        <f>'4'!$F$6</f>
        <v>7.321558185610276</v>
      </c>
      <c r="D7" s="81">
        <f>'4'!$F$7</f>
        <v>5.0960299624608796</v>
      </c>
      <c r="E7" s="81">
        <f>'4'!$F$8</f>
        <v>5.9147406659276873</v>
      </c>
      <c r="F7" s="81" t="str">
        <f>'4'!$F$9</f>
        <v/>
      </c>
      <c r="G7" s="81">
        <f>'4'!$F$10</f>
        <v>10.105838055244837</v>
      </c>
      <c r="H7" s="81">
        <f>'4'!$F$11</f>
        <v>11.746077695331969</v>
      </c>
      <c r="I7" s="81">
        <f>'4'!$F$12</f>
        <v>6.0947965362152807</v>
      </c>
      <c r="J7" s="81">
        <f>'4'!$F$13</f>
        <v>6.5989259130734705</v>
      </c>
      <c r="K7" s="81">
        <f>'4'!$F$14</f>
        <v>40.998998182498283</v>
      </c>
      <c r="L7" s="81">
        <f>'4'!$F$15</f>
        <v>6.0992797190365735</v>
      </c>
      <c r="M7" s="81">
        <f>'4'!$F$16</f>
        <v>5.2083005649232774</v>
      </c>
      <c r="N7" s="81">
        <f>'4'!$F$17</f>
        <v>5.3546994064309219</v>
      </c>
      <c r="O7" s="81">
        <f>'4'!$F$18</f>
        <v>10.198305253651784</v>
      </c>
      <c r="P7" s="81" t="str">
        <f>'4'!$F$19</f>
        <v/>
      </c>
      <c r="Q7" s="81">
        <f>'4'!$F$20</f>
        <v>6.5345467377213424</v>
      </c>
      <c r="R7" s="81">
        <f>'4'!$F$21</f>
        <v>10.727615177643353</v>
      </c>
      <c r="S7" s="81">
        <f>'4'!$F$22</f>
        <v>4.9156888148734437</v>
      </c>
      <c r="T7" s="81">
        <f>'4'!$F$23</f>
        <v>6.3789152503782898</v>
      </c>
      <c r="U7" s="81">
        <f>'4'!$F$24</f>
        <v>6.081151514977317</v>
      </c>
      <c r="V7" s="81">
        <f>'4'!$F$25</f>
        <v>7.9919740313744185</v>
      </c>
      <c r="W7" s="81">
        <f>'4'!$F$26</f>
        <v>6.0732010534332419</v>
      </c>
      <c r="X7" s="81">
        <f>'4'!$F$27</f>
        <v>7.3485764159179805</v>
      </c>
      <c r="Y7" s="81">
        <f>'4'!$F$28</f>
        <v>6.3204439557270273</v>
      </c>
      <c r="Z7" s="81">
        <f>'4'!$F$29</f>
        <v>5.2121034545250202</v>
      </c>
      <c r="AA7" s="81">
        <f>'4'!$F$30</f>
        <v>7.2501068299483933</v>
      </c>
      <c r="AB7" s="81">
        <f>'4'!$F$31</f>
        <v>6.3778896739868847</v>
      </c>
      <c r="AC7" s="81">
        <f>'4'!$F$32</f>
        <v>5.200522280573475</v>
      </c>
      <c r="AD7" s="102">
        <f>'4'!$F$33</f>
        <v>6.3000018337520407</v>
      </c>
    </row>
    <row r="8" spans="1:30" x14ac:dyDescent="0.2">
      <c r="A8" s="101" t="s">
        <v>1381</v>
      </c>
      <c r="B8" s="81">
        <f>'5'!$F$5</f>
        <v>6.6912073481200771</v>
      </c>
      <c r="C8" s="81">
        <f>'5'!$F$6</f>
        <v>16.445892467800242</v>
      </c>
      <c r="D8" s="81">
        <f>'5'!$F$7</f>
        <v>10.882280517925068</v>
      </c>
      <c r="E8" s="81">
        <f>'5'!$F$8</f>
        <v>9.4919534163012766</v>
      </c>
      <c r="F8" s="81">
        <f>'5'!$F$9</f>
        <v>4.7062901463981239</v>
      </c>
      <c r="G8" s="81">
        <f>'5'!$F$10</f>
        <v>7.5597577530316658</v>
      </c>
      <c r="H8" s="81">
        <f>'5'!$F$11</f>
        <v>16.987099627065177</v>
      </c>
      <c r="I8" s="81">
        <f>'5'!$F$12</f>
        <v>5.3203296801031419</v>
      </c>
      <c r="J8" s="81">
        <f>'5'!$F$13</f>
        <v>13.883705423877792</v>
      </c>
      <c r="K8" s="81">
        <f>'5'!$F$14</f>
        <v>14.032147851684963</v>
      </c>
      <c r="L8" s="81">
        <f>'5'!$F$15</f>
        <v>13.010071182310329</v>
      </c>
      <c r="M8" s="81">
        <f>'5'!$F$16</f>
        <v>9.6953249589716162</v>
      </c>
      <c r="N8" s="81">
        <f>'5'!$F$17</f>
        <v>9.4400770457245553</v>
      </c>
      <c r="O8" s="81">
        <f>'5'!$F$18</f>
        <v>16.052964762533819</v>
      </c>
      <c r="P8" s="81">
        <f>'5'!$F$19</f>
        <v>34.131761036809081</v>
      </c>
      <c r="Q8" s="81">
        <f>'5'!$F$20</f>
        <v>15.148127181979016</v>
      </c>
      <c r="R8" s="81" t="str">
        <f>'5'!$F$21</f>
        <v/>
      </c>
      <c r="S8" s="81">
        <f>'5'!$F$22</f>
        <v>17.583678049099273</v>
      </c>
      <c r="T8" s="81">
        <f>'5'!$F$23</f>
        <v>8.7527214467375831</v>
      </c>
      <c r="U8" s="81">
        <f>'5'!$F$24</f>
        <v>15.306449171329817</v>
      </c>
      <c r="V8" s="81">
        <f>'5'!$F$25</f>
        <v>52.964167504888685</v>
      </c>
      <c r="W8" s="81">
        <f>'5'!$F$26</f>
        <v>36.326696887401667</v>
      </c>
      <c r="X8" s="81">
        <f>'5'!$F$27</f>
        <v>9.2662199805732879</v>
      </c>
      <c r="Y8" s="81">
        <f>'5'!$F$28</f>
        <v>9.8062613272321251</v>
      </c>
      <c r="Z8" s="81">
        <f>'5'!$F$29</f>
        <v>8.2722178637471497</v>
      </c>
      <c r="AA8" s="81">
        <f>'5'!$F$30</f>
        <v>14.172441424744145</v>
      </c>
      <c r="AB8" s="81">
        <f>'5'!$F$31</f>
        <v>8.8931807662338862</v>
      </c>
      <c r="AC8" s="81">
        <f>'5'!$F$32</f>
        <v>9.9811871613693803</v>
      </c>
      <c r="AD8" s="102">
        <f>'5'!$F$33</f>
        <v>10.659269942900524</v>
      </c>
    </row>
    <row r="9" spans="1:30" x14ac:dyDescent="0.2">
      <c r="A9" s="101" t="s">
        <v>1392</v>
      </c>
      <c r="B9" s="81">
        <f>'6'!$F$5</f>
        <v>8.1536178337902037</v>
      </c>
      <c r="C9" s="81">
        <f>'6'!$F$6</f>
        <v>12.562618305784843</v>
      </c>
      <c r="D9" s="81">
        <f>'6'!$F$7</f>
        <v>5.0217716758025901</v>
      </c>
      <c r="E9" s="81">
        <f>'6'!$F$8</f>
        <v>7.1048340550449218</v>
      </c>
      <c r="F9" s="81" t="str">
        <f>'6'!$F$9</f>
        <v/>
      </c>
      <c r="G9" s="81">
        <f>'6'!$F$10</f>
        <v>3.7820615962421669</v>
      </c>
      <c r="H9" s="81">
        <f>'6'!$F$11</f>
        <v>16.64129661418492</v>
      </c>
      <c r="I9" s="81">
        <f>'6'!$F$12</f>
        <v>12.562572046531205</v>
      </c>
      <c r="J9" s="81">
        <f>'6'!$F$13</f>
        <v>3.603630835975097</v>
      </c>
      <c r="K9" s="81" t="str">
        <f>'6'!$F$14</f>
        <v/>
      </c>
      <c r="L9" s="81">
        <f>'6'!$F$15</f>
        <v>8.8814153271994094</v>
      </c>
      <c r="M9" s="81">
        <f>'6'!$F$16</f>
        <v>6.7188707698229173</v>
      </c>
      <c r="N9" s="81">
        <f>'6'!$F$17</f>
        <v>6.4837291310617156</v>
      </c>
      <c r="O9" s="81">
        <f>'6'!$F$18</f>
        <v>15.173437066538051</v>
      </c>
      <c r="P9" s="81">
        <f>'6'!$F$19</f>
        <v>29.405378891671205</v>
      </c>
      <c r="Q9" s="81">
        <f>'6'!$F$20</f>
        <v>8.8573959694425621</v>
      </c>
      <c r="R9" s="81" t="str">
        <f>'6'!$F$21</f>
        <v/>
      </c>
      <c r="S9" s="81">
        <f>'6'!$F$22</f>
        <v>8.5549574514207372</v>
      </c>
      <c r="T9" s="81">
        <f>'6'!$F$23</f>
        <v>6.0130500571004184</v>
      </c>
      <c r="U9" s="81">
        <f>'6'!$F$24</f>
        <v>12.562932900660622</v>
      </c>
      <c r="V9" s="81">
        <f>'6'!$F$25</f>
        <v>12.562681551132956</v>
      </c>
      <c r="W9" s="81">
        <f>'6'!$F$26</f>
        <v>12.562593359838678</v>
      </c>
      <c r="X9" s="81">
        <f>'6'!$F$27</f>
        <v>7.6868677377533521</v>
      </c>
      <c r="Y9" s="81">
        <f>'6'!$F$28</f>
        <v>6.9778870219226539</v>
      </c>
      <c r="Z9" s="81">
        <f>'6'!$F$29</f>
        <v>5.0226310112799606</v>
      </c>
      <c r="AA9" s="81">
        <f>'6'!$F$30</f>
        <v>6.8369636267796965</v>
      </c>
      <c r="AB9" s="81">
        <f>'6'!$F$31</f>
        <v>6.0130574499734673</v>
      </c>
      <c r="AC9" s="81">
        <f>'6'!$F$32</f>
        <v>6.7188760186172516</v>
      </c>
      <c r="AD9" s="102">
        <f>'6'!$F$33</f>
        <v>6.4557381813286936</v>
      </c>
    </row>
    <row r="10" spans="1:30" x14ac:dyDescent="0.2">
      <c r="A10" s="101" t="s">
        <v>1393</v>
      </c>
      <c r="B10" s="81">
        <f>'7'!$F$5</f>
        <v>6.8124472876726268</v>
      </c>
      <c r="C10" s="81">
        <f>'7'!$F$6</f>
        <v>10.406436793303753</v>
      </c>
      <c r="D10" s="81">
        <f>'7'!$F$7</f>
        <v>11.004829108781621</v>
      </c>
      <c r="E10" s="81">
        <f>'7'!$F$8</f>
        <v>10.460159116265158</v>
      </c>
      <c r="F10" s="81" t="str">
        <f>'7'!$F$9</f>
        <v/>
      </c>
      <c r="G10" s="81">
        <f>'7'!$F$10</f>
        <v>39.626077778628705</v>
      </c>
      <c r="H10" s="81">
        <f>'7'!$F$11</f>
        <v>7.693673578287834</v>
      </c>
      <c r="I10" s="81">
        <f>'7'!$F$12</f>
        <v>10.019434970176075</v>
      </c>
      <c r="J10" s="81">
        <f>'7'!$F$13</f>
        <v>8.8946455962042617</v>
      </c>
      <c r="K10" s="81" t="str">
        <f>'7'!$F$14</f>
        <v/>
      </c>
      <c r="L10" s="81">
        <f>'7'!$F$15</f>
        <v>8.1108688713743362</v>
      </c>
      <c r="M10" s="81">
        <f>'7'!$F$16</f>
        <v>9.3587075220683626</v>
      </c>
      <c r="N10" s="81">
        <f>'7'!$F$17</f>
        <v>9.411667253394862</v>
      </c>
      <c r="O10" s="81">
        <f>'7'!$F$18</f>
        <v>13.795536291455182</v>
      </c>
      <c r="P10" s="81" t="str">
        <f>'7'!$F$19</f>
        <v/>
      </c>
      <c r="Q10" s="81">
        <f>'7'!$F$20</f>
        <v>16.636789385551022</v>
      </c>
      <c r="R10" s="81" t="str">
        <f>'7'!$F$21</f>
        <v/>
      </c>
      <c r="S10" s="81">
        <f>'7'!$F$22</f>
        <v>22.433083127638337</v>
      </c>
      <c r="T10" s="81">
        <f>'7'!$F$23</f>
        <v>13.686818216159967</v>
      </c>
      <c r="U10" s="81">
        <f>'7'!$F$24</f>
        <v>10.830450164517043</v>
      </c>
      <c r="V10" s="81" t="str">
        <f>'7'!$F$25</f>
        <v/>
      </c>
      <c r="W10" s="81">
        <f>'7'!$F$26</f>
        <v>7.2224666675175877</v>
      </c>
      <c r="X10" s="81">
        <f>'7'!$F$27</f>
        <v>11.122168406126701</v>
      </c>
      <c r="Y10" s="81">
        <f>'7'!$F$28</f>
        <v>8.5061153573408674</v>
      </c>
      <c r="Z10" s="81">
        <f>'7'!$F$29</f>
        <v>7.5804561102064705</v>
      </c>
      <c r="AA10" s="81">
        <f>'7'!$F$30</f>
        <v>11.449455819048541</v>
      </c>
      <c r="AB10" s="81">
        <f>'7'!$F$31</f>
        <v>9.1848743783083258</v>
      </c>
      <c r="AC10" s="81">
        <f>'7'!$F$32</f>
        <v>9.1848761486672714</v>
      </c>
      <c r="AD10" s="102">
        <f>'7'!$F$33</f>
        <v>10.07205545738444</v>
      </c>
    </row>
    <row r="11" spans="1:30" x14ac:dyDescent="0.2">
      <c r="A11" s="101" t="s">
        <v>1427</v>
      </c>
      <c r="B11" s="81">
        <f>'8'!$F$5</f>
        <v>5.7333584876265924</v>
      </c>
      <c r="C11" s="81">
        <f>'8'!$F$6</f>
        <v>5.0370595693983669</v>
      </c>
      <c r="D11" s="81">
        <f>'8'!$F$7</f>
        <v>6.0711304011953695</v>
      </c>
      <c r="E11" s="81">
        <f>'8'!$F$8</f>
        <v>6.3552103040154275</v>
      </c>
      <c r="F11" s="81">
        <f>'8'!$F$9</f>
        <v>43.225841610351338</v>
      </c>
      <c r="G11" s="81">
        <f>'8'!$F$10</f>
        <v>22.964509448369672</v>
      </c>
      <c r="H11" s="81">
        <f>'8'!$F$11</f>
        <v>6.8928044346734145</v>
      </c>
      <c r="I11" s="81">
        <f>'8'!$F$12</f>
        <v>4.59556985928341</v>
      </c>
      <c r="J11" s="81">
        <f>'8'!$F$13</f>
        <v>7.8843765228713805</v>
      </c>
      <c r="K11" s="81">
        <f>'8'!$F$14</f>
        <v>11.535233132580199</v>
      </c>
      <c r="L11" s="81">
        <f>'8'!$F$15</f>
        <v>4.6735571178645614</v>
      </c>
      <c r="M11" s="81">
        <f>'8'!$F$16</f>
        <v>6.8907282840701285</v>
      </c>
      <c r="N11" s="81">
        <f>'8'!$F$17</f>
        <v>6.0975688553997935</v>
      </c>
      <c r="O11" s="81">
        <f>'8'!$F$18</f>
        <v>14.512084445033082</v>
      </c>
      <c r="P11" s="81" t="str">
        <f>'8'!$F$19</f>
        <v/>
      </c>
      <c r="Q11" s="81">
        <f>'8'!$F$20</f>
        <v>11.83460339272327</v>
      </c>
      <c r="R11" s="81" t="str">
        <f>'8'!$F$21</f>
        <v/>
      </c>
      <c r="S11" s="81">
        <f>'8'!$F$22</f>
        <v>9.7330569774646865</v>
      </c>
      <c r="T11" s="81">
        <f>'8'!$F$23</f>
        <v>6.3684726247258432</v>
      </c>
      <c r="U11" s="81">
        <f>'8'!$F$24</f>
        <v>9.4771307871644215</v>
      </c>
      <c r="V11" s="81">
        <f>'8'!$F$25</f>
        <v>5.7092990324300112</v>
      </c>
      <c r="W11" s="81">
        <f>'8'!$F$26</f>
        <v>5.7716058780711812</v>
      </c>
      <c r="X11" s="81">
        <f>'8'!$F$27</f>
        <v>7.2512776643418233</v>
      </c>
      <c r="Y11" s="81">
        <f>'8'!$F$28</f>
        <v>6.5780232953544377</v>
      </c>
      <c r="Z11" s="81">
        <f>'8'!$F$29</f>
        <v>5.1717964715427005</v>
      </c>
      <c r="AA11" s="81">
        <f>'8'!$F$30</f>
        <v>5.6885573416216451</v>
      </c>
      <c r="AB11" s="81">
        <f>'8'!$F$31</f>
        <v>4.7116415418138677</v>
      </c>
      <c r="AC11" s="81">
        <f>'8'!$F$32</f>
        <v>5.0560120649898268</v>
      </c>
      <c r="AD11" s="102">
        <f>'8'!$F$33</f>
        <v>6.7172357068014987</v>
      </c>
    </row>
    <row r="12" spans="1:30" x14ac:dyDescent="0.2">
      <c r="A12" s="101" t="s">
        <v>1384</v>
      </c>
      <c r="B12" s="81">
        <f>'9'!$F$5</f>
        <v>20.84249382551852</v>
      </c>
      <c r="C12" s="81">
        <f>'9'!$F$6</f>
        <v>6.0691496696743652</v>
      </c>
      <c r="D12" s="81">
        <f>'9'!$F$7</f>
        <v>4.5981008376266699</v>
      </c>
      <c r="E12" s="81">
        <f>'9'!$F$8</f>
        <v>4.0812713821348412</v>
      </c>
      <c r="F12" s="81" t="str">
        <f>'9'!$F$9</f>
        <v/>
      </c>
      <c r="G12" s="81" t="str">
        <f>'9'!$F$10</f>
        <v/>
      </c>
      <c r="H12" s="81">
        <f>'9'!$F$11</f>
        <v>15.629821457563894</v>
      </c>
      <c r="I12" s="81">
        <f>'9'!$F$12</f>
        <v>6.2489996512530697</v>
      </c>
      <c r="J12" s="81">
        <f>'9'!$F$13</f>
        <v>4.7041488276533379</v>
      </c>
      <c r="K12" s="81" t="str">
        <f>'9'!$F$14</f>
        <v/>
      </c>
      <c r="L12" s="81">
        <f>'9'!$F$15</f>
        <v>6.0339540585479021</v>
      </c>
      <c r="M12" s="81">
        <f>'9'!$F$16</f>
        <v>5.5264182936478319</v>
      </c>
      <c r="N12" s="81">
        <f>'9'!$F$17</f>
        <v>3.3382622004193756</v>
      </c>
      <c r="O12" s="81">
        <f>'9'!$F$18</f>
        <v>7.1340741849234934</v>
      </c>
      <c r="P12" s="81" t="str">
        <f>'9'!$F$19</f>
        <v/>
      </c>
      <c r="Q12" s="81">
        <f>'9'!$F$20</f>
        <v>4.2943704580280651</v>
      </c>
      <c r="R12" s="81">
        <f>'9'!$F$21</f>
        <v>10.732551561510443</v>
      </c>
      <c r="S12" s="81">
        <f>'9'!$F$22</f>
        <v>6.586831383122207</v>
      </c>
      <c r="T12" s="81">
        <f>'9'!$F$23</f>
        <v>4.7898932032119665</v>
      </c>
      <c r="U12" s="81">
        <f>'9'!$F$24</f>
        <v>6.0743766575987213</v>
      </c>
      <c r="V12" s="81" t="str">
        <f>'9'!$F$25</f>
        <v/>
      </c>
      <c r="W12" s="81">
        <f>'9'!$F$26</f>
        <v>5.9537695024559625</v>
      </c>
      <c r="X12" s="81">
        <f>'9'!$F$27</f>
        <v>11.737811540382994</v>
      </c>
      <c r="Y12" s="81">
        <f>'9'!$F$28</f>
        <v>5.9724124481399832</v>
      </c>
      <c r="Z12" s="81">
        <f>'9'!$F$29</f>
        <v>4.7777586690469311</v>
      </c>
      <c r="AA12" s="81">
        <f>'9'!$F$30</f>
        <v>6.3641479395450835</v>
      </c>
      <c r="AB12" s="81">
        <f>'9'!$F$31</f>
        <v>5.0702894754519061</v>
      </c>
      <c r="AC12" s="81">
        <f>'9'!$F$32</f>
        <v>5.3801293312698544</v>
      </c>
      <c r="AD12" s="102">
        <f>'9'!$F$33</f>
        <v>5.522642227722228</v>
      </c>
    </row>
    <row r="13" spans="1:30" x14ac:dyDescent="0.2">
      <c r="A13" s="101" t="s">
        <v>1394</v>
      </c>
      <c r="B13" s="81">
        <f>'10'!$F$5</f>
        <v>7.7227858445037478</v>
      </c>
      <c r="C13" s="81">
        <f>'10'!$F$6</f>
        <v>5.9063069574539879</v>
      </c>
      <c r="D13" s="81">
        <f>'10'!$F$7</f>
        <v>5.0239728858874573</v>
      </c>
      <c r="E13" s="81">
        <f>'10'!$F$8</f>
        <v>7.8507948526833129</v>
      </c>
      <c r="F13" s="81" t="str">
        <f>'10'!$F$9</f>
        <v/>
      </c>
      <c r="G13" s="81" t="str">
        <f>'10'!$F$10</f>
        <v/>
      </c>
      <c r="H13" s="81">
        <f>'10'!$F$11</f>
        <v>5.4506089924571279</v>
      </c>
      <c r="I13" s="81" t="str">
        <f>'10'!$F$12</f>
        <v/>
      </c>
      <c r="J13" s="81">
        <f>'10'!$F$13</f>
        <v>4.7555379824212984</v>
      </c>
      <c r="K13" s="81" t="str">
        <f>'10'!$F$14</f>
        <v/>
      </c>
      <c r="L13" s="81">
        <f>'10'!$F$15</f>
        <v>6.9473200361518819</v>
      </c>
      <c r="M13" s="81">
        <f>'10'!$F$16</f>
        <v>5.044828031734415</v>
      </c>
      <c r="N13" s="81">
        <f>'10'!$F$17</f>
        <v>4.1897852858500864</v>
      </c>
      <c r="O13" s="81" t="str">
        <f>'10'!$F$18</f>
        <v/>
      </c>
      <c r="P13" s="81" t="str">
        <f>'10'!$F$19</f>
        <v/>
      </c>
      <c r="Q13" s="81">
        <f>'10'!$F$20</f>
        <v>5.6420542999791072</v>
      </c>
      <c r="R13" s="81" t="str">
        <f>'10'!$F$21</f>
        <v/>
      </c>
      <c r="S13" s="81">
        <f>'10'!$F$22</f>
        <v>5.9971285594947066</v>
      </c>
      <c r="T13" s="81">
        <f>'10'!$F$23</f>
        <v>7.4419793508768199</v>
      </c>
      <c r="U13" s="81" t="str">
        <f>'10'!$F$24</f>
        <v/>
      </c>
      <c r="V13" s="81" t="str">
        <f>'10'!$F$25</f>
        <v/>
      </c>
      <c r="W13" s="81">
        <f>'10'!$F$26</f>
        <v>4.0122509599777221</v>
      </c>
      <c r="X13" s="81">
        <f>'10'!$F$27</f>
        <v>9.0639998330706479</v>
      </c>
      <c r="Y13" s="81">
        <f>'10'!$F$28</f>
        <v>4.6372042185339177</v>
      </c>
      <c r="Z13" s="81">
        <f>'10'!$F$29</f>
        <v>4.8206766038962279</v>
      </c>
      <c r="AA13" s="81">
        <f>'10'!$F$30</f>
        <v>4.6069313806896961</v>
      </c>
      <c r="AB13" s="81">
        <f>'10'!$F$31</f>
        <v>3.5883109660166501</v>
      </c>
      <c r="AC13" s="81">
        <f>'10'!$F$32</f>
        <v>5.4939609505821698</v>
      </c>
      <c r="AD13" s="102">
        <f>'10'!$F$33</f>
        <v>5.7283336759779839</v>
      </c>
    </row>
    <row r="14" spans="1:30" x14ac:dyDescent="0.2">
      <c r="A14" s="101" t="s">
        <v>1395</v>
      </c>
      <c r="B14" s="81">
        <f>'11'!$F$5</f>
        <v>13.365882922858445</v>
      </c>
      <c r="C14" s="81">
        <f>'11'!$F$6</f>
        <v>5.5673581894001778</v>
      </c>
      <c r="D14" s="81">
        <f>'11'!$F$7</f>
        <v>6.2204439193673515</v>
      </c>
      <c r="E14" s="81">
        <f>'11'!$F$8</f>
        <v>7.5809617133324227</v>
      </c>
      <c r="F14" s="81" t="str">
        <f>'11'!$F$9</f>
        <v/>
      </c>
      <c r="G14" s="81">
        <f>'11'!$F$10</f>
        <v>13.153320708140104</v>
      </c>
      <c r="H14" s="81">
        <f>'11'!$F$11</f>
        <v>6.894056438176368</v>
      </c>
      <c r="I14" s="81">
        <f>'11'!$F$12</f>
        <v>7.2760408103933862</v>
      </c>
      <c r="J14" s="81">
        <f>'11'!$F$13</f>
        <v>7.4134388205883734</v>
      </c>
      <c r="K14" s="81">
        <f>'11'!$F$14</f>
        <v>3.0388601012816823</v>
      </c>
      <c r="L14" s="81">
        <f>'11'!$F$15</f>
        <v>4.8551330256293568</v>
      </c>
      <c r="M14" s="81">
        <f>'11'!$F$16</f>
        <v>5.35849964336089</v>
      </c>
      <c r="N14" s="81">
        <f>'11'!$F$17</f>
        <v>6.2134908085332494</v>
      </c>
      <c r="O14" s="81">
        <f>'11'!$F$18</f>
        <v>12.688813213460795</v>
      </c>
      <c r="P14" s="81">
        <f>'11'!$F$19</f>
        <v>16.711564397827598</v>
      </c>
      <c r="Q14" s="81">
        <f>'11'!$F$20</f>
        <v>8.519677129776376</v>
      </c>
      <c r="R14" s="81" t="str">
        <f>'11'!$F$21</f>
        <v/>
      </c>
      <c r="S14" s="81">
        <f>'11'!$F$22</f>
        <v>8.0002690452471992</v>
      </c>
      <c r="T14" s="81">
        <f>'11'!$F$23</f>
        <v>7.5190434135446411</v>
      </c>
      <c r="U14" s="81">
        <f>'11'!$F$24</f>
        <v>6.2737847243972604</v>
      </c>
      <c r="V14" s="81">
        <f>'11'!$F$25</f>
        <v>5.2626708064854286</v>
      </c>
      <c r="W14" s="81">
        <f>'11'!$F$26</f>
        <v>93.864981896153481</v>
      </c>
      <c r="X14" s="81">
        <f>'11'!$F$27</f>
        <v>8.2647573371265324</v>
      </c>
      <c r="Y14" s="81">
        <f>'11'!$F$28</f>
        <v>7.0407902201553592</v>
      </c>
      <c r="Z14" s="81">
        <f>'11'!$F$29</f>
        <v>5.7197329585899981</v>
      </c>
      <c r="AA14" s="81">
        <f>'11'!$F$30</f>
        <v>5.9763307102635777</v>
      </c>
      <c r="AB14" s="81">
        <f>'11'!$F$31</f>
        <v>5.750446186187343</v>
      </c>
      <c r="AC14" s="81">
        <f>'11'!$F$32</f>
        <v>6.65622586357025</v>
      </c>
      <c r="AD14" s="102">
        <f>'11'!$F$33</f>
        <v>6.8311353361541567</v>
      </c>
    </row>
    <row r="15" spans="1:30" x14ac:dyDescent="0.2">
      <c r="A15" s="101" t="s">
        <v>1288</v>
      </c>
      <c r="B15" s="81" t="str">
        <f>'12'!$F$5</f>
        <v/>
      </c>
      <c r="C15" s="81" t="str">
        <f>'12'!$F$6</f>
        <v/>
      </c>
      <c r="D15" s="81" t="str">
        <f>'12'!$F$7</f>
        <v/>
      </c>
      <c r="E15" s="81" t="str">
        <f>'12'!$F$8</f>
        <v/>
      </c>
      <c r="F15" s="81" t="str">
        <f>'12'!$F$9</f>
        <v/>
      </c>
      <c r="G15" s="81" t="str">
        <f>'12'!$F$10</f>
        <v/>
      </c>
      <c r="H15" s="81" t="str">
        <f>'12'!$F$11</f>
        <v/>
      </c>
      <c r="I15" s="81" t="str">
        <f>'12'!$F$12</f>
        <v/>
      </c>
      <c r="J15" s="81" t="str">
        <f>'12'!$F$13</f>
        <v/>
      </c>
      <c r="K15" s="81" t="str">
        <f>'12'!$F$14</f>
        <v/>
      </c>
      <c r="L15" s="81" t="str">
        <f>'12'!$F$15</f>
        <v/>
      </c>
      <c r="M15" s="81" t="str">
        <f>'12'!$F$16</f>
        <v/>
      </c>
      <c r="N15" s="81" t="str">
        <f>'12'!$F$17</f>
        <v/>
      </c>
      <c r="O15" s="81" t="str">
        <f>'12'!$F$18</f>
        <v/>
      </c>
      <c r="P15" s="81" t="str">
        <f>'12'!$F$19</f>
        <v/>
      </c>
      <c r="Q15" s="81" t="str">
        <f>'12'!$F$20</f>
        <v/>
      </c>
      <c r="R15" s="81" t="str">
        <f>'12'!$F$21</f>
        <v/>
      </c>
      <c r="S15" s="81" t="str">
        <f>'12'!$F$22</f>
        <v/>
      </c>
      <c r="T15" s="81" t="str">
        <f>'12'!$F$23</f>
        <v/>
      </c>
      <c r="U15" s="81" t="str">
        <f>'12'!$F$24</f>
        <v/>
      </c>
      <c r="V15" s="81" t="str">
        <f>'12'!$F$25</f>
        <v/>
      </c>
      <c r="W15" s="81" t="str">
        <f>'12'!$F$26</f>
        <v/>
      </c>
      <c r="X15" s="81" t="str">
        <f>'12'!$F$27</f>
        <v/>
      </c>
      <c r="Y15" s="81" t="str">
        <f>'12'!$F$28</f>
        <v/>
      </c>
      <c r="Z15" s="81" t="str">
        <f>'12'!$F$29</f>
        <v/>
      </c>
      <c r="AA15" s="81" t="str">
        <f>'12'!$F$30</f>
        <v/>
      </c>
      <c r="AB15" s="81" t="str">
        <f>'12'!$F$31</f>
        <v/>
      </c>
      <c r="AC15" s="81" t="str">
        <f>'12'!$F$32</f>
        <v/>
      </c>
      <c r="AD15" s="102" t="str">
        <f>'12'!$F$33</f>
        <v/>
      </c>
    </row>
    <row r="16" spans="1:30" x14ac:dyDescent="0.2">
      <c r="A16" s="101" t="s">
        <v>1418</v>
      </c>
      <c r="B16" s="81">
        <f>'13'!$F$5</f>
        <v>6.1140875894695359</v>
      </c>
      <c r="C16" s="81">
        <f>'13'!$F$6</f>
        <v>3.3263816688946779</v>
      </c>
      <c r="D16" s="81">
        <f>'13'!$F$7</f>
        <v>7.4991288823557145</v>
      </c>
      <c r="E16" s="81">
        <f>'13'!$F$8</f>
        <v>6.3448083359408836</v>
      </c>
      <c r="F16" s="81">
        <f>'13'!$F$9</f>
        <v>3.3259217834479622</v>
      </c>
      <c r="G16" s="81">
        <f>'13'!$F$10</f>
        <v>5.0701874991364706</v>
      </c>
      <c r="H16" s="81">
        <f>'13'!$F$11</f>
        <v>8.3243366650653243</v>
      </c>
      <c r="I16" s="81">
        <f>'13'!$F$12</f>
        <v>3.3255949344478131</v>
      </c>
      <c r="J16" s="81">
        <f>'13'!$F$13</f>
        <v>6.5931895322972993</v>
      </c>
      <c r="K16" s="81">
        <f>'13'!$F$14</f>
        <v>25.13141073288514</v>
      </c>
      <c r="L16" s="81">
        <f>'13'!$F$15</f>
        <v>9.0817231364010258</v>
      </c>
      <c r="M16" s="81">
        <f>'13'!$F$16</f>
        <v>6.9420388061992631</v>
      </c>
      <c r="N16" s="81">
        <f>'13'!$F$17</f>
        <v>5.1845529590219579</v>
      </c>
      <c r="O16" s="81">
        <f>'13'!$F$18</f>
        <v>20.171898698462179</v>
      </c>
      <c r="P16" s="81">
        <f>'13'!$F$19</f>
        <v>23.242812470667445</v>
      </c>
      <c r="Q16" s="81">
        <f>'13'!$F$20</f>
        <v>5.4368403847667688</v>
      </c>
      <c r="R16" s="81">
        <f>'13'!$F$21</f>
        <v>16.818534060067794</v>
      </c>
      <c r="S16" s="81" t="str">
        <f>'13'!$F$22</f>
        <v/>
      </c>
      <c r="T16" s="81">
        <f>'13'!$F$23</f>
        <v>6.5534491851565564</v>
      </c>
      <c r="U16" s="81">
        <f>'13'!$F$24</f>
        <v>3.3214797081103646</v>
      </c>
      <c r="V16" s="81">
        <f>'13'!$F$25</f>
        <v>3.3258087124393692</v>
      </c>
      <c r="W16" s="81">
        <f>'13'!$F$26</f>
        <v>3.3256107622414186</v>
      </c>
      <c r="X16" s="81">
        <f>'13'!$F$27</f>
        <v>8.0024237482291269</v>
      </c>
      <c r="Y16" s="81">
        <f>'13'!$F$28</f>
        <v>10.209068539001503</v>
      </c>
      <c r="Z16" s="81">
        <f>'13'!$F$29</f>
        <v>6.1513429686405958</v>
      </c>
      <c r="AA16" s="81">
        <f>'13'!$F$30</f>
        <v>8.7767200494270892</v>
      </c>
      <c r="AB16" s="81">
        <f>'13'!$F$31</f>
        <v>6.0897248750563087</v>
      </c>
      <c r="AC16" s="81">
        <f>'13'!$F$32</f>
        <v>7.0768673733405629</v>
      </c>
      <c r="AD16" s="102">
        <f>'13'!$F$33</f>
        <v>7.1485903636374184</v>
      </c>
    </row>
    <row r="17" spans="1:30" x14ac:dyDescent="0.2">
      <c r="A17" s="101" t="s">
        <v>1419</v>
      </c>
      <c r="B17" s="81">
        <f>'14'!$F$5</f>
        <v>20.150177004974914</v>
      </c>
      <c r="C17" s="81">
        <f>'14'!$F$6</f>
        <v>9.8172463686098261</v>
      </c>
      <c r="D17" s="81">
        <f>'14'!$F$7</f>
        <v>7.7567587906291386</v>
      </c>
      <c r="E17" s="81">
        <f>'14'!$F$8</f>
        <v>7.8989938400211797</v>
      </c>
      <c r="F17" s="81">
        <f>'14'!$F$9</f>
        <v>16.601323920603146</v>
      </c>
      <c r="G17" s="81">
        <f>'14'!$F$10</f>
        <v>9.0725929429002754</v>
      </c>
      <c r="H17" s="81">
        <f>'14'!$F$11</f>
        <v>7.9758351474078495</v>
      </c>
      <c r="I17" s="81">
        <f>'14'!$F$12</f>
        <v>17.906197854540469</v>
      </c>
      <c r="J17" s="81">
        <f>'14'!$F$13</f>
        <v>7.3147613893206831</v>
      </c>
      <c r="K17" s="81">
        <f>'14'!$F$14</f>
        <v>10.809150761235355</v>
      </c>
      <c r="L17" s="81">
        <f>'14'!$F$15</f>
        <v>6.4239444281717217</v>
      </c>
      <c r="M17" s="81">
        <f>'14'!$F$16</f>
        <v>10.106438284537738</v>
      </c>
      <c r="N17" s="81">
        <f>'14'!$F$17</f>
        <v>6.9685476638182262</v>
      </c>
      <c r="O17" s="81">
        <f>'14'!$F$18</f>
        <v>11.604088351106782</v>
      </c>
      <c r="P17" s="81" t="str">
        <f>'14'!$F$19</f>
        <v/>
      </c>
      <c r="Q17" s="81">
        <f>'14'!$F$20</f>
        <v>7.674769998974555</v>
      </c>
      <c r="R17" s="81">
        <f>'14'!$F$21</f>
        <v>18.016016662732206</v>
      </c>
      <c r="S17" s="81">
        <f>'14'!$F$22</f>
        <v>13.839139267953435</v>
      </c>
      <c r="T17" s="81">
        <f>'14'!$F$23</f>
        <v>7.0663381264266665</v>
      </c>
      <c r="U17" s="81">
        <f>'14'!$F$24</f>
        <v>9.2333918617246162</v>
      </c>
      <c r="V17" s="81">
        <f>'14'!$F$25</f>
        <v>4.9290360254225556</v>
      </c>
      <c r="W17" s="81">
        <f>'14'!$F$26</f>
        <v>11.835458054932714</v>
      </c>
      <c r="X17" s="81">
        <f>'14'!$F$27</f>
        <v>9.0318647394089666</v>
      </c>
      <c r="Y17" s="81">
        <f>'14'!$F$28</f>
        <v>7.0970825511352542</v>
      </c>
      <c r="Z17" s="81">
        <f>'14'!$F$29</f>
        <v>6.9191685589314238</v>
      </c>
      <c r="AA17" s="81">
        <f>'14'!$F$30</f>
        <v>8.7101985921096148</v>
      </c>
      <c r="AB17" s="81">
        <f>'14'!$F$31</f>
        <v>7.4426815294448936</v>
      </c>
      <c r="AC17" s="81">
        <f>'14'!$F$32</f>
        <v>5.7630414361257536</v>
      </c>
      <c r="AD17" s="102">
        <f>'14'!$F$33</f>
        <v>7.9254392077136773</v>
      </c>
    </row>
    <row r="18" spans="1:30" x14ac:dyDescent="0.2">
      <c r="A18" s="101" t="s">
        <v>1396</v>
      </c>
      <c r="B18" s="81">
        <f>'15'!$F$5</f>
        <v>5.072369285530332</v>
      </c>
      <c r="C18" s="81">
        <f>'15'!$F$6</f>
        <v>7.6666169881229074</v>
      </c>
      <c r="D18" s="81">
        <f>'15'!$F$7</f>
        <v>8.1065464067537008</v>
      </c>
      <c r="E18" s="81">
        <f>'15'!$F$8</f>
        <v>9.530525245358465</v>
      </c>
      <c r="F18" s="81" t="str">
        <f>'15'!$F$9</f>
        <v/>
      </c>
      <c r="G18" s="81">
        <f>'15'!$F$10</f>
        <v>9.4377607027808974</v>
      </c>
      <c r="H18" s="81">
        <f>'15'!$F$11</f>
        <v>9.5868958979388701</v>
      </c>
      <c r="I18" s="81">
        <f>'15'!$F$12</f>
        <v>5.2459679630125047</v>
      </c>
      <c r="J18" s="81">
        <f>'15'!$F$13</f>
        <v>9.4845396624745302</v>
      </c>
      <c r="K18" s="81">
        <f>'15'!$F$14</f>
        <v>10.658463474846171</v>
      </c>
      <c r="L18" s="81">
        <f>'15'!$F$15</f>
        <v>8.0705547745462933</v>
      </c>
      <c r="M18" s="81">
        <f>'15'!$F$16</f>
        <v>9.6273748143569957</v>
      </c>
      <c r="N18" s="81">
        <f>'15'!$F$17</f>
        <v>8.3391537304684125</v>
      </c>
      <c r="O18" s="81">
        <f>'15'!$F$18</f>
        <v>13.873008820949339</v>
      </c>
      <c r="P18" s="81">
        <f>'15'!$F$19</f>
        <v>18.209675635547356</v>
      </c>
      <c r="Q18" s="81">
        <f>'15'!$F$20</f>
        <v>10.264817700718226</v>
      </c>
      <c r="R18" s="81">
        <f>'15'!$F$21</f>
        <v>13.937032835782516</v>
      </c>
      <c r="S18" s="81">
        <f>'15'!$F$22</f>
        <v>10.713170151331198</v>
      </c>
      <c r="T18" s="81">
        <f>'15'!$F$23</f>
        <v>9.8612722234853614</v>
      </c>
      <c r="U18" s="81">
        <f>'15'!$F$24</f>
        <v>12.41367131557255</v>
      </c>
      <c r="V18" s="81">
        <f>'15'!$F$25</f>
        <v>8.6933500242767785</v>
      </c>
      <c r="W18" s="81">
        <f>'15'!$F$26</f>
        <v>10.681045726003466</v>
      </c>
      <c r="X18" s="81">
        <f>'15'!$F$27</f>
        <v>9.0781654013015096</v>
      </c>
      <c r="Y18" s="81">
        <f>'15'!$F$28</f>
        <v>10.375904384252657</v>
      </c>
      <c r="Z18" s="81">
        <f>'15'!$F$29</f>
        <v>8.7384176942507761</v>
      </c>
      <c r="AA18" s="81">
        <f>'15'!$F$30</f>
        <v>13.270418294988941</v>
      </c>
      <c r="AB18" s="81">
        <f>'15'!$F$31</f>
        <v>10.678546621954798</v>
      </c>
      <c r="AC18" s="81">
        <f>'15'!$F$32</f>
        <v>10.455480071706925</v>
      </c>
      <c r="AD18" s="102">
        <f>'15'!$F$33</f>
        <v>9.824477455638851</v>
      </c>
    </row>
    <row r="19" spans="1:30" x14ac:dyDescent="0.2">
      <c r="A19" s="100" t="s">
        <v>1420</v>
      </c>
      <c r="B19" s="81">
        <f>'16'!$F$5</f>
        <v>5.4672335225755697</v>
      </c>
      <c r="C19" s="81">
        <f>'16'!$F$6</f>
        <v>8.53176804445798</v>
      </c>
      <c r="D19" s="81">
        <f>'16'!$F$7</f>
        <v>6.4269450726684534</v>
      </c>
      <c r="E19" s="81">
        <f>'16'!$F$8</f>
        <v>10.04199365385935</v>
      </c>
      <c r="F19" s="81" t="str">
        <f>'16'!$F$9</f>
        <v/>
      </c>
      <c r="G19" s="81">
        <f>'16'!$F$10</f>
        <v>12.415052619155455</v>
      </c>
      <c r="H19" s="81">
        <f>'16'!$F$11</f>
        <v>7.3509304164339166</v>
      </c>
      <c r="I19" s="81">
        <f>'16'!$F$12</f>
        <v>8.6873000120186408</v>
      </c>
      <c r="J19" s="81">
        <f>'16'!$F$13</f>
        <v>7.8578326750273648</v>
      </c>
      <c r="K19" s="81">
        <f>'16'!$F$14</f>
        <v>8.2274802552568804</v>
      </c>
      <c r="L19" s="81">
        <f>'16'!$F$15</f>
        <v>7.2327081735517869</v>
      </c>
      <c r="M19" s="81">
        <f>'16'!$F$16</f>
        <v>9.9091926675892843</v>
      </c>
      <c r="N19" s="81">
        <f>'16'!$F$17</f>
        <v>7.5683004630329522</v>
      </c>
      <c r="O19" s="81">
        <f>'16'!$F$18</f>
        <v>12.72821119670742</v>
      </c>
      <c r="P19" s="81">
        <f>'16'!$F$19</f>
        <v>26.341839631228588</v>
      </c>
      <c r="Q19" s="81">
        <f>'16'!$F$20</f>
        <v>10.562641359077045</v>
      </c>
      <c r="R19" s="81">
        <f>'16'!$F$21</f>
        <v>17.735721950617513</v>
      </c>
      <c r="S19" s="81">
        <f>'16'!$F$22</f>
        <v>11.470206108169887</v>
      </c>
      <c r="T19" s="81">
        <f>'16'!$F$23</f>
        <v>6.7419564320515812</v>
      </c>
      <c r="U19" s="81">
        <f>'16'!$F$24</f>
        <v>7.9196205581646799</v>
      </c>
      <c r="V19" s="81">
        <f>'16'!$F$25</f>
        <v>19.082654304854472</v>
      </c>
      <c r="W19" s="81">
        <f>'16'!$F$26</f>
        <v>10.859167597782227</v>
      </c>
      <c r="X19" s="81">
        <f>'16'!$F$27</f>
        <v>16.908360236805102</v>
      </c>
      <c r="Y19" s="81">
        <f>'16'!$F$28</f>
        <v>7.4230503990645866</v>
      </c>
      <c r="Z19" s="81">
        <f>'16'!$F$29</f>
        <v>6.1392546801851342</v>
      </c>
      <c r="AA19" s="81">
        <f>'16'!$F$30</f>
        <v>8.3137047910263053</v>
      </c>
      <c r="AB19" s="81">
        <f>'16'!$F$31</f>
        <v>6.1626533229626652</v>
      </c>
      <c r="AC19" s="81">
        <f>'16'!$F$32</f>
        <v>4.071136704735939</v>
      </c>
      <c r="AD19" s="102">
        <f>'16'!$F$33</f>
        <v>7.4845560210937174</v>
      </c>
    </row>
    <row r="20" spans="1:30" x14ac:dyDescent="0.2">
      <c r="A20" s="101" t="s">
        <v>1397</v>
      </c>
      <c r="B20" s="81">
        <f>'17'!$F$5</f>
        <v>24.456656026572428</v>
      </c>
      <c r="C20" s="81">
        <f>'17'!$F$6</f>
        <v>6.5119442654721089</v>
      </c>
      <c r="D20" s="81">
        <f>'17'!$F$7</f>
        <v>10.576714257718159</v>
      </c>
      <c r="E20" s="81">
        <f>'17'!$F$8</f>
        <v>9.8078709358359966</v>
      </c>
      <c r="F20" s="81" t="str">
        <f>'17'!$F$9</f>
        <v/>
      </c>
      <c r="G20" s="81">
        <f>'17'!$F$10</f>
        <v>339.55391386731907</v>
      </c>
      <c r="H20" s="81">
        <f>'17'!$F$11</f>
        <v>43.272329019648531</v>
      </c>
      <c r="I20" s="81">
        <f>'17'!$F$12</f>
        <v>49.727673645005375</v>
      </c>
      <c r="J20" s="81">
        <f>'17'!$F$13</f>
        <v>6.85470929759882</v>
      </c>
      <c r="K20" s="81" t="str">
        <f>'17'!$F$14</f>
        <v/>
      </c>
      <c r="L20" s="81">
        <f>'17'!$F$15</f>
        <v>7.4703951745171118</v>
      </c>
      <c r="M20" s="81">
        <f>'17'!$F$16</f>
        <v>10.17098531635129</v>
      </c>
      <c r="N20" s="81">
        <f>'17'!$F$17</f>
        <v>8.5369093787349328</v>
      </c>
      <c r="O20" s="81">
        <f>'17'!$F$18</f>
        <v>39.719335945241163</v>
      </c>
      <c r="P20" s="81" t="str">
        <f>'17'!$F$19</f>
        <v/>
      </c>
      <c r="Q20" s="81">
        <f>'17'!$F$20</f>
        <v>7.5091441951359643</v>
      </c>
      <c r="R20" s="81" t="str">
        <f>'17'!$F$21</f>
        <v/>
      </c>
      <c r="S20" s="81">
        <f>'17'!$F$22</f>
        <v>11.609923701794138</v>
      </c>
      <c r="T20" s="81">
        <f>'17'!$F$23</f>
        <v>6.777751203722735</v>
      </c>
      <c r="U20" s="81" t="str">
        <f>'17'!$F$24</f>
        <v/>
      </c>
      <c r="V20" s="81">
        <f>'17'!$F$25</f>
        <v>20.053945717157713</v>
      </c>
      <c r="W20" s="81" t="str">
        <f>'17'!$F$26</f>
        <v/>
      </c>
      <c r="X20" s="81">
        <f>'17'!$F$27</f>
        <v>18.729453910730033</v>
      </c>
      <c r="Y20" s="81">
        <f>'17'!$F$28</f>
        <v>7.8030312538727324</v>
      </c>
      <c r="Z20" s="81">
        <f>'17'!$F$29</f>
        <v>6.1504141934769443</v>
      </c>
      <c r="AA20" s="81">
        <f>'17'!$F$30</f>
        <v>8.5189471892603006</v>
      </c>
      <c r="AB20" s="81">
        <f>'17'!$F$31</f>
        <v>6.8110194249468359</v>
      </c>
      <c r="AC20" s="81">
        <f>'17'!$F$32</f>
        <v>6.013997544253356</v>
      </c>
      <c r="AD20" s="102">
        <f>'17'!$F$33</f>
        <v>8.9127931980852253</v>
      </c>
    </row>
    <row r="21" spans="1:30" x14ac:dyDescent="0.2">
      <c r="A21" s="101" t="s">
        <v>1398</v>
      </c>
      <c r="B21" s="81">
        <f>'18'!$F$5</f>
        <v>9.2036473030905857</v>
      </c>
      <c r="C21" s="81">
        <f>'18'!$F$6</f>
        <v>11.654435406160761</v>
      </c>
      <c r="D21" s="81">
        <f>'18'!$F$7</f>
        <v>10.105608697381918</v>
      </c>
      <c r="E21" s="81">
        <f>'18'!$F$8</f>
        <v>10.260078599681794</v>
      </c>
      <c r="F21" s="81" t="str">
        <f>'18'!$F$9</f>
        <v/>
      </c>
      <c r="G21" s="81" t="str">
        <f>'18'!$F$10</f>
        <v/>
      </c>
      <c r="H21" s="81">
        <f>'18'!$F$11</f>
        <v>13.292984254108868</v>
      </c>
      <c r="I21" s="81">
        <f>'18'!$F$12</f>
        <v>23.67404987201289</v>
      </c>
      <c r="J21" s="81">
        <f>'18'!$F$13</f>
        <v>9.436984853697874</v>
      </c>
      <c r="K21" s="81" t="str">
        <f>'18'!$F$14</f>
        <v/>
      </c>
      <c r="L21" s="81">
        <f>'18'!$F$15</f>
        <v>8.9258433278345262</v>
      </c>
      <c r="M21" s="81">
        <f>'18'!$F$16</f>
        <v>9.3255146790855736</v>
      </c>
      <c r="N21" s="81">
        <f>'18'!$F$17</f>
        <v>7.1756135345872956</v>
      </c>
      <c r="O21" s="81">
        <f>'18'!$F$18</f>
        <v>16.821340726244813</v>
      </c>
      <c r="P21" s="81" t="str">
        <f>'18'!$F$19</f>
        <v/>
      </c>
      <c r="Q21" s="81">
        <f>'18'!$F$20</f>
        <v>11.451480053616354</v>
      </c>
      <c r="R21" s="81" t="str">
        <f>'18'!$F$21</f>
        <v/>
      </c>
      <c r="S21" s="81">
        <f>'18'!$F$22</f>
        <v>11.903794467443735</v>
      </c>
      <c r="T21" s="81">
        <f>'18'!$F$23</f>
        <v>10.899736418993042</v>
      </c>
      <c r="U21" s="81">
        <f>'18'!$F$24</f>
        <v>31.156936776774796</v>
      </c>
      <c r="V21" s="81">
        <f>'18'!$F$25</f>
        <v>9.4255082053462242</v>
      </c>
      <c r="W21" s="81" t="str">
        <f>'18'!$F$26</f>
        <v/>
      </c>
      <c r="X21" s="81">
        <f>'18'!$F$27</f>
        <v>13.620670469344279</v>
      </c>
      <c r="Y21" s="81">
        <f>'18'!$F$28</f>
        <v>10.709209504047523</v>
      </c>
      <c r="Z21" s="81">
        <f>'18'!$F$29</f>
        <v>9.3061205402868179</v>
      </c>
      <c r="AA21" s="81">
        <f>'18'!$F$30</f>
        <v>10.810729598960766</v>
      </c>
      <c r="AB21" s="81">
        <f>'18'!$F$31</f>
        <v>8.06822104264036</v>
      </c>
      <c r="AC21" s="81">
        <f>'18'!$F$32</f>
        <v>12.076805673700653</v>
      </c>
      <c r="AD21" s="102">
        <f>'18'!$F$33</f>
        <v>10.756936246615817</v>
      </c>
    </row>
    <row r="22" spans="1:30" x14ac:dyDescent="0.2">
      <c r="A22" s="101" t="s">
        <v>1428</v>
      </c>
      <c r="B22" s="81">
        <f>'19'!$F$5</f>
        <v>5.0508934269507773</v>
      </c>
      <c r="C22" s="81">
        <f>'19'!$F$6</f>
        <v>6.1797128991374857</v>
      </c>
      <c r="D22" s="81">
        <f>'19'!$F$7</f>
        <v>6.1709664833184759</v>
      </c>
      <c r="E22" s="81">
        <f>'19'!$F$8</f>
        <v>6.921088886875709</v>
      </c>
      <c r="F22" s="81" t="str">
        <f>'19'!$F$9</f>
        <v/>
      </c>
      <c r="G22" s="81" t="str">
        <f>'19'!$F$10</f>
        <v/>
      </c>
      <c r="H22" s="81">
        <f>'19'!$F$11</f>
        <v>7.5468517361167189</v>
      </c>
      <c r="I22" s="81">
        <f>'19'!$F$12</f>
        <v>2.6559049177951688</v>
      </c>
      <c r="J22" s="81">
        <f>'19'!$F$13</f>
        <v>7.0650892157493557</v>
      </c>
      <c r="K22" s="81">
        <f>'19'!$F$14</f>
        <v>7.7340299177951692</v>
      </c>
      <c r="L22" s="81">
        <f>'19'!$F$15</f>
        <v>9.6206067739625656</v>
      </c>
      <c r="M22" s="81">
        <f>'19'!$F$16</f>
        <v>5.2890791806049009</v>
      </c>
      <c r="N22" s="81">
        <f>'19'!$F$17</f>
        <v>7.2078316095244928</v>
      </c>
      <c r="O22" s="81">
        <f>'19'!$F$18</f>
        <v>9.3608229505820546</v>
      </c>
      <c r="P22" s="81" t="str">
        <f>'19'!$F$19</f>
        <v/>
      </c>
      <c r="Q22" s="81">
        <f>'19'!$F$20</f>
        <v>6.4825259484093545</v>
      </c>
      <c r="R22" s="81" t="str">
        <f>'19'!$F$21</f>
        <v/>
      </c>
      <c r="S22" s="81">
        <f>'19'!$F$22</f>
        <v>7.0533233960560375</v>
      </c>
      <c r="T22" s="81">
        <f>'19'!$F$23</f>
        <v>5.7591290798953345</v>
      </c>
      <c r="U22" s="81">
        <f>'19'!$F$24</f>
        <v>6.617378826858336</v>
      </c>
      <c r="V22" s="81">
        <f>'19'!$F$25</f>
        <v>2.6559049177951688</v>
      </c>
      <c r="W22" s="81">
        <f>'19'!$F$26</f>
        <v>10.183583741657198</v>
      </c>
      <c r="X22" s="81">
        <f>'19'!$F$27</f>
        <v>2.6608300556990301</v>
      </c>
      <c r="Y22" s="81">
        <f>'19'!$F$28</f>
        <v>6.621629730636923</v>
      </c>
      <c r="Z22" s="81">
        <f>'19'!$F$29</f>
        <v>5.29129946677745</v>
      </c>
      <c r="AA22" s="81">
        <f>'19'!$F$30</f>
        <v>6.2276378723406234</v>
      </c>
      <c r="AB22" s="81">
        <f>'19'!$F$31</f>
        <v>4.7342706496199156</v>
      </c>
      <c r="AC22" s="81">
        <f>'19'!$F$32</f>
        <v>6.0505718207009096</v>
      </c>
      <c r="AD22" s="102">
        <f>'19'!$F$33</f>
        <v>6.3994802186821618</v>
      </c>
    </row>
    <row r="23" spans="1:30" x14ac:dyDescent="0.2">
      <c r="A23" s="101" t="s">
        <v>1399</v>
      </c>
      <c r="B23" s="81">
        <f>'20'!$F$5</f>
        <v>9.5944433871852528</v>
      </c>
      <c r="C23" s="81">
        <f>'20'!$F$6</f>
        <v>6.2002244434431146</v>
      </c>
      <c r="D23" s="81">
        <f>'20'!$F$7</f>
        <v>5.1816926324838528</v>
      </c>
      <c r="E23" s="81">
        <f>'20'!$F$8</f>
        <v>3.0411193142161759</v>
      </c>
      <c r="F23" s="81" t="str">
        <f>'20'!$F$9</f>
        <v/>
      </c>
      <c r="G23" s="81">
        <f>'20'!$F$10</f>
        <v>11.502925620559138</v>
      </c>
      <c r="H23" s="81">
        <f>'20'!$F$11</f>
        <v>12.304785824293587</v>
      </c>
      <c r="I23" s="81">
        <f>'20'!$F$12</f>
        <v>27.112766213993481</v>
      </c>
      <c r="J23" s="81">
        <f>'20'!$F$13</f>
        <v>5.089560162051896</v>
      </c>
      <c r="K23" s="81">
        <f>'20'!$F$14</f>
        <v>4.0457207594480264</v>
      </c>
      <c r="L23" s="81">
        <f>'20'!$F$15</f>
        <v>4.0641442669107128</v>
      </c>
      <c r="M23" s="81">
        <f>'20'!$F$16</f>
        <v>4.5494604513229868</v>
      </c>
      <c r="N23" s="81">
        <f>'20'!$F$17</f>
        <v>4.1151979607058884</v>
      </c>
      <c r="O23" s="81">
        <f>'20'!$F$18</f>
        <v>11.252145292104386</v>
      </c>
      <c r="P23" s="81" t="str">
        <f>'20'!$F$19</f>
        <v/>
      </c>
      <c r="Q23" s="81">
        <f>'20'!$F$20</f>
        <v>5.5173337838155296</v>
      </c>
      <c r="R23" s="81" t="str">
        <f>'20'!$F$21</f>
        <v/>
      </c>
      <c r="S23" s="81">
        <f>'20'!$F$22</f>
        <v>8.0084511268620417</v>
      </c>
      <c r="T23" s="81">
        <f>'20'!$F$23</f>
        <v>4.3612089287369642</v>
      </c>
      <c r="U23" s="81">
        <f>'20'!$F$24</f>
        <v>7.3506469305274562</v>
      </c>
      <c r="V23" s="81" t="str">
        <f>'20'!$F$25</f>
        <v/>
      </c>
      <c r="W23" s="81">
        <f>'20'!$F$26</f>
        <v>5.1915540927813595</v>
      </c>
      <c r="X23" s="81">
        <f>'20'!$F$27</f>
        <v>9.7584592332159108</v>
      </c>
      <c r="Y23" s="81">
        <f>'20'!$F$28</f>
        <v>4.6715691395222994</v>
      </c>
      <c r="Z23" s="81">
        <f>'20'!$F$29</f>
        <v>4.4653100116592297</v>
      </c>
      <c r="AA23" s="81">
        <f>'20'!$F$30</f>
        <v>5.6374248563583302</v>
      </c>
      <c r="AB23" s="81">
        <f>'20'!$F$31</f>
        <v>4.0839460641712364</v>
      </c>
      <c r="AC23" s="81">
        <f>'20'!$F$32</f>
        <v>4.3547443987011052</v>
      </c>
      <c r="AD23" s="102">
        <f>'20'!$F$33</f>
        <v>5.3251501634352456</v>
      </c>
    </row>
    <row r="24" spans="1:30" x14ac:dyDescent="0.2">
      <c r="A24" s="101" t="s">
        <v>1421</v>
      </c>
      <c r="B24" s="81">
        <f>'21'!$F$5</f>
        <v>7.0241677728648204</v>
      </c>
      <c r="C24" s="81">
        <f>'21'!$F$6</f>
        <v>10.987931713246017</v>
      </c>
      <c r="D24" s="81">
        <f>'21'!$F$7</f>
        <v>7.1185474525332664</v>
      </c>
      <c r="E24" s="81">
        <f>'21'!$F$8</f>
        <v>6.6862981466975704</v>
      </c>
      <c r="F24" s="81" t="str">
        <f>'21'!$F$9</f>
        <v/>
      </c>
      <c r="G24" s="81">
        <f>'21'!$F$10</f>
        <v>6.1967434115059143</v>
      </c>
      <c r="H24" s="81">
        <f>'21'!$F$11</f>
        <v>15.6415601119425</v>
      </c>
      <c r="I24" s="81">
        <f>'21'!$F$12</f>
        <v>8.5085211986995795</v>
      </c>
      <c r="J24" s="81">
        <f>'21'!$F$13</f>
        <v>7.06198461277289</v>
      </c>
      <c r="K24" s="81">
        <f>'21'!$F$14</f>
        <v>6.6386716200873872</v>
      </c>
      <c r="L24" s="81">
        <f>'21'!$F$15</f>
        <v>6.6386623913242033</v>
      </c>
      <c r="M24" s="81">
        <f>'21'!$F$16</f>
        <v>7.7552798822641558</v>
      </c>
      <c r="N24" s="81">
        <f>'21'!$F$17</f>
        <v>7.3230495432466212</v>
      </c>
      <c r="O24" s="81">
        <f>'21'!$F$18</f>
        <v>11.045430627316101</v>
      </c>
      <c r="P24" s="81">
        <f>'21'!$F$19</f>
        <v>20.782340349857229</v>
      </c>
      <c r="Q24" s="81">
        <f>'21'!$F$20</f>
        <v>9.9568897244704342</v>
      </c>
      <c r="R24" s="81">
        <f>'21'!$F$21</f>
        <v>16.077167125370444</v>
      </c>
      <c r="S24" s="81">
        <f>'21'!$F$22</f>
        <v>10.821900154367128</v>
      </c>
      <c r="T24" s="81">
        <f>'21'!$F$23</f>
        <v>6.8478943068879099</v>
      </c>
      <c r="U24" s="81">
        <f>'21'!$F$24</f>
        <v>9.3850690451497805</v>
      </c>
      <c r="V24" s="81">
        <f>'21'!$F$25</f>
        <v>12.459040347969543</v>
      </c>
      <c r="W24" s="81">
        <f>'21'!$F$26</f>
        <v>8.632768244960582</v>
      </c>
      <c r="X24" s="81">
        <f>'21'!$F$27</f>
        <v>9.5531789158446845</v>
      </c>
      <c r="Y24" s="81">
        <f>'21'!$F$28</f>
        <v>8.5054125033062427</v>
      </c>
      <c r="Z24" s="81">
        <f>'21'!$F$29</f>
        <v>6.8125686494305944</v>
      </c>
      <c r="AA24" s="81">
        <f>'21'!$F$30</f>
        <v>8.5101594779667948</v>
      </c>
      <c r="AB24" s="81">
        <f>'21'!$F$31</f>
        <v>6.8478948500378021</v>
      </c>
      <c r="AC24" s="81">
        <f>'21'!$F$32</f>
        <v>7.7552810653047324</v>
      </c>
      <c r="AD24" s="102">
        <f>'21'!$F$33</f>
        <v>7.646431275771282</v>
      </c>
    </row>
    <row r="25" spans="1:30" x14ac:dyDescent="0.2">
      <c r="A25" s="101" t="s">
        <v>1400</v>
      </c>
      <c r="B25" s="81">
        <f>'22'!$F$5</f>
        <v>7.3339934508888458</v>
      </c>
      <c r="C25" s="81">
        <f>'22'!$F$6</f>
        <v>5.4339386004263535</v>
      </c>
      <c r="D25" s="81">
        <f>'22'!$F$7</f>
        <v>6.1353937480410128</v>
      </c>
      <c r="E25" s="81">
        <f>'22'!$F$8</f>
        <v>6.0316054487862392</v>
      </c>
      <c r="F25" s="81" t="str">
        <f>'22'!$F$9</f>
        <v/>
      </c>
      <c r="G25" s="81">
        <f>'22'!$F$10</f>
        <v>8.0951494654119092</v>
      </c>
      <c r="H25" s="81">
        <f>'22'!$F$11</f>
        <v>7.3877222316280813</v>
      </c>
      <c r="I25" s="81">
        <f>'22'!$F$12</f>
        <v>6.3036188210007156</v>
      </c>
      <c r="J25" s="81">
        <f>'22'!$F$13</f>
        <v>5.0871487541105713</v>
      </c>
      <c r="K25" s="81" t="str">
        <f>'22'!$F$14</f>
        <v/>
      </c>
      <c r="L25" s="81">
        <f>'22'!$F$15</f>
        <v>5.0288393055292921</v>
      </c>
      <c r="M25" s="81">
        <f>'22'!$F$16</f>
        <v>7.4631887832431918</v>
      </c>
      <c r="N25" s="81">
        <f>'22'!$F$17</f>
        <v>6.1644477573844565</v>
      </c>
      <c r="O25" s="81">
        <f>'22'!$F$18</f>
        <v>11.945149693990668</v>
      </c>
      <c r="P25" s="81">
        <f>'22'!$F$19</f>
        <v>18.60767068157698</v>
      </c>
      <c r="Q25" s="81">
        <f>'22'!$F$20</f>
        <v>7.4957682427192518</v>
      </c>
      <c r="R25" s="81">
        <f>'22'!$F$21</f>
        <v>14.071664660999836</v>
      </c>
      <c r="S25" s="81">
        <f>'22'!$F$22</f>
        <v>8.2429911446751838</v>
      </c>
      <c r="T25" s="81">
        <f>'22'!$F$23</f>
        <v>8.0982421599525836</v>
      </c>
      <c r="U25" s="81">
        <f>'22'!$F$24</f>
        <v>7.1497356324714287</v>
      </c>
      <c r="V25" s="81">
        <f>'22'!$F$25</f>
        <v>5.0906009841581854</v>
      </c>
      <c r="W25" s="81">
        <f>'22'!$F$26</f>
        <v>5.9667628313299508</v>
      </c>
      <c r="X25" s="81">
        <f>'22'!$F$27</f>
        <v>32.598251517266299</v>
      </c>
      <c r="Y25" s="81">
        <f>'22'!$F$28</f>
        <v>9.7883085688669045</v>
      </c>
      <c r="Z25" s="81">
        <f>'22'!$F$29</f>
        <v>5.8228921018867457</v>
      </c>
      <c r="AA25" s="81">
        <f>'22'!$F$30</f>
        <v>7.253918591519219</v>
      </c>
      <c r="AB25" s="81">
        <f>'22'!$F$31</f>
        <v>6.2683617549065032</v>
      </c>
      <c r="AC25" s="81">
        <f>'22'!$F$32</f>
        <v>7.9262879918136431</v>
      </c>
      <c r="AD25" s="102">
        <f>'22'!$F$33</f>
        <v>6.9406939266958982</v>
      </c>
    </row>
    <row r="26" spans="1:30" x14ac:dyDescent="0.2">
      <c r="A26" s="101" t="s">
        <v>1401</v>
      </c>
      <c r="B26" s="81">
        <f>'23'!$F$5</f>
        <v>6.3049978788340759</v>
      </c>
      <c r="C26" s="81">
        <f>'23'!$F$6</f>
        <v>7.9630147486462004</v>
      </c>
      <c r="D26" s="81">
        <f>'23'!$F$7</f>
        <v>6.6771737866518865</v>
      </c>
      <c r="E26" s="81">
        <f>'23'!$F$8</f>
        <v>6.3788827941560013</v>
      </c>
      <c r="F26" s="81" t="str">
        <f>'23'!$F$9</f>
        <v/>
      </c>
      <c r="G26" s="81">
        <f>'23'!$F$10</f>
        <v>9.5947326924500924</v>
      </c>
      <c r="H26" s="81">
        <f>'23'!$F$11</f>
        <v>5.2483963761021357</v>
      </c>
      <c r="I26" s="81">
        <f>'23'!$F$12</f>
        <v>30.822510147966906</v>
      </c>
      <c r="J26" s="81">
        <f>'23'!$F$13</f>
        <v>5.1243480794162837</v>
      </c>
      <c r="K26" s="81">
        <f>'23'!$F$14</f>
        <v>15.753601058337084</v>
      </c>
      <c r="L26" s="81">
        <f>'23'!$F$15</f>
        <v>6.1651397438476918</v>
      </c>
      <c r="M26" s="81">
        <f>'23'!$F$16</f>
        <v>6.4116321975291877</v>
      </c>
      <c r="N26" s="81">
        <f>'23'!$F$17</f>
        <v>10.619211876462964</v>
      </c>
      <c r="O26" s="81">
        <f>'23'!$F$18</f>
        <v>8.7320971590085072</v>
      </c>
      <c r="P26" s="81" t="str">
        <f>'23'!$F$19</f>
        <v/>
      </c>
      <c r="Q26" s="81">
        <f>'23'!$F$20</f>
        <v>6.6495724081247287</v>
      </c>
      <c r="R26" s="81" t="str">
        <f>'23'!$F$21</f>
        <v/>
      </c>
      <c r="S26" s="81">
        <f>'23'!$F$22</f>
        <v>6.3528382112172839</v>
      </c>
      <c r="T26" s="81">
        <f>'23'!$F$23</f>
        <v>5.7159730516688319</v>
      </c>
      <c r="U26" s="81">
        <f>'23'!$F$24</f>
        <v>7.324207922822346</v>
      </c>
      <c r="V26" s="81">
        <f>'23'!$F$25</f>
        <v>4.2182832857878543</v>
      </c>
      <c r="W26" s="81">
        <f>'23'!$F$26</f>
        <v>2.7295427346625343</v>
      </c>
      <c r="X26" s="81">
        <f>'23'!$F$27</f>
        <v>8.0636669158695469</v>
      </c>
      <c r="Y26" s="81">
        <f>'23'!$F$28</f>
        <v>7.0695241483369227</v>
      </c>
      <c r="Z26" s="81">
        <f>'23'!$F$29</f>
        <v>5.1310270292356392</v>
      </c>
      <c r="AA26" s="81">
        <f>'23'!$F$30</f>
        <v>7.4996765838926995</v>
      </c>
      <c r="AB26" s="81">
        <f>'23'!$F$31</f>
        <v>5.7664144202954546</v>
      </c>
      <c r="AC26" s="81">
        <f>'23'!$F$32</f>
        <v>4.4568694080691991</v>
      </c>
      <c r="AD26" s="102">
        <f>'23'!$F$33</f>
        <v>6.3503925853974419</v>
      </c>
    </row>
    <row r="27" spans="1:30" x14ac:dyDescent="0.2">
      <c r="A27" s="101" t="s">
        <v>1385</v>
      </c>
      <c r="B27" s="81" t="str">
        <f>'24'!$F$5</f>
        <v/>
      </c>
      <c r="C27" s="81">
        <f>'24'!$F$6</f>
        <v>5.0326128372024792</v>
      </c>
      <c r="D27" s="81">
        <f>'24'!$F$7</f>
        <v>9.3382229174248579</v>
      </c>
      <c r="E27" s="81">
        <f>'24'!$F$8</f>
        <v>11.69426722867775</v>
      </c>
      <c r="F27" s="81" t="str">
        <f>'24'!$F$9</f>
        <v/>
      </c>
      <c r="G27" s="81">
        <f>'24'!$F$10</f>
        <v>7.0686992903093877</v>
      </c>
      <c r="H27" s="81">
        <f>'24'!$F$11</f>
        <v>12.625600347522713</v>
      </c>
      <c r="I27" s="81">
        <f>'24'!$F$12</f>
        <v>30.68044448906214</v>
      </c>
      <c r="J27" s="81">
        <f>'24'!$F$13</f>
        <v>5.0326128372024792</v>
      </c>
      <c r="K27" s="81" t="str">
        <f>'24'!$F$14</f>
        <v/>
      </c>
      <c r="L27" s="81">
        <f>'24'!$F$15</f>
        <v>5.0326128372024792</v>
      </c>
      <c r="M27" s="81">
        <f>'24'!$F$16</f>
        <v>13.847942613103251</v>
      </c>
      <c r="N27" s="81">
        <f>'24'!$F$17</f>
        <v>34.363355222989277</v>
      </c>
      <c r="O27" s="81">
        <f>'24'!$F$18</f>
        <v>14.486359991409607</v>
      </c>
      <c r="P27" s="81" t="str">
        <f>'24'!$F$19</f>
        <v/>
      </c>
      <c r="Q27" s="81">
        <f>'24'!$F$20</f>
        <v>10.203488423972825</v>
      </c>
      <c r="R27" s="81" t="str">
        <f>'24'!$F$21</f>
        <v/>
      </c>
      <c r="S27" s="81">
        <f>'24'!$F$22</f>
        <v>19.191012127595492</v>
      </c>
      <c r="T27" s="81">
        <f>'24'!$F$23</f>
        <v>8.9796934620366535</v>
      </c>
      <c r="U27" s="81">
        <f>'24'!$F$24</f>
        <v>15.312901200764735</v>
      </c>
      <c r="V27" s="81">
        <f>'24'!$F$25</f>
        <v>5.0326128372024792</v>
      </c>
      <c r="W27" s="81">
        <f>'24'!$F$26</f>
        <v>15.660260834880946</v>
      </c>
      <c r="X27" s="81">
        <f>'24'!$F$27</f>
        <v>11.28091734720587</v>
      </c>
      <c r="Y27" s="81">
        <f>'24'!$F$28</f>
        <v>9.489250148530866</v>
      </c>
      <c r="Z27" s="81">
        <f>'24'!$F$29</f>
        <v>7.5517572172504268</v>
      </c>
      <c r="AA27" s="81">
        <f>'24'!$F$30</f>
        <v>11.334987669240803</v>
      </c>
      <c r="AB27" s="81">
        <f>'24'!$F$31</f>
        <v>8.9464699860389096</v>
      </c>
      <c r="AC27" s="81">
        <f>'24'!$F$32</f>
        <v>6.9388544554411906</v>
      </c>
      <c r="AD27" s="102">
        <f>'24'!$F$33</f>
        <v>10.173124354986761</v>
      </c>
    </row>
    <row r="28" spans="1:30" x14ac:dyDescent="0.2">
      <c r="A28" s="101" t="s">
        <v>1402</v>
      </c>
      <c r="B28" s="81">
        <f>'25'!$F$5</f>
        <v>6.239014790022348</v>
      </c>
      <c r="C28" s="81">
        <f>'25'!$F$6</f>
        <v>10.930951516152543</v>
      </c>
      <c r="D28" s="81">
        <f>'25'!$F$7</f>
        <v>7.2321503747352081</v>
      </c>
      <c r="E28" s="81">
        <f>'25'!$F$8</f>
        <v>7.3035081222958675</v>
      </c>
      <c r="F28" s="81">
        <f>'25'!$F$9</f>
        <v>17.02690821742673</v>
      </c>
      <c r="G28" s="81">
        <f>'25'!$F$10</f>
        <v>8.9777988963680411</v>
      </c>
      <c r="H28" s="81">
        <f>'25'!$F$11</f>
        <v>9.0494956329133984</v>
      </c>
      <c r="I28" s="81">
        <f>'25'!$F$12</f>
        <v>11.591223776846608</v>
      </c>
      <c r="J28" s="81">
        <f>'25'!$F$13</f>
        <v>6.1706958412228019</v>
      </c>
      <c r="K28" s="81" t="str">
        <f>'25'!$F$14</f>
        <v/>
      </c>
      <c r="L28" s="81">
        <f>'25'!$F$15</f>
        <v>7.2482655720266074</v>
      </c>
      <c r="M28" s="81">
        <f>'25'!$F$16</f>
        <v>9.6035737461847823</v>
      </c>
      <c r="N28" s="81">
        <f>'25'!$F$17</f>
        <v>10.660422813409914</v>
      </c>
      <c r="O28" s="81">
        <f>'25'!$F$18</f>
        <v>10.957163716814073</v>
      </c>
      <c r="P28" s="81" t="str">
        <f>'25'!$F$19</f>
        <v/>
      </c>
      <c r="Q28" s="81">
        <f>'25'!$F$20</f>
        <v>12.061654942906351</v>
      </c>
      <c r="R28" s="81" t="str">
        <f>'25'!$F$21</f>
        <v/>
      </c>
      <c r="S28" s="81">
        <f>'25'!$F$22</f>
        <v>11.138396739263234</v>
      </c>
      <c r="T28" s="81">
        <f>'25'!$F$23</f>
        <v>9.0191528017754976</v>
      </c>
      <c r="U28" s="81">
        <f>'25'!$F$24</f>
        <v>5.5882344928105825</v>
      </c>
      <c r="V28" s="81">
        <f>'25'!$F$25</f>
        <v>7.6870793680889813</v>
      </c>
      <c r="W28" s="81">
        <f>'25'!$F$26</f>
        <v>3.5041582174267294</v>
      </c>
      <c r="X28" s="81">
        <f>'25'!$F$27</f>
        <v>14.819098393749147</v>
      </c>
      <c r="Y28" s="81">
        <f>'25'!$F$28</f>
        <v>5.9734554783158176</v>
      </c>
      <c r="Z28" s="81">
        <f>'25'!$F$29</f>
        <v>7.1682247678344213</v>
      </c>
      <c r="AA28" s="81">
        <f>'25'!$F$30</f>
        <v>9.7334705077475991</v>
      </c>
      <c r="AB28" s="81">
        <f>'25'!$F$31</f>
        <v>8.2141614184510576</v>
      </c>
      <c r="AC28" s="81">
        <f>'25'!$F$32</f>
        <v>9.0566091978188865</v>
      </c>
      <c r="AD28" s="102">
        <f>'25'!$F$33</f>
        <v>8.4884567884234006</v>
      </c>
    </row>
    <row r="29" spans="1:30" x14ac:dyDescent="0.2">
      <c r="A29" s="100" t="s">
        <v>1403</v>
      </c>
      <c r="B29" s="81">
        <f>'26'!$F$5</f>
        <v>6.4528446729492508</v>
      </c>
      <c r="C29" s="81">
        <f>'26'!$F$6</f>
        <v>9.8783732826464483</v>
      </c>
      <c r="D29" s="81">
        <f>'26'!$F$7</f>
        <v>7.6804309520654073</v>
      </c>
      <c r="E29" s="81">
        <f>'26'!$F$8</f>
        <v>7.9398613363420241</v>
      </c>
      <c r="F29" s="81">
        <f>'26'!$F$9</f>
        <v>9.2007037089295469</v>
      </c>
      <c r="G29" s="81">
        <f>'26'!$F$10</f>
        <v>6.2009861260149997</v>
      </c>
      <c r="H29" s="81">
        <f>'26'!$F$11</f>
        <v>8.3120946243096068</v>
      </c>
      <c r="I29" s="81">
        <f>'26'!$F$12</f>
        <v>9.193657412633252</v>
      </c>
      <c r="J29" s="81">
        <f>'26'!$F$13</f>
        <v>7.5999560726499737</v>
      </c>
      <c r="K29" s="81">
        <f>'26'!$F$14</f>
        <v>11.955895507871347</v>
      </c>
      <c r="L29" s="81">
        <f>'26'!$F$15</f>
        <v>9.4190263262585514</v>
      </c>
      <c r="M29" s="81">
        <f>'26'!$F$16</f>
        <v>8.2191307559279192</v>
      </c>
      <c r="N29" s="81">
        <f>'26'!$F$17</f>
        <v>7.1519381438706029</v>
      </c>
      <c r="O29" s="81">
        <f>'26'!$F$18</f>
        <v>12.743615124939064</v>
      </c>
      <c r="P29" s="81">
        <f>'26'!$F$19</f>
        <v>24.152865595545407</v>
      </c>
      <c r="Q29" s="81">
        <f>'26'!$F$20</f>
        <v>10.372407074035168</v>
      </c>
      <c r="R29" s="81">
        <f>'26'!$F$21</f>
        <v>15.709732861650364</v>
      </c>
      <c r="S29" s="81">
        <f>'26'!$F$22</f>
        <v>10.595474434422103</v>
      </c>
      <c r="T29" s="81">
        <f>'26'!$F$23</f>
        <v>7.0550087766954377</v>
      </c>
      <c r="U29" s="81">
        <f>'26'!$F$24</f>
        <v>8.8890124195160674</v>
      </c>
      <c r="V29" s="81">
        <f>'26'!$F$25</f>
        <v>11.136965082237898</v>
      </c>
      <c r="W29" s="81">
        <f>'26'!$F$26</f>
        <v>9.5169080575082994</v>
      </c>
      <c r="X29" s="81">
        <f>'26'!$F$27</f>
        <v>8.5251728365373705</v>
      </c>
      <c r="Y29" s="81">
        <f>'26'!$F$28</f>
        <v>7.9139805755018102</v>
      </c>
      <c r="Z29" s="81">
        <f>'26'!$F$29</f>
        <v>7.1155983349407448</v>
      </c>
      <c r="AA29" s="81">
        <f>'26'!$F$30</f>
        <v>9.7304065986424355</v>
      </c>
      <c r="AB29" s="81">
        <f>'26'!$F$31</f>
        <v>7.4764385409933745</v>
      </c>
      <c r="AC29" s="81">
        <f>'26'!$F$32</f>
        <v>8.2498835463058917</v>
      </c>
      <c r="AD29" s="102">
        <f>'26'!$F$33</f>
        <v>8.1001377687697822</v>
      </c>
    </row>
    <row r="30" spans="1:30" x14ac:dyDescent="0.2">
      <c r="A30" s="101" t="s">
        <v>1382</v>
      </c>
      <c r="B30" s="81">
        <f>'27'!$F$5</f>
        <v>9.9414137888689975</v>
      </c>
      <c r="C30" s="81" t="str">
        <f>'27'!$F$6</f>
        <v/>
      </c>
      <c r="D30" s="81">
        <f>'27'!$F$7</f>
        <v>6.2484668482549743</v>
      </c>
      <c r="E30" s="81">
        <f>'27'!$F$8</f>
        <v>8.3956523071905487</v>
      </c>
      <c r="F30" s="81" t="str">
        <f>'27'!$F$9</f>
        <v/>
      </c>
      <c r="G30" s="81">
        <f>'27'!$F$10</f>
        <v>3.1808376169350736</v>
      </c>
      <c r="H30" s="81">
        <f>'27'!$F$11</f>
        <v>11.777600032239215</v>
      </c>
      <c r="I30" s="81">
        <f>'27'!$F$12</f>
        <v>2.8507261032930491</v>
      </c>
      <c r="J30" s="81">
        <f>'27'!$F$13</f>
        <v>10.248541607924476</v>
      </c>
      <c r="K30" s="81">
        <f>'27'!$F$14</f>
        <v>2.8504768402446703</v>
      </c>
      <c r="L30" s="81">
        <f>'27'!$F$15</f>
        <v>12.743059280758855</v>
      </c>
      <c r="M30" s="81">
        <f>'27'!$F$16</f>
        <v>9.1524418289874312</v>
      </c>
      <c r="N30" s="81">
        <f>'27'!$F$17</f>
        <v>6.2558299930166283</v>
      </c>
      <c r="O30" s="81">
        <f>'27'!$F$18</f>
        <v>12.312136908687592</v>
      </c>
      <c r="P30" s="81" t="str">
        <f>'27'!$F$19</f>
        <v/>
      </c>
      <c r="Q30" s="81">
        <f>'27'!$F$20</f>
        <v>9.6813054359972597</v>
      </c>
      <c r="R30" s="81">
        <f>'27'!$F$21</f>
        <v>11.312449925343644</v>
      </c>
      <c r="S30" s="81">
        <f>'27'!$F$22</f>
        <v>7.756652197217873</v>
      </c>
      <c r="T30" s="81">
        <f>'27'!$F$23</f>
        <v>7.5489260649808232</v>
      </c>
      <c r="U30" s="81" t="str">
        <f>'27'!$F$24</f>
        <v/>
      </c>
      <c r="V30" s="81">
        <f>'27'!$F$25</f>
        <v>9.7835841675827133</v>
      </c>
      <c r="W30" s="81">
        <f>'27'!$F$26</f>
        <v>2.8506993481560627</v>
      </c>
      <c r="X30" s="81">
        <f>'27'!$F$27</f>
        <v>9.6726922851559483</v>
      </c>
      <c r="Y30" s="81">
        <f>'27'!$F$28</f>
        <v>7.8922089735739913</v>
      </c>
      <c r="Z30" s="81">
        <f>'27'!$F$29</f>
        <v>5.7198214346897212</v>
      </c>
      <c r="AA30" s="81">
        <f>'27'!$F$30</f>
        <v>9.5644617622838997</v>
      </c>
      <c r="AB30" s="81">
        <f>'27'!$F$31</f>
        <v>7.1989804456827109</v>
      </c>
      <c r="AC30" s="81">
        <f>'27'!$F$32</f>
        <v>3.4621654761001257</v>
      </c>
      <c r="AD30" s="102">
        <f>'27'!$F$33</f>
        <v>8.0144667167862469</v>
      </c>
    </row>
    <row r="31" spans="1:30" x14ac:dyDescent="0.2">
      <c r="A31" s="101" t="s">
        <v>1404</v>
      </c>
      <c r="B31" s="81">
        <f>'28'!$F$5</f>
        <v>7.9428312856289374</v>
      </c>
      <c r="C31" s="81">
        <f>'28'!$F$6</f>
        <v>10.016957120334775</v>
      </c>
      <c r="D31" s="81">
        <f>'28'!$F$7</f>
        <v>8.749665432035421</v>
      </c>
      <c r="E31" s="81">
        <f>'28'!$F$8</f>
        <v>7.8462323684472635</v>
      </c>
      <c r="F31" s="81">
        <f>'28'!$F$9</f>
        <v>72.794870051124576</v>
      </c>
      <c r="G31" s="81">
        <f>'28'!$F$10</f>
        <v>18.337163470257174</v>
      </c>
      <c r="H31" s="81">
        <f>'28'!$F$11</f>
        <v>11.720764911801053</v>
      </c>
      <c r="I31" s="81">
        <f>'28'!$F$12</f>
        <v>7.7364961179140526</v>
      </c>
      <c r="J31" s="81">
        <f>'28'!$F$13</f>
        <v>10.110039651933558</v>
      </c>
      <c r="K31" s="81">
        <f>'28'!$F$14</f>
        <v>7.7368493939271081</v>
      </c>
      <c r="L31" s="81">
        <f>'28'!$F$15</f>
        <v>13.950559089853076</v>
      </c>
      <c r="M31" s="81">
        <f>'28'!$F$16</f>
        <v>9.1244526374032162</v>
      </c>
      <c r="N31" s="81">
        <f>'28'!$F$17</f>
        <v>5.8431953883373184</v>
      </c>
      <c r="O31" s="81">
        <f>'28'!$F$18</f>
        <v>9.8072402696234313</v>
      </c>
      <c r="P31" s="81" t="str">
        <f>'28'!$F$19</f>
        <v/>
      </c>
      <c r="Q31" s="81">
        <f>'28'!$F$20</f>
        <v>9.9576295388116574</v>
      </c>
      <c r="R31" s="81">
        <f>'28'!$F$21</f>
        <v>16.954372593711263</v>
      </c>
      <c r="S31" s="81">
        <f>'28'!$F$22</f>
        <v>10.420560962884293</v>
      </c>
      <c r="T31" s="81">
        <f>'28'!$F$23</f>
        <v>9.5070485698186253</v>
      </c>
      <c r="U31" s="81">
        <f>'28'!$F$24</f>
        <v>16.483058689198312</v>
      </c>
      <c r="V31" s="81">
        <f>'28'!$F$25</f>
        <v>16.454408374026336</v>
      </c>
      <c r="W31" s="81">
        <f>'28'!$F$26</f>
        <v>13.153861131964636</v>
      </c>
      <c r="X31" s="81">
        <f>'28'!$F$27</f>
        <v>11.378507098385375</v>
      </c>
      <c r="Y31" s="81">
        <f>'28'!$F$28</f>
        <v>9.8634534541360743</v>
      </c>
      <c r="Z31" s="81">
        <f>'28'!$F$29</f>
        <v>8.223532424750486</v>
      </c>
      <c r="AA31" s="81">
        <f>'28'!$F$30</f>
        <v>10.157347466470986</v>
      </c>
      <c r="AB31" s="81">
        <f>'28'!$F$31</f>
        <v>7.7005632271257118</v>
      </c>
      <c r="AC31" s="81">
        <f>'28'!$F$32</f>
        <v>10.002069552144727</v>
      </c>
      <c r="AD31" s="102">
        <f>'28'!$F$33</f>
        <v>9.4978834034596531</v>
      </c>
    </row>
    <row r="32" spans="1:30" x14ac:dyDescent="0.2">
      <c r="A32" s="101" t="s">
        <v>1405</v>
      </c>
      <c r="B32" s="81">
        <f>'29'!$F$5</f>
        <v>11.309692175432204</v>
      </c>
      <c r="C32" s="81">
        <f>'29'!$F$6</f>
        <v>3.3129486530877079</v>
      </c>
      <c r="D32" s="81">
        <f>'29'!$F$7</f>
        <v>4.4379074228836606</v>
      </c>
      <c r="E32" s="81">
        <f>'29'!$F$8</f>
        <v>5.0072816586341373</v>
      </c>
      <c r="F32" s="81" t="str">
        <f>'29'!$F$9</f>
        <v/>
      </c>
      <c r="G32" s="81">
        <f>'29'!$F$10</f>
        <v>7.1523609129902788</v>
      </c>
      <c r="H32" s="81">
        <f>'29'!$F$11</f>
        <v>3.8053701573782606</v>
      </c>
      <c r="I32" s="81">
        <f>'29'!$F$12</f>
        <v>7.190866776147943</v>
      </c>
      <c r="J32" s="81">
        <f>'29'!$F$13</f>
        <v>2.5187843085648276</v>
      </c>
      <c r="K32" s="81">
        <f>'29'!$F$14</f>
        <v>4.2310245350557016</v>
      </c>
      <c r="L32" s="81">
        <f>'29'!$F$15</f>
        <v>3.7424546561000138</v>
      </c>
      <c r="M32" s="81">
        <f>'29'!$F$16</f>
        <v>4.8741412565120061</v>
      </c>
      <c r="N32" s="81">
        <f>'29'!$F$17</f>
        <v>3.4709601591753456</v>
      </c>
      <c r="O32" s="81">
        <f>'29'!$F$18</f>
        <v>9.4398066778148326</v>
      </c>
      <c r="P32" s="81" t="str">
        <f>'29'!$F$19</f>
        <v/>
      </c>
      <c r="Q32" s="81">
        <f>'29'!$F$20</f>
        <v>4.7898333778571276</v>
      </c>
      <c r="R32" s="81" t="str">
        <f>'29'!$F$21</f>
        <v/>
      </c>
      <c r="S32" s="81">
        <f>'29'!$F$22</f>
        <v>7.9153437602584402</v>
      </c>
      <c r="T32" s="81">
        <f>'29'!$F$23</f>
        <v>5.3721252672822253</v>
      </c>
      <c r="U32" s="81">
        <f>'29'!$F$24</f>
        <v>4.6145504294511603</v>
      </c>
      <c r="V32" s="81">
        <f>'29'!$F$25</f>
        <v>2.5329061663554362</v>
      </c>
      <c r="W32" s="81">
        <f>'29'!$F$26</f>
        <v>5.8839762345190287</v>
      </c>
      <c r="X32" s="81">
        <f>'29'!$F$27</f>
        <v>4.6201003897565558</v>
      </c>
      <c r="Y32" s="81">
        <f>'29'!$F$28</f>
        <v>4.6174870737051146</v>
      </c>
      <c r="Z32" s="81">
        <f>'29'!$F$29</f>
        <v>4.5206617393532662</v>
      </c>
      <c r="AA32" s="81">
        <f>'29'!$F$30</f>
        <v>5.2107434812506197</v>
      </c>
      <c r="AB32" s="81">
        <f>'29'!$F$31</f>
        <v>4.1011966269164404</v>
      </c>
      <c r="AC32" s="81">
        <f>'29'!$F$32</f>
        <v>4.0452382796966884</v>
      </c>
      <c r="AD32" s="102">
        <f>'29'!$F$33</f>
        <v>4.5266517214898272</v>
      </c>
    </row>
    <row r="33" spans="1:30" x14ac:dyDescent="0.2">
      <c r="A33" s="101" t="s">
        <v>1406</v>
      </c>
      <c r="B33" s="81">
        <f>'30'!$F$5</f>
        <v>10.000175173386516</v>
      </c>
      <c r="C33" s="81">
        <f>'30'!$F$6</f>
        <v>22.978203292927933</v>
      </c>
      <c r="D33" s="81">
        <f>'30'!$F$7</f>
        <v>5.84784179382833</v>
      </c>
      <c r="E33" s="81">
        <f>'30'!$F$8</f>
        <v>4.8320486827801972</v>
      </c>
      <c r="F33" s="81" t="str">
        <f>'30'!$F$9</f>
        <v/>
      </c>
      <c r="G33" s="81">
        <f>'30'!$F$10</f>
        <v>2.9851580500490016</v>
      </c>
      <c r="H33" s="81">
        <f>'30'!$F$11</f>
        <v>16.049028295799872</v>
      </c>
      <c r="I33" s="81">
        <f>'30'!$F$12</f>
        <v>2.7870591609862569</v>
      </c>
      <c r="J33" s="81">
        <f>'30'!$F$13</f>
        <v>6.2234621887941843</v>
      </c>
      <c r="K33" s="81" t="str">
        <f>'30'!$F$14</f>
        <v/>
      </c>
      <c r="L33" s="81">
        <f>'30'!$F$15</f>
        <v>4.7882880374770069</v>
      </c>
      <c r="M33" s="81">
        <f>'30'!$F$16</f>
        <v>6.5066821562617818</v>
      </c>
      <c r="N33" s="81">
        <f>'30'!$F$17</f>
        <v>4.5688533294925593</v>
      </c>
      <c r="O33" s="81">
        <f>'30'!$F$18</f>
        <v>9.8224380292879658</v>
      </c>
      <c r="P33" s="81" t="str">
        <f>'30'!$F$19</f>
        <v/>
      </c>
      <c r="Q33" s="81">
        <f>'30'!$F$20</f>
        <v>9.2931497476995659</v>
      </c>
      <c r="R33" s="81" t="str">
        <f>'30'!$F$21</f>
        <v/>
      </c>
      <c r="S33" s="81">
        <f>'30'!$F$22</f>
        <v>7.2177509254581098</v>
      </c>
      <c r="T33" s="81">
        <f>'30'!$F$23</f>
        <v>5.2682043524668005</v>
      </c>
      <c r="U33" s="81" t="str">
        <f>'30'!$F$24</f>
        <v/>
      </c>
      <c r="V33" s="81" t="str">
        <f>'30'!$F$25</f>
        <v/>
      </c>
      <c r="W33" s="81">
        <f>'30'!$F$26</f>
        <v>3.8978816718087681</v>
      </c>
      <c r="X33" s="81">
        <f>'30'!$F$27</f>
        <v>6.5802342055853531</v>
      </c>
      <c r="Y33" s="81">
        <f>'30'!$F$28</f>
        <v>6.9961524715218752</v>
      </c>
      <c r="Z33" s="81">
        <f>'30'!$F$29</f>
        <v>5.2714776384039839</v>
      </c>
      <c r="AA33" s="81">
        <f>'30'!$F$30</f>
        <v>6.5647576246976325</v>
      </c>
      <c r="AB33" s="81">
        <f>'30'!$F$31</f>
        <v>5.4346939256468838</v>
      </c>
      <c r="AC33" s="81">
        <f>'30'!$F$32</f>
        <v>6.5570409474924336</v>
      </c>
      <c r="AD33" s="102">
        <f>'30'!$F$33</f>
        <v>6.3217035711079195</v>
      </c>
    </row>
    <row r="34" spans="1:30" x14ac:dyDescent="0.2">
      <c r="A34" s="101" t="s">
        <v>1383</v>
      </c>
      <c r="B34" s="81">
        <f>'31'!$F$5</f>
        <v>19.679149721433831</v>
      </c>
      <c r="C34" s="81">
        <f>'31'!$F$6</f>
        <v>6.5216148649961188</v>
      </c>
      <c r="D34" s="81">
        <f>'31'!$F$7</f>
        <v>7.7549038627846159</v>
      </c>
      <c r="E34" s="81">
        <f>'31'!$F$8</f>
        <v>7.6037057454971366</v>
      </c>
      <c r="F34" s="81" t="str">
        <f>'31'!$F$9</f>
        <v/>
      </c>
      <c r="G34" s="81">
        <f>'31'!$F$10</f>
        <v>14.207710236853005</v>
      </c>
      <c r="H34" s="81">
        <f>'31'!$F$11</f>
        <v>12.786111040187834</v>
      </c>
      <c r="I34" s="81">
        <f>'31'!$F$12</f>
        <v>6.2182547127895473</v>
      </c>
      <c r="J34" s="81">
        <f>'31'!$F$13</f>
        <v>6.0280171019096276</v>
      </c>
      <c r="K34" s="81">
        <f>'31'!$F$14</f>
        <v>7.9043947227492746</v>
      </c>
      <c r="L34" s="81">
        <f>'31'!$F$15</f>
        <v>6.5550599191067018</v>
      </c>
      <c r="M34" s="81">
        <f>'31'!$F$16</f>
        <v>6.4921949810435464</v>
      </c>
      <c r="N34" s="81">
        <f>'31'!$F$17</f>
        <v>8.5884412187061479</v>
      </c>
      <c r="O34" s="81">
        <f>'31'!$F$18</f>
        <v>10.601928986203188</v>
      </c>
      <c r="P34" s="81">
        <f>'31'!$F$19</f>
        <v>15.947931747650978</v>
      </c>
      <c r="Q34" s="81">
        <f>'31'!$F$20</f>
        <v>8.9840879869650223</v>
      </c>
      <c r="R34" s="81" t="str">
        <f>'31'!$F$21</f>
        <v/>
      </c>
      <c r="S34" s="81">
        <f>'31'!$F$22</f>
        <v>11.718086017699166</v>
      </c>
      <c r="T34" s="81">
        <f>'31'!$F$23</f>
        <v>8.1868749172617044</v>
      </c>
      <c r="U34" s="81">
        <f>'31'!$F$24</f>
        <v>11.285411518682615</v>
      </c>
      <c r="V34" s="81" t="str">
        <f>'31'!$F$25</f>
        <v/>
      </c>
      <c r="W34" s="81">
        <f>'31'!$F$26</f>
        <v>11.139885794177845</v>
      </c>
      <c r="X34" s="81">
        <f>'31'!$F$27</f>
        <v>6.6862631089926614</v>
      </c>
      <c r="Y34" s="81">
        <f>'31'!$F$28</f>
        <v>9.5657552984288117</v>
      </c>
      <c r="Z34" s="81">
        <f>'31'!$F$29</f>
        <v>6.0552669119027138</v>
      </c>
      <c r="AA34" s="81">
        <f>'31'!$F$30</f>
        <v>9.8958406986762384</v>
      </c>
      <c r="AB34" s="81">
        <f>'31'!$F$31</f>
        <v>5.0095355902689507</v>
      </c>
      <c r="AC34" s="81">
        <f>'31'!$F$32</f>
        <v>5.4624880625909062</v>
      </c>
      <c r="AD34" s="102">
        <f>'31'!$F$33</f>
        <v>7.8408543571603371</v>
      </c>
    </row>
    <row r="35" spans="1:30" x14ac:dyDescent="0.2">
      <c r="A35" s="101" t="s">
        <v>1407</v>
      </c>
      <c r="B35" s="81">
        <f>'32'!$F$5</f>
        <v>8.4560058913812561</v>
      </c>
      <c r="C35" s="81">
        <f>'32'!$F$6</f>
        <v>11.771184304659057</v>
      </c>
      <c r="D35" s="81">
        <f>'32'!$F$7</f>
        <v>8.5222511696411267</v>
      </c>
      <c r="E35" s="81">
        <f>'32'!$F$8</f>
        <v>11.183928497623452</v>
      </c>
      <c r="F35" s="81">
        <f>'32'!$F$9</f>
        <v>7.6890249427031847</v>
      </c>
      <c r="G35" s="81">
        <f>'32'!$F$10</f>
        <v>5.8139896820036121</v>
      </c>
      <c r="H35" s="81">
        <f>'32'!$F$11</f>
        <v>7.7057664270623327</v>
      </c>
      <c r="I35" s="81">
        <f>'32'!$F$12</f>
        <v>6.111683597419824</v>
      </c>
      <c r="J35" s="81">
        <f>'32'!$F$13</f>
        <v>8.7589943755086193</v>
      </c>
      <c r="K35" s="81" t="str">
        <f>'32'!$F$14</f>
        <v/>
      </c>
      <c r="L35" s="81">
        <f>'32'!$F$15</f>
        <v>8.7316061627577923</v>
      </c>
      <c r="M35" s="81">
        <f>'32'!$F$16</f>
        <v>9.5946113995697662</v>
      </c>
      <c r="N35" s="81">
        <f>'32'!$F$17</f>
        <v>9.144560271721522</v>
      </c>
      <c r="O35" s="81">
        <f>'32'!$F$18</f>
        <v>14.554376822347878</v>
      </c>
      <c r="P35" s="81" t="str">
        <f>'32'!$F$19</f>
        <v/>
      </c>
      <c r="Q35" s="81">
        <f>'32'!$F$20</f>
        <v>11.743313025751943</v>
      </c>
      <c r="R35" s="81">
        <f>'32'!$F$21</f>
        <v>7.5476558950841373</v>
      </c>
      <c r="S35" s="81">
        <f>'32'!$F$22</f>
        <v>10.335967570758612</v>
      </c>
      <c r="T35" s="81">
        <f>'32'!$F$23</f>
        <v>9.552733293536166</v>
      </c>
      <c r="U35" s="81">
        <f>'32'!$F$24</f>
        <v>8.4166903368651766</v>
      </c>
      <c r="V35" s="81">
        <f>'32'!$F$25</f>
        <v>23.123825196265855</v>
      </c>
      <c r="W35" s="81">
        <f>'32'!$F$26</f>
        <v>9.091281332479543</v>
      </c>
      <c r="X35" s="81">
        <f>'32'!$F$27</f>
        <v>11.385329871873466</v>
      </c>
      <c r="Y35" s="81">
        <f>'32'!$F$28</f>
        <v>12.753908594020265</v>
      </c>
      <c r="Z35" s="81">
        <f>'32'!$F$29</f>
        <v>8.5484596481768573</v>
      </c>
      <c r="AA35" s="81">
        <f>'32'!$F$30</f>
        <v>11.130400265985754</v>
      </c>
      <c r="AB35" s="81">
        <f>'32'!$F$31</f>
        <v>8.6718479645887054</v>
      </c>
      <c r="AC35" s="81">
        <f>'32'!$F$32</f>
        <v>11.506884607755646</v>
      </c>
      <c r="AD35" s="102">
        <f>'32'!$F$33</f>
        <v>10.121321084889296</v>
      </c>
    </row>
    <row r="36" spans="1:30" x14ac:dyDescent="0.2">
      <c r="A36" s="101" t="s">
        <v>1408</v>
      </c>
      <c r="B36" s="81">
        <f>'33'!$F$5</f>
        <v>14.909081906084225</v>
      </c>
      <c r="C36" s="81">
        <f>'33'!$F$6</f>
        <v>13.106522728343361</v>
      </c>
      <c r="D36" s="81">
        <f>'33'!$F$7</f>
        <v>6.9741650191172164</v>
      </c>
      <c r="E36" s="81">
        <f>'33'!$F$8</f>
        <v>7.1880243318247912</v>
      </c>
      <c r="F36" s="81" t="str">
        <f>'33'!$F$9</f>
        <v/>
      </c>
      <c r="G36" s="81">
        <f>'33'!$F$10</f>
        <v>16.814675639364051</v>
      </c>
      <c r="H36" s="81">
        <f>'33'!$F$11</f>
        <v>15.265847218368558</v>
      </c>
      <c r="I36" s="81">
        <f>'33'!$F$12</f>
        <v>14.306775358465176</v>
      </c>
      <c r="J36" s="81">
        <f>'33'!$F$13</f>
        <v>6.5917405089927614</v>
      </c>
      <c r="K36" s="81" t="str">
        <f>'33'!$F$14</f>
        <v/>
      </c>
      <c r="L36" s="81">
        <f>'33'!$F$15</f>
        <v>8.6116102641255541</v>
      </c>
      <c r="M36" s="81">
        <f>'33'!$F$16</f>
        <v>8.0776502634442728</v>
      </c>
      <c r="N36" s="81">
        <f>'33'!$F$17</f>
        <v>8.520702827600978</v>
      </c>
      <c r="O36" s="81">
        <f>'33'!$F$18</f>
        <v>10.287486523922082</v>
      </c>
      <c r="P36" s="81" t="str">
        <f>'33'!$F$19</f>
        <v/>
      </c>
      <c r="Q36" s="81">
        <f>'33'!$F$20</f>
        <v>8.3964135859784044</v>
      </c>
      <c r="R36" s="81" t="str">
        <f>'33'!$F$21</f>
        <v/>
      </c>
      <c r="S36" s="81">
        <f>'33'!$F$22</f>
        <v>9.427766624230701</v>
      </c>
      <c r="T36" s="81">
        <f>'33'!$F$23</f>
        <v>11.9698054052914</v>
      </c>
      <c r="U36" s="81" t="str">
        <f>'33'!$F$24</f>
        <v/>
      </c>
      <c r="V36" s="81">
        <f>'33'!$F$25</f>
        <v>29.084119108465178</v>
      </c>
      <c r="W36" s="81">
        <f>'33'!$F$26</f>
        <v>29.083685080687399</v>
      </c>
      <c r="X36" s="81">
        <f>'33'!$F$27</f>
        <v>9.1863841714148169</v>
      </c>
      <c r="Y36" s="81">
        <f>'33'!$F$28</f>
        <v>6.6149827760475937</v>
      </c>
      <c r="Z36" s="81">
        <f>'33'!$F$29</f>
        <v>6.4063055318527287</v>
      </c>
      <c r="AA36" s="81">
        <f>'33'!$F$30</f>
        <v>9.101461983115037</v>
      </c>
      <c r="AB36" s="81">
        <f>'33'!$F$31</f>
        <v>6.5566026563127613</v>
      </c>
      <c r="AC36" s="81">
        <f>'33'!$F$32</f>
        <v>6.5496796848298686</v>
      </c>
      <c r="AD36" s="102">
        <f>'33'!$F$33</f>
        <v>8.4286791203782752</v>
      </c>
    </row>
    <row r="37" spans="1:30" x14ac:dyDescent="0.2">
      <c r="A37" s="101" t="s">
        <v>1386</v>
      </c>
      <c r="B37" s="81">
        <f>'34'!$F$5</f>
        <v>9.4675856904830145</v>
      </c>
      <c r="C37" s="81">
        <f>'34'!$F$6</f>
        <v>6.2284264645044658</v>
      </c>
      <c r="D37" s="81">
        <f>'34'!$F$7</f>
        <v>3.9944136037211218</v>
      </c>
      <c r="E37" s="81">
        <f>'34'!$F$8</f>
        <v>4.4800842928725713</v>
      </c>
      <c r="F37" s="81" t="str">
        <f>'34'!$F$9</f>
        <v/>
      </c>
      <c r="G37" s="81">
        <f>'34'!$F$10</f>
        <v>6.2738682331861249</v>
      </c>
      <c r="H37" s="81">
        <f>'34'!$F$11</f>
        <v>5.0797024648102029</v>
      </c>
      <c r="I37" s="81">
        <f>'34'!$F$12</f>
        <v>9.1747469938344111</v>
      </c>
      <c r="J37" s="81">
        <f>'34'!$F$13</f>
        <v>6.4287822148751941</v>
      </c>
      <c r="K37" s="81" t="str">
        <f>'34'!$F$14</f>
        <v/>
      </c>
      <c r="L37" s="81">
        <f>'34'!$F$15</f>
        <v>3.4415910771437774</v>
      </c>
      <c r="M37" s="81">
        <f>'34'!$F$16</f>
        <v>4.7452050246909643</v>
      </c>
      <c r="N37" s="81">
        <f>'34'!$F$17</f>
        <v>5.0013503225699125</v>
      </c>
      <c r="O37" s="81">
        <f>'34'!$F$18</f>
        <v>12.623912265054789</v>
      </c>
      <c r="P37" s="81" t="str">
        <f>'34'!$F$19</f>
        <v/>
      </c>
      <c r="Q37" s="81">
        <f>'34'!$F$20</f>
        <v>5.9727153404440045</v>
      </c>
      <c r="R37" s="81" t="str">
        <f>'34'!$F$21</f>
        <v/>
      </c>
      <c r="S37" s="81">
        <f>'34'!$F$22</f>
        <v>8.3526264272486408</v>
      </c>
      <c r="T37" s="81">
        <f>'34'!$F$23</f>
        <v>5.9473578732660242</v>
      </c>
      <c r="U37" s="81" t="str">
        <f>'34'!$F$24</f>
        <v/>
      </c>
      <c r="V37" s="81">
        <f>'34'!$F$25</f>
        <v>25.389219409547206</v>
      </c>
      <c r="W37" s="81">
        <f>'34'!$F$26</f>
        <v>2.1577326618426569</v>
      </c>
      <c r="X37" s="81">
        <f>'34'!$F$27</f>
        <v>5.5733970567082514</v>
      </c>
      <c r="Y37" s="81">
        <f>'34'!$F$28</f>
        <v>3.9824941655671195</v>
      </c>
      <c r="Z37" s="81">
        <f>'34'!$F$29</f>
        <v>4.4973648332414564</v>
      </c>
      <c r="AA37" s="81">
        <f>'34'!$F$30</f>
        <v>5.5107711691930632</v>
      </c>
      <c r="AB37" s="81">
        <f>'34'!$F$31</f>
        <v>3.6739141275907974</v>
      </c>
      <c r="AC37" s="81">
        <f>'34'!$F$32</f>
        <v>6.1184982659058607</v>
      </c>
      <c r="AD37" s="102">
        <f>'34'!$F$33</f>
        <v>5.0626147934199466</v>
      </c>
    </row>
    <row r="38" spans="1:30" x14ac:dyDescent="0.2">
      <c r="A38" s="101" t="s">
        <v>1409</v>
      </c>
      <c r="B38" s="81" t="str">
        <f>'35'!$F$5</f>
        <v/>
      </c>
      <c r="C38" s="81" t="str">
        <f>'35'!$F$6</f>
        <v/>
      </c>
      <c r="D38" s="81" t="str">
        <f>'35'!$F$7</f>
        <v/>
      </c>
      <c r="E38" s="81" t="str">
        <f>'35'!$F$8</f>
        <v/>
      </c>
      <c r="F38" s="81" t="str">
        <f>'35'!$F$9</f>
        <v/>
      </c>
      <c r="G38" s="81" t="str">
        <f>'35'!$F$10</f>
        <v/>
      </c>
      <c r="H38" s="81" t="str">
        <f>'35'!$F$11</f>
        <v/>
      </c>
      <c r="I38" s="81" t="str">
        <f>'35'!$F$12</f>
        <v/>
      </c>
      <c r="J38" s="81" t="str">
        <f>'35'!$F$13</f>
        <v/>
      </c>
      <c r="K38" s="81" t="str">
        <f>'35'!$F$14</f>
        <v/>
      </c>
      <c r="L38" s="81" t="str">
        <f>'35'!$F$15</f>
        <v/>
      </c>
      <c r="M38" s="81" t="str">
        <f>'35'!$F$16</f>
        <v/>
      </c>
      <c r="N38" s="81" t="str">
        <f>'35'!$F$17</f>
        <v/>
      </c>
      <c r="O38" s="81" t="str">
        <f>'35'!$F$18</f>
        <v/>
      </c>
      <c r="P38" s="81" t="str">
        <f>'35'!$F$19</f>
        <v/>
      </c>
      <c r="Q38" s="81" t="str">
        <f>'35'!$F$20</f>
        <v/>
      </c>
      <c r="R38" s="81" t="str">
        <f>'35'!$F$21</f>
        <v/>
      </c>
      <c r="S38" s="81" t="str">
        <f>'35'!$F$22</f>
        <v/>
      </c>
      <c r="T38" s="81" t="str">
        <f>'35'!$F$23</f>
        <v/>
      </c>
      <c r="U38" s="81" t="str">
        <f>'35'!$F$24</f>
        <v/>
      </c>
      <c r="V38" s="81" t="str">
        <f>'35'!$F$25</f>
        <v/>
      </c>
      <c r="W38" s="81" t="str">
        <f>'35'!$F$26</f>
        <v/>
      </c>
      <c r="X38" s="81" t="str">
        <f>'35'!$F$27</f>
        <v/>
      </c>
      <c r="Y38" s="81" t="str">
        <f>'35'!$F$28</f>
        <v/>
      </c>
      <c r="Z38" s="81" t="str">
        <f>'35'!$F$29</f>
        <v/>
      </c>
      <c r="AA38" s="81" t="str">
        <f>'35'!$F$30</f>
        <v/>
      </c>
      <c r="AB38" s="81" t="str">
        <f>'35'!$F$31</f>
        <v/>
      </c>
      <c r="AC38" s="81" t="str">
        <f>'35'!$F$32</f>
        <v/>
      </c>
      <c r="AD38" s="102" t="str">
        <f>'35'!$F$33</f>
        <v/>
      </c>
    </row>
    <row r="39" spans="1:30" x14ac:dyDescent="0.2">
      <c r="A39" s="101" t="s">
        <v>1422</v>
      </c>
      <c r="B39" s="81">
        <f>'36'!$F$5</f>
        <v>3.5922400829528414</v>
      </c>
      <c r="C39" s="81">
        <f>'36'!$F$6</f>
        <v>7.6609666242821799</v>
      </c>
      <c r="D39" s="81">
        <f>'36'!$F$7</f>
        <v>6.5702439031026154</v>
      </c>
      <c r="E39" s="81">
        <f>'36'!$F$8</f>
        <v>6.9413322547952863</v>
      </c>
      <c r="F39" s="81">
        <f>'36'!$F$9</f>
        <v>31.571898875603761</v>
      </c>
      <c r="G39" s="81">
        <f>'36'!$F$10</f>
        <v>7.1918630603838514</v>
      </c>
      <c r="H39" s="81">
        <f>'36'!$F$11</f>
        <v>9.1646663781536812</v>
      </c>
      <c r="I39" s="81">
        <f>'36'!$F$12</f>
        <v>4.2295652773274881</v>
      </c>
      <c r="J39" s="81">
        <f>'36'!$F$13</f>
        <v>8.471962721884891</v>
      </c>
      <c r="K39" s="81" t="str">
        <f>'36'!$F$14</f>
        <v/>
      </c>
      <c r="L39" s="81">
        <f>'36'!$F$15</f>
        <v>7.1997675731540589</v>
      </c>
      <c r="M39" s="81">
        <f>'36'!$F$16</f>
        <v>7.1871444856892044</v>
      </c>
      <c r="N39" s="81">
        <f>'36'!$F$17</f>
        <v>6.9329628931307283</v>
      </c>
      <c r="O39" s="81">
        <f>'36'!$F$18</f>
        <v>10.810773678774137</v>
      </c>
      <c r="P39" s="81" t="str">
        <f>'36'!$F$19</f>
        <v/>
      </c>
      <c r="Q39" s="81">
        <f>'36'!$F$20</f>
        <v>10.055902917118559</v>
      </c>
      <c r="R39" s="81">
        <f>'36'!$F$21</f>
        <v>10.407540490284816</v>
      </c>
      <c r="S39" s="81">
        <f>'36'!$F$22</f>
        <v>11.728688841458274</v>
      </c>
      <c r="T39" s="81">
        <f>'36'!$F$23</f>
        <v>7.4685319566185706</v>
      </c>
      <c r="U39" s="81">
        <f>'36'!$F$24</f>
        <v>10.352497329233218</v>
      </c>
      <c r="V39" s="81">
        <f>'36'!$F$25</f>
        <v>10.231603839042295</v>
      </c>
      <c r="W39" s="81">
        <f>'36'!$F$26</f>
        <v>5.9073182418759851</v>
      </c>
      <c r="X39" s="81">
        <f>'36'!$F$27</f>
        <v>7.5790294091794381</v>
      </c>
      <c r="Y39" s="81">
        <f>'36'!$F$28</f>
        <v>8.7129057939106396</v>
      </c>
      <c r="Z39" s="81">
        <f>'36'!$F$29</f>
        <v>6.9653563082085483</v>
      </c>
      <c r="AA39" s="81">
        <f>'36'!$F$30</f>
        <v>9.1298808151111643</v>
      </c>
      <c r="AB39" s="81">
        <f>'36'!$F$31</f>
        <v>6.975242874117062</v>
      </c>
      <c r="AC39" s="81">
        <f>'36'!$F$32</f>
        <v>6.9332126249744848</v>
      </c>
      <c r="AD39" s="102">
        <f>'36'!$F$33</f>
        <v>7.8722946492717831</v>
      </c>
    </row>
    <row r="40" spans="1:30" x14ac:dyDescent="0.2">
      <c r="A40" s="101" t="s">
        <v>1410</v>
      </c>
      <c r="B40" s="81">
        <f>'37'!$F$5</f>
        <v>11.187219485005119</v>
      </c>
      <c r="C40" s="81">
        <f>'37'!$F$6</f>
        <v>8.2729005667145614</v>
      </c>
      <c r="D40" s="81">
        <f>'37'!$F$7</f>
        <v>5.9098052192744088</v>
      </c>
      <c r="E40" s="81">
        <f>'37'!$F$8</f>
        <v>8.4216507201547888</v>
      </c>
      <c r="F40" s="81" t="str">
        <f>'37'!$F$9</f>
        <v/>
      </c>
      <c r="G40" s="81">
        <f>'37'!$F$10</f>
        <v>8.2219438105579936</v>
      </c>
      <c r="H40" s="81">
        <f>'37'!$F$11</f>
        <v>6.6135041915047958</v>
      </c>
      <c r="I40" s="81">
        <f>'37'!$F$12</f>
        <v>5.3722130997744433</v>
      </c>
      <c r="J40" s="81">
        <f>'37'!$F$13</f>
        <v>5.5081936111249066</v>
      </c>
      <c r="K40" s="81">
        <f>'37'!$F$14</f>
        <v>29.682901351742341</v>
      </c>
      <c r="L40" s="81">
        <f>'37'!$F$15</f>
        <v>7.21144181352917</v>
      </c>
      <c r="M40" s="81">
        <f>'37'!$F$16</f>
        <v>3.8942570596971708</v>
      </c>
      <c r="N40" s="81">
        <f>'37'!$F$17</f>
        <v>9.7090327158048275</v>
      </c>
      <c r="O40" s="81">
        <f>'37'!$F$18</f>
        <v>6.8269792739023796</v>
      </c>
      <c r="P40" s="81" t="str">
        <f>'37'!$F$19</f>
        <v/>
      </c>
      <c r="Q40" s="81">
        <f>'37'!$F$20</f>
        <v>5.6909653873028505</v>
      </c>
      <c r="R40" s="81">
        <f>'37'!$F$21</f>
        <v>8.0387762522011208</v>
      </c>
      <c r="S40" s="81">
        <f>'37'!$F$22</f>
        <v>6.3782766223323533</v>
      </c>
      <c r="T40" s="81">
        <f>'37'!$F$23</f>
        <v>5.3511665588617587</v>
      </c>
      <c r="U40" s="81">
        <f>'37'!$F$24</f>
        <v>6.621170123087551</v>
      </c>
      <c r="V40" s="81">
        <f>'37'!$F$25</f>
        <v>4.716220841487206</v>
      </c>
      <c r="W40" s="81">
        <f>'37'!$F$26</f>
        <v>9.7882741948666823</v>
      </c>
      <c r="X40" s="81">
        <f>'37'!$F$27</f>
        <v>12.182238200019482</v>
      </c>
      <c r="Y40" s="81">
        <f>'37'!$F$28</f>
        <v>3.932928933345575</v>
      </c>
      <c r="Z40" s="81">
        <f>'37'!$F$29</f>
        <v>6.2302376164129907</v>
      </c>
      <c r="AA40" s="81">
        <f>'37'!$F$30</f>
        <v>9.2165302380643812</v>
      </c>
      <c r="AB40" s="81">
        <f>'37'!$F$31</f>
        <v>5.1424091837839061</v>
      </c>
      <c r="AC40" s="81">
        <f>'37'!$F$32</f>
        <v>6.4361902384151648</v>
      </c>
      <c r="AD40" s="102">
        <f>'37'!$F$33</f>
        <v>6.4445363303357599</v>
      </c>
    </row>
    <row r="41" spans="1:30" x14ac:dyDescent="0.2">
      <c r="A41" s="101" t="s">
        <v>1411</v>
      </c>
      <c r="B41" s="81">
        <f>'38'!$F$5</f>
        <v>6.8370012955737858</v>
      </c>
      <c r="C41" s="81">
        <f>'38'!$F$6</f>
        <v>12.434165141111956</v>
      </c>
      <c r="D41" s="81">
        <f>'38'!$F$7</f>
        <v>6.83706091801022</v>
      </c>
      <c r="E41" s="81">
        <f>'38'!$F$8</f>
        <v>5.6892399238354621</v>
      </c>
      <c r="F41" s="81" t="str">
        <f>'38'!$F$9</f>
        <v/>
      </c>
      <c r="G41" s="81">
        <f>'38'!$F$10</f>
        <v>10.972538901401784</v>
      </c>
      <c r="H41" s="81">
        <f>'38'!$F$11</f>
        <v>6.602210610798517</v>
      </c>
      <c r="I41" s="81">
        <f>'38'!$F$12</f>
        <v>21.007166457370161</v>
      </c>
      <c r="J41" s="81">
        <f>'38'!$F$13</f>
        <v>9.4935728821429262</v>
      </c>
      <c r="K41" s="81">
        <f>'38'!$F$14</f>
        <v>8.1713656039804317</v>
      </c>
      <c r="L41" s="81">
        <f>'38'!$F$15</f>
        <v>6.1145407596570198</v>
      </c>
      <c r="M41" s="81">
        <f>'38'!$F$16</f>
        <v>8.4746860733087086</v>
      </c>
      <c r="N41" s="81">
        <f>'38'!$F$17</f>
        <v>6.5477440911133966</v>
      </c>
      <c r="O41" s="81">
        <f>'38'!$F$18</f>
        <v>12.113153461553699</v>
      </c>
      <c r="P41" s="81" t="str">
        <f>'38'!$F$19</f>
        <v/>
      </c>
      <c r="Q41" s="81">
        <f>'38'!$F$20</f>
        <v>10.716829511269388</v>
      </c>
      <c r="R41" s="81">
        <f>'38'!$F$21</f>
        <v>20.236086526440328</v>
      </c>
      <c r="S41" s="81">
        <f>'38'!$F$22</f>
        <v>14.507751363427753</v>
      </c>
      <c r="T41" s="81">
        <f>'38'!$F$23</f>
        <v>6.0270590840367149</v>
      </c>
      <c r="U41" s="81">
        <f>'38'!$F$24</f>
        <v>8.2601079976077703</v>
      </c>
      <c r="V41" s="81">
        <f>'38'!$F$25</f>
        <v>8.4636323258131441</v>
      </c>
      <c r="W41" s="81">
        <f>'38'!$F$26</f>
        <v>7.7592191395874428</v>
      </c>
      <c r="X41" s="81">
        <f>'38'!$F$27</f>
        <v>9.8524209490982795</v>
      </c>
      <c r="Y41" s="81">
        <f>'38'!$F$28</f>
        <v>6.770470014788267</v>
      </c>
      <c r="Z41" s="81">
        <f>'38'!$F$29</f>
        <v>7.041549619398582</v>
      </c>
      <c r="AA41" s="81">
        <f>'38'!$F$30</f>
        <v>7.5973578911280484</v>
      </c>
      <c r="AB41" s="81">
        <f>'38'!$F$31</f>
        <v>6.9916010562602677</v>
      </c>
      <c r="AC41" s="81">
        <f>'38'!$F$32</f>
        <v>6.599060378724273</v>
      </c>
      <c r="AD41" s="102">
        <f>'38'!$F$33</f>
        <v>7.6231549531990028</v>
      </c>
    </row>
    <row r="42" spans="1:30" x14ac:dyDescent="0.2">
      <c r="A42" s="101" t="s">
        <v>1387</v>
      </c>
      <c r="B42" s="81">
        <f>'39'!$F$5</f>
        <v>7.6750067164160987</v>
      </c>
      <c r="C42" s="81">
        <f>'39'!$F$6</f>
        <v>9.4451073655268871</v>
      </c>
      <c r="D42" s="81">
        <f>'39'!$F$7</f>
        <v>6.8105457163226362</v>
      </c>
      <c r="E42" s="81">
        <f>'39'!$F$8</f>
        <v>7.7962556338220512</v>
      </c>
      <c r="F42" s="81" t="str">
        <f>'39'!$F$9</f>
        <v/>
      </c>
      <c r="G42" s="81">
        <f>'39'!$F$10</f>
        <v>8.3402193900272099</v>
      </c>
      <c r="H42" s="81">
        <f>'39'!$F$11</f>
        <v>5.6692035823746929</v>
      </c>
      <c r="I42" s="81">
        <f>'39'!$F$12</f>
        <v>12.019101965784785</v>
      </c>
      <c r="J42" s="81">
        <f>'39'!$F$13</f>
        <v>6.638589666436725</v>
      </c>
      <c r="K42" s="81">
        <f>'39'!$F$14</f>
        <v>10.095037098360542</v>
      </c>
      <c r="L42" s="81">
        <f>'39'!$F$15</f>
        <v>6.984267009074828</v>
      </c>
      <c r="M42" s="81">
        <f>'39'!$F$16</f>
        <v>8.3805197709136348</v>
      </c>
      <c r="N42" s="81">
        <f>'39'!$F$17</f>
        <v>3.4845614164061058</v>
      </c>
      <c r="O42" s="81">
        <f>'39'!$F$18</f>
        <v>17.728970018483718</v>
      </c>
      <c r="P42" s="81" t="str">
        <f>'39'!$F$19</f>
        <v/>
      </c>
      <c r="Q42" s="81">
        <f>'39'!$F$20</f>
        <v>9.9155335078520963</v>
      </c>
      <c r="R42" s="81" t="str">
        <f>'39'!$F$21</f>
        <v/>
      </c>
      <c r="S42" s="81">
        <f>'39'!$F$22</f>
        <v>10.792943154214182</v>
      </c>
      <c r="T42" s="81">
        <f>'39'!$F$23</f>
        <v>9.7335173294721216</v>
      </c>
      <c r="U42" s="81">
        <f>'39'!$F$24</f>
        <v>8.2778667640893744</v>
      </c>
      <c r="V42" s="81">
        <f>'39'!$F$25</f>
        <v>11.723456322332265</v>
      </c>
      <c r="W42" s="81">
        <f>'39'!$F$26</f>
        <v>6.7799163597241785</v>
      </c>
      <c r="X42" s="81">
        <f>'39'!$F$27</f>
        <v>7.405127482037889</v>
      </c>
      <c r="Y42" s="81">
        <f>'39'!$F$28</f>
        <v>6.3503546861838887</v>
      </c>
      <c r="Z42" s="81">
        <f>'39'!$F$29</f>
        <v>6.1412973791355565</v>
      </c>
      <c r="AA42" s="81">
        <f>'39'!$F$30</f>
        <v>6.1341722799717848</v>
      </c>
      <c r="AB42" s="81">
        <f>'39'!$F$31</f>
        <v>6.1242370545363798</v>
      </c>
      <c r="AC42" s="81">
        <f>'39'!$F$32</f>
        <v>5.5419654673329877</v>
      </c>
      <c r="AD42" s="102">
        <f>'39'!$F$33</f>
        <v>7.2812931555304816</v>
      </c>
    </row>
    <row r="43" spans="1:30" x14ac:dyDescent="0.2">
      <c r="A43" s="101" t="s">
        <v>1423</v>
      </c>
      <c r="B43" s="81">
        <f>'40'!$F$5</f>
        <v>8.0380365783022629</v>
      </c>
      <c r="C43" s="81">
        <f>'40'!$F$6</f>
        <v>17.851340043835691</v>
      </c>
      <c r="D43" s="81">
        <f>'40'!$F$7</f>
        <v>8.170126213247082</v>
      </c>
      <c r="E43" s="81">
        <f>'40'!$F$8</f>
        <v>7.3545764922955223</v>
      </c>
      <c r="F43" s="81" t="str">
        <f>'40'!$F$9</f>
        <v/>
      </c>
      <c r="G43" s="81">
        <f>'40'!$F$10</f>
        <v>10.122003968867457</v>
      </c>
      <c r="H43" s="81">
        <f>'40'!$F$11</f>
        <v>10.624617786860028</v>
      </c>
      <c r="I43" s="81">
        <f>'40'!$F$12</f>
        <v>5.5586731509956593</v>
      </c>
      <c r="J43" s="81">
        <f>'40'!$F$13</f>
        <v>9.2228217157535148</v>
      </c>
      <c r="K43" s="81">
        <f>'40'!$F$14</f>
        <v>10.451978832149816</v>
      </c>
      <c r="L43" s="81">
        <f>'40'!$F$15</f>
        <v>11.07020125729316</v>
      </c>
      <c r="M43" s="81">
        <f>'40'!$F$16</f>
        <v>8.4179982337968902</v>
      </c>
      <c r="N43" s="81">
        <f>'40'!$F$17</f>
        <v>8.1070466437745594</v>
      </c>
      <c r="O43" s="81">
        <f>'40'!$F$18</f>
        <v>16.922449155317857</v>
      </c>
      <c r="P43" s="81">
        <f>'40'!$F$19</f>
        <v>24.721972260354363</v>
      </c>
      <c r="Q43" s="81">
        <f>'40'!$F$20</f>
        <v>13.356103026202653</v>
      </c>
      <c r="R43" s="81">
        <f>'40'!$F$21</f>
        <v>19.424293897884638</v>
      </c>
      <c r="S43" s="81" t="str">
        <f>'40'!$F$22</f>
        <v/>
      </c>
      <c r="T43" s="81">
        <f>'40'!$F$23</f>
        <v>8.3012379102408662</v>
      </c>
      <c r="U43" s="81">
        <f>'40'!$F$24</f>
        <v>11.404497229241166</v>
      </c>
      <c r="V43" s="81">
        <f>'40'!$F$25</f>
        <v>10.418230551373473</v>
      </c>
      <c r="W43" s="81">
        <f>'40'!$F$26</f>
        <v>4.6991591351137743</v>
      </c>
      <c r="X43" s="81">
        <f>'40'!$F$27</f>
        <v>8.8411936177904682</v>
      </c>
      <c r="Y43" s="81">
        <f>'40'!$F$28</f>
        <v>13.651364375278332</v>
      </c>
      <c r="Z43" s="81">
        <f>'40'!$F$29</f>
        <v>7.5974685043314745</v>
      </c>
      <c r="AA43" s="81">
        <f>'40'!$F$30</f>
        <v>9.8054527441280559</v>
      </c>
      <c r="AB43" s="81">
        <f>'40'!$F$31</f>
        <v>8.3012350523181802</v>
      </c>
      <c r="AC43" s="81">
        <f>'40'!$F$32</f>
        <v>8.41799973365789</v>
      </c>
      <c r="AD43" s="102">
        <f>'40'!$F$33</f>
        <v>8.8548684721138429</v>
      </c>
    </row>
    <row r="44" spans="1:30" x14ac:dyDescent="0.2">
      <c r="A44" s="101" t="s">
        <v>1388</v>
      </c>
      <c r="B44" s="81">
        <f>'41'!$F$5</f>
        <v>7.1199134937775206</v>
      </c>
      <c r="C44" s="81" t="str">
        <f>'41'!$F$6</f>
        <v/>
      </c>
      <c r="D44" s="81">
        <f>'41'!$F$7</f>
        <v>7.0302866291964197</v>
      </c>
      <c r="E44" s="81">
        <f>'41'!$F$8</f>
        <v>5.7648482514225732</v>
      </c>
      <c r="F44" s="81" t="str">
        <f>'41'!$F$9</f>
        <v/>
      </c>
      <c r="G44" s="81">
        <f>'41'!$F$10</f>
        <v>9.5130552183089208</v>
      </c>
      <c r="H44" s="81">
        <f>'41'!$F$11</f>
        <v>6.5738059759529071</v>
      </c>
      <c r="I44" s="81" t="str">
        <f>'41'!$F$12</f>
        <v/>
      </c>
      <c r="J44" s="81">
        <f>'41'!$F$13</f>
        <v>6.7335113857224931</v>
      </c>
      <c r="K44" s="81" t="str">
        <f>'41'!$F$14</f>
        <v/>
      </c>
      <c r="L44" s="81">
        <f>'41'!$F$15</f>
        <v>14.932438266266978</v>
      </c>
      <c r="M44" s="81">
        <f>'41'!$F$16</f>
        <v>5.5693372570045439</v>
      </c>
      <c r="N44" s="81">
        <f>'41'!$F$17</f>
        <v>6.9286659115724909</v>
      </c>
      <c r="O44" s="81">
        <f>'41'!$F$18</f>
        <v>10.126121005330331</v>
      </c>
      <c r="P44" s="81">
        <f>'41'!$F$19</f>
        <v>26.626621521892559</v>
      </c>
      <c r="Q44" s="81">
        <f>'41'!$F$20</f>
        <v>7.6572055597327795</v>
      </c>
      <c r="R44" s="81">
        <f>'41'!$F$21</f>
        <v>11.008232641023771</v>
      </c>
      <c r="S44" s="81">
        <f>'41'!$F$22</f>
        <v>9.440606515666726</v>
      </c>
      <c r="T44" s="81">
        <f>'41'!$F$23</f>
        <v>7.3809244626762522</v>
      </c>
      <c r="U44" s="81" t="str">
        <f>'41'!$F$24</f>
        <v/>
      </c>
      <c r="V44" s="81">
        <f>'41'!$F$25</f>
        <v>7.4339235940308779</v>
      </c>
      <c r="W44" s="81">
        <f>'41'!$F$26</f>
        <v>7.6986445834991111</v>
      </c>
      <c r="X44" s="81">
        <f>'41'!$F$27</f>
        <v>8.3667338273879484</v>
      </c>
      <c r="Y44" s="81">
        <f>'41'!$F$28</f>
        <v>6.7468544620791837</v>
      </c>
      <c r="Z44" s="81">
        <f>'41'!$F$29</f>
        <v>6.1968250737135389</v>
      </c>
      <c r="AA44" s="81">
        <f>'41'!$F$30</f>
        <v>9.3910036636535601</v>
      </c>
      <c r="AB44" s="81">
        <f>'41'!$F$31</f>
        <v>6.6064431832876389</v>
      </c>
      <c r="AC44" s="81">
        <f>'41'!$F$32</f>
        <v>7.4537267881958673</v>
      </c>
      <c r="AD44" s="102">
        <f>'41'!$F$33</f>
        <v>7.2871588099100659</v>
      </c>
    </row>
    <row r="45" spans="1:30" x14ac:dyDescent="0.2">
      <c r="A45" s="101" t="s">
        <v>1412</v>
      </c>
      <c r="B45" s="81" t="str">
        <f>'42'!$F$5</f>
        <v/>
      </c>
      <c r="C45" s="81" t="str">
        <f>'42'!$F$6</f>
        <v/>
      </c>
      <c r="D45" s="81" t="str">
        <f>'42'!$F$7</f>
        <v/>
      </c>
      <c r="E45" s="81" t="str">
        <f>'42'!$F$8</f>
        <v/>
      </c>
      <c r="F45" s="81" t="str">
        <f>'42'!$F$9</f>
        <v/>
      </c>
      <c r="G45" s="81" t="str">
        <f>'42'!$F$10</f>
        <v/>
      </c>
      <c r="H45" s="81" t="str">
        <f>'42'!$F$11</f>
        <v/>
      </c>
      <c r="I45" s="81" t="str">
        <f>'42'!$F$12</f>
        <v/>
      </c>
      <c r="J45" s="81" t="str">
        <f>'42'!$F$13</f>
        <v/>
      </c>
      <c r="K45" s="81" t="str">
        <f>'42'!$F$14</f>
        <v/>
      </c>
      <c r="L45" s="81" t="str">
        <f>'42'!$F$15</f>
        <v/>
      </c>
      <c r="M45" s="81" t="str">
        <f>'42'!$F$16</f>
        <v/>
      </c>
      <c r="N45" s="81" t="str">
        <f>'42'!$F$17</f>
        <v/>
      </c>
      <c r="O45" s="81" t="str">
        <f>'42'!$F$18</f>
        <v/>
      </c>
      <c r="P45" s="81" t="str">
        <f>'42'!$F$19</f>
        <v/>
      </c>
      <c r="Q45" s="81" t="str">
        <f>'42'!$F$20</f>
        <v/>
      </c>
      <c r="R45" s="81" t="str">
        <f>'42'!$F$21</f>
        <v/>
      </c>
      <c r="S45" s="81" t="str">
        <f>'42'!$F$22</f>
        <v/>
      </c>
      <c r="T45" s="81" t="str">
        <f>'42'!$F$23</f>
        <v/>
      </c>
      <c r="U45" s="81" t="str">
        <f>'42'!$F$24</f>
        <v/>
      </c>
      <c r="V45" s="81" t="str">
        <f>'42'!$F$25</f>
        <v/>
      </c>
      <c r="W45" s="81" t="str">
        <f>'42'!$F$26</f>
        <v/>
      </c>
      <c r="X45" s="81" t="str">
        <f>'42'!$F$27</f>
        <v/>
      </c>
      <c r="Y45" s="81" t="str">
        <f>'42'!$F$28</f>
        <v/>
      </c>
      <c r="Z45" s="81" t="str">
        <f>'42'!$F$29</f>
        <v/>
      </c>
      <c r="AA45" s="81" t="str">
        <f>'42'!$F$30</f>
        <v/>
      </c>
      <c r="AB45" s="81" t="str">
        <f>'42'!$F$31</f>
        <v/>
      </c>
      <c r="AC45" s="81" t="str">
        <f>'42'!$F$32</f>
        <v/>
      </c>
      <c r="AD45" s="102" t="str">
        <f>'42'!$F$33</f>
        <v/>
      </c>
    </row>
    <row r="46" spans="1:30" x14ac:dyDescent="0.2">
      <c r="A46" s="101" t="s">
        <v>1413</v>
      </c>
      <c r="B46" s="81" t="str">
        <f>'43'!$F$5</f>
        <v/>
      </c>
      <c r="C46" s="81" t="str">
        <f>'43'!$F$6</f>
        <v/>
      </c>
      <c r="D46" s="81" t="str">
        <f>'43'!$F$7</f>
        <v/>
      </c>
      <c r="E46" s="81" t="str">
        <f>'43'!$F$8</f>
        <v/>
      </c>
      <c r="F46" s="81" t="str">
        <f>'43'!$F$9</f>
        <v/>
      </c>
      <c r="G46" s="81" t="str">
        <f>'43'!$F$10</f>
        <v/>
      </c>
      <c r="H46" s="81" t="str">
        <f>'43'!$F$11</f>
        <v/>
      </c>
      <c r="I46" s="81" t="str">
        <f>'43'!$F$12</f>
        <v/>
      </c>
      <c r="J46" s="81" t="str">
        <f>'43'!$F$13</f>
        <v/>
      </c>
      <c r="K46" s="81" t="str">
        <f>'43'!$F$14</f>
        <v/>
      </c>
      <c r="L46" s="81" t="str">
        <f>'43'!$F$15</f>
        <v/>
      </c>
      <c r="M46" s="81" t="str">
        <f>'43'!$F$16</f>
        <v/>
      </c>
      <c r="N46" s="81" t="str">
        <f>'43'!$F$17</f>
        <v/>
      </c>
      <c r="O46" s="81" t="str">
        <f>'43'!$F$18</f>
        <v/>
      </c>
      <c r="P46" s="81" t="str">
        <f>'43'!$F$19</f>
        <v/>
      </c>
      <c r="Q46" s="81" t="str">
        <f>'43'!$F$20</f>
        <v/>
      </c>
      <c r="R46" s="81" t="str">
        <f>'43'!$F$21</f>
        <v/>
      </c>
      <c r="S46" s="81" t="str">
        <f>'43'!$F$22</f>
        <v/>
      </c>
      <c r="T46" s="81" t="str">
        <f>'43'!$F$23</f>
        <v/>
      </c>
      <c r="U46" s="81" t="str">
        <f>'43'!$F$24</f>
        <v/>
      </c>
      <c r="V46" s="81" t="str">
        <f>'43'!$F$25</f>
        <v/>
      </c>
      <c r="W46" s="81" t="str">
        <f>'43'!$F$26</f>
        <v/>
      </c>
      <c r="X46" s="81" t="str">
        <f>'43'!$F$27</f>
        <v/>
      </c>
      <c r="Y46" s="81" t="str">
        <f>'43'!$F$28</f>
        <v/>
      </c>
      <c r="Z46" s="81" t="str">
        <f>'43'!$F$29</f>
        <v/>
      </c>
      <c r="AA46" s="81" t="str">
        <f>'43'!$F$30</f>
        <v/>
      </c>
      <c r="AB46" s="81" t="str">
        <f>'43'!$F$31</f>
        <v/>
      </c>
      <c r="AC46" s="81" t="str">
        <f>'43'!$F$32</f>
        <v/>
      </c>
      <c r="AD46" s="102" t="str">
        <f>'43'!$F$33</f>
        <v/>
      </c>
    </row>
    <row r="47" spans="1:30" x14ac:dyDescent="0.2">
      <c r="A47" s="101" t="s">
        <v>1424</v>
      </c>
      <c r="B47" s="81">
        <f>'44'!$F$5</f>
        <v>5.8061980503296944</v>
      </c>
      <c r="C47" s="81">
        <f>'44'!$F$6</f>
        <v>4.8843917539414266</v>
      </c>
      <c r="D47" s="81">
        <f>'44'!$F$7</f>
        <v>5.7281035480360023</v>
      </c>
      <c r="E47" s="81">
        <f>'44'!$F$8</f>
        <v>6.0324291933874408</v>
      </c>
      <c r="F47" s="81" t="str">
        <f>'44'!$F$9</f>
        <v/>
      </c>
      <c r="G47" s="81">
        <f>'44'!$F$10</f>
        <v>12.198795164872424</v>
      </c>
      <c r="H47" s="81">
        <f>'44'!$F$11</f>
        <v>4.8436290594218052</v>
      </c>
      <c r="I47" s="81">
        <f>'44'!$F$12</f>
        <v>5.5773408641187938</v>
      </c>
      <c r="J47" s="81">
        <f>'44'!$F$13</f>
        <v>5.5188580937689977</v>
      </c>
      <c r="K47" s="81" t="str">
        <f>'44'!$F$14</f>
        <v/>
      </c>
      <c r="L47" s="81">
        <f>'44'!$F$15</f>
        <v>5.0425204105949115</v>
      </c>
      <c r="M47" s="81">
        <f>'44'!$F$16</f>
        <v>5.5087002040371766</v>
      </c>
      <c r="N47" s="81">
        <f>'44'!$F$17</f>
        <v>4.8689326625432052</v>
      </c>
      <c r="O47" s="81">
        <f>'44'!$F$18</f>
        <v>7.7684755287193763</v>
      </c>
      <c r="P47" s="81" t="str">
        <f>'44'!$F$19</f>
        <v/>
      </c>
      <c r="Q47" s="81">
        <f>'44'!$F$20</f>
        <v>5.2792484563754698</v>
      </c>
      <c r="R47" s="81" t="str">
        <f>'44'!$F$21</f>
        <v/>
      </c>
      <c r="S47" s="81">
        <f>'44'!$F$22</f>
        <v>6.6109886223915515</v>
      </c>
      <c r="T47" s="81">
        <f>'44'!$F$23</f>
        <v>6.2087277984937099</v>
      </c>
      <c r="U47" s="81">
        <f>'44'!$F$24</f>
        <v>4.9733737984484785</v>
      </c>
      <c r="V47" s="81" t="str">
        <f>'44'!$F$25</f>
        <v/>
      </c>
      <c r="W47" s="81">
        <f>'44'!$F$26</f>
        <v>7.0275673122793041</v>
      </c>
      <c r="X47" s="81">
        <f>'44'!$F$27</f>
        <v>7.8418916228748312</v>
      </c>
      <c r="Y47" s="81">
        <f>'44'!$F$28</f>
        <v>5.9249070106873356</v>
      </c>
      <c r="Z47" s="81">
        <f>'44'!$F$29</f>
        <v>5.4028876247974811</v>
      </c>
      <c r="AA47" s="81">
        <f>'44'!$F$30</f>
        <v>7.605147562038078</v>
      </c>
      <c r="AB47" s="81">
        <f>'44'!$F$31</f>
        <v>5.4997873607508732</v>
      </c>
      <c r="AC47" s="81">
        <f>'44'!$F$32</f>
        <v>6.8294139289989859</v>
      </c>
      <c r="AD47" s="102">
        <f>'44'!$F$33</f>
        <v>5.8511225215229823</v>
      </c>
    </row>
    <row r="48" spans="1:30" x14ac:dyDescent="0.2">
      <c r="A48" s="101" t="s">
        <v>1389</v>
      </c>
      <c r="B48" s="81">
        <f>'45'!$F$5</f>
        <v>5.6539715156776174</v>
      </c>
      <c r="C48" s="81">
        <f>'45'!$F$6</f>
        <v>9.6273492251700148</v>
      </c>
      <c r="D48" s="81">
        <f>'45'!$F$7</f>
        <v>6.8300856944444996</v>
      </c>
      <c r="E48" s="81">
        <f>'45'!$F$8</f>
        <v>6.2225274549313756</v>
      </c>
      <c r="F48" s="81" t="str">
        <f>'45'!$F$9</f>
        <v/>
      </c>
      <c r="G48" s="81">
        <f>'45'!$F$10</f>
        <v>16.686444081057413</v>
      </c>
      <c r="H48" s="81">
        <f>'45'!$F$11</f>
        <v>10.118741419566961</v>
      </c>
      <c r="I48" s="81">
        <f>'45'!$F$12</f>
        <v>5.4030336565813677</v>
      </c>
      <c r="J48" s="81">
        <f>'45'!$F$13</f>
        <v>7.6670521875714011</v>
      </c>
      <c r="K48" s="81">
        <f>'45'!$F$14</f>
        <v>5.4029465803353585</v>
      </c>
      <c r="L48" s="81">
        <f>'45'!$F$15</f>
        <v>8.0535536061289008</v>
      </c>
      <c r="M48" s="81">
        <f>'45'!$F$16</f>
        <v>7.8281944480301622</v>
      </c>
      <c r="N48" s="81">
        <f>'45'!$F$17</f>
        <v>6.2740507257670144</v>
      </c>
      <c r="O48" s="81">
        <f>'45'!$F$18</f>
        <v>10.688606701903645</v>
      </c>
      <c r="P48" s="81">
        <f>'45'!$F$19</f>
        <v>15.084823379312903</v>
      </c>
      <c r="Q48" s="81">
        <f>'45'!$F$20</f>
        <v>8.7861770056591606</v>
      </c>
      <c r="R48" s="81">
        <f>'45'!$F$21</f>
        <v>9.0283770251358195</v>
      </c>
      <c r="S48" s="81">
        <f>'45'!$F$22</f>
        <v>7.4728505448289573</v>
      </c>
      <c r="T48" s="81">
        <f>'45'!$F$23</f>
        <v>7.3394445378540025</v>
      </c>
      <c r="U48" s="81">
        <f>'45'!$F$24</f>
        <v>8.2444247403432573</v>
      </c>
      <c r="V48" s="81">
        <f>'45'!$F$25</f>
        <v>5.3894080657408594</v>
      </c>
      <c r="W48" s="81">
        <f>'45'!$F$26</f>
        <v>5.4003438942453146</v>
      </c>
      <c r="X48" s="81">
        <f>'45'!$F$27</f>
        <v>13.054466678579791</v>
      </c>
      <c r="Y48" s="81">
        <f>'45'!$F$28</f>
        <v>8.2029744973810352</v>
      </c>
      <c r="Z48" s="81">
        <f>'45'!$F$29</f>
        <v>6.9882881092146585</v>
      </c>
      <c r="AA48" s="81">
        <f>'45'!$F$30</f>
        <v>8.4639476104791935</v>
      </c>
      <c r="AB48" s="81">
        <f>'45'!$F$31</f>
        <v>7.6583620812725126</v>
      </c>
      <c r="AC48" s="81">
        <f>'45'!$F$32</f>
        <v>6.1831680277546521</v>
      </c>
      <c r="AD48" s="102">
        <f>'45'!$F$33</f>
        <v>7.8012179988687596</v>
      </c>
    </row>
    <row r="49" spans="1:30" x14ac:dyDescent="0.2">
      <c r="A49" s="101" t="s">
        <v>1414</v>
      </c>
      <c r="B49" s="81">
        <f>'46'!$F$5</f>
        <v>7.7588020875546038</v>
      </c>
      <c r="C49" s="81">
        <f>'46'!$F$6</f>
        <v>7.2283347986517308</v>
      </c>
      <c r="D49" s="81">
        <f>'46'!$F$7</f>
        <v>6.0736074046727451</v>
      </c>
      <c r="E49" s="81">
        <f>'46'!$F$8</f>
        <v>3.6258165402633535</v>
      </c>
      <c r="F49" s="81" t="str">
        <f>'46'!$F$9</f>
        <v/>
      </c>
      <c r="G49" s="81">
        <f>'46'!$F$10</f>
        <v>6.2043000578259466</v>
      </c>
      <c r="H49" s="81">
        <f>'46'!$F$11</f>
        <v>6.101784926566145</v>
      </c>
      <c r="I49" s="81">
        <f>'46'!$F$12</f>
        <v>7.4711821964287068</v>
      </c>
      <c r="J49" s="81">
        <f>'46'!$F$13</f>
        <v>6.2980822100122307</v>
      </c>
      <c r="K49" s="81" t="str">
        <f>'46'!$F$14</f>
        <v/>
      </c>
      <c r="L49" s="81">
        <f>'46'!$F$15</f>
        <v>5.1430514709535009</v>
      </c>
      <c r="M49" s="81">
        <f>'46'!$F$16</f>
        <v>6.7689356773703429</v>
      </c>
      <c r="N49" s="81">
        <f>'46'!$F$17</f>
        <v>6.222185142207957</v>
      </c>
      <c r="O49" s="81">
        <f>'46'!$F$18</f>
        <v>7.3230238445929476</v>
      </c>
      <c r="P49" s="81" t="str">
        <f>'46'!$F$19</f>
        <v/>
      </c>
      <c r="Q49" s="81">
        <f>'46'!$F$20</f>
        <v>6.8313585738284743</v>
      </c>
      <c r="R49" s="81" t="str">
        <f>'46'!$F$21</f>
        <v/>
      </c>
      <c r="S49" s="81">
        <f>'46'!$F$22</f>
        <v>6.5989018826675823</v>
      </c>
      <c r="T49" s="81">
        <f>'46'!$F$23</f>
        <v>8.6131680150996921</v>
      </c>
      <c r="U49" s="81">
        <f>'46'!$F$24</f>
        <v>8.3543734065730071</v>
      </c>
      <c r="V49" s="81">
        <f>'46'!$F$25</f>
        <v>3.1560413513582843</v>
      </c>
      <c r="W49" s="81">
        <f>'46'!$F$26</f>
        <v>8.5240041376178262</v>
      </c>
      <c r="X49" s="81">
        <f>'46'!$F$27</f>
        <v>6.2291254885501388</v>
      </c>
      <c r="Y49" s="81">
        <f>'46'!$F$28</f>
        <v>6.1915234439748161</v>
      </c>
      <c r="Z49" s="81">
        <f>'46'!$F$29</f>
        <v>6.2937942097575803</v>
      </c>
      <c r="AA49" s="81">
        <f>'46'!$F$30</f>
        <v>6.8230454999161667</v>
      </c>
      <c r="AB49" s="81">
        <f>'46'!$F$31</f>
        <v>5.6696290136959462</v>
      </c>
      <c r="AC49" s="81">
        <f>'46'!$F$32</f>
        <v>6.0014548494571436</v>
      </c>
      <c r="AD49" s="102">
        <f>'46'!$F$33</f>
        <v>6.0943985839981538</v>
      </c>
    </row>
    <row r="50" spans="1:30" x14ac:dyDescent="0.2">
      <c r="A50" s="101" t="s">
        <v>1415</v>
      </c>
      <c r="B50" s="81">
        <f>'47'!$F$5</f>
        <v>4.1895472901189805</v>
      </c>
      <c r="C50" s="81">
        <f>'47'!$F$6</f>
        <v>8.4253515346825409</v>
      </c>
      <c r="D50" s="81">
        <f>'47'!$F$7</f>
        <v>8.1020481072035473</v>
      </c>
      <c r="E50" s="81">
        <f>'47'!$F$8</f>
        <v>7.0661910939454984</v>
      </c>
      <c r="F50" s="81" t="str">
        <f>'47'!$F$9</f>
        <v/>
      </c>
      <c r="G50" s="81">
        <f>'47'!$F$10</f>
        <v>10.108598232198533</v>
      </c>
      <c r="H50" s="81">
        <f>'47'!$F$11</f>
        <v>12.488722183297115</v>
      </c>
      <c r="I50" s="81">
        <f>'47'!$F$12</f>
        <v>20.574386940264752</v>
      </c>
      <c r="J50" s="81">
        <f>'47'!$F$13</f>
        <v>4.297883874850414</v>
      </c>
      <c r="K50" s="81" t="str">
        <f>'47'!$F$14</f>
        <v/>
      </c>
      <c r="L50" s="81">
        <f>'47'!$F$15</f>
        <v>6.0119611542515798</v>
      </c>
      <c r="M50" s="81">
        <f>'47'!$F$16</f>
        <v>9.1822938583741305</v>
      </c>
      <c r="N50" s="81">
        <f>'47'!$F$17</f>
        <v>4.1895472901189805</v>
      </c>
      <c r="O50" s="81">
        <f>'47'!$F$18</f>
        <v>12.368451733669801</v>
      </c>
      <c r="P50" s="81" t="str">
        <f>'47'!$F$19</f>
        <v/>
      </c>
      <c r="Q50" s="81">
        <f>'47'!$F$20</f>
        <v>9.395327975767259</v>
      </c>
      <c r="R50" s="81">
        <f>'47'!$F$21</f>
        <v>13.126890491323197</v>
      </c>
      <c r="S50" s="81">
        <f>'47'!$F$22</f>
        <v>10.152689707423789</v>
      </c>
      <c r="T50" s="81">
        <f>'47'!$F$23</f>
        <v>9.1342936669305743</v>
      </c>
      <c r="U50" s="81">
        <f>'47'!$F$24</f>
        <v>4.1895472901189805</v>
      </c>
      <c r="V50" s="81">
        <f>'47'!$F$25</f>
        <v>4.2326708332425236</v>
      </c>
      <c r="W50" s="81">
        <f>'47'!$F$26</f>
        <v>4.1895472901189805</v>
      </c>
      <c r="X50" s="81">
        <f>'47'!$F$27</f>
        <v>7.6943902520630427</v>
      </c>
      <c r="Y50" s="81">
        <f>'47'!$F$28</f>
        <v>9.1100868145361655</v>
      </c>
      <c r="Z50" s="81">
        <f>'47'!$F$29</f>
        <v>6.9012196429115003</v>
      </c>
      <c r="AA50" s="81">
        <f>'47'!$F$30</f>
        <v>11.299074566919698</v>
      </c>
      <c r="AB50" s="81">
        <f>'47'!$F$31</f>
        <v>8.1291766424214895</v>
      </c>
      <c r="AC50" s="81">
        <f>'47'!$F$32</f>
        <v>8.2298498694840614</v>
      </c>
      <c r="AD50" s="102">
        <f>'47'!$F$33</f>
        <v>8.8651940272750576</v>
      </c>
    </row>
    <row r="51" spans="1:30" x14ac:dyDescent="0.2">
      <c r="A51" s="101" t="s">
        <v>1416</v>
      </c>
      <c r="B51" s="81">
        <f>'48'!$F$5</f>
        <v>10.258309580740683</v>
      </c>
      <c r="C51" s="81">
        <f>'48'!$F$6</f>
        <v>13.310926712082239</v>
      </c>
      <c r="D51" s="81">
        <f>'48'!$F$7</f>
        <v>7.1161738833741879</v>
      </c>
      <c r="E51" s="81">
        <f>'48'!$F$8</f>
        <v>8.4920125705021992</v>
      </c>
      <c r="F51" s="81" t="str">
        <f>'48'!$F$9</f>
        <v/>
      </c>
      <c r="G51" s="81">
        <f>'48'!$F$10</f>
        <v>9.2170211943012905</v>
      </c>
      <c r="H51" s="81">
        <f>'48'!$F$11</f>
        <v>7.0311503334334073</v>
      </c>
      <c r="I51" s="81">
        <f>'48'!$F$12</f>
        <v>14.468519119674646</v>
      </c>
      <c r="J51" s="81">
        <f>'48'!$F$13</f>
        <v>8.3120469105142192</v>
      </c>
      <c r="K51" s="81" t="str">
        <f>'48'!$F$14</f>
        <v/>
      </c>
      <c r="L51" s="81">
        <f>'48'!$F$15</f>
        <v>14.931906839549709</v>
      </c>
      <c r="M51" s="81">
        <f>'48'!$F$16</f>
        <v>7.7256449612551634</v>
      </c>
      <c r="N51" s="81">
        <f>'48'!$F$17</f>
        <v>8.0382522184122376</v>
      </c>
      <c r="O51" s="81">
        <f>'48'!$F$18</f>
        <v>10.313759160640478</v>
      </c>
      <c r="P51" s="81" t="str">
        <f>'48'!$F$19</f>
        <v/>
      </c>
      <c r="Q51" s="81">
        <f>'48'!$F$20</f>
        <v>9.7638625870686777</v>
      </c>
      <c r="R51" s="81">
        <f>'48'!$F$21</f>
        <v>10.287459574644513</v>
      </c>
      <c r="S51" s="81">
        <f>'48'!$F$22</f>
        <v>10.371919114989796</v>
      </c>
      <c r="T51" s="81">
        <f>'48'!$F$23</f>
        <v>8.59659822625121</v>
      </c>
      <c r="U51" s="81">
        <f>'48'!$F$24</f>
        <v>14.004475040064531</v>
      </c>
      <c r="V51" s="81">
        <f>'48'!$F$25</f>
        <v>14.61059028249759</v>
      </c>
      <c r="W51" s="81">
        <f>'48'!$F$26</f>
        <v>8.1190376412374725</v>
      </c>
      <c r="X51" s="81">
        <f>'48'!$F$27</f>
        <v>7.1703850319857914</v>
      </c>
      <c r="Y51" s="81">
        <f>'48'!$F$28</f>
        <v>8.3734872950636152</v>
      </c>
      <c r="Z51" s="81">
        <f>'48'!$F$29</f>
        <v>7.0583117861244116</v>
      </c>
      <c r="AA51" s="81">
        <f>'48'!$F$30</f>
        <v>10.402049554951239</v>
      </c>
      <c r="AB51" s="81">
        <f>'48'!$F$31</f>
        <v>9.7525300167348323</v>
      </c>
      <c r="AC51" s="81">
        <f>'48'!$F$32</f>
        <v>9.5444583898459641</v>
      </c>
      <c r="AD51" s="102">
        <f>'48'!$F$33</f>
        <v>8.5431687753926262</v>
      </c>
    </row>
    <row r="52" spans="1:30" x14ac:dyDescent="0.2">
      <c r="A52" s="101" t="s">
        <v>1417</v>
      </c>
      <c r="B52" s="81">
        <f>'49'!$F$5</f>
        <v>7.6999230346104079</v>
      </c>
      <c r="C52" s="81">
        <f>'49'!$F$6</f>
        <v>7.3437771447600406</v>
      </c>
      <c r="D52" s="81">
        <f>'49'!$F$7</f>
        <v>5.6448727424288174</v>
      </c>
      <c r="E52" s="81">
        <f>'49'!$F$8</f>
        <v>5.9032764224359102</v>
      </c>
      <c r="F52" s="81" t="str">
        <f>'49'!$F$9</f>
        <v/>
      </c>
      <c r="G52" s="81">
        <f>'49'!$F$10</f>
        <v>13.448090731144434</v>
      </c>
      <c r="H52" s="81">
        <f>'49'!$F$11</f>
        <v>4.8469977211419231</v>
      </c>
      <c r="I52" s="81">
        <f>'49'!$F$12</f>
        <v>5.8980453272528583</v>
      </c>
      <c r="J52" s="81">
        <f>'49'!$F$13</f>
        <v>7.2386558349379833</v>
      </c>
      <c r="K52" s="81" t="str">
        <f>'49'!$F$14</f>
        <v/>
      </c>
      <c r="L52" s="81">
        <f>'49'!$F$15</f>
        <v>5.4393058886686054</v>
      </c>
      <c r="M52" s="81">
        <f>'49'!$F$16</f>
        <v>5.6639161707799826</v>
      </c>
      <c r="N52" s="81">
        <f>'49'!$F$17</f>
        <v>4.3064364120491287</v>
      </c>
      <c r="O52" s="81" t="str">
        <f>'49'!$F$18</f>
        <v/>
      </c>
      <c r="P52" s="81" t="str">
        <f>'49'!$F$19</f>
        <v/>
      </c>
      <c r="Q52" s="81">
        <f>'49'!$F$20</f>
        <v>5.5575166844198165</v>
      </c>
      <c r="R52" s="81" t="str">
        <f>'49'!$F$21</f>
        <v/>
      </c>
      <c r="S52" s="81">
        <f>'49'!$F$22</f>
        <v>7.8971378727663284</v>
      </c>
      <c r="T52" s="81">
        <f>'49'!$F$23</f>
        <v>5.3176121270811691</v>
      </c>
      <c r="U52" s="81" t="str">
        <f>'49'!$F$24</f>
        <v/>
      </c>
      <c r="V52" s="81">
        <f>'49'!$F$25</f>
        <v>5.5192836342713507</v>
      </c>
      <c r="W52" s="81">
        <f>'49'!$F$26</f>
        <v>5.8538125751580496</v>
      </c>
      <c r="X52" s="81">
        <f>'49'!$F$27</f>
        <v>9.2477647596274757</v>
      </c>
      <c r="Y52" s="81">
        <f>'49'!$F$28</f>
        <v>4.4058359285315518</v>
      </c>
      <c r="Z52" s="81">
        <f>'49'!$F$29</f>
        <v>6.1478655295676958</v>
      </c>
      <c r="AA52" s="81">
        <f>'49'!$F$30</f>
        <v>8.2598419939317314</v>
      </c>
      <c r="AB52" s="81">
        <f>'49'!$F$31</f>
        <v>6.5476857118901508</v>
      </c>
      <c r="AC52" s="81">
        <f>'49'!$F$32</f>
        <v>5.787762657976903</v>
      </c>
      <c r="AD52" s="102">
        <f>'49'!$F$33</f>
        <v>6.0120946641333974</v>
      </c>
    </row>
    <row r="53" spans="1:30" x14ac:dyDescent="0.2">
      <c r="A53" s="101" t="s">
        <v>1425</v>
      </c>
      <c r="B53" s="81">
        <f>'50'!$F$5</f>
        <v>8.6770256793220355</v>
      </c>
      <c r="C53" s="81">
        <f>'50'!$F$6</f>
        <v>11.62574951870508</v>
      </c>
      <c r="D53" s="81">
        <f>'50'!$F$7</f>
        <v>7.5233276446869066</v>
      </c>
      <c r="E53" s="81">
        <f>'50'!$F$8</f>
        <v>6.0120762642755858</v>
      </c>
      <c r="F53" s="81" t="str">
        <f>'50'!$F$9</f>
        <v/>
      </c>
      <c r="G53" s="81">
        <f>'50'!$F$10</f>
        <v>6.8246107644071206</v>
      </c>
      <c r="H53" s="81">
        <f>'50'!$F$11</f>
        <v>11.378171061069379</v>
      </c>
      <c r="I53" s="81">
        <f>'50'!$F$12</f>
        <v>5.5996420163850935</v>
      </c>
      <c r="J53" s="81">
        <f>'50'!$F$13</f>
        <v>7.8192411816263689</v>
      </c>
      <c r="K53" s="81" t="str">
        <f>'50'!$F$14</f>
        <v/>
      </c>
      <c r="L53" s="81">
        <f>'50'!$F$15</f>
        <v>7.296459213567708</v>
      </c>
      <c r="M53" s="81">
        <f>'50'!$F$16</f>
        <v>7.3615025278076365</v>
      </c>
      <c r="N53" s="81">
        <f>'50'!$F$17</f>
        <v>8.6544180306897953</v>
      </c>
      <c r="O53" s="81">
        <f>'50'!$F$18</f>
        <v>17.691369551699552</v>
      </c>
      <c r="P53" s="81">
        <f>'50'!$F$19</f>
        <v>18.341889658345305</v>
      </c>
      <c r="Q53" s="81">
        <f>'50'!$F$20</f>
        <v>9.0306719172218521</v>
      </c>
      <c r="R53" s="81" t="str">
        <f>'50'!$F$21</f>
        <v/>
      </c>
      <c r="S53" s="81">
        <f>'50'!$F$22</f>
        <v>9.4426972032172429</v>
      </c>
      <c r="T53" s="81">
        <f>'50'!$F$23</f>
        <v>7.6897869020386942</v>
      </c>
      <c r="U53" s="81">
        <f>'50'!$F$24</f>
        <v>8.4501674583679733</v>
      </c>
      <c r="V53" s="81">
        <f>'50'!$F$25</f>
        <v>8.3969875529603808</v>
      </c>
      <c r="W53" s="81">
        <f>'50'!$F$26</f>
        <v>8.4539679775805574</v>
      </c>
      <c r="X53" s="81">
        <f>'50'!$F$27</f>
        <v>8.72284154235488</v>
      </c>
      <c r="Y53" s="81">
        <f>'50'!$F$28</f>
        <v>10.242887925546592</v>
      </c>
      <c r="Z53" s="81">
        <f>'50'!$F$29</f>
        <v>6.9229555259873505</v>
      </c>
      <c r="AA53" s="81">
        <f>'50'!$F$30</f>
        <v>8.854912074120195</v>
      </c>
      <c r="AB53" s="81">
        <f>'50'!$F$31</f>
        <v>6.4212842095057612</v>
      </c>
      <c r="AC53" s="81">
        <f>'50'!$F$32</f>
        <v>7.3819890367377461</v>
      </c>
      <c r="AD53" s="102">
        <f>'50'!$F$33</f>
        <v>8.1642222961321504</v>
      </c>
    </row>
    <row r="54" spans="1:30" x14ac:dyDescent="0.2">
      <c r="A54" s="99" t="s">
        <v>1289</v>
      </c>
      <c r="B54" s="81">
        <f>'51'!$F$5</f>
        <v>10.422564283541874</v>
      </c>
      <c r="C54" s="81">
        <f>'51'!$F$6</f>
        <v>10.729574173228791</v>
      </c>
      <c r="D54" s="81">
        <f>'51'!$F$7</f>
        <v>6.3832561485885337</v>
      </c>
      <c r="E54" s="81">
        <f>'51'!$F$8</f>
        <v>5.4275358987504809</v>
      </c>
      <c r="F54" s="81" t="str">
        <f>'51'!$F$9</f>
        <v/>
      </c>
      <c r="G54" s="81">
        <f>'51'!$F$10</f>
        <v>18.077911462718337</v>
      </c>
      <c r="H54" s="81">
        <f>'51'!$F$11</f>
        <v>12.05639361638154</v>
      </c>
      <c r="I54" s="81">
        <f>'51'!$F$12</f>
        <v>22.166481898287532</v>
      </c>
      <c r="J54" s="81">
        <f>'51'!$F$13</f>
        <v>7.6678873142872712</v>
      </c>
      <c r="K54" s="81">
        <f>'51'!$F$14</f>
        <v>78.360719951900592</v>
      </c>
      <c r="L54" s="81">
        <f>'51'!$F$15</f>
        <v>6.7147097040937513</v>
      </c>
      <c r="M54" s="81">
        <f>'51'!$F$16</f>
        <v>7.5319021902778998</v>
      </c>
      <c r="N54" s="81">
        <f>'51'!$F$17</f>
        <v>6.690212624528507</v>
      </c>
      <c r="O54" s="81">
        <f>'51'!$F$18</f>
        <v>5.5072290591168782</v>
      </c>
      <c r="P54" s="81">
        <f>'51'!$F$19</f>
        <v>15.386647916920376</v>
      </c>
      <c r="Q54" s="81">
        <f>'51'!$F$20</f>
        <v>13.619025732805083</v>
      </c>
      <c r="R54" s="81" t="str">
        <f>'51'!$F$21</f>
        <v/>
      </c>
      <c r="S54" s="81">
        <f>'51'!$F$22</f>
        <v>9.5321307419756778</v>
      </c>
      <c r="T54" s="81">
        <f>'51'!$F$23</f>
        <v>8.1793695140637901</v>
      </c>
      <c r="U54" s="81">
        <f>'51'!$F$24</f>
        <v>6.9939841378997194</v>
      </c>
      <c r="V54" s="81">
        <f>'51'!$F$25</f>
        <v>8.8324913607403666</v>
      </c>
      <c r="W54" s="81">
        <f>'51'!$F$26</f>
        <v>5.5448770070739322</v>
      </c>
      <c r="X54" s="81">
        <f>'51'!$F$27</f>
        <v>5.949123344230971</v>
      </c>
      <c r="Y54" s="81">
        <f>'51'!$F$28</f>
        <v>8.3890983302789675</v>
      </c>
      <c r="Z54" s="81">
        <f>'51'!$F$29</f>
        <v>5.2939038393381201</v>
      </c>
      <c r="AA54" s="81">
        <f>'51'!$F$30</f>
        <v>4.9378974120997352</v>
      </c>
      <c r="AB54" s="81">
        <f>'51'!$F$31</f>
        <v>6.9591881322964255</v>
      </c>
      <c r="AC54" s="81">
        <f>'51'!$F$32</f>
        <v>7.7094989506795866</v>
      </c>
      <c r="AD54" s="102">
        <f>'51'!$F$33</f>
        <v>7.5868870353579982</v>
      </c>
    </row>
    <row r="55" spans="1:30" x14ac:dyDescent="0.2">
      <c r="A55" s="99" t="s">
        <v>1290</v>
      </c>
      <c r="B55" s="81">
        <f>'52'!$F$5</f>
        <v>16.327993121378302</v>
      </c>
      <c r="C55" s="81">
        <f>'52'!$F$6</f>
        <v>16.327981700453222</v>
      </c>
      <c r="D55" s="81">
        <f>'52'!$F$7</f>
        <v>34.381254766817968</v>
      </c>
      <c r="E55" s="81">
        <f>'52'!$F$8</f>
        <v>11.357818200860915</v>
      </c>
      <c r="F55" s="81" t="str">
        <f>'52'!$F$9</f>
        <v/>
      </c>
      <c r="G55" s="81">
        <f>'52'!$F$10</f>
        <v>16.327945828488541</v>
      </c>
      <c r="H55" s="81">
        <f>'52'!$F$11</f>
        <v>11.357822851861508</v>
      </c>
      <c r="I55" s="81">
        <f>'52'!$F$12</f>
        <v>16.327993418605999</v>
      </c>
      <c r="J55" s="81">
        <f>'52'!$F$13</f>
        <v>16.327924790620383</v>
      </c>
      <c r="K55" s="81" t="str">
        <f>'52'!$F$14</f>
        <v/>
      </c>
      <c r="L55" s="81">
        <f>'52'!$F$15</f>
        <v>15.584858473047293</v>
      </c>
      <c r="M55" s="81" t="str">
        <f>'52'!$F$16</f>
        <v/>
      </c>
      <c r="N55" s="81" t="str">
        <f>'52'!$F$17</f>
        <v/>
      </c>
      <c r="O55" s="81">
        <f>'52'!$F$18</f>
        <v>18.768542626159576</v>
      </c>
      <c r="P55" s="81" t="str">
        <f>'52'!$F$19</f>
        <v/>
      </c>
      <c r="Q55" s="81">
        <f>'52'!$F$20</f>
        <v>18.768630221280699</v>
      </c>
      <c r="R55" s="81" t="str">
        <f>'52'!$F$21</f>
        <v/>
      </c>
      <c r="S55" s="81">
        <f>'52'!$F$22</f>
        <v>18.768569726195771</v>
      </c>
      <c r="T55" s="81" t="str">
        <f>'52'!$F$23</f>
        <v/>
      </c>
      <c r="U55" s="81">
        <f>'52'!$F$24</f>
        <v>13.991182400368478</v>
      </c>
      <c r="V55" s="81">
        <f>'52'!$F$25</f>
        <v>13.99119016505812</v>
      </c>
      <c r="W55" s="81">
        <f>'52'!$F$26</f>
        <v>16.327822202114916</v>
      </c>
      <c r="X55" s="81" t="str">
        <f>'52'!$F$27</f>
        <v/>
      </c>
      <c r="Y55" s="81">
        <f>'52'!$F$28</f>
        <v>11.357887348956378</v>
      </c>
      <c r="Z55" s="81">
        <f>'52'!$F$29</f>
        <v>34.381363507300961</v>
      </c>
      <c r="AA55" s="81">
        <f>'52'!$F$30</f>
        <v>11.357792495155209</v>
      </c>
      <c r="AB55" s="81">
        <f>'52'!$F$31</f>
        <v>19.602979336647049</v>
      </c>
      <c r="AC55" s="81">
        <f>'52'!$F$32</f>
        <v>19.603032278026138</v>
      </c>
      <c r="AD55" s="102">
        <f>'52'!$F$33</f>
        <v>14.858629886900529</v>
      </c>
    </row>
    <row r="56" spans="1:30" x14ac:dyDescent="0.2">
      <c r="A56" s="99" t="s">
        <v>1291</v>
      </c>
      <c r="B56" s="81" t="str">
        <f>'53'!$F$5</f>
        <v/>
      </c>
      <c r="C56" s="81">
        <f>'53'!$F$6</f>
        <v>12.494741630296323</v>
      </c>
      <c r="D56" s="81">
        <f>'53'!$F$7</f>
        <v>6.9245389900882044</v>
      </c>
      <c r="E56" s="81">
        <f>'53'!$F$8</f>
        <v>7.4002507273633631</v>
      </c>
      <c r="F56" s="81" t="str">
        <f>'53'!$F$9</f>
        <v/>
      </c>
      <c r="G56" s="81">
        <f>'53'!$F$10</f>
        <v>8.2680235210403179</v>
      </c>
      <c r="H56" s="81">
        <f>'53'!$F$11</f>
        <v>7.4002336047328257</v>
      </c>
      <c r="I56" s="81">
        <f>'53'!$F$12</f>
        <v>8.2678902019276901</v>
      </c>
      <c r="J56" s="81" t="str">
        <f>'53'!$F$13</f>
        <v/>
      </c>
      <c r="K56" s="81" t="str">
        <f>'53'!$F$14</f>
        <v/>
      </c>
      <c r="L56" s="81">
        <f>'53'!$F$15</f>
        <v>9.1737065852348962</v>
      </c>
      <c r="M56" s="81">
        <f>'53'!$F$16</f>
        <v>6.9615914203883209</v>
      </c>
      <c r="N56" s="81" t="str">
        <f>'53'!$F$17</f>
        <v/>
      </c>
      <c r="O56" s="81" t="str">
        <f>'53'!$F$18</f>
        <v/>
      </c>
      <c r="P56" s="81" t="str">
        <f>'53'!$F$19</f>
        <v/>
      </c>
      <c r="Q56" s="81">
        <f>'53'!$F$20</f>
        <v>8.2740999099292072</v>
      </c>
      <c r="R56" s="81" t="str">
        <f>'53'!$F$21</f>
        <v/>
      </c>
      <c r="S56" s="81" t="str">
        <f>'53'!$F$22</f>
        <v/>
      </c>
      <c r="T56" s="81">
        <f>'53'!$F$23</f>
        <v>7.0843903139696121</v>
      </c>
      <c r="U56" s="81">
        <f>'53'!$F$24</f>
        <v>10.531578542407839</v>
      </c>
      <c r="V56" s="81">
        <f>'53'!$F$25</f>
        <v>10.531756840596294</v>
      </c>
      <c r="W56" s="81">
        <f>'53'!$F$26</f>
        <v>8.2679363429287296</v>
      </c>
      <c r="X56" s="81" t="str">
        <f>'53'!$F$27</f>
        <v/>
      </c>
      <c r="Y56" s="81" t="str">
        <f>'53'!$F$28</f>
        <v/>
      </c>
      <c r="Z56" s="81">
        <f>'53'!$F$29</f>
        <v>7.0828713491536659</v>
      </c>
      <c r="AA56" s="81">
        <f>'53'!$F$30</f>
        <v>7.4000919734212705</v>
      </c>
      <c r="AB56" s="81">
        <f>'53'!$F$31</f>
        <v>10.319836992542909</v>
      </c>
      <c r="AC56" s="81">
        <f>'53'!$F$32</f>
        <v>10.319829176659914</v>
      </c>
      <c r="AD56" s="102">
        <f>'53'!$F$33</f>
        <v>8.8312688448420733</v>
      </c>
    </row>
    <row r="57" spans="1:30" x14ac:dyDescent="0.2">
      <c r="A57" s="99" t="s">
        <v>1292</v>
      </c>
      <c r="B57" s="81">
        <f>'54'!$F$5</f>
        <v>11.597775817999407</v>
      </c>
      <c r="C57" s="81">
        <f>'54'!$F$6</f>
        <v>8.3518497437213153</v>
      </c>
      <c r="D57" s="81">
        <f>'54'!$F$7</f>
        <v>5.4248824871621411</v>
      </c>
      <c r="E57" s="81">
        <f>'54'!$F$8</f>
        <v>7.198988258882383</v>
      </c>
      <c r="F57" s="81">
        <f>'54'!$F$9</f>
        <v>30.623242217628057</v>
      </c>
      <c r="G57" s="81">
        <f>'54'!$F$10</f>
        <v>8.1033864176317145</v>
      </c>
      <c r="H57" s="81">
        <f>'54'!$F$11</f>
        <v>7.5569072009311391</v>
      </c>
      <c r="I57" s="81">
        <f>'54'!$F$12</f>
        <v>7.9531847832890739</v>
      </c>
      <c r="J57" s="81">
        <f>'54'!$F$13</f>
        <v>11.528326078367643</v>
      </c>
      <c r="K57" s="81" t="str">
        <f>'54'!$F$14</f>
        <v/>
      </c>
      <c r="L57" s="81">
        <f>'54'!$F$15</f>
        <v>10.80120268920091</v>
      </c>
      <c r="M57" s="81">
        <f>'54'!$F$16</f>
        <v>8.2372887395056686</v>
      </c>
      <c r="N57" s="81">
        <f>'54'!$F$17</f>
        <v>39.795805976028461</v>
      </c>
      <c r="O57" s="81">
        <f>'54'!$F$18</f>
        <v>6.2393857387492213</v>
      </c>
      <c r="P57" s="81" t="str">
        <f>'54'!$F$19</f>
        <v/>
      </c>
      <c r="Q57" s="81">
        <f>'54'!$F$20</f>
        <v>10.301788759740456</v>
      </c>
      <c r="R57" s="81" t="str">
        <f>'54'!$F$21</f>
        <v/>
      </c>
      <c r="S57" s="81" t="str">
        <f>'54'!$F$22</f>
        <v/>
      </c>
      <c r="T57" s="81">
        <f>'54'!$F$23</f>
        <v>8.9591403870386408</v>
      </c>
      <c r="U57" s="81">
        <f>'54'!$F$24</f>
        <v>8.783557426379339</v>
      </c>
      <c r="V57" s="81">
        <f>'54'!$F$25</f>
        <v>9.1634552530400146</v>
      </c>
      <c r="W57" s="81">
        <f>'54'!$F$26</f>
        <v>6.7826227191346709</v>
      </c>
      <c r="X57" s="81" t="str">
        <f>'54'!$F$27</f>
        <v/>
      </c>
      <c r="Y57" s="81">
        <f>'54'!$F$28</f>
        <v>41.121635979833641</v>
      </c>
      <c r="Z57" s="81">
        <f>'54'!$F$29</f>
        <v>9.5489892060096473</v>
      </c>
      <c r="AA57" s="81">
        <f>'54'!$F$30</f>
        <v>12.413679733541175</v>
      </c>
      <c r="AB57" s="81">
        <f>'54'!$F$31</f>
        <v>7.4109502146211845</v>
      </c>
      <c r="AC57" s="81">
        <f>'54'!$F$32</f>
        <v>6.7057893295926023</v>
      </c>
      <c r="AD57" s="102">
        <f>'54'!$F$33</f>
        <v>9.0696140983061611</v>
      </c>
    </row>
    <row r="58" spans="1:30" x14ac:dyDescent="0.2">
      <c r="A58" s="99" t="s">
        <v>1293</v>
      </c>
      <c r="B58" s="81" t="str">
        <f>'55'!$F$5</f>
        <v/>
      </c>
      <c r="C58" s="81">
        <f>'55'!$F$6</f>
        <v>14.350875898849033</v>
      </c>
      <c r="D58" s="81">
        <f>'55'!$F$7</f>
        <v>14.350875949896214</v>
      </c>
      <c r="E58" s="81">
        <f>'55'!$F$8</f>
        <v>14.350877599431742</v>
      </c>
      <c r="F58" s="81" t="str">
        <f>'55'!$F$9</f>
        <v/>
      </c>
      <c r="G58" s="81">
        <f>'55'!$F$10</f>
        <v>14.351032003394703</v>
      </c>
      <c r="H58" s="81">
        <f>'55'!$F$11</f>
        <v>14.350881690740385</v>
      </c>
      <c r="I58" s="81">
        <f>'55'!$F$12</f>
        <v>14.350857728352139</v>
      </c>
      <c r="J58" s="81">
        <f>'55'!$F$13</f>
        <v>14.350816257651294</v>
      </c>
      <c r="K58" s="81" t="str">
        <f>'55'!$F$14</f>
        <v/>
      </c>
      <c r="L58" s="81">
        <f>'55'!$F$15</f>
        <v>14.350874985124619</v>
      </c>
      <c r="M58" s="81">
        <f>'55'!$F$16</f>
        <v>14.350883123552704</v>
      </c>
      <c r="N58" s="81" t="str">
        <f>'55'!$F$17</f>
        <v/>
      </c>
      <c r="O58" s="81">
        <f>'55'!$F$18</f>
        <v>14.350901601010202</v>
      </c>
      <c r="P58" s="81">
        <f>'55'!$F$19</f>
        <v>14.35088936987508</v>
      </c>
      <c r="Q58" s="81">
        <f>'55'!$F$20</f>
        <v>14.35087573120477</v>
      </c>
      <c r="R58" s="81">
        <f>'55'!$F$21</f>
        <v>14.350860986796253</v>
      </c>
      <c r="S58" s="81" t="str">
        <f>'55'!$F$22</f>
        <v/>
      </c>
      <c r="T58" s="81">
        <f>'55'!$F$23</f>
        <v>14.350892935928009</v>
      </c>
      <c r="U58" s="81">
        <f>'55'!$F$24</f>
        <v>14.350795066919295</v>
      </c>
      <c r="V58" s="81">
        <f>'55'!$F$25</f>
        <v>14.3508761417089</v>
      </c>
      <c r="W58" s="81">
        <f>'55'!$F$26</f>
        <v>14.350902381479735</v>
      </c>
      <c r="X58" s="81" t="str">
        <f>'55'!$F$27</f>
        <v/>
      </c>
      <c r="Y58" s="81">
        <f>'55'!$F$28</f>
        <v>14.350884531731046</v>
      </c>
      <c r="Z58" s="81">
        <f>'55'!$F$29</f>
        <v>14.350868331443541</v>
      </c>
      <c r="AA58" s="81">
        <f>'55'!$F$30</f>
        <v>14.350855496355955</v>
      </c>
      <c r="AB58" s="81">
        <f>'55'!$F$31</f>
        <v>14.350892105650098</v>
      </c>
      <c r="AC58" s="81">
        <f>'55'!$F$32</f>
        <v>14.350878012429673</v>
      </c>
      <c r="AD58" s="102">
        <f>'55'!$F$33</f>
        <v>14.350876868466958</v>
      </c>
    </row>
    <row r="59" spans="1:30" x14ac:dyDescent="0.2">
      <c r="A59" s="99" t="s">
        <v>1294</v>
      </c>
      <c r="B59" s="81">
        <f>'56'!$F$5</f>
        <v>10.327458105830159</v>
      </c>
      <c r="C59" s="81">
        <f>'56'!$F$6</f>
        <v>6.3844025502746033</v>
      </c>
      <c r="D59" s="81">
        <f>'56'!$F$7</f>
        <v>10.172984904822542</v>
      </c>
      <c r="E59" s="81">
        <f>'56'!$F$8</f>
        <v>10.260577638406213</v>
      </c>
      <c r="F59" s="81" t="str">
        <f>'56'!$F$9</f>
        <v/>
      </c>
      <c r="G59" s="81" t="str">
        <f>'56'!$F$10</f>
        <v/>
      </c>
      <c r="H59" s="81">
        <f>'56'!$F$11</f>
        <v>10.184719735972411</v>
      </c>
      <c r="I59" s="81">
        <f>'56'!$F$12</f>
        <v>10.327761925274604</v>
      </c>
      <c r="J59" s="81">
        <f>'56'!$F$13</f>
        <v>9.7838175392068258</v>
      </c>
      <c r="K59" s="81" t="str">
        <f>'56'!$F$14</f>
        <v/>
      </c>
      <c r="L59" s="81">
        <f>'56'!$F$15</f>
        <v>9.3784110089212191</v>
      </c>
      <c r="M59" s="81">
        <f>'56'!$F$16</f>
        <v>10.272838121262257</v>
      </c>
      <c r="N59" s="81">
        <f>'56'!$F$17</f>
        <v>10.11575702948592</v>
      </c>
      <c r="O59" s="81">
        <f>'56'!$F$18</f>
        <v>10.257529363036447</v>
      </c>
      <c r="P59" s="81" t="str">
        <f>'56'!$F$19</f>
        <v/>
      </c>
      <c r="Q59" s="81">
        <f>'56'!$F$20</f>
        <v>9.9866372278113626</v>
      </c>
      <c r="R59" s="81" t="str">
        <f>'56'!$F$21</f>
        <v/>
      </c>
      <c r="S59" s="81">
        <f>'56'!$F$22</f>
        <v>10.326109180509365</v>
      </c>
      <c r="T59" s="81">
        <f>'56'!$F$23</f>
        <v>10.246000284731926</v>
      </c>
      <c r="U59" s="81" t="str">
        <f>'56'!$F$24</f>
        <v/>
      </c>
      <c r="V59" s="81">
        <f>'56'!$F$25</f>
        <v>6.3844025502746033</v>
      </c>
      <c r="W59" s="81">
        <f>'56'!$F$26</f>
        <v>10.327458105830159</v>
      </c>
      <c r="X59" s="81">
        <f>'56'!$F$27</f>
        <v>10.326956458630399</v>
      </c>
      <c r="Y59" s="81">
        <f>'56'!$F$28</f>
        <v>10.140612486172039</v>
      </c>
      <c r="Z59" s="81">
        <f>'56'!$F$29</f>
        <v>10.259732109827953</v>
      </c>
      <c r="AA59" s="81">
        <f>'56'!$F$30</f>
        <v>10.176521693929583</v>
      </c>
      <c r="AB59" s="81">
        <f>'56'!$F$31</f>
        <v>10.326988000970308</v>
      </c>
      <c r="AC59" s="81">
        <f>'56'!$F$32</f>
        <v>10.054301265689624</v>
      </c>
      <c r="AD59" s="102">
        <f>'56'!$F$33</f>
        <v>10.185886238816758</v>
      </c>
    </row>
    <row r="60" spans="1:30" ht="15" thickBot="1" x14ac:dyDescent="0.25">
      <c r="A60" s="80" t="s">
        <v>1295</v>
      </c>
      <c r="B60" s="77" t="str">
        <f>'57'!$F$5</f>
        <v/>
      </c>
      <c r="C60" s="77" t="str">
        <f>'57'!$F$6</f>
        <v/>
      </c>
      <c r="D60" s="77">
        <f>'57'!$F$7</f>
        <v>8.4931142781339872</v>
      </c>
      <c r="E60" s="77">
        <f>'57'!$F$8</f>
        <v>8.4931318960987756</v>
      </c>
      <c r="F60" s="77" t="str">
        <f>'57'!$F$9</f>
        <v/>
      </c>
      <c r="G60" s="77">
        <f>'57'!$F$10</f>
        <v>8.4931664410323506</v>
      </c>
      <c r="H60" s="77">
        <f>'57'!$F$11</f>
        <v>8.4931280898604076</v>
      </c>
      <c r="I60" s="77">
        <f>'57'!$F$12</f>
        <v>8.493103300141696</v>
      </c>
      <c r="J60" s="77">
        <f>'57'!$F$13</f>
        <v>8.4931237703710512</v>
      </c>
      <c r="K60" s="77" t="str">
        <f>'57'!$F$14</f>
        <v/>
      </c>
      <c r="L60" s="77">
        <f>'57'!$F$15</f>
        <v>8.4931242274661685</v>
      </c>
      <c r="M60" s="77">
        <f>'57'!$F$16</f>
        <v>8.4931250041605857</v>
      </c>
      <c r="N60" s="77">
        <f>'57'!$F$17</f>
        <v>8.49307473563195</v>
      </c>
      <c r="O60" s="77">
        <f>'57'!$F$18</f>
        <v>8.4931193856365574</v>
      </c>
      <c r="P60" s="77" t="str">
        <f>'57'!$F$19</f>
        <v/>
      </c>
      <c r="Q60" s="77">
        <f>'57'!$F$20</f>
        <v>8.4931288457666501</v>
      </c>
      <c r="R60" s="77" t="str">
        <f>'57'!$F$21</f>
        <v/>
      </c>
      <c r="S60" s="77">
        <f>'57'!$F$22</f>
        <v>8.4931255607994576</v>
      </c>
      <c r="T60" s="77">
        <f>'57'!$F$23</f>
        <v>8.4931656242550932</v>
      </c>
      <c r="U60" s="77">
        <f>'57'!$F$24</f>
        <v>8.493158458484368</v>
      </c>
      <c r="V60" s="77">
        <f>'57'!$F$25</f>
        <v>8.4931030828743292</v>
      </c>
      <c r="W60" s="77">
        <f>'57'!$F$26</f>
        <v>8.4931325417732726</v>
      </c>
      <c r="X60" s="77">
        <f>'57'!$F$27</f>
        <v>8.4930939773964731</v>
      </c>
      <c r="Y60" s="77">
        <f>'57'!$F$28</f>
        <v>8.4931438889047186</v>
      </c>
      <c r="Z60" s="77">
        <f>'57'!$F$29</f>
        <v>8.4931162369680901</v>
      </c>
      <c r="AA60" s="77">
        <f>'57'!$F$30</f>
        <v>8.4931080632185694</v>
      </c>
      <c r="AB60" s="77">
        <f>'57'!$F$31</f>
        <v>8.4931109761462569</v>
      </c>
      <c r="AC60" s="77">
        <f>'57'!$F$32</f>
        <v>8.4931132565198286</v>
      </c>
      <c r="AD60" s="79">
        <f>'57'!$F$33</f>
        <v>8.4931230972451246</v>
      </c>
    </row>
    <row r="61" spans="1:30" s="74" customFormat="1" x14ac:dyDescent="0.2">
      <c r="A61" s="97" t="s">
        <v>35</v>
      </c>
      <c r="B61" s="152">
        <f>Summary!$F$5</f>
        <v>8.6593498930426573</v>
      </c>
      <c r="C61" s="152">
        <f>Summary!$F$6</f>
        <v>9.184542131826074</v>
      </c>
      <c r="D61" s="152">
        <f>Summary!$F$7</f>
        <v>7.4925173725292336</v>
      </c>
      <c r="E61" s="152">
        <f>Summary!$F$8</f>
        <v>7.4560900009859781</v>
      </c>
      <c r="F61" s="152">
        <f>Summary!$F$9</f>
        <v>32.970587980750146</v>
      </c>
      <c r="G61" s="152">
        <f>Summary!$F$10</f>
        <v>8.8221233203678562</v>
      </c>
      <c r="H61" s="152">
        <f>Summary!$F$11</f>
        <v>9.2148507431372622</v>
      </c>
      <c r="I61" s="152">
        <f>Summary!$F$12</f>
        <v>9.4265511206134125</v>
      </c>
      <c r="J61" s="152">
        <f>Summary!$F$13</f>
        <v>7.5205661378393867</v>
      </c>
      <c r="K61" s="152">
        <f>Summary!$F$14</f>
        <v>14.989515969541129</v>
      </c>
      <c r="L61" s="152">
        <f>Summary!$F$15</f>
        <v>8.2751103927636702</v>
      </c>
      <c r="M61" s="152">
        <f>Summary!$F$16</f>
        <v>8.1700753253750644</v>
      </c>
      <c r="N61" s="152">
        <f>Summary!$F$17</f>
        <v>7.2876417845229691</v>
      </c>
      <c r="O61" s="152">
        <f>Summary!$F$18</f>
        <v>12.176011057763569</v>
      </c>
      <c r="P61" s="152">
        <f>Summary!$F$19</f>
        <v>18.840819137712817</v>
      </c>
      <c r="Q61" s="152">
        <f>Summary!$F$20</f>
        <v>9.5001599415979037</v>
      </c>
      <c r="R61" s="152">
        <f>Summary!$F$21</f>
        <v>13.818106619875689</v>
      </c>
      <c r="S61" s="152">
        <f>Summary!$F$22</f>
        <v>9.7265388435843345</v>
      </c>
      <c r="T61" s="152">
        <f>Summary!$F$23</f>
        <v>7.3149260053224614</v>
      </c>
      <c r="U61" s="152">
        <f>Summary!$F$24</f>
        <v>9.4668079195513872</v>
      </c>
      <c r="V61" s="152">
        <f>Summary!$F$25</f>
        <v>9.6834851240418764</v>
      </c>
      <c r="W61" s="152">
        <f>Summary!$F$26</f>
        <v>8.645772996720904</v>
      </c>
      <c r="X61" s="152">
        <f>Summary!$F$27</f>
        <v>8.934093014327031</v>
      </c>
      <c r="Y61" s="152">
        <f>Summary!$F$28</f>
        <v>8.2251881379607674</v>
      </c>
      <c r="Z61" s="152">
        <f>Summary!$F$29</f>
        <v>6.8411454211079334</v>
      </c>
      <c r="AA61" s="152">
        <f>Summary!$F$30</f>
        <v>9.3143411287229885</v>
      </c>
      <c r="AB61" s="152">
        <f>Summary!$F$31</f>
        <v>7.2125950604159295</v>
      </c>
      <c r="AC61" s="152">
        <f>Summary!$F$32</f>
        <v>7.0255506957702556</v>
      </c>
      <c r="AD61" s="153">
        <f>Summary!$F$33</f>
        <v>8.0468264377329657</v>
      </c>
    </row>
    <row r="62" spans="1:30" s="74" customFormat="1" x14ac:dyDescent="0.2">
      <c r="A62" s="104" t="s">
        <v>1301</v>
      </c>
      <c r="B62" s="19">
        <f>AVERAGE(B$4:B$60)</f>
        <v>9.4481095847691989</v>
      </c>
      <c r="C62" s="19">
        <f t="shared" ref="C62:AD62" si="0">AVERAGE(C$4:C$60)</f>
        <v>9.475899022064123</v>
      </c>
      <c r="D62" s="19">
        <f t="shared" si="0"/>
        <v>7.744512391765582</v>
      </c>
      <c r="E62" s="19">
        <f t="shared" si="0"/>
        <v>7.5717297043880443</v>
      </c>
      <c r="F62" s="19">
        <f t="shared" si="0"/>
        <v>24.328825512890781</v>
      </c>
      <c r="G62" s="19">
        <f t="shared" si="0"/>
        <v>17.448092618038032</v>
      </c>
      <c r="H62" s="19">
        <f t="shared" si="0"/>
        <v>10.431305416745703</v>
      </c>
      <c r="I62" s="19">
        <f t="shared" si="0"/>
        <v>11.219909782884823</v>
      </c>
      <c r="J62" s="19">
        <f t="shared" si="0"/>
        <v>7.631705476728917</v>
      </c>
      <c r="K62" s="19">
        <f t="shared" si="0"/>
        <v>14.423316791285634</v>
      </c>
      <c r="L62" s="19">
        <f t="shared" si="0"/>
        <v>8.3099253254289867</v>
      </c>
      <c r="M62" s="19">
        <f t="shared" si="0"/>
        <v>7.76161447571819</v>
      </c>
      <c r="N62" s="19">
        <f t="shared" si="0"/>
        <v>8.0908759842833664</v>
      </c>
      <c r="O62" s="19">
        <f t="shared" si="0"/>
        <v>12.567354253029048</v>
      </c>
      <c r="P62" s="19">
        <f t="shared" si="0"/>
        <v>20.616776991283007</v>
      </c>
      <c r="Q62" s="19">
        <f t="shared" si="0"/>
        <v>9.2716435426649308</v>
      </c>
      <c r="R62" s="19">
        <f t="shared" si="0"/>
        <v>13.814957691620394</v>
      </c>
      <c r="S62" s="19">
        <f t="shared" si="0"/>
        <v>10.23390277969745</v>
      </c>
      <c r="T62" s="19">
        <f t="shared" si="0"/>
        <v>7.8127134018632649</v>
      </c>
      <c r="U62" s="19">
        <f t="shared" si="0"/>
        <v>9.7450531958719306</v>
      </c>
      <c r="V62" s="19">
        <f t="shared" si="0"/>
        <v>10.854218091099034</v>
      </c>
      <c r="W62" s="19">
        <f t="shared" si="0"/>
        <v>10.410943615126914</v>
      </c>
      <c r="X62" s="19">
        <f t="shared" si="0"/>
        <v>9.7383392033858573</v>
      </c>
      <c r="Y62" s="19">
        <f t="shared" si="0"/>
        <v>8.6420720499076413</v>
      </c>
      <c r="Z62" s="19">
        <f t="shared" si="0"/>
        <v>7.2766788623075742</v>
      </c>
      <c r="AA62" s="19">
        <f t="shared" si="0"/>
        <v>8.8388068871164975</v>
      </c>
      <c r="AB62" s="19">
        <f t="shared" si="0"/>
        <v>7.2981452403572229</v>
      </c>
      <c r="AC62" s="19">
        <f t="shared" si="0"/>
        <v>7.5823166044434691</v>
      </c>
      <c r="AD62" s="22">
        <f t="shared" si="0"/>
        <v>8.0413137183111623</v>
      </c>
    </row>
    <row r="63" spans="1:30" s="74" customFormat="1" x14ac:dyDescent="0.2">
      <c r="A63" s="104" t="s">
        <v>1302</v>
      </c>
      <c r="B63" s="19">
        <f>MAX(B$4:B$60)</f>
        <v>24.456656026572428</v>
      </c>
      <c r="C63" s="19">
        <f t="shared" ref="C63:AD63" si="1">MAX(C$4:C$60)</f>
        <v>22.978203292927933</v>
      </c>
      <c r="D63" s="19">
        <f t="shared" si="1"/>
        <v>34.381254766817968</v>
      </c>
      <c r="E63" s="19">
        <f t="shared" si="1"/>
        <v>14.350877599431742</v>
      </c>
      <c r="F63" s="19">
        <f t="shared" si="1"/>
        <v>72.794870051124576</v>
      </c>
      <c r="G63" s="19">
        <f t="shared" si="1"/>
        <v>339.55391386731907</v>
      </c>
      <c r="H63" s="19">
        <f t="shared" si="1"/>
        <v>43.272329019648531</v>
      </c>
      <c r="I63" s="19">
        <f t="shared" si="1"/>
        <v>49.727673645005375</v>
      </c>
      <c r="J63" s="19">
        <f t="shared" si="1"/>
        <v>16.327924790620383</v>
      </c>
      <c r="K63" s="19">
        <f t="shared" si="1"/>
        <v>78.360719951900592</v>
      </c>
      <c r="L63" s="19">
        <f t="shared" si="1"/>
        <v>17.675058193047377</v>
      </c>
      <c r="M63" s="19">
        <f t="shared" si="1"/>
        <v>14.350883123552704</v>
      </c>
      <c r="N63" s="19">
        <f t="shared" si="1"/>
        <v>39.795805976028461</v>
      </c>
      <c r="O63" s="19">
        <f t="shared" si="1"/>
        <v>39.719335945241163</v>
      </c>
      <c r="P63" s="19">
        <f t="shared" si="1"/>
        <v>34.131761036809081</v>
      </c>
      <c r="Q63" s="19">
        <f t="shared" si="1"/>
        <v>18.768630221280699</v>
      </c>
      <c r="R63" s="19">
        <f t="shared" si="1"/>
        <v>20.236086526440328</v>
      </c>
      <c r="S63" s="19">
        <f t="shared" si="1"/>
        <v>22.433083127638337</v>
      </c>
      <c r="T63" s="19">
        <f t="shared" si="1"/>
        <v>14.350892935928009</v>
      </c>
      <c r="U63" s="19">
        <f t="shared" si="1"/>
        <v>31.156936776774796</v>
      </c>
      <c r="V63" s="19">
        <f t="shared" si="1"/>
        <v>52.964167504888685</v>
      </c>
      <c r="W63" s="19">
        <f t="shared" si="1"/>
        <v>93.864981896153481</v>
      </c>
      <c r="X63" s="19">
        <f t="shared" si="1"/>
        <v>32.598251517266299</v>
      </c>
      <c r="Y63" s="19">
        <f t="shared" si="1"/>
        <v>41.121635979833641</v>
      </c>
      <c r="Z63" s="19">
        <f t="shared" si="1"/>
        <v>34.381363507300961</v>
      </c>
      <c r="AA63" s="19">
        <f t="shared" si="1"/>
        <v>14.350855496355955</v>
      </c>
      <c r="AB63" s="19">
        <f t="shared" si="1"/>
        <v>19.602979336647049</v>
      </c>
      <c r="AC63" s="19">
        <f t="shared" si="1"/>
        <v>19.603032278026138</v>
      </c>
      <c r="AD63" s="22">
        <f t="shared" si="1"/>
        <v>14.858629886900529</v>
      </c>
    </row>
    <row r="64" spans="1:30" s="74" customFormat="1" x14ac:dyDescent="0.2">
      <c r="A64" s="104" t="s">
        <v>1303</v>
      </c>
      <c r="B64" s="19">
        <f>MIN(B$4:B$60)</f>
        <v>3.5922400829528414</v>
      </c>
      <c r="C64" s="19">
        <f t="shared" ref="C64:AD64" si="2">MIN(C$4:C$60)</f>
        <v>3.3129486530877079</v>
      </c>
      <c r="D64" s="19">
        <f t="shared" si="2"/>
        <v>3.9944136037211218</v>
      </c>
      <c r="E64" s="19">
        <f t="shared" si="2"/>
        <v>3.0411193142161759</v>
      </c>
      <c r="F64" s="19">
        <f t="shared" si="2"/>
        <v>3.3259217834479622</v>
      </c>
      <c r="G64" s="19">
        <f t="shared" si="2"/>
        <v>2.9851580500490016</v>
      </c>
      <c r="H64" s="19">
        <f t="shared" si="2"/>
        <v>3.8053701573782606</v>
      </c>
      <c r="I64" s="19">
        <f t="shared" si="2"/>
        <v>2.6559049177951688</v>
      </c>
      <c r="J64" s="19">
        <f t="shared" si="2"/>
        <v>2.5187843085648276</v>
      </c>
      <c r="K64" s="19">
        <f t="shared" si="2"/>
        <v>2.8504768402446703</v>
      </c>
      <c r="L64" s="19">
        <f t="shared" si="2"/>
        <v>3.4415910771437774</v>
      </c>
      <c r="M64" s="19">
        <f t="shared" si="2"/>
        <v>3.8942570596971708</v>
      </c>
      <c r="N64" s="19">
        <f t="shared" si="2"/>
        <v>3.3382622004193756</v>
      </c>
      <c r="O64" s="19">
        <f t="shared" si="2"/>
        <v>5.5072290591168782</v>
      </c>
      <c r="P64" s="19">
        <f t="shared" si="2"/>
        <v>8.4385243067286524</v>
      </c>
      <c r="Q64" s="19">
        <f t="shared" si="2"/>
        <v>4.2943704580280651</v>
      </c>
      <c r="R64" s="19">
        <f t="shared" si="2"/>
        <v>7.5476558950841373</v>
      </c>
      <c r="S64" s="19">
        <f t="shared" si="2"/>
        <v>4.9156888148734437</v>
      </c>
      <c r="T64" s="19">
        <f t="shared" si="2"/>
        <v>4.3612089287369642</v>
      </c>
      <c r="U64" s="19">
        <f t="shared" si="2"/>
        <v>3.3214797081103646</v>
      </c>
      <c r="V64" s="19">
        <f t="shared" si="2"/>
        <v>2.5329061663554362</v>
      </c>
      <c r="W64" s="19">
        <f t="shared" si="2"/>
        <v>2.1577326618426569</v>
      </c>
      <c r="X64" s="19">
        <f t="shared" si="2"/>
        <v>2.6608300556990301</v>
      </c>
      <c r="Y64" s="19">
        <f t="shared" si="2"/>
        <v>3.932928933345575</v>
      </c>
      <c r="Z64" s="19">
        <f t="shared" si="2"/>
        <v>4.4653100116592297</v>
      </c>
      <c r="AA64" s="19">
        <f t="shared" si="2"/>
        <v>4.6069313806896961</v>
      </c>
      <c r="AB64" s="19">
        <f t="shared" si="2"/>
        <v>3.5883109660166501</v>
      </c>
      <c r="AC64" s="19">
        <f t="shared" si="2"/>
        <v>3.4621654761001257</v>
      </c>
      <c r="AD64" s="22">
        <f t="shared" si="2"/>
        <v>4.5266517214898272</v>
      </c>
    </row>
    <row r="65" spans="1:30" s="74" customFormat="1" ht="15" thickBot="1" x14ac:dyDescent="0.25">
      <c r="A65" s="98" t="s">
        <v>1304</v>
      </c>
      <c r="B65" s="69">
        <f>MEDIAN(B$4:B$60)</f>
        <v>8.0380365783022629</v>
      </c>
      <c r="C65" s="69">
        <f t="shared" ref="C65:AD65" si="3">MEDIAN(C$4:C$60)</f>
        <v>8.8285180424577767</v>
      </c>
      <c r="D65" s="69">
        <f t="shared" si="3"/>
        <v>6.9245389900882044</v>
      </c>
      <c r="E65" s="69">
        <f t="shared" si="3"/>
        <v>7.3545764922955223</v>
      </c>
      <c r="F65" s="69">
        <f t="shared" si="3"/>
        <v>17.02690821742673</v>
      </c>
      <c r="G65" s="69">
        <f t="shared" si="3"/>
        <v>9.327390948541094</v>
      </c>
      <c r="H65" s="69">
        <f t="shared" si="3"/>
        <v>9.0494956329133984</v>
      </c>
      <c r="I65" s="69">
        <f t="shared" si="3"/>
        <v>8.2678902019276901</v>
      </c>
      <c r="J65" s="69">
        <f t="shared" si="3"/>
        <v>7.2767086121293332</v>
      </c>
      <c r="K65" s="69">
        <f t="shared" si="3"/>
        <v>10.095037098360542</v>
      </c>
      <c r="L65" s="69">
        <f t="shared" si="3"/>
        <v>7.296459213567708</v>
      </c>
      <c r="M65" s="69">
        <f t="shared" si="3"/>
        <v>7.7404624217596592</v>
      </c>
      <c r="N65" s="69">
        <f t="shared" si="3"/>
        <v>6.9507552784744773</v>
      </c>
      <c r="O65" s="69">
        <f t="shared" si="3"/>
        <v>11.602823610672203</v>
      </c>
      <c r="P65" s="69">
        <f t="shared" si="3"/>
        <v>18.60767068157698</v>
      </c>
      <c r="Q65" s="69">
        <f t="shared" si="3"/>
        <v>9.054144845914994</v>
      </c>
      <c r="R65" s="69">
        <f t="shared" si="3"/>
        <v>14.004348748391177</v>
      </c>
      <c r="S65" s="69">
        <f t="shared" si="3"/>
        <v>9.942873342444237</v>
      </c>
      <c r="T65" s="69">
        <f t="shared" si="3"/>
        <v>7.5339847392627322</v>
      </c>
      <c r="U65" s="69">
        <f t="shared" si="3"/>
        <v>8.6383579424318526</v>
      </c>
      <c r="V65" s="69">
        <f t="shared" si="3"/>
        <v>8.6933500242767785</v>
      </c>
      <c r="W65" s="69">
        <f t="shared" si="3"/>
        <v>7.7592191395874428</v>
      </c>
      <c r="X65" s="69">
        <f t="shared" si="3"/>
        <v>9.0318647394089666</v>
      </c>
      <c r="Y65" s="69">
        <f t="shared" si="3"/>
        <v>8.0142214516502825</v>
      </c>
      <c r="Z65" s="69">
        <f t="shared" si="3"/>
        <v>6.4063055318527287</v>
      </c>
      <c r="AA65" s="69">
        <f t="shared" si="3"/>
        <v>8.7101985921096148</v>
      </c>
      <c r="AB65" s="69">
        <f t="shared" si="3"/>
        <v>6.9591881322964255</v>
      </c>
      <c r="AC65" s="69">
        <f t="shared" si="3"/>
        <v>6.9332126249744848</v>
      </c>
      <c r="AD65" s="26">
        <f t="shared" si="3"/>
        <v>7.8722946492717831</v>
      </c>
    </row>
    <row r="66" spans="1:30" ht="15" thickBot="1" x14ac:dyDescent="0.25">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row>
    <row r="67" spans="1:30" ht="15" customHeight="1" x14ac:dyDescent="0.2">
      <c r="B67" s="198" t="s">
        <v>1297</v>
      </c>
      <c r="C67" s="199"/>
      <c r="D67" s="199"/>
      <c r="E67" s="199"/>
      <c r="F67" s="199"/>
      <c r="G67" s="199"/>
      <c r="H67" s="199"/>
      <c r="I67" s="199"/>
      <c r="J67" s="199"/>
      <c r="K67" s="200"/>
      <c r="L67" s="198" t="s">
        <v>1297</v>
      </c>
      <c r="M67" s="199"/>
      <c r="N67" s="199"/>
      <c r="O67" s="199"/>
      <c r="P67" s="199"/>
      <c r="Q67" s="199"/>
      <c r="R67" s="199"/>
      <c r="S67" s="199"/>
      <c r="T67" s="199"/>
      <c r="U67" s="200"/>
      <c r="V67" s="198" t="s">
        <v>1297</v>
      </c>
      <c r="W67" s="199"/>
      <c r="X67" s="199"/>
      <c r="Y67" s="199"/>
      <c r="Z67" s="199"/>
      <c r="AA67" s="199"/>
      <c r="AB67" s="199"/>
      <c r="AC67" s="199"/>
      <c r="AD67" s="200"/>
    </row>
    <row r="68" spans="1:30" x14ac:dyDescent="0.2">
      <c r="B68" s="201" t="s">
        <v>1308</v>
      </c>
      <c r="C68" s="202"/>
      <c r="D68" s="202"/>
      <c r="E68" s="202"/>
      <c r="F68" s="202"/>
      <c r="G68" s="202"/>
      <c r="H68" s="202"/>
      <c r="I68" s="202"/>
      <c r="J68" s="202"/>
      <c r="K68" s="203"/>
      <c r="L68" s="201" t="s">
        <v>1344</v>
      </c>
      <c r="M68" s="202"/>
      <c r="N68" s="202"/>
      <c r="O68" s="202"/>
      <c r="P68" s="202"/>
      <c r="Q68" s="202"/>
      <c r="R68" s="202"/>
      <c r="S68" s="202"/>
      <c r="T68" s="202"/>
      <c r="U68" s="203"/>
      <c r="V68" s="201" t="s">
        <v>1327</v>
      </c>
      <c r="W68" s="202"/>
      <c r="X68" s="202"/>
      <c r="Y68" s="202"/>
      <c r="Z68" s="202"/>
      <c r="AA68" s="202"/>
      <c r="AB68" s="202"/>
      <c r="AC68" s="202"/>
      <c r="AD68" s="203"/>
    </row>
    <row r="69" spans="1:30" x14ac:dyDescent="0.2">
      <c r="B69" s="201" t="s">
        <v>1309</v>
      </c>
      <c r="C69" s="202"/>
      <c r="D69" s="202"/>
      <c r="E69" s="202"/>
      <c r="F69" s="202"/>
      <c r="G69" s="202"/>
      <c r="H69" s="202"/>
      <c r="I69" s="202"/>
      <c r="J69" s="202"/>
      <c r="K69" s="203"/>
      <c r="L69" s="201" t="s">
        <v>1318</v>
      </c>
      <c r="M69" s="202"/>
      <c r="N69" s="202"/>
      <c r="O69" s="202"/>
      <c r="P69" s="202"/>
      <c r="Q69" s="202"/>
      <c r="R69" s="202"/>
      <c r="S69" s="202"/>
      <c r="T69" s="202"/>
      <c r="U69" s="203"/>
      <c r="V69" s="201" t="s">
        <v>1328</v>
      </c>
      <c r="W69" s="202"/>
      <c r="X69" s="202"/>
      <c r="Y69" s="202"/>
      <c r="Z69" s="202"/>
      <c r="AA69" s="202"/>
      <c r="AB69" s="202"/>
      <c r="AC69" s="202"/>
      <c r="AD69" s="203"/>
    </row>
    <row r="70" spans="1:30" x14ac:dyDescent="0.2">
      <c r="B70" s="201" t="s">
        <v>1311</v>
      </c>
      <c r="C70" s="202"/>
      <c r="D70" s="202"/>
      <c r="E70" s="202"/>
      <c r="F70" s="202"/>
      <c r="G70" s="202"/>
      <c r="H70" s="202"/>
      <c r="I70" s="202"/>
      <c r="J70" s="202"/>
      <c r="K70" s="203"/>
      <c r="L70" s="201" t="s">
        <v>1319</v>
      </c>
      <c r="M70" s="202"/>
      <c r="N70" s="202"/>
      <c r="O70" s="202"/>
      <c r="P70" s="202"/>
      <c r="Q70" s="202"/>
      <c r="R70" s="202"/>
      <c r="S70" s="202"/>
      <c r="T70" s="202"/>
      <c r="U70" s="203"/>
      <c r="V70" s="201" t="s">
        <v>1329</v>
      </c>
      <c r="W70" s="202"/>
      <c r="X70" s="202"/>
      <c r="Y70" s="202"/>
      <c r="Z70" s="202"/>
      <c r="AA70" s="202"/>
      <c r="AB70" s="202"/>
      <c r="AC70" s="202"/>
      <c r="AD70" s="203"/>
    </row>
    <row r="71" spans="1:30" x14ac:dyDescent="0.2">
      <c r="B71" s="201" t="s">
        <v>1310</v>
      </c>
      <c r="C71" s="202"/>
      <c r="D71" s="202"/>
      <c r="E71" s="202"/>
      <c r="F71" s="202"/>
      <c r="G71" s="202"/>
      <c r="H71" s="202"/>
      <c r="I71" s="202"/>
      <c r="J71" s="202"/>
      <c r="K71" s="203"/>
      <c r="L71" s="201" t="s">
        <v>1320</v>
      </c>
      <c r="M71" s="202"/>
      <c r="N71" s="202"/>
      <c r="O71" s="202"/>
      <c r="P71" s="202"/>
      <c r="Q71" s="202"/>
      <c r="R71" s="202"/>
      <c r="S71" s="202"/>
      <c r="T71" s="202"/>
      <c r="U71" s="203"/>
      <c r="V71" s="201" t="s">
        <v>1330</v>
      </c>
      <c r="W71" s="202"/>
      <c r="X71" s="202"/>
      <c r="Y71" s="202"/>
      <c r="Z71" s="202"/>
      <c r="AA71" s="202"/>
      <c r="AB71" s="202"/>
      <c r="AC71" s="202"/>
      <c r="AD71" s="203"/>
    </row>
    <row r="72" spans="1:30" x14ac:dyDescent="0.2">
      <c r="B72" s="201" t="s">
        <v>1312</v>
      </c>
      <c r="C72" s="202"/>
      <c r="D72" s="202"/>
      <c r="E72" s="202"/>
      <c r="F72" s="202"/>
      <c r="G72" s="202"/>
      <c r="H72" s="202"/>
      <c r="I72" s="202"/>
      <c r="J72" s="202"/>
      <c r="K72" s="203"/>
      <c r="L72" s="201" t="s">
        <v>1321</v>
      </c>
      <c r="M72" s="202"/>
      <c r="N72" s="202"/>
      <c r="O72" s="202"/>
      <c r="P72" s="202"/>
      <c r="Q72" s="202"/>
      <c r="R72" s="202"/>
      <c r="S72" s="202"/>
      <c r="T72" s="202"/>
      <c r="U72" s="203"/>
      <c r="V72" s="201" t="s">
        <v>1331</v>
      </c>
      <c r="W72" s="202"/>
      <c r="X72" s="202"/>
      <c r="Y72" s="202"/>
      <c r="Z72" s="202"/>
      <c r="AA72" s="202"/>
      <c r="AB72" s="202"/>
      <c r="AC72" s="202"/>
      <c r="AD72" s="203"/>
    </row>
    <row r="73" spans="1:30" x14ac:dyDescent="0.2">
      <c r="B73" s="201" t="s">
        <v>1313</v>
      </c>
      <c r="C73" s="202"/>
      <c r="D73" s="202"/>
      <c r="E73" s="202"/>
      <c r="F73" s="202"/>
      <c r="G73" s="202"/>
      <c r="H73" s="202"/>
      <c r="I73" s="202"/>
      <c r="J73" s="202"/>
      <c r="K73" s="203"/>
      <c r="L73" s="201" t="s">
        <v>1322</v>
      </c>
      <c r="M73" s="202"/>
      <c r="N73" s="202"/>
      <c r="O73" s="202"/>
      <c r="P73" s="202"/>
      <c r="Q73" s="202"/>
      <c r="R73" s="202"/>
      <c r="S73" s="202"/>
      <c r="T73" s="202"/>
      <c r="U73" s="203"/>
      <c r="V73" s="201" t="s">
        <v>1332</v>
      </c>
      <c r="W73" s="202"/>
      <c r="X73" s="202"/>
      <c r="Y73" s="202"/>
      <c r="Z73" s="202"/>
      <c r="AA73" s="202"/>
      <c r="AB73" s="202"/>
      <c r="AC73" s="202"/>
      <c r="AD73" s="203"/>
    </row>
    <row r="74" spans="1:30" x14ac:dyDescent="0.2">
      <c r="B74" s="201" t="s">
        <v>1314</v>
      </c>
      <c r="C74" s="202"/>
      <c r="D74" s="202"/>
      <c r="E74" s="202"/>
      <c r="F74" s="202"/>
      <c r="G74" s="202"/>
      <c r="H74" s="202"/>
      <c r="I74" s="202"/>
      <c r="J74" s="202"/>
      <c r="K74" s="203"/>
      <c r="L74" s="201" t="s">
        <v>1323</v>
      </c>
      <c r="M74" s="202"/>
      <c r="N74" s="202"/>
      <c r="O74" s="202"/>
      <c r="P74" s="202"/>
      <c r="Q74" s="202"/>
      <c r="R74" s="202"/>
      <c r="S74" s="202"/>
      <c r="T74" s="202"/>
      <c r="U74" s="203"/>
      <c r="V74" s="195"/>
      <c r="W74" s="196"/>
      <c r="X74" s="196"/>
      <c r="Y74" s="196"/>
      <c r="Z74" s="196"/>
      <c r="AA74" s="196"/>
      <c r="AB74" s="196"/>
      <c r="AC74" s="196"/>
      <c r="AD74" s="197"/>
    </row>
    <row r="75" spans="1:30" x14ac:dyDescent="0.2">
      <c r="B75" s="201" t="s">
        <v>1315</v>
      </c>
      <c r="C75" s="202"/>
      <c r="D75" s="202"/>
      <c r="E75" s="202"/>
      <c r="F75" s="202"/>
      <c r="G75" s="202"/>
      <c r="H75" s="202"/>
      <c r="I75" s="202"/>
      <c r="J75" s="202"/>
      <c r="K75" s="203"/>
      <c r="L75" s="201" t="s">
        <v>1324</v>
      </c>
      <c r="M75" s="202"/>
      <c r="N75" s="202"/>
      <c r="O75" s="202"/>
      <c r="P75" s="202"/>
      <c r="Q75" s="202"/>
      <c r="R75" s="202"/>
      <c r="S75" s="202"/>
      <c r="T75" s="202"/>
      <c r="U75" s="203"/>
      <c r="V75" s="201" t="s">
        <v>1333</v>
      </c>
      <c r="W75" s="202"/>
      <c r="X75" s="202"/>
      <c r="Y75" s="202"/>
      <c r="Z75" s="202"/>
      <c r="AA75" s="202"/>
      <c r="AB75" s="202"/>
      <c r="AC75" s="202"/>
      <c r="AD75" s="203"/>
    </row>
    <row r="76" spans="1:30" x14ac:dyDescent="0.2">
      <c r="B76" s="201" t="s">
        <v>1316</v>
      </c>
      <c r="C76" s="202"/>
      <c r="D76" s="202"/>
      <c r="E76" s="202"/>
      <c r="F76" s="202"/>
      <c r="G76" s="202"/>
      <c r="H76" s="202"/>
      <c r="I76" s="202"/>
      <c r="J76" s="202"/>
      <c r="K76" s="203"/>
      <c r="L76" s="201" t="s">
        <v>1325</v>
      </c>
      <c r="M76" s="202"/>
      <c r="N76" s="202"/>
      <c r="O76" s="202"/>
      <c r="P76" s="202"/>
      <c r="Q76" s="202"/>
      <c r="R76" s="202"/>
      <c r="S76" s="202"/>
      <c r="T76" s="202"/>
      <c r="U76" s="203"/>
      <c r="V76" s="201" t="s">
        <v>1334</v>
      </c>
      <c r="W76" s="202"/>
      <c r="X76" s="202"/>
      <c r="Y76" s="202"/>
      <c r="Z76" s="202"/>
      <c r="AA76" s="202"/>
      <c r="AB76" s="202"/>
      <c r="AC76" s="202"/>
      <c r="AD76" s="203"/>
    </row>
    <row r="77" spans="1:30" ht="15" thickBot="1" x14ac:dyDescent="0.25">
      <c r="B77" s="192" t="s">
        <v>1317</v>
      </c>
      <c r="C77" s="193"/>
      <c r="D77" s="193"/>
      <c r="E77" s="193"/>
      <c r="F77" s="193"/>
      <c r="G77" s="193"/>
      <c r="H77" s="193"/>
      <c r="I77" s="193"/>
      <c r="J77" s="193"/>
      <c r="K77" s="194"/>
      <c r="L77" s="192" t="s">
        <v>1326</v>
      </c>
      <c r="M77" s="193"/>
      <c r="N77" s="193"/>
      <c r="O77" s="193"/>
      <c r="P77" s="193"/>
      <c r="Q77" s="193"/>
      <c r="R77" s="193"/>
      <c r="S77" s="193"/>
      <c r="T77" s="193"/>
      <c r="U77" s="194"/>
      <c r="V77" s="192" t="s">
        <v>1335</v>
      </c>
      <c r="W77" s="193"/>
      <c r="X77" s="193"/>
      <c r="Y77" s="193"/>
      <c r="Z77" s="193"/>
      <c r="AA77" s="193"/>
      <c r="AB77" s="193"/>
      <c r="AC77" s="193"/>
      <c r="AD77" s="194"/>
    </row>
    <row r="95" s="74" customFormat="1" x14ac:dyDescent="0.2"/>
    <row r="96" s="74" customFormat="1" x14ac:dyDescent="0.2"/>
  </sheetData>
  <mergeCells count="33">
    <mergeCell ref="B67:K67"/>
    <mergeCell ref="B73:K73"/>
    <mergeCell ref="B74:K74"/>
    <mergeCell ref="B75:K75"/>
    <mergeCell ref="B76:K76"/>
    <mergeCell ref="B77:K77"/>
    <mergeCell ref="B68:K68"/>
    <mergeCell ref="B69:K69"/>
    <mergeCell ref="B70:K70"/>
    <mergeCell ref="B71:K71"/>
    <mergeCell ref="B72:K72"/>
    <mergeCell ref="V73:AD73"/>
    <mergeCell ref="V75:AD75"/>
    <mergeCell ref="V76:AD76"/>
    <mergeCell ref="V68:AD68"/>
    <mergeCell ref="V69:AD69"/>
    <mergeCell ref="V70:AD70"/>
    <mergeCell ref="V77:AD77"/>
    <mergeCell ref="V74:AD74"/>
    <mergeCell ref="V67:AD67"/>
    <mergeCell ref="L67:U67"/>
    <mergeCell ref="L68:U68"/>
    <mergeCell ref="L69:U69"/>
    <mergeCell ref="L70:U70"/>
    <mergeCell ref="L71:U71"/>
    <mergeCell ref="L72:U72"/>
    <mergeCell ref="L73:U73"/>
    <mergeCell ref="L74:U74"/>
    <mergeCell ref="L75:U75"/>
    <mergeCell ref="L76:U76"/>
    <mergeCell ref="L77:U77"/>
    <mergeCell ref="V71:AD71"/>
    <mergeCell ref="V72:AD72"/>
  </mergeCells>
  <conditionalFormatting sqref="B4:AC60">
    <cfRule type="top10" dxfId="0" priority="1" rank="10"/>
  </conditionalFormatting>
  <pageMargins left="0.25" right="0.25"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90"/>
  <sheetViews>
    <sheetView showGridLines="0" zoomScale="70" zoomScaleNormal="70" workbookViewId="0">
      <pane xSplit="2" ySplit="6" topLeftCell="C7" activePane="bottomRight" state="frozen"/>
      <selection pane="topRight" activeCell="C1" sqref="C1"/>
      <selection pane="bottomLeft" activeCell="A7" sqref="A7"/>
      <selection pane="bottomRight" activeCell="C7" sqref="C7"/>
    </sheetView>
  </sheetViews>
  <sheetFormatPr defaultRowHeight="14.25" x14ac:dyDescent="0.2"/>
  <cols>
    <col min="1" max="1" width="27.140625" style="74" customWidth="1"/>
    <col min="2" max="3" width="14.5703125" style="74" bestFit="1" customWidth="1"/>
    <col min="4" max="4" width="11.42578125" style="74" bestFit="1" customWidth="1"/>
    <col min="5" max="5" width="13.5703125" style="74" bestFit="1" customWidth="1"/>
    <col min="6" max="6" width="11.42578125" style="74" bestFit="1" customWidth="1"/>
    <col min="7" max="7" width="13.42578125" style="74" bestFit="1" customWidth="1"/>
    <col min="8" max="8" width="11.42578125" style="74" bestFit="1" customWidth="1"/>
    <col min="9" max="9" width="13.42578125" style="74" bestFit="1" customWidth="1"/>
    <col min="10" max="10" width="11.42578125" style="74" bestFit="1" customWidth="1"/>
    <col min="11" max="11" width="13.42578125" style="74" bestFit="1" customWidth="1"/>
    <col min="12" max="12" width="11.42578125" style="74" bestFit="1" customWidth="1"/>
    <col min="13" max="13" width="13.5703125" style="74" bestFit="1" customWidth="1"/>
    <col min="14" max="22" width="11.42578125" style="74" bestFit="1" customWidth="1"/>
    <col min="23" max="27" width="13.140625" style="74" customWidth="1"/>
    <col min="28" max="29" width="9.140625" style="74"/>
    <col min="30" max="30" width="17.85546875" style="74" bestFit="1" customWidth="1"/>
    <col min="31" max="33" width="9.140625" style="74"/>
    <col min="34" max="34" width="17.85546875" style="74" bestFit="1" customWidth="1"/>
    <col min="35" max="16384" width="9.140625" style="74"/>
  </cols>
  <sheetData>
    <row r="1" spans="1:24" x14ac:dyDescent="0.2">
      <c r="A1" s="39" t="str">
        <f>Summary!A1</f>
        <v>Community and Technical Colleges, Report of Fundable Operating Expenses, Fiscal Year (FY) 2011</v>
      </c>
      <c r="B1" s="39"/>
      <c r="D1" s="39"/>
      <c r="E1" s="39"/>
      <c r="F1" s="39"/>
      <c r="G1" s="39"/>
      <c r="I1" s="39"/>
      <c r="J1" s="40"/>
      <c r="K1" s="39"/>
    </row>
    <row r="2" spans="1:24" x14ac:dyDescent="0.2">
      <c r="A2" s="76" t="s">
        <v>1376</v>
      </c>
      <c r="B2" s="76"/>
      <c r="X2" s="96" t="s">
        <v>1297</v>
      </c>
    </row>
    <row r="3" spans="1:24" x14ac:dyDescent="0.2">
      <c r="A3" s="4">
        <v>1</v>
      </c>
      <c r="X3" s="83" t="s">
        <v>0</v>
      </c>
    </row>
    <row r="4" spans="1:24" ht="15" thickBot="1" x14ac:dyDescent="0.25">
      <c r="X4" s="83" t="s">
        <v>1</v>
      </c>
    </row>
    <row r="5" spans="1:24" s="91" customFormat="1" ht="56.25" customHeight="1" x14ac:dyDescent="0.2">
      <c r="A5" s="46" t="s">
        <v>1296</v>
      </c>
      <c r="B5" s="204" t="s">
        <v>27</v>
      </c>
      <c r="C5" s="189" t="s">
        <v>35</v>
      </c>
      <c r="D5" s="190"/>
      <c r="E5" s="189" t="s">
        <v>799</v>
      </c>
      <c r="F5" s="190"/>
      <c r="G5" s="189" t="s">
        <v>32</v>
      </c>
      <c r="H5" s="190"/>
      <c r="I5" s="189" t="s">
        <v>30</v>
      </c>
      <c r="J5" s="190"/>
      <c r="K5" s="189" t="s">
        <v>31</v>
      </c>
      <c r="L5" s="190"/>
      <c r="M5" s="189" t="s">
        <v>800</v>
      </c>
      <c r="N5" s="190"/>
      <c r="O5" s="189" t="s">
        <v>28</v>
      </c>
      <c r="P5" s="190"/>
      <c r="Q5" s="189" t="s">
        <v>33</v>
      </c>
      <c r="R5" s="190"/>
      <c r="S5" s="189" t="s">
        <v>34</v>
      </c>
      <c r="T5" s="190"/>
      <c r="U5" s="189" t="s">
        <v>29</v>
      </c>
      <c r="V5" s="206"/>
      <c r="X5" s="83" t="s">
        <v>2</v>
      </c>
    </row>
    <row r="6" spans="1:24" s="91" customFormat="1" x14ac:dyDescent="0.2">
      <c r="A6" s="158"/>
      <c r="B6" s="205"/>
      <c r="C6" s="159" t="s">
        <v>802</v>
      </c>
      <c r="D6" s="159" t="s">
        <v>1429</v>
      </c>
      <c r="E6" s="159" t="s">
        <v>802</v>
      </c>
      <c r="F6" s="159" t="s">
        <v>1429</v>
      </c>
      <c r="G6" s="159" t="s">
        <v>802</v>
      </c>
      <c r="H6" s="159" t="s">
        <v>1429</v>
      </c>
      <c r="I6" s="159" t="s">
        <v>802</v>
      </c>
      <c r="J6" s="159" t="s">
        <v>1429</v>
      </c>
      <c r="K6" s="159" t="s">
        <v>802</v>
      </c>
      <c r="L6" s="159" t="s">
        <v>1429</v>
      </c>
      <c r="M6" s="159" t="s">
        <v>802</v>
      </c>
      <c r="N6" s="159" t="s">
        <v>1429</v>
      </c>
      <c r="O6" s="159" t="s">
        <v>802</v>
      </c>
      <c r="P6" s="159" t="s">
        <v>1429</v>
      </c>
      <c r="Q6" s="159" t="s">
        <v>802</v>
      </c>
      <c r="R6" s="159" t="s">
        <v>1429</v>
      </c>
      <c r="S6" s="159" t="s">
        <v>802</v>
      </c>
      <c r="T6" s="159" t="s">
        <v>1429</v>
      </c>
      <c r="U6" s="159" t="s">
        <v>802</v>
      </c>
      <c r="V6" s="160" t="s">
        <v>1429</v>
      </c>
      <c r="X6" s="83" t="s">
        <v>3</v>
      </c>
    </row>
    <row r="7" spans="1:24" x14ac:dyDescent="0.2">
      <c r="A7" s="101" t="s">
        <v>1426</v>
      </c>
      <c r="B7" s="92">
        <f ca="1">OFFSET('1'!$D$4,$A$3,0)</f>
        <v>77440</v>
      </c>
      <c r="C7" s="90">
        <f ca="1">OFFSET('1'!$E$4,$A$3,0)</f>
        <v>492109.36491052236</v>
      </c>
      <c r="D7" s="161">
        <f ca="1">IFERROR(C7/$B7,"")</f>
        <v>6.3547180386172828</v>
      </c>
      <c r="E7" s="90">
        <f ca="1">OFFSET('1'!$E$66,$A$3,0)</f>
        <v>116862</v>
      </c>
      <c r="F7" s="161">
        <f ca="1">IFERROR(E7/$B7,"")</f>
        <v>1.5090650826446281</v>
      </c>
      <c r="G7" s="90">
        <f ca="1">'1'!$F$100*B7</f>
        <v>71695.566234899234</v>
      </c>
      <c r="H7" s="161">
        <f ca="1">IFERROR(G7/$B7,"")</f>
        <v>0.92582084497545503</v>
      </c>
      <c r="I7" s="90">
        <f ca="1">'1'!$F$98*'Discipline Analysis'!B7</f>
        <v>147202.74449729739</v>
      </c>
      <c r="J7" s="161">
        <f ca="1">IFERROR(I7/$B7,"")</f>
        <v>1.9008618865870015</v>
      </c>
      <c r="K7" s="90">
        <f ca="1">'1'!$F$99*'Discipline Analysis'!B7</f>
        <v>75555.186111664792</v>
      </c>
      <c r="L7" s="161">
        <f ca="1">IFERROR(K7/$B7,"")</f>
        <v>0.97566097768162185</v>
      </c>
      <c r="M7" s="90">
        <f ca="1">OFFSET('1'!$E$35,$A$3,0)</f>
        <v>41662</v>
      </c>
      <c r="N7" s="161">
        <f ca="1">IFERROR(M7/$B7,"")</f>
        <v>0.53799070247933889</v>
      </c>
      <c r="O7" s="90">
        <f ca="1">'1'!$F$101*'Discipline Analysis'!B7</f>
        <v>0</v>
      </c>
      <c r="P7" s="161">
        <f ca="1">IFERROR(O7/$B7,"")</f>
        <v>0</v>
      </c>
      <c r="Q7" s="90">
        <f ca="1">'1'!$F$102*'Discipline Analysis'!B7</f>
        <v>2902.9303260337806</v>
      </c>
      <c r="R7" s="161">
        <f ca="1">IFERROR(Q7/$B7,"")</f>
        <v>3.7486187061386629E-2</v>
      </c>
      <c r="S7" s="90">
        <f ca="1">'1'!$F$103*'Discipline Analysis'!B7</f>
        <v>16509.834554003726</v>
      </c>
      <c r="T7" s="161">
        <f ca="1">IFERROR(S7/$B7,"")</f>
        <v>0.21319517760851919</v>
      </c>
      <c r="U7" s="88">
        <f ca="1">'1'!$F$104*'Discipline Analysis'!B7</f>
        <v>19719.103186623484</v>
      </c>
      <c r="V7" s="164">
        <f ca="1">IFERROR(U7/$B7,"")</f>
        <v>0.25463717957933218</v>
      </c>
      <c r="X7" s="83" t="s">
        <v>4</v>
      </c>
    </row>
    <row r="8" spans="1:24" x14ac:dyDescent="0.2">
      <c r="A8" s="101" t="s">
        <v>1380</v>
      </c>
      <c r="B8" s="92">
        <f ca="1">OFFSET('2'!$D$4,$A$3,0)</f>
        <v>12342</v>
      </c>
      <c r="C8" s="84">
        <f ca="1">OFFSET('2'!$E$4,$A$3,0)</f>
        <v>138614.83108631344</v>
      </c>
      <c r="D8" s="162">
        <f t="shared" ref="D8:D64" ca="1" si="0">IFERROR(C8/$B8,"")</f>
        <v>11.231148200155035</v>
      </c>
      <c r="E8" s="84">
        <f ca="1">OFFSET('2'!$E$66,$A$3,0)</f>
        <v>79469</v>
      </c>
      <c r="F8" s="162">
        <f t="shared" ref="F8:F64" ca="1" si="1">IFERROR(E8/$B8,"")</f>
        <v>6.438907794522768</v>
      </c>
      <c r="G8" s="84">
        <f ca="1">'2'!$F$100*B8</f>
        <v>12879.994125537994</v>
      </c>
      <c r="H8" s="162">
        <f t="shared" ref="H8:H64" ca="1" si="2">IFERROR(G8/$B8,"")</f>
        <v>1.0435905141417918</v>
      </c>
      <c r="I8" s="84">
        <f ca="1">'2'!$F$98*'Discipline Analysis'!B8</f>
        <v>17555.491326717787</v>
      </c>
      <c r="J8" s="162">
        <f t="shared" ref="J8:J64" ca="1" si="3">IFERROR(I8/$B8,"")</f>
        <v>1.4224186782302535</v>
      </c>
      <c r="K8" s="84">
        <f ca="1">'2'!$F$99*'Discipline Analysis'!B8</f>
        <v>9947.9419811974567</v>
      </c>
      <c r="L8" s="162">
        <f t="shared" ref="L8:L64" ca="1" si="4">IFERROR(K8/$B8,"")</f>
        <v>0.8060234954786466</v>
      </c>
      <c r="M8" s="84">
        <f ca="1">OFFSET('2'!$E$35,$A$3,0)</f>
        <v>14455</v>
      </c>
      <c r="N8" s="162">
        <f t="shared" ref="N8:N64" ca="1" si="5">IFERROR(M8/$B8,"")</f>
        <v>1.1712040187976016</v>
      </c>
      <c r="O8" s="84">
        <f ca="1">'2'!$F$101*'Discipline Analysis'!B8</f>
        <v>0</v>
      </c>
      <c r="P8" s="162">
        <f t="shared" ref="P8:P64" ca="1" si="6">IFERROR(O8/$B8,"")</f>
        <v>0</v>
      </c>
      <c r="Q8" s="84">
        <f ca="1">'2'!$F$102*'Discipline Analysis'!B8</f>
        <v>0</v>
      </c>
      <c r="R8" s="162">
        <f t="shared" ref="R8:R64" ca="1" si="7">IFERROR(Q8/$B8,"")</f>
        <v>0</v>
      </c>
      <c r="S8" s="84">
        <f ca="1">'2'!$F$103*'Discipline Analysis'!B8</f>
        <v>2015.958564429335</v>
      </c>
      <c r="T8" s="162">
        <f t="shared" ref="T8:T64" ca="1" si="8">IFERROR(S8/$B8,"")</f>
        <v>0.16334131943196686</v>
      </c>
      <c r="U8" s="84">
        <f ca="1">'2'!$F$104*'Discipline Analysis'!B8</f>
        <v>2291.4450884308717</v>
      </c>
      <c r="V8" s="165">
        <f t="shared" ref="V8:V64" ca="1" si="9">IFERROR(U8/$B8,"")</f>
        <v>0.1856623795520071</v>
      </c>
      <c r="X8" s="83" t="s">
        <v>5</v>
      </c>
    </row>
    <row r="9" spans="1:24" x14ac:dyDescent="0.2">
      <c r="A9" s="101" t="s">
        <v>1390</v>
      </c>
      <c r="B9" s="92">
        <f ca="1">OFFSET('3'!$D$4,$A$3,0)</f>
        <v>12468</v>
      </c>
      <c r="C9" s="84">
        <f ca="1">OFFSET('3'!$E$4,$A$3,0)</f>
        <v>103387.47100274055</v>
      </c>
      <c r="D9" s="162">
        <f t="shared" ca="1" si="0"/>
        <v>8.2922257782114652</v>
      </c>
      <c r="E9" s="84">
        <f ca="1">OFFSET('3'!$E$66,$A$3,0)</f>
        <v>36952</v>
      </c>
      <c r="F9" s="162">
        <f t="shared" ca="1" si="1"/>
        <v>2.963747192813603</v>
      </c>
      <c r="G9" s="84">
        <f ca="1">'3'!$F$100*B9</f>
        <v>6303.0459843723165</v>
      </c>
      <c r="H9" s="162">
        <f t="shared" ca="1" si="2"/>
        <v>0.50553785566027565</v>
      </c>
      <c r="I9" s="84">
        <f ca="1">'3'!$F$98*'Discipline Analysis'!B9</f>
        <v>22695.617696716887</v>
      </c>
      <c r="J9" s="162">
        <f t="shared" ca="1" si="3"/>
        <v>1.8203094078213737</v>
      </c>
      <c r="K9" s="84">
        <f ca="1">'3'!$F$99*'Discipline Analysis'!B9</f>
        <v>7273.7969778160532</v>
      </c>
      <c r="L9" s="162">
        <f t="shared" ca="1" si="4"/>
        <v>0.58339725519859265</v>
      </c>
      <c r="M9" s="84">
        <f ca="1">OFFSET('3'!$E$35,$A$3,0)</f>
        <v>21132</v>
      </c>
      <c r="N9" s="162">
        <f t="shared" ca="1" si="5"/>
        <v>1.6948989412897015</v>
      </c>
      <c r="O9" s="84">
        <f ca="1">'3'!$F$101*'Discipline Analysis'!B9</f>
        <v>0</v>
      </c>
      <c r="P9" s="162">
        <f t="shared" ca="1" si="6"/>
        <v>0</v>
      </c>
      <c r="Q9" s="84">
        <f ca="1">'3'!$F$102*'Discipline Analysis'!B9</f>
        <v>0</v>
      </c>
      <c r="R9" s="162">
        <f t="shared" ca="1" si="7"/>
        <v>0</v>
      </c>
      <c r="S9" s="84">
        <f ca="1">'3'!$F$103*'Discipline Analysis'!B9</f>
        <v>3585.3543982269125</v>
      </c>
      <c r="T9" s="162">
        <f t="shared" ca="1" si="8"/>
        <v>0.28756451702172864</v>
      </c>
      <c r="U9" s="84">
        <f ca="1">'3'!$F$104*'Discipline Analysis'!B9</f>
        <v>5445.6559456083733</v>
      </c>
      <c r="V9" s="165">
        <f t="shared" ca="1" si="9"/>
        <v>0.4367706084061897</v>
      </c>
      <c r="X9" s="83" t="s">
        <v>6</v>
      </c>
    </row>
    <row r="10" spans="1:24" x14ac:dyDescent="0.2">
      <c r="A10" s="101" t="s">
        <v>1391</v>
      </c>
      <c r="B10" s="92">
        <f ca="1">OFFSET('4'!$D$4,$A$3,0)</f>
        <v>36</v>
      </c>
      <c r="C10" s="84">
        <f ca="1">OFFSET('4'!$E$4,$A$3,0)</f>
        <v>519.04930042359672</v>
      </c>
      <c r="D10" s="162">
        <f t="shared" ca="1" si="0"/>
        <v>14.418036122877687</v>
      </c>
      <c r="E10" s="84">
        <f ca="1">OFFSET('4'!$E$66,$A$3,0)</f>
        <v>336</v>
      </c>
      <c r="F10" s="162">
        <f t="shared" ca="1" si="1"/>
        <v>9.3333333333333339</v>
      </c>
      <c r="G10" s="84">
        <f ca="1">'4'!$F$100*B10</f>
        <v>29.64514147396989</v>
      </c>
      <c r="H10" s="162">
        <f t="shared" ca="1" si="2"/>
        <v>0.82347615205471913</v>
      </c>
      <c r="I10" s="84">
        <f ca="1">'4'!$F$98*'Discipline Analysis'!B10</f>
        <v>28.718303595987749</v>
      </c>
      <c r="J10" s="162">
        <f t="shared" ca="1" si="3"/>
        <v>0.79773065544410415</v>
      </c>
      <c r="K10" s="84">
        <f ca="1">'4'!$F$99*'Discipline Analysis'!B10</f>
        <v>14.964090550675738</v>
      </c>
      <c r="L10" s="162">
        <f t="shared" ca="1" si="4"/>
        <v>0.41566918196321495</v>
      </c>
      <c r="M10" s="84">
        <f ca="1">OFFSET('4'!$E$35,$A$3,0)</f>
        <v>100</v>
      </c>
      <c r="N10" s="162">
        <f t="shared" ca="1" si="5"/>
        <v>2.7777777777777777</v>
      </c>
      <c r="O10" s="84">
        <f ca="1">'4'!$F$101*'Discipline Analysis'!B10</f>
        <v>0</v>
      </c>
      <c r="P10" s="162">
        <f t="shared" ca="1" si="6"/>
        <v>0</v>
      </c>
      <c r="Q10" s="84">
        <f ca="1">'4'!$F$102*'Discipline Analysis'!B10</f>
        <v>0</v>
      </c>
      <c r="R10" s="162">
        <f t="shared" ca="1" si="7"/>
        <v>0</v>
      </c>
      <c r="S10" s="84">
        <f ca="1">'4'!$F$103*'Discipline Analysis'!B10</f>
        <v>5.6961106119230553</v>
      </c>
      <c r="T10" s="162">
        <f t="shared" ca="1" si="8"/>
        <v>0.15822529477564043</v>
      </c>
      <c r="U10" s="84">
        <f ca="1">'4'!$F$104*'Discipline Analysis'!B10</f>
        <v>4.0256541910402879</v>
      </c>
      <c r="V10" s="165">
        <f t="shared" ca="1" si="9"/>
        <v>0.11182372752889688</v>
      </c>
      <c r="X10" s="83" t="s">
        <v>7</v>
      </c>
    </row>
    <row r="11" spans="1:24" x14ac:dyDescent="0.2">
      <c r="A11" s="101" t="s">
        <v>1381</v>
      </c>
      <c r="B11" s="92">
        <f ca="1">OFFSET('5'!$D$4,$A$3,0)</f>
        <v>95473</v>
      </c>
      <c r="C11" s="84">
        <f ca="1">OFFSET('5'!$E$4,$A$3,0)</f>
        <v>638829.63914706814</v>
      </c>
      <c r="D11" s="162">
        <f t="shared" ca="1" si="0"/>
        <v>6.6912073481200771</v>
      </c>
      <c r="E11" s="84">
        <f ca="1">OFFSET('5'!$E$66,$A$3,0)</f>
        <v>132347</v>
      </c>
      <c r="F11" s="162">
        <f t="shared" ca="1" si="1"/>
        <v>1.386224377572717</v>
      </c>
      <c r="G11" s="84">
        <f ca="1">'5'!$F$100*B11</f>
        <v>116511.64130586784</v>
      </c>
      <c r="H11" s="162">
        <f t="shared" ca="1" si="2"/>
        <v>1.2203622103198584</v>
      </c>
      <c r="I11" s="84">
        <f ca="1">'5'!$F$98*'Discipline Analysis'!B11</f>
        <v>170375.67914125801</v>
      </c>
      <c r="J11" s="162">
        <f t="shared" ca="1" si="3"/>
        <v>1.7845430555367277</v>
      </c>
      <c r="K11" s="84">
        <f ca="1">'5'!$F$99*'Discipline Analysis'!B11</f>
        <v>116812.1084206925</v>
      </c>
      <c r="L11" s="162">
        <f t="shared" ca="1" si="4"/>
        <v>1.2235093525990857</v>
      </c>
      <c r="M11" s="84">
        <f ca="1">OFFSET('5'!$E$35,$A$3,0)</f>
        <v>57159</v>
      </c>
      <c r="N11" s="162">
        <f t="shared" ca="1" si="5"/>
        <v>0.59869282414923586</v>
      </c>
      <c r="O11" s="84">
        <f ca="1">'5'!$F$101*'Discipline Analysis'!B11</f>
        <v>0</v>
      </c>
      <c r="P11" s="162">
        <f t="shared" ca="1" si="6"/>
        <v>0</v>
      </c>
      <c r="Q11" s="84">
        <f ca="1">'5'!$F$102*'Discipline Analysis'!B11</f>
        <v>0</v>
      </c>
      <c r="R11" s="162">
        <f t="shared" ca="1" si="7"/>
        <v>0</v>
      </c>
      <c r="S11" s="84">
        <f ca="1">'5'!$F$103*'Discipline Analysis'!B11</f>
        <v>18527.704178257678</v>
      </c>
      <c r="T11" s="162">
        <f t="shared" ca="1" si="8"/>
        <v>0.19406223935832831</v>
      </c>
      <c r="U11" s="84">
        <f ca="1">'5'!$F$104*'Discipline Analysis'!B11</f>
        <v>27096.506100992043</v>
      </c>
      <c r="V11" s="165">
        <f t="shared" ca="1" si="9"/>
        <v>0.28381328858412369</v>
      </c>
      <c r="X11" s="83" t="s">
        <v>8</v>
      </c>
    </row>
    <row r="12" spans="1:24" x14ac:dyDescent="0.2">
      <c r="A12" s="101" t="s">
        <v>1392</v>
      </c>
      <c r="B12" s="92">
        <f ca="1">OFFSET('6'!$D$4,$A$3,0)</f>
        <v>71088</v>
      </c>
      <c r="C12" s="84">
        <f ca="1">OFFSET('6'!$E$4,$A$3,0)</f>
        <v>579624.38456847798</v>
      </c>
      <c r="D12" s="162">
        <f t="shared" ca="1" si="0"/>
        <v>8.1536178337902037</v>
      </c>
      <c r="E12" s="84">
        <f ca="1">OFFSET('6'!$E$66,$A$3,0)</f>
        <v>360563</v>
      </c>
      <c r="F12" s="162">
        <f t="shared" ca="1" si="1"/>
        <v>5.0720656088228671</v>
      </c>
      <c r="G12" s="84">
        <f ca="1">'6'!$F$100*B12</f>
        <v>30581.570856201412</v>
      </c>
      <c r="H12" s="162">
        <f t="shared" ca="1" si="2"/>
        <v>0.43019315294003785</v>
      </c>
      <c r="I12" s="84">
        <f ca="1">'6'!$F$98*'Discipline Analysis'!B12</f>
        <v>63212.463863927507</v>
      </c>
      <c r="J12" s="162">
        <f t="shared" ca="1" si="3"/>
        <v>0.88921426772349066</v>
      </c>
      <c r="K12" s="84">
        <f ca="1">'6'!$F$99*'Discipline Analysis'!B12</f>
        <v>40375.669681772371</v>
      </c>
      <c r="L12" s="162">
        <f t="shared" ca="1" si="4"/>
        <v>0.56796744431932777</v>
      </c>
      <c r="M12" s="84">
        <f ca="1">OFFSET('6'!$E$35,$A$3,0)</f>
        <v>69169</v>
      </c>
      <c r="N12" s="162">
        <f t="shared" ca="1" si="5"/>
        <v>0.97300528921899621</v>
      </c>
      <c r="O12" s="84">
        <f ca="1">'6'!$F$101*'Discipline Analysis'!B12</f>
        <v>0</v>
      </c>
      <c r="P12" s="162">
        <f t="shared" ca="1" si="6"/>
        <v>0</v>
      </c>
      <c r="Q12" s="84">
        <f ca="1">'6'!$F$102*'Discipline Analysis'!B12</f>
        <v>5365.0601705914951</v>
      </c>
      <c r="R12" s="162">
        <f t="shared" ca="1" si="7"/>
        <v>7.5470686622095079E-2</v>
      </c>
      <c r="S12" s="84">
        <f ca="1">'6'!$F$103*'Discipline Analysis'!B12</f>
        <v>3560.5944304784157</v>
      </c>
      <c r="T12" s="162">
        <f t="shared" ca="1" si="8"/>
        <v>5.0087137498289663E-2</v>
      </c>
      <c r="U12" s="84">
        <f ca="1">'6'!$F$104*'Discipline Analysis'!B12</f>
        <v>6797.0255655067767</v>
      </c>
      <c r="V12" s="165">
        <f t="shared" ca="1" si="9"/>
        <v>9.5614246645098711E-2</v>
      </c>
      <c r="X12" s="83" t="s">
        <v>9</v>
      </c>
    </row>
    <row r="13" spans="1:24" x14ac:dyDescent="0.2">
      <c r="A13" s="101" t="s">
        <v>1393</v>
      </c>
      <c r="B13" s="92">
        <f ca="1">OFFSET('7'!$D$4,$A$3,0)</f>
        <v>8256</v>
      </c>
      <c r="C13" s="84">
        <f ca="1">OFFSET('7'!$E$4,$A$3,0)</f>
        <v>56243.564807025206</v>
      </c>
      <c r="D13" s="162">
        <f t="shared" ca="1" si="0"/>
        <v>6.8124472876726268</v>
      </c>
      <c r="E13" s="84">
        <f ca="1">OFFSET('7'!$E$66,$A$3,0)</f>
        <v>9258</v>
      </c>
      <c r="F13" s="162">
        <f t="shared" ca="1" si="1"/>
        <v>1.1213662790697674</v>
      </c>
      <c r="G13" s="84">
        <f ca="1">'7'!$F$100*B13</f>
        <v>7415.5885216375127</v>
      </c>
      <c r="H13" s="162">
        <f t="shared" ca="1" si="2"/>
        <v>0.89820597403555147</v>
      </c>
      <c r="I13" s="84">
        <f ca="1">'7'!$F$98*'Discipline Analysis'!B13</f>
        <v>20330.242225556573</v>
      </c>
      <c r="J13" s="162">
        <f t="shared" ca="1" si="3"/>
        <v>2.4624808897234223</v>
      </c>
      <c r="K13" s="84">
        <f ca="1">'7'!$F$99*'Discipline Analysis'!B13</f>
        <v>8649.7207083069788</v>
      </c>
      <c r="L13" s="162">
        <f t="shared" ca="1" si="4"/>
        <v>1.0476890392813685</v>
      </c>
      <c r="M13" s="84">
        <f ca="1">OFFSET('7'!$E$35,$A$3,0)</f>
        <v>6958</v>
      </c>
      <c r="N13" s="162">
        <f t="shared" ca="1" si="5"/>
        <v>0.84278100775193798</v>
      </c>
      <c r="O13" s="84">
        <f ca="1">'7'!$F$101*'Discipline Analysis'!B13</f>
        <v>0</v>
      </c>
      <c r="P13" s="162">
        <f t="shared" ca="1" si="6"/>
        <v>0</v>
      </c>
      <c r="Q13" s="84">
        <f ca="1">'7'!$F$102*'Discipline Analysis'!B13</f>
        <v>1329.2160234173573</v>
      </c>
      <c r="R13" s="162">
        <f t="shared" ca="1" si="7"/>
        <v>0.1610000028364047</v>
      </c>
      <c r="S13" s="84">
        <f ca="1">'7'!$F$103*'Discipline Analysis'!B13</f>
        <v>545.66188808114384</v>
      </c>
      <c r="T13" s="162">
        <f t="shared" ca="1" si="8"/>
        <v>6.6092767451688933E-2</v>
      </c>
      <c r="U13" s="84">
        <f ca="1">'7'!$F$104*'Discipline Analysis'!B13</f>
        <v>1757.1354400256412</v>
      </c>
      <c r="V13" s="165">
        <f t="shared" ca="1" si="9"/>
        <v>0.2128313275224856</v>
      </c>
      <c r="X13" s="83" t="s">
        <v>10</v>
      </c>
    </row>
    <row r="14" spans="1:24" x14ac:dyDescent="0.2">
      <c r="A14" s="101" t="s">
        <v>1427</v>
      </c>
      <c r="B14" s="92">
        <f ca="1">OFFSET('8'!$D$4,$A$3,0)</f>
        <v>84496</v>
      </c>
      <c r="C14" s="84">
        <f ca="1">OFFSET('8'!$E$4,$A$3,0)</f>
        <v>484445.85877049656</v>
      </c>
      <c r="D14" s="162">
        <f t="shared" ca="1" si="0"/>
        <v>5.7333584876265924</v>
      </c>
      <c r="E14" s="84">
        <f ca="1">OFFSET('8'!$E$66,$A$3,0)</f>
        <v>171909</v>
      </c>
      <c r="F14" s="162">
        <f t="shared" ca="1" si="1"/>
        <v>2.0345223442529825</v>
      </c>
      <c r="G14" s="84">
        <f ca="1">'8'!$F$100*B14</f>
        <v>28441.503851401634</v>
      </c>
      <c r="H14" s="162">
        <f t="shared" ca="1" si="2"/>
        <v>0.33660177820727177</v>
      </c>
      <c r="I14" s="84">
        <f ca="1">'8'!$F$98*'Discipline Analysis'!B14</f>
        <v>104657.3508201447</v>
      </c>
      <c r="J14" s="162">
        <f t="shared" ca="1" si="3"/>
        <v>1.2386071627076394</v>
      </c>
      <c r="K14" s="84">
        <f ca="1">'8'!$F$99*'Discipline Analysis'!B14</f>
        <v>54653.953338302272</v>
      </c>
      <c r="L14" s="162">
        <f t="shared" ca="1" si="4"/>
        <v>0.64682296603747247</v>
      </c>
      <c r="M14" s="84">
        <f ca="1">OFFSET('8'!$E$35,$A$3,0)</f>
        <v>83533</v>
      </c>
      <c r="N14" s="162">
        <f t="shared" ca="1" si="5"/>
        <v>0.98860301079341029</v>
      </c>
      <c r="O14" s="84">
        <f ca="1">'8'!$F$101*'Discipline Analysis'!B14</f>
        <v>0</v>
      </c>
      <c r="P14" s="162">
        <f t="shared" ca="1" si="6"/>
        <v>0</v>
      </c>
      <c r="Q14" s="84">
        <f ca="1">'8'!$F$102*'Discipline Analysis'!B14</f>
        <v>0</v>
      </c>
      <c r="R14" s="162">
        <f t="shared" ca="1" si="7"/>
        <v>0</v>
      </c>
      <c r="S14" s="84">
        <f ca="1">'8'!$F$103*'Discipline Analysis'!B14</f>
        <v>9930.739259726246</v>
      </c>
      <c r="T14" s="162">
        <f t="shared" ca="1" si="8"/>
        <v>0.11752910504315288</v>
      </c>
      <c r="U14" s="84">
        <f ca="1">'8'!$F$104*'Discipline Analysis'!B14</f>
        <v>31320.311500921674</v>
      </c>
      <c r="V14" s="165">
        <f t="shared" ca="1" si="9"/>
        <v>0.37067212058466287</v>
      </c>
      <c r="X14" s="83" t="s">
        <v>11</v>
      </c>
    </row>
    <row r="15" spans="1:24" x14ac:dyDescent="0.2">
      <c r="A15" s="101" t="s">
        <v>1384</v>
      </c>
      <c r="B15" s="92">
        <f ca="1">OFFSET('9'!$D$4,$A$3,0)</f>
        <v>5600</v>
      </c>
      <c r="C15" s="84">
        <f ca="1">OFFSET('9'!$E$4,$A$3,0)</f>
        <v>116717.96542290371</v>
      </c>
      <c r="D15" s="162">
        <f t="shared" ca="1" si="0"/>
        <v>20.84249382551852</v>
      </c>
      <c r="E15" s="84">
        <f ca="1">OFFSET('9'!$E$66,$A$3,0)</f>
        <v>88988</v>
      </c>
      <c r="F15" s="162">
        <f t="shared" ca="1" si="1"/>
        <v>15.890714285714285</v>
      </c>
      <c r="G15" s="84">
        <f ca="1">'9'!$F$100*B15</f>
        <v>2462.701399970224</v>
      </c>
      <c r="H15" s="162">
        <f t="shared" ca="1" si="2"/>
        <v>0.43976810713754</v>
      </c>
      <c r="I15" s="84">
        <f ca="1">'9'!$F$98*'Discipline Analysis'!B15</f>
        <v>6276.340193463875</v>
      </c>
      <c r="J15" s="162">
        <f t="shared" ca="1" si="3"/>
        <v>1.1207750345471206</v>
      </c>
      <c r="K15" s="84">
        <f ca="1">'9'!$F$99*'Discipline Analysis'!B15</f>
        <v>3315.1063092084687</v>
      </c>
      <c r="L15" s="162">
        <f t="shared" ca="1" si="4"/>
        <v>0.59198326950151225</v>
      </c>
      <c r="M15" s="84">
        <f ca="1">OFFSET('9'!$E$35,$A$3,0)</f>
        <v>13815</v>
      </c>
      <c r="N15" s="162">
        <f t="shared" ca="1" si="5"/>
        <v>2.4669642857142855</v>
      </c>
      <c r="O15" s="84">
        <f ca="1">'9'!$F$101*'Discipline Analysis'!B15</f>
        <v>0</v>
      </c>
      <c r="P15" s="162">
        <f t="shared" ca="1" si="6"/>
        <v>0</v>
      </c>
      <c r="Q15" s="84">
        <f ca="1">'9'!$F$102*'Discipline Analysis'!B15</f>
        <v>0</v>
      </c>
      <c r="R15" s="162">
        <f t="shared" ca="1" si="7"/>
        <v>0</v>
      </c>
      <c r="S15" s="84">
        <f ca="1">'9'!$F$103*'Discipline Analysis'!B15</f>
        <v>841.94415107008638</v>
      </c>
      <c r="T15" s="162">
        <f t="shared" ca="1" si="8"/>
        <v>0.150347169833944</v>
      </c>
      <c r="U15" s="84">
        <f ca="1">'9'!$F$104*'Discipline Analysis'!B15</f>
        <v>1018.8733691910628</v>
      </c>
      <c r="V15" s="165">
        <f t="shared" ca="1" si="9"/>
        <v>0.18194167306983264</v>
      </c>
      <c r="X15" s="83" t="s">
        <v>12</v>
      </c>
    </row>
    <row r="16" spans="1:24" x14ac:dyDescent="0.2">
      <c r="A16" s="101" t="s">
        <v>1394</v>
      </c>
      <c r="B16" s="92">
        <f ca="1">OFFSET('10'!$D$4,$A$3,0)</f>
        <v>40384</v>
      </c>
      <c r="C16" s="84">
        <f ca="1">OFFSET('10'!$E$4,$A$3,0)</f>
        <v>311876.98354443937</v>
      </c>
      <c r="D16" s="162">
        <f t="shared" ca="1" si="0"/>
        <v>7.7227858445037478</v>
      </c>
      <c r="E16" s="84">
        <f ca="1">OFFSET('10'!$E$66,$A$3,0)</f>
        <v>162570</v>
      </c>
      <c r="F16" s="162">
        <f t="shared" ca="1" si="1"/>
        <v>4.0256041996830429</v>
      </c>
      <c r="G16" s="84">
        <f ca="1">'10'!$F$100*B16</f>
        <v>20365.232166577003</v>
      </c>
      <c r="H16" s="162">
        <f t="shared" ca="1" si="2"/>
        <v>0.50428962377617381</v>
      </c>
      <c r="I16" s="84">
        <f ca="1">'10'!$F$98*'Discipline Analysis'!B16</f>
        <v>45760.038684786203</v>
      </c>
      <c r="J16" s="162">
        <f t="shared" ca="1" si="3"/>
        <v>1.1331229864497376</v>
      </c>
      <c r="K16" s="84">
        <f ca="1">'10'!$F$99*'Discipline Analysis'!B16</f>
        <v>20277.435350340817</v>
      </c>
      <c r="L16" s="162">
        <f t="shared" ca="1" si="4"/>
        <v>0.50211557424576114</v>
      </c>
      <c r="M16" s="84">
        <f ca="1">OFFSET('10'!$E$35,$A$3,0)</f>
        <v>38560</v>
      </c>
      <c r="N16" s="162">
        <f t="shared" ca="1" si="5"/>
        <v>0.95483359746434227</v>
      </c>
      <c r="O16" s="84">
        <f ca="1">'10'!$F$101*'Discipline Analysis'!B16</f>
        <v>0</v>
      </c>
      <c r="P16" s="162">
        <f t="shared" ca="1" si="6"/>
        <v>0</v>
      </c>
      <c r="Q16" s="84">
        <f ca="1">'10'!$F$102*'Discipline Analysis'!B16</f>
        <v>0</v>
      </c>
      <c r="R16" s="162">
        <f t="shared" ca="1" si="7"/>
        <v>0</v>
      </c>
      <c r="S16" s="84">
        <f ca="1">'10'!$F$103*'Discipline Analysis'!B16</f>
        <v>19431.334548798546</v>
      </c>
      <c r="T16" s="162">
        <f t="shared" ca="1" si="8"/>
        <v>0.4811641875197738</v>
      </c>
      <c r="U16" s="84">
        <f ca="1">'10'!$F$104*'Discipline Analysis'!B16</f>
        <v>4912.9427939367897</v>
      </c>
      <c r="V16" s="165">
        <f t="shared" ca="1" si="9"/>
        <v>0.12165567536491655</v>
      </c>
      <c r="X16" s="83" t="s">
        <v>804</v>
      </c>
    </row>
    <row r="17" spans="1:24" x14ac:dyDescent="0.2">
      <c r="A17" s="101" t="s">
        <v>1395</v>
      </c>
      <c r="B17" s="92">
        <f ca="1">OFFSET('11'!$D$4,$A$3,0)</f>
        <v>11568</v>
      </c>
      <c r="C17" s="84">
        <f ca="1">OFFSET('11'!$E$4,$A$3,0)</f>
        <v>154616.53365162649</v>
      </c>
      <c r="D17" s="162">
        <f t="shared" ca="1" si="0"/>
        <v>13.365882922858445</v>
      </c>
      <c r="E17" s="84">
        <f ca="1">OFFSET('11'!$E$66,$A$3,0)</f>
        <v>109051</v>
      </c>
      <c r="F17" s="162">
        <f t="shared" ca="1" si="1"/>
        <v>9.4269536652835413</v>
      </c>
      <c r="G17" s="84">
        <f ca="1">'11'!$F$100*B17</f>
        <v>3903.3446854274962</v>
      </c>
      <c r="H17" s="162">
        <f t="shared" ca="1" si="2"/>
        <v>0.33742606201828285</v>
      </c>
      <c r="I17" s="84">
        <f ca="1">'11'!$F$98*'Discipline Analysis'!B17</f>
        <v>23415.051942620325</v>
      </c>
      <c r="J17" s="162">
        <f t="shared" ca="1" si="3"/>
        <v>2.0241227474602632</v>
      </c>
      <c r="K17" s="84">
        <f ca="1">'11'!$F$99*'Discipline Analysis'!B17</f>
        <v>4323.2682733410466</v>
      </c>
      <c r="L17" s="162">
        <f t="shared" ca="1" si="4"/>
        <v>0.37372651048937122</v>
      </c>
      <c r="M17" s="84">
        <f ca="1">OFFSET('11'!$E$35,$A$3,0)</f>
        <v>10412</v>
      </c>
      <c r="N17" s="162">
        <f t="shared" ca="1" si="5"/>
        <v>0.90006915629322271</v>
      </c>
      <c r="O17" s="84">
        <f ca="1">'11'!$F$101*'Discipline Analysis'!B17</f>
        <v>0</v>
      </c>
      <c r="P17" s="162">
        <f t="shared" ca="1" si="6"/>
        <v>0</v>
      </c>
      <c r="Q17" s="84">
        <f ca="1">'11'!$F$102*'Discipline Analysis'!B17</f>
        <v>482.2120614642572</v>
      </c>
      <c r="R17" s="162">
        <f t="shared" ca="1" si="7"/>
        <v>4.1684998397670918E-2</v>
      </c>
      <c r="S17" s="84">
        <f ca="1">'11'!$F$103*'Discipline Analysis'!B17</f>
        <v>2264.8269104379519</v>
      </c>
      <c r="T17" s="162">
        <f t="shared" ca="1" si="8"/>
        <v>0.19578379239608851</v>
      </c>
      <c r="U17" s="84">
        <f ca="1">'11'!$F$104*'Discipline Analysis'!B17</f>
        <v>764.82977833542452</v>
      </c>
      <c r="V17" s="165">
        <f t="shared" ca="1" si="9"/>
        <v>6.611599052000558E-2</v>
      </c>
      <c r="X17" s="83" t="s">
        <v>13</v>
      </c>
    </row>
    <row r="18" spans="1:24" x14ac:dyDescent="0.2">
      <c r="A18" s="101" t="s">
        <v>1288</v>
      </c>
      <c r="B18" s="92">
        <f ca="1">OFFSET('12'!$D$4,$A$3,0)</f>
        <v>0</v>
      </c>
      <c r="C18" s="84">
        <f ca="1">OFFSET('12'!$E$4,$A$3,0)</f>
        <v>0</v>
      </c>
      <c r="D18" s="162" t="str">
        <f t="shared" ca="1" si="0"/>
        <v/>
      </c>
      <c r="E18" s="84">
        <f ca="1">OFFSET('12'!$E$66,$A$3,0)</f>
        <v>0</v>
      </c>
      <c r="F18" s="162" t="str">
        <f t="shared" ca="1" si="1"/>
        <v/>
      </c>
      <c r="G18" s="84">
        <f ca="1">'12'!$F$100*B18</f>
        <v>0</v>
      </c>
      <c r="H18" s="162" t="str">
        <f t="shared" ca="1" si="2"/>
        <v/>
      </c>
      <c r="I18" s="84">
        <f ca="1">'12'!$F$98*'Discipline Analysis'!B18</f>
        <v>0</v>
      </c>
      <c r="J18" s="162" t="str">
        <f t="shared" ca="1" si="3"/>
        <v/>
      </c>
      <c r="K18" s="84">
        <f ca="1">'12'!$F$99*'Discipline Analysis'!B18</f>
        <v>0</v>
      </c>
      <c r="L18" s="162" t="str">
        <f t="shared" ca="1" si="4"/>
        <v/>
      </c>
      <c r="M18" s="84">
        <f ca="1">OFFSET('12'!$E$35,$A$3,0)</f>
        <v>0</v>
      </c>
      <c r="N18" s="162" t="str">
        <f t="shared" ca="1" si="5"/>
        <v/>
      </c>
      <c r="O18" s="84">
        <f ca="1">'12'!$F$101*'Discipline Analysis'!B18</f>
        <v>0</v>
      </c>
      <c r="P18" s="162" t="str">
        <f t="shared" ca="1" si="6"/>
        <v/>
      </c>
      <c r="Q18" s="84">
        <f ca="1">'12'!$F$102*'Discipline Analysis'!B18</f>
        <v>0</v>
      </c>
      <c r="R18" s="162" t="str">
        <f t="shared" ca="1" si="7"/>
        <v/>
      </c>
      <c r="S18" s="84">
        <f ca="1">'12'!$F$103*'Discipline Analysis'!B18</f>
        <v>0</v>
      </c>
      <c r="T18" s="162" t="str">
        <f t="shared" ca="1" si="8"/>
        <v/>
      </c>
      <c r="U18" s="84">
        <f ca="1">'12'!$F$104*'Discipline Analysis'!B18</f>
        <v>0</v>
      </c>
      <c r="V18" s="165" t="str">
        <f t="shared" ca="1" si="9"/>
        <v/>
      </c>
      <c r="X18" s="83" t="s">
        <v>14</v>
      </c>
    </row>
    <row r="19" spans="1:24" x14ac:dyDescent="0.2">
      <c r="A19" s="101" t="s">
        <v>1418</v>
      </c>
      <c r="B19" s="92">
        <f ca="1">OFFSET('13'!$D$4,$A$3,0)</f>
        <v>104652</v>
      </c>
      <c r="C19" s="84">
        <f ca="1">OFFSET('13'!$E$4,$A$3,0)</f>
        <v>639851.49441316584</v>
      </c>
      <c r="D19" s="162">
        <f t="shared" ca="1" si="0"/>
        <v>6.1140875894695359</v>
      </c>
      <c r="E19" s="84">
        <f ca="1">OFFSET('13'!$E$66,$A$3,0)</f>
        <v>270384</v>
      </c>
      <c r="F19" s="162">
        <f t="shared" ca="1" si="1"/>
        <v>2.5836486641440204</v>
      </c>
      <c r="G19" s="84">
        <f ca="1">'13'!$F$100*B19</f>
        <v>73185.290255521875</v>
      </c>
      <c r="H19" s="162">
        <f t="shared" ca="1" si="2"/>
        <v>0.69932051232199932</v>
      </c>
      <c r="I19" s="84">
        <f ca="1">'13'!$F$98*'Discipline Analysis'!B19</f>
        <v>113736.36691208315</v>
      </c>
      <c r="J19" s="162">
        <f t="shared" ca="1" si="3"/>
        <v>1.086805478271635</v>
      </c>
      <c r="K19" s="84">
        <f ca="1">'13'!$F$99*'Discipline Analysis'!B19</f>
        <v>65403.845820701601</v>
      </c>
      <c r="L19" s="162">
        <f t="shared" ca="1" si="4"/>
        <v>0.62496508256604366</v>
      </c>
      <c r="M19" s="84">
        <f ca="1">OFFSET('13'!$E$35,$A$3,0)</f>
        <v>82915</v>
      </c>
      <c r="N19" s="162">
        <f t="shared" ca="1" si="5"/>
        <v>0.79229255054848446</v>
      </c>
      <c r="O19" s="84">
        <f ca="1">'13'!$F$101*'Discipline Analysis'!B19</f>
        <v>0</v>
      </c>
      <c r="P19" s="162">
        <f t="shared" ca="1" si="6"/>
        <v>0</v>
      </c>
      <c r="Q19" s="84">
        <f ca="1">'13'!$F$102*'Discipline Analysis'!B19</f>
        <v>0</v>
      </c>
      <c r="R19" s="162">
        <f t="shared" ca="1" si="7"/>
        <v>0</v>
      </c>
      <c r="S19" s="84">
        <f ca="1">'13'!$F$103*'Discipline Analysis'!B19</f>
        <v>22114.424252923342</v>
      </c>
      <c r="T19" s="162">
        <f t="shared" ca="1" si="8"/>
        <v>0.21131391901658203</v>
      </c>
      <c r="U19" s="84">
        <f ca="1">'13'!$F$104*'Discipline Analysis'!B19</f>
        <v>12112.567171935903</v>
      </c>
      <c r="V19" s="165">
        <f t="shared" ca="1" si="9"/>
        <v>0.11574138260077116</v>
      </c>
      <c r="X19" s="83" t="s">
        <v>15</v>
      </c>
    </row>
    <row r="20" spans="1:24" x14ac:dyDescent="0.2">
      <c r="A20" s="101" t="s">
        <v>1419</v>
      </c>
      <c r="B20" s="92">
        <f ca="1">OFFSET('14'!$D$4,$A$3,0)</f>
        <v>63962</v>
      </c>
      <c r="C20" s="84">
        <f ca="1">OFFSET('14'!$E$4,$A$3,0)</f>
        <v>1288845.6215922055</v>
      </c>
      <c r="D20" s="162">
        <f t="shared" ca="1" si="0"/>
        <v>20.150177004974914</v>
      </c>
      <c r="E20" s="84">
        <f ca="1">OFFSET('14'!$E$66,$A$3,0)</f>
        <v>494973</v>
      </c>
      <c r="F20" s="162">
        <f t="shared" ca="1" si="1"/>
        <v>7.7385478878083864</v>
      </c>
      <c r="G20" s="84">
        <f ca="1">'14'!$F$100*B20</f>
        <v>32562.00424459326</v>
      </c>
      <c r="H20" s="162">
        <f t="shared" ca="1" si="2"/>
        <v>0.50908358470018544</v>
      </c>
      <c r="I20" s="84">
        <f ca="1">'14'!$F$98*'Discipline Analysis'!B20</f>
        <v>105739.16019918695</v>
      </c>
      <c r="J20" s="162">
        <f t="shared" ca="1" si="3"/>
        <v>1.6531559394513453</v>
      </c>
      <c r="K20" s="84">
        <f ca="1">'14'!$F$99*'Discipline Analysis'!B20</f>
        <v>55293.201545884593</v>
      </c>
      <c r="L20" s="162">
        <f t="shared" ca="1" si="4"/>
        <v>0.86446955295151173</v>
      </c>
      <c r="M20" s="84">
        <f ca="1">OFFSET('14'!$E$35,$A$3,0)</f>
        <v>575985</v>
      </c>
      <c r="N20" s="162">
        <f t="shared" ca="1" si="5"/>
        <v>9.0051124104937301</v>
      </c>
      <c r="O20" s="84">
        <f ca="1">'14'!$F$101*'Discipline Analysis'!B20</f>
        <v>0</v>
      </c>
      <c r="P20" s="162">
        <f t="shared" ca="1" si="6"/>
        <v>0</v>
      </c>
      <c r="Q20" s="84">
        <f ca="1">'14'!$F$102*'Discipline Analysis'!B20</f>
        <v>0</v>
      </c>
      <c r="R20" s="162">
        <f t="shared" ca="1" si="7"/>
        <v>0</v>
      </c>
      <c r="S20" s="84">
        <f ca="1">'14'!$F$103*'Discipline Analysis'!B20</f>
        <v>6244.9575128260494</v>
      </c>
      <c r="T20" s="162">
        <f t="shared" ca="1" si="8"/>
        <v>9.7635432175761386E-2</v>
      </c>
      <c r="U20" s="84">
        <f ca="1">'14'!$F$104*'Discipline Analysis'!B20</f>
        <v>18048.298089714513</v>
      </c>
      <c r="V20" s="165">
        <f t="shared" ca="1" si="9"/>
        <v>0.28217219739399196</v>
      </c>
      <c r="X20" s="83" t="s">
        <v>16</v>
      </c>
    </row>
    <row r="21" spans="1:24" x14ac:dyDescent="0.2">
      <c r="A21" s="101" t="s">
        <v>1396</v>
      </c>
      <c r="B21" s="92">
        <f ca="1">OFFSET('15'!$D$4,$A$3,0)</f>
        <v>330</v>
      </c>
      <c r="C21" s="84">
        <f ca="1">OFFSET('15'!$E$4,$A$3,0)</f>
        <v>1673.8818642250096</v>
      </c>
      <c r="D21" s="162">
        <f t="shared" ca="1" si="0"/>
        <v>5.072369285530332</v>
      </c>
      <c r="E21" s="84">
        <f ca="1">OFFSET('15'!$E$66,$A$3,0)</f>
        <v>114</v>
      </c>
      <c r="F21" s="162">
        <f t="shared" ca="1" si="1"/>
        <v>0.34545454545454546</v>
      </c>
      <c r="G21" s="84">
        <f ca="1">'15'!$F$100*B21</f>
        <v>253.297447793402</v>
      </c>
      <c r="H21" s="162">
        <f t="shared" ca="1" si="2"/>
        <v>0.76756802361636967</v>
      </c>
      <c r="I21" s="84">
        <f ca="1">'15'!$F$98*'Discipline Analysis'!B21</f>
        <v>734.57911422957602</v>
      </c>
      <c r="J21" s="162">
        <f t="shared" ca="1" si="3"/>
        <v>2.2259973158472</v>
      </c>
      <c r="K21" s="84">
        <f ca="1">'15'!$F$99*'Discipline Analysis'!B21</f>
        <v>238.99808212672573</v>
      </c>
      <c r="L21" s="162">
        <f t="shared" ca="1" si="4"/>
        <v>0.72423661250522953</v>
      </c>
      <c r="M21" s="84">
        <f ca="1">OFFSET('15'!$E$35,$A$3,0)</f>
        <v>144</v>
      </c>
      <c r="N21" s="162">
        <f t="shared" ca="1" si="5"/>
        <v>0.43636363636363634</v>
      </c>
      <c r="O21" s="84">
        <f ca="1">'15'!$F$101*'Discipline Analysis'!B21</f>
        <v>0</v>
      </c>
      <c r="P21" s="162">
        <f t="shared" ca="1" si="6"/>
        <v>0</v>
      </c>
      <c r="Q21" s="84">
        <f ca="1">'15'!$F$102*'Discipline Analysis'!B21</f>
        <v>0</v>
      </c>
      <c r="R21" s="162">
        <f t="shared" ca="1" si="7"/>
        <v>0</v>
      </c>
      <c r="S21" s="84">
        <f ca="1">'15'!$F$103*'Discipline Analysis'!B21</f>
        <v>0</v>
      </c>
      <c r="T21" s="162">
        <f t="shared" ca="1" si="8"/>
        <v>0</v>
      </c>
      <c r="U21" s="84">
        <f ca="1">'15'!$F$104*'Discipline Analysis'!B21</f>
        <v>189.0072200753059</v>
      </c>
      <c r="V21" s="165">
        <f t="shared" ca="1" si="9"/>
        <v>0.57274915174335117</v>
      </c>
      <c r="X21" s="83" t="s">
        <v>17</v>
      </c>
    </row>
    <row r="22" spans="1:24" x14ac:dyDescent="0.2">
      <c r="A22" s="100" t="s">
        <v>1420</v>
      </c>
      <c r="B22" s="92">
        <f ca="1">OFFSET('16'!$D$4,$A$3,0)</f>
        <v>6192</v>
      </c>
      <c r="C22" s="84">
        <f ca="1">OFFSET('16'!$E$4,$A$3,0)</f>
        <v>33853.109971787926</v>
      </c>
      <c r="D22" s="162">
        <f t="shared" ca="1" si="0"/>
        <v>5.4672335225755697</v>
      </c>
      <c r="E22" s="84">
        <f ca="1">OFFSET('16'!$E$66,$A$3,0)</f>
        <v>5076</v>
      </c>
      <c r="F22" s="162">
        <f t="shared" ca="1" si="1"/>
        <v>0.81976744186046513</v>
      </c>
      <c r="G22" s="84">
        <f ca="1">'16'!$F$100*B22</f>
        <v>7240.9787426914736</v>
      </c>
      <c r="H22" s="162">
        <f t="shared" ca="1" si="2"/>
        <v>1.1694087116749796</v>
      </c>
      <c r="I22" s="84">
        <f ca="1">'16'!$F$98*'Discipline Analysis'!B22</f>
        <v>8993.0838966037863</v>
      </c>
      <c r="J22" s="162">
        <f t="shared" ca="1" si="3"/>
        <v>1.4523714303300688</v>
      </c>
      <c r="K22" s="84">
        <f ca="1">'16'!$F$99*'Discipline Analysis'!B22</f>
        <v>3977.7379743198044</v>
      </c>
      <c r="L22" s="162">
        <f t="shared" ca="1" si="4"/>
        <v>0.64239954365629914</v>
      </c>
      <c r="M22" s="84">
        <f ca="1">OFFSET('16'!$E$35,$A$3,0)</f>
        <v>5966</v>
      </c>
      <c r="N22" s="162">
        <f t="shared" ca="1" si="5"/>
        <v>0.96350129198966405</v>
      </c>
      <c r="O22" s="84">
        <f ca="1">'16'!$F$101*'Discipline Analysis'!B22</f>
        <v>22.552551775622675</v>
      </c>
      <c r="P22" s="162">
        <f t="shared" ca="1" si="6"/>
        <v>3.6422079740992693E-3</v>
      </c>
      <c r="Q22" s="84">
        <f ca="1">'16'!$F$102*'Discipline Analysis'!B22</f>
        <v>968.10985032887766</v>
      </c>
      <c r="R22" s="162">
        <f t="shared" ca="1" si="7"/>
        <v>0.15634849004019341</v>
      </c>
      <c r="S22" s="84">
        <f ca="1">'16'!$F$103*'Discipline Analysis'!B22</f>
        <v>406.71533060066929</v>
      </c>
      <c r="T22" s="162">
        <f t="shared" ca="1" si="8"/>
        <v>6.5684000420004732E-2</v>
      </c>
      <c r="U22" s="84">
        <f ca="1">'16'!$F$104*'Discipline Analysis'!B22</f>
        <v>1201.9316254676914</v>
      </c>
      <c r="V22" s="165">
        <f t="shared" ca="1" si="9"/>
        <v>0.19411040462979512</v>
      </c>
      <c r="X22" s="83" t="s">
        <v>18</v>
      </c>
    </row>
    <row r="23" spans="1:24" x14ac:dyDescent="0.2">
      <c r="A23" s="101" t="s">
        <v>1397</v>
      </c>
      <c r="B23" s="92">
        <f ca="1">OFFSET('17'!$D$4,$A$3,0)</f>
        <v>13592</v>
      </c>
      <c r="C23" s="84">
        <f ca="1">OFFSET('17'!$E$4,$A$3,0)</f>
        <v>332414.86871317244</v>
      </c>
      <c r="D23" s="162">
        <f t="shared" ca="1" si="0"/>
        <v>24.456656026572428</v>
      </c>
      <c r="E23" s="84">
        <f ca="1">OFFSET('17'!$E$66,$A$3,0)</f>
        <v>180000</v>
      </c>
      <c r="F23" s="162">
        <f t="shared" ca="1" si="1"/>
        <v>13.243084167157152</v>
      </c>
      <c r="G23" s="84">
        <f ca="1">'17'!$F$100*B23</f>
        <v>3062.1487394200403</v>
      </c>
      <c r="H23" s="162">
        <f t="shared" ca="1" si="2"/>
        <v>0.22529051938052091</v>
      </c>
      <c r="I23" s="84">
        <f ca="1">'17'!$F$98*'Discipline Analysis'!B23</f>
        <v>30448.49213088927</v>
      </c>
      <c r="J23" s="162">
        <f t="shared" ca="1" si="3"/>
        <v>2.2401774669577157</v>
      </c>
      <c r="K23" s="84">
        <f ca="1">'17'!$F$99*'Discipline Analysis'!B23</f>
        <v>10841.813225190022</v>
      </c>
      <c r="L23" s="162">
        <f t="shared" ca="1" si="4"/>
        <v>0.79766136147660549</v>
      </c>
      <c r="M23" s="84">
        <f ca="1">OFFSET('17'!$E$35,$A$3,0)</f>
        <v>96950</v>
      </c>
      <c r="N23" s="162">
        <f t="shared" ca="1" si="5"/>
        <v>7.1328722778104767</v>
      </c>
      <c r="O23" s="84">
        <f ca="1">'17'!$F$101*'Discipline Analysis'!B23</f>
        <v>0</v>
      </c>
      <c r="P23" s="162">
        <f t="shared" ca="1" si="6"/>
        <v>0</v>
      </c>
      <c r="Q23" s="84">
        <f ca="1">'17'!$F$102*'Discipline Analysis'!B23</f>
        <v>1573.1078797516527</v>
      </c>
      <c r="R23" s="162">
        <f t="shared" ca="1" si="7"/>
        <v>0.11573777808649593</v>
      </c>
      <c r="S23" s="84">
        <f ca="1">'17'!$F$103*'Discipline Analysis'!B23</f>
        <v>5865.4875656375016</v>
      </c>
      <c r="T23" s="162">
        <f t="shared" ca="1" si="8"/>
        <v>0.43153969729528413</v>
      </c>
      <c r="U23" s="84">
        <f ca="1">'17'!$F$104*'Discipline Analysis'!B23</f>
        <v>3673.819172283941</v>
      </c>
      <c r="V23" s="165">
        <f t="shared" ca="1" si="9"/>
        <v>0.27029275840817696</v>
      </c>
      <c r="X23" s="83" t="s">
        <v>801</v>
      </c>
    </row>
    <row r="24" spans="1:24" x14ac:dyDescent="0.2">
      <c r="A24" s="101" t="s">
        <v>1398</v>
      </c>
      <c r="B24" s="92">
        <f ca="1">OFFSET('18'!$D$4,$A$3,0)</f>
        <v>18240</v>
      </c>
      <c r="C24" s="84">
        <f ca="1">OFFSET('18'!$E$4,$A$3,0)</f>
        <v>167874.52680837229</v>
      </c>
      <c r="D24" s="162">
        <f t="shared" ca="1" si="0"/>
        <v>9.2036473030905857</v>
      </c>
      <c r="E24" s="84">
        <f ca="1">OFFSET('18'!$E$66,$A$3,0)</f>
        <v>40903</v>
      </c>
      <c r="F24" s="162">
        <f t="shared" ca="1" si="1"/>
        <v>2.2424890350877194</v>
      </c>
      <c r="G24" s="84">
        <f ca="1">'18'!$F$100*B24</f>
        <v>17605.206302529918</v>
      </c>
      <c r="H24" s="162">
        <f t="shared" ca="1" si="2"/>
        <v>0.96519771395449105</v>
      </c>
      <c r="I24" s="84">
        <f ca="1">'18'!$F$98*'Discipline Analysis'!B24</f>
        <v>53874.39812818537</v>
      </c>
      <c r="J24" s="162">
        <f t="shared" ca="1" si="3"/>
        <v>2.9536402482557769</v>
      </c>
      <c r="K24" s="84">
        <f ca="1">'18'!$F$99*'Discipline Analysis'!B24</f>
        <v>22192.862787787963</v>
      </c>
      <c r="L24" s="162">
        <f t="shared" ca="1" si="4"/>
        <v>1.2167139686287261</v>
      </c>
      <c r="M24" s="84">
        <f ca="1">OFFSET('18'!$E$35,$A$3,0)</f>
        <v>19229</v>
      </c>
      <c r="N24" s="162">
        <f t="shared" ca="1" si="5"/>
        <v>1.0542214912280701</v>
      </c>
      <c r="O24" s="84">
        <f ca="1">'18'!$F$101*'Discipline Analysis'!B24</f>
        <v>0</v>
      </c>
      <c r="P24" s="162">
        <f t="shared" ca="1" si="6"/>
        <v>0</v>
      </c>
      <c r="Q24" s="84">
        <f ca="1">'18'!$F$102*'Discipline Analysis'!B24</f>
        <v>0</v>
      </c>
      <c r="R24" s="162">
        <f t="shared" ca="1" si="7"/>
        <v>0</v>
      </c>
      <c r="S24" s="84">
        <f ca="1">'18'!$F$103*'Discipline Analysis'!B24</f>
        <v>5415.4492567171137</v>
      </c>
      <c r="T24" s="162">
        <f t="shared" ca="1" si="8"/>
        <v>0.29689963030247335</v>
      </c>
      <c r="U24" s="84">
        <f ca="1">'18'!$F$104*'Discipline Analysis'!B24</f>
        <v>8654.6103331519007</v>
      </c>
      <c r="V24" s="165">
        <f t="shared" ca="1" si="9"/>
        <v>0.47448521563332791</v>
      </c>
      <c r="X24" s="83" t="s">
        <v>19</v>
      </c>
    </row>
    <row r="25" spans="1:24" x14ac:dyDescent="0.2">
      <c r="A25" s="101" t="s">
        <v>1428</v>
      </c>
      <c r="B25" s="92">
        <f ca="1">OFFSET('19'!$D$4,$A$3,0)</f>
        <v>13489</v>
      </c>
      <c r="C25" s="84">
        <f ca="1">OFFSET('19'!$E$4,$A$3,0)</f>
        <v>68131.501436139035</v>
      </c>
      <c r="D25" s="162">
        <f t="shared" ca="1" si="0"/>
        <v>5.0508934269507773</v>
      </c>
      <c r="E25" s="84">
        <f ca="1">OFFSET('19'!$E$66,$A$3,0)</f>
        <v>8896</v>
      </c>
      <c r="F25" s="162">
        <f t="shared" ca="1" si="1"/>
        <v>0.65950033360515981</v>
      </c>
      <c r="G25" s="84">
        <f ca="1">'19'!$F$100*B25</f>
        <v>6346.4390980543685</v>
      </c>
      <c r="H25" s="162">
        <f t="shared" ca="1" si="2"/>
        <v>0.47048996204717686</v>
      </c>
      <c r="I25" s="84">
        <f ca="1">'19'!$F$98*'Discipline Analysis'!B25</f>
        <v>16566.412725592487</v>
      </c>
      <c r="J25" s="162">
        <f t="shared" ca="1" si="3"/>
        <v>1.2281423919929191</v>
      </c>
      <c r="K25" s="84">
        <f ca="1">'19'!$F$99*'Discipline Analysis'!B25</f>
        <v>8184.3325256107391</v>
      </c>
      <c r="L25" s="162">
        <f t="shared" ca="1" si="4"/>
        <v>0.60674123549638515</v>
      </c>
      <c r="M25" s="84">
        <f ca="1">OFFSET('19'!$E$35,$A$3,0)</f>
        <v>23410</v>
      </c>
      <c r="N25" s="162">
        <f t="shared" ca="1" si="5"/>
        <v>1.7354881755504485</v>
      </c>
      <c r="O25" s="84">
        <f ca="1">'19'!$F$101*'Discipline Analysis'!B25</f>
        <v>0</v>
      </c>
      <c r="P25" s="162">
        <f t="shared" ca="1" si="6"/>
        <v>0</v>
      </c>
      <c r="Q25" s="84">
        <f ca="1">'19'!$F$102*'Discipline Analysis'!B25</f>
        <v>0</v>
      </c>
      <c r="R25" s="162">
        <f t="shared" ca="1" si="7"/>
        <v>0</v>
      </c>
      <c r="S25" s="84">
        <f ca="1">'19'!$F$103*'Discipline Analysis'!B25</f>
        <v>2043.9835819399084</v>
      </c>
      <c r="T25" s="162">
        <f t="shared" ca="1" si="8"/>
        <v>0.15152965986655115</v>
      </c>
      <c r="U25" s="84">
        <f ca="1">'19'!$F$104*'Discipline Analysis'!B25</f>
        <v>2684.3335049415277</v>
      </c>
      <c r="V25" s="165">
        <f t="shared" ca="1" si="9"/>
        <v>0.1990016683921364</v>
      </c>
      <c r="X25" s="83" t="s">
        <v>20</v>
      </c>
    </row>
    <row r="26" spans="1:24" x14ac:dyDescent="0.2">
      <c r="A26" s="101" t="s">
        <v>1399</v>
      </c>
      <c r="B26" s="92">
        <f ca="1">OFFSET('20'!$D$4,$A$3,0)</f>
        <v>10960</v>
      </c>
      <c r="C26" s="84">
        <f ca="1">OFFSET('20'!$E$4,$A$3,0)</f>
        <v>105155.09952355037</v>
      </c>
      <c r="D26" s="162">
        <f t="shared" ca="1" si="0"/>
        <v>9.5944433871852528</v>
      </c>
      <c r="E26" s="84">
        <f ca="1">OFFSET('20'!$E$66,$A$3,0)</f>
        <v>67388</v>
      </c>
      <c r="F26" s="162">
        <f t="shared" ca="1" si="1"/>
        <v>6.1485401459854012</v>
      </c>
      <c r="G26" s="84">
        <f ca="1">'20'!$F$100*B26</f>
        <v>4783.7497954972669</v>
      </c>
      <c r="H26" s="162">
        <f t="shared" ca="1" si="2"/>
        <v>0.43647352148697688</v>
      </c>
      <c r="I26" s="84">
        <f ca="1">'20'!$F$98*'Discipline Analysis'!B26</f>
        <v>12234.889000924852</v>
      </c>
      <c r="J26" s="162">
        <f t="shared" ca="1" si="3"/>
        <v>1.1163219891354792</v>
      </c>
      <c r="K26" s="84">
        <f ca="1">'20'!$F$99*'Discipline Analysis'!B26</f>
        <v>6207.2037047548138</v>
      </c>
      <c r="L26" s="162">
        <f t="shared" ca="1" si="4"/>
        <v>0.56635070298857793</v>
      </c>
      <c r="M26" s="84">
        <f ca="1">OFFSET('20'!$E$35,$A$3,0)</f>
        <v>10551</v>
      </c>
      <c r="N26" s="162">
        <f t="shared" ca="1" si="5"/>
        <v>0.9626824817518248</v>
      </c>
      <c r="O26" s="84">
        <f ca="1">'20'!$F$101*'Discipline Analysis'!B26</f>
        <v>0</v>
      </c>
      <c r="P26" s="162">
        <f t="shared" ca="1" si="6"/>
        <v>0</v>
      </c>
      <c r="Q26" s="84">
        <f ca="1">'20'!$F$102*'Discipline Analysis'!B26</f>
        <v>0</v>
      </c>
      <c r="R26" s="162">
        <f t="shared" ca="1" si="7"/>
        <v>0</v>
      </c>
      <c r="S26" s="84">
        <f ca="1">'20'!$F$103*'Discipline Analysis'!B26</f>
        <v>1353.9308931009959</v>
      </c>
      <c r="T26" s="162">
        <f t="shared" ca="1" si="8"/>
        <v>0.12353384061140474</v>
      </c>
      <c r="U26" s="84">
        <f ca="1">'20'!$F$104*'Discipline Analysis'!B26</f>
        <v>2636.3261292724378</v>
      </c>
      <c r="V26" s="165">
        <f t="shared" ca="1" si="9"/>
        <v>0.2405407052255874</v>
      </c>
      <c r="X26" s="83" t="s">
        <v>21</v>
      </c>
    </row>
    <row r="27" spans="1:24" x14ac:dyDescent="0.2">
      <c r="A27" s="101" t="s">
        <v>1421</v>
      </c>
      <c r="B27" s="92">
        <f ca="1">OFFSET('21'!$D$4,$A$3,0)</f>
        <v>99168</v>
      </c>
      <c r="C27" s="84">
        <f ca="1">OFFSET('21'!$E$4,$A$3,0)</f>
        <v>696572.66969945852</v>
      </c>
      <c r="D27" s="162">
        <f t="shared" ca="1" si="0"/>
        <v>7.0241677728648204</v>
      </c>
      <c r="E27" s="84">
        <f ca="1">OFFSET('21'!$E$66,$A$3,0)</f>
        <v>244253</v>
      </c>
      <c r="F27" s="162">
        <f t="shared" ca="1" si="1"/>
        <v>2.4630223459180383</v>
      </c>
      <c r="G27" s="84">
        <f ca="1">'21'!$F$100*B27</f>
        <v>59017.838529713619</v>
      </c>
      <c r="H27" s="162">
        <f t="shared" ca="1" si="2"/>
        <v>0.59512986578042937</v>
      </c>
      <c r="I27" s="84">
        <f ca="1">'21'!$F$98*'Discipline Analysis'!B27</f>
        <v>191534.78087885186</v>
      </c>
      <c r="J27" s="162">
        <f t="shared" ca="1" si="3"/>
        <v>1.9314171998916168</v>
      </c>
      <c r="K27" s="84">
        <f ca="1">'21'!$F$99*'Discipline Analysis'!B27</f>
        <v>98139.90714406599</v>
      </c>
      <c r="L27" s="162">
        <f t="shared" ca="1" si="4"/>
        <v>0.98963281647372126</v>
      </c>
      <c r="M27" s="84">
        <f ca="1">OFFSET('21'!$E$35,$A$3,0)</f>
        <v>73590</v>
      </c>
      <c r="N27" s="162">
        <f t="shared" ca="1" si="5"/>
        <v>0.74207405614714428</v>
      </c>
      <c r="O27" s="84">
        <f ca="1">'21'!$F$101*'Discipline Analysis'!B27</f>
        <v>0</v>
      </c>
      <c r="P27" s="162">
        <f t="shared" ca="1" si="6"/>
        <v>0</v>
      </c>
      <c r="Q27" s="84">
        <f ca="1">'21'!$F$102*'Discipline Analysis'!B27</f>
        <v>0</v>
      </c>
      <c r="R27" s="162">
        <f t="shared" ca="1" si="7"/>
        <v>0</v>
      </c>
      <c r="S27" s="84">
        <f ca="1">'21'!$F$103*'Discipline Analysis'!B27</f>
        <v>14730.681135772504</v>
      </c>
      <c r="T27" s="162">
        <f t="shared" ca="1" si="8"/>
        <v>0.14854268650948393</v>
      </c>
      <c r="U27" s="84">
        <f ca="1">'21'!$F$104*'Discipline Analysis'!B27</f>
        <v>15306.462011054577</v>
      </c>
      <c r="V27" s="165">
        <f t="shared" ca="1" si="9"/>
        <v>0.15434880214438707</v>
      </c>
      <c r="X27" s="83" t="s">
        <v>22</v>
      </c>
    </row>
    <row r="28" spans="1:24" x14ac:dyDescent="0.2">
      <c r="A28" s="101" t="s">
        <v>1400</v>
      </c>
      <c r="B28" s="92">
        <f ca="1">OFFSET('22'!$D$4,$A$3,0)</f>
        <v>56437</v>
      </c>
      <c r="C28" s="84">
        <f ca="1">OFFSET('22'!$E$4,$A$3,0)</f>
        <v>413908.58838781377</v>
      </c>
      <c r="D28" s="162">
        <f t="shared" ca="1" si="0"/>
        <v>7.3339934508888458</v>
      </c>
      <c r="E28" s="84">
        <f ca="1">OFFSET('22'!$E$66,$A$3,0)</f>
        <v>165006</v>
      </c>
      <c r="F28" s="162">
        <f t="shared" ca="1" si="1"/>
        <v>2.9237202544430074</v>
      </c>
      <c r="G28" s="84">
        <f ca="1">'22'!$F$100*B28</f>
        <v>22354.054534968163</v>
      </c>
      <c r="H28" s="162">
        <f t="shared" ca="1" si="2"/>
        <v>0.39608863927863214</v>
      </c>
      <c r="I28" s="84">
        <f ca="1">'22'!$F$98*'Discipline Analysis'!B28</f>
        <v>93759.788141112702</v>
      </c>
      <c r="J28" s="162">
        <f t="shared" ca="1" si="3"/>
        <v>1.6613177196008417</v>
      </c>
      <c r="K28" s="84">
        <f ca="1">'22'!$F$99*'Discipline Analysis'!B28</f>
        <v>39144.115754938292</v>
      </c>
      <c r="L28" s="162">
        <f t="shared" ca="1" si="4"/>
        <v>0.69358959113592666</v>
      </c>
      <c r="M28" s="84">
        <f ca="1">OFFSET('22'!$E$35,$A$3,0)</f>
        <v>66568</v>
      </c>
      <c r="N28" s="162">
        <f t="shared" ca="1" si="5"/>
        <v>1.1795098959902193</v>
      </c>
      <c r="O28" s="84">
        <f ca="1">'22'!$F$101*'Discipline Analysis'!B28</f>
        <v>0</v>
      </c>
      <c r="P28" s="162">
        <f t="shared" ca="1" si="6"/>
        <v>0</v>
      </c>
      <c r="Q28" s="84">
        <f ca="1">'22'!$F$102*'Discipline Analysis'!B28</f>
        <v>0</v>
      </c>
      <c r="R28" s="162">
        <f t="shared" ca="1" si="7"/>
        <v>0</v>
      </c>
      <c r="S28" s="84">
        <f ca="1">'22'!$F$103*'Discipline Analysis'!B28</f>
        <v>8186.7592606532562</v>
      </c>
      <c r="T28" s="162">
        <f t="shared" ca="1" si="8"/>
        <v>0.14506014247130883</v>
      </c>
      <c r="U28" s="84">
        <f ca="1">'22'!$F$104*'Discipline Analysis'!B28</f>
        <v>18889.870696141334</v>
      </c>
      <c r="V28" s="165">
        <f t="shared" ca="1" si="9"/>
        <v>0.33470720796890929</v>
      </c>
      <c r="X28" s="83" t="s">
        <v>23</v>
      </c>
    </row>
    <row r="29" spans="1:24" x14ac:dyDescent="0.2">
      <c r="A29" s="101" t="s">
        <v>1401</v>
      </c>
      <c r="B29" s="92">
        <f ca="1">OFFSET('23'!$D$4,$A$3,0)</f>
        <v>21824</v>
      </c>
      <c r="C29" s="84">
        <f ca="1">OFFSET('23'!$E$4,$A$3,0)</f>
        <v>137600.27370767487</v>
      </c>
      <c r="D29" s="162">
        <f t="shared" ca="1" si="0"/>
        <v>6.3049978788340759</v>
      </c>
      <c r="E29" s="84">
        <f ca="1">OFFSET('23'!$E$66,$A$3,0)</f>
        <v>70420</v>
      </c>
      <c r="F29" s="162">
        <f t="shared" ca="1" si="1"/>
        <v>3.2267228739002931</v>
      </c>
      <c r="G29" s="84">
        <f ca="1">'23'!$F$100*B29</f>
        <v>15445.643997791642</v>
      </c>
      <c r="H29" s="162">
        <f t="shared" ca="1" si="2"/>
        <v>0.70773662013341465</v>
      </c>
      <c r="I29" s="84">
        <f ca="1">'23'!$F$98*'Discipline Analysis'!B29</f>
        <v>21094.883417807167</v>
      </c>
      <c r="J29" s="162">
        <f t="shared" ca="1" si="3"/>
        <v>0.96659106569864217</v>
      </c>
      <c r="K29" s="84">
        <f ca="1">'23'!$F$99*'Discipline Analysis'!B29</f>
        <v>8333.4039841762042</v>
      </c>
      <c r="L29" s="162">
        <f t="shared" ca="1" si="4"/>
        <v>0.38184585704619706</v>
      </c>
      <c r="M29" s="84">
        <f ca="1">OFFSET('23'!$E$35,$A$3,0)</f>
        <v>8683</v>
      </c>
      <c r="N29" s="162">
        <f t="shared" ca="1" si="5"/>
        <v>0.39786473607038125</v>
      </c>
      <c r="O29" s="84">
        <f ca="1">'23'!$F$101*'Discipline Analysis'!B29</f>
        <v>0</v>
      </c>
      <c r="P29" s="162">
        <f t="shared" ca="1" si="6"/>
        <v>0</v>
      </c>
      <c r="Q29" s="84">
        <f ca="1">'23'!$F$102*'Discipline Analysis'!B29</f>
        <v>1044.9446125619027</v>
      </c>
      <c r="R29" s="162">
        <f t="shared" ca="1" si="7"/>
        <v>4.7880526601993344E-2</v>
      </c>
      <c r="S29" s="84">
        <f ca="1">'23'!$F$103*'Discipline Analysis'!B29</f>
        <v>6084.9722585438958</v>
      </c>
      <c r="T29" s="162">
        <f t="shared" ca="1" si="8"/>
        <v>0.27882020979398348</v>
      </c>
      <c r="U29" s="84">
        <f ca="1">'23'!$F$104*'Discipline Analysis'!B29</f>
        <v>6493.425436794063</v>
      </c>
      <c r="V29" s="165">
        <f t="shared" ca="1" si="9"/>
        <v>0.29753598958917077</v>
      </c>
      <c r="X29" s="83" t="s">
        <v>24</v>
      </c>
    </row>
    <row r="30" spans="1:24" x14ac:dyDescent="0.2">
      <c r="A30" s="101" t="s">
        <v>1385</v>
      </c>
      <c r="B30" s="92">
        <f ca="1">OFFSET('24'!$D$4,$A$3,0)</f>
        <v>0</v>
      </c>
      <c r="C30" s="84">
        <f ca="1">OFFSET('24'!$E$4,$A$3,0)</f>
        <v>0</v>
      </c>
      <c r="D30" s="162" t="str">
        <f t="shared" ca="1" si="0"/>
        <v/>
      </c>
      <c r="E30" s="84">
        <f ca="1">OFFSET('24'!$E$66,$A$3,0)</f>
        <v>0</v>
      </c>
      <c r="F30" s="162" t="str">
        <f t="shared" ca="1" si="1"/>
        <v/>
      </c>
      <c r="G30" s="84">
        <f ca="1">'24'!$F$100*B30</f>
        <v>0</v>
      </c>
      <c r="H30" s="162" t="str">
        <f t="shared" ca="1" si="2"/>
        <v/>
      </c>
      <c r="I30" s="84">
        <f ca="1">'24'!$F$98*'Discipline Analysis'!B30</f>
        <v>0</v>
      </c>
      <c r="J30" s="162" t="str">
        <f t="shared" ca="1" si="3"/>
        <v/>
      </c>
      <c r="K30" s="84">
        <f ca="1">'24'!$F$99*'Discipline Analysis'!B30</f>
        <v>0</v>
      </c>
      <c r="L30" s="162" t="str">
        <f t="shared" ca="1" si="4"/>
        <v/>
      </c>
      <c r="M30" s="84">
        <f ca="1">OFFSET('24'!$E$35,$A$3,0)</f>
        <v>0</v>
      </c>
      <c r="N30" s="162" t="str">
        <f t="shared" ca="1" si="5"/>
        <v/>
      </c>
      <c r="O30" s="84">
        <f ca="1">'24'!$F$101*'Discipline Analysis'!B30</f>
        <v>0</v>
      </c>
      <c r="P30" s="162" t="str">
        <f t="shared" ca="1" si="6"/>
        <v/>
      </c>
      <c r="Q30" s="84">
        <f ca="1">'24'!$F$102*'Discipline Analysis'!B30</f>
        <v>0</v>
      </c>
      <c r="R30" s="162" t="str">
        <f t="shared" ca="1" si="7"/>
        <v/>
      </c>
      <c r="S30" s="84">
        <f ca="1">'24'!$F$103*'Discipline Analysis'!B30</f>
        <v>0</v>
      </c>
      <c r="T30" s="162" t="str">
        <f t="shared" ca="1" si="8"/>
        <v/>
      </c>
      <c r="U30" s="84">
        <f ca="1">'24'!$F$104*'Discipline Analysis'!B30</f>
        <v>0</v>
      </c>
      <c r="V30" s="165" t="str">
        <f t="shared" ca="1" si="9"/>
        <v/>
      </c>
      <c r="X30" s="83" t="s">
        <v>25</v>
      </c>
    </row>
    <row r="31" spans="1:24" x14ac:dyDescent="0.2">
      <c r="A31" s="101" t="s">
        <v>1402</v>
      </c>
      <c r="B31" s="92">
        <f ca="1">OFFSET('25'!$D$4,$A$3,0)</f>
        <v>86176</v>
      </c>
      <c r="C31" s="84">
        <f ca="1">OFFSET('25'!$E$4,$A$3,0)</f>
        <v>537653.33854496584</v>
      </c>
      <c r="D31" s="162">
        <f t="shared" ca="1" si="0"/>
        <v>6.239014790022348</v>
      </c>
      <c r="E31" s="84">
        <f ca="1">OFFSET('25'!$E$66,$A$3,0)</f>
        <v>189209</v>
      </c>
      <c r="F31" s="162">
        <f t="shared" ca="1" si="1"/>
        <v>2.1956113070924621</v>
      </c>
      <c r="G31" s="84">
        <f ca="1">'25'!$F$100*B31</f>
        <v>60168.021743106176</v>
      </c>
      <c r="H31" s="162">
        <f t="shared" ca="1" si="2"/>
        <v>0.69819928684443666</v>
      </c>
      <c r="I31" s="84">
        <f ca="1">'25'!$F$98*'Discipline Analysis'!B31</f>
        <v>154681.04966249975</v>
      </c>
      <c r="J31" s="162">
        <f t="shared" ca="1" si="3"/>
        <v>1.7949434838296017</v>
      </c>
      <c r="K31" s="84">
        <f ca="1">'25'!$F$99*'Discipline Analysis'!B31</f>
        <v>55136.321896004796</v>
      </c>
      <c r="L31" s="162">
        <f t="shared" ca="1" si="4"/>
        <v>0.63981064212779426</v>
      </c>
      <c r="M31" s="84">
        <f ca="1">OFFSET('25'!$E$35,$A$3,0)</f>
        <v>46470</v>
      </c>
      <c r="N31" s="162">
        <f t="shared" ca="1" si="5"/>
        <v>0.53924526550315632</v>
      </c>
      <c r="O31" s="84">
        <f ca="1">'25'!$F$101*'Discipline Analysis'!B31</f>
        <v>0</v>
      </c>
      <c r="P31" s="162">
        <f t="shared" ca="1" si="6"/>
        <v>0</v>
      </c>
      <c r="Q31" s="84">
        <f ca="1">'25'!$F$102*'Discipline Analysis'!B31</f>
        <v>0</v>
      </c>
      <c r="R31" s="162">
        <f t="shared" ca="1" si="7"/>
        <v>0</v>
      </c>
      <c r="S31" s="84">
        <f ca="1">'25'!$F$103*'Discipline Analysis'!B31</f>
        <v>0</v>
      </c>
      <c r="T31" s="162">
        <f t="shared" ca="1" si="8"/>
        <v>0</v>
      </c>
      <c r="U31" s="84">
        <f ca="1">'25'!$F$104*'Discipline Analysis'!B31</f>
        <v>31988.945243355131</v>
      </c>
      <c r="V31" s="165">
        <f t="shared" ca="1" si="9"/>
        <v>0.37120480462489708</v>
      </c>
      <c r="X31" s="83" t="s">
        <v>1298</v>
      </c>
    </row>
    <row r="32" spans="1:24" x14ac:dyDescent="0.2">
      <c r="A32" s="100" t="s">
        <v>1403</v>
      </c>
      <c r="B32" s="92">
        <f ca="1">OFFSET('26'!$D$4,$A$3,0)</f>
        <v>69536</v>
      </c>
      <c r="C32" s="84">
        <f ca="1">OFFSET('26'!$E$4,$A$3,0)</f>
        <v>448705.00717819913</v>
      </c>
      <c r="D32" s="162">
        <f t="shared" ca="1" si="0"/>
        <v>6.4528446729492508</v>
      </c>
      <c r="E32" s="84">
        <f ca="1">OFFSET('26'!$E$66,$A$3,0)</f>
        <v>127989</v>
      </c>
      <c r="F32" s="162">
        <f t="shared" ca="1" si="1"/>
        <v>1.8406149332719741</v>
      </c>
      <c r="G32" s="84">
        <f ca="1">'26'!$F$100*B32</f>
        <v>113995.04353305799</v>
      </c>
      <c r="H32" s="162">
        <f t="shared" ca="1" si="2"/>
        <v>1.6393672850474286</v>
      </c>
      <c r="I32" s="84">
        <f ca="1">'26'!$F$98*'Discipline Analysis'!B32</f>
        <v>71928.163780523886</v>
      </c>
      <c r="J32" s="162">
        <f t="shared" ca="1" si="3"/>
        <v>1.0344018031023339</v>
      </c>
      <c r="K32" s="84">
        <f ca="1">'26'!$F$99*'Discipline Analysis'!B32</f>
        <v>76215.685072976077</v>
      </c>
      <c r="L32" s="162">
        <f t="shared" ca="1" si="4"/>
        <v>1.0960608184677876</v>
      </c>
      <c r="M32" s="84">
        <f ca="1">OFFSET('26'!$E$35,$A$3,0)</f>
        <v>23288</v>
      </c>
      <c r="N32" s="162">
        <f t="shared" ca="1" si="5"/>
        <v>0.33490566037735847</v>
      </c>
      <c r="O32" s="84">
        <f ca="1">'26'!$F$101*'Discipline Analysis'!B32</f>
        <v>0</v>
      </c>
      <c r="P32" s="162">
        <f t="shared" ca="1" si="6"/>
        <v>0</v>
      </c>
      <c r="Q32" s="84">
        <f ca="1">'26'!$F$102*'Discipline Analysis'!B32</f>
        <v>0</v>
      </c>
      <c r="R32" s="162">
        <f t="shared" ca="1" si="7"/>
        <v>0</v>
      </c>
      <c r="S32" s="84">
        <f ca="1">'26'!$F$103*'Discipline Analysis'!B32</f>
        <v>10915.701236341949</v>
      </c>
      <c r="T32" s="162">
        <f t="shared" ca="1" si="8"/>
        <v>0.15697913650974962</v>
      </c>
      <c r="U32" s="84">
        <f ca="1">'26'!$F$104*'Discipline Analysis'!B32</f>
        <v>24373.413555299259</v>
      </c>
      <c r="V32" s="165">
        <f t="shared" ca="1" si="9"/>
        <v>0.35051503617261937</v>
      </c>
    </row>
    <row r="33" spans="1:22" x14ac:dyDescent="0.2">
      <c r="A33" s="101" t="s">
        <v>1382</v>
      </c>
      <c r="B33" s="92">
        <f ca="1">OFFSET('27'!$D$4,$A$3,0)</f>
        <v>55012</v>
      </c>
      <c r="C33" s="84">
        <f ca="1">OFFSET('27'!$E$4,$A$3,0)</f>
        <v>546897.0553532613</v>
      </c>
      <c r="D33" s="162">
        <f t="shared" ca="1" si="0"/>
        <v>9.9414137888689975</v>
      </c>
      <c r="E33" s="84">
        <f ca="1">OFFSET('27'!$E$66,$A$3,0)</f>
        <v>123783</v>
      </c>
      <c r="F33" s="162">
        <f t="shared" ca="1" si="1"/>
        <v>2.2501090671126298</v>
      </c>
      <c r="G33" s="84">
        <f ca="1">'27'!$F$100*B33</f>
        <v>19665.360463006848</v>
      </c>
      <c r="H33" s="162">
        <f t="shared" ca="1" si="2"/>
        <v>0.35747401408795987</v>
      </c>
      <c r="I33" s="84">
        <f ca="1">'27'!$F$98*'Discipline Analysis'!B33</f>
        <v>77711.901124421856</v>
      </c>
      <c r="J33" s="162">
        <f t="shared" ca="1" si="3"/>
        <v>1.4126354454377563</v>
      </c>
      <c r="K33" s="84">
        <f ca="1">'27'!$F$99*'Discipline Analysis'!B33</f>
        <v>31060.029010247275</v>
      </c>
      <c r="L33" s="162">
        <f t="shared" ca="1" si="4"/>
        <v>0.56460461372513771</v>
      </c>
      <c r="M33" s="84">
        <f ca="1">OFFSET('27'!$E$35,$A$3,0)</f>
        <v>273920</v>
      </c>
      <c r="N33" s="162">
        <f t="shared" ca="1" si="5"/>
        <v>4.9792772486003054</v>
      </c>
      <c r="O33" s="84">
        <f ca="1">'27'!$F$101*'Discipline Analysis'!B33</f>
        <v>0</v>
      </c>
      <c r="P33" s="162">
        <f t="shared" ca="1" si="6"/>
        <v>0</v>
      </c>
      <c r="Q33" s="84">
        <f ca="1">'27'!$F$102*'Discipline Analysis'!B33</f>
        <v>15293.404779610049</v>
      </c>
      <c r="R33" s="162">
        <f t="shared" ca="1" si="7"/>
        <v>0.27800125026557931</v>
      </c>
      <c r="S33" s="84">
        <f ca="1">'27'!$F$103*'Discipline Analysis'!B33</f>
        <v>0</v>
      </c>
      <c r="T33" s="162">
        <f t="shared" ca="1" si="8"/>
        <v>0</v>
      </c>
      <c r="U33" s="84">
        <f ca="1">'27'!$F$104*'Discipline Analysis'!B33</f>
        <v>5463.3599759752888</v>
      </c>
      <c r="V33" s="165">
        <f t="shared" ca="1" si="9"/>
        <v>9.9312149639629338E-2</v>
      </c>
    </row>
    <row r="34" spans="1:22" x14ac:dyDescent="0.2">
      <c r="A34" s="101" t="s">
        <v>1404</v>
      </c>
      <c r="B34" s="92">
        <f ca="1">OFFSET('28'!$D$4,$A$3,0)</f>
        <v>4032</v>
      </c>
      <c r="C34" s="84">
        <f ca="1">OFFSET('28'!$E$4,$A$3,0)</f>
        <v>32025.495743655876</v>
      </c>
      <c r="D34" s="162">
        <f t="shared" ca="1" si="0"/>
        <v>7.9428312856289374</v>
      </c>
      <c r="E34" s="84">
        <f ca="1">OFFSET('28'!$E$66,$A$3,0)</f>
        <v>12802</v>
      </c>
      <c r="F34" s="162">
        <f t="shared" ca="1" si="1"/>
        <v>3.1750992063492065</v>
      </c>
      <c r="G34" s="84">
        <f ca="1">'28'!$F$100*B34</f>
        <v>6454.6922950369089</v>
      </c>
      <c r="H34" s="162">
        <f t="shared" ca="1" si="2"/>
        <v>1.6008661446024079</v>
      </c>
      <c r="I34" s="84">
        <f ca="1">'28'!$F$98*'Discipline Analysis'!B34</f>
        <v>5669.5309992483299</v>
      </c>
      <c r="J34" s="162">
        <f t="shared" ca="1" si="3"/>
        <v>1.4061336803691293</v>
      </c>
      <c r="K34" s="84">
        <f ca="1">'28'!$F$99*'Discipline Analysis'!B34</f>
        <v>2908.337918553641</v>
      </c>
      <c r="L34" s="162">
        <f t="shared" ca="1" si="4"/>
        <v>0.72131396789524826</v>
      </c>
      <c r="M34" s="84">
        <f ca="1">OFFSET('28'!$E$35,$A$3,0)</f>
        <v>1863</v>
      </c>
      <c r="N34" s="162">
        <f t="shared" ca="1" si="5"/>
        <v>0.46205357142857145</v>
      </c>
      <c r="O34" s="84">
        <f ca="1">'28'!$F$101*'Discipline Analysis'!B34</f>
        <v>0</v>
      </c>
      <c r="P34" s="162">
        <f t="shared" ca="1" si="6"/>
        <v>0</v>
      </c>
      <c r="Q34" s="84">
        <f ca="1">'28'!$F$102*'Discipline Analysis'!B34</f>
        <v>21.698411838360396</v>
      </c>
      <c r="R34" s="162">
        <f t="shared" ca="1" si="7"/>
        <v>5.3815505551489074E-3</v>
      </c>
      <c r="S34" s="84">
        <f ca="1">'28'!$F$103*'Discipline Analysis'!B34</f>
        <v>866.10929460245711</v>
      </c>
      <c r="T34" s="162">
        <f t="shared" ca="1" si="8"/>
        <v>0.21480885282799037</v>
      </c>
      <c r="U34" s="84">
        <f ca="1">'28'!$F$104*'Discipline Analysis'!B34</f>
        <v>1440.1268243761779</v>
      </c>
      <c r="V34" s="165">
        <f t="shared" ca="1" si="9"/>
        <v>0.35717431160123458</v>
      </c>
    </row>
    <row r="35" spans="1:22" x14ac:dyDescent="0.2">
      <c r="A35" s="101" t="s">
        <v>1405</v>
      </c>
      <c r="B35" s="92">
        <f ca="1">OFFSET('29'!$D$4,$A$3,0)</f>
        <v>16432</v>
      </c>
      <c r="C35" s="84">
        <f ca="1">OFFSET('29'!$E$4,$A$3,0)</f>
        <v>185840.86182670196</v>
      </c>
      <c r="D35" s="162">
        <f t="shared" ca="1" si="0"/>
        <v>11.309692175432204</v>
      </c>
      <c r="E35" s="84">
        <f ca="1">OFFSET('29'!$E$66,$A$3,0)</f>
        <v>123408</v>
      </c>
      <c r="F35" s="162">
        <f t="shared" ca="1" si="1"/>
        <v>7.5102239532619279</v>
      </c>
      <c r="G35" s="84">
        <f ca="1">'29'!$F$100*B35</f>
        <v>8338.9913888662995</v>
      </c>
      <c r="H35" s="162">
        <f t="shared" ca="1" si="2"/>
        <v>0.50748487030588485</v>
      </c>
      <c r="I35" s="84">
        <f ca="1">'29'!$F$98*'Discipline Analysis'!B35</f>
        <v>12091.691083922964</v>
      </c>
      <c r="J35" s="162">
        <f t="shared" ca="1" si="3"/>
        <v>0.73586240773630507</v>
      </c>
      <c r="K35" s="84">
        <f ca="1">'29'!$F$99*'Discipline Analysis'!B35</f>
        <v>7304.2567925620669</v>
      </c>
      <c r="L35" s="162">
        <f t="shared" ca="1" si="4"/>
        <v>0.44451416702544222</v>
      </c>
      <c r="M35" s="84">
        <f ca="1">OFFSET('29'!$E$35,$A$3,0)</f>
        <v>30934</v>
      </c>
      <c r="N35" s="162">
        <f t="shared" ca="1" si="5"/>
        <v>1.8825462512171374</v>
      </c>
      <c r="O35" s="84">
        <f ca="1">'29'!$F$101*'Discipline Analysis'!B35</f>
        <v>0</v>
      </c>
      <c r="P35" s="162">
        <f t="shared" ca="1" si="6"/>
        <v>0</v>
      </c>
      <c r="Q35" s="84">
        <f ca="1">'29'!$F$102*'Discipline Analysis'!B35</f>
        <v>0</v>
      </c>
      <c r="R35" s="162">
        <f t="shared" ca="1" si="7"/>
        <v>0</v>
      </c>
      <c r="S35" s="84">
        <f ca="1">'29'!$F$103*'Discipline Analysis'!B35</f>
        <v>491.46980051847476</v>
      </c>
      <c r="T35" s="162">
        <f t="shared" ca="1" si="8"/>
        <v>2.9909311131844862E-2</v>
      </c>
      <c r="U35" s="84">
        <f ca="1">'29'!$F$104*'Discipline Analysis'!B35</f>
        <v>3272.4527608321464</v>
      </c>
      <c r="V35" s="165">
        <f t="shared" ca="1" si="9"/>
        <v>0.19915121475366032</v>
      </c>
    </row>
    <row r="36" spans="1:22" x14ac:dyDescent="0.2">
      <c r="A36" s="101" t="s">
        <v>1406</v>
      </c>
      <c r="B36" s="92">
        <f ca="1">OFFSET('30'!$D$4,$A$3,0)</f>
        <v>66224</v>
      </c>
      <c r="C36" s="84">
        <f ca="1">OFFSET('30'!$E$4,$A$3,0)</f>
        <v>662251.60068234871</v>
      </c>
      <c r="D36" s="162">
        <f t="shared" ca="1" si="0"/>
        <v>10.000175173386516</v>
      </c>
      <c r="E36" s="84">
        <f ca="1">OFFSET('30'!$E$66,$A$3,0)</f>
        <v>235836</v>
      </c>
      <c r="F36" s="162">
        <f t="shared" ca="1" si="1"/>
        <v>3.5611862768784732</v>
      </c>
      <c r="G36" s="84">
        <f ca="1">'30'!$F$100*B36</f>
        <v>40529.461097144907</v>
      </c>
      <c r="H36" s="162">
        <f t="shared" ca="1" si="2"/>
        <v>0.61200563386604412</v>
      </c>
      <c r="I36" s="84">
        <f ca="1">'30'!$F$98*'Discipline Analysis'!B36</f>
        <v>69957.256854911117</v>
      </c>
      <c r="J36" s="162">
        <f t="shared" ca="1" si="3"/>
        <v>1.0563731706769617</v>
      </c>
      <c r="K36" s="84">
        <f ca="1">'30'!$F$99*'Discipline Analysis'!B36</f>
        <v>29514.120923864248</v>
      </c>
      <c r="L36" s="162">
        <f t="shared" ca="1" si="4"/>
        <v>0.44567106976117793</v>
      </c>
      <c r="M36" s="84">
        <f ca="1">OFFSET('30'!$E$35,$A$3,0)</f>
        <v>268421</v>
      </c>
      <c r="N36" s="162">
        <f t="shared" ca="1" si="5"/>
        <v>4.0532284368204881</v>
      </c>
      <c r="O36" s="84">
        <f ca="1">'30'!$F$101*'Discipline Analysis'!B36</f>
        <v>2735.426378164841</v>
      </c>
      <c r="P36" s="162">
        <f t="shared" ca="1" si="6"/>
        <v>4.1305665289998204E-2</v>
      </c>
      <c r="Q36" s="84">
        <f ca="1">'30'!$F$102*'Discipline Analysis'!B36</f>
        <v>0</v>
      </c>
      <c r="R36" s="162">
        <f t="shared" ca="1" si="7"/>
        <v>0</v>
      </c>
      <c r="S36" s="84">
        <f ca="1">'30'!$F$103*'Discipline Analysis'!B36</f>
        <v>7506.5733435087086</v>
      </c>
      <c r="T36" s="162">
        <f t="shared" ca="1" si="8"/>
        <v>0.11335125246902496</v>
      </c>
      <c r="U36" s="84">
        <f ca="1">'30'!$F$104*'Discipline Analysis'!B36</f>
        <v>7751.7620847548933</v>
      </c>
      <c r="V36" s="165">
        <f t="shared" ca="1" si="9"/>
        <v>0.11705366762434907</v>
      </c>
    </row>
    <row r="37" spans="1:22" x14ac:dyDescent="0.2">
      <c r="A37" s="101" t="s">
        <v>1383</v>
      </c>
      <c r="B37" s="92">
        <f ca="1">OFFSET('31'!$D$4,$A$3,0)</f>
        <v>17376</v>
      </c>
      <c r="C37" s="84">
        <f ca="1">OFFSET('31'!$E$4,$A$3,0)</f>
        <v>341944.90555963427</v>
      </c>
      <c r="D37" s="162">
        <f t="shared" ca="1" si="0"/>
        <v>19.679149721433831</v>
      </c>
      <c r="E37" s="84">
        <f ca="1">OFFSET('31'!$E$66,$A$3,0)</f>
        <v>171301</v>
      </c>
      <c r="F37" s="162">
        <f t="shared" ca="1" si="1"/>
        <v>9.858482965009209</v>
      </c>
      <c r="G37" s="84">
        <f ca="1">'31'!$F$100*B37</f>
        <v>9465.0810919041596</v>
      </c>
      <c r="H37" s="162">
        <f t="shared" ca="1" si="2"/>
        <v>0.54472151772008282</v>
      </c>
      <c r="I37" s="84">
        <f ca="1">'31'!$F$98*'Discipline Analysis'!B37</f>
        <v>29981.55129146366</v>
      </c>
      <c r="J37" s="162">
        <f t="shared" ca="1" si="3"/>
        <v>1.7254576019488754</v>
      </c>
      <c r="K37" s="84">
        <f ca="1">'31'!$F$99*'Discipline Analysis'!B37</f>
        <v>10433.358005739839</v>
      </c>
      <c r="L37" s="162">
        <f t="shared" ca="1" si="4"/>
        <v>0.60044647823088393</v>
      </c>
      <c r="M37" s="84">
        <f ca="1">OFFSET('31'!$E$35,$A$3,0)</f>
        <v>117307</v>
      </c>
      <c r="N37" s="162">
        <f t="shared" ca="1" si="5"/>
        <v>6.7510934622467769</v>
      </c>
      <c r="O37" s="84">
        <f ca="1">'31'!$F$101*'Discipline Analysis'!B37</f>
        <v>0</v>
      </c>
      <c r="P37" s="162">
        <f t="shared" ca="1" si="6"/>
        <v>0</v>
      </c>
      <c r="Q37" s="84">
        <f ca="1">'31'!$F$102*'Discipline Analysis'!B37</f>
        <v>0</v>
      </c>
      <c r="R37" s="162">
        <f t="shared" ca="1" si="7"/>
        <v>0</v>
      </c>
      <c r="S37" s="84">
        <f ca="1">'31'!$F$103*'Discipline Analysis'!B37</f>
        <v>0</v>
      </c>
      <c r="T37" s="162">
        <f t="shared" ca="1" si="8"/>
        <v>0</v>
      </c>
      <c r="U37" s="84">
        <f ca="1">'31'!$F$104*'Discipline Analysis'!B37</f>
        <v>3456.9151705265967</v>
      </c>
      <c r="V37" s="165">
        <f t="shared" ca="1" si="9"/>
        <v>0.19894769627800396</v>
      </c>
    </row>
    <row r="38" spans="1:22" x14ac:dyDescent="0.2">
      <c r="A38" s="101" t="s">
        <v>1407</v>
      </c>
      <c r="B38" s="92">
        <f ca="1">OFFSET('32'!$D$4,$A$3,0)</f>
        <v>19290</v>
      </c>
      <c r="C38" s="84">
        <f ca="1">OFFSET('32'!$E$4,$A$3,0)</f>
        <v>163116.35364474443</v>
      </c>
      <c r="D38" s="162">
        <f t="shared" ca="1" si="0"/>
        <v>8.4560058913812561</v>
      </c>
      <c r="E38" s="84">
        <f ca="1">OFFSET('32'!$E$66,$A$3,0)</f>
        <v>52442</v>
      </c>
      <c r="F38" s="162">
        <f t="shared" ca="1" si="1"/>
        <v>2.7186106791083464</v>
      </c>
      <c r="G38" s="84">
        <f ca="1">'32'!$F$100*B38</f>
        <v>20889.459816452276</v>
      </c>
      <c r="H38" s="162">
        <f t="shared" ca="1" si="2"/>
        <v>1.0829165275506623</v>
      </c>
      <c r="I38" s="84">
        <f ca="1">'32'!$F$98*'Discipline Analysis'!B38</f>
        <v>37696.457110857795</v>
      </c>
      <c r="J38" s="162">
        <f t="shared" ca="1" si="3"/>
        <v>1.9541968434866663</v>
      </c>
      <c r="K38" s="84">
        <f ca="1">'32'!$F$99*'Discipline Analysis'!B38</f>
        <v>17247.941121091317</v>
      </c>
      <c r="L38" s="162">
        <f t="shared" ca="1" si="4"/>
        <v>0.89413899020691123</v>
      </c>
      <c r="M38" s="84">
        <f ca="1">OFFSET('32'!$E$35,$A$3,0)</f>
        <v>10779</v>
      </c>
      <c r="N38" s="162">
        <f t="shared" ca="1" si="5"/>
        <v>0.55878693623639186</v>
      </c>
      <c r="O38" s="84">
        <f ca="1">'32'!$F$101*'Discipline Analysis'!B38</f>
        <v>0</v>
      </c>
      <c r="P38" s="162">
        <f t="shared" ca="1" si="6"/>
        <v>0</v>
      </c>
      <c r="Q38" s="84">
        <f ca="1">'32'!$F$102*'Discipline Analysis'!B38</f>
        <v>5081.4639897290699</v>
      </c>
      <c r="R38" s="162">
        <f t="shared" ca="1" si="7"/>
        <v>0.26342477914614154</v>
      </c>
      <c r="S38" s="84">
        <f ca="1">'32'!$F$103*'Discipline Analysis'!B38</f>
        <v>5529.42884018123</v>
      </c>
      <c r="T38" s="162">
        <f t="shared" ca="1" si="8"/>
        <v>0.28664742561851891</v>
      </c>
      <c r="U38" s="84">
        <f ca="1">'32'!$F$104*'Discipline Analysis'!B38</f>
        <v>13450.602766432734</v>
      </c>
      <c r="V38" s="165">
        <f t="shared" ca="1" si="9"/>
        <v>0.69728371002761713</v>
      </c>
    </row>
    <row r="39" spans="1:22" x14ac:dyDescent="0.2">
      <c r="A39" s="101" t="s">
        <v>1408</v>
      </c>
      <c r="B39" s="92">
        <f ca="1">OFFSET('33'!$D$4,$A$3,0)</f>
        <v>5376</v>
      </c>
      <c r="C39" s="84">
        <f ca="1">OFFSET('33'!$E$4,$A$3,0)</f>
        <v>80151.224327108794</v>
      </c>
      <c r="D39" s="162">
        <f t="shared" ca="1" si="0"/>
        <v>14.909081906084225</v>
      </c>
      <c r="E39" s="84">
        <f ca="1">OFFSET('33'!$E$66,$A$3,0)</f>
        <v>29894</v>
      </c>
      <c r="F39" s="162">
        <f t="shared" ca="1" si="1"/>
        <v>5.5606398809523814</v>
      </c>
      <c r="G39" s="84">
        <f ca="1">'33'!$F$100*B39</f>
        <v>7775.2294792333687</v>
      </c>
      <c r="H39" s="162">
        <f t="shared" ca="1" si="2"/>
        <v>1.4462852453931117</v>
      </c>
      <c r="I39" s="84">
        <f ca="1">'33'!$F$98*'Discipline Analysis'!B39</f>
        <v>7270.0027640897097</v>
      </c>
      <c r="J39" s="162">
        <f t="shared" ca="1" si="3"/>
        <v>1.3523070617726394</v>
      </c>
      <c r="K39" s="84">
        <f ca="1">'33'!$F$99*'Discipline Analysis'!B39</f>
        <v>3966.895445490678</v>
      </c>
      <c r="L39" s="162">
        <f t="shared" ca="1" si="4"/>
        <v>0.73788977780704579</v>
      </c>
      <c r="M39" s="84">
        <f ca="1">OFFSET('33'!$E$35,$A$3,0)</f>
        <v>29372</v>
      </c>
      <c r="N39" s="162">
        <f t="shared" ca="1" si="5"/>
        <v>5.463541666666667</v>
      </c>
      <c r="O39" s="84">
        <f ca="1">'33'!$F$101*'Discipline Analysis'!B39</f>
        <v>0</v>
      </c>
      <c r="P39" s="162">
        <f t="shared" ca="1" si="6"/>
        <v>0</v>
      </c>
      <c r="Q39" s="84">
        <f ca="1">'33'!$F$102*'Discipline Analysis'!B39</f>
        <v>0</v>
      </c>
      <c r="R39" s="162">
        <f t="shared" ca="1" si="7"/>
        <v>0</v>
      </c>
      <c r="S39" s="84">
        <f ca="1">'33'!$F$103*'Discipline Analysis'!B39</f>
        <v>0</v>
      </c>
      <c r="T39" s="162">
        <f t="shared" ca="1" si="8"/>
        <v>0</v>
      </c>
      <c r="U39" s="84">
        <f ca="1">'33'!$F$104*'Discipline Analysis'!B39</f>
        <v>1873.0966382950332</v>
      </c>
      <c r="V39" s="165">
        <f t="shared" ca="1" si="9"/>
        <v>0.34841827349237969</v>
      </c>
    </row>
    <row r="40" spans="1:22" x14ac:dyDescent="0.2">
      <c r="A40" s="101" t="s">
        <v>1386</v>
      </c>
      <c r="B40" s="92">
        <f ca="1">OFFSET('34'!$D$4,$A$3,0)</f>
        <v>7828</v>
      </c>
      <c r="C40" s="84">
        <f ca="1">OFFSET('34'!$E$4,$A$3,0)</f>
        <v>74112.26078510104</v>
      </c>
      <c r="D40" s="162">
        <f t="shared" ca="1" si="0"/>
        <v>9.4675856904830145</v>
      </c>
      <c r="E40" s="84">
        <f ca="1">OFFSET('34'!$E$66,$A$3,0)</f>
        <v>48153</v>
      </c>
      <c r="F40" s="162">
        <f t="shared" ca="1" si="1"/>
        <v>6.1513796627491057</v>
      </c>
      <c r="G40" s="84">
        <f ca="1">'34'!$F$100*B40</f>
        <v>2857.1220132419917</v>
      </c>
      <c r="H40" s="162">
        <f t="shared" ca="1" si="2"/>
        <v>0.36498748252963614</v>
      </c>
      <c r="I40" s="84">
        <f ca="1">'34'!$F$98*'Discipline Analysis'!B40</f>
        <v>5793.5000916297131</v>
      </c>
      <c r="J40" s="162">
        <f t="shared" ca="1" si="3"/>
        <v>0.74009965401503741</v>
      </c>
      <c r="K40" s="84">
        <f ca="1">'34'!$F$99*'Discipline Analysis'!B40</f>
        <v>3197.3806291948981</v>
      </c>
      <c r="L40" s="162">
        <f t="shared" ca="1" si="4"/>
        <v>0.40845434711227618</v>
      </c>
      <c r="M40" s="84">
        <f ca="1">OFFSET('34'!$E$35,$A$3,0)</f>
        <v>10740</v>
      </c>
      <c r="N40" s="162">
        <f t="shared" ca="1" si="5"/>
        <v>1.3719979560551865</v>
      </c>
      <c r="O40" s="84">
        <f ca="1">'34'!$F$101*'Discipline Analysis'!B40</f>
        <v>0</v>
      </c>
      <c r="P40" s="162">
        <f t="shared" ca="1" si="6"/>
        <v>0</v>
      </c>
      <c r="Q40" s="84">
        <f ca="1">'34'!$F$102*'Discipline Analysis'!B40</f>
        <v>429.87754926950146</v>
      </c>
      <c r="R40" s="162">
        <f t="shared" ca="1" si="7"/>
        <v>5.4915374204075301E-2</v>
      </c>
      <c r="S40" s="84">
        <f ca="1">'34'!$F$103*'Discipline Analysis'!B40</f>
        <v>1735.1075852684655</v>
      </c>
      <c r="T40" s="162">
        <f t="shared" ca="1" si="8"/>
        <v>0.22165400935979376</v>
      </c>
      <c r="U40" s="84">
        <f ca="1">'34'!$F$104*'Discipline Analysis'!B40</f>
        <v>1206.2729164964708</v>
      </c>
      <c r="V40" s="165">
        <f t="shared" ca="1" si="9"/>
        <v>0.15409720445790379</v>
      </c>
    </row>
    <row r="41" spans="1:22" x14ac:dyDescent="0.2">
      <c r="A41" s="101" t="s">
        <v>1409</v>
      </c>
      <c r="B41" s="92">
        <f ca="1">OFFSET('35'!$D$4,$A$3,0)</f>
        <v>0</v>
      </c>
      <c r="C41" s="84">
        <f ca="1">OFFSET('35'!$E$4,$A$3,0)</f>
        <v>0</v>
      </c>
      <c r="D41" s="162" t="str">
        <f t="shared" ca="1" si="0"/>
        <v/>
      </c>
      <c r="E41" s="84">
        <f ca="1">OFFSET('35'!$E$66,$A$3,0)</f>
        <v>0</v>
      </c>
      <c r="F41" s="162" t="str">
        <f t="shared" ca="1" si="1"/>
        <v/>
      </c>
      <c r="G41" s="84">
        <f ca="1">'35'!$F$100*B41</f>
        <v>0</v>
      </c>
      <c r="H41" s="162" t="str">
        <f t="shared" ca="1" si="2"/>
        <v/>
      </c>
      <c r="I41" s="84">
        <f ca="1">'35'!$F$98*'Discipline Analysis'!B41</f>
        <v>0</v>
      </c>
      <c r="J41" s="162" t="str">
        <f t="shared" ca="1" si="3"/>
        <v/>
      </c>
      <c r="K41" s="84">
        <f ca="1">'35'!$F$99*'Discipline Analysis'!B41</f>
        <v>0</v>
      </c>
      <c r="L41" s="162" t="str">
        <f t="shared" ca="1" si="4"/>
        <v/>
      </c>
      <c r="M41" s="84">
        <f ca="1">OFFSET('35'!$E$35,$A$3,0)</f>
        <v>0</v>
      </c>
      <c r="N41" s="162" t="str">
        <f t="shared" ca="1" si="5"/>
        <v/>
      </c>
      <c r="O41" s="84">
        <f ca="1">'35'!$F$101*'Discipline Analysis'!B41</f>
        <v>0</v>
      </c>
      <c r="P41" s="162" t="str">
        <f t="shared" ca="1" si="6"/>
        <v/>
      </c>
      <c r="Q41" s="84">
        <f ca="1">'35'!$F$102*'Discipline Analysis'!B41</f>
        <v>0</v>
      </c>
      <c r="R41" s="162" t="str">
        <f t="shared" ca="1" si="7"/>
        <v/>
      </c>
      <c r="S41" s="84">
        <f ca="1">'35'!$F$103*'Discipline Analysis'!B41</f>
        <v>0</v>
      </c>
      <c r="T41" s="162" t="str">
        <f t="shared" ca="1" si="8"/>
        <v/>
      </c>
      <c r="U41" s="84">
        <f ca="1">'35'!$F$104*'Discipline Analysis'!B41</f>
        <v>0</v>
      </c>
      <c r="V41" s="165" t="str">
        <f t="shared" ca="1" si="9"/>
        <v/>
      </c>
    </row>
    <row r="42" spans="1:22" x14ac:dyDescent="0.2">
      <c r="A42" s="101" t="s">
        <v>1422</v>
      </c>
      <c r="B42" s="92">
        <f ca="1">OFFSET('36'!$D$4,$A$3,0)</f>
        <v>16416</v>
      </c>
      <c r="C42" s="84">
        <f ca="1">OFFSET('36'!$E$4,$A$3,0)</f>
        <v>58970.213201753846</v>
      </c>
      <c r="D42" s="162">
        <f t="shared" ca="1" si="0"/>
        <v>3.5922400829528414</v>
      </c>
      <c r="E42" s="84">
        <f ca="1">OFFSET('36'!$E$66,$A$3,0)</f>
        <v>0</v>
      </c>
      <c r="F42" s="162">
        <f t="shared" ca="1" si="1"/>
        <v>0</v>
      </c>
      <c r="G42" s="84">
        <f ca="1">'36'!$F$100*B42</f>
        <v>10424.781907382849</v>
      </c>
      <c r="H42" s="162">
        <f t="shared" ca="1" si="2"/>
        <v>0.63503788422166474</v>
      </c>
      <c r="I42" s="84">
        <f ca="1">'36'!$F$98*'Discipline Analysis'!B42</f>
        <v>31337.127911420008</v>
      </c>
      <c r="J42" s="162">
        <f t="shared" ca="1" si="3"/>
        <v>1.9089381037658386</v>
      </c>
      <c r="K42" s="84">
        <f ca="1">'36'!$F$99*'Discipline Analysis'!B42</f>
        <v>11932.894749267749</v>
      </c>
      <c r="L42" s="162">
        <f t="shared" ca="1" si="4"/>
        <v>0.72690635655870794</v>
      </c>
      <c r="M42" s="84">
        <f ca="1">OFFSET('36'!$E$35,$A$3,0)</f>
        <v>0</v>
      </c>
      <c r="N42" s="162">
        <f t="shared" ca="1" si="5"/>
        <v>0</v>
      </c>
      <c r="O42" s="84">
        <f ca="1">'36'!$F$101*'Discipline Analysis'!B42</f>
        <v>0</v>
      </c>
      <c r="P42" s="162">
        <f t="shared" ca="1" si="6"/>
        <v>0</v>
      </c>
      <c r="Q42" s="84">
        <f ca="1">'36'!$F$102*'Discipline Analysis'!B42</f>
        <v>0</v>
      </c>
      <c r="R42" s="162">
        <f t="shared" ca="1" si="7"/>
        <v>0</v>
      </c>
      <c r="S42" s="84">
        <f ca="1">'36'!$F$103*'Discipline Analysis'!B42</f>
        <v>0</v>
      </c>
      <c r="T42" s="162">
        <f t="shared" ca="1" si="8"/>
        <v>0</v>
      </c>
      <c r="U42" s="84">
        <f ca="1">'36'!$F$104*'Discipline Analysis'!B42</f>
        <v>5275.4086336832397</v>
      </c>
      <c r="V42" s="165">
        <f t="shared" ca="1" si="9"/>
        <v>0.32135773840663012</v>
      </c>
    </row>
    <row r="43" spans="1:22" x14ac:dyDescent="0.2">
      <c r="A43" s="101" t="s">
        <v>1410</v>
      </c>
      <c r="B43" s="92">
        <f ca="1">OFFSET('37'!$D$4,$A$3,0)</f>
        <v>33980</v>
      </c>
      <c r="C43" s="84">
        <f ca="1">OFFSET('37'!$E$4,$A$3,0)</f>
        <v>380141.71810047398</v>
      </c>
      <c r="D43" s="162">
        <f t="shared" ca="1" si="0"/>
        <v>11.187219485005119</v>
      </c>
      <c r="E43" s="84">
        <f ca="1">OFFSET('37'!$E$66,$A$3,0)</f>
        <v>259938</v>
      </c>
      <c r="F43" s="162">
        <f t="shared" ca="1" si="1"/>
        <v>7.6497351383166565</v>
      </c>
      <c r="G43" s="84">
        <f ca="1">'37'!$F$100*B43</f>
        <v>13013.987897975669</v>
      </c>
      <c r="H43" s="162">
        <f t="shared" ca="1" si="2"/>
        <v>0.3829896379627919</v>
      </c>
      <c r="I43" s="84">
        <f ca="1">'37'!$F$98*'Discipline Analysis'!B43</f>
        <v>26389.437739900673</v>
      </c>
      <c r="J43" s="162">
        <f t="shared" ca="1" si="3"/>
        <v>0.77661676691879555</v>
      </c>
      <c r="K43" s="84">
        <f ca="1">'37'!$F$99*'Discipline Analysis'!B43</f>
        <v>28157.056135075523</v>
      </c>
      <c r="L43" s="162">
        <f t="shared" ca="1" si="4"/>
        <v>0.82863614288038623</v>
      </c>
      <c r="M43" s="84">
        <f ca="1">OFFSET('37'!$E$35,$A$3,0)</f>
        <v>34343</v>
      </c>
      <c r="N43" s="162">
        <f t="shared" ca="1" si="5"/>
        <v>1.0106827545615067</v>
      </c>
      <c r="O43" s="84">
        <f ca="1">'37'!$F$101*'Discipline Analysis'!B43</f>
        <v>0</v>
      </c>
      <c r="P43" s="162">
        <f t="shared" ca="1" si="6"/>
        <v>0</v>
      </c>
      <c r="Q43" s="84">
        <f ca="1">'37'!$F$102*'Discipline Analysis'!B43</f>
        <v>746.75669581053353</v>
      </c>
      <c r="R43" s="162">
        <f t="shared" ca="1" si="7"/>
        <v>2.19763595000157E-2</v>
      </c>
      <c r="S43" s="84">
        <f ca="1">'37'!$F$103*'Discipline Analysis'!B43</f>
        <v>6481.872506694689</v>
      </c>
      <c r="T43" s="162">
        <f t="shared" ca="1" si="8"/>
        <v>0.19075551814875483</v>
      </c>
      <c r="U43" s="84">
        <f ca="1">'37'!$F$104*'Discipline Analysis'!B43</f>
        <v>11071.607125016872</v>
      </c>
      <c r="V43" s="165">
        <f t="shared" ca="1" si="9"/>
        <v>0.32582716671621165</v>
      </c>
    </row>
    <row r="44" spans="1:22" x14ac:dyDescent="0.2">
      <c r="A44" s="101" t="s">
        <v>1411</v>
      </c>
      <c r="B44" s="92">
        <f ca="1">OFFSET('38'!$D$4,$A$3,0)</f>
        <v>5952</v>
      </c>
      <c r="C44" s="84">
        <f ca="1">OFFSET('38'!$E$4,$A$3,0)</f>
        <v>40693.831711255174</v>
      </c>
      <c r="D44" s="162">
        <f t="shared" ca="1" si="0"/>
        <v>6.8370012955737858</v>
      </c>
      <c r="E44" s="84">
        <f ca="1">OFFSET('38'!$E$66,$A$3,0)</f>
        <v>16341</v>
      </c>
      <c r="F44" s="162">
        <f t="shared" ca="1" si="1"/>
        <v>2.7454637096774195</v>
      </c>
      <c r="G44" s="84">
        <f ca="1">'38'!$F$100*B44</f>
        <v>3909.6182437956054</v>
      </c>
      <c r="H44" s="162">
        <f t="shared" ca="1" si="2"/>
        <v>0.65685790386350895</v>
      </c>
      <c r="I44" s="84">
        <f ca="1">'38'!$F$98*'Discipline Analysis'!B44</f>
        <v>8579.7847848923248</v>
      </c>
      <c r="J44" s="162">
        <f t="shared" ca="1" si="3"/>
        <v>1.4414960996122856</v>
      </c>
      <c r="K44" s="84">
        <f ca="1">'38'!$F$99*'Discipline Analysis'!B44</f>
        <v>3877.7816106744262</v>
      </c>
      <c r="L44" s="162">
        <f t="shared" ca="1" si="4"/>
        <v>0.65150900716976246</v>
      </c>
      <c r="M44" s="84">
        <f ca="1">OFFSET('38'!$E$35,$A$3,0)</f>
        <v>5312</v>
      </c>
      <c r="N44" s="162">
        <f t="shared" ca="1" si="5"/>
        <v>0.89247311827956988</v>
      </c>
      <c r="O44" s="84">
        <f ca="1">'38'!$F$101*'Discipline Analysis'!B44</f>
        <v>0</v>
      </c>
      <c r="P44" s="162">
        <f t="shared" ca="1" si="6"/>
        <v>0</v>
      </c>
      <c r="Q44" s="84">
        <f ca="1">'38'!$F$102*'Discipline Analysis'!B44</f>
        <v>0</v>
      </c>
      <c r="R44" s="162">
        <f t="shared" ca="1" si="7"/>
        <v>0</v>
      </c>
      <c r="S44" s="84">
        <f ca="1">'38'!$F$103*'Discipline Analysis'!B44</f>
        <v>1161.7430401833699</v>
      </c>
      <c r="T44" s="162">
        <f t="shared" ca="1" si="8"/>
        <v>0.19518532261145327</v>
      </c>
      <c r="U44" s="84">
        <f ca="1">'38'!$F$104*'Discipline Analysis'!B44</f>
        <v>1511.9040317094441</v>
      </c>
      <c r="V44" s="165">
        <f t="shared" ca="1" si="9"/>
        <v>0.25401613435978565</v>
      </c>
    </row>
    <row r="45" spans="1:22" x14ac:dyDescent="0.2">
      <c r="A45" s="101" t="s">
        <v>1387</v>
      </c>
      <c r="B45" s="92">
        <f ca="1">OFFSET('39'!$D$4,$A$3,0)</f>
        <v>27648</v>
      </c>
      <c r="C45" s="84">
        <f ca="1">OFFSET('39'!$E$4,$A$3,0)</f>
        <v>212198.58569547228</v>
      </c>
      <c r="D45" s="162">
        <f t="shared" ca="1" si="0"/>
        <v>7.6750067164160987</v>
      </c>
      <c r="E45" s="84">
        <f ca="1">OFFSET('39'!$E$66,$A$3,0)</f>
        <v>102808</v>
      </c>
      <c r="F45" s="162">
        <f t="shared" ca="1" si="1"/>
        <v>3.7184606481481484</v>
      </c>
      <c r="G45" s="84">
        <f ca="1">'39'!$F$100*B45</f>
        <v>22657.859033621051</v>
      </c>
      <c r="H45" s="162">
        <f t="shared" ca="1" si="2"/>
        <v>0.81951168379705763</v>
      </c>
      <c r="I45" s="84">
        <f ca="1">'39'!$F$98*'Discipline Analysis'!B45</f>
        <v>38928.225499856111</v>
      </c>
      <c r="J45" s="162">
        <f t="shared" ca="1" si="3"/>
        <v>1.4079942672112309</v>
      </c>
      <c r="K45" s="84">
        <f ca="1">'39'!$F$99*'Discipline Analysis'!B45</f>
        <v>16948.597434348325</v>
      </c>
      <c r="L45" s="162">
        <f t="shared" ca="1" si="4"/>
        <v>0.61301350674002908</v>
      </c>
      <c r="M45" s="84">
        <f ca="1">OFFSET('39'!$E$35,$A$3,0)</f>
        <v>22685</v>
      </c>
      <c r="N45" s="162">
        <f t="shared" ca="1" si="5"/>
        <v>0.82049334490740744</v>
      </c>
      <c r="O45" s="84">
        <f ca="1">'39'!$F$101*'Discipline Analysis'!B45</f>
        <v>0</v>
      </c>
      <c r="P45" s="162">
        <f t="shared" ca="1" si="6"/>
        <v>0</v>
      </c>
      <c r="Q45" s="84">
        <f ca="1">'39'!$F$102*'Discipline Analysis'!B45</f>
        <v>0</v>
      </c>
      <c r="R45" s="162">
        <f t="shared" ca="1" si="7"/>
        <v>0</v>
      </c>
      <c r="S45" s="84">
        <f ca="1">'39'!$F$103*'Discipline Analysis'!B45</f>
        <v>3239.1253807406506</v>
      </c>
      <c r="T45" s="162">
        <f t="shared" ca="1" si="8"/>
        <v>0.11715586591220524</v>
      </c>
      <c r="U45" s="84">
        <f ca="1">'39'!$F$104*'Discipline Analysis'!B45</f>
        <v>4931.7783469061424</v>
      </c>
      <c r="V45" s="165">
        <f t="shared" ca="1" si="9"/>
        <v>0.17837739970001962</v>
      </c>
    </row>
    <row r="46" spans="1:22" x14ac:dyDescent="0.2">
      <c r="A46" s="101" t="s">
        <v>1423</v>
      </c>
      <c r="B46" s="92">
        <f ca="1">OFFSET('40'!$D$4,$A$3,0)</f>
        <v>41468</v>
      </c>
      <c r="C46" s="84">
        <f ca="1">OFFSET('40'!$E$4,$A$3,0)</f>
        <v>333321.30082903826</v>
      </c>
      <c r="D46" s="162">
        <f t="shared" ca="1" si="0"/>
        <v>8.0380365783022629</v>
      </c>
      <c r="E46" s="84">
        <f ca="1">OFFSET('40'!$E$66,$A$3,0)</f>
        <v>107995</v>
      </c>
      <c r="F46" s="162">
        <f t="shared" ca="1" si="1"/>
        <v>2.6042972894762224</v>
      </c>
      <c r="G46" s="84">
        <f ca="1">'40'!$F$100*B46</f>
        <v>34957.167759520438</v>
      </c>
      <c r="H46" s="162">
        <f t="shared" ca="1" si="2"/>
        <v>0.84299140926787974</v>
      </c>
      <c r="I46" s="84">
        <f ca="1">'40'!$F$98*'Discipline Analysis'!B46</f>
        <v>45629.070650188645</v>
      </c>
      <c r="J46" s="162">
        <f t="shared" ca="1" si="3"/>
        <v>1.1003441364471074</v>
      </c>
      <c r="K46" s="84">
        <f ca="1">'40'!$F$99*'Discipline Analysis'!B46</f>
        <v>38908.083665582846</v>
      </c>
      <c r="L46" s="162">
        <f t="shared" ca="1" si="4"/>
        <v>0.93826766821604235</v>
      </c>
      <c r="M46" s="84">
        <f ca="1">OFFSET('40'!$E$35,$A$3,0)</f>
        <v>70026</v>
      </c>
      <c r="N46" s="162">
        <f t="shared" ca="1" si="5"/>
        <v>1.6886756052860037</v>
      </c>
      <c r="O46" s="84">
        <f ca="1">'40'!$F$101*'Discipline Analysis'!B46</f>
        <v>0</v>
      </c>
      <c r="P46" s="162">
        <f t="shared" ca="1" si="6"/>
        <v>0</v>
      </c>
      <c r="Q46" s="84">
        <f ca="1">'40'!$F$102*'Discipline Analysis'!B46</f>
        <v>2459.2613506035764</v>
      </c>
      <c r="R46" s="162">
        <f t="shared" ca="1" si="7"/>
        <v>5.9305038839673398E-2</v>
      </c>
      <c r="S46" s="84">
        <f ca="1">'40'!$F$103*'Discipline Analysis'!B46</f>
        <v>10726.239286968274</v>
      </c>
      <c r="T46" s="162">
        <f t="shared" ca="1" si="8"/>
        <v>0.2586630483015403</v>
      </c>
      <c r="U46" s="84">
        <f ca="1">'40'!$F$104*'Discipline Analysis'!B46</f>
        <v>22620.478116174483</v>
      </c>
      <c r="V46" s="165">
        <f t="shared" ca="1" si="9"/>
        <v>0.54549238246779408</v>
      </c>
    </row>
    <row r="47" spans="1:22" x14ac:dyDescent="0.2">
      <c r="A47" s="101" t="s">
        <v>1388</v>
      </c>
      <c r="B47" s="92">
        <f ca="1">OFFSET('41'!$D$4,$A$3,0)</f>
        <v>16544</v>
      </c>
      <c r="C47" s="84">
        <f ca="1">OFFSET('41'!$E$4,$A$3,0)</f>
        <v>117791.8488410553</v>
      </c>
      <c r="D47" s="162">
        <f t="shared" ca="1" si="0"/>
        <v>7.1199134937775206</v>
      </c>
      <c r="E47" s="84">
        <f ca="1">OFFSET('41'!$E$66,$A$3,0)</f>
        <v>55141</v>
      </c>
      <c r="F47" s="162">
        <f t="shared" ca="1" si="1"/>
        <v>3.3329908123791103</v>
      </c>
      <c r="G47" s="84">
        <f ca="1">'41'!$F$100*B47</f>
        <v>11404.537338930661</v>
      </c>
      <c r="H47" s="162">
        <f t="shared" ca="1" si="2"/>
        <v>0.68934582561234647</v>
      </c>
      <c r="I47" s="84">
        <f ca="1">'41'!$F$98*'Discipline Analysis'!B47</f>
        <v>24272.812666728445</v>
      </c>
      <c r="J47" s="162">
        <f t="shared" ca="1" si="3"/>
        <v>1.4671671099328123</v>
      </c>
      <c r="K47" s="84">
        <f ca="1">'41'!$F$99*'Discipline Analysis'!B47</f>
        <v>8271.433406602584</v>
      </c>
      <c r="L47" s="162">
        <f t="shared" ca="1" si="4"/>
        <v>0.49996575233332835</v>
      </c>
      <c r="M47" s="84">
        <f ca="1">OFFSET('41'!$E$35,$A$3,0)</f>
        <v>12178</v>
      </c>
      <c r="N47" s="162">
        <f t="shared" ca="1" si="5"/>
        <v>0.73609767891682787</v>
      </c>
      <c r="O47" s="84">
        <f ca="1">'41'!$F$101*'Discipline Analysis'!B47</f>
        <v>0</v>
      </c>
      <c r="P47" s="162">
        <f t="shared" ca="1" si="6"/>
        <v>0</v>
      </c>
      <c r="Q47" s="84">
        <f ca="1">'41'!$F$102*'Discipline Analysis'!B47</f>
        <v>0</v>
      </c>
      <c r="R47" s="162">
        <f t="shared" ca="1" si="7"/>
        <v>0</v>
      </c>
      <c r="S47" s="84">
        <f ca="1">'41'!$F$103*'Discipline Analysis'!B47</f>
        <v>1868.091760304427</v>
      </c>
      <c r="T47" s="162">
        <f t="shared" ca="1" si="8"/>
        <v>0.11291657158513219</v>
      </c>
      <c r="U47" s="84">
        <f ca="1">'41'!$F$104*'Discipline Analysis'!B47</f>
        <v>4655.9736684891795</v>
      </c>
      <c r="V47" s="165">
        <f t="shared" ca="1" si="9"/>
        <v>0.28142974301796297</v>
      </c>
    </row>
    <row r="48" spans="1:22" x14ac:dyDescent="0.2">
      <c r="A48" s="101" t="s">
        <v>1412</v>
      </c>
      <c r="B48" s="92">
        <f ca="1">OFFSET('42'!$D$4,$A$3,0)</f>
        <v>0</v>
      </c>
      <c r="C48" s="84">
        <f ca="1">OFFSET('42'!$E$4,$A$3,0)</f>
        <v>0</v>
      </c>
      <c r="D48" s="162" t="str">
        <f t="shared" ca="1" si="0"/>
        <v/>
      </c>
      <c r="E48" s="84">
        <f ca="1">OFFSET('42'!$E$66,$A$3,0)</f>
        <v>0</v>
      </c>
      <c r="F48" s="162" t="str">
        <f t="shared" ca="1" si="1"/>
        <v/>
      </c>
      <c r="G48" s="84">
        <f ca="1">'42'!$F$100*B48</f>
        <v>0</v>
      </c>
      <c r="H48" s="162" t="str">
        <f t="shared" ca="1" si="2"/>
        <v/>
      </c>
      <c r="I48" s="84">
        <f ca="1">'42'!$F$98*'Discipline Analysis'!B48</f>
        <v>0</v>
      </c>
      <c r="J48" s="162" t="str">
        <f t="shared" ca="1" si="3"/>
        <v/>
      </c>
      <c r="K48" s="84">
        <f ca="1">'42'!$F$99*'Discipline Analysis'!B48</f>
        <v>0</v>
      </c>
      <c r="L48" s="162" t="str">
        <f t="shared" ca="1" si="4"/>
        <v/>
      </c>
      <c r="M48" s="84">
        <f ca="1">OFFSET('42'!$E$35,$A$3,0)</f>
        <v>0</v>
      </c>
      <c r="N48" s="162" t="str">
        <f t="shared" ca="1" si="5"/>
        <v/>
      </c>
      <c r="O48" s="84">
        <f ca="1">'42'!$F$101*'Discipline Analysis'!B48</f>
        <v>0</v>
      </c>
      <c r="P48" s="162" t="str">
        <f t="shared" ca="1" si="6"/>
        <v/>
      </c>
      <c r="Q48" s="84">
        <f ca="1">'42'!$F$102*'Discipline Analysis'!B48</f>
        <v>0</v>
      </c>
      <c r="R48" s="162" t="str">
        <f t="shared" ca="1" si="7"/>
        <v/>
      </c>
      <c r="S48" s="84">
        <f ca="1">'42'!$F$103*'Discipline Analysis'!B48</f>
        <v>0</v>
      </c>
      <c r="T48" s="162" t="str">
        <f t="shared" ca="1" si="8"/>
        <v/>
      </c>
      <c r="U48" s="84">
        <f ca="1">'42'!$F$104*'Discipline Analysis'!B48</f>
        <v>0</v>
      </c>
      <c r="V48" s="165" t="str">
        <f t="shared" ca="1" si="9"/>
        <v/>
      </c>
    </row>
    <row r="49" spans="1:22" x14ac:dyDescent="0.2">
      <c r="A49" s="101" t="s">
        <v>1413</v>
      </c>
      <c r="B49" s="92">
        <f ca="1">OFFSET('43'!$D$4,$A$3,0)</f>
        <v>0</v>
      </c>
      <c r="C49" s="84">
        <f ca="1">OFFSET('43'!$E$4,$A$3,0)</f>
        <v>0</v>
      </c>
      <c r="D49" s="162" t="str">
        <f t="shared" ca="1" si="0"/>
        <v/>
      </c>
      <c r="E49" s="84">
        <f ca="1">OFFSET('43'!$E$66,$A$3,0)</f>
        <v>0</v>
      </c>
      <c r="F49" s="162" t="str">
        <f t="shared" ca="1" si="1"/>
        <v/>
      </c>
      <c r="G49" s="84">
        <f ca="1">'43'!$F$100*B49</f>
        <v>0</v>
      </c>
      <c r="H49" s="162" t="str">
        <f t="shared" ca="1" si="2"/>
        <v/>
      </c>
      <c r="I49" s="84">
        <f ca="1">'43'!$F$98*'Discipline Analysis'!B49</f>
        <v>0</v>
      </c>
      <c r="J49" s="162" t="str">
        <f t="shared" ca="1" si="3"/>
        <v/>
      </c>
      <c r="K49" s="84">
        <f ca="1">'43'!$F$99*'Discipline Analysis'!B49</f>
        <v>0</v>
      </c>
      <c r="L49" s="162" t="str">
        <f t="shared" ca="1" si="4"/>
        <v/>
      </c>
      <c r="M49" s="84">
        <f ca="1">OFFSET('43'!$E$35,$A$3,0)</f>
        <v>0</v>
      </c>
      <c r="N49" s="162" t="str">
        <f t="shared" ca="1" si="5"/>
        <v/>
      </c>
      <c r="O49" s="84">
        <f ca="1">'43'!$F$101*'Discipline Analysis'!B49</f>
        <v>0</v>
      </c>
      <c r="P49" s="162" t="str">
        <f t="shared" ca="1" si="6"/>
        <v/>
      </c>
      <c r="Q49" s="84">
        <f ca="1">'43'!$F$102*'Discipline Analysis'!B49</f>
        <v>0</v>
      </c>
      <c r="R49" s="162" t="str">
        <f t="shared" ca="1" si="7"/>
        <v/>
      </c>
      <c r="S49" s="84">
        <f ca="1">'43'!$F$103*'Discipline Analysis'!B49</f>
        <v>0</v>
      </c>
      <c r="T49" s="162" t="str">
        <f t="shared" ca="1" si="8"/>
        <v/>
      </c>
      <c r="U49" s="84">
        <f ca="1">'43'!$F$104*'Discipline Analysis'!B49</f>
        <v>0</v>
      </c>
      <c r="V49" s="165" t="str">
        <f t="shared" ca="1" si="9"/>
        <v/>
      </c>
    </row>
    <row r="50" spans="1:22" x14ac:dyDescent="0.2">
      <c r="A50" s="101" t="s">
        <v>1424</v>
      </c>
      <c r="B50" s="92">
        <f ca="1">OFFSET('44'!$D$4,$A$3,0)</f>
        <v>90144</v>
      </c>
      <c r="C50" s="84">
        <f ca="1">OFFSET('44'!$E$4,$A$3,0)</f>
        <v>523393.91704891995</v>
      </c>
      <c r="D50" s="162">
        <f t="shared" ca="1" si="0"/>
        <v>5.8061980503296944</v>
      </c>
      <c r="E50" s="84">
        <f ca="1">OFFSET('44'!$E$66,$A$3,0)</f>
        <v>229748</v>
      </c>
      <c r="F50" s="162">
        <f t="shared" ca="1" si="1"/>
        <v>2.5486776712815051</v>
      </c>
      <c r="G50" s="84">
        <f ca="1">'44'!$F$100*B50</f>
        <v>74143.684320802728</v>
      </c>
      <c r="H50" s="162">
        <f t="shared" ca="1" si="2"/>
        <v>0.82250271033904343</v>
      </c>
      <c r="I50" s="84">
        <f ca="1">'44'!$F$98*'Discipline Analysis'!B50</f>
        <v>65047.019746683451</v>
      </c>
      <c r="J50" s="162">
        <f t="shared" ca="1" si="3"/>
        <v>0.7215901196605814</v>
      </c>
      <c r="K50" s="84">
        <f ca="1">'44'!$F$99*'Discipline Analysis'!B50</f>
        <v>51577.195644391344</v>
      </c>
      <c r="L50" s="162">
        <f t="shared" ca="1" si="4"/>
        <v>0.57216448842287171</v>
      </c>
      <c r="M50" s="84">
        <f ca="1">OFFSET('44'!$E$35,$A$3,0)</f>
        <v>65911</v>
      </c>
      <c r="N50" s="162">
        <f t="shared" ca="1" si="5"/>
        <v>0.73117456514022006</v>
      </c>
      <c r="O50" s="84">
        <f ca="1">'44'!$F$101*'Discipline Analysis'!B50</f>
        <v>0</v>
      </c>
      <c r="P50" s="162">
        <f t="shared" ca="1" si="6"/>
        <v>0</v>
      </c>
      <c r="Q50" s="84">
        <f ca="1">'44'!$F$102*'Discipline Analysis'!B50</f>
        <v>49.138421502597765</v>
      </c>
      <c r="R50" s="162">
        <f t="shared" ca="1" si="7"/>
        <v>5.4511028468448E-4</v>
      </c>
      <c r="S50" s="84">
        <f ca="1">'44'!$F$103*'Discipline Analysis'!B50</f>
        <v>11033.015497358625</v>
      </c>
      <c r="T50" s="162">
        <f t="shared" ca="1" si="8"/>
        <v>0.12239323191070538</v>
      </c>
      <c r="U50" s="84">
        <f ca="1">'44'!$F$104*'Discipline Analysis'!B50</f>
        <v>25884.86341818123</v>
      </c>
      <c r="V50" s="165">
        <f t="shared" ca="1" si="9"/>
        <v>0.28715015329008287</v>
      </c>
    </row>
    <row r="51" spans="1:22" x14ac:dyDescent="0.2">
      <c r="A51" s="101" t="s">
        <v>1389</v>
      </c>
      <c r="B51" s="92">
        <f ca="1">OFFSET('45'!$D$4,$A$3,0)</f>
        <v>42288</v>
      </c>
      <c r="C51" s="84">
        <f ca="1">OFFSET('45'!$E$4,$A$3,0)</f>
        <v>239095.14745497509</v>
      </c>
      <c r="D51" s="162">
        <f t="shared" ca="1" si="0"/>
        <v>5.6539715156776174</v>
      </c>
      <c r="E51" s="84">
        <f ca="1">OFFSET('45'!$E$66,$A$3,0)</f>
        <v>51631</v>
      </c>
      <c r="F51" s="162">
        <f t="shared" ca="1" si="1"/>
        <v>1.2209373817631479</v>
      </c>
      <c r="G51" s="84">
        <f ca="1">'45'!$F$100*B51</f>
        <v>16212.543669022536</v>
      </c>
      <c r="H51" s="162">
        <f t="shared" ca="1" si="2"/>
        <v>0.38338402546875083</v>
      </c>
      <c r="I51" s="84">
        <f ca="1">'45'!$F$98*'Discipline Analysis'!B51</f>
        <v>56845.163609500298</v>
      </c>
      <c r="J51" s="162">
        <f t="shared" ca="1" si="3"/>
        <v>1.3442386400279109</v>
      </c>
      <c r="K51" s="84">
        <f ca="1">'45'!$F$99*'Discipline Analysis'!B51</f>
        <v>43644.582030733771</v>
      </c>
      <c r="L51" s="162">
        <f t="shared" ca="1" si="4"/>
        <v>1.032079597775581</v>
      </c>
      <c r="M51" s="84">
        <f ca="1">OFFSET('45'!$E$35,$A$3,0)</f>
        <v>37333</v>
      </c>
      <c r="N51" s="162">
        <f t="shared" ca="1" si="5"/>
        <v>0.88282727960650775</v>
      </c>
      <c r="O51" s="84">
        <f ca="1">'45'!$F$101*'Discipline Analysis'!B51</f>
        <v>0</v>
      </c>
      <c r="P51" s="162">
        <f t="shared" ca="1" si="6"/>
        <v>0</v>
      </c>
      <c r="Q51" s="84">
        <f ca="1">'45'!$F$102*'Discipline Analysis'!B51</f>
        <v>9297.1782416095321</v>
      </c>
      <c r="R51" s="162">
        <f t="shared" ca="1" si="7"/>
        <v>0.21985381766954057</v>
      </c>
      <c r="S51" s="84">
        <f ca="1">'45'!$F$103*'Discipline Analysis'!B51</f>
        <v>6564.2726789763874</v>
      </c>
      <c r="T51" s="162">
        <f t="shared" ca="1" si="8"/>
        <v>0.15522778752781846</v>
      </c>
      <c r="U51" s="84">
        <f ca="1">'45'!$F$104*'Discipline Analysis'!B51</f>
        <v>17567.407225132549</v>
      </c>
      <c r="V51" s="165">
        <f t="shared" ca="1" si="9"/>
        <v>0.41542298583835957</v>
      </c>
    </row>
    <row r="52" spans="1:22" x14ac:dyDescent="0.2">
      <c r="A52" s="101" t="s">
        <v>1414</v>
      </c>
      <c r="B52" s="92">
        <f ca="1">OFFSET('46'!$D$4,$A$3,0)</f>
        <v>13040</v>
      </c>
      <c r="C52" s="84">
        <f ca="1">OFFSET('46'!$E$4,$A$3,0)</f>
        <v>101174.77922171203</v>
      </c>
      <c r="D52" s="162">
        <f t="shared" ca="1" si="0"/>
        <v>7.7588020875546038</v>
      </c>
      <c r="E52" s="84">
        <f ca="1">OFFSET('46'!$E$66,$A$3,0)</f>
        <v>51108</v>
      </c>
      <c r="F52" s="162">
        <f t="shared" ca="1" si="1"/>
        <v>3.919325153374233</v>
      </c>
      <c r="G52" s="84">
        <f ca="1">'46'!$F$100*B52</f>
        <v>12986.900710566144</v>
      </c>
      <c r="H52" s="162">
        <f t="shared" ca="1" si="2"/>
        <v>0.99592796860169819</v>
      </c>
      <c r="I52" s="84">
        <f ca="1">'46'!$F$98*'Discipline Analysis'!B52</f>
        <v>15466.517774414489</v>
      </c>
      <c r="J52" s="162">
        <f t="shared" ca="1" si="3"/>
        <v>1.1860826514121541</v>
      </c>
      <c r="K52" s="84">
        <f ca="1">'46'!$F$99*'Discipline Analysis'!B52</f>
        <v>8643.3962291255157</v>
      </c>
      <c r="L52" s="162">
        <f t="shared" ca="1" si="4"/>
        <v>0.66283713413539236</v>
      </c>
      <c r="M52" s="84">
        <f ca="1">OFFSET('46'!$E$35,$A$3,0)</f>
        <v>8912</v>
      </c>
      <c r="N52" s="162">
        <f t="shared" ca="1" si="5"/>
        <v>0.68343558282208594</v>
      </c>
      <c r="O52" s="84">
        <f ca="1">'46'!$F$101*'Discipline Analysis'!B52</f>
        <v>0</v>
      </c>
      <c r="P52" s="162">
        <f t="shared" ca="1" si="6"/>
        <v>0</v>
      </c>
      <c r="Q52" s="84">
        <f ca="1">'46'!$F$102*'Discipline Analysis'!B52</f>
        <v>0</v>
      </c>
      <c r="R52" s="162">
        <f t="shared" ca="1" si="7"/>
        <v>0</v>
      </c>
      <c r="S52" s="84">
        <f ca="1">'46'!$F$103*'Discipline Analysis'!B52</f>
        <v>1365.4418387502244</v>
      </c>
      <c r="T52" s="162">
        <f t="shared" ca="1" si="8"/>
        <v>0.10471179745017058</v>
      </c>
      <c r="U52" s="84">
        <f ca="1">'46'!$F$104*'Discipline Analysis'!B52</f>
        <v>2692.522668855655</v>
      </c>
      <c r="V52" s="165">
        <f t="shared" ca="1" si="9"/>
        <v>0.20648179975886924</v>
      </c>
    </row>
    <row r="53" spans="1:22" x14ac:dyDescent="0.2">
      <c r="A53" s="101" t="s">
        <v>1415</v>
      </c>
      <c r="B53" s="92">
        <f ca="1">OFFSET('47'!$D$4,$A$3,0)</f>
        <v>11520</v>
      </c>
      <c r="C53" s="84">
        <f ca="1">OFFSET('47'!$E$4,$A$3,0)</f>
        <v>48263.584782170656</v>
      </c>
      <c r="D53" s="162">
        <f t="shared" ca="1" si="0"/>
        <v>4.1895472901189805</v>
      </c>
      <c r="E53" s="84">
        <f ca="1">OFFSET('47'!$E$66,$A$3,0)</f>
        <v>0</v>
      </c>
      <c r="F53" s="162">
        <f t="shared" ca="1" si="1"/>
        <v>0</v>
      </c>
      <c r="G53" s="84">
        <f ca="1">'47'!$F$100*B53</f>
        <v>10867.534405137128</v>
      </c>
      <c r="H53" s="162">
        <f t="shared" ca="1" si="2"/>
        <v>0.94336236155704245</v>
      </c>
      <c r="I53" s="84">
        <f ca="1">'47'!$F$98*'Discipline Analysis'!B53</f>
        <v>18677.343013003134</v>
      </c>
      <c r="J53" s="162">
        <f t="shared" ca="1" si="3"/>
        <v>1.621297136545411</v>
      </c>
      <c r="K53" s="84">
        <f ca="1">'47'!$F$99*'Discipline Analysis'!B53</f>
        <v>10413.006605256849</v>
      </c>
      <c r="L53" s="162">
        <f t="shared" ca="1" si="4"/>
        <v>0.90390682337299033</v>
      </c>
      <c r="M53" s="84">
        <f ca="1">OFFSET('47'!$E$35,$A$3,0)</f>
        <v>0</v>
      </c>
      <c r="N53" s="162">
        <f t="shared" ca="1" si="5"/>
        <v>0</v>
      </c>
      <c r="O53" s="84">
        <f ca="1">'47'!$F$101*'Discipline Analysis'!B53</f>
        <v>0</v>
      </c>
      <c r="P53" s="162">
        <f t="shared" ca="1" si="6"/>
        <v>0</v>
      </c>
      <c r="Q53" s="84">
        <f ca="1">'47'!$F$102*'Discipline Analysis'!B53</f>
        <v>2753.3047316347825</v>
      </c>
      <c r="R53" s="162">
        <f t="shared" ca="1" si="7"/>
        <v>0.2390021468432971</v>
      </c>
      <c r="S53" s="84">
        <f ca="1">'47'!$F$103*'Discipline Analysis'!B53</f>
        <v>1939.3408274293918</v>
      </c>
      <c r="T53" s="162">
        <f t="shared" ca="1" si="8"/>
        <v>0.16834555793657915</v>
      </c>
      <c r="U53" s="84">
        <f ca="1">'47'!$F$104*'Discipline Analysis'!B53</f>
        <v>3613.0551997093744</v>
      </c>
      <c r="V53" s="165">
        <f t="shared" ca="1" si="9"/>
        <v>0.31363326386366097</v>
      </c>
    </row>
    <row r="54" spans="1:22" x14ac:dyDescent="0.2">
      <c r="A54" s="101" t="s">
        <v>1416</v>
      </c>
      <c r="B54" s="92">
        <f ca="1">OFFSET('48'!$D$4,$A$3,0)</f>
        <v>30941</v>
      </c>
      <c r="C54" s="84">
        <f ca="1">OFFSET('48'!$E$4,$A$3,0)</f>
        <v>317402.35673769744</v>
      </c>
      <c r="D54" s="162">
        <f t="shared" ca="1" si="0"/>
        <v>10.258309580740683</v>
      </c>
      <c r="E54" s="84">
        <f ca="1">OFFSET('48'!$E$66,$A$3,0)</f>
        <v>112455</v>
      </c>
      <c r="F54" s="162">
        <f t="shared" ca="1" si="1"/>
        <v>3.63449791538735</v>
      </c>
      <c r="G54" s="84">
        <f ca="1">'48'!$F$100*B54</f>
        <v>15736.5697735146</v>
      </c>
      <c r="H54" s="162">
        <f t="shared" ca="1" si="2"/>
        <v>0.50859926225767105</v>
      </c>
      <c r="I54" s="84">
        <f ca="1">'48'!$F$98*'Discipline Analysis'!B54</f>
        <v>64939.278980703479</v>
      </c>
      <c r="J54" s="162">
        <f t="shared" ca="1" si="3"/>
        <v>2.0988099602696577</v>
      </c>
      <c r="K54" s="84">
        <f ca="1">'48'!$F$99*'Discipline Analysis'!B54</f>
        <v>22948.75525921991</v>
      </c>
      <c r="L54" s="162">
        <f t="shared" ca="1" si="4"/>
        <v>0.74169403895219643</v>
      </c>
      <c r="M54" s="84">
        <f ca="1">OFFSET('48'!$E$35,$A$3,0)</f>
        <v>89968</v>
      </c>
      <c r="N54" s="162">
        <f t="shared" ca="1" si="5"/>
        <v>2.9077276106137488</v>
      </c>
      <c r="O54" s="84">
        <f ca="1">'48'!$F$101*'Discipline Analysis'!B54</f>
        <v>0</v>
      </c>
      <c r="P54" s="162">
        <f t="shared" ca="1" si="6"/>
        <v>0</v>
      </c>
      <c r="Q54" s="84">
        <f ca="1">'48'!$F$102*'Discipline Analysis'!B54</f>
        <v>0</v>
      </c>
      <c r="R54" s="162">
        <f t="shared" ca="1" si="7"/>
        <v>0</v>
      </c>
      <c r="S54" s="84">
        <f ca="1">'48'!$F$103*'Discipline Analysis'!B54</f>
        <v>5723.7412136833991</v>
      </c>
      <c r="T54" s="162">
        <f t="shared" ca="1" si="8"/>
        <v>0.18498888897202415</v>
      </c>
      <c r="U54" s="84">
        <f ca="1">'48'!$F$104*'Discipline Analysis'!B54</f>
        <v>5631.0115105760533</v>
      </c>
      <c r="V54" s="165">
        <f t="shared" ca="1" si="9"/>
        <v>0.18199190428803377</v>
      </c>
    </row>
    <row r="55" spans="1:22" x14ac:dyDescent="0.2">
      <c r="A55" s="101" t="s">
        <v>1417</v>
      </c>
      <c r="B55" s="92">
        <f ca="1">OFFSET('49'!$D$4,$A$3,0)</f>
        <v>59324</v>
      </c>
      <c r="C55" s="84">
        <f ca="1">OFFSET('49'!$E$4,$A$3,0)</f>
        <v>456790.23410522786</v>
      </c>
      <c r="D55" s="162">
        <f t="shared" ca="1" si="0"/>
        <v>7.6999230346104079</v>
      </c>
      <c r="E55" s="84">
        <f ca="1">OFFSET('49'!$E$66,$A$3,0)</f>
        <v>227202</v>
      </c>
      <c r="F55" s="162">
        <f t="shared" ca="1" si="1"/>
        <v>3.8298496392690984</v>
      </c>
      <c r="G55" s="84">
        <f ca="1">'49'!$F$100*B55</f>
        <v>29289.644821246271</v>
      </c>
      <c r="H55" s="162">
        <f t="shared" ca="1" si="2"/>
        <v>0.49372336358381552</v>
      </c>
      <c r="I55" s="84">
        <f ca="1">'49'!$F$98*'Discipline Analysis'!B55</f>
        <v>110565.9468395392</v>
      </c>
      <c r="J55" s="162">
        <f t="shared" ca="1" si="3"/>
        <v>1.8637641905390601</v>
      </c>
      <c r="K55" s="84">
        <f ca="1">'49'!$F$99*'Discipline Analysis'!B55</f>
        <v>25900.098359540927</v>
      </c>
      <c r="L55" s="162">
        <f t="shared" ca="1" si="4"/>
        <v>0.4365871883140201</v>
      </c>
      <c r="M55" s="84">
        <f ca="1">OFFSET('49'!$E$35,$A$3,0)</f>
        <v>23697</v>
      </c>
      <c r="N55" s="162">
        <f t="shared" ca="1" si="5"/>
        <v>0.39945047535567391</v>
      </c>
      <c r="O55" s="84">
        <f ca="1">'49'!$F$101*'Discipline Analysis'!B55</f>
        <v>0</v>
      </c>
      <c r="P55" s="162">
        <f t="shared" ca="1" si="6"/>
        <v>0</v>
      </c>
      <c r="Q55" s="84">
        <f ca="1">'49'!$F$102*'Discipline Analysis'!B55</f>
        <v>18159.03664308384</v>
      </c>
      <c r="R55" s="162">
        <f t="shared" ca="1" si="7"/>
        <v>0.30609932983419597</v>
      </c>
      <c r="S55" s="84">
        <f ca="1">'49'!$F$103*'Discipline Analysis'!B55</f>
        <v>1261.141924050087</v>
      </c>
      <c r="T55" s="162">
        <f t="shared" ca="1" si="8"/>
        <v>2.1258545007924061E-2</v>
      </c>
      <c r="U55" s="84">
        <f ca="1">'49'!$F$104*'Discipline Analysis'!B55</f>
        <v>20715.365517767565</v>
      </c>
      <c r="V55" s="165">
        <f t="shared" ca="1" si="9"/>
        <v>0.34919030270662066</v>
      </c>
    </row>
    <row r="56" spans="1:22" x14ac:dyDescent="0.2">
      <c r="A56" s="101" t="s">
        <v>1425</v>
      </c>
      <c r="B56" s="92">
        <f ca="1">OFFSET('50'!$D$4,$A$3,0)</f>
        <v>6048</v>
      </c>
      <c r="C56" s="84">
        <f ca="1">OFFSET('50'!$E$4,$A$3,0)</f>
        <v>52478.651308539673</v>
      </c>
      <c r="D56" s="162">
        <f t="shared" ca="1" si="0"/>
        <v>8.6770256793220355</v>
      </c>
      <c r="E56" s="84">
        <f ca="1">OFFSET('50'!$E$66,$A$3,0)</f>
        <v>23933</v>
      </c>
      <c r="F56" s="162">
        <f t="shared" ca="1" si="1"/>
        <v>3.957175925925926</v>
      </c>
      <c r="G56" s="84">
        <f ca="1">'50'!$F$100*B56</f>
        <v>4215.152468613881</v>
      </c>
      <c r="H56" s="162">
        <f t="shared" ca="1" si="2"/>
        <v>0.69694981293218927</v>
      </c>
      <c r="I56" s="84">
        <f ca="1">'50'!$F$98*'Discipline Analysis'!B56</f>
        <v>10707.422471378824</v>
      </c>
      <c r="J56" s="162">
        <f t="shared" ca="1" si="3"/>
        <v>1.7704071546591971</v>
      </c>
      <c r="K56" s="84">
        <f ca="1">'50'!$F$99*'Discipline Analysis'!B56</f>
        <v>3684.2573080668235</v>
      </c>
      <c r="L56" s="162">
        <f t="shared" ca="1" si="4"/>
        <v>0.60916952845020234</v>
      </c>
      <c r="M56" s="84">
        <f ca="1">OFFSET('50'!$E$35,$A$3,0)</f>
        <v>5537</v>
      </c>
      <c r="N56" s="162">
        <f t="shared" ca="1" si="5"/>
        <v>0.9155092592592593</v>
      </c>
      <c r="O56" s="84">
        <f ca="1">'50'!$F$101*'Discipline Analysis'!B56</f>
        <v>0</v>
      </c>
      <c r="P56" s="162">
        <f t="shared" ca="1" si="6"/>
        <v>0</v>
      </c>
      <c r="Q56" s="84">
        <f ca="1">'50'!$F$102*'Discipline Analysis'!B56</f>
        <v>1356.2758692542266</v>
      </c>
      <c r="R56" s="162">
        <f t="shared" ca="1" si="7"/>
        <v>0.22425196250896604</v>
      </c>
      <c r="S56" s="84">
        <f ca="1">'50'!$F$103*'Discipline Analysis'!B56</f>
        <v>1223.8822855265214</v>
      </c>
      <c r="T56" s="162">
        <f t="shared" ca="1" si="8"/>
        <v>0.20236148900901479</v>
      </c>
      <c r="U56" s="84">
        <f ca="1">'50'!$F$104*'Discipline Analysis'!B56</f>
        <v>1821.6609056993905</v>
      </c>
      <c r="V56" s="165">
        <f t="shared" ca="1" si="9"/>
        <v>0.30120054657728018</v>
      </c>
    </row>
    <row r="57" spans="1:22" x14ac:dyDescent="0.2">
      <c r="A57" s="99" t="s">
        <v>1289</v>
      </c>
      <c r="B57" s="92">
        <f ca="1">OFFSET('51'!$D$4,$A$3,0)</f>
        <v>31520</v>
      </c>
      <c r="C57" s="84">
        <f ca="1">OFFSET('51'!$E$4,$A$3,0)</f>
        <v>328519.22621723986</v>
      </c>
      <c r="D57" s="162">
        <f t="shared" ca="1" si="0"/>
        <v>10.422564283541874</v>
      </c>
      <c r="E57" s="84">
        <f ca="1">OFFSET('51'!$E$66,$A$3,0)</f>
        <v>88603</v>
      </c>
      <c r="F57" s="162">
        <f t="shared" ca="1" si="1"/>
        <v>2.8110088832487308</v>
      </c>
      <c r="G57" s="84">
        <f ca="1">'51'!$F$100*B57</f>
        <v>19092.801667860669</v>
      </c>
      <c r="H57" s="162">
        <f t="shared" ca="1" si="2"/>
        <v>0.60573609352349833</v>
      </c>
      <c r="I57" s="84">
        <f ca="1">'51'!$F$98*'Discipline Analysis'!B57</f>
        <v>32099.138307929472</v>
      </c>
      <c r="J57" s="162">
        <f t="shared" ca="1" si="3"/>
        <v>1.0183736772820264</v>
      </c>
      <c r="K57" s="84">
        <f ca="1">'51'!$F$99*'Discipline Analysis'!B57</f>
        <v>28496.179719978776</v>
      </c>
      <c r="L57" s="162">
        <f t="shared" ca="1" si="4"/>
        <v>0.9040666154815602</v>
      </c>
      <c r="M57" s="84">
        <f ca="1">OFFSET('51'!$E$35,$A$3,0)</f>
        <v>137598</v>
      </c>
      <c r="N57" s="162">
        <f t="shared" ca="1" si="5"/>
        <v>4.3654187817258885</v>
      </c>
      <c r="O57" s="84">
        <f ca="1">'51'!$F$101*'Discipline Analysis'!B57</f>
        <v>3379.5879503789888</v>
      </c>
      <c r="P57" s="162">
        <f t="shared" ca="1" si="6"/>
        <v>0.10722042989781055</v>
      </c>
      <c r="Q57" s="84">
        <f ca="1">'51'!$F$102*'Discipline Analysis'!B57</f>
        <v>9211.184941557327</v>
      </c>
      <c r="R57" s="162">
        <f t="shared" ca="1" si="7"/>
        <v>0.29223302479560048</v>
      </c>
      <c r="S57" s="84">
        <f ca="1">'51'!$F$103*'Discipline Analysis'!B57</f>
        <v>7784.5057037777715</v>
      </c>
      <c r="T57" s="162">
        <f t="shared" ca="1" si="8"/>
        <v>0.24697035862239122</v>
      </c>
      <c r="U57" s="84">
        <f ca="1">'51'!$F$104*'Discipline Analysis'!B57</f>
        <v>2254.8279257568593</v>
      </c>
      <c r="V57" s="165">
        <f t="shared" ca="1" si="9"/>
        <v>7.1536418964367368E-2</v>
      </c>
    </row>
    <row r="58" spans="1:22" x14ac:dyDescent="0.2">
      <c r="A58" s="99" t="s">
        <v>1290</v>
      </c>
      <c r="B58" s="92">
        <f ca="1">OFFSET('52'!$D$4,$A$3,0)</f>
        <v>8176</v>
      </c>
      <c r="C58" s="84">
        <f ca="1">OFFSET('52'!$E$4,$A$3,0)</f>
        <v>133497.671760389</v>
      </c>
      <c r="D58" s="162">
        <f t="shared" ca="1" si="0"/>
        <v>16.327993121378302</v>
      </c>
      <c r="E58" s="84">
        <f ca="1">OFFSET('52'!$E$66,$A$3,0)</f>
        <v>46911</v>
      </c>
      <c r="F58" s="162">
        <f t="shared" ca="1" si="1"/>
        <v>5.7376467710371823</v>
      </c>
      <c r="G58" s="84">
        <f ca="1">'52'!$F$100*B58</f>
        <v>19433.307621626911</v>
      </c>
      <c r="H58" s="162">
        <f t="shared" ca="1" si="2"/>
        <v>2.3768722629191426</v>
      </c>
      <c r="I58" s="84">
        <f ca="1">'52'!$F$98*'Discipline Analysis'!B58</f>
        <v>15750.60358919065</v>
      </c>
      <c r="J58" s="162">
        <f t="shared" ca="1" si="3"/>
        <v>1.9264436875233184</v>
      </c>
      <c r="K58" s="84">
        <f ca="1">'52'!$F$99*'Discipline Analysis'!B58</f>
        <v>23053.91737592806</v>
      </c>
      <c r="L58" s="162">
        <f t="shared" ca="1" si="4"/>
        <v>2.8197061369775023</v>
      </c>
      <c r="M58" s="84">
        <f ca="1">OFFSET('52'!$E$35,$A$3,0)</f>
        <v>19424</v>
      </c>
      <c r="N58" s="162">
        <f t="shared" ca="1" si="5"/>
        <v>2.37573385518591</v>
      </c>
      <c r="O58" s="84">
        <f ca="1">'52'!$F$101*'Discipline Analysis'!B58</f>
        <v>0</v>
      </c>
      <c r="P58" s="162">
        <f t="shared" ca="1" si="6"/>
        <v>0</v>
      </c>
      <c r="Q58" s="84">
        <f ca="1">'52'!$F$102*'Discipline Analysis'!B58</f>
        <v>2991.0685442925637</v>
      </c>
      <c r="R58" s="162">
        <f t="shared" ca="1" si="7"/>
        <v>0.36583519377355234</v>
      </c>
      <c r="S58" s="84">
        <f ca="1">'52'!$F$103*'Discipline Analysis'!B58</f>
        <v>5099.3420453049894</v>
      </c>
      <c r="T58" s="162">
        <f t="shared" ca="1" si="8"/>
        <v>0.62369643411264553</v>
      </c>
      <c r="U58" s="84">
        <f ca="1">'52'!$F$104*'Discipline Analysis'!B58</f>
        <v>834.43258404581456</v>
      </c>
      <c r="V58" s="165">
        <f t="shared" ca="1" si="9"/>
        <v>0.10205877984904776</v>
      </c>
    </row>
    <row r="59" spans="1:22" x14ac:dyDescent="0.2">
      <c r="A59" s="99" t="s">
        <v>1291</v>
      </c>
      <c r="B59" s="92">
        <f ca="1">OFFSET('53'!$D$4,$A$3,0)</f>
        <v>0</v>
      </c>
      <c r="C59" s="84">
        <f ca="1">OFFSET('53'!$E$4,$A$3,0)</f>
        <v>0</v>
      </c>
      <c r="D59" s="162" t="str">
        <f t="shared" ca="1" si="0"/>
        <v/>
      </c>
      <c r="E59" s="84">
        <f ca="1">OFFSET('53'!$E$66,$A$3,0)</f>
        <v>0</v>
      </c>
      <c r="F59" s="162" t="str">
        <f t="shared" ca="1" si="1"/>
        <v/>
      </c>
      <c r="G59" s="84">
        <f ca="1">'53'!$F$100*B59</f>
        <v>0</v>
      </c>
      <c r="H59" s="162" t="str">
        <f t="shared" ca="1" si="2"/>
        <v/>
      </c>
      <c r="I59" s="84">
        <f ca="1">'53'!$F$98*'Discipline Analysis'!B59</f>
        <v>0</v>
      </c>
      <c r="J59" s="162" t="str">
        <f t="shared" ca="1" si="3"/>
        <v/>
      </c>
      <c r="K59" s="84">
        <f ca="1">'53'!$F$99*'Discipline Analysis'!B59</f>
        <v>0</v>
      </c>
      <c r="L59" s="162" t="str">
        <f t="shared" ca="1" si="4"/>
        <v/>
      </c>
      <c r="M59" s="84">
        <f ca="1">OFFSET('53'!$E$35,$A$3,0)</f>
        <v>0</v>
      </c>
      <c r="N59" s="162" t="str">
        <f t="shared" ca="1" si="5"/>
        <v/>
      </c>
      <c r="O59" s="84">
        <f ca="1">'53'!$F$101*'Discipline Analysis'!B59</f>
        <v>0</v>
      </c>
      <c r="P59" s="162" t="str">
        <f t="shared" ca="1" si="6"/>
        <v/>
      </c>
      <c r="Q59" s="84">
        <f ca="1">'53'!$F$102*'Discipline Analysis'!B59</f>
        <v>0</v>
      </c>
      <c r="R59" s="162" t="str">
        <f t="shared" ca="1" si="7"/>
        <v/>
      </c>
      <c r="S59" s="84">
        <f ca="1">'53'!$F$103*'Discipline Analysis'!B59</f>
        <v>0</v>
      </c>
      <c r="T59" s="162" t="str">
        <f t="shared" ca="1" si="8"/>
        <v/>
      </c>
      <c r="U59" s="84">
        <f ca="1">'53'!$F$104*'Discipline Analysis'!B59</f>
        <v>0</v>
      </c>
      <c r="V59" s="165" t="str">
        <f t="shared" ca="1" si="9"/>
        <v/>
      </c>
    </row>
    <row r="60" spans="1:22" x14ac:dyDescent="0.2">
      <c r="A60" s="99" t="s">
        <v>1292</v>
      </c>
      <c r="B60" s="92">
        <f ca="1">OFFSET('54'!$D$4,$A$3,0)</f>
        <v>54336</v>
      </c>
      <c r="C60" s="84">
        <f ca="1">OFFSET('54'!$E$4,$A$3,0)</f>
        <v>630176.7468468158</v>
      </c>
      <c r="D60" s="162">
        <f t="shared" ca="1" si="0"/>
        <v>11.597775817999407</v>
      </c>
      <c r="E60" s="84">
        <f ca="1">OFFSET('54'!$E$66,$A$3,0)</f>
        <v>255526</v>
      </c>
      <c r="F60" s="162">
        <f t="shared" ca="1" si="1"/>
        <v>4.7027017078916371</v>
      </c>
      <c r="G60" s="84">
        <f ca="1">'54'!$F$100*B60</f>
        <v>35709.798534751215</v>
      </c>
      <c r="H60" s="162">
        <f t="shared" ca="1" si="2"/>
        <v>0.65720330047760633</v>
      </c>
      <c r="I60" s="84">
        <f ca="1">'54'!$F$98*'Discipline Analysis'!B60</f>
        <v>53775.010762398415</v>
      </c>
      <c r="J60" s="162">
        <f t="shared" ca="1" si="3"/>
        <v>0.98967555142812158</v>
      </c>
      <c r="K60" s="84">
        <f ca="1">'54'!$F$99*'Discipline Analysis'!B60</f>
        <v>59654.266971158591</v>
      </c>
      <c r="L60" s="162">
        <f t="shared" ca="1" si="4"/>
        <v>1.0978774103938198</v>
      </c>
      <c r="M60" s="84">
        <f ca="1">OFFSET('54'!$E$35,$A$3,0)</f>
        <v>177788</v>
      </c>
      <c r="N60" s="162">
        <f t="shared" ca="1" si="5"/>
        <v>3.2720111896348647</v>
      </c>
      <c r="O60" s="84">
        <f ca="1">'54'!$F$101*'Discipline Analysis'!B60</f>
        <v>2657.6343096914138</v>
      </c>
      <c r="P60" s="162">
        <f t="shared" ca="1" si="6"/>
        <v>4.8911114356806056E-2</v>
      </c>
      <c r="Q60" s="84">
        <f ca="1">'54'!$F$102*'Discipline Analysis'!B60</f>
        <v>26875.416788325481</v>
      </c>
      <c r="R60" s="162">
        <f t="shared" ca="1" si="7"/>
        <v>0.49461529719385822</v>
      </c>
      <c r="S60" s="84">
        <f ca="1">'54'!$F$103*'Discipline Analysis'!B60</f>
        <v>13650.210627159504</v>
      </c>
      <c r="T60" s="162">
        <f t="shared" ca="1" si="8"/>
        <v>0.25121854069418992</v>
      </c>
      <c r="U60" s="84">
        <f ca="1">'54'!$F$104*'Discipline Analysis'!B60</f>
        <v>4540.4088533312542</v>
      </c>
      <c r="V60" s="165">
        <f t="shared" ca="1" si="9"/>
        <v>8.356170592850512E-2</v>
      </c>
    </row>
    <row r="61" spans="1:22" x14ac:dyDescent="0.2">
      <c r="A61" s="99" t="s">
        <v>1293</v>
      </c>
      <c r="B61" s="92">
        <f ca="1">OFFSET('55'!$D$4,$A$3,0)</f>
        <v>0</v>
      </c>
      <c r="C61" s="84">
        <f ca="1">OFFSET('55'!$E$4,$A$3,0)</f>
        <v>0</v>
      </c>
      <c r="D61" s="162" t="str">
        <f t="shared" ca="1" si="0"/>
        <v/>
      </c>
      <c r="E61" s="84">
        <f ca="1">OFFSET('55'!$E$66,$A$3,0)</f>
        <v>0</v>
      </c>
      <c r="F61" s="162" t="str">
        <f t="shared" ca="1" si="1"/>
        <v/>
      </c>
      <c r="G61" s="84">
        <f ca="1">'55'!$F$100*B61</f>
        <v>0</v>
      </c>
      <c r="H61" s="162" t="str">
        <f t="shared" ca="1" si="2"/>
        <v/>
      </c>
      <c r="I61" s="84">
        <f ca="1">'55'!$F$98*'Discipline Analysis'!B61</f>
        <v>0</v>
      </c>
      <c r="J61" s="162" t="str">
        <f t="shared" ca="1" si="3"/>
        <v/>
      </c>
      <c r="K61" s="84">
        <f ca="1">'55'!$F$99*'Discipline Analysis'!B61</f>
        <v>0</v>
      </c>
      <c r="L61" s="162" t="str">
        <f t="shared" ca="1" si="4"/>
        <v/>
      </c>
      <c r="M61" s="84">
        <f ca="1">OFFSET('55'!$E$35,$A$3,0)</f>
        <v>0</v>
      </c>
      <c r="N61" s="162" t="str">
        <f t="shared" ca="1" si="5"/>
        <v/>
      </c>
      <c r="O61" s="84">
        <f ca="1">'55'!$F$101*'Discipline Analysis'!B61</f>
        <v>0</v>
      </c>
      <c r="P61" s="162" t="str">
        <f t="shared" ca="1" si="6"/>
        <v/>
      </c>
      <c r="Q61" s="84">
        <f ca="1">'55'!$F$102*'Discipline Analysis'!B61</f>
        <v>0</v>
      </c>
      <c r="R61" s="162" t="str">
        <f t="shared" ca="1" si="7"/>
        <v/>
      </c>
      <c r="S61" s="84">
        <f ca="1">'55'!$F$103*'Discipline Analysis'!B61</f>
        <v>0</v>
      </c>
      <c r="T61" s="162" t="str">
        <f t="shared" ca="1" si="8"/>
        <v/>
      </c>
      <c r="U61" s="84">
        <f ca="1">'55'!$F$104*'Discipline Analysis'!B61</f>
        <v>0</v>
      </c>
      <c r="V61" s="165" t="str">
        <f t="shared" ca="1" si="9"/>
        <v/>
      </c>
    </row>
    <row r="62" spans="1:22" x14ac:dyDescent="0.2">
      <c r="A62" s="99" t="s">
        <v>1294</v>
      </c>
      <c r="B62" s="92">
        <f ca="1">OFFSET('56'!$D$4,$A$3,0)</f>
        <v>1440</v>
      </c>
      <c r="C62" s="84">
        <f ca="1">OFFSET('56'!$E$4,$A$3,0)</f>
        <v>14871.539672395429</v>
      </c>
      <c r="D62" s="162">
        <f t="shared" ca="1" si="0"/>
        <v>10.327458105830159</v>
      </c>
      <c r="E62" s="84">
        <f ca="1">OFFSET('56'!$E$66,$A$3,0)</f>
        <v>4150</v>
      </c>
      <c r="F62" s="162">
        <f t="shared" ca="1" si="1"/>
        <v>2.8819444444444446</v>
      </c>
      <c r="G62" s="84">
        <f ca="1">'56'!$F$100*B62</f>
        <v>2307.5199355154446</v>
      </c>
      <c r="H62" s="162">
        <f t="shared" ca="1" si="2"/>
        <v>1.6024443996635032</v>
      </c>
      <c r="I62" s="84">
        <f ca="1">'56'!$F$98*'Discipline Analysis'!B62</f>
        <v>2767.6126320637936</v>
      </c>
      <c r="J62" s="162">
        <f t="shared" ca="1" si="3"/>
        <v>1.9219532167109679</v>
      </c>
      <c r="K62" s="84">
        <f ca="1">'56'!$F$99*'Discipline Analysis'!B62</f>
        <v>1144.1736476955407</v>
      </c>
      <c r="L62" s="162">
        <f t="shared" ca="1" si="4"/>
        <v>0.7945650331219033</v>
      </c>
      <c r="M62" s="84">
        <f ca="1">OFFSET('56'!$E$35,$A$3,0)</f>
        <v>1528</v>
      </c>
      <c r="N62" s="162">
        <f t="shared" ca="1" si="5"/>
        <v>1.0611111111111111</v>
      </c>
      <c r="O62" s="84">
        <f ca="1">'56'!$F$101*'Discipline Analysis'!B62</f>
        <v>0</v>
      </c>
      <c r="P62" s="162">
        <f t="shared" ca="1" si="6"/>
        <v>0</v>
      </c>
      <c r="Q62" s="84">
        <f ca="1">'56'!$F$102*'Discipline Analysis'!B62</f>
        <v>581.60232605003307</v>
      </c>
      <c r="R62" s="162">
        <f t="shared" ca="1" si="7"/>
        <v>0.40389050420141187</v>
      </c>
      <c r="S62" s="84">
        <f ca="1">'56'!$F$103*'Discipline Analysis'!B62</f>
        <v>1934.2913895845927</v>
      </c>
      <c r="T62" s="162">
        <f t="shared" ca="1" si="8"/>
        <v>1.3432579094337449</v>
      </c>
      <c r="U62" s="84">
        <f ca="1">'56'!$F$104*'Discipline Analysis'!B62</f>
        <v>458.33974148602357</v>
      </c>
      <c r="V62" s="165">
        <f t="shared" ca="1" si="9"/>
        <v>0.31829148714307193</v>
      </c>
    </row>
    <row r="63" spans="1:22" x14ac:dyDescent="0.2">
      <c r="A63" s="80" t="s">
        <v>1295</v>
      </c>
      <c r="B63" s="92">
        <f ca="1">OFFSET('57'!$D$4,$A$3,0)</f>
        <v>0</v>
      </c>
      <c r="C63" s="84">
        <f ca="1">OFFSET('57'!$E$4,$A$3,0)</f>
        <v>0</v>
      </c>
      <c r="D63" s="162" t="str">
        <f t="shared" ca="1" si="0"/>
        <v/>
      </c>
      <c r="E63" s="84">
        <f ca="1">OFFSET('57'!$E$66,$A$3,0)</f>
        <v>0</v>
      </c>
      <c r="F63" s="162" t="str">
        <f t="shared" ca="1" si="1"/>
        <v/>
      </c>
      <c r="G63" s="84">
        <f ca="1">'57'!$F$100*B63</f>
        <v>0</v>
      </c>
      <c r="H63" s="162" t="str">
        <f t="shared" ca="1" si="2"/>
        <v/>
      </c>
      <c r="I63" s="84">
        <f ca="1">'57'!$F$98*'Discipline Analysis'!B63</f>
        <v>0</v>
      </c>
      <c r="J63" s="162" t="str">
        <f t="shared" ca="1" si="3"/>
        <v/>
      </c>
      <c r="K63" s="84">
        <f ca="1">'57'!$F$99*'Discipline Analysis'!B63</f>
        <v>0</v>
      </c>
      <c r="L63" s="162" t="str">
        <f t="shared" ca="1" si="4"/>
        <v/>
      </c>
      <c r="M63" s="84">
        <f ca="1">OFFSET('57'!$E$35,$A$3,0)</f>
        <v>0</v>
      </c>
      <c r="N63" s="162" t="str">
        <f t="shared" ca="1" si="5"/>
        <v/>
      </c>
      <c r="O63" s="84">
        <f ca="1">'57'!$F$101*'Discipline Analysis'!B63</f>
        <v>0</v>
      </c>
      <c r="P63" s="162" t="str">
        <f t="shared" ca="1" si="6"/>
        <v/>
      </c>
      <c r="Q63" s="84">
        <f ca="1">'57'!$F$102*'Discipline Analysis'!B63</f>
        <v>0</v>
      </c>
      <c r="R63" s="162" t="str">
        <f t="shared" ca="1" si="7"/>
        <v/>
      </c>
      <c r="S63" s="84">
        <f ca="1">'57'!$F$103*'Discipline Analysis'!B63</f>
        <v>0</v>
      </c>
      <c r="T63" s="162" t="str">
        <f t="shared" ca="1" si="8"/>
        <v/>
      </c>
      <c r="U63" s="84">
        <f ca="1">'57'!$F$104*'Discipline Analysis'!B63</f>
        <v>0</v>
      </c>
      <c r="V63" s="165" t="str">
        <f t="shared" ca="1" si="9"/>
        <v/>
      </c>
    </row>
    <row r="64" spans="1:22" ht="15" thickBot="1" x14ac:dyDescent="0.25">
      <c r="A64" s="89" t="s">
        <v>35</v>
      </c>
      <c r="B64" s="87">
        <f ca="1">OFFSET(Summary!$D$4,$A$3,0)</f>
        <v>1666064</v>
      </c>
      <c r="C64" s="86">
        <f ca="1">OFFSET(Summary!$E$4,$A$3,0)</f>
        <v>14427031.120202221</v>
      </c>
      <c r="D64" s="163">
        <f t="shared" ca="1" si="0"/>
        <v>8.6593498930426573</v>
      </c>
      <c r="E64" s="86">
        <f ca="1">OFFSET(Summary!$E$66,$A$3,0)</f>
        <v>5564025</v>
      </c>
      <c r="F64" s="163">
        <f t="shared" ca="1" si="1"/>
        <v>3.3396226075348845</v>
      </c>
      <c r="G64" s="86">
        <f ca="1">Summary!$F$100*B64</f>
        <v>1305308.1990810176</v>
      </c>
      <c r="H64" s="163">
        <f t="shared" ca="1" si="2"/>
        <v>0.78346822155752582</v>
      </c>
      <c r="I64" s="86">
        <f ca="1">Summary!$F$98*'Discipline Analysis'!B64</f>
        <v>2491031.2641972252</v>
      </c>
      <c r="J64" s="163">
        <f t="shared" ca="1" si="3"/>
        <v>1.4951594081603259</v>
      </c>
      <c r="K64" s="86">
        <f ca="1">Summary!$F$99*'Discipline Analysis'!B64</f>
        <v>1380134.0017188378</v>
      </c>
      <c r="L64" s="163">
        <f t="shared" ca="1" si="4"/>
        <v>0.82837994321877062</v>
      </c>
      <c r="M64" s="86">
        <f ca="1">OFFSET(Summary!$E$35,$A$3,0)</f>
        <v>2846280</v>
      </c>
      <c r="N64" s="163">
        <f t="shared" ca="1" si="5"/>
        <v>1.7083857522880272</v>
      </c>
      <c r="O64" s="86">
        <f ca="1">Summary!$F$101*'Discipline Analysis'!B64</f>
        <v>4804.6870165216833</v>
      </c>
      <c r="P64" s="163">
        <f t="shared" ca="1" si="6"/>
        <v>2.8838550118853077E-3</v>
      </c>
      <c r="Q64" s="86">
        <f ca="1">Summary!$F$102*'Discipline Analysis'!B64</f>
        <v>97264.140709348168</v>
      </c>
      <c r="R64" s="163">
        <f t="shared" ca="1" si="7"/>
        <v>5.837959448697539E-2</v>
      </c>
      <c r="S64" s="86">
        <f ca="1">Summary!$F$103*'Discipline Analysis'!B64</f>
        <v>267148.52339490881</v>
      </c>
      <c r="T64" s="163">
        <f t="shared" ca="1" si="8"/>
        <v>0.16034709554669496</v>
      </c>
      <c r="U64" s="85">
        <f ca="1">Summary!$F$104*'Discipline Analysis'!B64</f>
        <v>471035.30408436211</v>
      </c>
      <c r="V64" s="166">
        <f t="shared" ca="1" si="9"/>
        <v>0.28272341523756717</v>
      </c>
    </row>
    <row r="65" spans="2:22" x14ac:dyDescent="0.2">
      <c r="C65" s="3"/>
      <c r="D65" s="3"/>
      <c r="E65" s="3"/>
      <c r="F65" s="3"/>
      <c r="G65" s="3"/>
      <c r="H65" s="3"/>
      <c r="I65" s="3"/>
      <c r="J65" s="3"/>
      <c r="K65" s="3"/>
      <c r="L65" s="3"/>
      <c r="M65" s="3"/>
      <c r="N65" s="3"/>
      <c r="O65" s="3"/>
      <c r="P65" s="3"/>
      <c r="Q65" s="3"/>
      <c r="R65" s="3"/>
      <c r="S65" s="3"/>
      <c r="T65" s="3"/>
      <c r="U65" s="3"/>
      <c r="V65" s="3"/>
    </row>
    <row r="66" spans="2:22" ht="15" customHeight="1" x14ac:dyDescent="0.2">
      <c r="C66" s="68"/>
      <c r="G66" s="68"/>
      <c r="I66" s="68"/>
      <c r="K66" s="68"/>
      <c r="M66" s="68"/>
      <c r="O66" s="68"/>
      <c r="Q66" s="68"/>
      <c r="S66" s="68"/>
      <c r="U66" s="68"/>
    </row>
    <row r="80" spans="2:22" x14ac:dyDescent="0.2">
      <c r="B80" s="94"/>
      <c r="C80" s="94"/>
      <c r="D80" s="94"/>
      <c r="E80" s="94"/>
      <c r="F80" s="94"/>
      <c r="G80" s="94"/>
      <c r="H80" s="94"/>
      <c r="I80" s="94"/>
      <c r="J80" s="94"/>
      <c r="K80" s="94"/>
      <c r="L80" s="94"/>
      <c r="M80" s="94"/>
      <c r="N80" s="94"/>
      <c r="O80" s="94"/>
      <c r="P80" s="94"/>
      <c r="Q80" s="94"/>
      <c r="R80" s="94"/>
      <c r="S80" s="94"/>
      <c r="T80" s="94"/>
      <c r="U80" s="94"/>
      <c r="V80" s="94"/>
    </row>
    <row r="81" spans="2:21" x14ac:dyDescent="0.2">
      <c r="B81" s="95"/>
      <c r="C81" s="95"/>
      <c r="D81" s="95"/>
      <c r="E81" s="95"/>
      <c r="F81" s="95"/>
      <c r="G81" s="95"/>
      <c r="H81" s="95"/>
      <c r="I81" s="95"/>
      <c r="K81" s="95"/>
      <c r="L81" s="95"/>
      <c r="M81" s="95"/>
      <c r="N81" s="95"/>
      <c r="O81" s="95"/>
      <c r="P81" s="95"/>
      <c r="Q81" s="95"/>
      <c r="R81" s="95"/>
      <c r="S81" s="95"/>
      <c r="U81" s="95"/>
    </row>
    <row r="82" spans="2:21" x14ac:dyDescent="0.2">
      <c r="B82" s="95"/>
      <c r="C82" s="95"/>
      <c r="D82" s="95"/>
      <c r="E82" s="95"/>
      <c r="F82" s="95"/>
      <c r="G82" s="95"/>
      <c r="H82" s="95"/>
      <c r="I82" s="95"/>
      <c r="K82" s="95"/>
      <c r="L82" s="95"/>
      <c r="M82" s="95"/>
      <c r="N82" s="95"/>
      <c r="O82" s="95"/>
      <c r="P82" s="95"/>
      <c r="Q82" s="95"/>
      <c r="R82" s="95"/>
      <c r="S82" s="95"/>
      <c r="U82" s="95"/>
    </row>
    <row r="83" spans="2:21" x14ac:dyDescent="0.2">
      <c r="B83" s="95"/>
      <c r="C83" s="95"/>
      <c r="D83" s="95"/>
      <c r="E83" s="95"/>
      <c r="F83" s="95"/>
      <c r="G83" s="95"/>
      <c r="H83" s="95"/>
      <c r="I83" s="95"/>
      <c r="K83" s="95"/>
      <c r="L83" s="95"/>
      <c r="M83" s="95"/>
      <c r="N83" s="95"/>
      <c r="O83" s="95"/>
      <c r="P83" s="95"/>
      <c r="Q83" s="95"/>
      <c r="R83" s="95"/>
      <c r="S83" s="95"/>
      <c r="U83" s="95"/>
    </row>
    <row r="84" spans="2:21" x14ac:dyDescent="0.2">
      <c r="B84" s="95"/>
      <c r="C84" s="95"/>
      <c r="D84" s="95"/>
      <c r="E84" s="95"/>
      <c r="F84" s="95"/>
      <c r="G84" s="95"/>
      <c r="H84" s="95"/>
      <c r="I84" s="95"/>
      <c r="K84" s="95"/>
      <c r="L84" s="95"/>
      <c r="M84" s="95"/>
      <c r="N84" s="95"/>
      <c r="O84" s="95"/>
      <c r="P84" s="95"/>
      <c r="Q84" s="95"/>
      <c r="R84" s="95"/>
      <c r="S84" s="95"/>
      <c r="U84" s="95"/>
    </row>
    <row r="85" spans="2:21" x14ac:dyDescent="0.2">
      <c r="B85" s="95"/>
      <c r="C85" s="95"/>
      <c r="D85" s="95"/>
      <c r="E85" s="95"/>
      <c r="F85" s="95"/>
      <c r="G85" s="95"/>
      <c r="H85" s="95"/>
      <c r="I85" s="95"/>
      <c r="K85" s="95"/>
      <c r="L85" s="95"/>
      <c r="M85" s="95"/>
      <c r="N85" s="95"/>
      <c r="O85" s="95"/>
      <c r="P85" s="95"/>
      <c r="Q85" s="95"/>
      <c r="R85" s="95"/>
      <c r="S85" s="95"/>
      <c r="U85" s="95"/>
    </row>
    <row r="86" spans="2:21" x14ac:dyDescent="0.2">
      <c r="B86" s="95"/>
      <c r="C86" s="95"/>
      <c r="D86" s="95"/>
      <c r="E86" s="95"/>
      <c r="F86" s="95"/>
      <c r="G86" s="95"/>
      <c r="H86" s="95"/>
      <c r="I86" s="95"/>
      <c r="K86" s="95"/>
      <c r="L86" s="95"/>
      <c r="M86" s="95"/>
      <c r="N86" s="95"/>
      <c r="O86" s="95"/>
      <c r="P86" s="95"/>
      <c r="Q86" s="95"/>
      <c r="R86" s="95"/>
      <c r="S86" s="95"/>
      <c r="U86" s="95"/>
    </row>
    <row r="87" spans="2:21" x14ac:dyDescent="0.2">
      <c r="B87" s="95"/>
      <c r="C87" s="95"/>
      <c r="D87" s="95"/>
      <c r="E87" s="95"/>
      <c r="F87" s="95"/>
      <c r="G87" s="95"/>
      <c r="H87" s="95"/>
      <c r="I87" s="95"/>
      <c r="K87" s="95"/>
      <c r="L87" s="95"/>
      <c r="M87" s="95"/>
      <c r="N87" s="95"/>
      <c r="O87" s="95"/>
      <c r="P87" s="95"/>
      <c r="Q87" s="95"/>
      <c r="R87" s="95"/>
      <c r="S87" s="95"/>
      <c r="U87" s="93"/>
    </row>
    <row r="88" spans="2:21" x14ac:dyDescent="0.2">
      <c r="B88" s="95"/>
      <c r="C88" s="95"/>
      <c r="D88" s="95"/>
      <c r="E88" s="95"/>
      <c r="F88" s="95"/>
      <c r="G88" s="95"/>
      <c r="H88" s="95"/>
      <c r="I88" s="95"/>
      <c r="K88" s="95"/>
      <c r="L88" s="95"/>
      <c r="M88" s="95"/>
      <c r="N88" s="95"/>
      <c r="O88" s="95"/>
      <c r="P88" s="95"/>
      <c r="Q88" s="95"/>
      <c r="R88" s="95"/>
      <c r="S88" s="95"/>
      <c r="U88" s="95"/>
    </row>
    <row r="89" spans="2:21" x14ac:dyDescent="0.2">
      <c r="B89" s="95"/>
      <c r="C89" s="95"/>
      <c r="D89" s="95"/>
      <c r="E89" s="95"/>
      <c r="F89" s="95"/>
      <c r="G89" s="95"/>
      <c r="H89" s="95"/>
      <c r="I89" s="95"/>
      <c r="K89" s="95"/>
      <c r="L89" s="95"/>
      <c r="M89" s="95"/>
      <c r="N89" s="95"/>
      <c r="O89" s="95"/>
      <c r="P89" s="95"/>
      <c r="Q89" s="95"/>
      <c r="R89" s="95"/>
      <c r="S89" s="95"/>
      <c r="U89" s="95"/>
    </row>
    <row r="90" spans="2:21" x14ac:dyDescent="0.2">
      <c r="B90" s="95"/>
      <c r="C90" s="95"/>
      <c r="D90" s="95"/>
      <c r="E90" s="95"/>
      <c r="F90" s="95"/>
      <c r="G90" s="95"/>
      <c r="H90" s="95"/>
      <c r="I90" s="95"/>
      <c r="K90" s="95"/>
      <c r="L90" s="95"/>
      <c r="M90" s="95"/>
      <c r="N90" s="95"/>
      <c r="O90" s="95"/>
      <c r="P90" s="95"/>
      <c r="Q90" s="95"/>
      <c r="R90" s="95"/>
      <c r="S90" s="95"/>
      <c r="U90" s="95"/>
    </row>
  </sheetData>
  <mergeCells count="11">
    <mergeCell ref="M5:N5"/>
    <mergeCell ref="O5:P5"/>
    <mergeCell ref="Q5:R5"/>
    <mergeCell ref="S5:T5"/>
    <mergeCell ref="U5:V5"/>
    <mergeCell ref="K5:L5"/>
    <mergeCell ref="B5:B6"/>
    <mergeCell ref="C5:D5"/>
    <mergeCell ref="E5:F5"/>
    <mergeCell ref="G5:H5"/>
    <mergeCell ref="I5:J5"/>
  </mergeCells>
  <pageMargins left="0.25" right="0.25" top="0.25" bottom="0.25" header="0.3" footer="0.3"/>
  <pageSetup scale="58" orientation="landscape" r:id="rId1"/>
  <colBreaks count="1" manualBreakCount="1">
    <brk id="12" max="62" man="1"/>
  </colBreaks>
  <drawing r:id="rId2"/>
  <legacyDrawing r:id="rId3"/>
  <mc:AlternateContent xmlns:mc="http://schemas.openxmlformats.org/markup-compatibility/2006">
    <mc:Choice Requires="x14">
      <controls>
        <mc:AlternateContent xmlns:mc="http://schemas.openxmlformats.org/markup-compatibility/2006">
          <mc:Choice Requires="x14">
            <control shapeId="63489" r:id="rId4" name="Drop Down 1">
              <controlPr defaultSize="0" autoLine="0" autoPict="0">
                <anchor moveWithCells="1" sizeWithCells="1">
                  <from>
                    <xdr:col>0</xdr:col>
                    <xdr:colOff>0</xdr:colOff>
                    <xdr:row>1</xdr:row>
                    <xdr:rowOff>171450</xdr:rowOff>
                  </from>
                  <to>
                    <xdr:col>3</xdr:col>
                    <xdr:colOff>314325</xdr:colOff>
                    <xdr:row>3</xdr:row>
                    <xdr:rowOff>85725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
  <sheetViews>
    <sheetView showGridLines="0" zoomScale="70" zoomScaleNormal="70" workbookViewId="0">
      <pane xSplit="1" ySplit="5" topLeftCell="B6" activePane="bottomRight" state="frozen"/>
      <selection pane="topRight" activeCell="B1" sqref="B1"/>
      <selection pane="bottomLeft" activeCell="A6" sqref="A6"/>
      <selection pane="bottomRight" activeCell="B63" sqref="B63:C63"/>
    </sheetView>
  </sheetViews>
  <sheetFormatPr defaultRowHeight="15" x14ac:dyDescent="0.25"/>
  <cols>
    <col min="1" max="1" width="49" customWidth="1"/>
    <col min="2" max="2" width="23.5703125" customWidth="1"/>
    <col min="3" max="3" width="29.7109375" customWidth="1"/>
    <col min="4" max="4" width="18" style="73" customWidth="1"/>
    <col min="5" max="5" width="18" customWidth="1"/>
  </cols>
  <sheetData>
    <row r="1" spans="1:6" x14ac:dyDescent="0.25">
      <c r="A1" s="124" t="str">
        <f>Summary!A1</f>
        <v>Community and Technical Colleges, Report of Fundable Operating Expenses, Fiscal Year (FY) 2011</v>
      </c>
      <c r="B1" s="123"/>
      <c r="C1" s="123"/>
      <c r="D1" s="128"/>
      <c r="E1" s="123"/>
      <c r="F1" s="123"/>
    </row>
    <row r="2" spans="1:6" x14ac:dyDescent="0.25">
      <c r="A2" s="126" t="s">
        <v>1377</v>
      </c>
      <c r="B2" s="125"/>
      <c r="C2" s="125"/>
      <c r="D2" s="129"/>
      <c r="E2" s="125"/>
      <c r="F2" s="125"/>
    </row>
    <row r="3" spans="1:6" ht="47.25" customHeight="1" thickBot="1" x14ac:dyDescent="0.3">
      <c r="A3" s="207" t="s">
        <v>1365</v>
      </c>
      <c r="B3" s="207"/>
      <c r="C3" s="207"/>
      <c r="D3" s="207"/>
      <c r="E3" s="207"/>
      <c r="F3" s="122"/>
    </row>
    <row r="4" spans="1:6" ht="60" customHeight="1" thickBot="1" x14ac:dyDescent="0.3">
      <c r="A4" s="120" t="s">
        <v>1296</v>
      </c>
      <c r="B4" s="119" t="str">
        <f>"FY 2012 - 2013 Rates @ "&amp;TEXT(B5,"0.00%")&amp;" (Using FY 2011 CH)"</f>
        <v>FY 2012 - 2013 Rates @ 39.38% (Using FY 2011 CH)</v>
      </c>
      <c r="C4" s="118" t="str">
        <f>"Annual Budget Neutral Percent Funded "&amp;TEXT(C5,"0.00%")&amp;" (Using FY 2011 CH)"</f>
        <v>Annual Budget Neutral Percent Funded 34.96% (Using FY 2011 CH)</v>
      </c>
      <c r="D4" s="118" t="s">
        <v>51</v>
      </c>
      <c r="E4" s="114" t="s">
        <v>1366</v>
      </c>
    </row>
    <row r="5" spans="1:6" x14ac:dyDescent="0.25">
      <c r="A5" s="151" t="s">
        <v>1378</v>
      </c>
      <c r="B5" s="117">
        <v>0.39376137366548286</v>
      </c>
      <c r="C5" s="127">
        <v>0.34958687993069409</v>
      </c>
      <c r="D5" s="127">
        <f>C5-B5</f>
        <v>-4.4174493734788767E-2</v>
      </c>
      <c r="E5" s="113"/>
    </row>
    <row r="6" spans="1:6" x14ac:dyDescent="0.25">
      <c r="A6" s="101" t="s">
        <v>527</v>
      </c>
      <c r="B6" s="115">
        <f>$B$5*('Rate History'!$D$4*SUMIF(Data!$G:$G,Neutral!$A6,Data!$CU:$CU)+'Rate History'!$D$5*SUMIF(Data!$G:$G,Neutral!$A6,Data!$CV:$CV)+'Rate History'!$D$6*SUMIF(Data!$G:$G,Neutral!$A6,Data!$CW:$CW)+'Rate History'!$D$7*SUMIF(Data!$G:$G,Neutral!$A6,Data!$CX:$CX)+'Rate History'!$D$8*SUMIF(Data!$G:$G,Neutral!$A6,Data!$CY:$CY)+'Rate History'!$D$9*SUMIF(Data!$G:$G,Neutral!$A6,Data!$CZ:$CZ)+'Rate History'!$D$10*SUMIF(Data!$G:$G,Neutral!$A6,Data!$DA:$DA)+'Rate History'!$D$11*SUMIF(Data!$G:$G,Neutral!$A6,Data!$DB:$DB)+'Rate History'!$D$12*SUMIF(Data!$G:$G,Neutral!$A6,Data!$DC:$DC)+'Rate History'!$D$13*SUMIF(Data!$G:$G,Neutral!$A6,Data!$DD:$DD)+'Rate History'!$D$14*SUMIF(Data!$G:$G,Neutral!$A6,Data!$DE:$DE)+'Rate History'!$D$15*SUMIF(Data!$G:$G,Neutral!$A6,Data!$DF:$DF)+'Rate History'!$D$16*SUMIF(Data!$G:$G,Neutral!$A6,Data!$DG:$DG)+'Rate History'!$D$17*SUMIF(Data!$G:$G,Neutral!$A6,Data!$DH:$DH)+'Rate History'!$D$18*SUMIF(Data!$G:$G,Neutral!$A6,Data!$DI:$DI)+'Rate History'!$D$19*SUMIF(Data!$G:$G,Neutral!$A6,Data!$DJ:$DJ)+'Rate History'!$D$20*SUMIF(Data!$G:$G,Neutral!$A6,Data!$DK:$DK)+'Rate History'!$D$21*SUMIF(Data!$G:$G,Neutral!$A6,Data!$DL:$DL)+'Rate History'!$D$22*SUMIF(Data!$G:$G,Neutral!$A6,Data!$DM:$DM)+'Rate History'!$D$23*SUMIF(Data!$G:$G,Neutral!$A6,Data!$DN:$DN)+'Rate History'!$D$24*SUMIF(Data!$G:$G,Neutral!$A6,Data!$DO:$DO)+'Rate History'!$D$25*SUMIF(Data!$G:$G,Neutral!$A6,Data!$DP:$DP)+'Rate History'!$D$26*SUMIF(Data!$G:$G,Neutral!$A6,Data!$DQ:$DQ)+'Rate History'!$D$27*SUMIF(Data!$G:$G,Neutral!$A6,Data!$DR:$DR)+'Rate History'!$D$28*SUMIF(Data!$G:$G,Neutral!$A6,Data!$DS:$DS)+'Rate History'!$D$29*SUMIF(Data!$G:$G,Neutral!$A6,Data!$DT:$DT)+'Rate History'!$D$30*SUMIF(Data!$G:$G,Neutral!$A6,Data!$DV:$DV)+'Rate History'!$D$31*SUMIF(Data!$G:$G,Neutral!$A6,Data!$DW:$DW))</f>
        <v>62072272.377574109</v>
      </c>
      <c r="C6" s="115">
        <f>$C$5*('Rate History'!$C$4*SUMIF(Data!$G:$G,Neutral!$A6,Data!$CU:$CU)+'Rate History'!$C$5*SUMIF(Data!$G:$G,Neutral!$A6,Data!$CV:$CV)+'Rate History'!$C$6*SUMIF(Data!$G:$G,Neutral!$A6,Data!$CW:$CW)+'Rate History'!$C$7*SUMIF(Data!$G:$G,Neutral!$A6,Data!$CX:$CX)+'Rate History'!$C$8*SUMIF(Data!$G:$G,Neutral!$A6,Data!$CY:$CY)+'Rate History'!$C$9*SUMIF(Data!$G:$G,Neutral!$A6,Data!$CZ:$CZ)+'Rate History'!$C$10*SUMIF(Data!$G:$G,Neutral!$A6,Data!$DA:$DA)+'Rate History'!$C$11*SUMIF(Data!$G:$G,Neutral!$A6,Data!$DB:$DB)+'Rate History'!$C$12*SUMIF(Data!$G:$G,Neutral!$A6,Data!$DC:$DC)+'Rate History'!$C$13*SUMIF(Data!$G:$G,Neutral!$A6,Data!$DD:$DD)+'Rate History'!$C$14*SUMIF(Data!$G:$G,Neutral!$A6,Data!$DE:$DE)+'Rate History'!$C$15*SUMIF(Data!$G:$G,Neutral!$A6,Data!$DF:$DF)+'Rate History'!$C$16*SUMIF(Data!$G:$G,Neutral!$A6,Data!$DG:$DG)+'Rate History'!$C$17*SUMIF(Data!$G:$G,Neutral!$A6,Data!$DH:$DH)+'Rate History'!$C$18*SUMIF(Data!$G:$G,Neutral!$A6,Data!$DI:$DI)+'Rate History'!$C$19*SUMIF(Data!$G:$G,Neutral!$A6,Data!$DJ:$DJ)+'Rate History'!$C$20*SUMIF(Data!$G:$G,Neutral!$A6,Data!$DK:$DK)+'Rate History'!$C$21*SUMIF(Data!$G:$G,Neutral!$A6,Data!$DL:$DL)+'Rate History'!$C$22*SUMIF(Data!$G:$G,Neutral!$A6,Data!$DM:$DM)+'Rate History'!$C$23*SUMIF(Data!$G:$G,Neutral!$A6,Data!$DN:$DN)+'Rate History'!$C$24*SUMIF(Data!$G:$G,Neutral!$A6,Data!$DO:$DO)+'Rate History'!$C$25*SUMIF(Data!$G:$G,Neutral!$A6,Data!$DP:$DP)+'Rate History'!$C$26*SUMIF(Data!$G:$G,Neutral!$A6,Data!$DQ:$DQ)+'Rate History'!$C$27*SUMIF(Data!$G:$G,Neutral!$A6,Data!$DR:$DR)+'Rate History'!$C$28*SUMIF(Data!$G:$G,Neutral!$A6,Data!$DS:$DS)+'Rate History'!$C$29*SUMIF(Data!$G:$G,Neutral!$A6,Data!$DT:$DT)+'Rate History'!$C$30*SUMIF(Data!$G:$G,Neutral!$A6,Data!$DV:$DV)+'Rate History'!$C$31*SUMIF(Data!$G:$G,Neutral!$A6,Data!$DW:$DW))</f>
        <v>65382285.373879999</v>
      </c>
      <c r="D6" s="116">
        <f>C6-B6</f>
        <v>3310012.9963058904</v>
      </c>
      <c r="E6" s="108">
        <f t="shared" ref="E6:E37" si="0">IFERROR(D6/B6,"")</f>
        <v>5.332514614853627E-2</v>
      </c>
    </row>
    <row r="7" spans="1:6" x14ac:dyDescent="0.25">
      <c r="A7" s="101" t="s">
        <v>354</v>
      </c>
      <c r="B7" s="121">
        <f>$B$5*('Rate History'!$D$4*SUMIF(Data!$G:$G,Neutral!$A7,Data!$CU:$CU)+'Rate History'!$D$5*SUMIF(Data!$G:$G,Neutral!$A7,Data!$CV:$CV)+'Rate History'!$D$6*SUMIF(Data!$G:$G,Neutral!$A7,Data!$CW:$CW)+'Rate History'!$D$7*SUMIF(Data!$G:$G,Neutral!$A7,Data!$CX:$CX)+'Rate History'!$D$8*SUMIF(Data!$G:$G,Neutral!$A7,Data!$CY:$CY)+'Rate History'!$D$9*SUMIF(Data!$G:$G,Neutral!$A7,Data!$CZ:$CZ)+'Rate History'!$D$10*SUMIF(Data!$G:$G,Neutral!$A7,Data!$DA:$DA)+'Rate History'!$D$11*SUMIF(Data!$G:$G,Neutral!$A7,Data!$DB:$DB)+'Rate History'!$D$12*SUMIF(Data!$G:$G,Neutral!$A7,Data!$DC:$DC)+'Rate History'!$D$13*SUMIF(Data!$G:$G,Neutral!$A7,Data!$DD:$DD)+'Rate History'!$D$14*SUMIF(Data!$G:$G,Neutral!$A7,Data!$DE:$DE)+'Rate History'!$D$15*SUMIF(Data!$G:$G,Neutral!$A7,Data!$DF:$DF)+'Rate History'!$D$16*SUMIF(Data!$G:$G,Neutral!$A7,Data!$DG:$DG)+'Rate History'!$D$17*SUMIF(Data!$G:$G,Neutral!$A7,Data!$DH:$DH)+'Rate History'!$D$18*SUMIF(Data!$G:$G,Neutral!$A7,Data!$DI:$DI)+'Rate History'!$D$19*SUMIF(Data!$G:$G,Neutral!$A7,Data!$DJ:$DJ)+'Rate History'!$D$20*SUMIF(Data!$G:$G,Neutral!$A7,Data!$DK:$DK)+'Rate History'!$D$21*SUMIF(Data!$G:$G,Neutral!$A7,Data!$DL:$DL)+'Rate History'!$D$22*SUMIF(Data!$G:$G,Neutral!$A7,Data!$DM:$DM)+'Rate History'!$D$23*SUMIF(Data!$G:$G,Neutral!$A7,Data!$DN:$DN)+'Rate History'!$D$24*SUMIF(Data!$G:$G,Neutral!$A7,Data!$DO:$DO)+'Rate History'!$D$25*SUMIF(Data!$G:$G,Neutral!$A7,Data!$DP:$DP)+'Rate History'!$D$26*SUMIF(Data!$G:$G,Neutral!$A7,Data!$DQ:$DQ)+'Rate History'!$D$27*SUMIF(Data!$G:$G,Neutral!$A7,Data!$DR:$DR)+'Rate History'!$D$28*SUMIF(Data!$G:$G,Neutral!$A7,Data!$DS:$DS)+'Rate History'!$D$29*SUMIF(Data!$G:$G,Neutral!$A7,Data!$DT:$DT)+'Rate History'!$D$30*SUMIF(Data!$G:$G,Neutral!$A7,Data!$DV:$DV)+'Rate History'!$D$31*SUMIF(Data!$G:$G,Neutral!$A7,Data!$DW:$DW))</f>
        <v>7630458.5700052222</v>
      </c>
      <c r="C7" s="121">
        <f>$C$5*('Rate History'!$C$4*SUMIF(Data!$G:$G,Neutral!$A7,Data!$CU:$CU)+'Rate History'!$C$5*SUMIF(Data!$G:$G,Neutral!$A7,Data!$CV:$CV)+'Rate History'!$C$6*SUMIF(Data!$G:$G,Neutral!$A7,Data!$CW:$CW)+'Rate History'!$C$7*SUMIF(Data!$G:$G,Neutral!$A7,Data!$CX:$CX)+'Rate History'!$C$8*SUMIF(Data!$G:$G,Neutral!$A7,Data!$CY:$CY)+'Rate History'!$C$9*SUMIF(Data!$G:$G,Neutral!$A7,Data!$CZ:$CZ)+'Rate History'!$C$10*SUMIF(Data!$G:$G,Neutral!$A7,Data!$DA:$DA)+'Rate History'!$C$11*SUMIF(Data!$G:$G,Neutral!$A7,Data!$DB:$DB)+'Rate History'!$C$12*SUMIF(Data!$G:$G,Neutral!$A7,Data!$DC:$DC)+'Rate History'!$C$13*SUMIF(Data!$G:$G,Neutral!$A7,Data!$DD:$DD)+'Rate History'!$C$14*SUMIF(Data!$G:$G,Neutral!$A7,Data!$DE:$DE)+'Rate History'!$C$15*SUMIF(Data!$G:$G,Neutral!$A7,Data!$DF:$DF)+'Rate History'!$C$16*SUMIF(Data!$G:$G,Neutral!$A7,Data!$DG:$DG)+'Rate History'!$C$17*SUMIF(Data!$G:$G,Neutral!$A7,Data!$DH:$DH)+'Rate History'!$C$18*SUMIF(Data!$G:$G,Neutral!$A7,Data!$DI:$DI)+'Rate History'!$C$19*SUMIF(Data!$G:$G,Neutral!$A7,Data!$DJ:$DJ)+'Rate History'!$C$20*SUMIF(Data!$G:$G,Neutral!$A7,Data!$DK:$DK)+'Rate History'!$C$21*SUMIF(Data!$G:$G,Neutral!$A7,Data!$DL:$DL)+'Rate History'!$C$22*SUMIF(Data!$G:$G,Neutral!$A7,Data!$DM:$DM)+'Rate History'!$C$23*SUMIF(Data!$G:$G,Neutral!$A7,Data!$DN:$DN)+'Rate History'!$C$24*SUMIF(Data!$G:$G,Neutral!$A7,Data!$DO:$DO)+'Rate History'!$C$25*SUMIF(Data!$G:$G,Neutral!$A7,Data!$DP:$DP)+'Rate History'!$C$26*SUMIF(Data!$G:$G,Neutral!$A7,Data!$DQ:$DQ)+'Rate History'!$C$27*SUMIF(Data!$G:$G,Neutral!$A7,Data!$DR:$DR)+'Rate History'!$C$28*SUMIF(Data!$G:$G,Neutral!$A7,Data!$DS:$DS)+'Rate History'!$C$29*SUMIF(Data!$G:$G,Neutral!$A7,Data!$DT:$DT)+'Rate History'!$C$30*SUMIF(Data!$G:$G,Neutral!$A7,Data!$DV:$DV)+'Rate History'!$C$31*SUMIF(Data!$G:$G,Neutral!$A7,Data!$DW:$DW))</f>
        <v>7283346.2073142352</v>
      </c>
      <c r="D7" s="106">
        <f t="shared" ref="D7:D63" si="1">C7-B7</f>
        <v>-347112.36269098707</v>
      </c>
      <c r="E7" s="108">
        <f t="shared" si="0"/>
        <v>-4.5490367257278681E-2</v>
      </c>
    </row>
    <row r="8" spans="1:6" x14ac:dyDescent="0.25">
      <c r="A8" s="101" t="s">
        <v>363</v>
      </c>
      <c r="B8" s="121">
        <f>$B$5*('Rate History'!$D$4*SUMIF(Data!$G:$G,Neutral!$A8,Data!$CU:$CU)+'Rate History'!$D$5*SUMIF(Data!$G:$G,Neutral!$A8,Data!$CV:$CV)+'Rate History'!$D$6*SUMIF(Data!$G:$G,Neutral!$A8,Data!$CW:$CW)+'Rate History'!$D$7*SUMIF(Data!$G:$G,Neutral!$A8,Data!$CX:$CX)+'Rate History'!$D$8*SUMIF(Data!$G:$G,Neutral!$A8,Data!$CY:$CY)+'Rate History'!$D$9*SUMIF(Data!$G:$G,Neutral!$A8,Data!$CZ:$CZ)+'Rate History'!$D$10*SUMIF(Data!$G:$G,Neutral!$A8,Data!$DA:$DA)+'Rate History'!$D$11*SUMIF(Data!$G:$G,Neutral!$A8,Data!$DB:$DB)+'Rate History'!$D$12*SUMIF(Data!$G:$G,Neutral!$A8,Data!$DC:$DC)+'Rate History'!$D$13*SUMIF(Data!$G:$G,Neutral!$A8,Data!$DD:$DD)+'Rate History'!$D$14*SUMIF(Data!$G:$G,Neutral!$A8,Data!$DE:$DE)+'Rate History'!$D$15*SUMIF(Data!$G:$G,Neutral!$A8,Data!$DF:$DF)+'Rate History'!$D$16*SUMIF(Data!$G:$G,Neutral!$A8,Data!$DG:$DG)+'Rate History'!$D$17*SUMIF(Data!$G:$G,Neutral!$A8,Data!$DH:$DH)+'Rate History'!$D$18*SUMIF(Data!$G:$G,Neutral!$A8,Data!$DI:$DI)+'Rate History'!$D$19*SUMIF(Data!$G:$G,Neutral!$A8,Data!$DJ:$DJ)+'Rate History'!$D$20*SUMIF(Data!$G:$G,Neutral!$A8,Data!$DK:$DK)+'Rate History'!$D$21*SUMIF(Data!$G:$G,Neutral!$A8,Data!$DL:$DL)+'Rate History'!$D$22*SUMIF(Data!$G:$G,Neutral!$A8,Data!$DM:$DM)+'Rate History'!$D$23*SUMIF(Data!$G:$G,Neutral!$A8,Data!$DN:$DN)+'Rate History'!$D$24*SUMIF(Data!$G:$G,Neutral!$A8,Data!$DO:$DO)+'Rate History'!$D$25*SUMIF(Data!$G:$G,Neutral!$A8,Data!$DP:$DP)+'Rate History'!$D$26*SUMIF(Data!$G:$G,Neutral!$A8,Data!$DQ:$DQ)+'Rate History'!$D$27*SUMIF(Data!$G:$G,Neutral!$A8,Data!$DR:$DR)+'Rate History'!$D$28*SUMIF(Data!$G:$G,Neutral!$A8,Data!$DS:$DS)+'Rate History'!$D$29*SUMIF(Data!$G:$G,Neutral!$A8,Data!$DT:$DT)+'Rate History'!$D$30*SUMIF(Data!$G:$G,Neutral!$A8,Data!$DV:$DV)+'Rate History'!$D$31*SUMIF(Data!$G:$G,Neutral!$A8,Data!$DW:$DW))</f>
        <v>15582443.830610558</v>
      </c>
      <c r="C8" s="121">
        <f>$C$5*('Rate History'!$C$4*SUMIF(Data!$G:$G,Neutral!$A8,Data!$CU:$CU)+'Rate History'!$C$5*SUMIF(Data!$G:$G,Neutral!$A8,Data!$CV:$CV)+'Rate History'!$C$6*SUMIF(Data!$G:$G,Neutral!$A8,Data!$CW:$CW)+'Rate History'!$C$7*SUMIF(Data!$G:$G,Neutral!$A8,Data!$CX:$CX)+'Rate History'!$C$8*SUMIF(Data!$G:$G,Neutral!$A8,Data!$CY:$CY)+'Rate History'!$C$9*SUMIF(Data!$G:$G,Neutral!$A8,Data!$CZ:$CZ)+'Rate History'!$C$10*SUMIF(Data!$G:$G,Neutral!$A8,Data!$DA:$DA)+'Rate History'!$C$11*SUMIF(Data!$G:$G,Neutral!$A8,Data!$DB:$DB)+'Rate History'!$C$12*SUMIF(Data!$G:$G,Neutral!$A8,Data!$DC:$DC)+'Rate History'!$C$13*SUMIF(Data!$G:$G,Neutral!$A8,Data!$DD:$DD)+'Rate History'!$C$14*SUMIF(Data!$G:$G,Neutral!$A8,Data!$DE:$DE)+'Rate History'!$C$15*SUMIF(Data!$G:$G,Neutral!$A8,Data!$DF:$DF)+'Rate History'!$C$16*SUMIF(Data!$G:$G,Neutral!$A8,Data!$DG:$DG)+'Rate History'!$C$17*SUMIF(Data!$G:$G,Neutral!$A8,Data!$DH:$DH)+'Rate History'!$C$18*SUMIF(Data!$G:$G,Neutral!$A8,Data!$DI:$DI)+'Rate History'!$C$19*SUMIF(Data!$G:$G,Neutral!$A8,Data!$DJ:$DJ)+'Rate History'!$C$20*SUMIF(Data!$G:$G,Neutral!$A8,Data!$DK:$DK)+'Rate History'!$C$21*SUMIF(Data!$G:$G,Neutral!$A8,Data!$DL:$DL)+'Rate History'!$C$22*SUMIF(Data!$G:$G,Neutral!$A8,Data!$DM:$DM)+'Rate History'!$C$23*SUMIF(Data!$G:$G,Neutral!$A8,Data!$DN:$DN)+'Rate History'!$C$24*SUMIF(Data!$G:$G,Neutral!$A8,Data!$DO:$DO)+'Rate History'!$C$25*SUMIF(Data!$G:$G,Neutral!$A8,Data!$DP:$DP)+'Rate History'!$C$26*SUMIF(Data!$G:$G,Neutral!$A8,Data!$DQ:$DQ)+'Rate History'!$C$27*SUMIF(Data!$G:$G,Neutral!$A8,Data!$DR:$DR)+'Rate History'!$C$28*SUMIF(Data!$G:$G,Neutral!$A8,Data!$DS:$DS)+'Rate History'!$C$29*SUMIF(Data!$G:$G,Neutral!$A8,Data!$DT:$DT)+'Rate History'!$C$30*SUMIF(Data!$G:$G,Neutral!$A8,Data!$DV:$DV)+'Rate History'!$C$31*SUMIF(Data!$G:$G,Neutral!$A8,Data!$DW:$DW))</f>
        <v>15476576.297947165</v>
      </c>
      <c r="D8" s="106">
        <f t="shared" si="1"/>
        <v>-105867.53266339377</v>
      </c>
      <c r="E8" s="108">
        <f t="shared" si="0"/>
        <v>-6.7940262653425924E-3</v>
      </c>
    </row>
    <row r="9" spans="1:6" x14ac:dyDescent="0.25">
      <c r="A9" s="101" t="s">
        <v>637</v>
      </c>
      <c r="B9" s="121">
        <f>$B$5*('Rate History'!$D$4*SUMIF(Data!$G:$G,Neutral!$A9,Data!$CU:$CU)+'Rate History'!$D$5*SUMIF(Data!$G:$G,Neutral!$A9,Data!$CV:$CV)+'Rate History'!$D$6*SUMIF(Data!$G:$G,Neutral!$A9,Data!$CW:$CW)+'Rate History'!$D$7*SUMIF(Data!$G:$G,Neutral!$A9,Data!$CX:$CX)+'Rate History'!$D$8*SUMIF(Data!$G:$G,Neutral!$A9,Data!$CY:$CY)+'Rate History'!$D$9*SUMIF(Data!$G:$G,Neutral!$A9,Data!$CZ:$CZ)+'Rate History'!$D$10*SUMIF(Data!$G:$G,Neutral!$A9,Data!$DA:$DA)+'Rate History'!$D$11*SUMIF(Data!$G:$G,Neutral!$A9,Data!$DB:$DB)+'Rate History'!$D$12*SUMIF(Data!$G:$G,Neutral!$A9,Data!$DC:$DC)+'Rate History'!$D$13*SUMIF(Data!$G:$G,Neutral!$A9,Data!$DD:$DD)+'Rate History'!$D$14*SUMIF(Data!$G:$G,Neutral!$A9,Data!$DE:$DE)+'Rate History'!$D$15*SUMIF(Data!$G:$G,Neutral!$A9,Data!$DF:$DF)+'Rate History'!$D$16*SUMIF(Data!$G:$G,Neutral!$A9,Data!$DG:$DG)+'Rate History'!$D$17*SUMIF(Data!$G:$G,Neutral!$A9,Data!$DH:$DH)+'Rate History'!$D$18*SUMIF(Data!$G:$G,Neutral!$A9,Data!$DI:$DI)+'Rate History'!$D$19*SUMIF(Data!$G:$G,Neutral!$A9,Data!$DJ:$DJ)+'Rate History'!$D$20*SUMIF(Data!$G:$G,Neutral!$A9,Data!$DK:$DK)+'Rate History'!$D$21*SUMIF(Data!$G:$G,Neutral!$A9,Data!$DL:$DL)+'Rate History'!$D$22*SUMIF(Data!$G:$G,Neutral!$A9,Data!$DM:$DM)+'Rate History'!$D$23*SUMIF(Data!$G:$G,Neutral!$A9,Data!$DN:$DN)+'Rate History'!$D$24*SUMIF(Data!$G:$G,Neutral!$A9,Data!$DO:$DO)+'Rate History'!$D$25*SUMIF(Data!$G:$G,Neutral!$A9,Data!$DP:$DP)+'Rate History'!$D$26*SUMIF(Data!$G:$G,Neutral!$A9,Data!$DQ:$DQ)+'Rate History'!$D$27*SUMIF(Data!$G:$G,Neutral!$A9,Data!$DR:$DR)+'Rate History'!$D$28*SUMIF(Data!$G:$G,Neutral!$A9,Data!$DS:$DS)+'Rate History'!$D$29*SUMIF(Data!$G:$G,Neutral!$A9,Data!$DT:$DT)+'Rate History'!$D$30*SUMIF(Data!$G:$G,Neutral!$A9,Data!$DV:$DV)+'Rate History'!$D$31*SUMIF(Data!$G:$G,Neutral!$A9,Data!$DW:$DW))</f>
        <v>7648102.9160884628</v>
      </c>
      <c r="C9" s="121">
        <f>$C$5*('Rate History'!$C$4*SUMIF(Data!$G:$G,Neutral!$A9,Data!$CU:$CU)+'Rate History'!$C$5*SUMIF(Data!$G:$G,Neutral!$A9,Data!$CV:$CV)+'Rate History'!$C$6*SUMIF(Data!$G:$G,Neutral!$A9,Data!$CW:$CW)+'Rate History'!$C$7*SUMIF(Data!$G:$G,Neutral!$A9,Data!$CX:$CX)+'Rate History'!$C$8*SUMIF(Data!$G:$G,Neutral!$A9,Data!$CY:$CY)+'Rate History'!$C$9*SUMIF(Data!$G:$G,Neutral!$A9,Data!$CZ:$CZ)+'Rate History'!$C$10*SUMIF(Data!$G:$G,Neutral!$A9,Data!$DA:$DA)+'Rate History'!$C$11*SUMIF(Data!$G:$G,Neutral!$A9,Data!$DB:$DB)+'Rate History'!$C$12*SUMIF(Data!$G:$G,Neutral!$A9,Data!$DC:$DC)+'Rate History'!$C$13*SUMIF(Data!$G:$G,Neutral!$A9,Data!$DD:$DD)+'Rate History'!$C$14*SUMIF(Data!$G:$G,Neutral!$A9,Data!$DE:$DE)+'Rate History'!$C$15*SUMIF(Data!$G:$G,Neutral!$A9,Data!$DF:$DF)+'Rate History'!$C$16*SUMIF(Data!$G:$G,Neutral!$A9,Data!$DG:$DG)+'Rate History'!$C$17*SUMIF(Data!$G:$G,Neutral!$A9,Data!$DH:$DH)+'Rate History'!$C$18*SUMIF(Data!$G:$G,Neutral!$A9,Data!$DI:$DI)+'Rate History'!$C$19*SUMIF(Data!$G:$G,Neutral!$A9,Data!$DJ:$DJ)+'Rate History'!$C$20*SUMIF(Data!$G:$G,Neutral!$A9,Data!$DK:$DK)+'Rate History'!$C$21*SUMIF(Data!$G:$G,Neutral!$A9,Data!$DL:$DL)+'Rate History'!$C$22*SUMIF(Data!$G:$G,Neutral!$A9,Data!$DM:$DM)+'Rate History'!$C$23*SUMIF(Data!$G:$G,Neutral!$A9,Data!$DN:$DN)+'Rate History'!$C$24*SUMIF(Data!$G:$G,Neutral!$A9,Data!$DO:$DO)+'Rate History'!$C$25*SUMIF(Data!$G:$G,Neutral!$A9,Data!$DP:$DP)+'Rate History'!$C$26*SUMIF(Data!$G:$G,Neutral!$A9,Data!$DQ:$DQ)+'Rate History'!$C$27*SUMIF(Data!$G:$G,Neutral!$A9,Data!$DR:$DR)+'Rate History'!$C$28*SUMIF(Data!$G:$G,Neutral!$A9,Data!$DS:$DS)+'Rate History'!$C$29*SUMIF(Data!$G:$G,Neutral!$A9,Data!$DT:$DT)+'Rate History'!$C$30*SUMIF(Data!$G:$G,Neutral!$A9,Data!$DV:$DV)+'Rate History'!$C$31*SUMIF(Data!$G:$G,Neutral!$A9,Data!$DW:$DW))</f>
        <v>7663893.7208242118</v>
      </c>
      <c r="D9" s="106">
        <f t="shared" si="1"/>
        <v>15790.804735749029</v>
      </c>
      <c r="E9" s="108">
        <f t="shared" si="0"/>
        <v>2.0646694884991243E-3</v>
      </c>
    </row>
    <row r="10" spans="1:6" x14ac:dyDescent="0.25">
      <c r="A10" s="101" t="s">
        <v>729</v>
      </c>
      <c r="B10" s="121">
        <f>$B$5*('Rate History'!$D$4*SUMIF(Data!$G:$G,Neutral!$A10,Data!$CU:$CU)+'Rate History'!$D$5*SUMIF(Data!$G:$G,Neutral!$A10,Data!$CV:$CV)+'Rate History'!$D$6*SUMIF(Data!$G:$G,Neutral!$A10,Data!$CW:$CW)+'Rate History'!$D$7*SUMIF(Data!$G:$G,Neutral!$A10,Data!$CX:$CX)+'Rate History'!$D$8*SUMIF(Data!$G:$G,Neutral!$A10,Data!$CY:$CY)+'Rate History'!$D$9*SUMIF(Data!$G:$G,Neutral!$A10,Data!$CZ:$CZ)+'Rate History'!$D$10*SUMIF(Data!$G:$G,Neutral!$A10,Data!$DA:$DA)+'Rate History'!$D$11*SUMIF(Data!$G:$G,Neutral!$A10,Data!$DB:$DB)+'Rate History'!$D$12*SUMIF(Data!$G:$G,Neutral!$A10,Data!$DC:$DC)+'Rate History'!$D$13*SUMIF(Data!$G:$G,Neutral!$A10,Data!$DD:$DD)+'Rate History'!$D$14*SUMIF(Data!$G:$G,Neutral!$A10,Data!$DE:$DE)+'Rate History'!$D$15*SUMIF(Data!$G:$G,Neutral!$A10,Data!$DF:$DF)+'Rate History'!$D$16*SUMIF(Data!$G:$G,Neutral!$A10,Data!$DG:$DG)+'Rate History'!$D$17*SUMIF(Data!$G:$G,Neutral!$A10,Data!$DH:$DH)+'Rate History'!$D$18*SUMIF(Data!$G:$G,Neutral!$A10,Data!$DI:$DI)+'Rate History'!$D$19*SUMIF(Data!$G:$G,Neutral!$A10,Data!$DJ:$DJ)+'Rate History'!$D$20*SUMIF(Data!$G:$G,Neutral!$A10,Data!$DK:$DK)+'Rate History'!$D$21*SUMIF(Data!$G:$G,Neutral!$A10,Data!$DL:$DL)+'Rate History'!$D$22*SUMIF(Data!$G:$G,Neutral!$A10,Data!$DM:$DM)+'Rate History'!$D$23*SUMIF(Data!$G:$G,Neutral!$A10,Data!$DN:$DN)+'Rate History'!$D$24*SUMIF(Data!$G:$G,Neutral!$A10,Data!$DO:$DO)+'Rate History'!$D$25*SUMIF(Data!$G:$G,Neutral!$A10,Data!$DP:$DP)+'Rate History'!$D$26*SUMIF(Data!$G:$G,Neutral!$A10,Data!$DQ:$DQ)+'Rate History'!$D$27*SUMIF(Data!$G:$G,Neutral!$A10,Data!$DR:$DR)+'Rate History'!$D$28*SUMIF(Data!$G:$G,Neutral!$A10,Data!$DS:$DS)+'Rate History'!$D$29*SUMIF(Data!$G:$G,Neutral!$A10,Data!$DT:$DT)+'Rate History'!$D$30*SUMIF(Data!$G:$G,Neutral!$A10,Data!$DV:$DV)+'Rate History'!$D$31*SUMIF(Data!$G:$G,Neutral!$A10,Data!$DW:$DW))</f>
        <v>46679223.338686518</v>
      </c>
      <c r="C10" s="121">
        <f>$C$5*('Rate History'!$C$4*SUMIF(Data!$G:$G,Neutral!$A10,Data!$CU:$CU)+'Rate History'!$C$5*SUMIF(Data!$G:$G,Neutral!$A10,Data!$CV:$CV)+'Rate History'!$C$6*SUMIF(Data!$G:$G,Neutral!$A10,Data!$CW:$CW)+'Rate History'!$C$7*SUMIF(Data!$G:$G,Neutral!$A10,Data!$CX:$CX)+'Rate History'!$C$8*SUMIF(Data!$G:$G,Neutral!$A10,Data!$CY:$CY)+'Rate History'!$C$9*SUMIF(Data!$G:$G,Neutral!$A10,Data!$CZ:$CZ)+'Rate History'!$C$10*SUMIF(Data!$G:$G,Neutral!$A10,Data!$DA:$DA)+'Rate History'!$C$11*SUMIF(Data!$G:$G,Neutral!$A10,Data!$DB:$DB)+'Rate History'!$C$12*SUMIF(Data!$G:$G,Neutral!$A10,Data!$DC:$DC)+'Rate History'!$C$13*SUMIF(Data!$G:$G,Neutral!$A10,Data!$DD:$DD)+'Rate History'!$C$14*SUMIF(Data!$G:$G,Neutral!$A10,Data!$DE:$DE)+'Rate History'!$C$15*SUMIF(Data!$G:$G,Neutral!$A10,Data!$DF:$DF)+'Rate History'!$C$16*SUMIF(Data!$G:$G,Neutral!$A10,Data!$DG:$DG)+'Rate History'!$C$17*SUMIF(Data!$G:$G,Neutral!$A10,Data!$DH:$DH)+'Rate History'!$C$18*SUMIF(Data!$G:$G,Neutral!$A10,Data!$DI:$DI)+'Rate History'!$C$19*SUMIF(Data!$G:$G,Neutral!$A10,Data!$DJ:$DJ)+'Rate History'!$C$20*SUMIF(Data!$G:$G,Neutral!$A10,Data!$DK:$DK)+'Rate History'!$C$21*SUMIF(Data!$G:$G,Neutral!$A10,Data!$DL:$DL)+'Rate History'!$C$22*SUMIF(Data!$G:$G,Neutral!$A10,Data!$DM:$DM)+'Rate History'!$C$23*SUMIF(Data!$G:$G,Neutral!$A10,Data!$DN:$DN)+'Rate History'!$C$24*SUMIF(Data!$G:$G,Neutral!$A10,Data!$DO:$DO)+'Rate History'!$C$25*SUMIF(Data!$G:$G,Neutral!$A10,Data!$DP:$DP)+'Rate History'!$C$26*SUMIF(Data!$G:$G,Neutral!$A10,Data!$DQ:$DQ)+'Rate History'!$C$27*SUMIF(Data!$G:$G,Neutral!$A10,Data!$DR:$DR)+'Rate History'!$C$28*SUMIF(Data!$G:$G,Neutral!$A10,Data!$DS:$DS)+'Rate History'!$C$29*SUMIF(Data!$G:$G,Neutral!$A10,Data!$DT:$DT)+'Rate History'!$C$30*SUMIF(Data!$G:$G,Neutral!$A10,Data!$DV:$DV)+'Rate History'!$C$31*SUMIF(Data!$G:$G,Neutral!$A10,Data!$DW:$DW))</f>
        <v>46537290.214242361</v>
      </c>
      <c r="D10" s="106">
        <f t="shared" si="1"/>
        <v>-141933.12444415689</v>
      </c>
      <c r="E10" s="108">
        <f t="shared" si="0"/>
        <v>-3.0406059546951893E-3</v>
      </c>
    </row>
    <row r="11" spans="1:6" x14ac:dyDescent="0.25">
      <c r="A11" s="101" t="s">
        <v>379</v>
      </c>
      <c r="B11" s="121">
        <f>$B$5*('Rate History'!$D$4*SUMIF(Data!$G:$G,Neutral!$A11,Data!$CU:$CU)+'Rate History'!$D$5*SUMIF(Data!$G:$G,Neutral!$A11,Data!$CV:$CV)+'Rate History'!$D$6*SUMIF(Data!$G:$G,Neutral!$A11,Data!$CW:$CW)+'Rate History'!$D$7*SUMIF(Data!$G:$G,Neutral!$A11,Data!$CX:$CX)+'Rate History'!$D$8*SUMIF(Data!$G:$G,Neutral!$A11,Data!$CY:$CY)+'Rate History'!$D$9*SUMIF(Data!$G:$G,Neutral!$A11,Data!$CZ:$CZ)+'Rate History'!$D$10*SUMIF(Data!$G:$G,Neutral!$A11,Data!$DA:$DA)+'Rate History'!$D$11*SUMIF(Data!$G:$G,Neutral!$A11,Data!$DB:$DB)+'Rate History'!$D$12*SUMIF(Data!$G:$G,Neutral!$A11,Data!$DC:$DC)+'Rate History'!$D$13*SUMIF(Data!$G:$G,Neutral!$A11,Data!$DD:$DD)+'Rate History'!$D$14*SUMIF(Data!$G:$G,Neutral!$A11,Data!$DE:$DE)+'Rate History'!$D$15*SUMIF(Data!$G:$G,Neutral!$A11,Data!$DF:$DF)+'Rate History'!$D$16*SUMIF(Data!$G:$G,Neutral!$A11,Data!$DG:$DG)+'Rate History'!$D$17*SUMIF(Data!$G:$G,Neutral!$A11,Data!$DH:$DH)+'Rate History'!$D$18*SUMIF(Data!$G:$G,Neutral!$A11,Data!$DI:$DI)+'Rate History'!$D$19*SUMIF(Data!$G:$G,Neutral!$A11,Data!$DJ:$DJ)+'Rate History'!$D$20*SUMIF(Data!$G:$G,Neutral!$A11,Data!$DK:$DK)+'Rate History'!$D$21*SUMIF(Data!$G:$G,Neutral!$A11,Data!$DL:$DL)+'Rate History'!$D$22*SUMIF(Data!$G:$G,Neutral!$A11,Data!$DM:$DM)+'Rate History'!$D$23*SUMIF(Data!$G:$G,Neutral!$A11,Data!$DN:$DN)+'Rate History'!$D$24*SUMIF(Data!$G:$G,Neutral!$A11,Data!$DO:$DO)+'Rate History'!$D$25*SUMIF(Data!$G:$G,Neutral!$A11,Data!$DP:$DP)+'Rate History'!$D$26*SUMIF(Data!$G:$G,Neutral!$A11,Data!$DQ:$DQ)+'Rate History'!$D$27*SUMIF(Data!$G:$G,Neutral!$A11,Data!$DR:$DR)+'Rate History'!$D$28*SUMIF(Data!$G:$G,Neutral!$A11,Data!$DS:$DS)+'Rate History'!$D$29*SUMIF(Data!$G:$G,Neutral!$A11,Data!$DT:$DT)+'Rate History'!$D$30*SUMIF(Data!$G:$G,Neutral!$A11,Data!$DV:$DV)+'Rate History'!$D$31*SUMIF(Data!$G:$G,Neutral!$A11,Data!$DW:$DW))</f>
        <v>21993197.335345246</v>
      </c>
      <c r="C11" s="121">
        <f>$C$5*('Rate History'!$C$4*SUMIF(Data!$G:$G,Neutral!$A11,Data!$CU:$CU)+'Rate History'!$C$5*SUMIF(Data!$G:$G,Neutral!$A11,Data!$CV:$CV)+'Rate History'!$C$6*SUMIF(Data!$G:$G,Neutral!$A11,Data!$CW:$CW)+'Rate History'!$C$7*SUMIF(Data!$G:$G,Neutral!$A11,Data!$CX:$CX)+'Rate History'!$C$8*SUMIF(Data!$G:$G,Neutral!$A11,Data!$CY:$CY)+'Rate History'!$C$9*SUMIF(Data!$G:$G,Neutral!$A11,Data!$CZ:$CZ)+'Rate History'!$C$10*SUMIF(Data!$G:$G,Neutral!$A11,Data!$DA:$DA)+'Rate History'!$C$11*SUMIF(Data!$G:$G,Neutral!$A11,Data!$DB:$DB)+'Rate History'!$C$12*SUMIF(Data!$G:$G,Neutral!$A11,Data!$DC:$DC)+'Rate History'!$C$13*SUMIF(Data!$G:$G,Neutral!$A11,Data!$DD:$DD)+'Rate History'!$C$14*SUMIF(Data!$G:$G,Neutral!$A11,Data!$DE:$DE)+'Rate History'!$C$15*SUMIF(Data!$G:$G,Neutral!$A11,Data!$DF:$DF)+'Rate History'!$C$16*SUMIF(Data!$G:$G,Neutral!$A11,Data!$DG:$DG)+'Rate History'!$C$17*SUMIF(Data!$G:$G,Neutral!$A11,Data!$DH:$DH)+'Rate History'!$C$18*SUMIF(Data!$G:$G,Neutral!$A11,Data!$DI:$DI)+'Rate History'!$C$19*SUMIF(Data!$G:$G,Neutral!$A11,Data!$DJ:$DJ)+'Rate History'!$C$20*SUMIF(Data!$G:$G,Neutral!$A11,Data!$DK:$DK)+'Rate History'!$C$21*SUMIF(Data!$G:$G,Neutral!$A11,Data!$DL:$DL)+'Rate History'!$C$22*SUMIF(Data!$G:$G,Neutral!$A11,Data!$DM:$DM)+'Rate History'!$C$23*SUMIF(Data!$G:$G,Neutral!$A11,Data!$DN:$DN)+'Rate History'!$C$24*SUMIF(Data!$G:$G,Neutral!$A11,Data!$DO:$DO)+'Rate History'!$C$25*SUMIF(Data!$G:$G,Neutral!$A11,Data!$DP:$DP)+'Rate History'!$C$26*SUMIF(Data!$G:$G,Neutral!$A11,Data!$DQ:$DQ)+'Rate History'!$C$27*SUMIF(Data!$G:$G,Neutral!$A11,Data!$DR:$DR)+'Rate History'!$C$28*SUMIF(Data!$G:$G,Neutral!$A11,Data!$DS:$DS)+'Rate History'!$C$29*SUMIF(Data!$G:$G,Neutral!$A11,Data!$DT:$DT)+'Rate History'!$C$30*SUMIF(Data!$G:$G,Neutral!$A11,Data!$DV:$DV)+'Rate History'!$C$31*SUMIF(Data!$G:$G,Neutral!$A11,Data!$DW:$DW))</f>
        <v>20900683.368119966</v>
      </c>
      <c r="D11" s="106">
        <f t="shared" si="1"/>
        <v>-1092513.9672252797</v>
      </c>
      <c r="E11" s="108">
        <f t="shared" si="0"/>
        <v>-4.9675085917112269E-2</v>
      </c>
    </row>
    <row r="12" spans="1:6" x14ac:dyDescent="0.25">
      <c r="A12" s="101" t="s">
        <v>660</v>
      </c>
      <c r="B12" s="121">
        <f>$B$5*('Rate History'!$D$4*SUMIF(Data!$G:$G,Neutral!$A12,Data!$CU:$CU)+'Rate History'!$D$5*SUMIF(Data!$G:$G,Neutral!$A12,Data!$CV:$CV)+'Rate History'!$D$6*SUMIF(Data!$G:$G,Neutral!$A12,Data!$CW:$CW)+'Rate History'!$D$7*SUMIF(Data!$G:$G,Neutral!$A12,Data!$CX:$CX)+'Rate History'!$D$8*SUMIF(Data!$G:$G,Neutral!$A12,Data!$CY:$CY)+'Rate History'!$D$9*SUMIF(Data!$G:$G,Neutral!$A12,Data!$CZ:$CZ)+'Rate History'!$D$10*SUMIF(Data!$G:$G,Neutral!$A12,Data!$DA:$DA)+'Rate History'!$D$11*SUMIF(Data!$G:$G,Neutral!$A12,Data!$DB:$DB)+'Rate History'!$D$12*SUMIF(Data!$G:$G,Neutral!$A12,Data!$DC:$DC)+'Rate History'!$D$13*SUMIF(Data!$G:$G,Neutral!$A12,Data!$DD:$DD)+'Rate History'!$D$14*SUMIF(Data!$G:$G,Neutral!$A12,Data!$DE:$DE)+'Rate History'!$D$15*SUMIF(Data!$G:$G,Neutral!$A12,Data!$DF:$DF)+'Rate History'!$D$16*SUMIF(Data!$G:$G,Neutral!$A12,Data!$DG:$DG)+'Rate History'!$D$17*SUMIF(Data!$G:$G,Neutral!$A12,Data!$DH:$DH)+'Rate History'!$D$18*SUMIF(Data!$G:$G,Neutral!$A12,Data!$DI:$DI)+'Rate History'!$D$19*SUMIF(Data!$G:$G,Neutral!$A12,Data!$DJ:$DJ)+'Rate History'!$D$20*SUMIF(Data!$G:$G,Neutral!$A12,Data!$DK:$DK)+'Rate History'!$D$21*SUMIF(Data!$G:$G,Neutral!$A12,Data!$DL:$DL)+'Rate History'!$D$22*SUMIF(Data!$G:$G,Neutral!$A12,Data!$DM:$DM)+'Rate History'!$D$23*SUMIF(Data!$G:$G,Neutral!$A12,Data!$DN:$DN)+'Rate History'!$D$24*SUMIF(Data!$G:$G,Neutral!$A12,Data!$DO:$DO)+'Rate History'!$D$25*SUMIF(Data!$G:$G,Neutral!$A12,Data!$DP:$DP)+'Rate History'!$D$26*SUMIF(Data!$G:$G,Neutral!$A12,Data!$DQ:$DQ)+'Rate History'!$D$27*SUMIF(Data!$G:$G,Neutral!$A12,Data!$DR:$DR)+'Rate History'!$D$28*SUMIF(Data!$G:$G,Neutral!$A12,Data!$DS:$DS)+'Rate History'!$D$29*SUMIF(Data!$G:$G,Neutral!$A12,Data!$DT:$DT)+'Rate History'!$D$30*SUMIF(Data!$G:$G,Neutral!$A12,Data!$DV:$DV)+'Rate History'!$D$31*SUMIF(Data!$G:$G,Neutral!$A12,Data!$DW:$DW))</f>
        <v>5028217.8045490421</v>
      </c>
      <c r="C12" s="121">
        <f>$C$5*('Rate History'!$C$4*SUMIF(Data!$G:$G,Neutral!$A12,Data!$CU:$CU)+'Rate History'!$C$5*SUMIF(Data!$G:$G,Neutral!$A12,Data!$CV:$CV)+'Rate History'!$C$6*SUMIF(Data!$G:$G,Neutral!$A12,Data!$CW:$CW)+'Rate History'!$C$7*SUMIF(Data!$G:$G,Neutral!$A12,Data!$CX:$CX)+'Rate History'!$C$8*SUMIF(Data!$G:$G,Neutral!$A12,Data!$CY:$CY)+'Rate History'!$C$9*SUMIF(Data!$G:$G,Neutral!$A12,Data!$CZ:$CZ)+'Rate History'!$C$10*SUMIF(Data!$G:$G,Neutral!$A12,Data!$DA:$DA)+'Rate History'!$C$11*SUMIF(Data!$G:$G,Neutral!$A12,Data!$DB:$DB)+'Rate History'!$C$12*SUMIF(Data!$G:$G,Neutral!$A12,Data!$DC:$DC)+'Rate History'!$C$13*SUMIF(Data!$G:$G,Neutral!$A12,Data!$DD:$DD)+'Rate History'!$C$14*SUMIF(Data!$G:$G,Neutral!$A12,Data!$DE:$DE)+'Rate History'!$C$15*SUMIF(Data!$G:$G,Neutral!$A12,Data!$DF:$DF)+'Rate History'!$C$16*SUMIF(Data!$G:$G,Neutral!$A12,Data!$DG:$DG)+'Rate History'!$C$17*SUMIF(Data!$G:$G,Neutral!$A12,Data!$DH:$DH)+'Rate History'!$C$18*SUMIF(Data!$G:$G,Neutral!$A12,Data!$DI:$DI)+'Rate History'!$C$19*SUMIF(Data!$G:$G,Neutral!$A12,Data!$DJ:$DJ)+'Rate History'!$C$20*SUMIF(Data!$G:$G,Neutral!$A12,Data!$DK:$DK)+'Rate History'!$C$21*SUMIF(Data!$G:$G,Neutral!$A12,Data!$DL:$DL)+'Rate History'!$C$22*SUMIF(Data!$G:$G,Neutral!$A12,Data!$DM:$DM)+'Rate History'!$C$23*SUMIF(Data!$G:$G,Neutral!$A12,Data!$DN:$DN)+'Rate History'!$C$24*SUMIF(Data!$G:$G,Neutral!$A12,Data!$DO:$DO)+'Rate History'!$C$25*SUMIF(Data!$G:$G,Neutral!$A12,Data!$DP:$DP)+'Rate History'!$C$26*SUMIF(Data!$G:$G,Neutral!$A12,Data!$DQ:$DQ)+'Rate History'!$C$27*SUMIF(Data!$G:$G,Neutral!$A12,Data!$DR:$DR)+'Rate History'!$C$28*SUMIF(Data!$G:$G,Neutral!$A12,Data!$DS:$DS)+'Rate History'!$C$29*SUMIF(Data!$G:$G,Neutral!$A12,Data!$DT:$DT)+'Rate History'!$C$30*SUMIF(Data!$G:$G,Neutral!$A12,Data!$DV:$DV)+'Rate History'!$C$31*SUMIF(Data!$G:$G,Neutral!$A12,Data!$DW:$DW))</f>
        <v>4898225.4925151076</v>
      </c>
      <c r="D12" s="106">
        <f t="shared" si="1"/>
        <v>-129992.31203393452</v>
      </c>
      <c r="E12" s="108">
        <f t="shared" si="0"/>
        <v>-2.5852561899035106E-2</v>
      </c>
    </row>
    <row r="13" spans="1:6" x14ac:dyDescent="0.25">
      <c r="A13" s="101" t="s">
        <v>630</v>
      </c>
      <c r="B13" s="121">
        <f>$B$5*('Rate History'!$D$4*SUMIF(Data!$G:$G,Neutral!$A13,Data!$CU:$CU)+'Rate History'!$D$5*SUMIF(Data!$G:$G,Neutral!$A13,Data!$CV:$CV)+'Rate History'!$D$6*SUMIF(Data!$G:$G,Neutral!$A13,Data!$CW:$CW)+'Rate History'!$D$7*SUMIF(Data!$G:$G,Neutral!$A13,Data!$CX:$CX)+'Rate History'!$D$8*SUMIF(Data!$G:$G,Neutral!$A13,Data!$CY:$CY)+'Rate History'!$D$9*SUMIF(Data!$G:$G,Neutral!$A13,Data!$CZ:$CZ)+'Rate History'!$D$10*SUMIF(Data!$G:$G,Neutral!$A13,Data!$DA:$DA)+'Rate History'!$D$11*SUMIF(Data!$G:$G,Neutral!$A13,Data!$DB:$DB)+'Rate History'!$D$12*SUMIF(Data!$G:$G,Neutral!$A13,Data!$DC:$DC)+'Rate History'!$D$13*SUMIF(Data!$G:$G,Neutral!$A13,Data!$DD:$DD)+'Rate History'!$D$14*SUMIF(Data!$G:$G,Neutral!$A13,Data!$DE:$DE)+'Rate History'!$D$15*SUMIF(Data!$G:$G,Neutral!$A13,Data!$DF:$DF)+'Rate History'!$D$16*SUMIF(Data!$G:$G,Neutral!$A13,Data!$DG:$DG)+'Rate History'!$D$17*SUMIF(Data!$G:$G,Neutral!$A13,Data!$DH:$DH)+'Rate History'!$D$18*SUMIF(Data!$G:$G,Neutral!$A13,Data!$DI:$DI)+'Rate History'!$D$19*SUMIF(Data!$G:$G,Neutral!$A13,Data!$DJ:$DJ)+'Rate History'!$D$20*SUMIF(Data!$G:$G,Neutral!$A13,Data!$DK:$DK)+'Rate History'!$D$21*SUMIF(Data!$G:$G,Neutral!$A13,Data!$DL:$DL)+'Rate History'!$D$22*SUMIF(Data!$G:$G,Neutral!$A13,Data!$DM:$DM)+'Rate History'!$D$23*SUMIF(Data!$G:$G,Neutral!$A13,Data!$DN:$DN)+'Rate History'!$D$24*SUMIF(Data!$G:$G,Neutral!$A13,Data!$DO:$DO)+'Rate History'!$D$25*SUMIF(Data!$G:$G,Neutral!$A13,Data!$DP:$DP)+'Rate History'!$D$26*SUMIF(Data!$G:$G,Neutral!$A13,Data!$DQ:$DQ)+'Rate History'!$D$27*SUMIF(Data!$G:$G,Neutral!$A13,Data!$DR:$DR)+'Rate History'!$D$28*SUMIF(Data!$G:$G,Neutral!$A13,Data!$DS:$DS)+'Rate History'!$D$29*SUMIF(Data!$G:$G,Neutral!$A13,Data!$DT:$DT)+'Rate History'!$D$30*SUMIF(Data!$G:$G,Neutral!$A13,Data!$DV:$DV)+'Rate History'!$D$31*SUMIF(Data!$G:$G,Neutral!$A13,Data!$DW:$DW))</f>
        <v>20443174.889235914</v>
      </c>
      <c r="C13" s="121">
        <f>$C$5*('Rate History'!$C$4*SUMIF(Data!$G:$G,Neutral!$A13,Data!$CU:$CU)+'Rate History'!$C$5*SUMIF(Data!$G:$G,Neutral!$A13,Data!$CV:$CV)+'Rate History'!$C$6*SUMIF(Data!$G:$G,Neutral!$A13,Data!$CW:$CW)+'Rate History'!$C$7*SUMIF(Data!$G:$G,Neutral!$A13,Data!$CX:$CX)+'Rate History'!$C$8*SUMIF(Data!$G:$G,Neutral!$A13,Data!$CY:$CY)+'Rate History'!$C$9*SUMIF(Data!$G:$G,Neutral!$A13,Data!$CZ:$CZ)+'Rate History'!$C$10*SUMIF(Data!$G:$G,Neutral!$A13,Data!$DA:$DA)+'Rate History'!$C$11*SUMIF(Data!$G:$G,Neutral!$A13,Data!$DB:$DB)+'Rate History'!$C$12*SUMIF(Data!$G:$G,Neutral!$A13,Data!$DC:$DC)+'Rate History'!$C$13*SUMIF(Data!$G:$G,Neutral!$A13,Data!$DD:$DD)+'Rate History'!$C$14*SUMIF(Data!$G:$G,Neutral!$A13,Data!$DE:$DE)+'Rate History'!$C$15*SUMIF(Data!$G:$G,Neutral!$A13,Data!$DF:$DF)+'Rate History'!$C$16*SUMIF(Data!$G:$G,Neutral!$A13,Data!$DG:$DG)+'Rate History'!$C$17*SUMIF(Data!$G:$G,Neutral!$A13,Data!$DH:$DH)+'Rate History'!$C$18*SUMIF(Data!$G:$G,Neutral!$A13,Data!$DI:$DI)+'Rate History'!$C$19*SUMIF(Data!$G:$G,Neutral!$A13,Data!$DJ:$DJ)+'Rate History'!$C$20*SUMIF(Data!$G:$G,Neutral!$A13,Data!$DK:$DK)+'Rate History'!$C$21*SUMIF(Data!$G:$G,Neutral!$A13,Data!$DL:$DL)+'Rate History'!$C$22*SUMIF(Data!$G:$G,Neutral!$A13,Data!$DM:$DM)+'Rate History'!$C$23*SUMIF(Data!$G:$G,Neutral!$A13,Data!$DN:$DN)+'Rate History'!$C$24*SUMIF(Data!$G:$G,Neutral!$A13,Data!$DO:$DO)+'Rate History'!$C$25*SUMIF(Data!$G:$G,Neutral!$A13,Data!$DP:$DP)+'Rate History'!$C$26*SUMIF(Data!$G:$G,Neutral!$A13,Data!$DQ:$DQ)+'Rate History'!$C$27*SUMIF(Data!$G:$G,Neutral!$A13,Data!$DR:$DR)+'Rate History'!$C$28*SUMIF(Data!$G:$G,Neutral!$A13,Data!$DS:$DS)+'Rate History'!$C$29*SUMIF(Data!$G:$G,Neutral!$A13,Data!$DT:$DT)+'Rate History'!$C$30*SUMIF(Data!$G:$G,Neutral!$A13,Data!$DV:$DV)+'Rate History'!$C$31*SUMIF(Data!$G:$G,Neutral!$A13,Data!$DW:$DW))</f>
        <v>19849909.14407346</v>
      </c>
      <c r="D13" s="106">
        <f t="shared" si="1"/>
        <v>-593265.7451624535</v>
      </c>
      <c r="E13" s="108">
        <f t="shared" si="0"/>
        <v>-2.9020235280324772E-2</v>
      </c>
    </row>
    <row r="14" spans="1:6" x14ac:dyDescent="0.25">
      <c r="A14" s="101" t="s">
        <v>387</v>
      </c>
      <c r="B14" s="121">
        <f>$B$5*('Rate History'!$D$4*SUMIF(Data!$G:$G,Neutral!$A14,Data!$CU:$CU)+'Rate History'!$D$5*SUMIF(Data!$G:$G,Neutral!$A14,Data!$CV:$CV)+'Rate History'!$D$6*SUMIF(Data!$G:$G,Neutral!$A14,Data!$CW:$CW)+'Rate History'!$D$7*SUMIF(Data!$G:$G,Neutral!$A14,Data!$CX:$CX)+'Rate History'!$D$8*SUMIF(Data!$G:$G,Neutral!$A14,Data!$CY:$CY)+'Rate History'!$D$9*SUMIF(Data!$G:$G,Neutral!$A14,Data!$CZ:$CZ)+'Rate History'!$D$10*SUMIF(Data!$G:$G,Neutral!$A14,Data!$DA:$DA)+'Rate History'!$D$11*SUMIF(Data!$G:$G,Neutral!$A14,Data!$DB:$DB)+'Rate History'!$D$12*SUMIF(Data!$G:$G,Neutral!$A14,Data!$DC:$DC)+'Rate History'!$D$13*SUMIF(Data!$G:$G,Neutral!$A14,Data!$DD:$DD)+'Rate History'!$D$14*SUMIF(Data!$G:$G,Neutral!$A14,Data!$DE:$DE)+'Rate History'!$D$15*SUMIF(Data!$G:$G,Neutral!$A14,Data!$DF:$DF)+'Rate History'!$D$16*SUMIF(Data!$G:$G,Neutral!$A14,Data!$DG:$DG)+'Rate History'!$D$17*SUMIF(Data!$G:$G,Neutral!$A14,Data!$DH:$DH)+'Rate History'!$D$18*SUMIF(Data!$G:$G,Neutral!$A14,Data!$DI:$DI)+'Rate History'!$D$19*SUMIF(Data!$G:$G,Neutral!$A14,Data!$DJ:$DJ)+'Rate History'!$D$20*SUMIF(Data!$G:$G,Neutral!$A14,Data!$DK:$DK)+'Rate History'!$D$21*SUMIF(Data!$G:$G,Neutral!$A14,Data!$DL:$DL)+'Rate History'!$D$22*SUMIF(Data!$G:$G,Neutral!$A14,Data!$DM:$DM)+'Rate History'!$D$23*SUMIF(Data!$G:$G,Neutral!$A14,Data!$DN:$DN)+'Rate History'!$D$24*SUMIF(Data!$G:$G,Neutral!$A14,Data!$DO:$DO)+'Rate History'!$D$25*SUMIF(Data!$G:$G,Neutral!$A14,Data!$DP:$DP)+'Rate History'!$D$26*SUMIF(Data!$G:$G,Neutral!$A14,Data!$DQ:$DQ)+'Rate History'!$D$27*SUMIF(Data!$G:$G,Neutral!$A14,Data!$DR:$DR)+'Rate History'!$D$28*SUMIF(Data!$G:$G,Neutral!$A14,Data!$DS:$DS)+'Rate History'!$D$29*SUMIF(Data!$G:$G,Neutral!$A14,Data!$DT:$DT)+'Rate History'!$D$30*SUMIF(Data!$G:$G,Neutral!$A14,Data!$DV:$DV)+'Rate History'!$D$31*SUMIF(Data!$G:$G,Neutral!$A14,Data!$DW:$DW))</f>
        <v>5881848.5565878609</v>
      </c>
      <c r="C14" s="121">
        <f>$C$5*('Rate History'!$C$4*SUMIF(Data!$G:$G,Neutral!$A14,Data!$CU:$CU)+'Rate History'!$C$5*SUMIF(Data!$G:$G,Neutral!$A14,Data!$CV:$CV)+'Rate History'!$C$6*SUMIF(Data!$G:$G,Neutral!$A14,Data!$CW:$CW)+'Rate History'!$C$7*SUMIF(Data!$G:$G,Neutral!$A14,Data!$CX:$CX)+'Rate History'!$C$8*SUMIF(Data!$G:$G,Neutral!$A14,Data!$CY:$CY)+'Rate History'!$C$9*SUMIF(Data!$G:$G,Neutral!$A14,Data!$CZ:$CZ)+'Rate History'!$C$10*SUMIF(Data!$G:$G,Neutral!$A14,Data!$DA:$DA)+'Rate History'!$C$11*SUMIF(Data!$G:$G,Neutral!$A14,Data!$DB:$DB)+'Rate History'!$C$12*SUMIF(Data!$G:$G,Neutral!$A14,Data!$DC:$DC)+'Rate History'!$C$13*SUMIF(Data!$G:$G,Neutral!$A14,Data!$DD:$DD)+'Rate History'!$C$14*SUMIF(Data!$G:$G,Neutral!$A14,Data!$DE:$DE)+'Rate History'!$C$15*SUMIF(Data!$G:$G,Neutral!$A14,Data!$DF:$DF)+'Rate History'!$C$16*SUMIF(Data!$G:$G,Neutral!$A14,Data!$DG:$DG)+'Rate History'!$C$17*SUMIF(Data!$G:$G,Neutral!$A14,Data!$DH:$DH)+'Rate History'!$C$18*SUMIF(Data!$G:$G,Neutral!$A14,Data!$DI:$DI)+'Rate History'!$C$19*SUMIF(Data!$G:$G,Neutral!$A14,Data!$DJ:$DJ)+'Rate History'!$C$20*SUMIF(Data!$G:$G,Neutral!$A14,Data!$DK:$DK)+'Rate History'!$C$21*SUMIF(Data!$G:$G,Neutral!$A14,Data!$DL:$DL)+'Rate History'!$C$22*SUMIF(Data!$G:$G,Neutral!$A14,Data!$DM:$DM)+'Rate History'!$C$23*SUMIF(Data!$G:$G,Neutral!$A14,Data!$DN:$DN)+'Rate History'!$C$24*SUMIF(Data!$G:$G,Neutral!$A14,Data!$DO:$DO)+'Rate History'!$C$25*SUMIF(Data!$G:$G,Neutral!$A14,Data!$DP:$DP)+'Rate History'!$C$26*SUMIF(Data!$G:$G,Neutral!$A14,Data!$DQ:$DQ)+'Rate History'!$C$27*SUMIF(Data!$G:$G,Neutral!$A14,Data!$DR:$DR)+'Rate History'!$C$28*SUMIF(Data!$G:$G,Neutral!$A14,Data!$DS:$DS)+'Rate History'!$C$29*SUMIF(Data!$G:$G,Neutral!$A14,Data!$DT:$DT)+'Rate History'!$C$30*SUMIF(Data!$G:$G,Neutral!$A14,Data!$DV:$DV)+'Rate History'!$C$31*SUMIF(Data!$G:$G,Neutral!$A14,Data!$DW:$DW))</f>
        <v>5643790.3043089043</v>
      </c>
      <c r="D14" s="106">
        <f t="shared" si="1"/>
        <v>-238058.25227895658</v>
      </c>
      <c r="E14" s="108">
        <f t="shared" si="0"/>
        <v>-4.0473373292198016E-2</v>
      </c>
    </row>
    <row r="15" spans="1:6" x14ac:dyDescent="0.25">
      <c r="A15" s="101" t="s">
        <v>395</v>
      </c>
      <c r="B15" s="121">
        <f>$B$5*('Rate History'!$D$4*SUMIF(Data!$G:$G,Neutral!$A15,Data!$CU:$CU)+'Rate History'!$D$5*SUMIF(Data!$G:$G,Neutral!$A15,Data!$CV:$CV)+'Rate History'!$D$6*SUMIF(Data!$G:$G,Neutral!$A15,Data!$CW:$CW)+'Rate History'!$D$7*SUMIF(Data!$G:$G,Neutral!$A15,Data!$CX:$CX)+'Rate History'!$D$8*SUMIF(Data!$G:$G,Neutral!$A15,Data!$CY:$CY)+'Rate History'!$D$9*SUMIF(Data!$G:$G,Neutral!$A15,Data!$CZ:$CZ)+'Rate History'!$D$10*SUMIF(Data!$G:$G,Neutral!$A15,Data!$DA:$DA)+'Rate History'!$D$11*SUMIF(Data!$G:$G,Neutral!$A15,Data!$DB:$DB)+'Rate History'!$D$12*SUMIF(Data!$G:$G,Neutral!$A15,Data!$DC:$DC)+'Rate History'!$D$13*SUMIF(Data!$G:$G,Neutral!$A15,Data!$DD:$DD)+'Rate History'!$D$14*SUMIF(Data!$G:$G,Neutral!$A15,Data!$DE:$DE)+'Rate History'!$D$15*SUMIF(Data!$G:$G,Neutral!$A15,Data!$DF:$DF)+'Rate History'!$D$16*SUMIF(Data!$G:$G,Neutral!$A15,Data!$DG:$DG)+'Rate History'!$D$17*SUMIF(Data!$G:$G,Neutral!$A15,Data!$DH:$DH)+'Rate History'!$D$18*SUMIF(Data!$G:$G,Neutral!$A15,Data!$DI:$DI)+'Rate History'!$D$19*SUMIF(Data!$G:$G,Neutral!$A15,Data!$DJ:$DJ)+'Rate History'!$D$20*SUMIF(Data!$G:$G,Neutral!$A15,Data!$DK:$DK)+'Rate History'!$D$21*SUMIF(Data!$G:$G,Neutral!$A15,Data!$DL:$DL)+'Rate History'!$D$22*SUMIF(Data!$G:$G,Neutral!$A15,Data!$DM:$DM)+'Rate History'!$D$23*SUMIF(Data!$G:$G,Neutral!$A15,Data!$DN:$DN)+'Rate History'!$D$24*SUMIF(Data!$G:$G,Neutral!$A15,Data!$DO:$DO)+'Rate History'!$D$25*SUMIF(Data!$G:$G,Neutral!$A15,Data!$DP:$DP)+'Rate History'!$D$26*SUMIF(Data!$G:$G,Neutral!$A15,Data!$DQ:$DQ)+'Rate History'!$D$27*SUMIF(Data!$G:$G,Neutral!$A15,Data!$DR:$DR)+'Rate History'!$D$28*SUMIF(Data!$G:$G,Neutral!$A15,Data!$DS:$DS)+'Rate History'!$D$29*SUMIF(Data!$G:$G,Neutral!$A15,Data!$DT:$DT)+'Rate History'!$D$30*SUMIF(Data!$G:$G,Neutral!$A15,Data!$DV:$DV)+'Rate History'!$D$31*SUMIF(Data!$G:$G,Neutral!$A15,Data!$DW:$DW))</f>
        <v>2407098.6829487458</v>
      </c>
      <c r="C15" s="121">
        <f>$C$5*('Rate History'!$C$4*SUMIF(Data!$G:$G,Neutral!$A15,Data!$CU:$CU)+'Rate History'!$C$5*SUMIF(Data!$G:$G,Neutral!$A15,Data!$CV:$CV)+'Rate History'!$C$6*SUMIF(Data!$G:$G,Neutral!$A15,Data!$CW:$CW)+'Rate History'!$C$7*SUMIF(Data!$G:$G,Neutral!$A15,Data!$CX:$CX)+'Rate History'!$C$8*SUMIF(Data!$G:$G,Neutral!$A15,Data!$CY:$CY)+'Rate History'!$C$9*SUMIF(Data!$G:$G,Neutral!$A15,Data!$CZ:$CZ)+'Rate History'!$C$10*SUMIF(Data!$G:$G,Neutral!$A15,Data!$DA:$DA)+'Rate History'!$C$11*SUMIF(Data!$G:$G,Neutral!$A15,Data!$DB:$DB)+'Rate History'!$C$12*SUMIF(Data!$G:$G,Neutral!$A15,Data!$DC:$DC)+'Rate History'!$C$13*SUMIF(Data!$G:$G,Neutral!$A15,Data!$DD:$DD)+'Rate History'!$C$14*SUMIF(Data!$G:$G,Neutral!$A15,Data!$DE:$DE)+'Rate History'!$C$15*SUMIF(Data!$G:$G,Neutral!$A15,Data!$DF:$DF)+'Rate History'!$C$16*SUMIF(Data!$G:$G,Neutral!$A15,Data!$DG:$DG)+'Rate History'!$C$17*SUMIF(Data!$G:$G,Neutral!$A15,Data!$DH:$DH)+'Rate History'!$C$18*SUMIF(Data!$G:$G,Neutral!$A15,Data!$DI:$DI)+'Rate History'!$C$19*SUMIF(Data!$G:$G,Neutral!$A15,Data!$DJ:$DJ)+'Rate History'!$C$20*SUMIF(Data!$G:$G,Neutral!$A15,Data!$DK:$DK)+'Rate History'!$C$21*SUMIF(Data!$G:$G,Neutral!$A15,Data!$DL:$DL)+'Rate History'!$C$22*SUMIF(Data!$G:$G,Neutral!$A15,Data!$DM:$DM)+'Rate History'!$C$23*SUMIF(Data!$G:$G,Neutral!$A15,Data!$DN:$DN)+'Rate History'!$C$24*SUMIF(Data!$G:$G,Neutral!$A15,Data!$DO:$DO)+'Rate History'!$C$25*SUMIF(Data!$G:$G,Neutral!$A15,Data!$DP:$DP)+'Rate History'!$C$26*SUMIF(Data!$G:$G,Neutral!$A15,Data!$DQ:$DQ)+'Rate History'!$C$27*SUMIF(Data!$G:$G,Neutral!$A15,Data!$DR:$DR)+'Rate History'!$C$28*SUMIF(Data!$G:$G,Neutral!$A15,Data!$DS:$DS)+'Rate History'!$C$29*SUMIF(Data!$G:$G,Neutral!$A15,Data!$DT:$DT)+'Rate History'!$C$30*SUMIF(Data!$G:$G,Neutral!$A15,Data!$DV:$DV)+'Rate History'!$C$31*SUMIF(Data!$G:$G,Neutral!$A15,Data!$DW:$DW))</f>
        <v>2303261.4249276365</v>
      </c>
      <c r="D15" s="106">
        <f t="shared" si="1"/>
        <v>-103837.25802110927</v>
      </c>
      <c r="E15" s="108">
        <f t="shared" si="0"/>
        <v>-4.3137931467731302E-2</v>
      </c>
    </row>
    <row r="16" spans="1:6" x14ac:dyDescent="0.25">
      <c r="A16" s="101" t="s">
        <v>371</v>
      </c>
      <c r="B16" s="121">
        <f>$B$5*('Rate History'!$D$4*SUMIF(Data!$G:$G,Neutral!$A16,Data!$CU:$CU)+'Rate History'!$D$5*SUMIF(Data!$G:$G,Neutral!$A16,Data!$CV:$CV)+'Rate History'!$D$6*SUMIF(Data!$G:$G,Neutral!$A16,Data!$CW:$CW)+'Rate History'!$D$7*SUMIF(Data!$G:$G,Neutral!$A16,Data!$CX:$CX)+'Rate History'!$D$8*SUMIF(Data!$G:$G,Neutral!$A16,Data!$CY:$CY)+'Rate History'!$D$9*SUMIF(Data!$G:$G,Neutral!$A16,Data!$CZ:$CZ)+'Rate History'!$D$10*SUMIF(Data!$G:$G,Neutral!$A16,Data!$DA:$DA)+'Rate History'!$D$11*SUMIF(Data!$G:$G,Neutral!$A16,Data!$DB:$DB)+'Rate History'!$D$12*SUMIF(Data!$G:$G,Neutral!$A16,Data!$DC:$DC)+'Rate History'!$D$13*SUMIF(Data!$G:$G,Neutral!$A16,Data!$DD:$DD)+'Rate History'!$D$14*SUMIF(Data!$G:$G,Neutral!$A16,Data!$DE:$DE)+'Rate History'!$D$15*SUMIF(Data!$G:$G,Neutral!$A16,Data!$DF:$DF)+'Rate History'!$D$16*SUMIF(Data!$G:$G,Neutral!$A16,Data!$DG:$DG)+'Rate History'!$D$17*SUMIF(Data!$G:$G,Neutral!$A16,Data!$DH:$DH)+'Rate History'!$D$18*SUMIF(Data!$G:$G,Neutral!$A16,Data!$DI:$DI)+'Rate History'!$D$19*SUMIF(Data!$G:$G,Neutral!$A16,Data!$DJ:$DJ)+'Rate History'!$D$20*SUMIF(Data!$G:$G,Neutral!$A16,Data!$DK:$DK)+'Rate History'!$D$21*SUMIF(Data!$G:$G,Neutral!$A16,Data!$DL:$DL)+'Rate History'!$D$22*SUMIF(Data!$G:$G,Neutral!$A16,Data!$DM:$DM)+'Rate History'!$D$23*SUMIF(Data!$G:$G,Neutral!$A16,Data!$DN:$DN)+'Rate History'!$D$24*SUMIF(Data!$G:$G,Neutral!$A16,Data!$DO:$DO)+'Rate History'!$D$25*SUMIF(Data!$G:$G,Neutral!$A16,Data!$DP:$DP)+'Rate History'!$D$26*SUMIF(Data!$G:$G,Neutral!$A16,Data!$DQ:$DQ)+'Rate History'!$D$27*SUMIF(Data!$G:$G,Neutral!$A16,Data!$DR:$DR)+'Rate History'!$D$28*SUMIF(Data!$G:$G,Neutral!$A16,Data!$DS:$DS)+'Rate History'!$D$29*SUMIF(Data!$G:$G,Neutral!$A16,Data!$DT:$DT)+'Rate History'!$D$30*SUMIF(Data!$G:$G,Neutral!$A16,Data!$DV:$DV)+'Rate History'!$D$31*SUMIF(Data!$G:$G,Neutral!$A16,Data!$DW:$DW))</f>
        <v>6705074.6954811402</v>
      </c>
      <c r="C16" s="121">
        <f>$C$5*('Rate History'!$C$4*SUMIF(Data!$G:$G,Neutral!$A16,Data!$CU:$CU)+'Rate History'!$C$5*SUMIF(Data!$G:$G,Neutral!$A16,Data!$CV:$CV)+'Rate History'!$C$6*SUMIF(Data!$G:$G,Neutral!$A16,Data!$CW:$CW)+'Rate History'!$C$7*SUMIF(Data!$G:$G,Neutral!$A16,Data!$CX:$CX)+'Rate History'!$C$8*SUMIF(Data!$G:$G,Neutral!$A16,Data!$CY:$CY)+'Rate History'!$C$9*SUMIF(Data!$G:$G,Neutral!$A16,Data!$CZ:$CZ)+'Rate History'!$C$10*SUMIF(Data!$G:$G,Neutral!$A16,Data!$DA:$DA)+'Rate History'!$C$11*SUMIF(Data!$G:$G,Neutral!$A16,Data!$DB:$DB)+'Rate History'!$C$12*SUMIF(Data!$G:$G,Neutral!$A16,Data!$DC:$DC)+'Rate History'!$C$13*SUMIF(Data!$G:$G,Neutral!$A16,Data!$DD:$DD)+'Rate History'!$C$14*SUMIF(Data!$G:$G,Neutral!$A16,Data!$DE:$DE)+'Rate History'!$C$15*SUMIF(Data!$G:$G,Neutral!$A16,Data!$DF:$DF)+'Rate History'!$C$16*SUMIF(Data!$G:$G,Neutral!$A16,Data!$DG:$DG)+'Rate History'!$C$17*SUMIF(Data!$G:$G,Neutral!$A16,Data!$DH:$DH)+'Rate History'!$C$18*SUMIF(Data!$G:$G,Neutral!$A16,Data!$DI:$DI)+'Rate History'!$C$19*SUMIF(Data!$G:$G,Neutral!$A16,Data!$DJ:$DJ)+'Rate History'!$C$20*SUMIF(Data!$G:$G,Neutral!$A16,Data!$DK:$DK)+'Rate History'!$C$21*SUMIF(Data!$G:$G,Neutral!$A16,Data!$DL:$DL)+'Rate History'!$C$22*SUMIF(Data!$G:$G,Neutral!$A16,Data!$DM:$DM)+'Rate History'!$C$23*SUMIF(Data!$G:$G,Neutral!$A16,Data!$DN:$DN)+'Rate History'!$C$24*SUMIF(Data!$G:$G,Neutral!$A16,Data!$DO:$DO)+'Rate History'!$C$25*SUMIF(Data!$G:$G,Neutral!$A16,Data!$DP:$DP)+'Rate History'!$C$26*SUMIF(Data!$G:$G,Neutral!$A16,Data!$DQ:$DQ)+'Rate History'!$C$27*SUMIF(Data!$G:$G,Neutral!$A16,Data!$DR:$DR)+'Rate History'!$C$28*SUMIF(Data!$G:$G,Neutral!$A16,Data!$DS:$DS)+'Rate History'!$C$29*SUMIF(Data!$G:$G,Neutral!$A16,Data!$DT:$DT)+'Rate History'!$C$30*SUMIF(Data!$G:$G,Neutral!$A16,Data!$DV:$DV)+'Rate History'!$C$31*SUMIF(Data!$G:$G,Neutral!$A16,Data!$DW:$DW))</f>
        <v>6473098.6113270326</v>
      </c>
      <c r="D16" s="106">
        <f t="shared" si="1"/>
        <v>-231976.08415410761</v>
      </c>
      <c r="E16" s="108">
        <f t="shared" si="0"/>
        <v>-3.4597091708828687E-2</v>
      </c>
    </row>
    <row r="17" spans="1:5" x14ac:dyDescent="0.25">
      <c r="A17" s="101" t="s">
        <v>652</v>
      </c>
      <c r="B17" s="121">
        <f>$B$5*('Rate History'!$D$4*SUMIF(Data!$G:$G,Neutral!$A17,Data!$CU:$CU)+'Rate History'!$D$5*SUMIF(Data!$G:$G,Neutral!$A17,Data!$CV:$CV)+'Rate History'!$D$6*SUMIF(Data!$G:$G,Neutral!$A17,Data!$CW:$CW)+'Rate History'!$D$7*SUMIF(Data!$G:$G,Neutral!$A17,Data!$CX:$CX)+'Rate History'!$D$8*SUMIF(Data!$G:$G,Neutral!$A17,Data!$CY:$CY)+'Rate History'!$D$9*SUMIF(Data!$G:$G,Neutral!$A17,Data!$CZ:$CZ)+'Rate History'!$D$10*SUMIF(Data!$G:$G,Neutral!$A17,Data!$DA:$DA)+'Rate History'!$D$11*SUMIF(Data!$G:$G,Neutral!$A17,Data!$DB:$DB)+'Rate History'!$D$12*SUMIF(Data!$G:$G,Neutral!$A17,Data!$DC:$DC)+'Rate History'!$D$13*SUMIF(Data!$G:$G,Neutral!$A17,Data!$DD:$DD)+'Rate History'!$D$14*SUMIF(Data!$G:$G,Neutral!$A17,Data!$DE:$DE)+'Rate History'!$D$15*SUMIF(Data!$G:$G,Neutral!$A17,Data!$DF:$DF)+'Rate History'!$D$16*SUMIF(Data!$G:$G,Neutral!$A17,Data!$DG:$DG)+'Rate History'!$D$17*SUMIF(Data!$G:$G,Neutral!$A17,Data!$DH:$DH)+'Rate History'!$D$18*SUMIF(Data!$G:$G,Neutral!$A17,Data!$DI:$DI)+'Rate History'!$D$19*SUMIF(Data!$G:$G,Neutral!$A17,Data!$DJ:$DJ)+'Rate History'!$D$20*SUMIF(Data!$G:$G,Neutral!$A17,Data!$DK:$DK)+'Rate History'!$D$21*SUMIF(Data!$G:$G,Neutral!$A17,Data!$DL:$DL)+'Rate History'!$D$22*SUMIF(Data!$G:$G,Neutral!$A17,Data!$DM:$DM)+'Rate History'!$D$23*SUMIF(Data!$G:$G,Neutral!$A17,Data!$DN:$DN)+'Rate History'!$D$24*SUMIF(Data!$G:$G,Neutral!$A17,Data!$DO:$DO)+'Rate History'!$D$25*SUMIF(Data!$G:$G,Neutral!$A17,Data!$DP:$DP)+'Rate History'!$D$26*SUMIF(Data!$G:$G,Neutral!$A17,Data!$DQ:$DQ)+'Rate History'!$D$27*SUMIF(Data!$G:$G,Neutral!$A17,Data!$DR:$DR)+'Rate History'!$D$28*SUMIF(Data!$G:$G,Neutral!$A17,Data!$DS:$DS)+'Rate History'!$D$29*SUMIF(Data!$G:$G,Neutral!$A17,Data!$DT:$DT)+'Rate History'!$D$30*SUMIF(Data!$G:$G,Neutral!$A17,Data!$DV:$DV)+'Rate History'!$D$31*SUMIF(Data!$G:$G,Neutral!$A17,Data!$DW:$DW))</f>
        <v>6001569.0863921149</v>
      </c>
      <c r="C17" s="121">
        <f>$C$5*('Rate History'!$C$4*SUMIF(Data!$G:$G,Neutral!$A17,Data!$CU:$CU)+'Rate History'!$C$5*SUMIF(Data!$G:$G,Neutral!$A17,Data!$CV:$CV)+'Rate History'!$C$6*SUMIF(Data!$G:$G,Neutral!$A17,Data!$CW:$CW)+'Rate History'!$C$7*SUMIF(Data!$G:$G,Neutral!$A17,Data!$CX:$CX)+'Rate History'!$C$8*SUMIF(Data!$G:$G,Neutral!$A17,Data!$CY:$CY)+'Rate History'!$C$9*SUMIF(Data!$G:$G,Neutral!$A17,Data!$CZ:$CZ)+'Rate History'!$C$10*SUMIF(Data!$G:$G,Neutral!$A17,Data!$DA:$DA)+'Rate History'!$C$11*SUMIF(Data!$G:$G,Neutral!$A17,Data!$DB:$DB)+'Rate History'!$C$12*SUMIF(Data!$G:$G,Neutral!$A17,Data!$DC:$DC)+'Rate History'!$C$13*SUMIF(Data!$G:$G,Neutral!$A17,Data!$DD:$DD)+'Rate History'!$C$14*SUMIF(Data!$G:$G,Neutral!$A17,Data!$DE:$DE)+'Rate History'!$C$15*SUMIF(Data!$G:$G,Neutral!$A17,Data!$DF:$DF)+'Rate History'!$C$16*SUMIF(Data!$G:$G,Neutral!$A17,Data!$DG:$DG)+'Rate History'!$C$17*SUMIF(Data!$G:$G,Neutral!$A17,Data!$DH:$DH)+'Rate History'!$C$18*SUMIF(Data!$G:$G,Neutral!$A17,Data!$DI:$DI)+'Rate History'!$C$19*SUMIF(Data!$G:$G,Neutral!$A17,Data!$DJ:$DJ)+'Rate History'!$C$20*SUMIF(Data!$G:$G,Neutral!$A17,Data!$DK:$DK)+'Rate History'!$C$21*SUMIF(Data!$G:$G,Neutral!$A17,Data!$DL:$DL)+'Rate History'!$C$22*SUMIF(Data!$G:$G,Neutral!$A17,Data!$DM:$DM)+'Rate History'!$C$23*SUMIF(Data!$G:$G,Neutral!$A17,Data!$DN:$DN)+'Rate History'!$C$24*SUMIF(Data!$G:$G,Neutral!$A17,Data!$DO:$DO)+'Rate History'!$C$25*SUMIF(Data!$G:$G,Neutral!$A17,Data!$DP:$DP)+'Rate History'!$C$26*SUMIF(Data!$G:$G,Neutral!$A17,Data!$DQ:$DQ)+'Rate History'!$C$27*SUMIF(Data!$G:$G,Neutral!$A17,Data!$DR:$DR)+'Rate History'!$C$28*SUMIF(Data!$G:$G,Neutral!$A17,Data!$DS:$DS)+'Rate History'!$C$29*SUMIF(Data!$G:$G,Neutral!$A17,Data!$DT:$DT)+'Rate History'!$C$30*SUMIF(Data!$G:$G,Neutral!$A17,Data!$DV:$DV)+'Rate History'!$C$31*SUMIF(Data!$G:$G,Neutral!$A17,Data!$DW:$DW))</f>
        <v>6118493.2498508794</v>
      </c>
      <c r="D17" s="106">
        <f t="shared" si="1"/>
        <v>116924.16345876455</v>
      </c>
      <c r="E17" s="108">
        <f t="shared" si="0"/>
        <v>1.9482265683465508E-2</v>
      </c>
    </row>
    <row r="18" spans="1:5" x14ac:dyDescent="0.25">
      <c r="A18" s="101" t="s">
        <v>760</v>
      </c>
      <c r="B18" s="121">
        <f>$B$5*('Rate History'!$D$4*SUMIF(Data!$G:$G,Neutral!$A18,Data!$CU:$CU)+'Rate History'!$D$5*SUMIF(Data!$G:$G,Neutral!$A18,Data!$CV:$CV)+'Rate History'!$D$6*SUMIF(Data!$G:$G,Neutral!$A18,Data!$CW:$CW)+'Rate History'!$D$7*SUMIF(Data!$G:$G,Neutral!$A18,Data!$CX:$CX)+'Rate History'!$D$8*SUMIF(Data!$G:$G,Neutral!$A18,Data!$CY:$CY)+'Rate History'!$D$9*SUMIF(Data!$G:$G,Neutral!$A18,Data!$CZ:$CZ)+'Rate History'!$D$10*SUMIF(Data!$G:$G,Neutral!$A18,Data!$DA:$DA)+'Rate History'!$D$11*SUMIF(Data!$G:$G,Neutral!$A18,Data!$DB:$DB)+'Rate History'!$D$12*SUMIF(Data!$G:$G,Neutral!$A18,Data!$DC:$DC)+'Rate History'!$D$13*SUMIF(Data!$G:$G,Neutral!$A18,Data!$DD:$DD)+'Rate History'!$D$14*SUMIF(Data!$G:$G,Neutral!$A18,Data!$DE:$DE)+'Rate History'!$D$15*SUMIF(Data!$G:$G,Neutral!$A18,Data!$DF:$DF)+'Rate History'!$D$16*SUMIF(Data!$G:$G,Neutral!$A18,Data!$DG:$DG)+'Rate History'!$D$17*SUMIF(Data!$G:$G,Neutral!$A18,Data!$DH:$DH)+'Rate History'!$D$18*SUMIF(Data!$G:$G,Neutral!$A18,Data!$DI:$DI)+'Rate History'!$D$19*SUMIF(Data!$G:$G,Neutral!$A18,Data!$DJ:$DJ)+'Rate History'!$D$20*SUMIF(Data!$G:$G,Neutral!$A18,Data!$DK:$DK)+'Rate History'!$D$21*SUMIF(Data!$G:$G,Neutral!$A18,Data!$DL:$DL)+'Rate History'!$D$22*SUMIF(Data!$G:$G,Neutral!$A18,Data!$DM:$DM)+'Rate History'!$D$23*SUMIF(Data!$G:$G,Neutral!$A18,Data!$DN:$DN)+'Rate History'!$D$24*SUMIF(Data!$G:$G,Neutral!$A18,Data!$DO:$DO)+'Rate History'!$D$25*SUMIF(Data!$G:$G,Neutral!$A18,Data!$DP:$DP)+'Rate History'!$D$26*SUMIF(Data!$G:$G,Neutral!$A18,Data!$DQ:$DQ)+'Rate History'!$D$27*SUMIF(Data!$G:$G,Neutral!$A18,Data!$DR:$DR)+'Rate History'!$D$28*SUMIF(Data!$G:$G,Neutral!$A18,Data!$DS:$DS)+'Rate History'!$D$29*SUMIF(Data!$G:$G,Neutral!$A18,Data!$DT:$DT)+'Rate History'!$D$30*SUMIF(Data!$G:$G,Neutral!$A18,Data!$DV:$DV)+'Rate History'!$D$31*SUMIF(Data!$G:$G,Neutral!$A18,Data!$DW:$DW))</f>
        <v>31134838.182361297</v>
      </c>
      <c r="C18" s="121">
        <f>$C$5*('Rate History'!$C$4*SUMIF(Data!$G:$G,Neutral!$A18,Data!$CU:$CU)+'Rate History'!$C$5*SUMIF(Data!$G:$G,Neutral!$A18,Data!$CV:$CV)+'Rate History'!$C$6*SUMIF(Data!$G:$G,Neutral!$A18,Data!$CW:$CW)+'Rate History'!$C$7*SUMIF(Data!$G:$G,Neutral!$A18,Data!$CX:$CX)+'Rate History'!$C$8*SUMIF(Data!$G:$G,Neutral!$A18,Data!$CY:$CY)+'Rate History'!$C$9*SUMIF(Data!$G:$G,Neutral!$A18,Data!$CZ:$CZ)+'Rate History'!$C$10*SUMIF(Data!$G:$G,Neutral!$A18,Data!$DA:$DA)+'Rate History'!$C$11*SUMIF(Data!$G:$G,Neutral!$A18,Data!$DB:$DB)+'Rate History'!$C$12*SUMIF(Data!$G:$G,Neutral!$A18,Data!$DC:$DC)+'Rate History'!$C$13*SUMIF(Data!$G:$G,Neutral!$A18,Data!$DD:$DD)+'Rate History'!$C$14*SUMIF(Data!$G:$G,Neutral!$A18,Data!$DE:$DE)+'Rate History'!$C$15*SUMIF(Data!$G:$G,Neutral!$A18,Data!$DF:$DF)+'Rate History'!$C$16*SUMIF(Data!$G:$G,Neutral!$A18,Data!$DG:$DG)+'Rate History'!$C$17*SUMIF(Data!$G:$G,Neutral!$A18,Data!$DH:$DH)+'Rate History'!$C$18*SUMIF(Data!$G:$G,Neutral!$A18,Data!$DI:$DI)+'Rate History'!$C$19*SUMIF(Data!$G:$G,Neutral!$A18,Data!$DJ:$DJ)+'Rate History'!$C$20*SUMIF(Data!$G:$G,Neutral!$A18,Data!$DK:$DK)+'Rate History'!$C$21*SUMIF(Data!$G:$G,Neutral!$A18,Data!$DL:$DL)+'Rate History'!$C$22*SUMIF(Data!$G:$G,Neutral!$A18,Data!$DM:$DM)+'Rate History'!$C$23*SUMIF(Data!$G:$G,Neutral!$A18,Data!$DN:$DN)+'Rate History'!$C$24*SUMIF(Data!$G:$G,Neutral!$A18,Data!$DO:$DO)+'Rate History'!$C$25*SUMIF(Data!$G:$G,Neutral!$A18,Data!$DP:$DP)+'Rate History'!$C$26*SUMIF(Data!$G:$G,Neutral!$A18,Data!$DQ:$DQ)+'Rate History'!$C$27*SUMIF(Data!$G:$G,Neutral!$A18,Data!$DR:$DR)+'Rate History'!$C$28*SUMIF(Data!$G:$G,Neutral!$A18,Data!$DS:$DS)+'Rate History'!$C$29*SUMIF(Data!$G:$G,Neutral!$A18,Data!$DT:$DT)+'Rate History'!$C$30*SUMIF(Data!$G:$G,Neutral!$A18,Data!$DV:$DV)+'Rate History'!$C$31*SUMIF(Data!$G:$G,Neutral!$A18,Data!$DW:$DW))</f>
        <v>30759989.170139361</v>
      </c>
      <c r="D18" s="106">
        <f t="shared" si="1"/>
        <v>-374849.01222193614</v>
      </c>
      <c r="E18" s="108">
        <f t="shared" si="0"/>
        <v>-1.2039536227116092E-2</v>
      </c>
    </row>
    <row r="19" spans="1:5" x14ac:dyDescent="0.25">
      <c r="A19" s="101" t="s">
        <v>768</v>
      </c>
      <c r="B19" s="121">
        <f>$B$5*('Rate History'!$D$4*SUMIF(Data!$G:$G,Neutral!$A19,Data!$CU:$CU)+'Rate History'!$D$5*SUMIF(Data!$G:$G,Neutral!$A19,Data!$CV:$CV)+'Rate History'!$D$6*SUMIF(Data!$G:$G,Neutral!$A19,Data!$CW:$CW)+'Rate History'!$D$7*SUMIF(Data!$G:$G,Neutral!$A19,Data!$CX:$CX)+'Rate History'!$D$8*SUMIF(Data!$G:$G,Neutral!$A19,Data!$CY:$CY)+'Rate History'!$D$9*SUMIF(Data!$G:$G,Neutral!$A19,Data!$CZ:$CZ)+'Rate History'!$D$10*SUMIF(Data!$G:$G,Neutral!$A19,Data!$DA:$DA)+'Rate History'!$D$11*SUMIF(Data!$G:$G,Neutral!$A19,Data!$DB:$DB)+'Rate History'!$D$12*SUMIF(Data!$G:$G,Neutral!$A19,Data!$DC:$DC)+'Rate History'!$D$13*SUMIF(Data!$G:$G,Neutral!$A19,Data!$DD:$DD)+'Rate History'!$D$14*SUMIF(Data!$G:$G,Neutral!$A19,Data!$DE:$DE)+'Rate History'!$D$15*SUMIF(Data!$G:$G,Neutral!$A19,Data!$DF:$DF)+'Rate History'!$D$16*SUMIF(Data!$G:$G,Neutral!$A19,Data!$DG:$DG)+'Rate History'!$D$17*SUMIF(Data!$G:$G,Neutral!$A19,Data!$DH:$DH)+'Rate History'!$D$18*SUMIF(Data!$G:$G,Neutral!$A19,Data!$DI:$DI)+'Rate History'!$D$19*SUMIF(Data!$G:$G,Neutral!$A19,Data!$DJ:$DJ)+'Rate History'!$D$20*SUMIF(Data!$G:$G,Neutral!$A19,Data!$DK:$DK)+'Rate History'!$D$21*SUMIF(Data!$G:$G,Neutral!$A19,Data!$DL:$DL)+'Rate History'!$D$22*SUMIF(Data!$G:$G,Neutral!$A19,Data!$DM:$DM)+'Rate History'!$D$23*SUMIF(Data!$G:$G,Neutral!$A19,Data!$DN:$DN)+'Rate History'!$D$24*SUMIF(Data!$G:$G,Neutral!$A19,Data!$DO:$DO)+'Rate History'!$D$25*SUMIF(Data!$G:$G,Neutral!$A19,Data!$DP:$DP)+'Rate History'!$D$26*SUMIF(Data!$G:$G,Neutral!$A19,Data!$DQ:$DQ)+'Rate History'!$D$27*SUMIF(Data!$G:$G,Neutral!$A19,Data!$DR:$DR)+'Rate History'!$D$28*SUMIF(Data!$G:$G,Neutral!$A19,Data!$DS:$DS)+'Rate History'!$D$29*SUMIF(Data!$G:$G,Neutral!$A19,Data!$DT:$DT)+'Rate History'!$D$30*SUMIF(Data!$G:$G,Neutral!$A19,Data!$DV:$DV)+'Rate History'!$D$31*SUMIF(Data!$G:$G,Neutral!$A19,Data!$DW:$DW))</f>
        <v>88484130.120313853</v>
      </c>
      <c r="C19" s="121">
        <f>$C$5*('Rate History'!$C$4*SUMIF(Data!$G:$G,Neutral!$A19,Data!$CU:$CU)+'Rate History'!$C$5*SUMIF(Data!$G:$G,Neutral!$A19,Data!$CV:$CV)+'Rate History'!$C$6*SUMIF(Data!$G:$G,Neutral!$A19,Data!$CW:$CW)+'Rate History'!$C$7*SUMIF(Data!$G:$G,Neutral!$A19,Data!$CX:$CX)+'Rate History'!$C$8*SUMIF(Data!$G:$G,Neutral!$A19,Data!$CY:$CY)+'Rate History'!$C$9*SUMIF(Data!$G:$G,Neutral!$A19,Data!$CZ:$CZ)+'Rate History'!$C$10*SUMIF(Data!$G:$G,Neutral!$A19,Data!$DA:$DA)+'Rate History'!$C$11*SUMIF(Data!$G:$G,Neutral!$A19,Data!$DB:$DB)+'Rate History'!$C$12*SUMIF(Data!$G:$G,Neutral!$A19,Data!$DC:$DC)+'Rate History'!$C$13*SUMIF(Data!$G:$G,Neutral!$A19,Data!$DD:$DD)+'Rate History'!$C$14*SUMIF(Data!$G:$G,Neutral!$A19,Data!$DE:$DE)+'Rate History'!$C$15*SUMIF(Data!$G:$G,Neutral!$A19,Data!$DF:$DF)+'Rate History'!$C$16*SUMIF(Data!$G:$G,Neutral!$A19,Data!$DG:$DG)+'Rate History'!$C$17*SUMIF(Data!$G:$G,Neutral!$A19,Data!$DH:$DH)+'Rate History'!$C$18*SUMIF(Data!$G:$G,Neutral!$A19,Data!$DI:$DI)+'Rate History'!$C$19*SUMIF(Data!$G:$G,Neutral!$A19,Data!$DJ:$DJ)+'Rate History'!$C$20*SUMIF(Data!$G:$G,Neutral!$A19,Data!$DK:$DK)+'Rate History'!$C$21*SUMIF(Data!$G:$G,Neutral!$A19,Data!$DL:$DL)+'Rate History'!$C$22*SUMIF(Data!$G:$G,Neutral!$A19,Data!$DM:$DM)+'Rate History'!$C$23*SUMIF(Data!$G:$G,Neutral!$A19,Data!$DN:$DN)+'Rate History'!$C$24*SUMIF(Data!$G:$G,Neutral!$A19,Data!$DO:$DO)+'Rate History'!$C$25*SUMIF(Data!$G:$G,Neutral!$A19,Data!$DP:$DP)+'Rate History'!$C$26*SUMIF(Data!$G:$G,Neutral!$A19,Data!$DQ:$DQ)+'Rate History'!$C$27*SUMIF(Data!$G:$G,Neutral!$A19,Data!$DR:$DR)+'Rate History'!$C$28*SUMIF(Data!$G:$G,Neutral!$A19,Data!$DS:$DS)+'Rate History'!$C$29*SUMIF(Data!$G:$G,Neutral!$A19,Data!$DT:$DT)+'Rate History'!$C$30*SUMIF(Data!$G:$G,Neutral!$A19,Data!$DV:$DV)+'Rate History'!$C$31*SUMIF(Data!$G:$G,Neutral!$A19,Data!$DW:$DW))</f>
        <v>90365125.948652014</v>
      </c>
      <c r="D19" s="106">
        <f t="shared" si="1"/>
        <v>1880995.8283381611</v>
      </c>
      <c r="E19" s="108">
        <f t="shared" si="0"/>
        <v>2.1258002149996038E-2</v>
      </c>
    </row>
    <row r="20" spans="1:5" x14ac:dyDescent="0.25">
      <c r="A20" s="101" t="s">
        <v>410</v>
      </c>
      <c r="B20" s="121">
        <f>$B$5*('Rate History'!$D$4*SUMIF(Data!$G:$G,Neutral!$A20,Data!$CU:$CU)+'Rate History'!$D$5*SUMIF(Data!$G:$G,Neutral!$A20,Data!$CV:$CV)+'Rate History'!$D$6*SUMIF(Data!$G:$G,Neutral!$A20,Data!$CW:$CW)+'Rate History'!$D$7*SUMIF(Data!$G:$G,Neutral!$A20,Data!$CX:$CX)+'Rate History'!$D$8*SUMIF(Data!$G:$G,Neutral!$A20,Data!$CY:$CY)+'Rate History'!$D$9*SUMIF(Data!$G:$G,Neutral!$A20,Data!$CZ:$CZ)+'Rate History'!$D$10*SUMIF(Data!$G:$G,Neutral!$A20,Data!$DA:$DA)+'Rate History'!$D$11*SUMIF(Data!$G:$G,Neutral!$A20,Data!$DB:$DB)+'Rate History'!$D$12*SUMIF(Data!$G:$G,Neutral!$A20,Data!$DC:$DC)+'Rate History'!$D$13*SUMIF(Data!$G:$G,Neutral!$A20,Data!$DD:$DD)+'Rate History'!$D$14*SUMIF(Data!$G:$G,Neutral!$A20,Data!$DE:$DE)+'Rate History'!$D$15*SUMIF(Data!$G:$G,Neutral!$A20,Data!$DF:$DF)+'Rate History'!$D$16*SUMIF(Data!$G:$G,Neutral!$A20,Data!$DG:$DG)+'Rate History'!$D$17*SUMIF(Data!$G:$G,Neutral!$A20,Data!$DH:$DH)+'Rate History'!$D$18*SUMIF(Data!$G:$G,Neutral!$A20,Data!$DI:$DI)+'Rate History'!$D$19*SUMIF(Data!$G:$G,Neutral!$A20,Data!$DJ:$DJ)+'Rate History'!$D$20*SUMIF(Data!$G:$G,Neutral!$A20,Data!$DK:$DK)+'Rate History'!$D$21*SUMIF(Data!$G:$G,Neutral!$A20,Data!$DL:$DL)+'Rate History'!$D$22*SUMIF(Data!$G:$G,Neutral!$A20,Data!$DM:$DM)+'Rate History'!$D$23*SUMIF(Data!$G:$G,Neutral!$A20,Data!$DN:$DN)+'Rate History'!$D$24*SUMIF(Data!$G:$G,Neutral!$A20,Data!$DO:$DO)+'Rate History'!$D$25*SUMIF(Data!$G:$G,Neutral!$A20,Data!$DP:$DP)+'Rate History'!$D$26*SUMIF(Data!$G:$G,Neutral!$A20,Data!$DQ:$DQ)+'Rate History'!$D$27*SUMIF(Data!$G:$G,Neutral!$A20,Data!$DR:$DR)+'Rate History'!$D$28*SUMIF(Data!$G:$G,Neutral!$A20,Data!$DS:$DS)+'Rate History'!$D$29*SUMIF(Data!$G:$G,Neutral!$A20,Data!$DT:$DT)+'Rate History'!$D$30*SUMIF(Data!$G:$G,Neutral!$A20,Data!$DV:$DV)+'Rate History'!$D$31*SUMIF(Data!$G:$G,Neutral!$A20,Data!$DW:$DW))</f>
        <v>17431942.570008297</v>
      </c>
      <c r="C20" s="121">
        <f>$C$5*('Rate History'!$C$4*SUMIF(Data!$G:$G,Neutral!$A20,Data!$CU:$CU)+'Rate History'!$C$5*SUMIF(Data!$G:$G,Neutral!$A20,Data!$CV:$CV)+'Rate History'!$C$6*SUMIF(Data!$G:$G,Neutral!$A20,Data!$CW:$CW)+'Rate History'!$C$7*SUMIF(Data!$G:$G,Neutral!$A20,Data!$CX:$CX)+'Rate History'!$C$8*SUMIF(Data!$G:$G,Neutral!$A20,Data!$CY:$CY)+'Rate History'!$C$9*SUMIF(Data!$G:$G,Neutral!$A20,Data!$CZ:$CZ)+'Rate History'!$C$10*SUMIF(Data!$G:$G,Neutral!$A20,Data!$DA:$DA)+'Rate History'!$C$11*SUMIF(Data!$G:$G,Neutral!$A20,Data!$DB:$DB)+'Rate History'!$C$12*SUMIF(Data!$G:$G,Neutral!$A20,Data!$DC:$DC)+'Rate History'!$C$13*SUMIF(Data!$G:$G,Neutral!$A20,Data!$DD:$DD)+'Rate History'!$C$14*SUMIF(Data!$G:$G,Neutral!$A20,Data!$DE:$DE)+'Rate History'!$C$15*SUMIF(Data!$G:$G,Neutral!$A20,Data!$DF:$DF)+'Rate History'!$C$16*SUMIF(Data!$G:$G,Neutral!$A20,Data!$DG:$DG)+'Rate History'!$C$17*SUMIF(Data!$G:$G,Neutral!$A20,Data!$DH:$DH)+'Rate History'!$C$18*SUMIF(Data!$G:$G,Neutral!$A20,Data!$DI:$DI)+'Rate History'!$C$19*SUMIF(Data!$G:$G,Neutral!$A20,Data!$DJ:$DJ)+'Rate History'!$C$20*SUMIF(Data!$G:$G,Neutral!$A20,Data!$DK:$DK)+'Rate History'!$C$21*SUMIF(Data!$G:$G,Neutral!$A20,Data!$DL:$DL)+'Rate History'!$C$22*SUMIF(Data!$G:$G,Neutral!$A20,Data!$DM:$DM)+'Rate History'!$C$23*SUMIF(Data!$G:$G,Neutral!$A20,Data!$DN:$DN)+'Rate History'!$C$24*SUMIF(Data!$G:$G,Neutral!$A20,Data!$DO:$DO)+'Rate History'!$C$25*SUMIF(Data!$G:$G,Neutral!$A20,Data!$DP:$DP)+'Rate History'!$C$26*SUMIF(Data!$G:$G,Neutral!$A20,Data!$DQ:$DQ)+'Rate History'!$C$27*SUMIF(Data!$G:$G,Neutral!$A20,Data!$DR:$DR)+'Rate History'!$C$28*SUMIF(Data!$G:$G,Neutral!$A20,Data!$DS:$DS)+'Rate History'!$C$29*SUMIF(Data!$G:$G,Neutral!$A20,Data!$DT:$DT)+'Rate History'!$C$30*SUMIF(Data!$G:$G,Neutral!$A20,Data!$DV:$DV)+'Rate History'!$C$31*SUMIF(Data!$G:$G,Neutral!$A20,Data!$DW:$DW))</f>
        <v>16882274.311845221</v>
      </c>
      <c r="D20" s="106">
        <f t="shared" si="1"/>
        <v>-549668.25816307589</v>
      </c>
      <c r="E20" s="108">
        <f t="shared" si="0"/>
        <v>-3.1532243521085343E-2</v>
      </c>
    </row>
    <row r="21" spans="1:5" x14ac:dyDescent="0.25">
      <c r="A21" s="100" t="s">
        <v>705</v>
      </c>
      <c r="B21" s="121">
        <f>$B$5*('Rate History'!$D$4*SUMIF(Data!$G:$G,Neutral!$A21,Data!$CU:$CU)+'Rate History'!$D$5*SUMIF(Data!$G:$G,Neutral!$A21,Data!$CV:$CV)+'Rate History'!$D$6*SUMIF(Data!$G:$G,Neutral!$A21,Data!$CW:$CW)+'Rate History'!$D$7*SUMIF(Data!$G:$G,Neutral!$A21,Data!$CX:$CX)+'Rate History'!$D$8*SUMIF(Data!$G:$G,Neutral!$A21,Data!$CY:$CY)+'Rate History'!$D$9*SUMIF(Data!$G:$G,Neutral!$A21,Data!$CZ:$CZ)+'Rate History'!$D$10*SUMIF(Data!$G:$G,Neutral!$A21,Data!$DA:$DA)+'Rate History'!$D$11*SUMIF(Data!$G:$G,Neutral!$A21,Data!$DB:$DB)+'Rate History'!$D$12*SUMIF(Data!$G:$G,Neutral!$A21,Data!$DC:$DC)+'Rate History'!$D$13*SUMIF(Data!$G:$G,Neutral!$A21,Data!$DD:$DD)+'Rate History'!$D$14*SUMIF(Data!$G:$G,Neutral!$A21,Data!$DE:$DE)+'Rate History'!$D$15*SUMIF(Data!$G:$G,Neutral!$A21,Data!$DF:$DF)+'Rate History'!$D$16*SUMIF(Data!$G:$G,Neutral!$A21,Data!$DG:$DG)+'Rate History'!$D$17*SUMIF(Data!$G:$G,Neutral!$A21,Data!$DH:$DH)+'Rate History'!$D$18*SUMIF(Data!$G:$G,Neutral!$A21,Data!$DI:$DI)+'Rate History'!$D$19*SUMIF(Data!$G:$G,Neutral!$A21,Data!$DJ:$DJ)+'Rate History'!$D$20*SUMIF(Data!$G:$G,Neutral!$A21,Data!$DK:$DK)+'Rate History'!$D$21*SUMIF(Data!$G:$G,Neutral!$A21,Data!$DL:$DL)+'Rate History'!$D$22*SUMIF(Data!$G:$G,Neutral!$A21,Data!$DM:$DM)+'Rate History'!$D$23*SUMIF(Data!$G:$G,Neutral!$A21,Data!$DN:$DN)+'Rate History'!$D$24*SUMIF(Data!$G:$G,Neutral!$A21,Data!$DO:$DO)+'Rate History'!$D$25*SUMIF(Data!$G:$G,Neutral!$A21,Data!$DP:$DP)+'Rate History'!$D$26*SUMIF(Data!$G:$G,Neutral!$A21,Data!$DQ:$DQ)+'Rate History'!$D$27*SUMIF(Data!$G:$G,Neutral!$A21,Data!$DR:$DR)+'Rate History'!$D$28*SUMIF(Data!$G:$G,Neutral!$A21,Data!$DS:$DS)+'Rate History'!$D$29*SUMIF(Data!$G:$G,Neutral!$A21,Data!$DT:$DT)+'Rate History'!$D$30*SUMIF(Data!$G:$G,Neutral!$A21,Data!$DV:$DV)+'Rate History'!$D$31*SUMIF(Data!$G:$G,Neutral!$A21,Data!$DW:$DW))</f>
        <v>31550455.803760558</v>
      </c>
      <c r="C21" s="121">
        <f>$C$5*('Rate History'!$C$4*SUMIF(Data!$G:$G,Neutral!$A21,Data!$CU:$CU)+'Rate History'!$C$5*SUMIF(Data!$G:$G,Neutral!$A21,Data!$CV:$CV)+'Rate History'!$C$6*SUMIF(Data!$G:$G,Neutral!$A21,Data!$CW:$CW)+'Rate History'!$C$7*SUMIF(Data!$G:$G,Neutral!$A21,Data!$CX:$CX)+'Rate History'!$C$8*SUMIF(Data!$G:$G,Neutral!$A21,Data!$CY:$CY)+'Rate History'!$C$9*SUMIF(Data!$G:$G,Neutral!$A21,Data!$CZ:$CZ)+'Rate History'!$C$10*SUMIF(Data!$G:$G,Neutral!$A21,Data!$DA:$DA)+'Rate History'!$C$11*SUMIF(Data!$G:$G,Neutral!$A21,Data!$DB:$DB)+'Rate History'!$C$12*SUMIF(Data!$G:$G,Neutral!$A21,Data!$DC:$DC)+'Rate History'!$C$13*SUMIF(Data!$G:$G,Neutral!$A21,Data!$DD:$DD)+'Rate History'!$C$14*SUMIF(Data!$G:$G,Neutral!$A21,Data!$DE:$DE)+'Rate History'!$C$15*SUMIF(Data!$G:$G,Neutral!$A21,Data!$DF:$DF)+'Rate History'!$C$16*SUMIF(Data!$G:$G,Neutral!$A21,Data!$DG:$DG)+'Rate History'!$C$17*SUMIF(Data!$G:$G,Neutral!$A21,Data!$DH:$DH)+'Rate History'!$C$18*SUMIF(Data!$G:$G,Neutral!$A21,Data!$DI:$DI)+'Rate History'!$C$19*SUMIF(Data!$G:$G,Neutral!$A21,Data!$DJ:$DJ)+'Rate History'!$C$20*SUMIF(Data!$G:$G,Neutral!$A21,Data!$DK:$DK)+'Rate History'!$C$21*SUMIF(Data!$G:$G,Neutral!$A21,Data!$DL:$DL)+'Rate History'!$C$22*SUMIF(Data!$G:$G,Neutral!$A21,Data!$DM:$DM)+'Rate History'!$C$23*SUMIF(Data!$G:$G,Neutral!$A21,Data!$DN:$DN)+'Rate History'!$C$24*SUMIF(Data!$G:$G,Neutral!$A21,Data!$DO:$DO)+'Rate History'!$C$25*SUMIF(Data!$G:$G,Neutral!$A21,Data!$DP:$DP)+'Rate History'!$C$26*SUMIF(Data!$G:$G,Neutral!$A21,Data!$DQ:$DQ)+'Rate History'!$C$27*SUMIF(Data!$G:$G,Neutral!$A21,Data!$DR:$DR)+'Rate History'!$C$28*SUMIF(Data!$G:$G,Neutral!$A21,Data!$DS:$DS)+'Rate History'!$C$29*SUMIF(Data!$G:$G,Neutral!$A21,Data!$DT:$DT)+'Rate History'!$C$30*SUMIF(Data!$G:$G,Neutral!$A21,Data!$DV:$DV)+'Rate History'!$C$31*SUMIF(Data!$G:$G,Neutral!$A21,Data!$DW:$DW))</f>
        <v>33338631.290643621</v>
      </c>
      <c r="D21" s="106">
        <f t="shared" si="1"/>
        <v>1788175.4868830629</v>
      </c>
      <c r="E21" s="108">
        <f t="shared" si="0"/>
        <v>5.6676692660330028E-2</v>
      </c>
    </row>
    <row r="22" spans="1:5" x14ac:dyDescent="0.25">
      <c r="A22" s="101" t="s">
        <v>418</v>
      </c>
      <c r="B22" s="121">
        <f>$B$5*('Rate History'!$D$4*SUMIF(Data!$G:$G,Neutral!$A22,Data!$CU:$CU)+'Rate History'!$D$5*SUMIF(Data!$G:$G,Neutral!$A22,Data!$CV:$CV)+'Rate History'!$D$6*SUMIF(Data!$G:$G,Neutral!$A22,Data!$CW:$CW)+'Rate History'!$D$7*SUMIF(Data!$G:$G,Neutral!$A22,Data!$CX:$CX)+'Rate History'!$D$8*SUMIF(Data!$G:$G,Neutral!$A22,Data!$CY:$CY)+'Rate History'!$D$9*SUMIF(Data!$G:$G,Neutral!$A22,Data!$CZ:$CZ)+'Rate History'!$D$10*SUMIF(Data!$G:$G,Neutral!$A22,Data!$DA:$DA)+'Rate History'!$D$11*SUMIF(Data!$G:$G,Neutral!$A22,Data!$DB:$DB)+'Rate History'!$D$12*SUMIF(Data!$G:$G,Neutral!$A22,Data!$DC:$DC)+'Rate History'!$D$13*SUMIF(Data!$G:$G,Neutral!$A22,Data!$DD:$DD)+'Rate History'!$D$14*SUMIF(Data!$G:$G,Neutral!$A22,Data!$DE:$DE)+'Rate History'!$D$15*SUMIF(Data!$G:$G,Neutral!$A22,Data!$DF:$DF)+'Rate History'!$D$16*SUMIF(Data!$G:$G,Neutral!$A22,Data!$DG:$DG)+'Rate History'!$D$17*SUMIF(Data!$G:$G,Neutral!$A22,Data!$DH:$DH)+'Rate History'!$D$18*SUMIF(Data!$G:$G,Neutral!$A22,Data!$DI:$DI)+'Rate History'!$D$19*SUMIF(Data!$G:$G,Neutral!$A22,Data!$DJ:$DJ)+'Rate History'!$D$20*SUMIF(Data!$G:$G,Neutral!$A22,Data!$DK:$DK)+'Rate History'!$D$21*SUMIF(Data!$G:$G,Neutral!$A22,Data!$DL:$DL)+'Rate History'!$D$22*SUMIF(Data!$G:$G,Neutral!$A22,Data!$DM:$DM)+'Rate History'!$D$23*SUMIF(Data!$G:$G,Neutral!$A22,Data!$DN:$DN)+'Rate History'!$D$24*SUMIF(Data!$G:$G,Neutral!$A22,Data!$DO:$DO)+'Rate History'!$D$25*SUMIF(Data!$G:$G,Neutral!$A22,Data!$DP:$DP)+'Rate History'!$D$26*SUMIF(Data!$G:$G,Neutral!$A22,Data!$DQ:$DQ)+'Rate History'!$D$27*SUMIF(Data!$G:$G,Neutral!$A22,Data!$DR:$DR)+'Rate History'!$D$28*SUMIF(Data!$G:$G,Neutral!$A22,Data!$DS:$DS)+'Rate History'!$D$29*SUMIF(Data!$G:$G,Neutral!$A22,Data!$DT:$DT)+'Rate History'!$D$30*SUMIF(Data!$G:$G,Neutral!$A22,Data!$DV:$DV)+'Rate History'!$D$31*SUMIF(Data!$G:$G,Neutral!$A22,Data!$DW:$DW))</f>
        <v>1890508.9677698645</v>
      </c>
      <c r="C22" s="121">
        <f>$C$5*('Rate History'!$C$4*SUMIF(Data!$G:$G,Neutral!$A22,Data!$CU:$CU)+'Rate History'!$C$5*SUMIF(Data!$G:$G,Neutral!$A22,Data!$CV:$CV)+'Rate History'!$C$6*SUMIF(Data!$G:$G,Neutral!$A22,Data!$CW:$CW)+'Rate History'!$C$7*SUMIF(Data!$G:$G,Neutral!$A22,Data!$CX:$CX)+'Rate History'!$C$8*SUMIF(Data!$G:$G,Neutral!$A22,Data!$CY:$CY)+'Rate History'!$C$9*SUMIF(Data!$G:$G,Neutral!$A22,Data!$CZ:$CZ)+'Rate History'!$C$10*SUMIF(Data!$G:$G,Neutral!$A22,Data!$DA:$DA)+'Rate History'!$C$11*SUMIF(Data!$G:$G,Neutral!$A22,Data!$DB:$DB)+'Rate History'!$C$12*SUMIF(Data!$G:$G,Neutral!$A22,Data!$DC:$DC)+'Rate History'!$C$13*SUMIF(Data!$G:$G,Neutral!$A22,Data!$DD:$DD)+'Rate History'!$C$14*SUMIF(Data!$G:$G,Neutral!$A22,Data!$DE:$DE)+'Rate History'!$C$15*SUMIF(Data!$G:$G,Neutral!$A22,Data!$DF:$DF)+'Rate History'!$C$16*SUMIF(Data!$G:$G,Neutral!$A22,Data!$DG:$DG)+'Rate History'!$C$17*SUMIF(Data!$G:$G,Neutral!$A22,Data!$DH:$DH)+'Rate History'!$C$18*SUMIF(Data!$G:$G,Neutral!$A22,Data!$DI:$DI)+'Rate History'!$C$19*SUMIF(Data!$G:$G,Neutral!$A22,Data!$DJ:$DJ)+'Rate History'!$C$20*SUMIF(Data!$G:$G,Neutral!$A22,Data!$DK:$DK)+'Rate History'!$C$21*SUMIF(Data!$G:$G,Neutral!$A22,Data!$DL:$DL)+'Rate History'!$C$22*SUMIF(Data!$G:$G,Neutral!$A22,Data!$DM:$DM)+'Rate History'!$C$23*SUMIF(Data!$G:$G,Neutral!$A22,Data!$DN:$DN)+'Rate History'!$C$24*SUMIF(Data!$G:$G,Neutral!$A22,Data!$DO:$DO)+'Rate History'!$C$25*SUMIF(Data!$G:$G,Neutral!$A22,Data!$DP:$DP)+'Rate History'!$C$26*SUMIF(Data!$G:$G,Neutral!$A22,Data!$DQ:$DQ)+'Rate History'!$C$27*SUMIF(Data!$G:$G,Neutral!$A22,Data!$DR:$DR)+'Rate History'!$C$28*SUMIF(Data!$G:$G,Neutral!$A22,Data!$DS:$DS)+'Rate History'!$C$29*SUMIF(Data!$G:$G,Neutral!$A22,Data!$DT:$DT)+'Rate History'!$C$30*SUMIF(Data!$G:$G,Neutral!$A22,Data!$DV:$DV)+'Rate History'!$C$31*SUMIF(Data!$G:$G,Neutral!$A22,Data!$DW:$DW))</f>
        <v>1891076.6914896367</v>
      </c>
      <c r="D22" s="106">
        <f t="shared" si="1"/>
        <v>567.72371977218427</v>
      </c>
      <c r="E22" s="108">
        <f t="shared" si="0"/>
        <v>3.0030205063872218E-4</v>
      </c>
    </row>
    <row r="23" spans="1:5" x14ac:dyDescent="0.25">
      <c r="A23" s="101" t="s">
        <v>645</v>
      </c>
      <c r="B23" s="121">
        <f>$B$5*('Rate History'!$D$4*SUMIF(Data!$G:$G,Neutral!$A23,Data!$CU:$CU)+'Rate History'!$D$5*SUMIF(Data!$G:$G,Neutral!$A23,Data!$CV:$CV)+'Rate History'!$D$6*SUMIF(Data!$G:$G,Neutral!$A23,Data!$CW:$CW)+'Rate History'!$D$7*SUMIF(Data!$G:$G,Neutral!$A23,Data!$CX:$CX)+'Rate History'!$D$8*SUMIF(Data!$G:$G,Neutral!$A23,Data!$CY:$CY)+'Rate History'!$D$9*SUMIF(Data!$G:$G,Neutral!$A23,Data!$CZ:$CZ)+'Rate History'!$D$10*SUMIF(Data!$G:$G,Neutral!$A23,Data!$DA:$DA)+'Rate History'!$D$11*SUMIF(Data!$G:$G,Neutral!$A23,Data!$DB:$DB)+'Rate History'!$D$12*SUMIF(Data!$G:$G,Neutral!$A23,Data!$DC:$DC)+'Rate History'!$D$13*SUMIF(Data!$G:$G,Neutral!$A23,Data!$DD:$DD)+'Rate History'!$D$14*SUMIF(Data!$G:$G,Neutral!$A23,Data!$DE:$DE)+'Rate History'!$D$15*SUMIF(Data!$G:$G,Neutral!$A23,Data!$DF:$DF)+'Rate History'!$D$16*SUMIF(Data!$G:$G,Neutral!$A23,Data!$DG:$DG)+'Rate History'!$D$17*SUMIF(Data!$G:$G,Neutral!$A23,Data!$DH:$DH)+'Rate History'!$D$18*SUMIF(Data!$G:$G,Neutral!$A23,Data!$DI:$DI)+'Rate History'!$D$19*SUMIF(Data!$G:$G,Neutral!$A23,Data!$DJ:$DJ)+'Rate History'!$D$20*SUMIF(Data!$G:$G,Neutral!$A23,Data!$DK:$DK)+'Rate History'!$D$21*SUMIF(Data!$G:$G,Neutral!$A23,Data!$DL:$DL)+'Rate History'!$D$22*SUMIF(Data!$G:$G,Neutral!$A23,Data!$DM:$DM)+'Rate History'!$D$23*SUMIF(Data!$G:$G,Neutral!$A23,Data!$DN:$DN)+'Rate History'!$D$24*SUMIF(Data!$G:$G,Neutral!$A23,Data!$DO:$DO)+'Rate History'!$D$25*SUMIF(Data!$G:$G,Neutral!$A23,Data!$DP:$DP)+'Rate History'!$D$26*SUMIF(Data!$G:$G,Neutral!$A23,Data!$DQ:$DQ)+'Rate History'!$D$27*SUMIF(Data!$G:$G,Neutral!$A23,Data!$DR:$DR)+'Rate History'!$D$28*SUMIF(Data!$G:$G,Neutral!$A23,Data!$DS:$DS)+'Rate History'!$D$29*SUMIF(Data!$G:$G,Neutral!$A23,Data!$DT:$DT)+'Rate History'!$D$30*SUMIF(Data!$G:$G,Neutral!$A23,Data!$DV:$DV)+'Rate History'!$D$31*SUMIF(Data!$G:$G,Neutral!$A23,Data!$DW:$DW))</f>
        <v>3364754.1328341328</v>
      </c>
      <c r="C23" s="121">
        <f>$C$5*('Rate History'!$C$4*SUMIF(Data!$G:$G,Neutral!$A23,Data!$CU:$CU)+'Rate History'!$C$5*SUMIF(Data!$G:$G,Neutral!$A23,Data!$CV:$CV)+'Rate History'!$C$6*SUMIF(Data!$G:$G,Neutral!$A23,Data!$CW:$CW)+'Rate History'!$C$7*SUMIF(Data!$G:$G,Neutral!$A23,Data!$CX:$CX)+'Rate History'!$C$8*SUMIF(Data!$G:$G,Neutral!$A23,Data!$CY:$CY)+'Rate History'!$C$9*SUMIF(Data!$G:$G,Neutral!$A23,Data!$CZ:$CZ)+'Rate History'!$C$10*SUMIF(Data!$G:$G,Neutral!$A23,Data!$DA:$DA)+'Rate History'!$C$11*SUMIF(Data!$G:$G,Neutral!$A23,Data!$DB:$DB)+'Rate History'!$C$12*SUMIF(Data!$G:$G,Neutral!$A23,Data!$DC:$DC)+'Rate History'!$C$13*SUMIF(Data!$G:$G,Neutral!$A23,Data!$DD:$DD)+'Rate History'!$C$14*SUMIF(Data!$G:$G,Neutral!$A23,Data!$DE:$DE)+'Rate History'!$C$15*SUMIF(Data!$G:$G,Neutral!$A23,Data!$DF:$DF)+'Rate History'!$C$16*SUMIF(Data!$G:$G,Neutral!$A23,Data!$DG:$DG)+'Rate History'!$C$17*SUMIF(Data!$G:$G,Neutral!$A23,Data!$DH:$DH)+'Rate History'!$C$18*SUMIF(Data!$G:$G,Neutral!$A23,Data!$DI:$DI)+'Rate History'!$C$19*SUMIF(Data!$G:$G,Neutral!$A23,Data!$DJ:$DJ)+'Rate History'!$C$20*SUMIF(Data!$G:$G,Neutral!$A23,Data!$DK:$DK)+'Rate History'!$C$21*SUMIF(Data!$G:$G,Neutral!$A23,Data!$DL:$DL)+'Rate History'!$C$22*SUMIF(Data!$G:$G,Neutral!$A23,Data!$DM:$DM)+'Rate History'!$C$23*SUMIF(Data!$G:$G,Neutral!$A23,Data!$DN:$DN)+'Rate History'!$C$24*SUMIF(Data!$G:$G,Neutral!$A23,Data!$DO:$DO)+'Rate History'!$C$25*SUMIF(Data!$G:$G,Neutral!$A23,Data!$DP:$DP)+'Rate History'!$C$26*SUMIF(Data!$G:$G,Neutral!$A23,Data!$DQ:$DQ)+'Rate History'!$C$27*SUMIF(Data!$G:$G,Neutral!$A23,Data!$DR:$DR)+'Rate History'!$C$28*SUMIF(Data!$G:$G,Neutral!$A23,Data!$DS:$DS)+'Rate History'!$C$29*SUMIF(Data!$G:$G,Neutral!$A23,Data!$DT:$DT)+'Rate History'!$C$30*SUMIF(Data!$G:$G,Neutral!$A23,Data!$DV:$DV)+'Rate History'!$C$31*SUMIF(Data!$G:$G,Neutral!$A23,Data!$DW:$DW))</f>
        <v>3318604.3649130901</v>
      </c>
      <c r="D23" s="106">
        <f t="shared" si="1"/>
        <v>-46149.767921042629</v>
      </c>
      <c r="E23" s="108">
        <f t="shared" si="0"/>
        <v>-1.3715643431625917E-2</v>
      </c>
    </row>
    <row r="24" spans="1:5" x14ac:dyDescent="0.25">
      <c r="A24" s="101" t="s">
        <v>425</v>
      </c>
      <c r="B24" s="121">
        <f>$B$5*('Rate History'!$D$4*SUMIF(Data!$G:$G,Neutral!$A24,Data!$CU:$CU)+'Rate History'!$D$5*SUMIF(Data!$G:$G,Neutral!$A24,Data!$CV:$CV)+'Rate History'!$D$6*SUMIF(Data!$G:$G,Neutral!$A24,Data!$CW:$CW)+'Rate History'!$D$7*SUMIF(Data!$G:$G,Neutral!$A24,Data!$CX:$CX)+'Rate History'!$D$8*SUMIF(Data!$G:$G,Neutral!$A24,Data!$CY:$CY)+'Rate History'!$D$9*SUMIF(Data!$G:$G,Neutral!$A24,Data!$CZ:$CZ)+'Rate History'!$D$10*SUMIF(Data!$G:$G,Neutral!$A24,Data!$DA:$DA)+'Rate History'!$D$11*SUMIF(Data!$G:$G,Neutral!$A24,Data!$DB:$DB)+'Rate History'!$D$12*SUMIF(Data!$G:$G,Neutral!$A24,Data!$DC:$DC)+'Rate History'!$D$13*SUMIF(Data!$G:$G,Neutral!$A24,Data!$DD:$DD)+'Rate History'!$D$14*SUMIF(Data!$G:$G,Neutral!$A24,Data!$DE:$DE)+'Rate History'!$D$15*SUMIF(Data!$G:$G,Neutral!$A24,Data!$DF:$DF)+'Rate History'!$D$16*SUMIF(Data!$G:$G,Neutral!$A24,Data!$DG:$DG)+'Rate History'!$D$17*SUMIF(Data!$G:$G,Neutral!$A24,Data!$DH:$DH)+'Rate History'!$D$18*SUMIF(Data!$G:$G,Neutral!$A24,Data!$DI:$DI)+'Rate History'!$D$19*SUMIF(Data!$G:$G,Neutral!$A24,Data!$DJ:$DJ)+'Rate History'!$D$20*SUMIF(Data!$G:$G,Neutral!$A24,Data!$DK:$DK)+'Rate History'!$D$21*SUMIF(Data!$G:$G,Neutral!$A24,Data!$DL:$DL)+'Rate History'!$D$22*SUMIF(Data!$G:$G,Neutral!$A24,Data!$DM:$DM)+'Rate History'!$D$23*SUMIF(Data!$G:$G,Neutral!$A24,Data!$DN:$DN)+'Rate History'!$D$24*SUMIF(Data!$G:$G,Neutral!$A24,Data!$DO:$DO)+'Rate History'!$D$25*SUMIF(Data!$G:$G,Neutral!$A24,Data!$DP:$DP)+'Rate History'!$D$26*SUMIF(Data!$G:$G,Neutral!$A24,Data!$DQ:$DQ)+'Rate History'!$D$27*SUMIF(Data!$G:$G,Neutral!$A24,Data!$DR:$DR)+'Rate History'!$D$28*SUMIF(Data!$G:$G,Neutral!$A24,Data!$DS:$DS)+'Rate History'!$D$29*SUMIF(Data!$G:$G,Neutral!$A24,Data!$DT:$DT)+'Rate History'!$D$30*SUMIF(Data!$G:$G,Neutral!$A24,Data!$DV:$DV)+'Rate History'!$D$31*SUMIF(Data!$G:$G,Neutral!$A24,Data!$DW:$DW))</f>
        <v>8063202.5594775295</v>
      </c>
      <c r="C24" s="121">
        <f>$C$5*('Rate History'!$C$4*SUMIF(Data!$G:$G,Neutral!$A24,Data!$CU:$CU)+'Rate History'!$C$5*SUMIF(Data!$G:$G,Neutral!$A24,Data!$CV:$CV)+'Rate History'!$C$6*SUMIF(Data!$G:$G,Neutral!$A24,Data!$CW:$CW)+'Rate History'!$C$7*SUMIF(Data!$G:$G,Neutral!$A24,Data!$CX:$CX)+'Rate History'!$C$8*SUMIF(Data!$G:$G,Neutral!$A24,Data!$CY:$CY)+'Rate History'!$C$9*SUMIF(Data!$G:$G,Neutral!$A24,Data!$CZ:$CZ)+'Rate History'!$C$10*SUMIF(Data!$G:$G,Neutral!$A24,Data!$DA:$DA)+'Rate History'!$C$11*SUMIF(Data!$G:$G,Neutral!$A24,Data!$DB:$DB)+'Rate History'!$C$12*SUMIF(Data!$G:$G,Neutral!$A24,Data!$DC:$DC)+'Rate History'!$C$13*SUMIF(Data!$G:$G,Neutral!$A24,Data!$DD:$DD)+'Rate History'!$C$14*SUMIF(Data!$G:$G,Neutral!$A24,Data!$DE:$DE)+'Rate History'!$C$15*SUMIF(Data!$G:$G,Neutral!$A24,Data!$DF:$DF)+'Rate History'!$C$16*SUMIF(Data!$G:$G,Neutral!$A24,Data!$DG:$DG)+'Rate History'!$C$17*SUMIF(Data!$G:$G,Neutral!$A24,Data!$DH:$DH)+'Rate History'!$C$18*SUMIF(Data!$G:$G,Neutral!$A24,Data!$DI:$DI)+'Rate History'!$C$19*SUMIF(Data!$G:$G,Neutral!$A24,Data!$DJ:$DJ)+'Rate History'!$C$20*SUMIF(Data!$G:$G,Neutral!$A24,Data!$DK:$DK)+'Rate History'!$C$21*SUMIF(Data!$G:$G,Neutral!$A24,Data!$DL:$DL)+'Rate History'!$C$22*SUMIF(Data!$G:$G,Neutral!$A24,Data!$DM:$DM)+'Rate History'!$C$23*SUMIF(Data!$G:$G,Neutral!$A24,Data!$DN:$DN)+'Rate History'!$C$24*SUMIF(Data!$G:$G,Neutral!$A24,Data!$DO:$DO)+'Rate History'!$C$25*SUMIF(Data!$G:$G,Neutral!$A24,Data!$DP:$DP)+'Rate History'!$C$26*SUMIF(Data!$G:$G,Neutral!$A24,Data!$DQ:$DQ)+'Rate History'!$C$27*SUMIF(Data!$G:$G,Neutral!$A24,Data!$DR:$DR)+'Rate History'!$C$28*SUMIF(Data!$G:$G,Neutral!$A24,Data!$DS:$DS)+'Rate History'!$C$29*SUMIF(Data!$G:$G,Neutral!$A24,Data!$DT:$DT)+'Rate History'!$C$30*SUMIF(Data!$G:$G,Neutral!$A24,Data!$DV:$DV)+'Rate History'!$C$31*SUMIF(Data!$G:$G,Neutral!$A24,Data!$DW:$DW))</f>
        <v>7741945.3297530832</v>
      </c>
      <c r="D24" s="106">
        <f t="shared" si="1"/>
        <v>-321257.22972444631</v>
      </c>
      <c r="E24" s="108">
        <f t="shared" si="0"/>
        <v>-3.9842386118260034E-2</v>
      </c>
    </row>
    <row r="25" spans="1:5" x14ac:dyDescent="0.25">
      <c r="A25" s="101" t="s">
        <v>442</v>
      </c>
      <c r="B25" s="121">
        <f>$B$5*('Rate History'!$D$4*SUMIF(Data!$G:$G,Neutral!$A25,Data!$CU:$CU)+'Rate History'!$D$5*SUMIF(Data!$G:$G,Neutral!$A25,Data!$CV:$CV)+'Rate History'!$D$6*SUMIF(Data!$G:$G,Neutral!$A25,Data!$CW:$CW)+'Rate History'!$D$7*SUMIF(Data!$G:$G,Neutral!$A25,Data!$CX:$CX)+'Rate History'!$D$8*SUMIF(Data!$G:$G,Neutral!$A25,Data!$CY:$CY)+'Rate History'!$D$9*SUMIF(Data!$G:$G,Neutral!$A25,Data!$CZ:$CZ)+'Rate History'!$D$10*SUMIF(Data!$G:$G,Neutral!$A25,Data!$DA:$DA)+'Rate History'!$D$11*SUMIF(Data!$G:$G,Neutral!$A25,Data!$DB:$DB)+'Rate History'!$D$12*SUMIF(Data!$G:$G,Neutral!$A25,Data!$DC:$DC)+'Rate History'!$D$13*SUMIF(Data!$G:$G,Neutral!$A25,Data!$DD:$DD)+'Rate History'!$D$14*SUMIF(Data!$G:$G,Neutral!$A25,Data!$DE:$DE)+'Rate History'!$D$15*SUMIF(Data!$G:$G,Neutral!$A25,Data!$DF:$DF)+'Rate History'!$D$16*SUMIF(Data!$G:$G,Neutral!$A25,Data!$DG:$DG)+'Rate History'!$D$17*SUMIF(Data!$G:$G,Neutral!$A25,Data!$DH:$DH)+'Rate History'!$D$18*SUMIF(Data!$G:$G,Neutral!$A25,Data!$DI:$DI)+'Rate History'!$D$19*SUMIF(Data!$G:$G,Neutral!$A25,Data!$DJ:$DJ)+'Rate History'!$D$20*SUMIF(Data!$G:$G,Neutral!$A25,Data!$DK:$DK)+'Rate History'!$D$21*SUMIF(Data!$G:$G,Neutral!$A25,Data!$DL:$DL)+'Rate History'!$D$22*SUMIF(Data!$G:$G,Neutral!$A25,Data!$DM:$DM)+'Rate History'!$D$23*SUMIF(Data!$G:$G,Neutral!$A25,Data!$DN:$DN)+'Rate History'!$D$24*SUMIF(Data!$G:$G,Neutral!$A25,Data!$DO:$DO)+'Rate History'!$D$25*SUMIF(Data!$G:$G,Neutral!$A25,Data!$DP:$DP)+'Rate History'!$D$26*SUMIF(Data!$G:$G,Neutral!$A25,Data!$DQ:$DQ)+'Rate History'!$D$27*SUMIF(Data!$G:$G,Neutral!$A25,Data!$DR:$DR)+'Rate History'!$D$28*SUMIF(Data!$G:$G,Neutral!$A25,Data!$DS:$DS)+'Rate History'!$D$29*SUMIF(Data!$G:$G,Neutral!$A25,Data!$DT:$DT)+'Rate History'!$D$30*SUMIF(Data!$G:$G,Neutral!$A25,Data!$DV:$DV)+'Rate History'!$D$31*SUMIF(Data!$G:$G,Neutral!$A25,Data!$DW:$DW))</f>
        <v>6919467.8127480736</v>
      </c>
      <c r="C25" s="121">
        <f>$C$5*('Rate History'!$C$4*SUMIF(Data!$G:$G,Neutral!$A25,Data!$CU:$CU)+'Rate History'!$C$5*SUMIF(Data!$G:$G,Neutral!$A25,Data!$CV:$CV)+'Rate History'!$C$6*SUMIF(Data!$G:$G,Neutral!$A25,Data!$CW:$CW)+'Rate History'!$C$7*SUMIF(Data!$G:$G,Neutral!$A25,Data!$CX:$CX)+'Rate History'!$C$8*SUMIF(Data!$G:$G,Neutral!$A25,Data!$CY:$CY)+'Rate History'!$C$9*SUMIF(Data!$G:$G,Neutral!$A25,Data!$CZ:$CZ)+'Rate History'!$C$10*SUMIF(Data!$G:$G,Neutral!$A25,Data!$DA:$DA)+'Rate History'!$C$11*SUMIF(Data!$G:$G,Neutral!$A25,Data!$DB:$DB)+'Rate History'!$C$12*SUMIF(Data!$G:$G,Neutral!$A25,Data!$DC:$DC)+'Rate History'!$C$13*SUMIF(Data!$G:$G,Neutral!$A25,Data!$DD:$DD)+'Rate History'!$C$14*SUMIF(Data!$G:$G,Neutral!$A25,Data!$DE:$DE)+'Rate History'!$C$15*SUMIF(Data!$G:$G,Neutral!$A25,Data!$DF:$DF)+'Rate History'!$C$16*SUMIF(Data!$G:$G,Neutral!$A25,Data!$DG:$DG)+'Rate History'!$C$17*SUMIF(Data!$G:$G,Neutral!$A25,Data!$DH:$DH)+'Rate History'!$C$18*SUMIF(Data!$G:$G,Neutral!$A25,Data!$DI:$DI)+'Rate History'!$C$19*SUMIF(Data!$G:$G,Neutral!$A25,Data!$DJ:$DJ)+'Rate History'!$C$20*SUMIF(Data!$G:$G,Neutral!$A25,Data!$DK:$DK)+'Rate History'!$C$21*SUMIF(Data!$G:$G,Neutral!$A25,Data!$DL:$DL)+'Rate History'!$C$22*SUMIF(Data!$G:$G,Neutral!$A25,Data!$DM:$DM)+'Rate History'!$C$23*SUMIF(Data!$G:$G,Neutral!$A25,Data!$DN:$DN)+'Rate History'!$C$24*SUMIF(Data!$G:$G,Neutral!$A25,Data!$DO:$DO)+'Rate History'!$C$25*SUMIF(Data!$G:$G,Neutral!$A25,Data!$DP:$DP)+'Rate History'!$C$26*SUMIF(Data!$G:$G,Neutral!$A25,Data!$DQ:$DQ)+'Rate History'!$C$27*SUMIF(Data!$G:$G,Neutral!$A25,Data!$DR:$DR)+'Rate History'!$C$28*SUMIF(Data!$G:$G,Neutral!$A25,Data!$DS:$DS)+'Rate History'!$C$29*SUMIF(Data!$G:$G,Neutral!$A25,Data!$DT:$DT)+'Rate History'!$C$30*SUMIF(Data!$G:$G,Neutral!$A25,Data!$DV:$DV)+'Rate History'!$C$31*SUMIF(Data!$G:$G,Neutral!$A25,Data!$DW:$DW))</f>
        <v>6726448.5441839444</v>
      </c>
      <c r="D25" s="106">
        <f t="shared" si="1"/>
        <v>-193019.26856412925</v>
      </c>
      <c r="E25" s="108">
        <f t="shared" si="0"/>
        <v>-2.7895103176651885E-2</v>
      </c>
    </row>
    <row r="26" spans="1:5" x14ac:dyDescent="0.25">
      <c r="A26" s="101" t="s">
        <v>713</v>
      </c>
      <c r="B26" s="121">
        <f>$B$5*('Rate History'!$D$4*SUMIF(Data!$G:$G,Neutral!$A26,Data!$CU:$CU)+'Rate History'!$D$5*SUMIF(Data!$G:$G,Neutral!$A26,Data!$CV:$CV)+'Rate History'!$D$6*SUMIF(Data!$G:$G,Neutral!$A26,Data!$CW:$CW)+'Rate History'!$D$7*SUMIF(Data!$G:$G,Neutral!$A26,Data!$CX:$CX)+'Rate History'!$D$8*SUMIF(Data!$G:$G,Neutral!$A26,Data!$CY:$CY)+'Rate History'!$D$9*SUMIF(Data!$G:$G,Neutral!$A26,Data!$CZ:$CZ)+'Rate History'!$D$10*SUMIF(Data!$G:$G,Neutral!$A26,Data!$DA:$DA)+'Rate History'!$D$11*SUMIF(Data!$G:$G,Neutral!$A26,Data!$DB:$DB)+'Rate History'!$D$12*SUMIF(Data!$G:$G,Neutral!$A26,Data!$DC:$DC)+'Rate History'!$D$13*SUMIF(Data!$G:$G,Neutral!$A26,Data!$DD:$DD)+'Rate History'!$D$14*SUMIF(Data!$G:$G,Neutral!$A26,Data!$DE:$DE)+'Rate History'!$D$15*SUMIF(Data!$G:$G,Neutral!$A26,Data!$DF:$DF)+'Rate History'!$D$16*SUMIF(Data!$G:$G,Neutral!$A26,Data!$DG:$DG)+'Rate History'!$D$17*SUMIF(Data!$G:$G,Neutral!$A26,Data!$DH:$DH)+'Rate History'!$D$18*SUMIF(Data!$G:$G,Neutral!$A26,Data!$DI:$DI)+'Rate History'!$D$19*SUMIF(Data!$G:$G,Neutral!$A26,Data!$DJ:$DJ)+'Rate History'!$D$20*SUMIF(Data!$G:$G,Neutral!$A26,Data!$DK:$DK)+'Rate History'!$D$21*SUMIF(Data!$G:$G,Neutral!$A26,Data!$DL:$DL)+'Rate History'!$D$22*SUMIF(Data!$G:$G,Neutral!$A26,Data!$DM:$DM)+'Rate History'!$D$23*SUMIF(Data!$G:$G,Neutral!$A26,Data!$DN:$DN)+'Rate History'!$D$24*SUMIF(Data!$G:$G,Neutral!$A26,Data!$DO:$DO)+'Rate History'!$D$25*SUMIF(Data!$G:$G,Neutral!$A26,Data!$DP:$DP)+'Rate History'!$D$26*SUMIF(Data!$G:$G,Neutral!$A26,Data!$DQ:$DQ)+'Rate History'!$D$27*SUMIF(Data!$G:$G,Neutral!$A26,Data!$DR:$DR)+'Rate History'!$D$28*SUMIF(Data!$G:$G,Neutral!$A26,Data!$DS:$DS)+'Rate History'!$D$29*SUMIF(Data!$G:$G,Neutral!$A26,Data!$DT:$DT)+'Rate History'!$D$30*SUMIF(Data!$G:$G,Neutral!$A26,Data!$DV:$DV)+'Rate History'!$D$31*SUMIF(Data!$G:$G,Neutral!$A26,Data!$DW:$DW))</f>
        <v>67257200.925351337</v>
      </c>
      <c r="C26" s="121">
        <f>$C$5*('Rate History'!$C$4*SUMIF(Data!$G:$G,Neutral!$A26,Data!$CU:$CU)+'Rate History'!$C$5*SUMIF(Data!$G:$G,Neutral!$A26,Data!$CV:$CV)+'Rate History'!$C$6*SUMIF(Data!$G:$G,Neutral!$A26,Data!$CW:$CW)+'Rate History'!$C$7*SUMIF(Data!$G:$G,Neutral!$A26,Data!$CX:$CX)+'Rate History'!$C$8*SUMIF(Data!$G:$G,Neutral!$A26,Data!$CY:$CY)+'Rate History'!$C$9*SUMIF(Data!$G:$G,Neutral!$A26,Data!$CZ:$CZ)+'Rate History'!$C$10*SUMIF(Data!$G:$G,Neutral!$A26,Data!$DA:$DA)+'Rate History'!$C$11*SUMIF(Data!$G:$G,Neutral!$A26,Data!$DB:$DB)+'Rate History'!$C$12*SUMIF(Data!$G:$G,Neutral!$A26,Data!$DC:$DC)+'Rate History'!$C$13*SUMIF(Data!$G:$G,Neutral!$A26,Data!$DD:$DD)+'Rate History'!$C$14*SUMIF(Data!$G:$G,Neutral!$A26,Data!$DE:$DE)+'Rate History'!$C$15*SUMIF(Data!$G:$G,Neutral!$A26,Data!$DF:$DF)+'Rate History'!$C$16*SUMIF(Data!$G:$G,Neutral!$A26,Data!$DG:$DG)+'Rate History'!$C$17*SUMIF(Data!$G:$G,Neutral!$A26,Data!$DH:$DH)+'Rate History'!$C$18*SUMIF(Data!$G:$G,Neutral!$A26,Data!$DI:$DI)+'Rate History'!$C$19*SUMIF(Data!$G:$G,Neutral!$A26,Data!$DJ:$DJ)+'Rate History'!$C$20*SUMIF(Data!$G:$G,Neutral!$A26,Data!$DK:$DK)+'Rate History'!$C$21*SUMIF(Data!$G:$G,Neutral!$A26,Data!$DL:$DL)+'Rate History'!$C$22*SUMIF(Data!$G:$G,Neutral!$A26,Data!$DM:$DM)+'Rate History'!$C$23*SUMIF(Data!$G:$G,Neutral!$A26,Data!$DN:$DN)+'Rate History'!$C$24*SUMIF(Data!$G:$G,Neutral!$A26,Data!$DO:$DO)+'Rate History'!$C$25*SUMIF(Data!$G:$G,Neutral!$A26,Data!$DP:$DP)+'Rate History'!$C$26*SUMIF(Data!$G:$G,Neutral!$A26,Data!$DQ:$DQ)+'Rate History'!$C$27*SUMIF(Data!$G:$G,Neutral!$A26,Data!$DR:$DR)+'Rate History'!$C$28*SUMIF(Data!$G:$G,Neutral!$A26,Data!$DS:$DS)+'Rate History'!$C$29*SUMIF(Data!$G:$G,Neutral!$A26,Data!$DT:$DT)+'Rate History'!$C$30*SUMIF(Data!$G:$G,Neutral!$A26,Data!$DV:$DV)+'Rate History'!$C$31*SUMIF(Data!$G:$G,Neutral!$A26,Data!$DW:$DW))</f>
        <v>71188231.083938733</v>
      </c>
      <c r="D26" s="106">
        <f t="shared" si="1"/>
        <v>3931030.1585873961</v>
      </c>
      <c r="E26" s="108">
        <f t="shared" si="0"/>
        <v>5.8447721649172411E-2</v>
      </c>
    </row>
    <row r="27" spans="1:5" x14ac:dyDescent="0.25">
      <c r="A27" s="101" t="s">
        <v>450</v>
      </c>
      <c r="B27" s="121">
        <f>$B$5*('Rate History'!$D$4*SUMIF(Data!$G:$G,Neutral!$A27,Data!$CU:$CU)+'Rate History'!$D$5*SUMIF(Data!$G:$G,Neutral!$A27,Data!$CV:$CV)+'Rate History'!$D$6*SUMIF(Data!$G:$G,Neutral!$A27,Data!$CW:$CW)+'Rate History'!$D$7*SUMIF(Data!$G:$G,Neutral!$A27,Data!$CX:$CX)+'Rate History'!$D$8*SUMIF(Data!$G:$G,Neutral!$A27,Data!$CY:$CY)+'Rate History'!$D$9*SUMIF(Data!$G:$G,Neutral!$A27,Data!$CZ:$CZ)+'Rate History'!$D$10*SUMIF(Data!$G:$G,Neutral!$A27,Data!$DA:$DA)+'Rate History'!$D$11*SUMIF(Data!$G:$G,Neutral!$A27,Data!$DB:$DB)+'Rate History'!$D$12*SUMIF(Data!$G:$G,Neutral!$A27,Data!$DC:$DC)+'Rate History'!$D$13*SUMIF(Data!$G:$G,Neutral!$A27,Data!$DD:$DD)+'Rate History'!$D$14*SUMIF(Data!$G:$G,Neutral!$A27,Data!$DE:$DE)+'Rate History'!$D$15*SUMIF(Data!$G:$G,Neutral!$A27,Data!$DF:$DF)+'Rate History'!$D$16*SUMIF(Data!$G:$G,Neutral!$A27,Data!$DG:$DG)+'Rate History'!$D$17*SUMIF(Data!$G:$G,Neutral!$A27,Data!$DH:$DH)+'Rate History'!$D$18*SUMIF(Data!$G:$G,Neutral!$A27,Data!$DI:$DI)+'Rate History'!$D$19*SUMIF(Data!$G:$G,Neutral!$A27,Data!$DJ:$DJ)+'Rate History'!$D$20*SUMIF(Data!$G:$G,Neutral!$A27,Data!$DK:$DK)+'Rate History'!$D$21*SUMIF(Data!$G:$G,Neutral!$A27,Data!$DL:$DL)+'Rate History'!$D$22*SUMIF(Data!$G:$G,Neutral!$A27,Data!$DM:$DM)+'Rate History'!$D$23*SUMIF(Data!$G:$G,Neutral!$A27,Data!$DN:$DN)+'Rate History'!$D$24*SUMIF(Data!$G:$G,Neutral!$A27,Data!$DO:$DO)+'Rate History'!$D$25*SUMIF(Data!$G:$G,Neutral!$A27,Data!$DP:$DP)+'Rate History'!$D$26*SUMIF(Data!$G:$G,Neutral!$A27,Data!$DQ:$DQ)+'Rate History'!$D$27*SUMIF(Data!$G:$G,Neutral!$A27,Data!$DR:$DR)+'Rate History'!$D$28*SUMIF(Data!$G:$G,Neutral!$A27,Data!$DS:$DS)+'Rate History'!$D$29*SUMIF(Data!$G:$G,Neutral!$A27,Data!$DT:$DT)+'Rate History'!$D$30*SUMIF(Data!$G:$G,Neutral!$A27,Data!$DV:$DV)+'Rate History'!$D$31*SUMIF(Data!$G:$G,Neutral!$A27,Data!$DW:$DW))</f>
        <v>8291654.550701282</v>
      </c>
      <c r="C27" s="121">
        <f>$C$5*('Rate History'!$C$4*SUMIF(Data!$G:$G,Neutral!$A27,Data!$CU:$CU)+'Rate History'!$C$5*SUMIF(Data!$G:$G,Neutral!$A27,Data!$CV:$CV)+'Rate History'!$C$6*SUMIF(Data!$G:$G,Neutral!$A27,Data!$CW:$CW)+'Rate History'!$C$7*SUMIF(Data!$G:$G,Neutral!$A27,Data!$CX:$CX)+'Rate History'!$C$8*SUMIF(Data!$G:$G,Neutral!$A27,Data!$CY:$CY)+'Rate History'!$C$9*SUMIF(Data!$G:$G,Neutral!$A27,Data!$CZ:$CZ)+'Rate History'!$C$10*SUMIF(Data!$G:$G,Neutral!$A27,Data!$DA:$DA)+'Rate History'!$C$11*SUMIF(Data!$G:$G,Neutral!$A27,Data!$DB:$DB)+'Rate History'!$C$12*SUMIF(Data!$G:$G,Neutral!$A27,Data!$DC:$DC)+'Rate History'!$C$13*SUMIF(Data!$G:$G,Neutral!$A27,Data!$DD:$DD)+'Rate History'!$C$14*SUMIF(Data!$G:$G,Neutral!$A27,Data!$DE:$DE)+'Rate History'!$C$15*SUMIF(Data!$G:$G,Neutral!$A27,Data!$DF:$DF)+'Rate History'!$C$16*SUMIF(Data!$G:$G,Neutral!$A27,Data!$DG:$DG)+'Rate History'!$C$17*SUMIF(Data!$G:$G,Neutral!$A27,Data!$DH:$DH)+'Rate History'!$C$18*SUMIF(Data!$G:$G,Neutral!$A27,Data!$DI:$DI)+'Rate History'!$C$19*SUMIF(Data!$G:$G,Neutral!$A27,Data!$DJ:$DJ)+'Rate History'!$C$20*SUMIF(Data!$G:$G,Neutral!$A27,Data!$DK:$DK)+'Rate History'!$C$21*SUMIF(Data!$G:$G,Neutral!$A27,Data!$DL:$DL)+'Rate History'!$C$22*SUMIF(Data!$G:$G,Neutral!$A27,Data!$DM:$DM)+'Rate History'!$C$23*SUMIF(Data!$G:$G,Neutral!$A27,Data!$DN:$DN)+'Rate History'!$C$24*SUMIF(Data!$G:$G,Neutral!$A27,Data!$DO:$DO)+'Rate History'!$C$25*SUMIF(Data!$G:$G,Neutral!$A27,Data!$DP:$DP)+'Rate History'!$C$26*SUMIF(Data!$G:$G,Neutral!$A27,Data!$DQ:$DQ)+'Rate History'!$C$27*SUMIF(Data!$G:$G,Neutral!$A27,Data!$DR:$DR)+'Rate History'!$C$28*SUMIF(Data!$G:$G,Neutral!$A27,Data!$DS:$DS)+'Rate History'!$C$29*SUMIF(Data!$G:$G,Neutral!$A27,Data!$DT:$DT)+'Rate History'!$C$30*SUMIF(Data!$G:$G,Neutral!$A27,Data!$DV:$DV)+'Rate History'!$C$31*SUMIF(Data!$G:$G,Neutral!$A27,Data!$DW:$DW))</f>
        <v>7890141.2220358532</v>
      </c>
      <c r="D27" s="106">
        <f t="shared" si="1"/>
        <v>-401513.32866542879</v>
      </c>
      <c r="E27" s="108">
        <f t="shared" si="0"/>
        <v>-4.8423788787904827E-2</v>
      </c>
    </row>
    <row r="28" spans="1:5" x14ac:dyDescent="0.25">
      <c r="A28" s="101" t="s">
        <v>458</v>
      </c>
      <c r="B28" s="121">
        <f>$B$5*('Rate History'!$D$4*SUMIF(Data!$G:$G,Neutral!$A28,Data!$CU:$CU)+'Rate History'!$D$5*SUMIF(Data!$G:$G,Neutral!$A28,Data!$CV:$CV)+'Rate History'!$D$6*SUMIF(Data!$G:$G,Neutral!$A28,Data!$CW:$CW)+'Rate History'!$D$7*SUMIF(Data!$G:$G,Neutral!$A28,Data!$CX:$CX)+'Rate History'!$D$8*SUMIF(Data!$G:$G,Neutral!$A28,Data!$CY:$CY)+'Rate History'!$D$9*SUMIF(Data!$G:$G,Neutral!$A28,Data!$CZ:$CZ)+'Rate History'!$D$10*SUMIF(Data!$G:$G,Neutral!$A28,Data!$DA:$DA)+'Rate History'!$D$11*SUMIF(Data!$G:$G,Neutral!$A28,Data!$DB:$DB)+'Rate History'!$D$12*SUMIF(Data!$G:$G,Neutral!$A28,Data!$DC:$DC)+'Rate History'!$D$13*SUMIF(Data!$G:$G,Neutral!$A28,Data!$DD:$DD)+'Rate History'!$D$14*SUMIF(Data!$G:$G,Neutral!$A28,Data!$DE:$DE)+'Rate History'!$D$15*SUMIF(Data!$G:$G,Neutral!$A28,Data!$DF:$DF)+'Rate History'!$D$16*SUMIF(Data!$G:$G,Neutral!$A28,Data!$DG:$DG)+'Rate History'!$D$17*SUMIF(Data!$G:$G,Neutral!$A28,Data!$DH:$DH)+'Rate History'!$D$18*SUMIF(Data!$G:$G,Neutral!$A28,Data!$DI:$DI)+'Rate History'!$D$19*SUMIF(Data!$G:$G,Neutral!$A28,Data!$DJ:$DJ)+'Rate History'!$D$20*SUMIF(Data!$G:$G,Neutral!$A28,Data!$DK:$DK)+'Rate History'!$D$21*SUMIF(Data!$G:$G,Neutral!$A28,Data!$DL:$DL)+'Rate History'!$D$22*SUMIF(Data!$G:$G,Neutral!$A28,Data!$DM:$DM)+'Rate History'!$D$23*SUMIF(Data!$G:$G,Neutral!$A28,Data!$DN:$DN)+'Rate History'!$D$24*SUMIF(Data!$G:$G,Neutral!$A28,Data!$DO:$DO)+'Rate History'!$D$25*SUMIF(Data!$G:$G,Neutral!$A28,Data!$DP:$DP)+'Rate History'!$D$26*SUMIF(Data!$G:$G,Neutral!$A28,Data!$DQ:$DQ)+'Rate History'!$D$27*SUMIF(Data!$G:$G,Neutral!$A28,Data!$DR:$DR)+'Rate History'!$D$28*SUMIF(Data!$G:$G,Neutral!$A28,Data!$DS:$DS)+'Rate History'!$D$29*SUMIF(Data!$G:$G,Neutral!$A28,Data!$DT:$DT)+'Rate History'!$D$30*SUMIF(Data!$G:$G,Neutral!$A28,Data!$DV:$DV)+'Rate History'!$D$31*SUMIF(Data!$G:$G,Neutral!$A28,Data!$DW:$DW))</f>
        <v>11356533.713354344</v>
      </c>
      <c r="C28" s="121">
        <f>$C$5*('Rate History'!$C$4*SUMIF(Data!$G:$G,Neutral!$A28,Data!$CU:$CU)+'Rate History'!$C$5*SUMIF(Data!$G:$G,Neutral!$A28,Data!$CV:$CV)+'Rate History'!$C$6*SUMIF(Data!$G:$G,Neutral!$A28,Data!$CW:$CW)+'Rate History'!$C$7*SUMIF(Data!$G:$G,Neutral!$A28,Data!$CX:$CX)+'Rate History'!$C$8*SUMIF(Data!$G:$G,Neutral!$A28,Data!$CY:$CY)+'Rate History'!$C$9*SUMIF(Data!$G:$G,Neutral!$A28,Data!$CZ:$CZ)+'Rate History'!$C$10*SUMIF(Data!$G:$G,Neutral!$A28,Data!$DA:$DA)+'Rate History'!$C$11*SUMIF(Data!$G:$G,Neutral!$A28,Data!$DB:$DB)+'Rate History'!$C$12*SUMIF(Data!$G:$G,Neutral!$A28,Data!$DC:$DC)+'Rate History'!$C$13*SUMIF(Data!$G:$G,Neutral!$A28,Data!$DD:$DD)+'Rate History'!$C$14*SUMIF(Data!$G:$G,Neutral!$A28,Data!$DE:$DE)+'Rate History'!$C$15*SUMIF(Data!$G:$G,Neutral!$A28,Data!$DF:$DF)+'Rate History'!$C$16*SUMIF(Data!$G:$G,Neutral!$A28,Data!$DG:$DG)+'Rate History'!$C$17*SUMIF(Data!$G:$G,Neutral!$A28,Data!$DH:$DH)+'Rate History'!$C$18*SUMIF(Data!$G:$G,Neutral!$A28,Data!$DI:$DI)+'Rate History'!$C$19*SUMIF(Data!$G:$G,Neutral!$A28,Data!$DJ:$DJ)+'Rate History'!$C$20*SUMIF(Data!$G:$G,Neutral!$A28,Data!$DK:$DK)+'Rate History'!$C$21*SUMIF(Data!$G:$G,Neutral!$A28,Data!$DL:$DL)+'Rate History'!$C$22*SUMIF(Data!$G:$G,Neutral!$A28,Data!$DM:$DM)+'Rate History'!$C$23*SUMIF(Data!$G:$G,Neutral!$A28,Data!$DN:$DN)+'Rate History'!$C$24*SUMIF(Data!$G:$G,Neutral!$A28,Data!$DO:$DO)+'Rate History'!$C$25*SUMIF(Data!$G:$G,Neutral!$A28,Data!$DP:$DP)+'Rate History'!$C$26*SUMIF(Data!$G:$G,Neutral!$A28,Data!$DQ:$DQ)+'Rate History'!$C$27*SUMIF(Data!$G:$G,Neutral!$A28,Data!$DR:$DR)+'Rate History'!$C$28*SUMIF(Data!$G:$G,Neutral!$A28,Data!$DS:$DS)+'Rate History'!$C$29*SUMIF(Data!$G:$G,Neutral!$A28,Data!$DT:$DT)+'Rate History'!$C$30*SUMIF(Data!$G:$G,Neutral!$A28,Data!$DV:$DV)+'Rate History'!$C$31*SUMIF(Data!$G:$G,Neutral!$A28,Data!$DW:$DW))</f>
        <v>11126501.518021833</v>
      </c>
      <c r="D28" s="106">
        <f t="shared" si="1"/>
        <v>-230032.1953325104</v>
      </c>
      <c r="E28" s="108">
        <f t="shared" si="0"/>
        <v>-2.0255493545712065E-2</v>
      </c>
    </row>
    <row r="29" spans="1:5" x14ac:dyDescent="0.25">
      <c r="A29" s="101" t="s">
        <v>466</v>
      </c>
      <c r="B29" s="121">
        <f>$B$5*('Rate History'!$D$4*SUMIF(Data!$G:$G,Neutral!$A29,Data!$CU:$CU)+'Rate History'!$D$5*SUMIF(Data!$G:$G,Neutral!$A29,Data!$CV:$CV)+'Rate History'!$D$6*SUMIF(Data!$G:$G,Neutral!$A29,Data!$CW:$CW)+'Rate History'!$D$7*SUMIF(Data!$G:$G,Neutral!$A29,Data!$CX:$CX)+'Rate History'!$D$8*SUMIF(Data!$G:$G,Neutral!$A29,Data!$CY:$CY)+'Rate History'!$D$9*SUMIF(Data!$G:$G,Neutral!$A29,Data!$CZ:$CZ)+'Rate History'!$D$10*SUMIF(Data!$G:$G,Neutral!$A29,Data!$DA:$DA)+'Rate History'!$D$11*SUMIF(Data!$G:$G,Neutral!$A29,Data!$DB:$DB)+'Rate History'!$D$12*SUMIF(Data!$G:$G,Neutral!$A29,Data!$DC:$DC)+'Rate History'!$D$13*SUMIF(Data!$G:$G,Neutral!$A29,Data!$DD:$DD)+'Rate History'!$D$14*SUMIF(Data!$G:$G,Neutral!$A29,Data!$DE:$DE)+'Rate History'!$D$15*SUMIF(Data!$G:$G,Neutral!$A29,Data!$DF:$DF)+'Rate History'!$D$16*SUMIF(Data!$G:$G,Neutral!$A29,Data!$DG:$DG)+'Rate History'!$D$17*SUMIF(Data!$G:$G,Neutral!$A29,Data!$DH:$DH)+'Rate History'!$D$18*SUMIF(Data!$G:$G,Neutral!$A29,Data!$DI:$DI)+'Rate History'!$D$19*SUMIF(Data!$G:$G,Neutral!$A29,Data!$DJ:$DJ)+'Rate History'!$D$20*SUMIF(Data!$G:$G,Neutral!$A29,Data!$DK:$DK)+'Rate History'!$D$21*SUMIF(Data!$G:$G,Neutral!$A29,Data!$DL:$DL)+'Rate History'!$D$22*SUMIF(Data!$G:$G,Neutral!$A29,Data!$DM:$DM)+'Rate History'!$D$23*SUMIF(Data!$G:$G,Neutral!$A29,Data!$DN:$DN)+'Rate History'!$D$24*SUMIF(Data!$G:$G,Neutral!$A29,Data!$DO:$DO)+'Rate History'!$D$25*SUMIF(Data!$G:$G,Neutral!$A29,Data!$DP:$DP)+'Rate History'!$D$26*SUMIF(Data!$G:$G,Neutral!$A29,Data!$DQ:$DQ)+'Rate History'!$D$27*SUMIF(Data!$G:$G,Neutral!$A29,Data!$DR:$DR)+'Rate History'!$D$28*SUMIF(Data!$G:$G,Neutral!$A29,Data!$DS:$DS)+'Rate History'!$D$29*SUMIF(Data!$G:$G,Neutral!$A29,Data!$DT:$DT)+'Rate History'!$D$30*SUMIF(Data!$G:$G,Neutral!$A29,Data!$DV:$DV)+'Rate History'!$D$31*SUMIF(Data!$G:$G,Neutral!$A29,Data!$DW:$DW))</f>
        <v>10773224.735297108</v>
      </c>
      <c r="C29" s="121">
        <f>$C$5*('Rate History'!$C$4*SUMIF(Data!$G:$G,Neutral!$A29,Data!$CU:$CU)+'Rate History'!$C$5*SUMIF(Data!$G:$G,Neutral!$A29,Data!$CV:$CV)+'Rate History'!$C$6*SUMIF(Data!$G:$G,Neutral!$A29,Data!$CW:$CW)+'Rate History'!$C$7*SUMIF(Data!$G:$G,Neutral!$A29,Data!$CX:$CX)+'Rate History'!$C$8*SUMIF(Data!$G:$G,Neutral!$A29,Data!$CY:$CY)+'Rate History'!$C$9*SUMIF(Data!$G:$G,Neutral!$A29,Data!$CZ:$CZ)+'Rate History'!$C$10*SUMIF(Data!$G:$G,Neutral!$A29,Data!$DA:$DA)+'Rate History'!$C$11*SUMIF(Data!$G:$G,Neutral!$A29,Data!$DB:$DB)+'Rate History'!$C$12*SUMIF(Data!$G:$G,Neutral!$A29,Data!$DC:$DC)+'Rate History'!$C$13*SUMIF(Data!$G:$G,Neutral!$A29,Data!$DD:$DD)+'Rate History'!$C$14*SUMIF(Data!$G:$G,Neutral!$A29,Data!$DE:$DE)+'Rate History'!$C$15*SUMIF(Data!$G:$G,Neutral!$A29,Data!$DF:$DF)+'Rate History'!$C$16*SUMIF(Data!$G:$G,Neutral!$A29,Data!$DG:$DG)+'Rate History'!$C$17*SUMIF(Data!$G:$G,Neutral!$A29,Data!$DH:$DH)+'Rate History'!$C$18*SUMIF(Data!$G:$G,Neutral!$A29,Data!$DI:$DI)+'Rate History'!$C$19*SUMIF(Data!$G:$G,Neutral!$A29,Data!$DJ:$DJ)+'Rate History'!$C$20*SUMIF(Data!$G:$G,Neutral!$A29,Data!$DK:$DK)+'Rate History'!$C$21*SUMIF(Data!$G:$G,Neutral!$A29,Data!$DL:$DL)+'Rate History'!$C$22*SUMIF(Data!$G:$G,Neutral!$A29,Data!$DM:$DM)+'Rate History'!$C$23*SUMIF(Data!$G:$G,Neutral!$A29,Data!$DN:$DN)+'Rate History'!$C$24*SUMIF(Data!$G:$G,Neutral!$A29,Data!$DO:$DO)+'Rate History'!$C$25*SUMIF(Data!$G:$G,Neutral!$A29,Data!$DP:$DP)+'Rate History'!$C$26*SUMIF(Data!$G:$G,Neutral!$A29,Data!$DQ:$DQ)+'Rate History'!$C$27*SUMIF(Data!$G:$G,Neutral!$A29,Data!$DR:$DR)+'Rate History'!$C$28*SUMIF(Data!$G:$G,Neutral!$A29,Data!$DS:$DS)+'Rate History'!$C$29*SUMIF(Data!$G:$G,Neutral!$A29,Data!$DT:$DT)+'Rate History'!$C$30*SUMIF(Data!$G:$G,Neutral!$A29,Data!$DV:$DV)+'Rate History'!$C$31*SUMIF(Data!$G:$G,Neutral!$A29,Data!$DW:$DW))</f>
        <v>11048561.402803544</v>
      </c>
      <c r="D29" s="106">
        <f t="shared" si="1"/>
        <v>275336.66750643589</v>
      </c>
      <c r="E29" s="108">
        <f t="shared" si="0"/>
        <v>2.5557497803264988E-2</v>
      </c>
    </row>
    <row r="30" spans="1:5" x14ac:dyDescent="0.25">
      <c r="A30" s="101" t="s">
        <v>473</v>
      </c>
      <c r="B30" s="121">
        <f>$B$5*('Rate History'!$D$4*SUMIF(Data!$G:$G,Neutral!$A30,Data!$CU:$CU)+'Rate History'!$D$5*SUMIF(Data!$G:$G,Neutral!$A30,Data!$CV:$CV)+'Rate History'!$D$6*SUMIF(Data!$G:$G,Neutral!$A30,Data!$CW:$CW)+'Rate History'!$D$7*SUMIF(Data!$G:$G,Neutral!$A30,Data!$CX:$CX)+'Rate History'!$D$8*SUMIF(Data!$G:$G,Neutral!$A30,Data!$CY:$CY)+'Rate History'!$D$9*SUMIF(Data!$G:$G,Neutral!$A30,Data!$CZ:$CZ)+'Rate History'!$D$10*SUMIF(Data!$G:$G,Neutral!$A30,Data!$DA:$DA)+'Rate History'!$D$11*SUMIF(Data!$G:$G,Neutral!$A30,Data!$DB:$DB)+'Rate History'!$D$12*SUMIF(Data!$G:$G,Neutral!$A30,Data!$DC:$DC)+'Rate History'!$D$13*SUMIF(Data!$G:$G,Neutral!$A30,Data!$DD:$DD)+'Rate History'!$D$14*SUMIF(Data!$G:$G,Neutral!$A30,Data!$DE:$DE)+'Rate History'!$D$15*SUMIF(Data!$G:$G,Neutral!$A30,Data!$DF:$DF)+'Rate History'!$D$16*SUMIF(Data!$G:$G,Neutral!$A30,Data!$DG:$DG)+'Rate History'!$D$17*SUMIF(Data!$G:$G,Neutral!$A30,Data!$DH:$DH)+'Rate History'!$D$18*SUMIF(Data!$G:$G,Neutral!$A30,Data!$DI:$DI)+'Rate History'!$D$19*SUMIF(Data!$G:$G,Neutral!$A30,Data!$DJ:$DJ)+'Rate History'!$D$20*SUMIF(Data!$G:$G,Neutral!$A30,Data!$DK:$DK)+'Rate History'!$D$21*SUMIF(Data!$G:$G,Neutral!$A30,Data!$DL:$DL)+'Rate History'!$D$22*SUMIF(Data!$G:$G,Neutral!$A30,Data!$DM:$DM)+'Rate History'!$D$23*SUMIF(Data!$G:$G,Neutral!$A30,Data!$DN:$DN)+'Rate History'!$D$24*SUMIF(Data!$G:$G,Neutral!$A30,Data!$DO:$DO)+'Rate History'!$D$25*SUMIF(Data!$G:$G,Neutral!$A30,Data!$DP:$DP)+'Rate History'!$D$26*SUMIF(Data!$G:$G,Neutral!$A30,Data!$DQ:$DQ)+'Rate History'!$D$27*SUMIF(Data!$G:$G,Neutral!$A30,Data!$DR:$DR)+'Rate History'!$D$28*SUMIF(Data!$G:$G,Neutral!$A30,Data!$DS:$DS)+'Rate History'!$D$29*SUMIF(Data!$G:$G,Neutral!$A30,Data!$DT:$DT)+'Rate History'!$D$30*SUMIF(Data!$G:$G,Neutral!$A30,Data!$DV:$DV)+'Rate History'!$D$31*SUMIF(Data!$G:$G,Neutral!$A30,Data!$DW:$DW))</f>
        <v>9788028.2786798738</v>
      </c>
      <c r="C30" s="121">
        <f>$C$5*('Rate History'!$C$4*SUMIF(Data!$G:$G,Neutral!$A30,Data!$CU:$CU)+'Rate History'!$C$5*SUMIF(Data!$G:$G,Neutral!$A30,Data!$CV:$CV)+'Rate History'!$C$6*SUMIF(Data!$G:$G,Neutral!$A30,Data!$CW:$CW)+'Rate History'!$C$7*SUMIF(Data!$G:$G,Neutral!$A30,Data!$CX:$CX)+'Rate History'!$C$8*SUMIF(Data!$G:$G,Neutral!$A30,Data!$CY:$CY)+'Rate History'!$C$9*SUMIF(Data!$G:$G,Neutral!$A30,Data!$CZ:$CZ)+'Rate History'!$C$10*SUMIF(Data!$G:$G,Neutral!$A30,Data!$DA:$DA)+'Rate History'!$C$11*SUMIF(Data!$G:$G,Neutral!$A30,Data!$DB:$DB)+'Rate History'!$C$12*SUMIF(Data!$G:$G,Neutral!$A30,Data!$DC:$DC)+'Rate History'!$C$13*SUMIF(Data!$G:$G,Neutral!$A30,Data!$DD:$DD)+'Rate History'!$C$14*SUMIF(Data!$G:$G,Neutral!$A30,Data!$DE:$DE)+'Rate History'!$C$15*SUMIF(Data!$G:$G,Neutral!$A30,Data!$DF:$DF)+'Rate History'!$C$16*SUMIF(Data!$G:$G,Neutral!$A30,Data!$DG:$DG)+'Rate History'!$C$17*SUMIF(Data!$G:$G,Neutral!$A30,Data!$DH:$DH)+'Rate History'!$C$18*SUMIF(Data!$G:$G,Neutral!$A30,Data!$DI:$DI)+'Rate History'!$C$19*SUMIF(Data!$G:$G,Neutral!$A30,Data!$DJ:$DJ)+'Rate History'!$C$20*SUMIF(Data!$G:$G,Neutral!$A30,Data!$DK:$DK)+'Rate History'!$C$21*SUMIF(Data!$G:$G,Neutral!$A30,Data!$DL:$DL)+'Rate History'!$C$22*SUMIF(Data!$G:$G,Neutral!$A30,Data!$DM:$DM)+'Rate History'!$C$23*SUMIF(Data!$G:$G,Neutral!$A30,Data!$DN:$DN)+'Rate History'!$C$24*SUMIF(Data!$G:$G,Neutral!$A30,Data!$DO:$DO)+'Rate History'!$C$25*SUMIF(Data!$G:$G,Neutral!$A30,Data!$DP:$DP)+'Rate History'!$C$26*SUMIF(Data!$G:$G,Neutral!$A30,Data!$DQ:$DQ)+'Rate History'!$C$27*SUMIF(Data!$G:$G,Neutral!$A30,Data!$DR:$DR)+'Rate History'!$C$28*SUMIF(Data!$G:$G,Neutral!$A30,Data!$DS:$DS)+'Rate History'!$C$29*SUMIF(Data!$G:$G,Neutral!$A30,Data!$DT:$DT)+'Rate History'!$C$30*SUMIF(Data!$G:$G,Neutral!$A30,Data!$DV:$DV)+'Rate History'!$C$31*SUMIF(Data!$G:$G,Neutral!$A30,Data!$DW:$DW))</f>
        <v>9401138.4885399174</v>
      </c>
      <c r="D30" s="106">
        <f t="shared" si="1"/>
        <v>-386889.7901399564</v>
      </c>
      <c r="E30" s="108">
        <f t="shared" si="0"/>
        <v>-3.9526836163997763E-2</v>
      </c>
    </row>
    <row r="31" spans="1:5" x14ac:dyDescent="0.25">
      <c r="A31" s="100" t="s">
        <v>721</v>
      </c>
      <c r="B31" s="121">
        <f>$B$5*('Rate History'!$D$4*SUMIF(Data!$G:$G,Neutral!$A31,Data!$CU:$CU)+'Rate History'!$D$5*SUMIF(Data!$G:$G,Neutral!$A31,Data!$CV:$CV)+'Rate History'!$D$6*SUMIF(Data!$G:$G,Neutral!$A31,Data!$CW:$CW)+'Rate History'!$D$7*SUMIF(Data!$G:$G,Neutral!$A31,Data!$CX:$CX)+'Rate History'!$D$8*SUMIF(Data!$G:$G,Neutral!$A31,Data!$CY:$CY)+'Rate History'!$D$9*SUMIF(Data!$G:$G,Neutral!$A31,Data!$CZ:$CZ)+'Rate History'!$D$10*SUMIF(Data!$G:$G,Neutral!$A31,Data!$DA:$DA)+'Rate History'!$D$11*SUMIF(Data!$G:$G,Neutral!$A31,Data!$DB:$DB)+'Rate History'!$D$12*SUMIF(Data!$G:$G,Neutral!$A31,Data!$DC:$DC)+'Rate History'!$D$13*SUMIF(Data!$G:$G,Neutral!$A31,Data!$DD:$DD)+'Rate History'!$D$14*SUMIF(Data!$G:$G,Neutral!$A31,Data!$DE:$DE)+'Rate History'!$D$15*SUMIF(Data!$G:$G,Neutral!$A31,Data!$DF:$DF)+'Rate History'!$D$16*SUMIF(Data!$G:$G,Neutral!$A31,Data!$DG:$DG)+'Rate History'!$D$17*SUMIF(Data!$G:$G,Neutral!$A31,Data!$DH:$DH)+'Rate History'!$D$18*SUMIF(Data!$G:$G,Neutral!$A31,Data!$DI:$DI)+'Rate History'!$D$19*SUMIF(Data!$G:$G,Neutral!$A31,Data!$DJ:$DJ)+'Rate History'!$D$20*SUMIF(Data!$G:$G,Neutral!$A31,Data!$DK:$DK)+'Rate History'!$D$21*SUMIF(Data!$G:$G,Neutral!$A31,Data!$DL:$DL)+'Rate History'!$D$22*SUMIF(Data!$G:$G,Neutral!$A31,Data!$DM:$DM)+'Rate History'!$D$23*SUMIF(Data!$G:$G,Neutral!$A31,Data!$DN:$DN)+'Rate History'!$D$24*SUMIF(Data!$G:$G,Neutral!$A31,Data!$DO:$DO)+'Rate History'!$D$25*SUMIF(Data!$G:$G,Neutral!$A31,Data!$DP:$DP)+'Rate History'!$D$26*SUMIF(Data!$G:$G,Neutral!$A31,Data!$DQ:$DQ)+'Rate History'!$D$27*SUMIF(Data!$G:$G,Neutral!$A31,Data!$DR:$DR)+'Rate History'!$D$28*SUMIF(Data!$G:$G,Neutral!$A31,Data!$DS:$DS)+'Rate History'!$D$29*SUMIF(Data!$G:$G,Neutral!$A31,Data!$DT:$DT)+'Rate History'!$D$30*SUMIF(Data!$G:$G,Neutral!$A31,Data!$DV:$DV)+'Rate History'!$D$31*SUMIF(Data!$G:$G,Neutral!$A31,Data!$DW:$DW))</f>
        <v>62656429.036861047</v>
      </c>
      <c r="C31" s="121">
        <f>$C$5*('Rate History'!$C$4*SUMIF(Data!$G:$G,Neutral!$A31,Data!$CU:$CU)+'Rate History'!$C$5*SUMIF(Data!$G:$G,Neutral!$A31,Data!$CV:$CV)+'Rate History'!$C$6*SUMIF(Data!$G:$G,Neutral!$A31,Data!$CW:$CW)+'Rate History'!$C$7*SUMIF(Data!$G:$G,Neutral!$A31,Data!$CX:$CX)+'Rate History'!$C$8*SUMIF(Data!$G:$G,Neutral!$A31,Data!$CY:$CY)+'Rate History'!$C$9*SUMIF(Data!$G:$G,Neutral!$A31,Data!$CZ:$CZ)+'Rate History'!$C$10*SUMIF(Data!$G:$G,Neutral!$A31,Data!$DA:$DA)+'Rate History'!$C$11*SUMIF(Data!$G:$G,Neutral!$A31,Data!$DB:$DB)+'Rate History'!$C$12*SUMIF(Data!$G:$G,Neutral!$A31,Data!$DC:$DC)+'Rate History'!$C$13*SUMIF(Data!$G:$G,Neutral!$A31,Data!$DD:$DD)+'Rate History'!$C$14*SUMIF(Data!$G:$G,Neutral!$A31,Data!$DE:$DE)+'Rate History'!$C$15*SUMIF(Data!$G:$G,Neutral!$A31,Data!$DF:$DF)+'Rate History'!$C$16*SUMIF(Data!$G:$G,Neutral!$A31,Data!$DG:$DG)+'Rate History'!$C$17*SUMIF(Data!$G:$G,Neutral!$A31,Data!$DH:$DH)+'Rate History'!$C$18*SUMIF(Data!$G:$G,Neutral!$A31,Data!$DI:$DI)+'Rate History'!$C$19*SUMIF(Data!$G:$G,Neutral!$A31,Data!$DJ:$DJ)+'Rate History'!$C$20*SUMIF(Data!$G:$G,Neutral!$A31,Data!$DK:$DK)+'Rate History'!$C$21*SUMIF(Data!$G:$G,Neutral!$A31,Data!$DL:$DL)+'Rate History'!$C$22*SUMIF(Data!$G:$G,Neutral!$A31,Data!$DM:$DM)+'Rate History'!$C$23*SUMIF(Data!$G:$G,Neutral!$A31,Data!$DN:$DN)+'Rate History'!$C$24*SUMIF(Data!$G:$G,Neutral!$A31,Data!$DO:$DO)+'Rate History'!$C$25*SUMIF(Data!$G:$G,Neutral!$A31,Data!$DP:$DP)+'Rate History'!$C$26*SUMIF(Data!$G:$G,Neutral!$A31,Data!$DQ:$DQ)+'Rate History'!$C$27*SUMIF(Data!$G:$G,Neutral!$A31,Data!$DR:$DR)+'Rate History'!$C$28*SUMIF(Data!$G:$G,Neutral!$A31,Data!$DS:$DS)+'Rate History'!$C$29*SUMIF(Data!$G:$G,Neutral!$A31,Data!$DT:$DT)+'Rate History'!$C$30*SUMIF(Data!$G:$G,Neutral!$A31,Data!$DV:$DV)+'Rate History'!$C$31*SUMIF(Data!$G:$G,Neutral!$A31,Data!$DW:$DW))</f>
        <v>65113078.557692699</v>
      </c>
      <c r="D31" s="106">
        <f t="shared" si="1"/>
        <v>2456649.520831652</v>
      </c>
      <c r="E31" s="108">
        <f t="shared" si="0"/>
        <v>3.9208259369304214E-2</v>
      </c>
    </row>
    <row r="32" spans="1:5" x14ac:dyDescent="0.25">
      <c r="A32" s="101" t="s">
        <v>481</v>
      </c>
      <c r="B32" s="121">
        <f>$B$5*('Rate History'!$D$4*SUMIF(Data!$G:$G,Neutral!$A32,Data!$CU:$CU)+'Rate History'!$D$5*SUMIF(Data!$G:$G,Neutral!$A32,Data!$CV:$CV)+'Rate History'!$D$6*SUMIF(Data!$G:$G,Neutral!$A32,Data!$CW:$CW)+'Rate History'!$D$7*SUMIF(Data!$G:$G,Neutral!$A32,Data!$CX:$CX)+'Rate History'!$D$8*SUMIF(Data!$G:$G,Neutral!$A32,Data!$CY:$CY)+'Rate History'!$D$9*SUMIF(Data!$G:$G,Neutral!$A32,Data!$CZ:$CZ)+'Rate History'!$D$10*SUMIF(Data!$G:$G,Neutral!$A32,Data!$DA:$DA)+'Rate History'!$D$11*SUMIF(Data!$G:$G,Neutral!$A32,Data!$DB:$DB)+'Rate History'!$D$12*SUMIF(Data!$G:$G,Neutral!$A32,Data!$DC:$DC)+'Rate History'!$D$13*SUMIF(Data!$G:$G,Neutral!$A32,Data!$DD:$DD)+'Rate History'!$D$14*SUMIF(Data!$G:$G,Neutral!$A32,Data!$DE:$DE)+'Rate History'!$D$15*SUMIF(Data!$G:$G,Neutral!$A32,Data!$DF:$DF)+'Rate History'!$D$16*SUMIF(Data!$G:$G,Neutral!$A32,Data!$DG:$DG)+'Rate History'!$D$17*SUMIF(Data!$G:$G,Neutral!$A32,Data!$DH:$DH)+'Rate History'!$D$18*SUMIF(Data!$G:$G,Neutral!$A32,Data!$DI:$DI)+'Rate History'!$D$19*SUMIF(Data!$G:$G,Neutral!$A32,Data!$DJ:$DJ)+'Rate History'!$D$20*SUMIF(Data!$G:$G,Neutral!$A32,Data!$DK:$DK)+'Rate History'!$D$21*SUMIF(Data!$G:$G,Neutral!$A32,Data!$DL:$DL)+'Rate History'!$D$22*SUMIF(Data!$G:$G,Neutral!$A32,Data!$DM:$DM)+'Rate History'!$D$23*SUMIF(Data!$G:$G,Neutral!$A32,Data!$DN:$DN)+'Rate History'!$D$24*SUMIF(Data!$G:$G,Neutral!$A32,Data!$DO:$DO)+'Rate History'!$D$25*SUMIF(Data!$G:$G,Neutral!$A32,Data!$DP:$DP)+'Rate History'!$D$26*SUMIF(Data!$G:$G,Neutral!$A32,Data!$DQ:$DQ)+'Rate History'!$D$27*SUMIF(Data!$G:$G,Neutral!$A32,Data!$DR:$DR)+'Rate History'!$D$28*SUMIF(Data!$G:$G,Neutral!$A32,Data!$DS:$DS)+'Rate History'!$D$29*SUMIF(Data!$G:$G,Neutral!$A32,Data!$DT:$DT)+'Rate History'!$D$30*SUMIF(Data!$G:$G,Neutral!$A32,Data!$DV:$DV)+'Rate History'!$D$31*SUMIF(Data!$G:$G,Neutral!$A32,Data!$DW:$DW))</f>
        <v>14479411.485077171</v>
      </c>
      <c r="C32" s="121">
        <f>$C$5*('Rate History'!$C$4*SUMIF(Data!$G:$G,Neutral!$A32,Data!$CU:$CU)+'Rate History'!$C$5*SUMIF(Data!$G:$G,Neutral!$A32,Data!$CV:$CV)+'Rate History'!$C$6*SUMIF(Data!$G:$G,Neutral!$A32,Data!$CW:$CW)+'Rate History'!$C$7*SUMIF(Data!$G:$G,Neutral!$A32,Data!$CX:$CX)+'Rate History'!$C$8*SUMIF(Data!$G:$G,Neutral!$A32,Data!$CY:$CY)+'Rate History'!$C$9*SUMIF(Data!$G:$G,Neutral!$A32,Data!$CZ:$CZ)+'Rate History'!$C$10*SUMIF(Data!$G:$G,Neutral!$A32,Data!$DA:$DA)+'Rate History'!$C$11*SUMIF(Data!$G:$G,Neutral!$A32,Data!$DB:$DB)+'Rate History'!$C$12*SUMIF(Data!$G:$G,Neutral!$A32,Data!$DC:$DC)+'Rate History'!$C$13*SUMIF(Data!$G:$G,Neutral!$A32,Data!$DD:$DD)+'Rate History'!$C$14*SUMIF(Data!$G:$G,Neutral!$A32,Data!$DE:$DE)+'Rate History'!$C$15*SUMIF(Data!$G:$G,Neutral!$A32,Data!$DF:$DF)+'Rate History'!$C$16*SUMIF(Data!$G:$G,Neutral!$A32,Data!$DG:$DG)+'Rate History'!$C$17*SUMIF(Data!$G:$G,Neutral!$A32,Data!$DH:$DH)+'Rate History'!$C$18*SUMIF(Data!$G:$G,Neutral!$A32,Data!$DI:$DI)+'Rate History'!$C$19*SUMIF(Data!$G:$G,Neutral!$A32,Data!$DJ:$DJ)+'Rate History'!$C$20*SUMIF(Data!$G:$G,Neutral!$A32,Data!$DK:$DK)+'Rate History'!$C$21*SUMIF(Data!$G:$G,Neutral!$A32,Data!$DL:$DL)+'Rate History'!$C$22*SUMIF(Data!$G:$G,Neutral!$A32,Data!$DM:$DM)+'Rate History'!$C$23*SUMIF(Data!$G:$G,Neutral!$A32,Data!$DN:$DN)+'Rate History'!$C$24*SUMIF(Data!$G:$G,Neutral!$A32,Data!$DO:$DO)+'Rate History'!$C$25*SUMIF(Data!$G:$G,Neutral!$A32,Data!$DP:$DP)+'Rate History'!$C$26*SUMIF(Data!$G:$G,Neutral!$A32,Data!$DQ:$DQ)+'Rate History'!$C$27*SUMIF(Data!$G:$G,Neutral!$A32,Data!$DR:$DR)+'Rate History'!$C$28*SUMIF(Data!$G:$G,Neutral!$A32,Data!$DS:$DS)+'Rate History'!$C$29*SUMIF(Data!$G:$G,Neutral!$A32,Data!$DT:$DT)+'Rate History'!$C$30*SUMIF(Data!$G:$G,Neutral!$A32,Data!$DV:$DV)+'Rate History'!$C$31*SUMIF(Data!$G:$G,Neutral!$A32,Data!$DW:$DW))</f>
        <v>14038506.932457451</v>
      </c>
      <c r="D32" s="106">
        <f t="shared" si="1"/>
        <v>-440904.55261971988</v>
      </c>
      <c r="E32" s="108">
        <f t="shared" si="0"/>
        <v>-3.0450447041589137E-2</v>
      </c>
    </row>
    <row r="33" spans="1:5" x14ac:dyDescent="0.25">
      <c r="A33" s="101" t="s">
        <v>683</v>
      </c>
      <c r="B33" s="121">
        <f>$B$5*('Rate History'!$D$4*SUMIF(Data!$G:$G,Neutral!$A33,Data!$CU:$CU)+'Rate History'!$D$5*SUMIF(Data!$G:$G,Neutral!$A33,Data!$CV:$CV)+'Rate History'!$D$6*SUMIF(Data!$G:$G,Neutral!$A33,Data!$CW:$CW)+'Rate History'!$D$7*SUMIF(Data!$G:$G,Neutral!$A33,Data!$CX:$CX)+'Rate History'!$D$8*SUMIF(Data!$G:$G,Neutral!$A33,Data!$CY:$CY)+'Rate History'!$D$9*SUMIF(Data!$G:$G,Neutral!$A33,Data!$CZ:$CZ)+'Rate History'!$D$10*SUMIF(Data!$G:$G,Neutral!$A33,Data!$DA:$DA)+'Rate History'!$D$11*SUMIF(Data!$G:$G,Neutral!$A33,Data!$DB:$DB)+'Rate History'!$D$12*SUMIF(Data!$G:$G,Neutral!$A33,Data!$DC:$DC)+'Rate History'!$D$13*SUMIF(Data!$G:$G,Neutral!$A33,Data!$DD:$DD)+'Rate History'!$D$14*SUMIF(Data!$G:$G,Neutral!$A33,Data!$DE:$DE)+'Rate History'!$D$15*SUMIF(Data!$G:$G,Neutral!$A33,Data!$DF:$DF)+'Rate History'!$D$16*SUMIF(Data!$G:$G,Neutral!$A33,Data!$DG:$DG)+'Rate History'!$D$17*SUMIF(Data!$G:$G,Neutral!$A33,Data!$DH:$DH)+'Rate History'!$D$18*SUMIF(Data!$G:$G,Neutral!$A33,Data!$DI:$DI)+'Rate History'!$D$19*SUMIF(Data!$G:$G,Neutral!$A33,Data!$DJ:$DJ)+'Rate History'!$D$20*SUMIF(Data!$G:$G,Neutral!$A33,Data!$DK:$DK)+'Rate History'!$D$21*SUMIF(Data!$G:$G,Neutral!$A33,Data!$DL:$DL)+'Rate History'!$D$22*SUMIF(Data!$G:$G,Neutral!$A33,Data!$DM:$DM)+'Rate History'!$D$23*SUMIF(Data!$G:$G,Neutral!$A33,Data!$DN:$DN)+'Rate History'!$D$24*SUMIF(Data!$G:$G,Neutral!$A33,Data!$DO:$DO)+'Rate History'!$D$25*SUMIF(Data!$G:$G,Neutral!$A33,Data!$DP:$DP)+'Rate History'!$D$26*SUMIF(Data!$G:$G,Neutral!$A33,Data!$DQ:$DQ)+'Rate History'!$D$27*SUMIF(Data!$G:$G,Neutral!$A33,Data!$DR:$DR)+'Rate History'!$D$28*SUMIF(Data!$G:$G,Neutral!$A33,Data!$DS:$DS)+'Rate History'!$D$29*SUMIF(Data!$G:$G,Neutral!$A33,Data!$DT:$DT)+'Rate History'!$D$30*SUMIF(Data!$G:$G,Neutral!$A33,Data!$DV:$DV)+'Rate History'!$D$31*SUMIF(Data!$G:$G,Neutral!$A33,Data!$DW:$DW))</f>
        <v>9173107.2107799724</v>
      </c>
      <c r="C33" s="121">
        <f>$C$5*('Rate History'!$C$4*SUMIF(Data!$G:$G,Neutral!$A33,Data!$CU:$CU)+'Rate History'!$C$5*SUMIF(Data!$G:$G,Neutral!$A33,Data!$CV:$CV)+'Rate History'!$C$6*SUMIF(Data!$G:$G,Neutral!$A33,Data!$CW:$CW)+'Rate History'!$C$7*SUMIF(Data!$G:$G,Neutral!$A33,Data!$CX:$CX)+'Rate History'!$C$8*SUMIF(Data!$G:$G,Neutral!$A33,Data!$CY:$CY)+'Rate History'!$C$9*SUMIF(Data!$G:$G,Neutral!$A33,Data!$CZ:$CZ)+'Rate History'!$C$10*SUMIF(Data!$G:$G,Neutral!$A33,Data!$DA:$DA)+'Rate History'!$C$11*SUMIF(Data!$G:$G,Neutral!$A33,Data!$DB:$DB)+'Rate History'!$C$12*SUMIF(Data!$G:$G,Neutral!$A33,Data!$DC:$DC)+'Rate History'!$C$13*SUMIF(Data!$G:$G,Neutral!$A33,Data!$DD:$DD)+'Rate History'!$C$14*SUMIF(Data!$G:$G,Neutral!$A33,Data!$DE:$DE)+'Rate History'!$C$15*SUMIF(Data!$G:$G,Neutral!$A33,Data!$DF:$DF)+'Rate History'!$C$16*SUMIF(Data!$G:$G,Neutral!$A33,Data!$DG:$DG)+'Rate History'!$C$17*SUMIF(Data!$G:$G,Neutral!$A33,Data!$DH:$DH)+'Rate History'!$C$18*SUMIF(Data!$G:$G,Neutral!$A33,Data!$DI:$DI)+'Rate History'!$C$19*SUMIF(Data!$G:$G,Neutral!$A33,Data!$DJ:$DJ)+'Rate History'!$C$20*SUMIF(Data!$G:$G,Neutral!$A33,Data!$DK:$DK)+'Rate History'!$C$21*SUMIF(Data!$G:$G,Neutral!$A33,Data!$DL:$DL)+'Rate History'!$C$22*SUMIF(Data!$G:$G,Neutral!$A33,Data!$DM:$DM)+'Rate History'!$C$23*SUMIF(Data!$G:$G,Neutral!$A33,Data!$DN:$DN)+'Rate History'!$C$24*SUMIF(Data!$G:$G,Neutral!$A33,Data!$DO:$DO)+'Rate History'!$C$25*SUMIF(Data!$G:$G,Neutral!$A33,Data!$DP:$DP)+'Rate History'!$C$26*SUMIF(Data!$G:$G,Neutral!$A33,Data!$DQ:$DQ)+'Rate History'!$C$27*SUMIF(Data!$G:$G,Neutral!$A33,Data!$DR:$DR)+'Rate History'!$C$28*SUMIF(Data!$G:$G,Neutral!$A33,Data!$DS:$DS)+'Rate History'!$C$29*SUMIF(Data!$G:$G,Neutral!$A33,Data!$DT:$DT)+'Rate History'!$C$30*SUMIF(Data!$G:$G,Neutral!$A33,Data!$DV:$DV)+'Rate History'!$C$31*SUMIF(Data!$G:$G,Neutral!$A33,Data!$DW:$DW))</f>
        <v>8788025.363163827</v>
      </c>
      <c r="D33" s="106">
        <f t="shared" si="1"/>
        <v>-385081.84761614539</v>
      </c>
      <c r="E33" s="108">
        <f t="shared" si="0"/>
        <v>-4.1979433878588955E-2</v>
      </c>
    </row>
    <row r="34" spans="1:5" x14ac:dyDescent="0.25">
      <c r="A34" s="101" t="s">
        <v>489</v>
      </c>
      <c r="B34" s="121">
        <f>$B$5*('Rate History'!$D$4*SUMIF(Data!$G:$G,Neutral!$A34,Data!$CU:$CU)+'Rate History'!$D$5*SUMIF(Data!$G:$G,Neutral!$A34,Data!$CV:$CV)+'Rate History'!$D$6*SUMIF(Data!$G:$G,Neutral!$A34,Data!$CW:$CW)+'Rate History'!$D$7*SUMIF(Data!$G:$G,Neutral!$A34,Data!$CX:$CX)+'Rate History'!$D$8*SUMIF(Data!$G:$G,Neutral!$A34,Data!$CY:$CY)+'Rate History'!$D$9*SUMIF(Data!$G:$G,Neutral!$A34,Data!$CZ:$CZ)+'Rate History'!$D$10*SUMIF(Data!$G:$G,Neutral!$A34,Data!$DA:$DA)+'Rate History'!$D$11*SUMIF(Data!$G:$G,Neutral!$A34,Data!$DB:$DB)+'Rate History'!$D$12*SUMIF(Data!$G:$G,Neutral!$A34,Data!$DC:$DC)+'Rate History'!$D$13*SUMIF(Data!$G:$G,Neutral!$A34,Data!$DD:$DD)+'Rate History'!$D$14*SUMIF(Data!$G:$G,Neutral!$A34,Data!$DE:$DE)+'Rate History'!$D$15*SUMIF(Data!$G:$G,Neutral!$A34,Data!$DF:$DF)+'Rate History'!$D$16*SUMIF(Data!$G:$G,Neutral!$A34,Data!$DG:$DG)+'Rate History'!$D$17*SUMIF(Data!$G:$G,Neutral!$A34,Data!$DH:$DH)+'Rate History'!$D$18*SUMIF(Data!$G:$G,Neutral!$A34,Data!$DI:$DI)+'Rate History'!$D$19*SUMIF(Data!$G:$G,Neutral!$A34,Data!$DJ:$DJ)+'Rate History'!$D$20*SUMIF(Data!$G:$G,Neutral!$A34,Data!$DK:$DK)+'Rate History'!$D$21*SUMIF(Data!$G:$G,Neutral!$A34,Data!$DL:$DL)+'Rate History'!$D$22*SUMIF(Data!$G:$G,Neutral!$A34,Data!$DM:$DM)+'Rate History'!$D$23*SUMIF(Data!$G:$G,Neutral!$A34,Data!$DN:$DN)+'Rate History'!$D$24*SUMIF(Data!$G:$G,Neutral!$A34,Data!$DO:$DO)+'Rate History'!$D$25*SUMIF(Data!$G:$G,Neutral!$A34,Data!$DP:$DP)+'Rate History'!$D$26*SUMIF(Data!$G:$G,Neutral!$A34,Data!$DQ:$DQ)+'Rate History'!$D$27*SUMIF(Data!$G:$G,Neutral!$A34,Data!$DR:$DR)+'Rate History'!$D$28*SUMIF(Data!$G:$G,Neutral!$A34,Data!$DS:$DS)+'Rate History'!$D$29*SUMIF(Data!$G:$G,Neutral!$A34,Data!$DT:$DT)+'Rate History'!$D$30*SUMIF(Data!$G:$G,Neutral!$A34,Data!$DV:$DV)+'Rate History'!$D$31*SUMIF(Data!$G:$G,Neutral!$A34,Data!$DW:$DW))</f>
        <v>16420156.553770294</v>
      </c>
      <c r="C34" s="121">
        <f>$C$5*('Rate History'!$C$4*SUMIF(Data!$G:$G,Neutral!$A34,Data!$CU:$CU)+'Rate History'!$C$5*SUMIF(Data!$G:$G,Neutral!$A34,Data!$CV:$CV)+'Rate History'!$C$6*SUMIF(Data!$G:$G,Neutral!$A34,Data!$CW:$CW)+'Rate History'!$C$7*SUMIF(Data!$G:$G,Neutral!$A34,Data!$CX:$CX)+'Rate History'!$C$8*SUMIF(Data!$G:$G,Neutral!$A34,Data!$CY:$CY)+'Rate History'!$C$9*SUMIF(Data!$G:$G,Neutral!$A34,Data!$CZ:$CZ)+'Rate History'!$C$10*SUMIF(Data!$G:$G,Neutral!$A34,Data!$DA:$DA)+'Rate History'!$C$11*SUMIF(Data!$G:$G,Neutral!$A34,Data!$DB:$DB)+'Rate History'!$C$12*SUMIF(Data!$G:$G,Neutral!$A34,Data!$DC:$DC)+'Rate History'!$C$13*SUMIF(Data!$G:$G,Neutral!$A34,Data!$DD:$DD)+'Rate History'!$C$14*SUMIF(Data!$G:$G,Neutral!$A34,Data!$DE:$DE)+'Rate History'!$C$15*SUMIF(Data!$G:$G,Neutral!$A34,Data!$DF:$DF)+'Rate History'!$C$16*SUMIF(Data!$G:$G,Neutral!$A34,Data!$DG:$DG)+'Rate History'!$C$17*SUMIF(Data!$G:$G,Neutral!$A34,Data!$DH:$DH)+'Rate History'!$C$18*SUMIF(Data!$G:$G,Neutral!$A34,Data!$DI:$DI)+'Rate History'!$C$19*SUMIF(Data!$G:$G,Neutral!$A34,Data!$DJ:$DJ)+'Rate History'!$C$20*SUMIF(Data!$G:$G,Neutral!$A34,Data!$DK:$DK)+'Rate History'!$C$21*SUMIF(Data!$G:$G,Neutral!$A34,Data!$DL:$DL)+'Rate History'!$C$22*SUMIF(Data!$G:$G,Neutral!$A34,Data!$DM:$DM)+'Rate History'!$C$23*SUMIF(Data!$G:$G,Neutral!$A34,Data!$DN:$DN)+'Rate History'!$C$24*SUMIF(Data!$G:$G,Neutral!$A34,Data!$DO:$DO)+'Rate History'!$C$25*SUMIF(Data!$G:$G,Neutral!$A34,Data!$DP:$DP)+'Rate History'!$C$26*SUMIF(Data!$G:$G,Neutral!$A34,Data!$DQ:$DQ)+'Rate History'!$C$27*SUMIF(Data!$G:$G,Neutral!$A34,Data!$DR:$DR)+'Rate History'!$C$28*SUMIF(Data!$G:$G,Neutral!$A34,Data!$DS:$DS)+'Rate History'!$C$29*SUMIF(Data!$G:$G,Neutral!$A34,Data!$DT:$DT)+'Rate History'!$C$30*SUMIF(Data!$G:$G,Neutral!$A34,Data!$DV:$DV)+'Rate History'!$C$31*SUMIF(Data!$G:$G,Neutral!$A34,Data!$DW:$DW))</f>
        <v>16157486.708236508</v>
      </c>
      <c r="D34" s="106">
        <f t="shared" si="1"/>
        <v>-262669.84553378634</v>
      </c>
      <c r="E34" s="108">
        <f t="shared" si="0"/>
        <v>-1.5996793007035839E-2</v>
      </c>
    </row>
    <row r="35" spans="1:5" x14ac:dyDescent="0.25">
      <c r="A35" s="101" t="s">
        <v>402</v>
      </c>
      <c r="B35" s="121">
        <f>$B$5*('Rate History'!$D$4*SUMIF(Data!$G:$G,Neutral!$A35,Data!$CU:$CU)+'Rate History'!$D$5*SUMIF(Data!$G:$G,Neutral!$A35,Data!$CV:$CV)+'Rate History'!$D$6*SUMIF(Data!$G:$G,Neutral!$A35,Data!$CW:$CW)+'Rate History'!$D$7*SUMIF(Data!$G:$G,Neutral!$A35,Data!$CX:$CX)+'Rate History'!$D$8*SUMIF(Data!$G:$G,Neutral!$A35,Data!$CY:$CY)+'Rate History'!$D$9*SUMIF(Data!$G:$G,Neutral!$A35,Data!$CZ:$CZ)+'Rate History'!$D$10*SUMIF(Data!$G:$G,Neutral!$A35,Data!$DA:$DA)+'Rate History'!$D$11*SUMIF(Data!$G:$G,Neutral!$A35,Data!$DB:$DB)+'Rate History'!$D$12*SUMIF(Data!$G:$G,Neutral!$A35,Data!$DC:$DC)+'Rate History'!$D$13*SUMIF(Data!$G:$G,Neutral!$A35,Data!$DD:$DD)+'Rate History'!$D$14*SUMIF(Data!$G:$G,Neutral!$A35,Data!$DE:$DE)+'Rate History'!$D$15*SUMIF(Data!$G:$G,Neutral!$A35,Data!$DF:$DF)+'Rate History'!$D$16*SUMIF(Data!$G:$G,Neutral!$A35,Data!$DG:$DG)+'Rate History'!$D$17*SUMIF(Data!$G:$G,Neutral!$A35,Data!$DH:$DH)+'Rate History'!$D$18*SUMIF(Data!$G:$G,Neutral!$A35,Data!$DI:$DI)+'Rate History'!$D$19*SUMIF(Data!$G:$G,Neutral!$A35,Data!$DJ:$DJ)+'Rate History'!$D$20*SUMIF(Data!$G:$G,Neutral!$A35,Data!$DK:$DK)+'Rate History'!$D$21*SUMIF(Data!$G:$G,Neutral!$A35,Data!$DL:$DL)+'Rate History'!$D$22*SUMIF(Data!$G:$G,Neutral!$A35,Data!$DM:$DM)+'Rate History'!$D$23*SUMIF(Data!$G:$G,Neutral!$A35,Data!$DN:$DN)+'Rate History'!$D$24*SUMIF(Data!$G:$G,Neutral!$A35,Data!$DO:$DO)+'Rate History'!$D$25*SUMIF(Data!$G:$G,Neutral!$A35,Data!$DP:$DP)+'Rate History'!$D$26*SUMIF(Data!$G:$G,Neutral!$A35,Data!$DQ:$DQ)+'Rate History'!$D$27*SUMIF(Data!$G:$G,Neutral!$A35,Data!$DR:$DR)+'Rate History'!$D$28*SUMIF(Data!$G:$G,Neutral!$A35,Data!$DS:$DS)+'Rate History'!$D$29*SUMIF(Data!$G:$G,Neutral!$A35,Data!$DT:$DT)+'Rate History'!$D$30*SUMIF(Data!$G:$G,Neutral!$A35,Data!$DV:$DV)+'Rate History'!$D$31*SUMIF(Data!$G:$G,Neutral!$A35,Data!$DW:$DW))</f>
        <v>10428755.838535238</v>
      </c>
      <c r="C35" s="121">
        <f>$C$5*('Rate History'!$C$4*SUMIF(Data!$G:$G,Neutral!$A35,Data!$CU:$CU)+'Rate History'!$C$5*SUMIF(Data!$G:$G,Neutral!$A35,Data!$CV:$CV)+'Rate History'!$C$6*SUMIF(Data!$G:$G,Neutral!$A35,Data!$CW:$CW)+'Rate History'!$C$7*SUMIF(Data!$G:$G,Neutral!$A35,Data!$CX:$CX)+'Rate History'!$C$8*SUMIF(Data!$G:$G,Neutral!$A35,Data!$CY:$CY)+'Rate History'!$C$9*SUMIF(Data!$G:$G,Neutral!$A35,Data!$CZ:$CZ)+'Rate History'!$C$10*SUMIF(Data!$G:$G,Neutral!$A35,Data!$DA:$DA)+'Rate History'!$C$11*SUMIF(Data!$G:$G,Neutral!$A35,Data!$DB:$DB)+'Rate History'!$C$12*SUMIF(Data!$G:$G,Neutral!$A35,Data!$DC:$DC)+'Rate History'!$C$13*SUMIF(Data!$G:$G,Neutral!$A35,Data!$DD:$DD)+'Rate History'!$C$14*SUMIF(Data!$G:$G,Neutral!$A35,Data!$DE:$DE)+'Rate History'!$C$15*SUMIF(Data!$G:$G,Neutral!$A35,Data!$DF:$DF)+'Rate History'!$C$16*SUMIF(Data!$G:$G,Neutral!$A35,Data!$DG:$DG)+'Rate History'!$C$17*SUMIF(Data!$G:$G,Neutral!$A35,Data!$DH:$DH)+'Rate History'!$C$18*SUMIF(Data!$G:$G,Neutral!$A35,Data!$DI:$DI)+'Rate History'!$C$19*SUMIF(Data!$G:$G,Neutral!$A35,Data!$DJ:$DJ)+'Rate History'!$C$20*SUMIF(Data!$G:$G,Neutral!$A35,Data!$DK:$DK)+'Rate History'!$C$21*SUMIF(Data!$G:$G,Neutral!$A35,Data!$DL:$DL)+'Rate History'!$C$22*SUMIF(Data!$G:$G,Neutral!$A35,Data!$DM:$DM)+'Rate History'!$C$23*SUMIF(Data!$G:$G,Neutral!$A35,Data!$DN:$DN)+'Rate History'!$C$24*SUMIF(Data!$G:$G,Neutral!$A35,Data!$DO:$DO)+'Rate History'!$C$25*SUMIF(Data!$G:$G,Neutral!$A35,Data!$DP:$DP)+'Rate History'!$C$26*SUMIF(Data!$G:$G,Neutral!$A35,Data!$DQ:$DQ)+'Rate History'!$C$27*SUMIF(Data!$G:$G,Neutral!$A35,Data!$DR:$DR)+'Rate History'!$C$28*SUMIF(Data!$G:$G,Neutral!$A35,Data!$DS:$DS)+'Rate History'!$C$29*SUMIF(Data!$G:$G,Neutral!$A35,Data!$DT:$DT)+'Rate History'!$C$30*SUMIF(Data!$G:$G,Neutral!$A35,Data!$DV:$DV)+'Rate History'!$C$31*SUMIF(Data!$G:$G,Neutral!$A35,Data!$DW:$DW))</f>
        <v>9971024.6963971667</v>
      </c>
      <c r="D35" s="106">
        <f t="shared" si="1"/>
        <v>-457731.14213807136</v>
      </c>
      <c r="E35" s="108">
        <f t="shared" si="0"/>
        <v>-4.3891251192851935E-2</v>
      </c>
    </row>
    <row r="36" spans="1:5" x14ac:dyDescent="0.25">
      <c r="A36" s="101" t="s">
        <v>737</v>
      </c>
      <c r="B36" s="121">
        <f>$B$5*('Rate History'!$D$4*SUMIF(Data!$G:$G,Neutral!$A36,Data!$CU:$CU)+'Rate History'!$D$5*SUMIF(Data!$G:$G,Neutral!$A36,Data!$CV:$CV)+'Rate History'!$D$6*SUMIF(Data!$G:$G,Neutral!$A36,Data!$CW:$CW)+'Rate History'!$D$7*SUMIF(Data!$G:$G,Neutral!$A36,Data!$CX:$CX)+'Rate History'!$D$8*SUMIF(Data!$G:$G,Neutral!$A36,Data!$CY:$CY)+'Rate History'!$D$9*SUMIF(Data!$G:$G,Neutral!$A36,Data!$CZ:$CZ)+'Rate History'!$D$10*SUMIF(Data!$G:$G,Neutral!$A36,Data!$DA:$DA)+'Rate History'!$D$11*SUMIF(Data!$G:$G,Neutral!$A36,Data!$DB:$DB)+'Rate History'!$D$12*SUMIF(Data!$G:$G,Neutral!$A36,Data!$DC:$DC)+'Rate History'!$D$13*SUMIF(Data!$G:$G,Neutral!$A36,Data!$DD:$DD)+'Rate History'!$D$14*SUMIF(Data!$G:$G,Neutral!$A36,Data!$DE:$DE)+'Rate History'!$D$15*SUMIF(Data!$G:$G,Neutral!$A36,Data!$DF:$DF)+'Rate History'!$D$16*SUMIF(Data!$G:$G,Neutral!$A36,Data!$DG:$DG)+'Rate History'!$D$17*SUMIF(Data!$G:$G,Neutral!$A36,Data!$DH:$DH)+'Rate History'!$D$18*SUMIF(Data!$G:$G,Neutral!$A36,Data!$DI:$DI)+'Rate History'!$D$19*SUMIF(Data!$G:$G,Neutral!$A36,Data!$DJ:$DJ)+'Rate History'!$D$20*SUMIF(Data!$G:$G,Neutral!$A36,Data!$DK:$DK)+'Rate History'!$D$21*SUMIF(Data!$G:$G,Neutral!$A36,Data!$DL:$DL)+'Rate History'!$D$22*SUMIF(Data!$G:$G,Neutral!$A36,Data!$DM:$DM)+'Rate History'!$D$23*SUMIF(Data!$G:$G,Neutral!$A36,Data!$DN:$DN)+'Rate History'!$D$24*SUMIF(Data!$G:$G,Neutral!$A36,Data!$DO:$DO)+'Rate History'!$D$25*SUMIF(Data!$G:$G,Neutral!$A36,Data!$DP:$DP)+'Rate History'!$D$26*SUMIF(Data!$G:$G,Neutral!$A36,Data!$DQ:$DQ)+'Rate History'!$D$27*SUMIF(Data!$G:$G,Neutral!$A36,Data!$DR:$DR)+'Rate History'!$D$28*SUMIF(Data!$G:$G,Neutral!$A36,Data!$DS:$DS)+'Rate History'!$D$29*SUMIF(Data!$G:$G,Neutral!$A36,Data!$DT:$DT)+'Rate History'!$D$30*SUMIF(Data!$G:$G,Neutral!$A36,Data!$DV:$DV)+'Rate History'!$D$31*SUMIF(Data!$G:$G,Neutral!$A36,Data!$DW:$DW))</f>
        <v>4365244.4239754723</v>
      </c>
      <c r="C36" s="121">
        <f>$C$5*('Rate History'!$C$4*SUMIF(Data!$G:$G,Neutral!$A36,Data!$CU:$CU)+'Rate History'!$C$5*SUMIF(Data!$G:$G,Neutral!$A36,Data!$CV:$CV)+'Rate History'!$C$6*SUMIF(Data!$G:$G,Neutral!$A36,Data!$CW:$CW)+'Rate History'!$C$7*SUMIF(Data!$G:$G,Neutral!$A36,Data!$CX:$CX)+'Rate History'!$C$8*SUMIF(Data!$G:$G,Neutral!$A36,Data!$CY:$CY)+'Rate History'!$C$9*SUMIF(Data!$G:$G,Neutral!$A36,Data!$CZ:$CZ)+'Rate History'!$C$10*SUMIF(Data!$G:$G,Neutral!$A36,Data!$DA:$DA)+'Rate History'!$C$11*SUMIF(Data!$G:$G,Neutral!$A36,Data!$DB:$DB)+'Rate History'!$C$12*SUMIF(Data!$G:$G,Neutral!$A36,Data!$DC:$DC)+'Rate History'!$C$13*SUMIF(Data!$G:$G,Neutral!$A36,Data!$DD:$DD)+'Rate History'!$C$14*SUMIF(Data!$G:$G,Neutral!$A36,Data!$DE:$DE)+'Rate History'!$C$15*SUMIF(Data!$G:$G,Neutral!$A36,Data!$DF:$DF)+'Rate History'!$C$16*SUMIF(Data!$G:$G,Neutral!$A36,Data!$DG:$DG)+'Rate History'!$C$17*SUMIF(Data!$G:$G,Neutral!$A36,Data!$DH:$DH)+'Rate History'!$C$18*SUMIF(Data!$G:$G,Neutral!$A36,Data!$DI:$DI)+'Rate History'!$C$19*SUMIF(Data!$G:$G,Neutral!$A36,Data!$DJ:$DJ)+'Rate History'!$C$20*SUMIF(Data!$G:$G,Neutral!$A36,Data!$DK:$DK)+'Rate History'!$C$21*SUMIF(Data!$G:$G,Neutral!$A36,Data!$DL:$DL)+'Rate History'!$C$22*SUMIF(Data!$G:$G,Neutral!$A36,Data!$DM:$DM)+'Rate History'!$C$23*SUMIF(Data!$G:$G,Neutral!$A36,Data!$DN:$DN)+'Rate History'!$C$24*SUMIF(Data!$G:$G,Neutral!$A36,Data!$DO:$DO)+'Rate History'!$C$25*SUMIF(Data!$G:$G,Neutral!$A36,Data!$DP:$DP)+'Rate History'!$C$26*SUMIF(Data!$G:$G,Neutral!$A36,Data!$DQ:$DQ)+'Rate History'!$C$27*SUMIF(Data!$G:$G,Neutral!$A36,Data!$DR:$DR)+'Rate History'!$C$28*SUMIF(Data!$G:$G,Neutral!$A36,Data!$DS:$DS)+'Rate History'!$C$29*SUMIF(Data!$G:$G,Neutral!$A36,Data!$DT:$DT)+'Rate History'!$C$30*SUMIF(Data!$G:$G,Neutral!$A36,Data!$DV:$DV)+'Rate History'!$C$31*SUMIF(Data!$G:$G,Neutral!$A36,Data!$DW:$DW))</f>
        <v>4162552.6074989424</v>
      </c>
      <c r="D36" s="106">
        <f t="shared" si="1"/>
        <v>-202691.81647652993</v>
      </c>
      <c r="E36" s="108">
        <f t="shared" si="0"/>
        <v>-4.6433096704339052E-2</v>
      </c>
    </row>
    <row r="37" spans="1:5" x14ac:dyDescent="0.25">
      <c r="A37" s="101" t="s">
        <v>498</v>
      </c>
      <c r="B37" s="121">
        <f>$B$5*('Rate History'!$D$4*SUMIF(Data!$G:$G,Neutral!$A37,Data!$CU:$CU)+'Rate History'!$D$5*SUMIF(Data!$G:$G,Neutral!$A37,Data!$CV:$CV)+'Rate History'!$D$6*SUMIF(Data!$G:$G,Neutral!$A37,Data!$CW:$CW)+'Rate History'!$D$7*SUMIF(Data!$G:$G,Neutral!$A37,Data!$CX:$CX)+'Rate History'!$D$8*SUMIF(Data!$G:$G,Neutral!$A37,Data!$CY:$CY)+'Rate History'!$D$9*SUMIF(Data!$G:$G,Neutral!$A37,Data!$CZ:$CZ)+'Rate History'!$D$10*SUMIF(Data!$G:$G,Neutral!$A37,Data!$DA:$DA)+'Rate History'!$D$11*SUMIF(Data!$G:$G,Neutral!$A37,Data!$DB:$DB)+'Rate History'!$D$12*SUMIF(Data!$G:$G,Neutral!$A37,Data!$DC:$DC)+'Rate History'!$D$13*SUMIF(Data!$G:$G,Neutral!$A37,Data!$DD:$DD)+'Rate History'!$D$14*SUMIF(Data!$G:$G,Neutral!$A37,Data!$DE:$DE)+'Rate History'!$D$15*SUMIF(Data!$G:$G,Neutral!$A37,Data!$DF:$DF)+'Rate History'!$D$16*SUMIF(Data!$G:$G,Neutral!$A37,Data!$DG:$DG)+'Rate History'!$D$17*SUMIF(Data!$G:$G,Neutral!$A37,Data!$DH:$DH)+'Rate History'!$D$18*SUMIF(Data!$G:$G,Neutral!$A37,Data!$DI:$DI)+'Rate History'!$D$19*SUMIF(Data!$G:$G,Neutral!$A37,Data!$DJ:$DJ)+'Rate History'!$D$20*SUMIF(Data!$G:$G,Neutral!$A37,Data!$DK:$DK)+'Rate History'!$D$21*SUMIF(Data!$G:$G,Neutral!$A37,Data!$DL:$DL)+'Rate History'!$D$22*SUMIF(Data!$G:$G,Neutral!$A37,Data!$DM:$DM)+'Rate History'!$D$23*SUMIF(Data!$G:$G,Neutral!$A37,Data!$DN:$DN)+'Rate History'!$D$24*SUMIF(Data!$G:$G,Neutral!$A37,Data!$DO:$DO)+'Rate History'!$D$25*SUMIF(Data!$G:$G,Neutral!$A37,Data!$DP:$DP)+'Rate History'!$D$26*SUMIF(Data!$G:$G,Neutral!$A37,Data!$DQ:$DQ)+'Rate History'!$D$27*SUMIF(Data!$G:$G,Neutral!$A37,Data!$DR:$DR)+'Rate History'!$D$28*SUMIF(Data!$G:$G,Neutral!$A37,Data!$DS:$DS)+'Rate History'!$D$29*SUMIF(Data!$G:$G,Neutral!$A37,Data!$DT:$DT)+'Rate History'!$D$30*SUMIF(Data!$G:$G,Neutral!$A37,Data!$DV:$DV)+'Rate History'!$D$31*SUMIF(Data!$G:$G,Neutral!$A37,Data!$DW:$DW))</f>
        <v>7479052.047681706</v>
      </c>
      <c r="C37" s="121">
        <f>$C$5*('Rate History'!$C$4*SUMIF(Data!$G:$G,Neutral!$A37,Data!$CU:$CU)+'Rate History'!$C$5*SUMIF(Data!$G:$G,Neutral!$A37,Data!$CV:$CV)+'Rate History'!$C$6*SUMIF(Data!$G:$G,Neutral!$A37,Data!$CW:$CW)+'Rate History'!$C$7*SUMIF(Data!$G:$G,Neutral!$A37,Data!$CX:$CX)+'Rate History'!$C$8*SUMIF(Data!$G:$G,Neutral!$A37,Data!$CY:$CY)+'Rate History'!$C$9*SUMIF(Data!$G:$G,Neutral!$A37,Data!$CZ:$CZ)+'Rate History'!$C$10*SUMIF(Data!$G:$G,Neutral!$A37,Data!$DA:$DA)+'Rate History'!$C$11*SUMIF(Data!$G:$G,Neutral!$A37,Data!$DB:$DB)+'Rate History'!$C$12*SUMIF(Data!$G:$G,Neutral!$A37,Data!$DC:$DC)+'Rate History'!$C$13*SUMIF(Data!$G:$G,Neutral!$A37,Data!$DD:$DD)+'Rate History'!$C$14*SUMIF(Data!$G:$G,Neutral!$A37,Data!$DE:$DE)+'Rate History'!$C$15*SUMIF(Data!$G:$G,Neutral!$A37,Data!$DF:$DF)+'Rate History'!$C$16*SUMIF(Data!$G:$G,Neutral!$A37,Data!$DG:$DG)+'Rate History'!$C$17*SUMIF(Data!$G:$G,Neutral!$A37,Data!$DH:$DH)+'Rate History'!$C$18*SUMIF(Data!$G:$G,Neutral!$A37,Data!$DI:$DI)+'Rate History'!$C$19*SUMIF(Data!$G:$G,Neutral!$A37,Data!$DJ:$DJ)+'Rate History'!$C$20*SUMIF(Data!$G:$G,Neutral!$A37,Data!$DK:$DK)+'Rate History'!$C$21*SUMIF(Data!$G:$G,Neutral!$A37,Data!$DL:$DL)+'Rate History'!$C$22*SUMIF(Data!$G:$G,Neutral!$A37,Data!$DM:$DM)+'Rate History'!$C$23*SUMIF(Data!$G:$G,Neutral!$A37,Data!$DN:$DN)+'Rate History'!$C$24*SUMIF(Data!$G:$G,Neutral!$A37,Data!$DO:$DO)+'Rate History'!$C$25*SUMIF(Data!$G:$G,Neutral!$A37,Data!$DP:$DP)+'Rate History'!$C$26*SUMIF(Data!$G:$G,Neutral!$A37,Data!$DQ:$DQ)+'Rate History'!$C$27*SUMIF(Data!$G:$G,Neutral!$A37,Data!$DR:$DR)+'Rate History'!$C$28*SUMIF(Data!$G:$G,Neutral!$A37,Data!$DS:$DS)+'Rate History'!$C$29*SUMIF(Data!$G:$G,Neutral!$A37,Data!$DT:$DT)+'Rate History'!$C$30*SUMIF(Data!$G:$G,Neutral!$A37,Data!$DV:$DV)+'Rate History'!$C$31*SUMIF(Data!$G:$G,Neutral!$A37,Data!$DW:$DW))</f>
        <v>7125590.8285820754</v>
      </c>
      <c r="D37" s="106">
        <f t="shared" si="1"/>
        <v>-353461.2190996306</v>
      </c>
      <c r="E37" s="108">
        <f t="shared" si="0"/>
        <v>-4.7260163032184478E-2</v>
      </c>
    </row>
    <row r="38" spans="1:5" x14ac:dyDescent="0.25">
      <c r="A38" s="101" t="s">
        <v>505</v>
      </c>
      <c r="B38" s="121">
        <f>$B$5*('Rate History'!$D$4*SUMIF(Data!$G:$G,Neutral!$A38,Data!$CU:$CU)+'Rate History'!$D$5*SUMIF(Data!$G:$G,Neutral!$A38,Data!$CV:$CV)+'Rate History'!$D$6*SUMIF(Data!$G:$G,Neutral!$A38,Data!$CW:$CW)+'Rate History'!$D$7*SUMIF(Data!$G:$G,Neutral!$A38,Data!$CX:$CX)+'Rate History'!$D$8*SUMIF(Data!$G:$G,Neutral!$A38,Data!$CY:$CY)+'Rate History'!$D$9*SUMIF(Data!$G:$G,Neutral!$A38,Data!$CZ:$CZ)+'Rate History'!$D$10*SUMIF(Data!$G:$G,Neutral!$A38,Data!$DA:$DA)+'Rate History'!$D$11*SUMIF(Data!$G:$G,Neutral!$A38,Data!$DB:$DB)+'Rate History'!$D$12*SUMIF(Data!$G:$G,Neutral!$A38,Data!$DC:$DC)+'Rate History'!$D$13*SUMIF(Data!$G:$G,Neutral!$A38,Data!$DD:$DD)+'Rate History'!$D$14*SUMIF(Data!$G:$G,Neutral!$A38,Data!$DE:$DE)+'Rate History'!$D$15*SUMIF(Data!$G:$G,Neutral!$A38,Data!$DF:$DF)+'Rate History'!$D$16*SUMIF(Data!$G:$G,Neutral!$A38,Data!$DG:$DG)+'Rate History'!$D$17*SUMIF(Data!$G:$G,Neutral!$A38,Data!$DH:$DH)+'Rate History'!$D$18*SUMIF(Data!$G:$G,Neutral!$A38,Data!$DI:$DI)+'Rate History'!$D$19*SUMIF(Data!$G:$G,Neutral!$A38,Data!$DJ:$DJ)+'Rate History'!$D$20*SUMIF(Data!$G:$G,Neutral!$A38,Data!$DK:$DK)+'Rate History'!$D$21*SUMIF(Data!$G:$G,Neutral!$A38,Data!$DL:$DL)+'Rate History'!$D$22*SUMIF(Data!$G:$G,Neutral!$A38,Data!$DM:$DM)+'Rate History'!$D$23*SUMIF(Data!$G:$G,Neutral!$A38,Data!$DN:$DN)+'Rate History'!$D$24*SUMIF(Data!$G:$G,Neutral!$A38,Data!$DO:$DO)+'Rate History'!$D$25*SUMIF(Data!$G:$G,Neutral!$A38,Data!$DP:$DP)+'Rate History'!$D$26*SUMIF(Data!$G:$G,Neutral!$A38,Data!$DQ:$DQ)+'Rate History'!$D$27*SUMIF(Data!$G:$G,Neutral!$A38,Data!$DR:$DR)+'Rate History'!$D$28*SUMIF(Data!$G:$G,Neutral!$A38,Data!$DS:$DS)+'Rate History'!$D$29*SUMIF(Data!$G:$G,Neutral!$A38,Data!$DT:$DT)+'Rate History'!$D$30*SUMIF(Data!$G:$G,Neutral!$A38,Data!$DV:$DV)+'Rate History'!$D$31*SUMIF(Data!$G:$G,Neutral!$A38,Data!$DW:$DW))</f>
        <v>3648156.9567292146</v>
      </c>
      <c r="C38" s="121">
        <f>$C$5*('Rate History'!$C$4*SUMIF(Data!$G:$G,Neutral!$A38,Data!$CU:$CU)+'Rate History'!$C$5*SUMIF(Data!$G:$G,Neutral!$A38,Data!$CV:$CV)+'Rate History'!$C$6*SUMIF(Data!$G:$G,Neutral!$A38,Data!$CW:$CW)+'Rate History'!$C$7*SUMIF(Data!$G:$G,Neutral!$A38,Data!$CX:$CX)+'Rate History'!$C$8*SUMIF(Data!$G:$G,Neutral!$A38,Data!$CY:$CY)+'Rate History'!$C$9*SUMIF(Data!$G:$G,Neutral!$A38,Data!$CZ:$CZ)+'Rate History'!$C$10*SUMIF(Data!$G:$G,Neutral!$A38,Data!$DA:$DA)+'Rate History'!$C$11*SUMIF(Data!$G:$G,Neutral!$A38,Data!$DB:$DB)+'Rate History'!$C$12*SUMIF(Data!$G:$G,Neutral!$A38,Data!$DC:$DC)+'Rate History'!$C$13*SUMIF(Data!$G:$G,Neutral!$A38,Data!$DD:$DD)+'Rate History'!$C$14*SUMIF(Data!$G:$G,Neutral!$A38,Data!$DE:$DE)+'Rate History'!$C$15*SUMIF(Data!$G:$G,Neutral!$A38,Data!$DF:$DF)+'Rate History'!$C$16*SUMIF(Data!$G:$G,Neutral!$A38,Data!$DG:$DG)+'Rate History'!$C$17*SUMIF(Data!$G:$G,Neutral!$A38,Data!$DH:$DH)+'Rate History'!$C$18*SUMIF(Data!$G:$G,Neutral!$A38,Data!$DI:$DI)+'Rate History'!$C$19*SUMIF(Data!$G:$G,Neutral!$A38,Data!$DJ:$DJ)+'Rate History'!$C$20*SUMIF(Data!$G:$G,Neutral!$A38,Data!$DK:$DK)+'Rate History'!$C$21*SUMIF(Data!$G:$G,Neutral!$A38,Data!$DL:$DL)+'Rate History'!$C$22*SUMIF(Data!$G:$G,Neutral!$A38,Data!$DM:$DM)+'Rate History'!$C$23*SUMIF(Data!$G:$G,Neutral!$A38,Data!$DN:$DN)+'Rate History'!$C$24*SUMIF(Data!$G:$G,Neutral!$A38,Data!$DO:$DO)+'Rate History'!$C$25*SUMIF(Data!$G:$G,Neutral!$A38,Data!$DP:$DP)+'Rate History'!$C$26*SUMIF(Data!$G:$G,Neutral!$A38,Data!$DQ:$DQ)+'Rate History'!$C$27*SUMIF(Data!$G:$G,Neutral!$A38,Data!$DR:$DR)+'Rate History'!$C$28*SUMIF(Data!$G:$G,Neutral!$A38,Data!$DS:$DS)+'Rate History'!$C$29*SUMIF(Data!$G:$G,Neutral!$A38,Data!$DT:$DT)+'Rate History'!$C$30*SUMIF(Data!$G:$G,Neutral!$A38,Data!$DV:$DV)+'Rate History'!$C$31*SUMIF(Data!$G:$G,Neutral!$A38,Data!$DW:$DW))</f>
        <v>3443156.2253076625</v>
      </c>
      <c r="D38" s="106">
        <f t="shared" si="1"/>
        <v>-205000.73142155213</v>
      </c>
      <c r="E38" s="108">
        <f t="shared" ref="E38:E63" si="2">IFERROR(D38/B38,"")</f>
        <v>-5.6192958212342714E-2</v>
      </c>
    </row>
    <row r="39" spans="1:5" x14ac:dyDescent="0.25">
      <c r="A39" s="101" t="s">
        <v>513</v>
      </c>
      <c r="B39" s="121">
        <f>$B$5*('Rate History'!$D$4*SUMIF(Data!$G:$G,Neutral!$A39,Data!$CU:$CU)+'Rate History'!$D$5*SUMIF(Data!$G:$G,Neutral!$A39,Data!$CV:$CV)+'Rate History'!$D$6*SUMIF(Data!$G:$G,Neutral!$A39,Data!$CW:$CW)+'Rate History'!$D$7*SUMIF(Data!$G:$G,Neutral!$A39,Data!$CX:$CX)+'Rate History'!$D$8*SUMIF(Data!$G:$G,Neutral!$A39,Data!$CY:$CY)+'Rate History'!$D$9*SUMIF(Data!$G:$G,Neutral!$A39,Data!$CZ:$CZ)+'Rate History'!$D$10*SUMIF(Data!$G:$G,Neutral!$A39,Data!$DA:$DA)+'Rate History'!$D$11*SUMIF(Data!$G:$G,Neutral!$A39,Data!$DB:$DB)+'Rate History'!$D$12*SUMIF(Data!$G:$G,Neutral!$A39,Data!$DC:$DC)+'Rate History'!$D$13*SUMIF(Data!$G:$G,Neutral!$A39,Data!$DD:$DD)+'Rate History'!$D$14*SUMIF(Data!$G:$G,Neutral!$A39,Data!$DE:$DE)+'Rate History'!$D$15*SUMIF(Data!$G:$G,Neutral!$A39,Data!$DF:$DF)+'Rate History'!$D$16*SUMIF(Data!$G:$G,Neutral!$A39,Data!$DG:$DG)+'Rate History'!$D$17*SUMIF(Data!$G:$G,Neutral!$A39,Data!$DH:$DH)+'Rate History'!$D$18*SUMIF(Data!$G:$G,Neutral!$A39,Data!$DI:$DI)+'Rate History'!$D$19*SUMIF(Data!$G:$G,Neutral!$A39,Data!$DJ:$DJ)+'Rate History'!$D$20*SUMIF(Data!$G:$G,Neutral!$A39,Data!$DK:$DK)+'Rate History'!$D$21*SUMIF(Data!$G:$G,Neutral!$A39,Data!$DL:$DL)+'Rate History'!$D$22*SUMIF(Data!$G:$G,Neutral!$A39,Data!$DM:$DM)+'Rate History'!$D$23*SUMIF(Data!$G:$G,Neutral!$A39,Data!$DN:$DN)+'Rate History'!$D$24*SUMIF(Data!$G:$G,Neutral!$A39,Data!$DO:$DO)+'Rate History'!$D$25*SUMIF(Data!$G:$G,Neutral!$A39,Data!$DP:$DP)+'Rate History'!$D$26*SUMIF(Data!$G:$G,Neutral!$A39,Data!$DQ:$DQ)+'Rate History'!$D$27*SUMIF(Data!$G:$G,Neutral!$A39,Data!$DR:$DR)+'Rate History'!$D$28*SUMIF(Data!$G:$G,Neutral!$A39,Data!$DS:$DS)+'Rate History'!$D$29*SUMIF(Data!$G:$G,Neutral!$A39,Data!$DT:$DT)+'Rate History'!$D$30*SUMIF(Data!$G:$G,Neutral!$A39,Data!$DV:$DV)+'Rate History'!$D$31*SUMIF(Data!$G:$G,Neutral!$A39,Data!$DW:$DW))</f>
        <v>9041492.8138891999</v>
      </c>
      <c r="C39" s="121">
        <f>$C$5*('Rate History'!$C$4*SUMIF(Data!$G:$G,Neutral!$A39,Data!$CU:$CU)+'Rate History'!$C$5*SUMIF(Data!$G:$G,Neutral!$A39,Data!$CV:$CV)+'Rate History'!$C$6*SUMIF(Data!$G:$G,Neutral!$A39,Data!$CW:$CW)+'Rate History'!$C$7*SUMIF(Data!$G:$G,Neutral!$A39,Data!$CX:$CX)+'Rate History'!$C$8*SUMIF(Data!$G:$G,Neutral!$A39,Data!$CY:$CY)+'Rate History'!$C$9*SUMIF(Data!$G:$G,Neutral!$A39,Data!$CZ:$CZ)+'Rate History'!$C$10*SUMIF(Data!$G:$G,Neutral!$A39,Data!$DA:$DA)+'Rate History'!$C$11*SUMIF(Data!$G:$G,Neutral!$A39,Data!$DB:$DB)+'Rate History'!$C$12*SUMIF(Data!$G:$G,Neutral!$A39,Data!$DC:$DC)+'Rate History'!$C$13*SUMIF(Data!$G:$G,Neutral!$A39,Data!$DD:$DD)+'Rate History'!$C$14*SUMIF(Data!$G:$G,Neutral!$A39,Data!$DE:$DE)+'Rate History'!$C$15*SUMIF(Data!$G:$G,Neutral!$A39,Data!$DF:$DF)+'Rate History'!$C$16*SUMIF(Data!$G:$G,Neutral!$A39,Data!$DG:$DG)+'Rate History'!$C$17*SUMIF(Data!$G:$G,Neutral!$A39,Data!$DH:$DH)+'Rate History'!$C$18*SUMIF(Data!$G:$G,Neutral!$A39,Data!$DI:$DI)+'Rate History'!$C$19*SUMIF(Data!$G:$G,Neutral!$A39,Data!$DJ:$DJ)+'Rate History'!$C$20*SUMIF(Data!$G:$G,Neutral!$A39,Data!$DK:$DK)+'Rate History'!$C$21*SUMIF(Data!$G:$G,Neutral!$A39,Data!$DL:$DL)+'Rate History'!$C$22*SUMIF(Data!$G:$G,Neutral!$A39,Data!$DM:$DM)+'Rate History'!$C$23*SUMIF(Data!$G:$G,Neutral!$A39,Data!$DN:$DN)+'Rate History'!$C$24*SUMIF(Data!$G:$G,Neutral!$A39,Data!$DO:$DO)+'Rate History'!$C$25*SUMIF(Data!$G:$G,Neutral!$A39,Data!$DP:$DP)+'Rate History'!$C$26*SUMIF(Data!$G:$G,Neutral!$A39,Data!$DQ:$DQ)+'Rate History'!$C$27*SUMIF(Data!$G:$G,Neutral!$A39,Data!$DR:$DR)+'Rate History'!$C$28*SUMIF(Data!$G:$G,Neutral!$A39,Data!$DS:$DS)+'Rate History'!$C$29*SUMIF(Data!$G:$G,Neutral!$A39,Data!$DT:$DT)+'Rate History'!$C$30*SUMIF(Data!$G:$G,Neutral!$A39,Data!$DV:$DV)+'Rate History'!$C$31*SUMIF(Data!$G:$G,Neutral!$A39,Data!$DW:$DW))</f>
        <v>8962400.9033578821</v>
      </c>
      <c r="D39" s="106">
        <f t="shared" si="1"/>
        <v>-79091.910531317815</v>
      </c>
      <c r="E39" s="108">
        <f t="shared" si="2"/>
        <v>-8.7476606086353131E-3</v>
      </c>
    </row>
    <row r="40" spans="1:5" x14ac:dyDescent="0.25">
      <c r="A40" s="101" t="s">
        <v>519</v>
      </c>
      <c r="B40" s="121">
        <f>$B$5*('Rate History'!$D$4*SUMIF(Data!$G:$G,Neutral!$A40,Data!$CU:$CU)+'Rate History'!$D$5*SUMIF(Data!$G:$G,Neutral!$A40,Data!$CV:$CV)+'Rate History'!$D$6*SUMIF(Data!$G:$G,Neutral!$A40,Data!$CW:$CW)+'Rate History'!$D$7*SUMIF(Data!$G:$G,Neutral!$A40,Data!$CX:$CX)+'Rate History'!$D$8*SUMIF(Data!$G:$G,Neutral!$A40,Data!$CY:$CY)+'Rate History'!$D$9*SUMIF(Data!$G:$G,Neutral!$A40,Data!$CZ:$CZ)+'Rate History'!$D$10*SUMIF(Data!$G:$G,Neutral!$A40,Data!$DA:$DA)+'Rate History'!$D$11*SUMIF(Data!$G:$G,Neutral!$A40,Data!$DB:$DB)+'Rate History'!$D$12*SUMIF(Data!$G:$G,Neutral!$A40,Data!$DC:$DC)+'Rate History'!$D$13*SUMIF(Data!$G:$G,Neutral!$A40,Data!$DD:$DD)+'Rate History'!$D$14*SUMIF(Data!$G:$G,Neutral!$A40,Data!$DE:$DE)+'Rate History'!$D$15*SUMIF(Data!$G:$G,Neutral!$A40,Data!$DF:$DF)+'Rate History'!$D$16*SUMIF(Data!$G:$G,Neutral!$A40,Data!$DG:$DG)+'Rate History'!$D$17*SUMIF(Data!$G:$G,Neutral!$A40,Data!$DH:$DH)+'Rate History'!$D$18*SUMIF(Data!$G:$G,Neutral!$A40,Data!$DI:$DI)+'Rate History'!$D$19*SUMIF(Data!$G:$G,Neutral!$A40,Data!$DJ:$DJ)+'Rate History'!$D$20*SUMIF(Data!$G:$G,Neutral!$A40,Data!$DK:$DK)+'Rate History'!$D$21*SUMIF(Data!$G:$G,Neutral!$A40,Data!$DL:$DL)+'Rate History'!$D$22*SUMIF(Data!$G:$G,Neutral!$A40,Data!$DM:$DM)+'Rate History'!$D$23*SUMIF(Data!$G:$G,Neutral!$A40,Data!$DN:$DN)+'Rate History'!$D$24*SUMIF(Data!$G:$G,Neutral!$A40,Data!$DO:$DO)+'Rate History'!$D$25*SUMIF(Data!$G:$G,Neutral!$A40,Data!$DP:$DP)+'Rate History'!$D$26*SUMIF(Data!$G:$G,Neutral!$A40,Data!$DQ:$DQ)+'Rate History'!$D$27*SUMIF(Data!$G:$G,Neutral!$A40,Data!$DR:$DR)+'Rate History'!$D$28*SUMIF(Data!$G:$G,Neutral!$A40,Data!$DS:$DS)+'Rate History'!$D$29*SUMIF(Data!$G:$G,Neutral!$A40,Data!$DT:$DT)+'Rate History'!$D$30*SUMIF(Data!$G:$G,Neutral!$A40,Data!$DV:$DV)+'Rate History'!$D$31*SUMIF(Data!$G:$G,Neutral!$A40,Data!$DW:$DW))</f>
        <v>2136316.7812776482</v>
      </c>
      <c r="C40" s="121">
        <f>$C$5*('Rate History'!$C$4*SUMIF(Data!$G:$G,Neutral!$A40,Data!$CU:$CU)+'Rate History'!$C$5*SUMIF(Data!$G:$G,Neutral!$A40,Data!$CV:$CV)+'Rate History'!$C$6*SUMIF(Data!$G:$G,Neutral!$A40,Data!$CW:$CW)+'Rate History'!$C$7*SUMIF(Data!$G:$G,Neutral!$A40,Data!$CX:$CX)+'Rate History'!$C$8*SUMIF(Data!$G:$G,Neutral!$A40,Data!$CY:$CY)+'Rate History'!$C$9*SUMIF(Data!$G:$G,Neutral!$A40,Data!$CZ:$CZ)+'Rate History'!$C$10*SUMIF(Data!$G:$G,Neutral!$A40,Data!$DA:$DA)+'Rate History'!$C$11*SUMIF(Data!$G:$G,Neutral!$A40,Data!$DB:$DB)+'Rate History'!$C$12*SUMIF(Data!$G:$G,Neutral!$A40,Data!$DC:$DC)+'Rate History'!$C$13*SUMIF(Data!$G:$G,Neutral!$A40,Data!$DD:$DD)+'Rate History'!$C$14*SUMIF(Data!$G:$G,Neutral!$A40,Data!$DE:$DE)+'Rate History'!$C$15*SUMIF(Data!$G:$G,Neutral!$A40,Data!$DF:$DF)+'Rate History'!$C$16*SUMIF(Data!$G:$G,Neutral!$A40,Data!$DG:$DG)+'Rate History'!$C$17*SUMIF(Data!$G:$G,Neutral!$A40,Data!$DH:$DH)+'Rate History'!$C$18*SUMIF(Data!$G:$G,Neutral!$A40,Data!$DI:$DI)+'Rate History'!$C$19*SUMIF(Data!$G:$G,Neutral!$A40,Data!$DJ:$DJ)+'Rate History'!$C$20*SUMIF(Data!$G:$G,Neutral!$A40,Data!$DK:$DK)+'Rate History'!$C$21*SUMIF(Data!$G:$G,Neutral!$A40,Data!$DL:$DL)+'Rate History'!$C$22*SUMIF(Data!$G:$G,Neutral!$A40,Data!$DM:$DM)+'Rate History'!$C$23*SUMIF(Data!$G:$G,Neutral!$A40,Data!$DN:$DN)+'Rate History'!$C$24*SUMIF(Data!$G:$G,Neutral!$A40,Data!$DO:$DO)+'Rate History'!$C$25*SUMIF(Data!$G:$G,Neutral!$A40,Data!$DP:$DP)+'Rate History'!$C$26*SUMIF(Data!$G:$G,Neutral!$A40,Data!$DQ:$DQ)+'Rate History'!$C$27*SUMIF(Data!$G:$G,Neutral!$A40,Data!$DR:$DR)+'Rate History'!$C$28*SUMIF(Data!$G:$G,Neutral!$A40,Data!$DS:$DS)+'Rate History'!$C$29*SUMIF(Data!$G:$G,Neutral!$A40,Data!$DT:$DT)+'Rate History'!$C$30*SUMIF(Data!$G:$G,Neutral!$A40,Data!$DV:$DV)+'Rate History'!$C$31*SUMIF(Data!$G:$G,Neutral!$A40,Data!$DW:$DW))</f>
        <v>2081169.1717721298</v>
      </c>
      <c r="D40" s="106">
        <f t="shared" si="1"/>
        <v>-55147.60950551834</v>
      </c>
      <c r="E40" s="108">
        <f t="shared" si="2"/>
        <v>-2.5814340826615E-2</v>
      </c>
    </row>
    <row r="41" spans="1:5" x14ac:dyDescent="0.25">
      <c r="A41" s="101" t="s">
        <v>535</v>
      </c>
      <c r="B41" s="121">
        <f>$B$5*('Rate History'!$D$4*SUMIF(Data!$G:$G,Neutral!$A41,Data!$CU:$CU)+'Rate History'!$D$5*SUMIF(Data!$G:$G,Neutral!$A41,Data!$CV:$CV)+'Rate History'!$D$6*SUMIF(Data!$G:$G,Neutral!$A41,Data!$CW:$CW)+'Rate History'!$D$7*SUMIF(Data!$G:$G,Neutral!$A41,Data!$CX:$CX)+'Rate History'!$D$8*SUMIF(Data!$G:$G,Neutral!$A41,Data!$CY:$CY)+'Rate History'!$D$9*SUMIF(Data!$G:$G,Neutral!$A41,Data!$CZ:$CZ)+'Rate History'!$D$10*SUMIF(Data!$G:$G,Neutral!$A41,Data!$DA:$DA)+'Rate History'!$D$11*SUMIF(Data!$G:$G,Neutral!$A41,Data!$DB:$DB)+'Rate History'!$D$12*SUMIF(Data!$G:$G,Neutral!$A41,Data!$DC:$DC)+'Rate History'!$D$13*SUMIF(Data!$G:$G,Neutral!$A41,Data!$DD:$DD)+'Rate History'!$D$14*SUMIF(Data!$G:$G,Neutral!$A41,Data!$DE:$DE)+'Rate History'!$D$15*SUMIF(Data!$G:$G,Neutral!$A41,Data!$DF:$DF)+'Rate History'!$D$16*SUMIF(Data!$G:$G,Neutral!$A41,Data!$DG:$DG)+'Rate History'!$D$17*SUMIF(Data!$G:$G,Neutral!$A41,Data!$DH:$DH)+'Rate History'!$D$18*SUMIF(Data!$G:$G,Neutral!$A41,Data!$DI:$DI)+'Rate History'!$D$19*SUMIF(Data!$G:$G,Neutral!$A41,Data!$DJ:$DJ)+'Rate History'!$D$20*SUMIF(Data!$G:$G,Neutral!$A41,Data!$DK:$DK)+'Rate History'!$D$21*SUMIF(Data!$G:$G,Neutral!$A41,Data!$DL:$DL)+'Rate History'!$D$22*SUMIF(Data!$G:$G,Neutral!$A41,Data!$DM:$DM)+'Rate History'!$D$23*SUMIF(Data!$G:$G,Neutral!$A41,Data!$DN:$DN)+'Rate History'!$D$24*SUMIF(Data!$G:$G,Neutral!$A41,Data!$DO:$DO)+'Rate History'!$D$25*SUMIF(Data!$G:$G,Neutral!$A41,Data!$DP:$DP)+'Rate History'!$D$26*SUMIF(Data!$G:$G,Neutral!$A41,Data!$DQ:$DQ)+'Rate History'!$D$27*SUMIF(Data!$G:$G,Neutral!$A41,Data!$DR:$DR)+'Rate History'!$D$28*SUMIF(Data!$G:$G,Neutral!$A41,Data!$DS:$DS)+'Rate History'!$D$29*SUMIF(Data!$G:$G,Neutral!$A41,Data!$DT:$DT)+'Rate History'!$D$30*SUMIF(Data!$G:$G,Neutral!$A41,Data!$DV:$DV)+'Rate History'!$D$31*SUMIF(Data!$G:$G,Neutral!$A41,Data!$DW:$DW))</f>
        <v>39319579.863486767</v>
      </c>
      <c r="C41" s="121">
        <f>$C$5*('Rate History'!$C$4*SUMIF(Data!$G:$G,Neutral!$A41,Data!$CU:$CU)+'Rate History'!$C$5*SUMIF(Data!$G:$G,Neutral!$A41,Data!$CV:$CV)+'Rate History'!$C$6*SUMIF(Data!$G:$G,Neutral!$A41,Data!$CW:$CW)+'Rate History'!$C$7*SUMIF(Data!$G:$G,Neutral!$A41,Data!$CX:$CX)+'Rate History'!$C$8*SUMIF(Data!$G:$G,Neutral!$A41,Data!$CY:$CY)+'Rate History'!$C$9*SUMIF(Data!$G:$G,Neutral!$A41,Data!$CZ:$CZ)+'Rate History'!$C$10*SUMIF(Data!$G:$G,Neutral!$A41,Data!$DA:$DA)+'Rate History'!$C$11*SUMIF(Data!$G:$G,Neutral!$A41,Data!$DB:$DB)+'Rate History'!$C$12*SUMIF(Data!$G:$G,Neutral!$A41,Data!$DC:$DC)+'Rate History'!$C$13*SUMIF(Data!$G:$G,Neutral!$A41,Data!$DD:$DD)+'Rate History'!$C$14*SUMIF(Data!$G:$G,Neutral!$A41,Data!$DE:$DE)+'Rate History'!$C$15*SUMIF(Data!$G:$G,Neutral!$A41,Data!$DF:$DF)+'Rate History'!$C$16*SUMIF(Data!$G:$G,Neutral!$A41,Data!$DG:$DG)+'Rate History'!$C$17*SUMIF(Data!$G:$G,Neutral!$A41,Data!$DH:$DH)+'Rate History'!$C$18*SUMIF(Data!$G:$G,Neutral!$A41,Data!$DI:$DI)+'Rate History'!$C$19*SUMIF(Data!$G:$G,Neutral!$A41,Data!$DJ:$DJ)+'Rate History'!$C$20*SUMIF(Data!$G:$G,Neutral!$A41,Data!$DK:$DK)+'Rate History'!$C$21*SUMIF(Data!$G:$G,Neutral!$A41,Data!$DL:$DL)+'Rate History'!$C$22*SUMIF(Data!$G:$G,Neutral!$A41,Data!$DM:$DM)+'Rate History'!$C$23*SUMIF(Data!$G:$G,Neutral!$A41,Data!$DN:$DN)+'Rate History'!$C$24*SUMIF(Data!$G:$G,Neutral!$A41,Data!$DO:$DO)+'Rate History'!$C$25*SUMIF(Data!$G:$G,Neutral!$A41,Data!$DP:$DP)+'Rate History'!$C$26*SUMIF(Data!$G:$G,Neutral!$A41,Data!$DQ:$DQ)+'Rate History'!$C$27*SUMIF(Data!$G:$G,Neutral!$A41,Data!$DR:$DR)+'Rate History'!$C$28*SUMIF(Data!$G:$G,Neutral!$A41,Data!$DS:$DS)+'Rate History'!$C$29*SUMIF(Data!$G:$G,Neutral!$A41,Data!$DT:$DT)+'Rate History'!$C$30*SUMIF(Data!$G:$G,Neutral!$A41,Data!$DV:$DV)+'Rate History'!$C$31*SUMIF(Data!$G:$G,Neutral!$A41,Data!$DW:$DW))</f>
        <v>38530430.663032115</v>
      </c>
      <c r="D41" s="106">
        <f t="shared" si="1"/>
        <v>-789149.20045465231</v>
      </c>
      <c r="E41" s="108">
        <f t="shared" si="2"/>
        <v>-2.0070133078595731E-2</v>
      </c>
    </row>
    <row r="42" spans="1:5" x14ac:dyDescent="0.25">
      <c r="A42" s="101" t="s">
        <v>543</v>
      </c>
      <c r="B42" s="121">
        <f>$B$5*('Rate History'!$D$4*SUMIF(Data!$G:$G,Neutral!$A42,Data!$CU:$CU)+'Rate History'!$D$5*SUMIF(Data!$G:$G,Neutral!$A42,Data!$CV:$CV)+'Rate History'!$D$6*SUMIF(Data!$G:$G,Neutral!$A42,Data!$CW:$CW)+'Rate History'!$D$7*SUMIF(Data!$G:$G,Neutral!$A42,Data!$CX:$CX)+'Rate History'!$D$8*SUMIF(Data!$G:$G,Neutral!$A42,Data!$CY:$CY)+'Rate History'!$D$9*SUMIF(Data!$G:$G,Neutral!$A42,Data!$CZ:$CZ)+'Rate History'!$D$10*SUMIF(Data!$G:$G,Neutral!$A42,Data!$DA:$DA)+'Rate History'!$D$11*SUMIF(Data!$G:$G,Neutral!$A42,Data!$DB:$DB)+'Rate History'!$D$12*SUMIF(Data!$G:$G,Neutral!$A42,Data!$DC:$DC)+'Rate History'!$D$13*SUMIF(Data!$G:$G,Neutral!$A42,Data!$DD:$DD)+'Rate History'!$D$14*SUMIF(Data!$G:$G,Neutral!$A42,Data!$DE:$DE)+'Rate History'!$D$15*SUMIF(Data!$G:$G,Neutral!$A42,Data!$DF:$DF)+'Rate History'!$D$16*SUMIF(Data!$G:$G,Neutral!$A42,Data!$DG:$DG)+'Rate History'!$D$17*SUMIF(Data!$G:$G,Neutral!$A42,Data!$DH:$DH)+'Rate History'!$D$18*SUMIF(Data!$G:$G,Neutral!$A42,Data!$DI:$DI)+'Rate History'!$D$19*SUMIF(Data!$G:$G,Neutral!$A42,Data!$DJ:$DJ)+'Rate History'!$D$20*SUMIF(Data!$G:$G,Neutral!$A42,Data!$DK:$DK)+'Rate History'!$D$21*SUMIF(Data!$G:$G,Neutral!$A42,Data!$DL:$DL)+'Rate History'!$D$22*SUMIF(Data!$G:$G,Neutral!$A42,Data!$DM:$DM)+'Rate History'!$D$23*SUMIF(Data!$G:$G,Neutral!$A42,Data!$DN:$DN)+'Rate History'!$D$24*SUMIF(Data!$G:$G,Neutral!$A42,Data!$DO:$DO)+'Rate History'!$D$25*SUMIF(Data!$G:$G,Neutral!$A42,Data!$DP:$DP)+'Rate History'!$D$26*SUMIF(Data!$G:$G,Neutral!$A42,Data!$DQ:$DQ)+'Rate History'!$D$27*SUMIF(Data!$G:$G,Neutral!$A42,Data!$DR:$DR)+'Rate History'!$D$28*SUMIF(Data!$G:$G,Neutral!$A42,Data!$DS:$DS)+'Rate History'!$D$29*SUMIF(Data!$G:$G,Neutral!$A42,Data!$DT:$DT)+'Rate History'!$D$30*SUMIF(Data!$G:$G,Neutral!$A42,Data!$DV:$DV)+'Rate History'!$D$31*SUMIF(Data!$G:$G,Neutral!$A42,Data!$DW:$DW))</f>
        <v>14508239.331070555</v>
      </c>
      <c r="C42" s="121">
        <f>$C$5*('Rate History'!$C$4*SUMIF(Data!$G:$G,Neutral!$A42,Data!$CU:$CU)+'Rate History'!$C$5*SUMIF(Data!$G:$G,Neutral!$A42,Data!$CV:$CV)+'Rate History'!$C$6*SUMIF(Data!$G:$G,Neutral!$A42,Data!$CW:$CW)+'Rate History'!$C$7*SUMIF(Data!$G:$G,Neutral!$A42,Data!$CX:$CX)+'Rate History'!$C$8*SUMIF(Data!$G:$G,Neutral!$A42,Data!$CY:$CY)+'Rate History'!$C$9*SUMIF(Data!$G:$G,Neutral!$A42,Data!$CZ:$CZ)+'Rate History'!$C$10*SUMIF(Data!$G:$G,Neutral!$A42,Data!$DA:$DA)+'Rate History'!$C$11*SUMIF(Data!$G:$G,Neutral!$A42,Data!$DB:$DB)+'Rate History'!$C$12*SUMIF(Data!$G:$G,Neutral!$A42,Data!$DC:$DC)+'Rate History'!$C$13*SUMIF(Data!$G:$G,Neutral!$A42,Data!$DD:$DD)+'Rate History'!$C$14*SUMIF(Data!$G:$G,Neutral!$A42,Data!$DE:$DE)+'Rate History'!$C$15*SUMIF(Data!$G:$G,Neutral!$A42,Data!$DF:$DF)+'Rate History'!$C$16*SUMIF(Data!$G:$G,Neutral!$A42,Data!$DG:$DG)+'Rate History'!$C$17*SUMIF(Data!$G:$G,Neutral!$A42,Data!$DH:$DH)+'Rate History'!$C$18*SUMIF(Data!$G:$G,Neutral!$A42,Data!$DI:$DI)+'Rate History'!$C$19*SUMIF(Data!$G:$G,Neutral!$A42,Data!$DJ:$DJ)+'Rate History'!$C$20*SUMIF(Data!$G:$G,Neutral!$A42,Data!$DK:$DK)+'Rate History'!$C$21*SUMIF(Data!$G:$G,Neutral!$A42,Data!$DL:$DL)+'Rate History'!$C$22*SUMIF(Data!$G:$G,Neutral!$A42,Data!$DM:$DM)+'Rate History'!$C$23*SUMIF(Data!$G:$G,Neutral!$A42,Data!$DN:$DN)+'Rate History'!$C$24*SUMIF(Data!$G:$G,Neutral!$A42,Data!$DO:$DO)+'Rate History'!$C$25*SUMIF(Data!$G:$G,Neutral!$A42,Data!$DP:$DP)+'Rate History'!$C$26*SUMIF(Data!$G:$G,Neutral!$A42,Data!$DQ:$DQ)+'Rate History'!$C$27*SUMIF(Data!$G:$G,Neutral!$A42,Data!$DR:$DR)+'Rate History'!$C$28*SUMIF(Data!$G:$G,Neutral!$A42,Data!$DS:$DS)+'Rate History'!$C$29*SUMIF(Data!$G:$G,Neutral!$A42,Data!$DT:$DT)+'Rate History'!$C$30*SUMIF(Data!$G:$G,Neutral!$A42,Data!$DV:$DV)+'Rate History'!$C$31*SUMIF(Data!$G:$G,Neutral!$A42,Data!$DW:$DW))</f>
        <v>13932293.340962609</v>
      </c>
      <c r="D42" s="106">
        <f t="shared" si="1"/>
        <v>-575945.9901079461</v>
      </c>
      <c r="E42" s="108">
        <f t="shared" si="2"/>
        <v>-3.9697855609158013E-2</v>
      </c>
    </row>
    <row r="43" spans="1:5" x14ac:dyDescent="0.25">
      <c r="A43" s="101" t="s">
        <v>777</v>
      </c>
      <c r="B43" s="121">
        <f>$B$5*('Rate History'!$D$4*SUMIF(Data!$G:$G,Neutral!$A43,Data!$CU:$CU)+'Rate History'!$D$5*SUMIF(Data!$G:$G,Neutral!$A43,Data!$CV:$CV)+'Rate History'!$D$6*SUMIF(Data!$G:$G,Neutral!$A43,Data!$CW:$CW)+'Rate History'!$D$7*SUMIF(Data!$G:$G,Neutral!$A43,Data!$CX:$CX)+'Rate History'!$D$8*SUMIF(Data!$G:$G,Neutral!$A43,Data!$CY:$CY)+'Rate History'!$D$9*SUMIF(Data!$G:$G,Neutral!$A43,Data!$CZ:$CZ)+'Rate History'!$D$10*SUMIF(Data!$G:$G,Neutral!$A43,Data!$DA:$DA)+'Rate History'!$D$11*SUMIF(Data!$G:$G,Neutral!$A43,Data!$DB:$DB)+'Rate History'!$D$12*SUMIF(Data!$G:$G,Neutral!$A43,Data!$DC:$DC)+'Rate History'!$D$13*SUMIF(Data!$G:$G,Neutral!$A43,Data!$DD:$DD)+'Rate History'!$D$14*SUMIF(Data!$G:$G,Neutral!$A43,Data!$DE:$DE)+'Rate History'!$D$15*SUMIF(Data!$G:$G,Neutral!$A43,Data!$DF:$DF)+'Rate History'!$D$16*SUMIF(Data!$G:$G,Neutral!$A43,Data!$DG:$DG)+'Rate History'!$D$17*SUMIF(Data!$G:$G,Neutral!$A43,Data!$DH:$DH)+'Rate History'!$D$18*SUMIF(Data!$G:$G,Neutral!$A43,Data!$DI:$DI)+'Rate History'!$D$19*SUMIF(Data!$G:$G,Neutral!$A43,Data!$DJ:$DJ)+'Rate History'!$D$20*SUMIF(Data!$G:$G,Neutral!$A43,Data!$DK:$DK)+'Rate History'!$D$21*SUMIF(Data!$G:$G,Neutral!$A43,Data!$DL:$DL)+'Rate History'!$D$22*SUMIF(Data!$G:$G,Neutral!$A43,Data!$DM:$DM)+'Rate History'!$D$23*SUMIF(Data!$G:$G,Neutral!$A43,Data!$DN:$DN)+'Rate History'!$D$24*SUMIF(Data!$G:$G,Neutral!$A43,Data!$DO:$DO)+'Rate History'!$D$25*SUMIF(Data!$G:$G,Neutral!$A43,Data!$DP:$DP)+'Rate History'!$D$26*SUMIF(Data!$G:$G,Neutral!$A43,Data!$DQ:$DQ)+'Rate History'!$D$27*SUMIF(Data!$G:$G,Neutral!$A43,Data!$DR:$DR)+'Rate History'!$D$28*SUMIF(Data!$G:$G,Neutral!$A43,Data!$DS:$DS)+'Rate History'!$D$29*SUMIF(Data!$G:$G,Neutral!$A43,Data!$DT:$DT)+'Rate History'!$D$30*SUMIF(Data!$G:$G,Neutral!$A43,Data!$DV:$DV)+'Rate History'!$D$31*SUMIF(Data!$G:$G,Neutral!$A43,Data!$DW:$DW))</f>
        <v>31653833.309294455</v>
      </c>
      <c r="C43" s="121">
        <f>$C$5*('Rate History'!$C$4*SUMIF(Data!$G:$G,Neutral!$A43,Data!$CU:$CU)+'Rate History'!$C$5*SUMIF(Data!$G:$G,Neutral!$A43,Data!$CV:$CV)+'Rate History'!$C$6*SUMIF(Data!$G:$G,Neutral!$A43,Data!$CW:$CW)+'Rate History'!$C$7*SUMIF(Data!$G:$G,Neutral!$A43,Data!$CX:$CX)+'Rate History'!$C$8*SUMIF(Data!$G:$G,Neutral!$A43,Data!$CY:$CY)+'Rate History'!$C$9*SUMIF(Data!$G:$G,Neutral!$A43,Data!$CZ:$CZ)+'Rate History'!$C$10*SUMIF(Data!$G:$G,Neutral!$A43,Data!$DA:$DA)+'Rate History'!$C$11*SUMIF(Data!$G:$G,Neutral!$A43,Data!$DB:$DB)+'Rate History'!$C$12*SUMIF(Data!$G:$G,Neutral!$A43,Data!$DC:$DC)+'Rate History'!$C$13*SUMIF(Data!$G:$G,Neutral!$A43,Data!$DD:$DD)+'Rate History'!$C$14*SUMIF(Data!$G:$G,Neutral!$A43,Data!$DE:$DE)+'Rate History'!$C$15*SUMIF(Data!$G:$G,Neutral!$A43,Data!$DF:$DF)+'Rate History'!$C$16*SUMIF(Data!$G:$G,Neutral!$A43,Data!$DG:$DG)+'Rate History'!$C$17*SUMIF(Data!$G:$G,Neutral!$A43,Data!$DH:$DH)+'Rate History'!$C$18*SUMIF(Data!$G:$G,Neutral!$A43,Data!$DI:$DI)+'Rate History'!$C$19*SUMIF(Data!$G:$G,Neutral!$A43,Data!$DJ:$DJ)+'Rate History'!$C$20*SUMIF(Data!$G:$G,Neutral!$A43,Data!$DK:$DK)+'Rate History'!$C$21*SUMIF(Data!$G:$G,Neutral!$A43,Data!$DL:$DL)+'Rate History'!$C$22*SUMIF(Data!$G:$G,Neutral!$A43,Data!$DM:$DM)+'Rate History'!$C$23*SUMIF(Data!$G:$G,Neutral!$A43,Data!$DN:$DN)+'Rate History'!$C$24*SUMIF(Data!$G:$G,Neutral!$A43,Data!$DO:$DO)+'Rate History'!$C$25*SUMIF(Data!$G:$G,Neutral!$A43,Data!$DP:$DP)+'Rate History'!$C$26*SUMIF(Data!$G:$G,Neutral!$A43,Data!$DQ:$DQ)+'Rate History'!$C$27*SUMIF(Data!$G:$G,Neutral!$A43,Data!$DR:$DR)+'Rate History'!$C$28*SUMIF(Data!$G:$G,Neutral!$A43,Data!$DS:$DS)+'Rate History'!$C$29*SUMIF(Data!$G:$G,Neutral!$A43,Data!$DT:$DT)+'Rate History'!$C$30*SUMIF(Data!$G:$G,Neutral!$A43,Data!$DV:$DV)+'Rate History'!$C$31*SUMIF(Data!$G:$G,Neutral!$A43,Data!$DW:$DW))</f>
        <v>32071481.309600715</v>
      </c>
      <c r="D43" s="106">
        <f t="shared" si="1"/>
        <v>417648.00030625984</v>
      </c>
      <c r="E43" s="108">
        <f t="shared" si="2"/>
        <v>1.319423136608313E-2</v>
      </c>
    </row>
    <row r="44" spans="1:5" x14ac:dyDescent="0.25">
      <c r="A44" s="101" t="s">
        <v>551</v>
      </c>
      <c r="B44" s="121">
        <f>$B$5*('Rate History'!$D$4*SUMIF(Data!$G:$G,Neutral!$A44,Data!$CU:$CU)+'Rate History'!$D$5*SUMIF(Data!$G:$G,Neutral!$A44,Data!$CV:$CV)+'Rate History'!$D$6*SUMIF(Data!$G:$G,Neutral!$A44,Data!$CW:$CW)+'Rate History'!$D$7*SUMIF(Data!$G:$G,Neutral!$A44,Data!$CX:$CX)+'Rate History'!$D$8*SUMIF(Data!$G:$G,Neutral!$A44,Data!$CY:$CY)+'Rate History'!$D$9*SUMIF(Data!$G:$G,Neutral!$A44,Data!$CZ:$CZ)+'Rate History'!$D$10*SUMIF(Data!$G:$G,Neutral!$A44,Data!$DA:$DA)+'Rate History'!$D$11*SUMIF(Data!$G:$G,Neutral!$A44,Data!$DB:$DB)+'Rate History'!$D$12*SUMIF(Data!$G:$G,Neutral!$A44,Data!$DC:$DC)+'Rate History'!$D$13*SUMIF(Data!$G:$G,Neutral!$A44,Data!$DD:$DD)+'Rate History'!$D$14*SUMIF(Data!$G:$G,Neutral!$A44,Data!$DE:$DE)+'Rate History'!$D$15*SUMIF(Data!$G:$G,Neutral!$A44,Data!$DF:$DF)+'Rate History'!$D$16*SUMIF(Data!$G:$G,Neutral!$A44,Data!$DG:$DG)+'Rate History'!$D$17*SUMIF(Data!$G:$G,Neutral!$A44,Data!$DH:$DH)+'Rate History'!$D$18*SUMIF(Data!$G:$G,Neutral!$A44,Data!$DI:$DI)+'Rate History'!$D$19*SUMIF(Data!$G:$G,Neutral!$A44,Data!$DJ:$DJ)+'Rate History'!$D$20*SUMIF(Data!$G:$G,Neutral!$A44,Data!$DK:$DK)+'Rate History'!$D$21*SUMIF(Data!$G:$G,Neutral!$A44,Data!$DL:$DL)+'Rate History'!$D$22*SUMIF(Data!$G:$G,Neutral!$A44,Data!$DM:$DM)+'Rate History'!$D$23*SUMIF(Data!$G:$G,Neutral!$A44,Data!$DN:$DN)+'Rate History'!$D$24*SUMIF(Data!$G:$G,Neutral!$A44,Data!$DO:$DO)+'Rate History'!$D$25*SUMIF(Data!$G:$G,Neutral!$A44,Data!$DP:$DP)+'Rate History'!$D$26*SUMIF(Data!$G:$G,Neutral!$A44,Data!$DQ:$DQ)+'Rate History'!$D$27*SUMIF(Data!$G:$G,Neutral!$A44,Data!$DR:$DR)+'Rate History'!$D$28*SUMIF(Data!$G:$G,Neutral!$A44,Data!$DS:$DS)+'Rate History'!$D$29*SUMIF(Data!$G:$G,Neutral!$A44,Data!$DT:$DT)+'Rate History'!$D$30*SUMIF(Data!$G:$G,Neutral!$A44,Data!$DV:$DV)+'Rate History'!$D$31*SUMIF(Data!$G:$G,Neutral!$A44,Data!$DW:$DW))</f>
        <v>6987125.7865440128</v>
      </c>
      <c r="C44" s="121">
        <f>$C$5*('Rate History'!$C$4*SUMIF(Data!$G:$G,Neutral!$A44,Data!$CU:$CU)+'Rate History'!$C$5*SUMIF(Data!$G:$G,Neutral!$A44,Data!$CV:$CV)+'Rate History'!$C$6*SUMIF(Data!$G:$G,Neutral!$A44,Data!$CW:$CW)+'Rate History'!$C$7*SUMIF(Data!$G:$G,Neutral!$A44,Data!$CX:$CX)+'Rate History'!$C$8*SUMIF(Data!$G:$G,Neutral!$A44,Data!$CY:$CY)+'Rate History'!$C$9*SUMIF(Data!$G:$G,Neutral!$A44,Data!$CZ:$CZ)+'Rate History'!$C$10*SUMIF(Data!$G:$G,Neutral!$A44,Data!$DA:$DA)+'Rate History'!$C$11*SUMIF(Data!$G:$G,Neutral!$A44,Data!$DB:$DB)+'Rate History'!$C$12*SUMIF(Data!$G:$G,Neutral!$A44,Data!$DC:$DC)+'Rate History'!$C$13*SUMIF(Data!$G:$G,Neutral!$A44,Data!$DD:$DD)+'Rate History'!$C$14*SUMIF(Data!$G:$G,Neutral!$A44,Data!$DE:$DE)+'Rate History'!$C$15*SUMIF(Data!$G:$G,Neutral!$A44,Data!$DF:$DF)+'Rate History'!$C$16*SUMIF(Data!$G:$G,Neutral!$A44,Data!$DG:$DG)+'Rate History'!$C$17*SUMIF(Data!$G:$G,Neutral!$A44,Data!$DH:$DH)+'Rate History'!$C$18*SUMIF(Data!$G:$G,Neutral!$A44,Data!$DI:$DI)+'Rate History'!$C$19*SUMIF(Data!$G:$G,Neutral!$A44,Data!$DJ:$DJ)+'Rate History'!$C$20*SUMIF(Data!$G:$G,Neutral!$A44,Data!$DK:$DK)+'Rate History'!$C$21*SUMIF(Data!$G:$G,Neutral!$A44,Data!$DL:$DL)+'Rate History'!$C$22*SUMIF(Data!$G:$G,Neutral!$A44,Data!$DM:$DM)+'Rate History'!$C$23*SUMIF(Data!$G:$G,Neutral!$A44,Data!$DN:$DN)+'Rate History'!$C$24*SUMIF(Data!$G:$G,Neutral!$A44,Data!$DO:$DO)+'Rate History'!$C$25*SUMIF(Data!$G:$G,Neutral!$A44,Data!$DP:$DP)+'Rate History'!$C$26*SUMIF(Data!$G:$G,Neutral!$A44,Data!$DQ:$DQ)+'Rate History'!$C$27*SUMIF(Data!$G:$G,Neutral!$A44,Data!$DR:$DR)+'Rate History'!$C$28*SUMIF(Data!$G:$G,Neutral!$A44,Data!$DS:$DS)+'Rate History'!$C$29*SUMIF(Data!$G:$G,Neutral!$A44,Data!$DT:$DT)+'Rate History'!$C$30*SUMIF(Data!$G:$G,Neutral!$A44,Data!$DV:$DV)+'Rate History'!$C$31*SUMIF(Data!$G:$G,Neutral!$A44,Data!$DW:$DW))</f>
        <v>7246119.9929809654</v>
      </c>
      <c r="D44" s="106">
        <f t="shared" si="1"/>
        <v>258994.20643695258</v>
      </c>
      <c r="E44" s="108">
        <f t="shared" si="2"/>
        <v>3.706734562239173E-2</v>
      </c>
    </row>
    <row r="45" spans="1:5" x14ac:dyDescent="0.25">
      <c r="A45" s="101" t="s">
        <v>560</v>
      </c>
      <c r="B45" s="121">
        <f>$B$5*('Rate History'!$D$4*SUMIF(Data!$G:$G,Neutral!$A45,Data!$CU:$CU)+'Rate History'!$D$5*SUMIF(Data!$G:$G,Neutral!$A45,Data!$CV:$CV)+'Rate History'!$D$6*SUMIF(Data!$G:$G,Neutral!$A45,Data!$CW:$CW)+'Rate History'!$D$7*SUMIF(Data!$G:$G,Neutral!$A45,Data!$CX:$CX)+'Rate History'!$D$8*SUMIF(Data!$G:$G,Neutral!$A45,Data!$CY:$CY)+'Rate History'!$D$9*SUMIF(Data!$G:$G,Neutral!$A45,Data!$CZ:$CZ)+'Rate History'!$D$10*SUMIF(Data!$G:$G,Neutral!$A45,Data!$DA:$DA)+'Rate History'!$D$11*SUMIF(Data!$G:$G,Neutral!$A45,Data!$DB:$DB)+'Rate History'!$D$12*SUMIF(Data!$G:$G,Neutral!$A45,Data!$DC:$DC)+'Rate History'!$D$13*SUMIF(Data!$G:$G,Neutral!$A45,Data!$DD:$DD)+'Rate History'!$D$14*SUMIF(Data!$G:$G,Neutral!$A45,Data!$DE:$DE)+'Rate History'!$D$15*SUMIF(Data!$G:$G,Neutral!$A45,Data!$DF:$DF)+'Rate History'!$D$16*SUMIF(Data!$G:$G,Neutral!$A45,Data!$DG:$DG)+'Rate History'!$D$17*SUMIF(Data!$G:$G,Neutral!$A45,Data!$DH:$DH)+'Rate History'!$D$18*SUMIF(Data!$G:$G,Neutral!$A45,Data!$DI:$DI)+'Rate History'!$D$19*SUMIF(Data!$G:$G,Neutral!$A45,Data!$DJ:$DJ)+'Rate History'!$D$20*SUMIF(Data!$G:$G,Neutral!$A45,Data!$DK:$DK)+'Rate History'!$D$21*SUMIF(Data!$G:$G,Neutral!$A45,Data!$DL:$DL)+'Rate History'!$D$22*SUMIF(Data!$G:$G,Neutral!$A45,Data!$DM:$DM)+'Rate History'!$D$23*SUMIF(Data!$G:$G,Neutral!$A45,Data!$DN:$DN)+'Rate History'!$D$24*SUMIF(Data!$G:$G,Neutral!$A45,Data!$DO:$DO)+'Rate History'!$D$25*SUMIF(Data!$G:$G,Neutral!$A45,Data!$DP:$DP)+'Rate History'!$D$26*SUMIF(Data!$G:$G,Neutral!$A45,Data!$DQ:$DQ)+'Rate History'!$D$27*SUMIF(Data!$G:$G,Neutral!$A45,Data!$DR:$DR)+'Rate History'!$D$28*SUMIF(Data!$G:$G,Neutral!$A45,Data!$DS:$DS)+'Rate History'!$D$29*SUMIF(Data!$G:$G,Neutral!$A45,Data!$DT:$DT)+'Rate History'!$D$30*SUMIF(Data!$G:$G,Neutral!$A45,Data!$DV:$DV)+'Rate History'!$D$31*SUMIF(Data!$G:$G,Neutral!$A45,Data!$DW:$DW))</f>
        <v>55128636.9522532</v>
      </c>
      <c r="C45" s="121">
        <f>$C$5*('Rate History'!$C$4*SUMIF(Data!$G:$G,Neutral!$A45,Data!$CU:$CU)+'Rate History'!$C$5*SUMIF(Data!$G:$G,Neutral!$A45,Data!$CV:$CV)+'Rate History'!$C$6*SUMIF(Data!$G:$G,Neutral!$A45,Data!$CW:$CW)+'Rate History'!$C$7*SUMIF(Data!$G:$G,Neutral!$A45,Data!$CX:$CX)+'Rate History'!$C$8*SUMIF(Data!$G:$G,Neutral!$A45,Data!$CY:$CY)+'Rate History'!$C$9*SUMIF(Data!$G:$G,Neutral!$A45,Data!$CZ:$CZ)+'Rate History'!$C$10*SUMIF(Data!$G:$G,Neutral!$A45,Data!$DA:$DA)+'Rate History'!$C$11*SUMIF(Data!$G:$G,Neutral!$A45,Data!$DB:$DB)+'Rate History'!$C$12*SUMIF(Data!$G:$G,Neutral!$A45,Data!$DC:$DC)+'Rate History'!$C$13*SUMIF(Data!$G:$G,Neutral!$A45,Data!$DD:$DD)+'Rate History'!$C$14*SUMIF(Data!$G:$G,Neutral!$A45,Data!$DE:$DE)+'Rate History'!$C$15*SUMIF(Data!$G:$G,Neutral!$A45,Data!$DF:$DF)+'Rate History'!$C$16*SUMIF(Data!$G:$G,Neutral!$A45,Data!$DG:$DG)+'Rate History'!$C$17*SUMIF(Data!$G:$G,Neutral!$A45,Data!$DH:$DH)+'Rate History'!$C$18*SUMIF(Data!$G:$G,Neutral!$A45,Data!$DI:$DI)+'Rate History'!$C$19*SUMIF(Data!$G:$G,Neutral!$A45,Data!$DJ:$DJ)+'Rate History'!$C$20*SUMIF(Data!$G:$G,Neutral!$A45,Data!$DK:$DK)+'Rate History'!$C$21*SUMIF(Data!$G:$G,Neutral!$A45,Data!$DL:$DL)+'Rate History'!$C$22*SUMIF(Data!$G:$G,Neutral!$A45,Data!$DM:$DM)+'Rate History'!$C$23*SUMIF(Data!$G:$G,Neutral!$A45,Data!$DN:$DN)+'Rate History'!$C$24*SUMIF(Data!$G:$G,Neutral!$A45,Data!$DO:$DO)+'Rate History'!$C$25*SUMIF(Data!$G:$G,Neutral!$A45,Data!$DP:$DP)+'Rate History'!$C$26*SUMIF(Data!$G:$G,Neutral!$A45,Data!$DQ:$DQ)+'Rate History'!$C$27*SUMIF(Data!$G:$G,Neutral!$A45,Data!$DR:$DR)+'Rate History'!$C$28*SUMIF(Data!$G:$G,Neutral!$A45,Data!$DS:$DS)+'Rate History'!$C$29*SUMIF(Data!$G:$G,Neutral!$A45,Data!$DT:$DT)+'Rate History'!$C$30*SUMIF(Data!$G:$G,Neutral!$A45,Data!$DV:$DV)+'Rate History'!$C$31*SUMIF(Data!$G:$G,Neutral!$A45,Data!$DW:$DW))</f>
        <v>54605731.722248763</v>
      </c>
      <c r="D45" s="106">
        <f t="shared" si="1"/>
        <v>-522905.23000443727</v>
      </c>
      <c r="E45" s="108">
        <f t="shared" si="2"/>
        <v>-9.4851833622754799E-3</v>
      </c>
    </row>
    <row r="46" spans="1:5" x14ac:dyDescent="0.25">
      <c r="A46" s="101" t="s">
        <v>568</v>
      </c>
      <c r="B46" s="121">
        <f>$B$5*('Rate History'!$D$4*SUMIF(Data!$G:$G,Neutral!$A46,Data!$CU:$CU)+'Rate History'!$D$5*SUMIF(Data!$G:$G,Neutral!$A46,Data!$CV:$CV)+'Rate History'!$D$6*SUMIF(Data!$G:$G,Neutral!$A46,Data!$CW:$CW)+'Rate History'!$D$7*SUMIF(Data!$G:$G,Neutral!$A46,Data!$CX:$CX)+'Rate History'!$D$8*SUMIF(Data!$G:$G,Neutral!$A46,Data!$CY:$CY)+'Rate History'!$D$9*SUMIF(Data!$G:$G,Neutral!$A46,Data!$CZ:$CZ)+'Rate History'!$D$10*SUMIF(Data!$G:$G,Neutral!$A46,Data!$DA:$DA)+'Rate History'!$D$11*SUMIF(Data!$G:$G,Neutral!$A46,Data!$DB:$DB)+'Rate History'!$D$12*SUMIF(Data!$G:$G,Neutral!$A46,Data!$DC:$DC)+'Rate History'!$D$13*SUMIF(Data!$G:$G,Neutral!$A46,Data!$DD:$DD)+'Rate History'!$D$14*SUMIF(Data!$G:$G,Neutral!$A46,Data!$DE:$DE)+'Rate History'!$D$15*SUMIF(Data!$G:$G,Neutral!$A46,Data!$DF:$DF)+'Rate History'!$D$16*SUMIF(Data!$G:$G,Neutral!$A46,Data!$DG:$DG)+'Rate History'!$D$17*SUMIF(Data!$G:$G,Neutral!$A46,Data!$DH:$DH)+'Rate History'!$D$18*SUMIF(Data!$G:$G,Neutral!$A46,Data!$DI:$DI)+'Rate History'!$D$19*SUMIF(Data!$G:$G,Neutral!$A46,Data!$DJ:$DJ)+'Rate History'!$D$20*SUMIF(Data!$G:$G,Neutral!$A46,Data!$DK:$DK)+'Rate History'!$D$21*SUMIF(Data!$G:$G,Neutral!$A46,Data!$DL:$DL)+'Rate History'!$D$22*SUMIF(Data!$G:$G,Neutral!$A46,Data!$DM:$DM)+'Rate History'!$D$23*SUMIF(Data!$G:$G,Neutral!$A46,Data!$DN:$DN)+'Rate History'!$D$24*SUMIF(Data!$G:$G,Neutral!$A46,Data!$DO:$DO)+'Rate History'!$D$25*SUMIF(Data!$G:$G,Neutral!$A46,Data!$DP:$DP)+'Rate History'!$D$26*SUMIF(Data!$G:$G,Neutral!$A46,Data!$DQ:$DQ)+'Rate History'!$D$27*SUMIF(Data!$G:$G,Neutral!$A46,Data!$DR:$DR)+'Rate History'!$D$28*SUMIF(Data!$G:$G,Neutral!$A46,Data!$DS:$DS)+'Rate History'!$D$29*SUMIF(Data!$G:$G,Neutral!$A46,Data!$DT:$DT)+'Rate History'!$D$30*SUMIF(Data!$G:$G,Neutral!$A46,Data!$DV:$DV)+'Rate History'!$D$31*SUMIF(Data!$G:$G,Neutral!$A46,Data!$DW:$DW))</f>
        <v>8117728.4724245965</v>
      </c>
      <c r="C46" s="121">
        <f>$C$5*('Rate History'!$C$4*SUMIF(Data!$G:$G,Neutral!$A46,Data!$CU:$CU)+'Rate History'!$C$5*SUMIF(Data!$G:$G,Neutral!$A46,Data!$CV:$CV)+'Rate History'!$C$6*SUMIF(Data!$G:$G,Neutral!$A46,Data!$CW:$CW)+'Rate History'!$C$7*SUMIF(Data!$G:$G,Neutral!$A46,Data!$CX:$CX)+'Rate History'!$C$8*SUMIF(Data!$G:$G,Neutral!$A46,Data!$CY:$CY)+'Rate History'!$C$9*SUMIF(Data!$G:$G,Neutral!$A46,Data!$CZ:$CZ)+'Rate History'!$C$10*SUMIF(Data!$G:$G,Neutral!$A46,Data!$DA:$DA)+'Rate History'!$C$11*SUMIF(Data!$G:$G,Neutral!$A46,Data!$DB:$DB)+'Rate History'!$C$12*SUMIF(Data!$G:$G,Neutral!$A46,Data!$DC:$DC)+'Rate History'!$C$13*SUMIF(Data!$G:$G,Neutral!$A46,Data!$DD:$DD)+'Rate History'!$C$14*SUMIF(Data!$G:$G,Neutral!$A46,Data!$DE:$DE)+'Rate History'!$C$15*SUMIF(Data!$G:$G,Neutral!$A46,Data!$DF:$DF)+'Rate History'!$C$16*SUMIF(Data!$G:$G,Neutral!$A46,Data!$DG:$DG)+'Rate History'!$C$17*SUMIF(Data!$G:$G,Neutral!$A46,Data!$DH:$DH)+'Rate History'!$C$18*SUMIF(Data!$G:$G,Neutral!$A46,Data!$DI:$DI)+'Rate History'!$C$19*SUMIF(Data!$G:$G,Neutral!$A46,Data!$DJ:$DJ)+'Rate History'!$C$20*SUMIF(Data!$G:$G,Neutral!$A46,Data!$DK:$DK)+'Rate History'!$C$21*SUMIF(Data!$G:$G,Neutral!$A46,Data!$DL:$DL)+'Rate History'!$C$22*SUMIF(Data!$G:$G,Neutral!$A46,Data!$DM:$DM)+'Rate History'!$C$23*SUMIF(Data!$G:$G,Neutral!$A46,Data!$DN:$DN)+'Rate History'!$C$24*SUMIF(Data!$G:$G,Neutral!$A46,Data!$DO:$DO)+'Rate History'!$C$25*SUMIF(Data!$G:$G,Neutral!$A46,Data!$DP:$DP)+'Rate History'!$C$26*SUMIF(Data!$G:$G,Neutral!$A46,Data!$DQ:$DQ)+'Rate History'!$C$27*SUMIF(Data!$G:$G,Neutral!$A46,Data!$DR:$DR)+'Rate History'!$C$28*SUMIF(Data!$G:$G,Neutral!$A46,Data!$DS:$DS)+'Rate History'!$C$29*SUMIF(Data!$G:$G,Neutral!$A46,Data!$DT:$DT)+'Rate History'!$C$30*SUMIF(Data!$G:$G,Neutral!$A46,Data!$DV:$DV)+'Rate History'!$C$31*SUMIF(Data!$G:$G,Neutral!$A46,Data!$DW:$DW))</f>
        <v>7932405.7413595961</v>
      </c>
      <c r="D46" s="106">
        <f t="shared" si="1"/>
        <v>-185322.73106500041</v>
      </c>
      <c r="E46" s="108">
        <f t="shared" si="2"/>
        <v>-2.2829382837148329E-2</v>
      </c>
    </row>
    <row r="47" spans="1:5" x14ac:dyDescent="0.25">
      <c r="A47" s="101" t="s">
        <v>575</v>
      </c>
      <c r="B47" s="121">
        <f>$B$5*('Rate History'!$D$4*SUMIF(Data!$G:$G,Neutral!$A47,Data!$CU:$CU)+'Rate History'!$D$5*SUMIF(Data!$G:$G,Neutral!$A47,Data!$CV:$CV)+'Rate History'!$D$6*SUMIF(Data!$G:$G,Neutral!$A47,Data!$CW:$CW)+'Rate History'!$D$7*SUMIF(Data!$G:$G,Neutral!$A47,Data!$CX:$CX)+'Rate History'!$D$8*SUMIF(Data!$G:$G,Neutral!$A47,Data!$CY:$CY)+'Rate History'!$D$9*SUMIF(Data!$G:$G,Neutral!$A47,Data!$CZ:$CZ)+'Rate History'!$D$10*SUMIF(Data!$G:$G,Neutral!$A47,Data!$DA:$DA)+'Rate History'!$D$11*SUMIF(Data!$G:$G,Neutral!$A47,Data!$DB:$DB)+'Rate History'!$D$12*SUMIF(Data!$G:$G,Neutral!$A47,Data!$DC:$DC)+'Rate History'!$D$13*SUMIF(Data!$G:$G,Neutral!$A47,Data!$DD:$DD)+'Rate History'!$D$14*SUMIF(Data!$G:$G,Neutral!$A47,Data!$DE:$DE)+'Rate History'!$D$15*SUMIF(Data!$G:$G,Neutral!$A47,Data!$DF:$DF)+'Rate History'!$D$16*SUMIF(Data!$G:$G,Neutral!$A47,Data!$DG:$DG)+'Rate History'!$D$17*SUMIF(Data!$G:$G,Neutral!$A47,Data!$DH:$DH)+'Rate History'!$D$18*SUMIF(Data!$G:$G,Neutral!$A47,Data!$DI:$DI)+'Rate History'!$D$19*SUMIF(Data!$G:$G,Neutral!$A47,Data!$DJ:$DJ)+'Rate History'!$D$20*SUMIF(Data!$G:$G,Neutral!$A47,Data!$DK:$DK)+'Rate History'!$D$21*SUMIF(Data!$G:$G,Neutral!$A47,Data!$DL:$DL)+'Rate History'!$D$22*SUMIF(Data!$G:$G,Neutral!$A47,Data!$DM:$DM)+'Rate History'!$D$23*SUMIF(Data!$G:$G,Neutral!$A47,Data!$DN:$DN)+'Rate History'!$D$24*SUMIF(Data!$G:$G,Neutral!$A47,Data!$DO:$DO)+'Rate History'!$D$25*SUMIF(Data!$G:$G,Neutral!$A47,Data!$DP:$DP)+'Rate History'!$D$26*SUMIF(Data!$G:$G,Neutral!$A47,Data!$DQ:$DQ)+'Rate History'!$D$27*SUMIF(Data!$G:$G,Neutral!$A47,Data!$DR:$DR)+'Rate History'!$D$28*SUMIF(Data!$G:$G,Neutral!$A47,Data!$DS:$DS)+'Rate History'!$D$29*SUMIF(Data!$G:$G,Neutral!$A47,Data!$DT:$DT)+'Rate History'!$D$30*SUMIF(Data!$G:$G,Neutral!$A47,Data!$DV:$DV)+'Rate History'!$D$31*SUMIF(Data!$G:$G,Neutral!$A47,Data!$DW:$DW))</f>
        <v>7492075.3289662944</v>
      </c>
      <c r="C47" s="121">
        <f>$C$5*('Rate History'!$C$4*SUMIF(Data!$G:$G,Neutral!$A47,Data!$CU:$CU)+'Rate History'!$C$5*SUMIF(Data!$G:$G,Neutral!$A47,Data!$CV:$CV)+'Rate History'!$C$6*SUMIF(Data!$G:$G,Neutral!$A47,Data!$CW:$CW)+'Rate History'!$C$7*SUMIF(Data!$G:$G,Neutral!$A47,Data!$CX:$CX)+'Rate History'!$C$8*SUMIF(Data!$G:$G,Neutral!$A47,Data!$CY:$CY)+'Rate History'!$C$9*SUMIF(Data!$G:$G,Neutral!$A47,Data!$CZ:$CZ)+'Rate History'!$C$10*SUMIF(Data!$G:$G,Neutral!$A47,Data!$DA:$DA)+'Rate History'!$C$11*SUMIF(Data!$G:$G,Neutral!$A47,Data!$DB:$DB)+'Rate History'!$C$12*SUMIF(Data!$G:$G,Neutral!$A47,Data!$DC:$DC)+'Rate History'!$C$13*SUMIF(Data!$G:$G,Neutral!$A47,Data!$DD:$DD)+'Rate History'!$C$14*SUMIF(Data!$G:$G,Neutral!$A47,Data!$DE:$DE)+'Rate History'!$C$15*SUMIF(Data!$G:$G,Neutral!$A47,Data!$DF:$DF)+'Rate History'!$C$16*SUMIF(Data!$G:$G,Neutral!$A47,Data!$DG:$DG)+'Rate History'!$C$17*SUMIF(Data!$G:$G,Neutral!$A47,Data!$DH:$DH)+'Rate History'!$C$18*SUMIF(Data!$G:$G,Neutral!$A47,Data!$DI:$DI)+'Rate History'!$C$19*SUMIF(Data!$G:$G,Neutral!$A47,Data!$DJ:$DJ)+'Rate History'!$C$20*SUMIF(Data!$G:$G,Neutral!$A47,Data!$DK:$DK)+'Rate History'!$C$21*SUMIF(Data!$G:$G,Neutral!$A47,Data!$DL:$DL)+'Rate History'!$C$22*SUMIF(Data!$G:$G,Neutral!$A47,Data!$DM:$DM)+'Rate History'!$C$23*SUMIF(Data!$G:$G,Neutral!$A47,Data!$DN:$DN)+'Rate History'!$C$24*SUMIF(Data!$G:$G,Neutral!$A47,Data!$DO:$DO)+'Rate History'!$C$25*SUMIF(Data!$G:$G,Neutral!$A47,Data!$DP:$DP)+'Rate History'!$C$26*SUMIF(Data!$G:$G,Neutral!$A47,Data!$DQ:$DQ)+'Rate History'!$C$27*SUMIF(Data!$G:$G,Neutral!$A47,Data!$DR:$DR)+'Rate History'!$C$28*SUMIF(Data!$G:$G,Neutral!$A47,Data!$DS:$DS)+'Rate History'!$C$29*SUMIF(Data!$G:$G,Neutral!$A47,Data!$DT:$DT)+'Rate History'!$C$30*SUMIF(Data!$G:$G,Neutral!$A47,Data!$DV:$DV)+'Rate History'!$C$31*SUMIF(Data!$G:$G,Neutral!$A47,Data!$DW:$DW))</f>
        <v>7317986.5712738894</v>
      </c>
      <c r="D47" s="106">
        <f t="shared" si="1"/>
        <v>-174088.75769240502</v>
      </c>
      <c r="E47" s="108">
        <f t="shared" si="2"/>
        <v>-2.3236386454809525E-2</v>
      </c>
    </row>
    <row r="48" spans="1:5" x14ac:dyDescent="0.25">
      <c r="A48" s="101" t="s">
        <v>590</v>
      </c>
      <c r="B48" s="121">
        <f>$B$5*('Rate History'!$D$4*SUMIF(Data!$G:$G,Neutral!$A48,Data!$CU:$CU)+'Rate History'!$D$5*SUMIF(Data!$G:$G,Neutral!$A48,Data!$CV:$CV)+'Rate History'!$D$6*SUMIF(Data!$G:$G,Neutral!$A48,Data!$CW:$CW)+'Rate History'!$D$7*SUMIF(Data!$G:$G,Neutral!$A48,Data!$CX:$CX)+'Rate History'!$D$8*SUMIF(Data!$G:$G,Neutral!$A48,Data!$CY:$CY)+'Rate History'!$D$9*SUMIF(Data!$G:$G,Neutral!$A48,Data!$CZ:$CZ)+'Rate History'!$D$10*SUMIF(Data!$G:$G,Neutral!$A48,Data!$DA:$DA)+'Rate History'!$D$11*SUMIF(Data!$G:$G,Neutral!$A48,Data!$DB:$DB)+'Rate History'!$D$12*SUMIF(Data!$G:$G,Neutral!$A48,Data!$DC:$DC)+'Rate History'!$D$13*SUMIF(Data!$G:$G,Neutral!$A48,Data!$DD:$DD)+'Rate History'!$D$14*SUMIF(Data!$G:$G,Neutral!$A48,Data!$DE:$DE)+'Rate History'!$D$15*SUMIF(Data!$G:$G,Neutral!$A48,Data!$DF:$DF)+'Rate History'!$D$16*SUMIF(Data!$G:$G,Neutral!$A48,Data!$DG:$DG)+'Rate History'!$D$17*SUMIF(Data!$G:$G,Neutral!$A48,Data!$DH:$DH)+'Rate History'!$D$18*SUMIF(Data!$G:$G,Neutral!$A48,Data!$DI:$DI)+'Rate History'!$D$19*SUMIF(Data!$G:$G,Neutral!$A48,Data!$DJ:$DJ)+'Rate History'!$D$20*SUMIF(Data!$G:$G,Neutral!$A48,Data!$DK:$DK)+'Rate History'!$D$21*SUMIF(Data!$G:$G,Neutral!$A48,Data!$DL:$DL)+'Rate History'!$D$22*SUMIF(Data!$G:$G,Neutral!$A48,Data!$DM:$DM)+'Rate History'!$D$23*SUMIF(Data!$G:$G,Neutral!$A48,Data!$DN:$DN)+'Rate History'!$D$24*SUMIF(Data!$G:$G,Neutral!$A48,Data!$DO:$DO)+'Rate History'!$D$25*SUMIF(Data!$G:$G,Neutral!$A48,Data!$DP:$DP)+'Rate History'!$D$26*SUMIF(Data!$G:$G,Neutral!$A48,Data!$DQ:$DQ)+'Rate History'!$D$27*SUMIF(Data!$G:$G,Neutral!$A48,Data!$DR:$DR)+'Rate History'!$D$28*SUMIF(Data!$G:$G,Neutral!$A48,Data!$DS:$DS)+'Rate History'!$D$29*SUMIF(Data!$G:$G,Neutral!$A48,Data!$DT:$DT)+'Rate History'!$D$30*SUMIF(Data!$G:$G,Neutral!$A48,Data!$DV:$DV)+'Rate History'!$D$31*SUMIF(Data!$G:$G,Neutral!$A48,Data!$DW:$DW))</f>
        <v>11798233.852096418</v>
      </c>
      <c r="C48" s="121">
        <f>$C$5*('Rate History'!$C$4*SUMIF(Data!$G:$G,Neutral!$A48,Data!$CU:$CU)+'Rate History'!$C$5*SUMIF(Data!$G:$G,Neutral!$A48,Data!$CV:$CV)+'Rate History'!$C$6*SUMIF(Data!$G:$G,Neutral!$A48,Data!$CW:$CW)+'Rate History'!$C$7*SUMIF(Data!$G:$G,Neutral!$A48,Data!$CX:$CX)+'Rate History'!$C$8*SUMIF(Data!$G:$G,Neutral!$A48,Data!$CY:$CY)+'Rate History'!$C$9*SUMIF(Data!$G:$G,Neutral!$A48,Data!$CZ:$CZ)+'Rate History'!$C$10*SUMIF(Data!$G:$G,Neutral!$A48,Data!$DA:$DA)+'Rate History'!$C$11*SUMIF(Data!$G:$G,Neutral!$A48,Data!$DB:$DB)+'Rate History'!$C$12*SUMIF(Data!$G:$G,Neutral!$A48,Data!$DC:$DC)+'Rate History'!$C$13*SUMIF(Data!$G:$G,Neutral!$A48,Data!$DD:$DD)+'Rate History'!$C$14*SUMIF(Data!$G:$G,Neutral!$A48,Data!$DE:$DE)+'Rate History'!$C$15*SUMIF(Data!$G:$G,Neutral!$A48,Data!$DF:$DF)+'Rate History'!$C$16*SUMIF(Data!$G:$G,Neutral!$A48,Data!$DG:$DG)+'Rate History'!$C$17*SUMIF(Data!$G:$G,Neutral!$A48,Data!$DH:$DH)+'Rate History'!$C$18*SUMIF(Data!$G:$G,Neutral!$A48,Data!$DI:$DI)+'Rate History'!$C$19*SUMIF(Data!$G:$G,Neutral!$A48,Data!$DJ:$DJ)+'Rate History'!$C$20*SUMIF(Data!$G:$G,Neutral!$A48,Data!$DK:$DK)+'Rate History'!$C$21*SUMIF(Data!$G:$G,Neutral!$A48,Data!$DL:$DL)+'Rate History'!$C$22*SUMIF(Data!$G:$G,Neutral!$A48,Data!$DM:$DM)+'Rate History'!$C$23*SUMIF(Data!$G:$G,Neutral!$A48,Data!$DN:$DN)+'Rate History'!$C$24*SUMIF(Data!$G:$G,Neutral!$A48,Data!$DO:$DO)+'Rate History'!$C$25*SUMIF(Data!$G:$G,Neutral!$A48,Data!$DP:$DP)+'Rate History'!$C$26*SUMIF(Data!$G:$G,Neutral!$A48,Data!$DQ:$DQ)+'Rate History'!$C$27*SUMIF(Data!$G:$G,Neutral!$A48,Data!$DR:$DR)+'Rate History'!$C$28*SUMIF(Data!$G:$G,Neutral!$A48,Data!$DS:$DS)+'Rate History'!$C$29*SUMIF(Data!$G:$G,Neutral!$A48,Data!$DT:$DT)+'Rate History'!$C$30*SUMIF(Data!$G:$G,Neutral!$A48,Data!$DV:$DV)+'Rate History'!$C$31*SUMIF(Data!$G:$G,Neutral!$A48,Data!$DW:$DW))</f>
        <v>11656491.016394088</v>
      </c>
      <c r="D48" s="106">
        <f t="shared" si="1"/>
        <v>-141742.83570232987</v>
      </c>
      <c r="E48" s="108">
        <f t="shared" si="2"/>
        <v>-1.2013902884044268E-2</v>
      </c>
    </row>
    <row r="49" spans="1:5" x14ac:dyDescent="0.25">
      <c r="A49" s="101" t="s">
        <v>434</v>
      </c>
      <c r="B49" s="121">
        <f>$B$5*('Rate History'!$D$4*SUMIF(Data!$G:$G,Neutral!$A49,Data!$CU:$CU)+'Rate History'!$D$5*SUMIF(Data!$G:$G,Neutral!$A49,Data!$CV:$CV)+'Rate History'!$D$6*SUMIF(Data!$G:$G,Neutral!$A49,Data!$CW:$CW)+'Rate History'!$D$7*SUMIF(Data!$G:$G,Neutral!$A49,Data!$CX:$CX)+'Rate History'!$D$8*SUMIF(Data!$G:$G,Neutral!$A49,Data!$CY:$CY)+'Rate History'!$D$9*SUMIF(Data!$G:$G,Neutral!$A49,Data!$CZ:$CZ)+'Rate History'!$D$10*SUMIF(Data!$G:$G,Neutral!$A49,Data!$DA:$DA)+'Rate History'!$D$11*SUMIF(Data!$G:$G,Neutral!$A49,Data!$DB:$DB)+'Rate History'!$D$12*SUMIF(Data!$G:$G,Neutral!$A49,Data!$DC:$DC)+'Rate History'!$D$13*SUMIF(Data!$G:$G,Neutral!$A49,Data!$DD:$DD)+'Rate History'!$D$14*SUMIF(Data!$G:$G,Neutral!$A49,Data!$DE:$DE)+'Rate History'!$D$15*SUMIF(Data!$G:$G,Neutral!$A49,Data!$DF:$DF)+'Rate History'!$D$16*SUMIF(Data!$G:$G,Neutral!$A49,Data!$DG:$DG)+'Rate History'!$D$17*SUMIF(Data!$G:$G,Neutral!$A49,Data!$DH:$DH)+'Rate History'!$D$18*SUMIF(Data!$G:$G,Neutral!$A49,Data!$DI:$DI)+'Rate History'!$D$19*SUMIF(Data!$G:$G,Neutral!$A49,Data!$DJ:$DJ)+'Rate History'!$D$20*SUMIF(Data!$G:$G,Neutral!$A49,Data!$DK:$DK)+'Rate History'!$D$21*SUMIF(Data!$G:$G,Neutral!$A49,Data!$DL:$DL)+'Rate History'!$D$22*SUMIF(Data!$G:$G,Neutral!$A49,Data!$DM:$DM)+'Rate History'!$D$23*SUMIF(Data!$G:$G,Neutral!$A49,Data!$DN:$DN)+'Rate History'!$D$24*SUMIF(Data!$G:$G,Neutral!$A49,Data!$DO:$DO)+'Rate History'!$D$25*SUMIF(Data!$G:$G,Neutral!$A49,Data!$DP:$DP)+'Rate History'!$D$26*SUMIF(Data!$G:$G,Neutral!$A49,Data!$DQ:$DQ)+'Rate History'!$D$27*SUMIF(Data!$G:$G,Neutral!$A49,Data!$DR:$DR)+'Rate History'!$D$28*SUMIF(Data!$G:$G,Neutral!$A49,Data!$DS:$DS)+'Rate History'!$D$29*SUMIF(Data!$G:$G,Neutral!$A49,Data!$DT:$DT)+'Rate History'!$D$30*SUMIF(Data!$G:$G,Neutral!$A49,Data!$DV:$DV)+'Rate History'!$D$31*SUMIF(Data!$G:$G,Neutral!$A49,Data!$DW:$DW))</f>
        <v>11873256.164343914</v>
      </c>
      <c r="C49" s="121">
        <f>$C$5*('Rate History'!$C$4*SUMIF(Data!$G:$G,Neutral!$A49,Data!$CU:$CU)+'Rate History'!$C$5*SUMIF(Data!$G:$G,Neutral!$A49,Data!$CV:$CV)+'Rate History'!$C$6*SUMIF(Data!$G:$G,Neutral!$A49,Data!$CW:$CW)+'Rate History'!$C$7*SUMIF(Data!$G:$G,Neutral!$A49,Data!$CX:$CX)+'Rate History'!$C$8*SUMIF(Data!$G:$G,Neutral!$A49,Data!$CY:$CY)+'Rate History'!$C$9*SUMIF(Data!$G:$G,Neutral!$A49,Data!$CZ:$CZ)+'Rate History'!$C$10*SUMIF(Data!$G:$G,Neutral!$A49,Data!$DA:$DA)+'Rate History'!$C$11*SUMIF(Data!$G:$G,Neutral!$A49,Data!$DB:$DB)+'Rate History'!$C$12*SUMIF(Data!$G:$G,Neutral!$A49,Data!$DC:$DC)+'Rate History'!$C$13*SUMIF(Data!$G:$G,Neutral!$A49,Data!$DD:$DD)+'Rate History'!$C$14*SUMIF(Data!$G:$G,Neutral!$A49,Data!$DE:$DE)+'Rate History'!$C$15*SUMIF(Data!$G:$G,Neutral!$A49,Data!$DF:$DF)+'Rate History'!$C$16*SUMIF(Data!$G:$G,Neutral!$A49,Data!$DG:$DG)+'Rate History'!$C$17*SUMIF(Data!$G:$G,Neutral!$A49,Data!$DH:$DH)+'Rate History'!$C$18*SUMIF(Data!$G:$G,Neutral!$A49,Data!$DI:$DI)+'Rate History'!$C$19*SUMIF(Data!$G:$G,Neutral!$A49,Data!$DJ:$DJ)+'Rate History'!$C$20*SUMIF(Data!$G:$G,Neutral!$A49,Data!$DK:$DK)+'Rate History'!$C$21*SUMIF(Data!$G:$G,Neutral!$A49,Data!$DL:$DL)+'Rate History'!$C$22*SUMIF(Data!$G:$G,Neutral!$A49,Data!$DM:$DM)+'Rate History'!$C$23*SUMIF(Data!$G:$G,Neutral!$A49,Data!$DN:$DN)+'Rate History'!$C$24*SUMIF(Data!$G:$G,Neutral!$A49,Data!$DO:$DO)+'Rate History'!$C$25*SUMIF(Data!$G:$G,Neutral!$A49,Data!$DP:$DP)+'Rate History'!$C$26*SUMIF(Data!$G:$G,Neutral!$A49,Data!$DQ:$DQ)+'Rate History'!$C$27*SUMIF(Data!$G:$G,Neutral!$A49,Data!$DR:$DR)+'Rate History'!$C$28*SUMIF(Data!$G:$G,Neutral!$A49,Data!$DS:$DS)+'Rate History'!$C$29*SUMIF(Data!$G:$G,Neutral!$A49,Data!$DT:$DT)+'Rate History'!$C$30*SUMIF(Data!$G:$G,Neutral!$A49,Data!$DV:$DV)+'Rate History'!$C$31*SUMIF(Data!$G:$G,Neutral!$A49,Data!$DW:$DW))</f>
        <v>11311156.48630197</v>
      </c>
      <c r="D49" s="106">
        <f t="shared" si="1"/>
        <v>-562099.67804194428</v>
      </c>
      <c r="E49" s="108">
        <f t="shared" si="2"/>
        <v>-4.7341661820618566E-2</v>
      </c>
    </row>
    <row r="50" spans="1:5" x14ac:dyDescent="0.25">
      <c r="A50" s="101" t="s">
        <v>598</v>
      </c>
      <c r="B50" s="121">
        <f>$B$5*('Rate History'!$D$4*SUMIF(Data!$G:$G,Neutral!$A50,Data!$CU:$CU)+'Rate History'!$D$5*SUMIF(Data!$G:$G,Neutral!$A50,Data!$CV:$CV)+'Rate History'!$D$6*SUMIF(Data!$G:$G,Neutral!$A50,Data!$CW:$CW)+'Rate History'!$D$7*SUMIF(Data!$G:$G,Neutral!$A50,Data!$CX:$CX)+'Rate History'!$D$8*SUMIF(Data!$G:$G,Neutral!$A50,Data!$CY:$CY)+'Rate History'!$D$9*SUMIF(Data!$G:$G,Neutral!$A50,Data!$CZ:$CZ)+'Rate History'!$D$10*SUMIF(Data!$G:$G,Neutral!$A50,Data!$DA:$DA)+'Rate History'!$D$11*SUMIF(Data!$G:$G,Neutral!$A50,Data!$DB:$DB)+'Rate History'!$D$12*SUMIF(Data!$G:$G,Neutral!$A50,Data!$DC:$DC)+'Rate History'!$D$13*SUMIF(Data!$G:$G,Neutral!$A50,Data!$DD:$DD)+'Rate History'!$D$14*SUMIF(Data!$G:$G,Neutral!$A50,Data!$DE:$DE)+'Rate History'!$D$15*SUMIF(Data!$G:$G,Neutral!$A50,Data!$DF:$DF)+'Rate History'!$D$16*SUMIF(Data!$G:$G,Neutral!$A50,Data!$DG:$DG)+'Rate History'!$D$17*SUMIF(Data!$G:$G,Neutral!$A50,Data!$DH:$DH)+'Rate History'!$D$18*SUMIF(Data!$G:$G,Neutral!$A50,Data!$DI:$DI)+'Rate History'!$D$19*SUMIF(Data!$G:$G,Neutral!$A50,Data!$DJ:$DJ)+'Rate History'!$D$20*SUMIF(Data!$G:$G,Neutral!$A50,Data!$DK:$DK)+'Rate History'!$D$21*SUMIF(Data!$G:$G,Neutral!$A50,Data!$DL:$DL)+'Rate History'!$D$22*SUMIF(Data!$G:$G,Neutral!$A50,Data!$DM:$DM)+'Rate History'!$D$23*SUMIF(Data!$G:$G,Neutral!$A50,Data!$DN:$DN)+'Rate History'!$D$24*SUMIF(Data!$G:$G,Neutral!$A50,Data!$DO:$DO)+'Rate History'!$D$25*SUMIF(Data!$G:$G,Neutral!$A50,Data!$DP:$DP)+'Rate History'!$D$26*SUMIF(Data!$G:$G,Neutral!$A50,Data!$DQ:$DQ)+'Rate History'!$D$27*SUMIF(Data!$G:$G,Neutral!$A50,Data!$DR:$DR)+'Rate History'!$D$28*SUMIF(Data!$G:$G,Neutral!$A50,Data!$DS:$DS)+'Rate History'!$D$29*SUMIF(Data!$G:$G,Neutral!$A50,Data!$DT:$DT)+'Rate History'!$D$30*SUMIF(Data!$G:$G,Neutral!$A50,Data!$DV:$DV)+'Rate History'!$D$31*SUMIF(Data!$G:$G,Neutral!$A50,Data!$DW:$DW))</f>
        <v>17887026.83350366</v>
      </c>
      <c r="C50" s="121">
        <f>$C$5*('Rate History'!$C$4*SUMIF(Data!$G:$G,Neutral!$A50,Data!$CU:$CU)+'Rate History'!$C$5*SUMIF(Data!$G:$G,Neutral!$A50,Data!$CV:$CV)+'Rate History'!$C$6*SUMIF(Data!$G:$G,Neutral!$A50,Data!$CW:$CW)+'Rate History'!$C$7*SUMIF(Data!$G:$G,Neutral!$A50,Data!$CX:$CX)+'Rate History'!$C$8*SUMIF(Data!$G:$G,Neutral!$A50,Data!$CY:$CY)+'Rate History'!$C$9*SUMIF(Data!$G:$G,Neutral!$A50,Data!$CZ:$CZ)+'Rate History'!$C$10*SUMIF(Data!$G:$G,Neutral!$A50,Data!$DA:$DA)+'Rate History'!$C$11*SUMIF(Data!$G:$G,Neutral!$A50,Data!$DB:$DB)+'Rate History'!$C$12*SUMIF(Data!$G:$G,Neutral!$A50,Data!$DC:$DC)+'Rate History'!$C$13*SUMIF(Data!$G:$G,Neutral!$A50,Data!$DD:$DD)+'Rate History'!$C$14*SUMIF(Data!$G:$G,Neutral!$A50,Data!$DE:$DE)+'Rate History'!$C$15*SUMIF(Data!$G:$G,Neutral!$A50,Data!$DF:$DF)+'Rate History'!$C$16*SUMIF(Data!$G:$G,Neutral!$A50,Data!$DG:$DG)+'Rate History'!$C$17*SUMIF(Data!$G:$G,Neutral!$A50,Data!$DH:$DH)+'Rate History'!$C$18*SUMIF(Data!$G:$G,Neutral!$A50,Data!$DI:$DI)+'Rate History'!$C$19*SUMIF(Data!$G:$G,Neutral!$A50,Data!$DJ:$DJ)+'Rate History'!$C$20*SUMIF(Data!$G:$G,Neutral!$A50,Data!$DK:$DK)+'Rate History'!$C$21*SUMIF(Data!$G:$G,Neutral!$A50,Data!$DL:$DL)+'Rate History'!$C$22*SUMIF(Data!$G:$G,Neutral!$A50,Data!$DM:$DM)+'Rate History'!$C$23*SUMIF(Data!$G:$G,Neutral!$A50,Data!$DN:$DN)+'Rate History'!$C$24*SUMIF(Data!$G:$G,Neutral!$A50,Data!$DO:$DO)+'Rate History'!$C$25*SUMIF(Data!$G:$G,Neutral!$A50,Data!$DP:$DP)+'Rate History'!$C$26*SUMIF(Data!$G:$G,Neutral!$A50,Data!$DQ:$DQ)+'Rate History'!$C$27*SUMIF(Data!$G:$G,Neutral!$A50,Data!$DR:$DR)+'Rate History'!$C$28*SUMIF(Data!$G:$G,Neutral!$A50,Data!$DS:$DS)+'Rate History'!$C$29*SUMIF(Data!$G:$G,Neutral!$A50,Data!$DT:$DT)+'Rate History'!$C$30*SUMIF(Data!$G:$G,Neutral!$A50,Data!$DV:$DV)+'Rate History'!$C$31*SUMIF(Data!$G:$G,Neutral!$A50,Data!$DW:$DW))</f>
        <v>17518848.039819982</v>
      </c>
      <c r="D50" s="106">
        <f t="shared" si="1"/>
        <v>-368178.79368367791</v>
      </c>
      <c r="E50" s="108">
        <f t="shared" si="2"/>
        <v>-2.0583565793844124E-2</v>
      </c>
    </row>
    <row r="51" spans="1:5" x14ac:dyDescent="0.25">
      <c r="A51" s="101" t="s">
        <v>698</v>
      </c>
      <c r="B51" s="121">
        <f>$B$5*('Rate History'!$D$4*SUMIF(Data!$G:$G,Neutral!$A51,Data!$CU:$CU)+'Rate History'!$D$5*SUMIF(Data!$G:$G,Neutral!$A51,Data!$CV:$CV)+'Rate History'!$D$6*SUMIF(Data!$G:$G,Neutral!$A51,Data!$CW:$CW)+'Rate History'!$D$7*SUMIF(Data!$G:$G,Neutral!$A51,Data!$CX:$CX)+'Rate History'!$D$8*SUMIF(Data!$G:$G,Neutral!$A51,Data!$CY:$CY)+'Rate History'!$D$9*SUMIF(Data!$G:$G,Neutral!$A51,Data!$CZ:$CZ)+'Rate History'!$D$10*SUMIF(Data!$G:$G,Neutral!$A51,Data!$DA:$DA)+'Rate History'!$D$11*SUMIF(Data!$G:$G,Neutral!$A51,Data!$DB:$DB)+'Rate History'!$D$12*SUMIF(Data!$G:$G,Neutral!$A51,Data!$DC:$DC)+'Rate History'!$D$13*SUMIF(Data!$G:$G,Neutral!$A51,Data!$DD:$DD)+'Rate History'!$D$14*SUMIF(Data!$G:$G,Neutral!$A51,Data!$DE:$DE)+'Rate History'!$D$15*SUMIF(Data!$G:$G,Neutral!$A51,Data!$DF:$DF)+'Rate History'!$D$16*SUMIF(Data!$G:$G,Neutral!$A51,Data!$DG:$DG)+'Rate History'!$D$17*SUMIF(Data!$G:$G,Neutral!$A51,Data!$DH:$DH)+'Rate History'!$D$18*SUMIF(Data!$G:$G,Neutral!$A51,Data!$DI:$DI)+'Rate History'!$D$19*SUMIF(Data!$G:$G,Neutral!$A51,Data!$DJ:$DJ)+'Rate History'!$D$20*SUMIF(Data!$G:$G,Neutral!$A51,Data!$DK:$DK)+'Rate History'!$D$21*SUMIF(Data!$G:$G,Neutral!$A51,Data!$DL:$DL)+'Rate History'!$D$22*SUMIF(Data!$G:$G,Neutral!$A51,Data!$DM:$DM)+'Rate History'!$D$23*SUMIF(Data!$G:$G,Neutral!$A51,Data!$DN:$DN)+'Rate History'!$D$24*SUMIF(Data!$G:$G,Neutral!$A51,Data!$DO:$DO)+'Rate History'!$D$25*SUMIF(Data!$G:$G,Neutral!$A51,Data!$DP:$DP)+'Rate History'!$D$26*SUMIF(Data!$G:$G,Neutral!$A51,Data!$DQ:$DQ)+'Rate History'!$D$27*SUMIF(Data!$G:$G,Neutral!$A51,Data!$DR:$DR)+'Rate History'!$D$28*SUMIF(Data!$G:$G,Neutral!$A51,Data!$DS:$DS)+'Rate History'!$D$29*SUMIF(Data!$G:$G,Neutral!$A51,Data!$DT:$DT)+'Rate History'!$D$30*SUMIF(Data!$G:$G,Neutral!$A51,Data!$DV:$DV)+'Rate History'!$D$31*SUMIF(Data!$G:$G,Neutral!$A51,Data!$DW:$DW))</f>
        <v>6158733.9753794456</v>
      </c>
      <c r="C51" s="121">
        <f>$C$5*('Rate History'!$C$4*SUMIF(Data!$G:$G,Neutral!$A51,Data!$CU:$CU)+'Rate History'!$C$5*SUMIF(Data!$G:$G,Neutral!$A51,Data!$CV:$CV)+'Rate History'!$C$6*SUMIF(Data!$G:$G,Neutral!$A51,Data!$CW:$CW)+'Rate History'!$C$7*SUMIF(Data!$G:$G,Neutral!$A51,Data!$CX:$CX)+'Rate History'!$C$8*SUMIF(Data!$G:$G,Neutral!$A51,Data!$CY:$CY)+'Rate History'!$C$9*SUMIF(Data!$G:$G,Neutral!$A51,Data!$CZ:$CZ)+'Rate History'!$C$10*SUMIF(Data!$G:$G,Neutral!$A51,Data!$DA:$DA)+'Rate History'!$C$11*SUMIF(Data!$G:$G,Neutral!$A51,Data!$DB:$DB)+'Rate History'!$C$12*SUMIF(Data!$G:$G,Neutral!$A51,Data!$DC:$DC)+'Rate History'!$C$13*SUMIF(Data!$G:$G,Neutral!$A51,Data!$DD:$DD)+'Rate History'!$C$14*SUMIF(Data!$G:$G,Neutral!$A51,Data!$DE:$DE)+'Rate History'!$C$15*SUMIF(Data!$G:$G,Neutral!$A51,Data!$DF:$DF)+'Rate History'!$C$16*SUMIF(Data!$G:$G,Neutral!$A51,Data!$DG:$DG)+'Rate History'!$C$17*SUMIF(Data!$G:$G,Neutral!$A51,Data!$DH:$DH)+'Rate History'!$C$18*SUMIF(Data!$G:$G,Neutral!$A51,Data!$DI:$DI)+'Rate History'!$C$19*SUMIF(Data!$G:$G,Neutral!$A51,Data!$DJ:$DJ)+'Rate History'!$C$20*SUMIF(Data!$G:$G,Neutral!$A51,Data!$DK:$DK)+'Rate History'!$C$21*SUMIF(Data!$G:$G,Neutral!$A51,Data!$DL:$DL)+'Rate History'!$C$22*SUMIF(Data!$G:$G,Neutral!$A51,Data!$DM:$DM)+'Rate History'!$C$23*SUMIF(Data!$G:$G,Neutral!$A51,Data!$DN:$DN)+'Rate History'!$C$24*SUMIF(Data!$G:$G,Neutral!$A51,Data!$DO:$DO)+'Rate History'!$C$25*SUMIF(Data!$G:$G,Neutral!$A51,Data!$DP:$DP)+'Rate History'!$C$26*SUMIF(Data!$G:$G,Neutral!$A51,Data!$DQ:$DQ)+'Rate History'!$C$27*SUMIF(Data!$G:$G,Neutral!$A51,Data!$DR:$DR)+'Rate History'!$C$28*SUMIF(Data!$G:$G,Neutral!$A51,Data!$DS:$DS)+'Rate History'!$C$29*SUMIF(Data!$G:$G,Neutral!$A51,Data!$DT:$DT)+'Rate History'!$C$30*SUMIF(Data!$G:$G,Neutral!$A51,Data!$DV:$DV)+'Rate History'!$C$31*SUMIF(Data!$G:$G,Neutral!$A51,Data!$DW:$DW))</f>
        <v>5734272.5595352305</v>
      </c>
      <c r="D51" s="106">
        <f t="shared" si="1"/>
        <v>-424461.41584421508</v>
      </c>
      <c r="E51" s="108">
        <f t="shared" si="2"/>
        <v>-6.8920238727808281E-2</v>
      </c>
    </row>
    <row r="52" spans="1:5" x14ac:dyDescent="0.25">
      <c r="A52" s="101" t="s">
        <v>606</v>
      </c>
      <c r="B52" s="121">
        <f>$B$5*('Rate History'!$D$4*SUMIF(Data!$G:$G,Neutral!$A52,Data!$CU:$CU)+'Rate History'!$D$5*SUMIF(Data!$G:$G,Neutral!$A52,Data!$CV:$CV)+'Rate History'!$D$6*SUMIF(Data!$G:$G,Neutral!$A52,Data!$CW:$CW)+'Rate History'!$D$7*SUMIF(Data!$G:$G,Neutral!$A52,Data!$CX:$CX)+'Rate History'!$D$8*SUMIF(Data!$G:$G,Neutral!$A52,Data!$CY:$CY)+'Rate History'!$D$9*SUMIF(Data!$G:$G,Neutral!$A52,Data!$CZ:$CZ)+'Rate History'!$D$10*SUMIF(Data!$G:$G,Neutral!$A52,Data!$DA:$DA)+'Rate History'!$D$11*SUMIF(Data!$G:$G,Neutral!$A52,Data!$DB:$DB)+'Rate History'!$D$12*SUMIF(Data!$G:$G,Neutral!$A52,Data!$DC:$DC)+'Rate History'!$D$13*SUMIF(Data!$G:$G,Neutral!$A52,Data!$DD:$DD)+'Rate History'!$D$14*SUMIF(Data!$G:$G,Neutral!$A52,Data!$DE:$DE)+'Rate History'!$D$15*SUMIF(Data!$G:$G,Neutral!$A52,Data!$DF:$DF)+'Rate History'!$D$16*SUMIF(Data!$G:$G,Neutral!$A52,Data!$DG:$DG)+'Rate History'!$D$17*SUMIF(Data!$G:$G,Neutral!$A52,Data!$DH:$DH)+'Rate History'!$D$18*SUMIF(Data!$G:$G,Neutral!$A52,Data!$DI:$DI)+'Rate History'!$D$19*SUMIF(Data!$G:$G,Neutral!$A52,Data!$DJ:$DJ)+'Rate History'!$D$20*SUMIF(Data!$G:$G,Neutral!$A52,Data!$DK:$DK)+'Rate History'!$D$21*SUMIF(Data!$G:$G,Neutral!$A52,Data!$DL:$DL)+'Rate History'!$D$22*SUMIF(Data!$G:$G,Neutral!$A52,Data!$DM:$DM)+'Rate History'!$D$23*SUMIF(Data!$G:$G,Neutral!$A52,Data!$DN:$DN)+'Rate History'!$D$24*SUMIF(Data!$G:$G,Neutral!$A52,Data!$DO:$DO)+'Rate History'!$D$25*SUMIF(Data!$G:$G,Neutral!$A52,Data!$DP:$DP)+'Rate History'!$D$26*SUMIF(Data!$G:$G,Neutral!$A52,Data!$DQ:$DQ)+'Rate History'!$D$27*SUMIF(Data!$G:$G,Neutral!$A52,Data!$DR:$DR)+'Rate History'!$D$28*SUMIF(Data!$G:$G,Neutral!$A52,Data!$DS:$DS)+'Rate History'!$D$29*SUMIF(Data!$G:$G,Neutral!$A52,Data!$DT:$DT)+'Rate History'!$D$30*SUMIF(Data!$G:$G,Neutral!$A52,Data!$DV:$DV)+'Rate History'!$D$31*SUMIF(Data!$G:$G,Neutral!$A52,Data!$DW:$DW))</f>
        <v>6380978.1256279713</v>
      </c>
      <c r="C52" s="121">
        <f>$C$5*('Rate History'!$C$4*SUMIF(Data!$G:$G,Neutral!$A52,Data!$CU:$CU)+'Rate History'!$C$5*SUMIF(Data!$G:$G,Neutral!$A52,Data!$CV:$CV)+'Rate History'!$C$6*SUMIF(Data!$G:$G,Neutral!$A52,Data!$CW:$CW)+'Rate History'!$C$7*SUMIF(Data!$G:$G,Neutral!$A52,Data!$CX:$CX)+'Rate History'!$C$8*SUMIF(Data!$G:$G,Neutral!$A52,Data!$CY:$CY)+'Rate History'!$C$9*SUMIF(Data!$G:$G,Neutral!$A52,Data!$CZ:$CZ)+'Rate History'!$C$10*SUMIF(Data!$G:$G,Neutral!$A52,Data!$DA:$DA)+'Rate History'!$C$11*SUMIF(Data!$G:$G,Neutral!$A52,Data!$DB:$DB)+'Rate History'!$C$12*SUMIF(Data!$G:$G,Neutral!$A52,Data!$DC:$DC)+'Rate History'!$C$13*SUMIF(Data!$G:$G,Neutral!$A52,Data!$DD:$DD)+'Rate History'!$C$14*SUMIF(Data!$G:$G,Neutral!$A52,Data!$DE:$DE)+'Rate History'!$C$15*SUMIF(Data!$G:$G,Neutral!$A52,Data!$DF:$DF)+'Rate History'!$C$16*SUMIF(Data!$G:$G,Neutral!$A52,Data!$DG:$DG)+'Rate History'!$C$17*SUMIF(Data!$G:$G,Neutral!$A52,Data!$DH:$DH)+'Rate History'!$C$18*SUMIF(Data!$G:$G,Neutral!$A52,Data!$DI:$DI)+'Rate History'!$C$19*SUMIF(Data!$G:$G,Neutral!$A52,Data!$DJ:$DJ)+'Rate History'!$C$20*SUMIF(Data!$G:$G,Neutral!$A52,Data!$DK:$DK)+'Rate History'!$C$21*SUMIF(Data!$G:$G,Neutral!$A52,Data!$DL:$DL)+'Rate History'!$C$22*SUMIF(Data!$G:$G,Neutral!$A52,Data!$DM:$DM)+'Rate History'!$C$23*SUMIF(Data!$G:$G,Neutral!$A52,Data!$DN:$DN)+'Rate History'!$C$24*SUMIF(Data!$G:$G,Neutral!$A52,Data!$DO:$DO)+'Rate History'!$C$25*SUMIF(Data!$G:$G,Neutral!$A52,Data!$DP:$DP)+'Rate History'!$C$26*SUMIF(Data!$G:$G,Neutral!$A52,Data!$DQ:$DQ)+'Rate History'!$C$27*SUMIF(Data!$G:$G,Neutral!$A52,Data!$DR:$DR)+'Rate History'!$C$28*SUMIF(Data!$G:$G,Neutral!$A52,Data!$DS:$DS)+'Rate History'!$C$29*SUMIF(Data!$G:$G,Neutral!$A52,Data!$DT:$DT)+'Rate History'!$C$30*SUMIF(Data!$G:$G,Neutral!$A52,Data!$DV:$DV)+'Rate History'!$C$31*SUMIF(Data!$G:$G,Neutral!$A52,Data!$DW:$DW))</f>
        <v>6056624.1834947579</v>
      </c>
      <c r="D52" s="106">
        <f t="shared" si="1"/>
        <v>-324353.94213321339</v>
      </c>
      <c r="E52" s="108">
        <f t="shared" si="2"/>
        <v>-5.0831382861274539E-2</v>
      </c>
    </row>
    <row r="53" spans="1:5" x14ac:dyDescent="0.25">
      <c r="A53" s="101" t="s">
        <v>614</v>
      </c>
      <c r="B53" s="121">
        <f>$B$5*('Rate History'!$D$4*SUMIF(Data!$G:$G,Neutral!$A53,Data!$CU:$CU)+'Rate History'!$D$5*SUMIF(Data!$G:$G,Neutral!$A53,Data!$CV:$CV)+'Rate History'!$D$6*SUMIF(Data!$G:$G,Neutral!$A53,Data!$CW:$CW)+'Rate History'!$D$7*SUMIF(Data!$G:$G,Neutral!$A53,Data!$CX:$CX)+'Rate History'!$D$8*SUMIF(Data!$G:$G,Neutral!$A53,Data!$CY:$CY)+'Rate History'!$D$9*SUMIF(Data!$G:$G,Neutral!$A53,Data!$CZ:$CZ)+'Rate History'!$D$10*SUMIF(Data!$G:$G,Neutral!$A53,Data!$DA:$DA)+'Rate History'!$D$11*SUMIF(Data!$G:$G,Neutral!$A53,Data!$DB:$DB)+'Rate History'!$D$12*SUMIF(Data!$G:$G,Neutral!$A53,Data!$DC:$DC)+'Rate History'!$D$13*SUMIF(Data!$G:$G,Neutral!$A53,Data!$DD:$DD)+'Rate History'!$D$14*SUMIF(Data!$G:$G,Neutral!$A53,Data!$DE:$DE)+'Rate History'!$D$15*SUMIF(Data!$G:$G,Neutral!$A53,Data!$DF:$DF)+'Rate History'!$D$16*SUMIF(Data!$G:$G,Neutral!$A53,Data!$DG:$DG)+'Rate History'!$D$17*SUMIF(Data!$G:$G,Neutral!$A53,Data!$DH:$DH)+'Rate History'!$D$18*SUMIF(Data!$G:$G,Neutral!$A53,Data!$DI:$DI)+'Rate History'!$D$19*SUMIF(Data!$G:$G,Neutral!$A53,Data!$DJ:$DJ)+'Rate History'!$D$20*SUMIF(Data!$G:$G,Neutral!$A53,Data!$DK:$DK)+'Rate History'!$D$21*SUMIF(Data!$G:$G,Neutral!$A53,Data!$DL:$DL)+'Rate History'!$D$22*SUMIF(Data!$G:$G,Neutral!$A53,Data!$DM:$DM)+'Rate History'!$D$23*SUMIF(Data!$G:$G,Neutral!$A53,Data!$DN:$DN)+'Rate History'!$D$24*SUMIF(Data!$G:$G,Neutral!$A53,Data!$DO:$DO)+'Rate History'!$D$25*SUMIF(Data!$G:$G,Neutral!$A53,Data!$DP:$DP)+'Rate History'!$D$26*SUMIF(Data!$G:$G,Neutral!$A53,Data!$DQ:$DQ)+'Rate History'!$D$27*SUMIF(Data!$G:$G,Neutral!$A53,Data!$DR:$DR)+'Rate History'!$D$28*SUMIF(Data!$G:$G,Neutral!$A53,Data!$DS:$DS)+'Rate History'!$D$29*SUMIF(Data!$G:$G,Neutral!$A53,Data!$DT:$DT)+'Rate History'!$D$30*SUMIF(Data!$G:$G,Neutral!$A53,Data!$DV:$DV)+'Rate History'!$D$31*SUMIF(Data!$G:$G,Neutral!$A53,Data!$DW:$DW))</f>
        <v>8171308.3775141714</v>
      </c>
      <c r="C53" s="121">
        <f>$C$5*('Rate History'!$C$4*SUMIF(Data!$G:$G,Neutral!$A53,Data!$CU:$CU)+'Rate History'!$C$5*SUMIF(Data!$G:$G,Neutral!$A53,Data!$CV:$CV)+'Rate History'!$C$6*SUMIF(Data!$G:$G,Neutral!$A53,Data!$CW:$CW)+'Rate History'!$C$7*SUMIF(Data!$G:$G,Neutral!$A53,Data!$CX:$CX)+'Rate History'!$C$8*SUMIF(Data!$G:$G,Neutral!$A53,Data!$CY:$CY)+'Rate History'!$C$9*SUMIF(Data!$G:$G,Neutral!$A53,Data!$CZ:$CZ)+'Rate History'!$C$10*SUMIF(Data!$G:$G,Neutral!$A53,Data!$DA:$DA)+'Rate History'!$C$11*SUMIF(Data!$G:$G,Neutral!$A53,Data!$DB:$DB)+'Rate History'!$C$12*SUMIF(Data!$G:$G,Neutral!$A53,Data!$DC:$DC)+'Rate History'!$C$13*SUMIF(Data!$G:$G,Neutral!$A53,Data!$DD:$DD)+'Rate History'!$C$14*SUMIF(Data!$G:$G,Neutral!$A53,Data!$DE:$DE)+'Rate History'!$C$15*SUMIF(Data!$G:$G,Neutral!$A53,Data!$DF:$DF)+'Rate History'!$C$16*SUMIF(Data!$G:$G,Neutral!$A53,Data!$DG:$DG)+'Rate History'!$C$17*SUMIF(Data!$G:$G,Neutral!$A53,Data!$DH:$DH)+'Rate History'!$C$18*SUMIF(Data!$G:$G,Neutral!$A53,Data!$DI:$DI)+'Rate History'!$C$19*SUMIF(Data!$G:$G,Neutral!$A53,Data!$DJ:$DJ)+'Rate History'!$C$20*SUMIF(Data!$G:$G,Neutral!$A53,Data!$DK:$DK)+'Rate History'!$C$21*SUMIF(Data!$G:$G,Neutral!$A53,Data!$DL:$DL)+'Rate History'!$C$22*SUMIF(Data!$G:$G,Neutral!$A53,Data!$DM:$DM)+'Rate History'!$C$23*SUMIF(Data!$G:$G,Neutral!$A53,Data!$DN:$DN)+'Rate History'!$C$24*SUMIF(Data!$G:$G,Neutral!$A53,Data!$DO:$DO)+'Rate History'!$C$25*SUMIF(Data!$G:$G,Neutral!$A53,Data!$DP:$DP)+'Rate History'!$C$26*SUMIF(Data!$G:$G,Neutral!$A53,Data!$DQ:$DQ)+'Rate History'!$C$27*SUMIF(Data!$G:$G,Neutral!$A53,Data!$DR:$DR)+'Rate History'!$C$28*SUMIF(Data!$G:$G,Neutral!$A53,Data!$DS:$DS)+'Rate History'!$C$29*SUMIF(Data!$G:$G,Neutral!$A53,Data!$DT:$DT)+'Rate History'!$C$30*SUMIF(Data!$G:$G,Neutral!$A53,Data!$DV:$DV)+'Rate History'!$C$31*SUMIF(Data!$G:$G,Neutral!$A53,Data!$DW:$DW))</f>
        <v>7848232.6539477799</v>
      </c>
      <c r="D53" s="106">
        <f t="shared" si="1"/>
        <v>-323075.72356639151</v>
      </c>
      <c r="E53" s="108">
        <f t="shared" si="2"/>
        <v>-3.953782046158387E-2</v>
      </c>
    </row>
    <row r="54" spans="1:5" x14ac:dyDescent="0.25">
      <c r="A54" s="101" t="s">
        <v>675</v>
      </c>
      <c r="B54" s="121">
        <f>$B$5*('Rate History'!$D$4*SUMIF(Data!$G:$G,Neutral!$A54,Data!$CU:$CU)+'Rate History'!$D$5*SUMIF(Data!$G:$G,Neutral!$A54,Data!$CV:$CV)+'Rate History'!$D$6*SUMIF(Data!$G:$G,Neutral!$A54,Data!$CW:$CW)+'Rate History'!$D$7*SUMIF(Data!$G:$G,Neutral!$A54,Data!$CX:$CX)+'Rate History'!$D$8*SUMIF(Data!$G:$G,Neutral!$A54,Data!$CY:$CY)+'Rate History'!$D$9*SUMIF(Data!$G:$G,Neutral!$A54,Data!$CZ:$CZ)+'Rate History'!$D$10*SUMIF(Data!$G:$G,Neutral!$A54,Data!$DA:$DA)+'Rate History'!$D$11*SUMIF(Data!$G:$G,Neutral!$A54,Data!$DB:$DB)+'Rate History'!$D$12*SUMIF(Data!$G:$G,Neutral!$A54,Data!$DC:$DC)+'Rate History'!$D$13*SUMIF(Data!$G:$G,Neutral!$A54,Data!$DD:$DD)+'Rate History'!$D$14*SUMIF(Data!$G:$G,Neutral!$A54,Data!$DE:$DE)+'Rate History'!$D$15*SUMIF(Data!$G:$G,Neutral!$A54,Data!$DF:$DF)+'Rate History'!$D$16*SUMIF(Data!$G:$G,Neutral!$A54,Data!$DG:$DG)+'Rate History'!$D$17*SUMIF(Data!$G:$G,Neutral!$A54,Data!$DH:$DH)+'Rate History'!$D$18*SUMIF(Data!$G:$G,Neutral!$A54,Data!$DI:$DI)+'Rate History'!$D$19*SUMIF(Data!$G:$G,Neutral!$A54,Data!$DJ:$DJ)+'Rate History'!$D$20*SUMIF(Data!$G:$G,Neutral!$A54,Data!$DK:$DK)+'Rate History'!$D$21*SUMIF(Data!$G:$G,Neutral!$A54,Data!$DL:$DL)+'Rate History'!$D$22*SUMIF(Data!$G:$G,Neutral!$A54,Data!$DM:$DM)+'Rate History'!$D$23*SUMIF(Data!$G:$G,Neutral!$A54,Data!$DN:$DN)+'Rate History'!$D$24*SUMIF(Data!$G:$G,Neutral!$A54,Data!$DO:$DO)+'Rate History'!$D$25*SUMIF(Data!$G:$G,Neutral!$A54,Data!$DP:$DP)+'Rate History'!$D$26*SUMIF(Data!$G:$G,Neutral!$A54,Data!$DQ:$DQ)+'Rate History'!$D$27*SUMIF(Data!$G:$G,Neutral!$A54,Data!$DR:$DR)+'Rate History'!$D$28*SUMIF(Data!$G:$G,Neutral!$A54,Data!$DS:$DS)+'Rate History'!$D$29*SUMIF(Data!$G:$G,Neutral!$A54,Data!$DT:$DT)+'Rate History'!$D$30*SUMIF(Data!$G:$G,Neutral!$A54,Data!$DV:$DV)+'Rate History'!$D$31*SUMIF(Data!$G:$G,Neutral!$A54,Data!$DW:$DW))</f>
        <v>3559312.8408606946</v>
      </c>
      <c r="C54" s="121">
        <f>$C$5*('Rate History'!$C$4*SUMIF(Data!$G:$G,Neutral!$A54,Data!$CU:$CU)+'Rate History'!$C$5*SUMIF(Data!$G:$G,Neutral!$A54,Data!$CV:$CV)+'Rate History'!$C$6*SUMIF(Data!$G:$G,Neutral!$A54,Data!$CW:$CW)+'Rate History'!$C$7*SUMIF(Data!$G:$G,Neutral!$A54,Data!$CX:$CX)+'Rate History'!$C$8*SUMIF(Data!$G:$G,Neutral!$A54,Data!$CY:$CY)+'Rate History'!$C$9*SUMIF(Data!$G:$G,Neutral!$A54,Data!$CZ:$CZ)+'Rate History'!$C$10*SUMIF(Data!$G:$G,Neutral!$A54,Data!$DA:$DA)+'Rate History'!$C$11*SUMIF(Data!$G:$G,Neutral!$A54,Data!$DB:$DB)+'Rate History'!$C$12*SUMIF(Data!$G:$G,Neutral!$A54,Data!$DC:$DC)+'Rate History'!$C$13*SUMIF(Data!$G:$G,Neutral!$A54,Data!$DD:$DD)+'Rate History'!$C$14*SUMIF(Data!$G:$G,Neutral!$A54,Data!$DE:$DE)+'Rate History'!$C$15*SUMIF(Data!$G:$G,Neutral!$A54,Data!$DF:$DF)+'Rate History'!$C$16*SUMIF(Data!$G:$G,Neutral!$A54,Data!$DG:$DG)+'Rate History'!$C$17*SUMIF(Data!$G:$G,Neutral!$A54,Data!$DH:$DH)+'Rate History'!$C$18*SUMIF(Data!$G:$G,Neutral!$A54,Data!$DI:$DI)+'Rate History'!$C$19*SUMIF(Data!$G:$G,Neutral!$A54,Data!$DJ:$DJ)+'Rate History'!$C$20*SUMIF(Data!$G:$G,Neutral!$A54,Data!$DK:$DK)+'Rate History'!$C$21*SUMIF(Data!$G:$G,Neutral!$A54,Data!$DL:$DL)+'Rate History'!$C$22*SUMIF(Data!$G:$G,Neutral!$A54,Data!$DM:$DM)+'Rate History'!$C$23*SUMIF(Data!$G:$G,Neutral!$A54,Data!$DN:$DN)+'Rate History'!$C$24*SUMIF(Data!$G:$G,Neutral!$A54,Data!$DO:$DO)+'Rate History'!$C$25*SUMIF(Data!$G:$G,Neutral!$A54,Data!$DP:$DP)+'Rate History'!$C$26*SUMIF(Data!$G:$G,Neutral!$A54,Data!$DQ:$DQ)+'Rate History'!$C$27*SUMIF(Data!$G:$G,Neutral!$A54,Data!$DR:$DR)+'Rate History'!$C$28*SUMIF(Data!$G:$G,Neutral!$A54,Data!$DS:$DS)+'Rate History'!$C$29*SUMIF(Data!$G:$G,Neutral!$A54,Data!$DT:$DT)+'Rate History'!$C$30*SUMIF(Data!$G:$G,Neutral!$A54,Data!$DV:$DV)+'Rate History'!$C$31*SUMIF(Data!$G:$G,Neutral!$A54,Data!$DW:$DW))</f>
        <v>3341485.4200073471</v>
      </c>
      <c r="D54" s="106">
        <f t="shared" si="1"/>
        <v>-217827.42085334752</v>
      </c>
      <c r="E54" s="108">
        <f t="shared" si="2"/>
        <v>-6.1199290591347294E-2</v>
      </c>
    </row>
    <row r="55" spans="1:5" x14ac:dyDescent="0.25">
      <c r="A55" s="101" t="s">
        <v>622</v>
      </c>
      <c r="B55" s="121">
        <f>$B$5*('Rate History'!$D$4*SUMIF(Data!$G:$G,Neutral!$A55,Data!$CU:$CU)+'Rate History'!$D$5*SUMIF(Data!$G:$G,Neutral!$A55,Data!$CV:$CV)+'Rate History'!$D$6*SUMIF(Data!$G:$G,Neutral!$A55,Data!$CW:$CW)+'Rate History'!$D$7*SUMIF(Data!$G:$G,Neutral!$A55,Data!$CX:$CX)+'Rate History'!$D$8*SUMIF(Data!$G:$G,Neutral!$A55,Data!$CY:$CY)+'Rate History'!$D$9*SUMIF(Data!$G:$G,Neutral!$A55,Data!$CZ:$CZ)+'Rate History'!$D$10*SUMIF(Data!$G:$G,Neutral!$A55,Data!$DA:$DA)+'Rate History'!$D$11*SUMIF(Data!$G:$G,Neutral!$A55,Data!$DB:$DB)+'Rate History'!$D$12*SUMIF(Data!$G:$G,Neutral!$A55,Data!$DC:$DC)+'Rate History'!$D$13*SUMIF(Data!$G:$G,Neutral!$A55,Data!$DD:$DD)+'Rate History'!$D$14*SUMIF(Data!$G:$G,Neutral!$A55,Data!$DE:$DE)+'Rate History'!$D$15*SUMIF(Data!$G:$G,Neutral!$A55,Data!$DF:$DF)+'Rate History'!$D$16*SUMIF(Data!$G:$G,Neutral!$A55,Data!$DG:$DG)+'Rate History'!$D$17*SUMIF(Data!$G:$G,Neutral!$A55,Data!$DH:$DH)+'Rate History'!$D$18*SUMIF(Data!$G:$G,Neutral!$A55,Data!$DI:$DI)+'Rate History'!$D$19*SUMIF(Data!$G:$G,Neutral!$A55,Data!$DJ:$DJ)+'Rate History'!$D$20*SUMIF(Data!$G:$G,Neutral!$A55,Data!$DK:$DK)+'Rate History'!$D$21*SUMIF(Data!$G:$G,Neutral!$A55,Data!$DL:$DL)+'Rate History'!$D$22*SUMIF(Data!$G:$G,Neutral!$A55,Data!$DM:$DM)+'Rate History'!$D$23*SUMIF(Data!$G:$G,Neutral!$A55,Data!$DN:$DN)+'Rate History'!$D$24*SUMIF(Data!$G:$G,Neutral!$A55,Data!$DO:$DO)+'Rate History'!$D$25*SUMIF(Data!$G:$G,Neutral!$A55,Data!$DP:$DP)+'Rate History'!$D$26*SUMIF(Data!$G:$G,Neutral!$A55,Data!$DQ:$DQ)+'Rate History'!$D$27*SUMIF(Data!$G:$G,Neutral!$A55,Data!$DR:$DR)+'Rate History'!$D$28*SUMIF(Data!$G:$G,Neutral!$A55,Data!$DS:$DS)+'Rate History'!$D$29*SUMIF(Data!$G:$G,Neutral!$A55,Data!$DT:$DT)+'Rate History'!$D$30*SUMIF(Data!$G:$G,Neutral!$A55,Data!$DV:$DV)+'Rate History'!$D$31*SUMIF(Data!$G:$G,Neutral!$A55,Data!$DW:$DW))</f>
        <v>9035108.1135650761</v>
      </c>
      <c r="C55" s="121">
        <f>$C$5*('Rate History'!$C$4*SUMIF(Data!$G:$G,Neutral!$A55,Data!$CU:$CU)+'Rate History'!$C$5*SUMIF(Data!$G:$G,Neutral!$A55,Data!$CV:$CV)+'Rate History'!$C$6*SUMIF(Data!$G:$G,Neutral!$A55,Data!$CW:$CW)+'Rate History'!$C$7*SUMIF(Data!$G:$G,Neutral!$A55,Data!$CX:$CX)+'Rate History'!$C$8*SUMIF(Data!$G:$G,Neutral!$A55,Data!$CY:$CY)+'Rate History'!$C$9*SUMIF(Data!$G:$G,Neutral!$A55,Data!$CZ:$CZ)+'Rate History'!$C$10*SUMIF(Data!$G:$G,Neutral!$A55,Data!$DA:$DA)+'Rate History'!$C$11*SUMIF(Data!$G:$G,Neutral!$A55,Data!$DB:$DB)+'Rate History'!$C$12*SUMIF(Data!$G:$G,Neutral!$A55,Data!$DC:$DC)+'Rate History'!$C$13*SUMIF(Data!$G:$G,Neutral!$A55,Data!$DD:$DD)+'Rate History'!$C$14*SUMIF(Data!$G:$G,Neutral!$A55,Data!$DE:$DE)+'Rate History'!$C$15*SUMIF(Data!$G:$G,Neutral!$A55,Data!$DF:$DF)+'Rate History'!$C$16*SUMIF(Data!$G:$G,Neutral!$A55,Data!$DG:$DG)+'Rate History'!$C$17*SUMIF(Data!$G:$G,Neutral!$A55,Data!$DH:$DH)+'Rate History'!$C$18*SUMIF(Data!$G:$G,Neutral!$A55,Data!$DI:$DI)+'Rate History'!$C$19*SUMIF(Data!$G:$G,Neutral!$A55,Data!$DJ:$DJ)+'Rate History'!$C$20*SUMIF(Data!$G:$G,Neutral!$A55,Data!$DK:$DK)+'Rate History'!$C$21*SUMIF(Data!$G:$G,Neutral!$A55,Data!$DL:$DL)+'Rate History'!$C$22*SUMIF(Data!$G:$G,Neutral!$A55,Data!$DM:$DM)+'Rate History'!$C$23*SUMIF(Data!$G:$G,Neutral!$A55,Data!$DN:$DN)+'Rate History'!$C$24*SUMIF(Data!$G:$G,Neutral!$A55,Data!$DO:$DO)+'Rate History'!$C$25*SUMIF(Data!$G:$G,Neutral!$A55,Data!$DP:$DP)+'Rate History'!$C$26*SUMIF(Data!$G:$G,Neutral!$A55,Data!$DQ:$DQ)+'Rate History'!$C$27*SUMIF(Data!$G:$G,Neutral!$A55,Data!$DR:$DR)+'Rate History'!$C$28*SUMIF(Data!$G:$G,Neutral!$A55,Data!$DS:$DS)+'Rate History'!$C$29*SUMIF(Data!$G:$G,Neutral!$A55,Data!$DT:$DT)+'Rate History'!$C$30*SUMIF(Data!$G:$G,Neutral!$A55,Data!$DV:$DV)+'Rate History'!$C$31*SUMIF(Data!$G:$G,Neutral!$A55,Data!$DW:$DW))</f>
        <v>8455105.2319855969</v>
      </c>
      <c r="D55" s="106">
        <f t="shared" si="1"/>
        <v>-580002.8815794792</v>
      </c>
      <c r="E55" s="108">
        <f t="shared" si="2"/>
        <v>-6.4194348787999331E-2</v>
      </c>
    </row>
    <row r="56" spans="1:5" x14ac:dyDescent="0.25">
      <c r="A56" s="99" t="s">
        <v>785</v>
      </c>
      <c r="B56" s="121">
        <f>$B$5*('Rate History'!$D$4*SUMIF(Data!$G:$G,Neutral!$A56,Data!$CU:$CU)+'Rate History'!$D$5*SUMIF(Data!$G:$G,Neutral!$A56,Data!$CV:$CV)+'Rate History'!$D$6*SUMIF(Data!$G:$G,Neutral!$A56,Data!$CW:$CW)+'Rate History'!$D$7*SUMIF(Data!$G:$G,Neutral!$A56,Data!$CX:$CX)+'Rate History'!$D$8*SUMIF(Data!$G:$G,Neutral!$A56,Data!$CY:$CY)+'Rate History'!$D$9*SUMIF(Data!$G:$G,Neutral!$A56,Data!$CZ:$CZ)+'Rate History'!$D$10*SUMIF(Data!$G:$G,Neutral!$A56,Data!$DA:$DA)+'Rate History'!$D$11*SUMIF(Data!$G:$G,Neutral!$A56,Data!$DB:$DB)+'Rate History'!$D$12*SUMIF(Data!$G:$G,Neutral!$A56,Data!$DC:$DC)+'Rate History'!$D$13*SUMIF(Data!$G:$G,Neutral!$A56,Data!$DD:$DD)+'Rate History'!$D$14*SUMIF(Data!$G:$G,Neutral!$A56,Data!$DE:$DE)+'Rate History'!$D$15*SUMIF(Data!$G:$G,Neutral!$A56,Data!$DF:$DF)+'Rate History'!$D$16*SUMIF(Data!$G:$G,Neutral!$A56,Data!$DG:$DG)+'Rate History'!$D$17*SUMIF(Data!$G:$G,Neutral!$A56,Data!$DH:$DH)+'Rate History'!$D$18*SUMIF(Data!$G:$G,Neutral!$A56,Data!$DI:$DI)+'Rate History'!$D$19*SUMIF(Data!$G:$G,Neutral!$A56,Data!$DJ:$DJ)+'Rate History'!$D$20*SUMIF(Data!$G:$G,Neutral!$A56,Data!$DK:$DK)+'Rate History'!$D$21*SUMIF(Data!$G:$G,Neutral!$A56,Data!$DL:$DL)+'Rate History'!$D$22*SUMIF(Data!$G:$G,Neutral!$A56,Data!$DM:$DM)+'Rate History'!$D$23*SUMIF(Data!$G:$G,Neutral!$A56,Data!$DN:$DN)+'Rate History'!$D$24*SUMIF(Data!$G:$G,Neutral!$A56,Data!$DO:$DO)+'Rate History'!$D$25*SUMIF(Data!$G:$G,Neutral!$A56,Data!$DP:$DP)+'Rate History'!$D$26*SUMIF(Data!$G:$G,Neutral!$A56,Data!$DQ:$DQ)+'Rate History'!$D$27*SUMIF(Data!$G:$G,Neutral!$A56,Data!$DR:$DR)+'Rate History'!$D$28*SUMIF(Data!$G:$G,Neutral!$A56,Data!$DS:$DS)+'Rate History'!$D$29*SUMIF(Data!$G:$G,Neutral!$A56,Data!$DT:$DT)+'Rate History'!$D$30*SUMIF(Data!$G:$G,Neutral!$A56,Data!$DV:$DV)+'Rate History'!$D$31*SUMIF(Data!$G:$G,Neutral!$A56,Data!$DW:$DW))</f>
        <v>1858291.2760591903</v>
      </c>
      <c r="C56" s="121">
        <f>$C$5*('Rate History'!$C$4*SUMIF(Data!$G:$G,Neutral!$A56,Data!$CU:$CU)+'Rate History'!$C$5*SUMIF(Data!$G:$G,Neutral!$A56,Data!$CV:$CV)+'Rate History'!$C$6*SUMIF(Data!$G:$G,Neutral!$A56,Data!$CW:$CW)+'Rate History'!$C$7*SUMIF(Data!$G:$G,Neutral!$A56,Data!$CX:$CX)+'Rate History'!$C$8*SUMIF(Data!$G:$G,Neutral!$A56,Data!$CY:$CY)+'Rate History'!$C$9*SUMIF(Data!$G:$G,Neutral!$A56,Data!$CZ:$CZ)+'Rate History'!$C$10*SUMIF(Data!$G:$G,Neutral!$A56,Data!$DA:$DA)+'Rate History'!$C$11*SUMIF(Data!$G:$G,Neutral!$A56,Data!$DB:$DB)+'Rate History'!$C$12*SUMIF(Data!$G:$G,Neutral!$A56,Data!$DC:$DC)+'Rate History'!$C$13*SUMIF(Data!$G:$G,Neutral!$A56,Data!$DD:$DD)+'Rate History'!$C$14*SUMIF(Data!$G:$G,Neutral!$A56,Data!$DE:$DE)+'Rate History'!$C$15*SUMIF(Data!$G:$G,Neutral!$A56,Data!$DF:$DF)+'Rate History'!$C$16*SUMIF(Data!$G:$G,Neutral!$A56,Data!$DG:$DG)+'Rate History'!$C$17*SUMIF(Data!$G:$G,Neutral!$A56,Data!$DH:$DH)+'Rate History'!$C$18*SUMIF(Data!$G:$G,Neutral!$A56,Data!$DI:$DI)+'Rate History'!$C$19*SUMIF(Data!$G:$G,Neutral!$A56,Data!$DJ:$DJ)+'Rate History'!$C$20*SUMIF(Data!$G:$G,Neutral!$A56,Data!$DK:$DK)+'Rate History'!$C$21*SUMIF(Data!$G:$G,Neutral!$A56,Data!$DL:$DL)+'Rate History'!$C$22*SUMIF(Data!$G:$G,Neutral!$A56,Data!$DM:$DM)+'Rate History'!$C$23*SUMIF(Data!$G:$G,Neutral!$A56,Data!$DN:$DN)+'Rate History'!$C$24*SUMIF(Data!$G:$G,Neutral!$A56,Data!$DO:$DO)+'Rate History'!$C$25*SUMIF(Data!$G:$G,Neutral!$A56,Data!$DP:$DP)+'Rate History'!$C$26*SUMIF(Data!$G:$G,Neutral!$A56,Data!$DQ:$DQ)+'Rate History'!$C$27*SUMIF(Data!$G:$G,Neutral!$A56,Data!$DR:$DR)+'Rate History'!$C$28*SUMIF(Data!$G:$G,Neutral!$A56,Data!$DS:$DS)+'Rate History'!$C$29*SUMIF(Data!$G:$G,Neutral!$A56,Data!$DT:$DT)+'Rate History'!$C$30*SUMIF(Data!$G:$G,Neutral!$A56,Data!$DV:$DV)+'Rate History'!$C$31*SUMIF(Data!$G:$G,Neutral!$A56,Data!$DW:$DW))</f>
        <v>1784218.1201787554</v>
      </c>
      <c r="D56" s="106">
        <f t="shared" si="1"/>
        <v>-74073.155880434904</v>
      </c>
      <c r="E56" s="108">
        <f t="shared" si="2"/>
        <v>-3.9860896316275624E-2</v>
      </c>
    </row>
    <row r="57" spans="1:5" x14ac:dyDescent="0.25">
      <c r="A57" s="99" t="s">
        <v>668</v>
      </c>
      <c r="B57" s="121">
        <f>$B$5*('Rate History'!$D$4*SUMIF(Data!$G:$G,Neutral!$A57,Data!$CU:$CU)+'Rate History'!$D$5*SUMIF(Data!$G:$G,Neutral!$A57,Data!$CV:$CV)+'Rate History'!$D$6*SUMIF(Data!$G:$G,Neutral!$A57,Data!$CW:$CW)+'Rate History'!$D$7*SUMIF(Data!$G:$G,Neutral!$A57,Data!$CX:$CX)+'Rate History'!$D$8*SUMIF(Data!$G:$G,Neutral!$A57,Data!$CY:$CY)+'Rate History'!$D$9*SUMIF(Data!$G:$G,Neutral!$A57,Data!$CZ:$CZ)+'Rate History'!$D$10*SUMIF(Data!$G:$G,Neutral!$A57,Data!$DA:$DA)+'Rate History'!$D$11*SUMIF(Data!$G:$G,Neutral!$A57,Data!$DB:$DB)+'Rate History'!$D$12*SUMIF(Data!$G:$G,Neutral!$A57,Data!$DC:$DC)+'Rate History'!$D$13*SUMIF(Data!$G:$G,Neutral!$A57,Data!$DD:$DD)+'Rate History'!$D$14*SUMIF(Data!$G:$G,Neutral!$A57,Data!$DE:$DE)+'Rate History'!$D$15*SUMIF(Data!$G:$G,Neutral!$A57,Data!$DF:$DF)+'Rate History'!$D$16*SUMIF(Data!$G:$G,Neutral!$A57,Data!$DG:$DG)+'Rate History'!$D$17*SUMIF(Data!$G:$G,Neutral!$A57,Data!$DH:$DH)+'Rate History'!$D$18*SUMIF(Data!$G:$G,Neutral!$A57,Data!$DI:$DI)+'Rate History'!$D$19*SUMIF(Data!$G:$G,Neutral!$A57,Data!$DJ:$DJ)+'Rate History'!$D$20*SUMIF(Data!$G:$G,Neutral!$A57,Data!$DK:$DK)+'Rate History'!$D$21*SUMIF(Data!$G:$G,Neutral!$A57,Data!$DL:$DL)+'Rate History'!$D$22*SUMIF(Data!$G:$G,Neutral!$A57,Data!$DM:$DM)+'Rate History'!$D$23*SUMIF(Data!$G:$G,Neutral!$A57,Data!$DN:$DN)+'Rate History'!$D$24*SUMIF(Data!$G:$G,Neutral!$A57,Data!$DO:$DO)+'Rate History'!$D$25*SUMIF(Data!$G:$G,Neutral!$A57,Data!$DP:$DP)+'Rate History'!$D$26*SUMIF(Data!$G:$G,Neutral!$A57,Data!$DQ:$DQ)+'Rate History'!$D$27*SUMIF(Data!$G:$G,Neutral!$A57,Data!$DR:$DR)+'Rate History'!$D$28*SUMIF(Data!$G:$G,Neutral!$A57,Data!$DS:$DS)+'Rate History'!$D$29*SUMIF(Data!$G:$G,Neutral!$A57,Data!$DT:$DT)+'Rate History'!$D$30*SUMIF(Data!$G:$G,Neutral!$A57,Data!$DV:$DV)+'Rate History'!$D$31*SUMIF(Data!$G:$G,Neutral!$A57,Data!$DW:$DW))</f>
        <v>9133903.394063307</v>
      </c>
      <c r="C57" s="121">
        <f>$C$5*('Rate History'!$C$4*SUMIF(Data!$G:$G,Neutral!$A57,Data!$CU:$CU)+'Rate History'!$C$5*SUMIF(Data!$G:$G,Neutral!$A57,Data!$CV:$CV)+'Rate History'!$C$6*SUMIF(Data!$G:$G,Neutral!$A57,Data!$CW:$CW)+'Rate History'!$C$7*SUMIF(Data!$G:$G,Neutral!$A57,Data!$CX:$CX)+'Rate History'!$C$8*SUMIF(Data!$G:$G,Neutral!$A57,Data!$CY:$CY)+'Rate History'!$C$9*SUMIF(Data!$G:$G,Neutral!$A57,Data!$CZ:$CZ)+'Rate History'!$C$10*SUMIF(Data!$G:$G,Neutral!$A57,Data!$DA:$DA)+'Rate History'!$C$11*SUMIF(Data!$G:$G,Neutral!$A57,Data!$DB:$DB)+'Rate History'!$C$12*SUMIF(Data!$G:$G,Neutral!$A57,Data!$DC:$DC)+'Rate History'!$C$13*SUMIF(Data!$G:$G,Neutral!$A57,Data!$DD:$DD)+'Rate History'!$C$14*SUMIF(Data!$G:$G,Neutral!$A57,Data!$DE:$DE)+'Rate History'!$C$15*SUMIF(Data!$G:$G,Neutral!$A57,Data!$DF:$DF)+'Rate History'!$C$16*SUMIF(Data!$G:$G,Neutral!$A57,Data!$DG:$DG)+'Rate History'!$C$17*SUMIF(Data!$G:$G,Neutral!$A57,Data!$DH:$DH)+'Rate History'!$C$18*SUMIF(Data!$G:$G,Neutral!$A57,Data!$DI:$DI)+'Rate History'!$C$19*SUMIF(Data!$G:$G,Neutral!$A57,Data!$DJ:$DJ)+'Rate History'!$C$20*SUMIF(Data!$G:$G,Neutral!$A57,Data!$DK:$DK)+'Rate History'!$C$21*SUMIF(Data!$G:$G,Neutral!$A57,Data!$DL:$DL)+'Rate History'!$C$22*SUMIF(Data!$G:$G,Neutral!$A57,Data!$DM:$DM)+'Rate History'!$C$23*SUMIF(Data!$G:$G,Neutral!$A57,Data!$DN:$DN)+'Rate History'!$C$24*SUMIF(Data!$G:$G,Neutral!$A57,Data!$DO:$DO)+'Rate History'!$C$25*SUMIF(Data!$G:$G,Neutral!$A57,Data!$DP:$DP)+'Rate History'!$C$26*SUMIF(Data!$G:$G,Neutral!$A57,Data!$DQ:$DQ)+'Rate History'!$C$27*SUMIF(Data!$G:$G,Neutral!$A57,Data!$DR:$DR)+'Rate History'!$C$28*SUMIF(Data!$G:$G,Neutral!$A57,Data!$DS:$DS)+'Rate History'!$C$29*SUMIF(Data!$G:$G,Neutral!$A57,Data!$DT:$DT)+'Rate History'!$C$30*SUMIF(Data!$G:$G,Neutral!$A57,Data!$DV:$DV)+'Rate History'!$C$31*SUMIF(Data!$G:$G,Neutral!$A57,Data!$DW:$DW))</f>
        <v>9042510.6609008219</v>
      </c>
      <c r="D57" s="106">
        <f t="shared" si="1"/>
        <v>-91392.733162485063</v>
      </c>
      <c r="E57" s="108">
        <f t="shared" si="2"/>
        <v>-1.0005879109898063E-2</v>
      </c>
    </row>
    <row r="58" spans="1:5" x14ac:dyDescent="0.25">
      <c r="A58" s="99" t="s">
        <v>583</v>
      </c>
      <c r="B58" s="121">
        <f>$B$5*('Rate History'!$D$4*SUMIF(Data!$G:$G,Neutral!$A58,Data!$CU:$CU)+'Rate History'!$D$5*SUMIF(Data!$G:$G,Neutral!$A58,Data!$CV:$CV)+'Rate History'!$D$6*SUMIF(Data!$G:$G,Neutral!$A58,Data!$CW:$CW)+'Rate History'!$D$7*SUMIF(Data!$G:$G,Neutral!$A58,Data!$CX:$CX)+'Rate History'!$D$8*SUMIF(Data!$G:$G,Neutral!$A58,Data!$CY:$CY)+'Rate History'!$D$9*SUMIF(Data!$G:$G,Neutral!$A58,Data!$CZ:$CZ)+'Rate History'!$D$10*SUMIF(Data!$G:$G,Neutral!$A58,Data!$DA:$DA)+'Rate History'!$D$11*SUMIF(Data!$G:$G,Neutral!$A58,Data!$DB:$DB)+'Rate History'!$D$12*SUMIF(Data!$G:$G,Neutral!$A58,Data!$DC:$DC)+'Rate History'!$D$13*SUMIF(Data!$G:$G,Neutral!$A58,Data!$DD:$DD)+'Rate History'!$D$14*SUMIF(Data!$G:$G,Neutral!$A58,Data!$DE:$DE)+'Rate History'!$D$15*SUMIF(Data!$G:$G,Neutral!$A58,Data!$DF:$DF)+'Rate History'!$D$16*SUMIF(Data!$G:$G,Neutral!$A58,Data!$DG:$DG)+'Rate History'!$D$17*SUMIF(Data!$G:$G,Neutral!$A58,Data!$DH:$DH)+'Rate History'!$D$18*SUMIF(Data!$G:$G,Neutral!$A58,Data!$DI:$DI)+'Rate History'!$D$19*SUMIF(Data!$G:$G,Neutral!$A58,Data!$DJ:$DJ)+'Rate History'!$D$20*SUMIF(Data!$G:$G,Neutral!$A58,Data!$DK:$DK)+'Rate History'!$D$21*SUMIF(Data!$G:$G,Neutral!$A58,Data!$DL:$DL)+'Rate History'!$D$22*SUMIF(Data!$G:$G,Neutral!$A58,Data!$DM:$DM)+'Rate History'!$D$23*SUMIF(Data!$G:$G,Neutral!$A58,Data!$DN:$DN)+'Rate History'!$D$24*SUMIF(Data!$G:$G,Neutral!$A58,Data!$DO:$DO)+'Rate History'!$D$25*SUMIF(Data!$G:$G,Neutral!$A58,Data!$DP:$DP)+'Rate History'!$D$26*SUMIF(Data!$G:$G,Neutral!$A58,Data!$DQ:$DQ)+'Rate History'!$D$27*SUMIF(Data!$G:$G,Neutral!$A58,Data!$DR:$DR)+'Rate History'!$D$28*SUMIF(Data!$G:$G,Neutral!$A58,Data!$DS:$DS)+'Rate History'!$D$29*SUMIF(Data!$G:$G,Neutral!$A58,Data!$DT:$DT)+'Rate History'!$D$30*SUMIF(Data!$G:$G,Neutral!$A58,Data!$DV:$DV)+'Rate History'!$D$31*SUMIF(Data!$G:$G,Neutral!$A58,Data!$DW:$DW))</f>
        <v>14719344.98098629</v>
      </c>
      <c r="C58" s="121">
        <f>$C$5*('Rate History'!$C$4*SUMIF(Data!$G:$G,Neutral!$A58,Data!$CU:$CU)+'Rate History'!$C$5*SUMIF(Data!$G:$G,Neutral!$A58,Data!$CV:$CV)+'Rate History'!$C$6*SUMIF(Data!$G:$G,Neutral!$A58,Data!$CW:$CW)+'Rate History'!$C$7*SUMIF(Data!$G:$G,Neutral!$A58,Data!$CX:$CX)+'Rate History'!$C$8*SUMIF(Data!$G:$G,Neutral!$A58,Data!$CY:$CY)+'Rate History'!$C$9*SUMIF(Data!$G:$G,Neutral!$A58,Data!$CZ:$CZ)+'Rate History'!$C$10*SUMIF(Data!$G:$G,Neutral!$A58,Data!$DA:$DA)+'Rate History'!$C$11*SUMIF(Data!$G:$G,Neutral!$A58,Data!$DB:$DB)+'Rate History'!$C$12*SUMIF(Data!$G:$G,Neutral!$A58,Data!$DC:$DC)+'Rate History'!$C$13*SUMIF(Data!$G:$G,Neutral!$A58,Data!$DD:$DD)+'Rate History'!$C$14*SUMIF(Data!$G:$G,Neutral!$A58,Data!$DE:$DE)+'Rate History'!$C$15*SUMIF(Data!$G:$G,Neutral!$A58,Data!$DF:$DF)+'Rate History'!$C$16*SUMIF(Data!$G:$G,Neutral!$A58,Data!$DG:$DG)+'Rate History'!$C$17*SUMIF(Data!$G:$G,Neutral!$A58,Data!$DH:$DH)+'Rate History'!$C$18*SUMIF(Data!$G:$G,Neutral!$A58,Data!$DI:$DI)+'Rate History'!$C$19*SUMIF(Data!$G:$G,Neutral!$A58,Data!$DJ:$DJ)+'Rate History'!$C$20*SUMIF(Data!$G:$G,Neutral!$A58,Data!$DK:$DK)+'Rate History'!$C$21*SUMIF(Data!$G:$G,Neutral!$A58,Data!$DL:$DL)+'Rate History'!$C$22*SUMIF(Data!$G:$G,Neutral!$A58,Data!$DM:$DM)+'Rate History'!$C$23*SUMIF(Data!$G:$G,Neutral!$A58,Data!$DN:$DN)+'Rate History'!$C$24*SUMIF(Data!$G:$G,Neutral!$A58,Data!$DO:$DO)+'Rate History'!$C$25*SUMIF(Data!$G:$G,Neutral!$A58,Data!$DP:$DP)+'Rate History'!$C$26*SUMIF(Data!$G:$G,Neutral!$A58,Data!$DQ:$DQ)+'Rate History'!$C$27*SUMIF(Data!$G:$G,Neutral!$A58,Data!$DR:$DR)+'Rate History'!$C$28*SUMIF(Data!$G:$G,Neutral!$A58,Data!$DS:$DS)+'Rate History'!$C$29*SUMIF(Data!$G:$G,Neutral!$A58,Data!$DT:$DT)+'Rate History'!$C$30*SUMIF(Data!$G:$G,Neutral!$A58,Data!$DV:$DV)+'Rate History'!$C$31*SUMIF(Data!$G:$G,Neutral!$A58,Data!$DW:$DW))</f>
        <v>14424263.421285074</v>
      </c>
      <c r="D58" s="106">
        <f t="shared" si="1"/>
        <v>-295081.55970121548</v>
      </c>
      <c r="E58" s="108">
        <f t="shared" si="2"/>
        <v>-2.0047193681674493E-2</v>
      </c>
    </row>
    <row r="59" spans="1:5" x14ac:dyDescent="0.25">
      <c r="A59" s="99" t="s">
        <v>691</v>
      </c>
      <c r="B59" s="121">
        <f>$B$5*('Rate History'!$D$4*SUMIF(Data!$G:$G,Neutral!$A59,Data!$CU:$CU)+'Rate History'!$D$5*SUMIF(Data!$G:$G,Neutral!$A59,Data!$CV:$CV)+'Rate History'!$D$6*SUMIF(Data!$G:$G,Neutral!$A59,Data!$CW:$CW)+'Rate History'!$D$7*SUMIF(Data!$G:$G,Neutral!$A59,Data!$CX:$CX)+'Rate History'!$D$8*SUMIF(Data!$G:$G,Neutral!$A59,Data!$CY:$CY)+'Rate History'!$D$9*SUMIF(Data!$G:$G,Neutral!$A59,Data!$CZ:$CZ)+'Rate History'!$D$10*SUMIF(Data!$G:$G,Neutral!$A59,Data!$DA:$DA)+'Rate History'!$D$11*SUMIF(Data!$G:$G,Neutral!$A59,Data!$DB:$DB)+'Rate History'!$D$12*SUMIF(Data!$G:$G,Neutral!$A59,Data!$DC:$DC)+'Rate History'!$D$13*SUMIF(Data!$G:$G,Neutral!$A59,Data!$DD:$DD)+'Rate History'!$D$14*SUMIF(Data!$G:$G,Neutral!$A59,Data!$DE:$DE)+'Rate History'!$D$15*SUMIF(Data!$G:$G,Neutral!$A59,Data!$DF:$DF)+'Rate History'!$D$16*SUMIF(Data!$G:$G,Neutral!$A59,Data!$DG:$DG)+'Rate History'!$D$17*SUMIF(Data!$G:$G,Neutral!$A59,Data!$DH:$DH)+'Rate History'!$D$18*SUMIF(Data!$G:$G,Neutral!$A59,Data!$DI:$DI)+'Rate History'!$D$19*SUMIF(Data!$G:$G,Neutral!$A59,Data!$DJ:$DJ)+'Rate History'!$D$20*SUMIF(Data!$G:$G,Neutral!$A59,Data!$DK:$DK)+'Rate History'!$D$21*SUMIF(Data!$G:$G,Neutral!$A59,Data!$DL:$DL)+'Rate History'!$D$22*SUMIF(Data!$G:$G,Neutral!$A59,Data!$DM:$DM)+'Rate History'!$D$23*SUMIF(Data!$G:$G,Neutral!$A59,Data!$DN:$DN)+'Rate History'!$D$24*SUMIF(Data!$G:$G,Neutral!$A59,Data!$DO:$DO)+'Rate History'!$D$25*SUMIF(Data!$G:$G,Neutral!$A59,Data!$DP:$DP)+'Rate History'!$D$26*SUMIF(Data!$G:$G,Neutral!$A59,Data!$DQ:$DQ)+'Rate History'!$D$27*SUMIF(Data!$G:$G,Neutral!$A59,Data!$DR:$DR)+'Rate History'!$D$28*SUMIF(Data!$G:$G,Neutral!$A59,Data!$DS:$DS)+'Rate History'!$D$29*SUMIF(Data!$G:$G,Neutral!$A59,Data!$DT:$DT)+'Rate History'!$D$30*SUMIF(Data!$G:$G,Neutral!$A59,Data!$DV:$DV)+'Rate History'!$D$31*SUMIF(Data!$G:$G,Neutral!$A59,Data!$DW:$DW))</f>
        <v>2653183.3543576384</v>
      </c>
      <c r="C59" s="121">
        <f>$C$5*('Rate History'!$C$4*SUMIF(Data!$G:$G,Neutral!$A59,Data!$CU:$CU)+'Rate History'!$C$5*SUMIF(Data!$G:$G,Neutral!$A59,Data!$CV:$CV)+'Rate History'!$C$6*SUMIF(Data!$G:$G,Neutral!$A59,Data!$CW:$CW)+'Rate History'!$C$7*SUMIF(Data!$G:$G,Neutral!$A59,Data!$CX:$CX)+'Rate History'!$C$8*SUMIF(Data!$G:$G,Neutral!$A59,Data!$CY:$CY)+'Rate History'!$C$9*SUMIF(Data!$G:$G,Neutral!$A59,Data!$CZ:$CZ)+'Rate History'!$C$10*SUMIF(Data!$G:$G,Neutral!$A59,Data!$DA:$DA)+'Rate History'!$C$11*SUMIF(Data!$G:$G,Neutral!$A59,Data!$DB:$DB)+'Rate History'!$C$12*SUMIF(Data!$G:$G,Neutral!$A59,Data!$DC:$DC)+'Rate History'!$C$13*SUMIF(Data!$G:$G,Neutral!$A59,Data!$DD:$DD)+'Rate History'!$C$14*SUMIF(Data!$G:$G,Neutral!$A59,Data!$DE:$DE)+'Rate History'!$C$15*SUMIF(Data!$G:$G,Neutral!$A59,Data!$DF:$DF)+'Rate History'!$C$16*SUMIF(Data!$G:$G,Neutral!$A59,Data!$DG:$DG)+'Rate History'!$C$17*SUMIF(Data!$G:$G,Neutral!$A59,Data!$DH:$DH)+'Rate History'!$C$18*SUMIF(Data!$G:$G,Neutral!$A59,Data!$DI:$DI)+'Rate History'!$C$19*SUMIF(Data!$G:$G,Neutral!$A59,Data!$DJ:$DJ)+'Rate History'!$C$20*SUMIF(Data!$G:$G,Neutral!$A59,Data!$DK:$DK)+'Rate History'!$C$21*SUMIF(Data!$G:$G,Neutral!$A59,Data!$DL:$DL)+'Rate History'!$C$22*SUMIF(Data!$G:$G,Neutral!$A59,Data!$DM:$DM)+'Rate History'!$C$23*SUMIF(Data!$G:$G,Neutral!$A59,Data!$DN:$DN)+'Rate History'!$C$24*SUMIF(Data!$G:$G,Neutral!$A59,Data!$DO:$DO)+'Rate History'!$C$25*SUMIF(Data!$G:$G,Neutral!$A59,Data!$DP:$DP)+'Rate History'!$C$26*SUMIF(Data!$G:$G,Neutral!$A59,Data!$DQ:$DQ)+'Rate History'!$C$27*SUMIF(Data!$G:$G,Neutral!$A59,Data!$DR:$DR)+'Rate History'!$C$28*SUMIF(Data!$G:$G,Neutral!$A59,Data!$DS:$DS)+'Rate History'!$C$29*SUMIF(Data!$G:$G,Neutral!$A59,Data!$DT:$DT)+'Rate History'!$C$30*SUMIF(Data!$G:$G,Neutral!$A59,Data!$DV:$DV)+'Rate History'!$C$31*SUMIF(Data!$G:$G,Neutral!$A59,Data!$DW:$DW))</f>
        <v>2462545.9197218972</v>
      </c>
      <c r="D59" s="106">
        <f t="shared" si="1"/>
        <v>-190637.43463574117</v>
      </c>
      <c r="E59" s="108">
        <f t="shared" si="2"/>
        <v>-7.1852340820182908E-2</v>
      </c>
    </row>
    <row r="60" spans="1:5" x14ac:dyDescent="0.25">
      <c r="A60" s="99" t="s">
        <v>792</v>
      </c>
      <c r="B60" s="121">
        <f>$B$5*('Rate History'!$D$4*SUMIF(Data!$G:$G,Neutral!$A60,Data!$CU:$CU)+'Rate History'!$D$5*SUMIF(Data!$G:$G,Neutral!$A60,Data!$CV:$CV)+'Rate History'!$D$6*SUMIF(Data!$G:$G,Neutral!$A60,Data!$CW:$CW)+'Rate History'!$D$7*SUMIF(Data!$G:$G,Neutral!$A60,Data!$CX:$CX)+'Rate History'!$D$8*SUMIF(Data!$G:$G,Neutral!$A60,Data!$CY:$CY)+'Rate History'!$D$9*SUMIF(Data!$G:$G,Neutral!$A60,Data!$CZ:$CZ)+'Rate History'!$D$10*SUMIF(Data!$G:$G,Neutral!$A60,Data!$DA:$DA)+'Rate History'!$D$11*SUMIF(Data!$G:$G,Neutral!$A60,Data!$DB:$DB)+'Rate History'!$D$12*SUMIF(Data!$G:$G,Neutral!$A60,Data!$DC:$DC)+'Rate History'!$D$13*SUMIF(Data!$G:$G,Neutral!$A60,Data!$DD:$DD)+'Rate History'!$D$14*SUMIF(Data!$G:$G,Neutral!$A60,Data!$DE:$DE)+'Rate History'!$D$15*SUMIF(Data!$G:$G,Neutral!$A60,Data!$DF:$DF)+'Rate History'!$D$16*SUMIF(Data!$G:$G,Neutral!$A60,Data!$DG:$DG)+'Rate History'!$D$17*SUMIF(Data!$G:$G,Neutral!$A60,Data!$DH:$DH)+'Rate History'!$D$18*SUMIF(Data!$G:$G,Neutral!$A60,Data!$DI:$DI)+'Rate History'!$D$19*SUMIF(Data!$G:$G,Neutral!$A60,Data!$DJ:$DJ)+'Rate History'!$D$20*SUMIF(Data!$G:$G,Neutral!$A60,Data!$DK:$DK)+'Rate History'!$D$21*SUMIF(Data!$G:$G,Neutral!$A60,Data!$DL:$DL)+'Rate History'!$D$22*SUMIF(Data!$G:$G,Neutral!$A60,Data!$DM:$DM)+'Rate History'!$D$23*SUMIF(Data!$G:$G,Neutral!$A60,Data!$DN:$DN)+'Rate History'!$D$24*SUMIF(Data!$G:$G,Neutral!$A60,Data!$DO:$DO)+'Rate History'!$D$25*SUMIF(Data!$G:$G,Neutral!$A60,Data!$DP:$DP)+'Rate History'!$D$26*SUMIF(Data!$G:$G,Neutral!$A60,Data!$DQ:$DQ)+'Rate History'!$D$27*SUMIF(Data!$G:$G,Neutral!$A60,Data!$DR:$DR)+'Rate History'!$D$28*SUMIF(Data!$G:$G,Neutral!$A60,Data!$DS:$DS)+'Rate History'!$D$29*SUMIF(Data!$G:$G,Neutral!$A60,Data!$DT:$DT)+'Rate History'!$D$30*SUMIF(Data!$G:$G,Neutral!$A60,Data!$DV:$DV)+'Rate History'!$D$31*SUMIF(Data!$G:$G,Neutral!$A60,Data!$DW:$DW))</f>
        <v>5002524.1102678245</v>
      </c>
      <c r="C60" s="121">
        <f>$C$5*('Rate History'!$C$4*SUMIF(Data!$G:$G,Neutral!$A60,Data!$CU:$CU)+'Rate History'!$C$5*SUMIF(Data!$G:$G,Neutral!$A60,Data!$CV:$CV)+'Rate History'!$C$6*SUMIF(Data!$G:$G,Neutral!$A60,Data!$CW:$CW)+'Rate History'!$C$7*SUMIF(Data!$G:$G,Neutral!$A60,Data!$CX:$CX)+'Rate History'!$C$8*SUMIF(Data!$G:$G,Neutral!$A60,Data!$CY:$CY)+'Rate History'!$C$9*SUMIF(Data!$G:$G,Neutral!$A60,Data!$CZ:$CZ)+'Rate History'!$C$10*SUMIF(Data!$G:$G,Neutral!$A60,Data!$DA:$DA)+'Rate History'!$C$11*SUMIF(Data!$G:$G,Neutral!$A60,Data!$DB:$DB)+'Rate History'!$C$12*SUMIF(Data!$G:$G,Neutral!$A60,Data!$DC:$DC)+'Rate History'!$C$13*SUMIF(Data!$G:$G,Neutral!$A60,Data!$DD:$DD)+'Rate History'!$C$14*SUMIF(Data!$G:$G,Neutral!$A60,Data!$DE:$DE)+'Rate History'!$C$15*SUMIF(Data!$G:$G,Neutral!$A60,Data!$DF:$DF)+'Rate History'!$C$16*SUMIF(Data!$G:$G,Neutral!$A60,Data!$DG:$DG)+'Rate History'!$C$17*SUMIF(Data!$G:$G,Neutral!$A60,Data!$DH:$DH)+'Rate History'!$C$18*SUMIF(Data!$G:$G,Neutral!$A60,Data!$DI:$DI)+'Rate History'!$C$19*SUMIF(Data!$G:$G,Neutral!$A60,Data!$DJ:$DJ)+'Rate History'!$C$20*SUMIF(Data!$G:$G,Neutral!$A60,Data!$DK:$DK)+'Rate History'!$C$21*SUMIF(Data!$G:$G,Neutral!$A60,Data!$DL:$DL)+'Rate History'!$C$22*SUMIF(Data!$G:$G,Neutral!$A60,Data!$DM:$DM)+'Rate History'!$C$23*SUMIF(Data!$G:$G,Neutral!$A60,Data!$DN:$DN)+'Rate History'!$C$24*SUMIF(Data!$G:$G,Neutral!$A60,Data!$DO:$DO)+'Rate History'!$C$25*SUMIF(Data!$G:$G,Neutral!$A60,Data!$DP:$DP)+'Rate History'!$C$26*SUMIF(Data!$G:$G,Neutral!$A60,Data!$DQ:$DQ)+'Rate History'!$C$27*SUMIF(Data!$G:$G,Neutral!$A60,Data!$DR:$DR)+'Rate History'!$C$28*SUMIF(Data!$G:$G,Neutral!$A60,Data!$DS:$DS)+'Rate History'!$C$29*SUMIF(Data!$G:$G,Neutral!$A60,Data!$DT:$DT)+'Rate History'!$C$30*SUMIF(Data!$G:$G,Neutral!$A60,Data!$DV:$DV)+'Rate History'!$C$31*SUMIF(Data!$G:$G,Neutral!$A60,Data!$DW:$DW))</f>
        <v>4882599.1303430768</v>
      </c>
      <c r="D60" s="106">
        <f t="shared" si="1"/>
        <v>-119924.97992474772</v>
      </c>
      <c r="E60" s="108">
        <f t="shared" si="2"/>
        <v>-2.3972893939401163E-2</v>
      </c>
    </row>
    <row r="61" spans="1:5" x14ac:dyDescent="0.25">
      <c r="A61" s="99" t="s">
        <v>752</v>
      </c>
      <c r="B61" s="121">
        <f>$B$5*('Rate History'!$D$4*SUMIF(Data!$G:$G,Neutral!$A61,Data!$CU:$CU)+'Rate History'!$D$5*SUMIF(Data!$G:$G,Neutral!$A61,Data!$CV:$CV)+'Rate History'!$D$6*SUMIF(Data!$G:$G,Neutral!$A61,Data!$CW:$CW)+'Rate History'!$D$7*SUMIF(Data!$G:$G,Neutral!$A61,Data!$CX:$CX)+'Rate History'!$D$8*SUMIF(Data!$G:$G,Neutral!$A61,Data!$CY:$CY)+'Rate History'!$D$9*SUMIF(Data!$G:$G,Neutral!$A61,Data!$CZ:$CZ)+'Rate History'!$D$10*SUMIF(Data!$G:$G,Neutral!$A61,Data!$DA:$DA)+'Rate History'!$D$11*SUMIF(Data!$G:$G,Neutral!$A61,Data!$DB:$DB)+'Rate History'!$D$12*SUMIF(Data!$G:$G,Neutral!$A61,Data!$DC:$DC)+'Rate History'!$D$13*SUMIF(Data!$G:$G,Neutral!$A61,Data!$DD:$DD)+'Rate History'!$D$14*SUMIF(Data!$G:$G,Neutral!$A61,Data!$DE:$DE)+'Rate History'!$D$15*SUMIF(Data!$G:$G,Neutral!$A61,Data!$DF:$DF)+'Rate History'!$D$16*SUMIF(Data!$G:$G,Neutral!$A61,Data!$DG:$DG)+'Rate History'!$D$17*SUMIF(Data!$G:$G,Neutral!$A61,Data!$DH:$DH)+'Rate History'!$D$18*SUMIF(Data!$G:$G,Neutral!$A61,Data!$DI:$DI)+'Rate History'!$D$19*SUMIF(Data!$G:$G,Neutral!$A61,Data!$DJ:$DJ)+'Rate History'!$D$20*SUMIF(Data!$G:$G,Neutral!$A61,Data!$DK:$DK)+'Rate History'!$D$21*SUMIF(Data!$G:$G,Neutral!$A61,Data!$DL:$DL)+'Rate History'!$D$22*SUMIF(Data!$G:$G,Neutral!$A61,Data!$DM:$DM)+'Rate History'!$D$23*SUMIF(Data!$G:$G,Neutral!$A61,Data!$DN:$DN)+'Rate History'!$D$24*SUMIF(Data!$G:$G,Neutral!$A61,Data!$DO:$DO)+'Rate History'!$D$25*SUMIF(Data!$G:$G,Neutral!$A61,Data!$DP:$DP)+'Rate History'!$D$26*SUMIF(Data!$G:$G,Neutral!$A61,Data!$DQ:$DQ)+'Rate History'!$D$27*SUMIF(Data!$G:$G,Neutral!$A61,Data!$DR:$DR)+'Rate History'!$D$28*SUMIF(Data!$G:$G,Neutral!$A61,Data!$DS:$DS)+'Rate History'!$D$29*SUMIF(Data!$G:$G,Neutral!$A61,Data!$DT:$DT)+'Rate History'!$D$30*SUMIF(Data!$G:$G,Neutral!$A61,Data!$DV:$DV)+'Rate History'!$D$31*SUMIF(Data!$G:$G,Neutral!$A61,Data!$DW:$DW))</f>
        <v>4048529.9471187121</v>
      </c>
      <c r="C61" s="121">
        <f>$C$5*('Rate History'!$C$4*SUMIF(Data!$G:$G,Neutral!$A61,Data!$CU:$CU)+'Rate History'!$C$5*SUMIF(Data!$G:$G,Neutral!$A61,Data!$CV:$CV)+'Rate History'!$C$6*SUMIF(Data!$G:$G,Neutral!$A61,Data!$CW:$CW)+'Rate History'!$C$7*SUMIF(Data!$G:$G,Neutral!$A61,Data!$CX:$CX)+'Rate History'!$C$8*SUMIF(Data!$G:$G,Neutral!$A61,Data!$CY:$CY)+'Rate History'!$C$9*SUMIF(Data!$G:$G,Neutral!$A61,Data!$CZ:$CZ)+'Rate History'!$C$10*SUMIF(Data!$G:$G,Neutral!$A61,Data!$DA:$DA)+'Rate History'!$C$11*SUMIF(Data!$G:$G,Neutral!$A61,Data!$DB:$DB)+'Rate History'!$C$12*SUMIF(Data!$G:$G,Neutral!$A61,Data!$DC:$DC)+'Rate History'!$C$13*SUMIF(Data!$G:$G,Neutral!$A61,Data!$DD:$DD)+'Rate History'!$C$14*SUMIF(Data!$G:$G,Neutral!$A61,Data!$DE:$DE)+'Rate History'!$C$15*SUMIF(Data!$G:$G,Neutral!$A61,Data!$DF:$DF)+'Rate History'!$C$16*SUMIF(Data!$G:$G,Neutral!$A61,Data!$DG:$DG)+'Rate History'!$C$17*SUMIF(Data!$G:$G,Neutral!$A61,Data!$DH:$DH)+'Rate History'!$C$18*SUMIF(Data!$G:$G,Neutral!$A61,Data!$DI:$DI)+'Rate History'!$C$19*SUMIF(Data!$G:$G,Neutral!$A61,Data!$DJ:$DJ)+'Rate History'!$C$20*SUMIF(Data!$G:$G,Neutral!$A61,Data!$DK:$DK)+'Rate History'!$C$21*SUMIF(Data!$G:$G,Neutral!$A61,Data!$DL:$DL)+'Rate History'!$C$22*SUMIF(Data!$G:$G,Neutral!$A61,Data!$DM:$DM)+'Rate History'!$C$23*SUMIF(Data!$G:$G,Neutral!$A61,Data!$DN:$DN)+'Rate History'!$C$24*SUMIF(Data!$G:$G,Neutral!$A61,Data!$DO:$DO)+'Rate History'!$C$25*SUMIF(Data!$G:$G,Neutral!$A61,Data!$DP:$DP)+'Rate History'!$C$26*SUMIF(Data!$G:$G,Neutral!$A61,Data!$DQ:$DQ)+'Rate History'!$C$27*SUMIF(Data!$G:$G,Neutral!$A61,Data!$DR:$DR)+'Rate History'!$C$28*SUMIF(Data!$G:$G,Neutral!$A61,Data!$DS:$DS)+'Rate History'!$C$29*SUMIF(Data!$G:$G,Neutral!$A61,Data!$DT:$DT)+'Rate History'!$C$30*SUMIF(Data!$G:$G,Neutral!$A61,Data!$DV:$DV)+'Rate History'!$C$31*SUMIF(Data!$G:$G,Neutral!$A61,Data!$DW:$DW))</f>
        <v>3814889.2858556532</v>
      </c>
      <c r="D61" s="106">
        <f t="shared" si="1"/>
        <v>-233640.66126305889</v>
      </c>
      <c r="E61" s="108">
        <f t="shared" si="2"/>
        <v>-5.7709999509658563E-2</v>
      </c>
    </row>
    <row r="62" spans="1:5" x14ac:dyDescent="0.25">
      <c r="A62" s="80" t="s">
        <v>744</v>
      </c>
      <c r="B62" s="121">
        <f>$B$5*('Rate History'!$D$4*SUMIF(Data!$G:$G,Neutral!$A62,Data!$CU:$CU)+'Rate History'!$D$5*SUMIF(Data!$G:$G,Neutral!$A62,Data!$CV:$CV)+'Rate History'!$D$6*SUMIF(Data!$G:$G,Neutral!$A62,Data!$CW:$CW)+'Rate History'!$D$7*SUMIF(Data!$G:$G,Neutral!$A62,Data!$CX:$CX)+'Rate History'!$D$8*SUMIF(Data!$G:$G,Neutral!$A62,Data!$CY:$CY)+'Rate History'!$D$9*SUMIF(Data!$G:$G,Neutral!$A62,Data!$CZ:$CZ)+'Rate History'!$D$10*SUMIF(Data!$G:$G,Neutral!$A62,Data!$DA:$DA)+'Rate History'!$D$11*SUMIF(Data!$G:$G,Neutral!$A62,Data!$DB:$DB)+'Rate History'!$D$12*SUMIF(Data!$G:$G,Neutral!$A62,Data!$DC:$DC)+'Rate History'!$D$13*SUMIF(Data!$G:$G,Neutral!$A62,Data!$DD:$DD)+'Rate History'!$D$14*SUMIF(Data!$G:$G,Neutral!$A62,Data!$DE:$DE)+'Rate History'!$D$15*SUMIF(Data!$G:$G,Neutral!$A62,Data!$DF:$DF)+'Rate History'!$D$16*SUMIF(Data!$G:$G,Neutral!$A62,Data!$DG:$DG)+'Rate History'!$D$17*SUMIF(Data!$G:$G,Neutral!$A62,Data!$DH:$DH)+'Rate History'!$D$18*SUMIF(Data!$G:$G,Neutral!$A62,Data!$DI:$DI)+'Rate History'!$D$19*SUMIF(Data!$G:$G,Neutral!$A62,Data!$DJ:$DJ)+'Rate History'!$D$20*SUMIF(Data!$G:$G,Neutral!$A62,Data!$DK:$DK)+'Rate History'!$D$21*SUMIF(Data!$G:$G,Neutral!$A62,Data!$DL:$DL)+'Rate History'!$D$22*SUMIF(Data!$G:$G,Neutral!$A62,Data!$DM:$DM)+'Rate History'!$D$23*SUMIF(Data!$G:$G,Neutral!$A62,Data!$DN:$DN)+'Rate History'!$D$24*SUMIF(Data!$G:$G,Neutral!$A62,Data!$DO:$DO)+'Rate History'!$D$25*SUMIF(Data!$G:$G,Neutral!$A62,Data!$DP:$DP)+'Rate History'!$D$26*SUMIF(Data!$G:$G,Neutral!$A62,Data!$DQ:$DQ)+'Rate History'!$D$27*SUMIF(Data!$G:$G,Neutral!$A62,Data!$DR:$DR)+'Rate History'!$D$28*SUMIF(Data!$G:$G,Neutral!$A62,Data!$DS:$DS)+'Rate History'!$D$29*SUMIF(Data!$G:$G,Neutral!$A62,Data!$DT:$DT)+'Rate History'!$D$30*SUMIF(Data!$G:$G,Neutral!$A62,Data!$DV:$DV)+'Rate History'!$D$31*SUMIF(Data!$G:$G,Neutral!$A62,Data!$DW:$DW))</f>
        <v>5530242.6317150434</v>
      </c>
      <c r="C62" s="121">
        <f>$C$5*('Rate History'!$C$4*SUMIF(Data!$G:$G,Neutral!$A62,Data!$CU:$CU)+'Rate History'!$C$5*SUMIF(Data!$G:$G,Neutral!$A62,Data!$CV:$CV)+'Rate History'!$C$6*SUMIF(Data!$G:$G,Neutral!$A62,Data!$CW:$CW)+'Rate History'!$C$7*SUMIF(Data!$G:$G,Neutral!$A62,Data!$CX:$CX)+'Rate History'!$C$8*SUMIF(Data!$G:$G,Neutral!$A62,Data!$CY:$CY)+'Rate History'!$C$9*SUMIF(Data!$G:$G,Neutral!$A62,Data!$CZ:$CZ)+'Rate History'!$C$10*SUMIF(Data!$G:$G,Neutral!$A62,Data!$DA:$DA)+'Rate History'!$C$11*SUMIF(Data!$G:$G,Neutral!$A62,Data!$DB:$DB)+'Rate History'!$C$12*SUMIF(Data!$G:$G,Neutral!$A62,Data!$DC:$DC)+'Rate History'!$C$13*SUMIF(Data!$G:$G,Neutral!$A62,Data!$DD:$DD)+'Rate History'!$C$14*SUMIF(Data!$G:$G,Neutral!$A62,Data!$DE:$DE)+'Rate History'!$C$15*SUMIF(Data!$G:$G,Neutral!$A62,Data!$DF:$DF)+'Rate History'!$C$16*SUMIF(Data!$G:$G,Neutral!$A62,Data!$DG:$DG)+'Rate History'!$C$17*SUMIF(Data!$G:$G,Neutral!$A62,Data!$DH:$DH)+'Rate History'!$C$18*SUMIF(Data!$G:$G,Neutral!$A62,Data!$DI:$DI)+'Rate History'!$C$19*SUMIF(Data!$G:$G,Neutral!$A62,Data!$DJ:$DJ)+'Rate History'!$C$20*SUMIF(Data!$G:$G,Neutral!$A62,Data!$DK:$DK)+'Rate History'!$C$21*SUMIF(Data!$G:$G,Neutral!$A62,Data!$DL:$DL)+'Rate History'!$C$22*SUMIF(Data!$G:$G,Neutral!$A62,Data!$DM:$DM)+'Rate History'!$C$23*SUMIF(Data!$G:$G,Neutral!$A62,Data!$DN:$DN)+'Rate History'!$C$24*SUMIF(Data!$G:$G,Neutral!$A62,Data!$DO:$DO)+'Rate History'!$C$25*SUMIF(Data!$G:$G,Neutral!$A62,Data!$DP:$DP)+'Rate History'!$C$26*SUMIF(Data!$G:$G,Neutral!$A62,Data!$DQ:$DQ)+'Rate History'!$C$27*SUMIF(Data!$G:$G,Neutral!$A62,Data!$DR:$DR)+'Rate History'!$C$28*SUMIF(Data!$G:$G,Neutral!$A62,Data!$DS:$DS)+'Rate History'!$C$29*SUMIF(Data!$G:$G,Neutral!$A62,Data!$DT:$DT)+'Rate History'!$C$30*SUMIF(Data!$G:$G,Neutral!$A62,Data!$DV:$DV)+'Rate History'!$C$31*SUMIF(Data!$G:$G,Neutral!$A62,Data!$DW:$DW))</f>
        <v>5201738.7580133379</v>
      </c>
      <c r="D62" s="106">
        <f t="shared" si="1"/>
        <v>-328503.8737017056</v>
      </c>
      <c r="E62" s="108">
        <f t="shared" si="2"/>
        <v>-5.9401349195384166E-2</v>
      </c>
    </row>
    <row r="63" spans="1:5" ht="15.75" thickBot="1" x14ac:dyDescent="0.3">
      <c r="A63" s="89" t="s">
        <v>35</v>
      </c>
      <c r="B63" s="105">
        <f>SUM(B5:B62)</f>
        <v>925223944.99999976</v>
      </c>
      <c r="C63" s="105">
        <f>SUM(C6:C62)</f>
        <v>925223945.00000131</v>
      </c>
      <c r="D63" s="109">
        <f t="shared" si="1"/>
        <v>1.5497207641601563E-6</v>
      </c>
      <c r="E63" s="107">
        <f t="shared" si="2"/>
        <v>1.6749682847433835E-15</v>
      </c>
    </row>
    <row r="64" spans="1:5" x14ac:dyDescent="0.25">
      <c r="B64" s="73"/>
    </row>
    <row r="65" spans="2:2" x14ac:dyDescent="0.25">
      <c r="B65" s="176"/>
    </row>
  </sheetData>
  <mergeCells count="1">
    <mergeCell ref="A3:E3"/>
  </mergeCells>
  <pageMargins left="0.25" right="0.25" top="0.25" bottom="0.2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2"/>
  <sheetViews>
    <sheetView showGridLines="0" zoomScale="70" zoomScaleNormal="70" workbookViewId="0">
      <selection activeCell="F3" sqref="F3"/>
    </sheetView>
  </sheetViews>
  <sheetFormatPr defaultRowHeight="14.25" x14ac:dyDescent="0.2"/>
  <cols>
    <col min="1" max="1" width="9.42578125" style="11" customWidth="1"/>
    <col min="2" max="2" width="46.5703125" style="11" customWidth="1"/>
    <col min="3" max="3" width="18.28515625" style="11" customWidth="1"/>
    <col min="4" max="4" width="18.7109375" style="11" bestFit="1" customWidth="1"/>
    <col min="5" max="5" width="18.42578125" style="11" customWidth="1"/>
    <col min="6" max="6" width="17.28515625" style="11" customWidth="1"/>
    <col min="7" max="7" width="2.85546875" style="11" customWidth="1"/>
    <col min="8" max="8" width="11" style="11" bestFit="1" customWidth="1"/>
    <col min="9" max="9" width="16.42578125" style="11" bestFit="1" customWidth="1"/>
    <col min="10" max="10" width="13.42578125" style="11" bestFit="1" customWidth="1"/>
    <col min="11" max="11" width="12.42578125" style="11" bestFit="1" customWidth="1"/>
    <col min="12" max="12" width="14.5703125" style="11" bestFit="1" customWidth="1"/>
    <col min="13" max="13" width="13.42578125" style="11" bestFit="1" customWidth="1"/>
    <col min="14"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524</v>
      </c>
      <c r="B2" s="12" t="str">
        <f>VLOOKUP(A2,Data!A:G,7,0)</f>
        <v>Alamo Community College District</v>
      </c>
      <c r="C2" s="12"/>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77440</v>
      </c>
      <c r="E5" s="16">
        <f>E36+E67+IFERROR($E$105/$D$105*D5,0)</f>
        <v>492109.36491052236</v>
      </c>
      <c r="F5" s="21">
        <f>IFERROR(E5/D5,"")</f>
        <v>6.3547180386172828</v>
      </c>
    </row>
    <row r="6" spans="1:6" x14ac:dyDescent="0.2">
      <c r="A6" s="20">
        <v>2</v>
      </c>
      <c r="B6" s="179" t="s">
        <v>1</v>
      </c>
      <c r="C6" s="180"/>
      <c r="D6" s="15">
        <f t="shared" ref="D6:D32" si="0">D37</f>
        <v>178702</v>
      </c>
      <c r="E6" s="18">
        <f t="shared" ref="E6:E32" si="1">E37+E68+IFERROR($E$105/$D$105*D6,0)</f>
        <v>2052853.8600237626</v>
      </c>
      <c r="F6" s="22">
        <f t="shared" ref="F6:F33" si="2">IFERROR(E6/D6,"")</f>
        <v>11.487581896250532</v>
      </c>
    </row>
    <row r="7" spans="1:6" x14ac:dyDescent="0.2">
      <c r="A7" s="20">
        <v>3</v>
      </c>
      <c r="B7" s="179" t="s">
        <v>2</v>
      </c>
      <c r="C7" s="180"/>
      <c r="D7" s="15">
        <f t="shared" si="0"/>
        <v>2573776</v>
      </c>
      <c r="E7" s="18">
        <f t="shared" si="1"/>
        <v>24944488.724147014</v>
      </c>
      <c r="F7" s="22">
        <f t="shared" si="2"/>
        <v>9.691786979188171</v>
      </c>
    </row>
    <row r="8" spans="1:6" x14ac:dyDescent="0.2">
      <c r="A8" s="20">
        <v>4</v>
      </c>
      <c r="B8" s="179" t="s">
        <v>3</v>
      </c>
      <c r="C8" s="180"/>
      <c r="D8" s="15">
        <f t="shared" si="0"/>
        <v>1138720</v>
      </c>
      <c r="E8" s="18">
        <f t="shared" si="1"/>
        <v>10727182.16129791</v>
      </c>
      <c r="F8" s="22">
        <f t="shared" si="2"/>
        <v>9.4203861891403591</v>
      </c>
    </row>
    <row r="9" spans="1:6" x14ac:dyDescent="0.2">
      <c r="A9" s="20">
        <v>5</v>
      </c>
      <c r="B9" s="179" t="s">
        <v>4</v>
      </c>
      <c r="C9" s="180"/>
      <c r="D9" s="15">
        <f t="shared" si="0"/>
        <v>9404</v>
      </c>
      <c r="E9" s="18">
        <f t="shared" si="1"/>
        <v>374305.25583185116</v>
      </c>
      <c r="F9" s="22">
        <f t="shared" si="2"/>
        <v>39.802770717976514</v>
      </c>
    </row>
    <row r="10" spans="1:6" x14ac:dyDescent="0.2">
      <c r="A10" s="20">
        <v>6</v>
      </c>
      <c r="B10" s="179" t="s">
        <v>5</v>
      </c>
      <c r="C10" s="180"/>
      <c r="D10" s="15">
        <f t="shared" si="0"/>
        <v>249856</v>
      </c>
      <c r="E10" s="18">
        <f t="shared" si="1"/>
        <v>2624263.2600088259</v>
      </c>
      <c r="F10" s="22">
        <f t="shared" si="2"/>
        <v>10.503102827263808</v>
      </c>
    </row>
    <row r="11" spans="1:6" x14ac:dyDescent="0.2">
      <c r="A11" s="20">
        <v>7</v>
      </c>
      <c r="B11" s="179" t="s">
        <v>6</v>
      </c>
      <c r="C11" s="180"/>
      <c r="D11" s="15">
        <f t="shared" si="0"/>
        <v>856388</v>
      </c>
      <c r="E11" s="18">
        <f t="shared" si="1"/>
        <v>10540462.261944633</v>
      </c>
      <c r="F11" s="22">
        <f t="shared" si="2"/>
        <v>12.308045257458808</v>
      </c>
    </row>
    <row r="12" spans="1:6" x14ac:dyDescent="0.2">
      <c r="A12" s="20">
        <v>8</v>
      </c>
      <c r="B12" s="179" t="s">
        <v>7</v>
      </c>
      <c r="C12" s="180"/>
      <c r="D12" s="15">
        <f t="shared" si="0"/>
        <v>52246</v>
      </c>
      <c r="E12" s="18">
        <f t="shared" si="1"/>
        <v>739567.12209601176</v>
      </c>
      <c r="F12" s="22">
        <f t="shared" si="2"/>
        <v>14.155478354247441</v>
      </c>
    </row>
    <row r="13" spans="1:6" x14ac:dyDescent="0.2">
      <c r="A13" s="20">
        <v>9</v>
      </c>
      <c r="B13" s="179" t="s">
        <v>8</v>
      </c>
      <c r="C13" s="180"/>
      <c r="D13" s="15">
        <f t="shared" si="0"/>
        <v>664400</v>
      </c>
      <c r="E13" s="18">
        <f t="shared" si="1"/>
        <v>6156138.8012209591</v>
      </c>
      <c r="F13" s="22">
        <f t="shared" si="2"/>
        <v>9.2657116213440087</v>
      </c>
    </row>
    <row r="14" spans="1:6" x14ac:dyDescent="0.2">
      <c r="A14" s="20">
        <v>10</v>
      </c>
      <c r="B14" s="179" t="s">
        <v>9</v>
      </c>
      <c r="C14" s="180"/>
      <c r="D14" s="15">
        <f t="shared" si="0"/>
        <v>26624</v>
      </c>
      <c r="E14" s="18">
        <f t="shared" si="1"/>
        <v>465766.19983700605</v>
      </c>
      <c r="F14" s="22">
        <f t="shared" si="2"/>
        <v>17.494223251089469</v>
      </c>
    </row>
    <row r="15" spans="1:6" x14ac:dyDescent="0.2">
      <c r="A15" s="20">
        <v>11</v>
      </c>
      <c r="B15" s="179" t="s">
        <v>10</v>
      </c>
      <c r="C15" s="180"/>
      <c r="D15" s="15">
        <f t="shared" si="0"/>
        <v>331995</v>
      </c>
      <c r="E15" s="18">
        <f t="shared" si="1"/>
        <v>4280509.329848513</v>
      </c>
      <c r="F15" s="22">
        <f t="shared" si="2"/>
        <v>12.89329456723298</v>
      </c>
    </row>
    <row r="16" spans="1:6" x14ac:dyDescent="0.2">
      <c r="A16" s="20">
        <v>12</v>
      </c>
      <c r="B16" s="179" t="s">
        <v>11</v>
      </c>
      <c r="C16" s="180"/>
      <c r="D16" s="15">
        <f t="shared" si="0"/>
        <v>2845212</v>
      </c>
      <c r="E16" s="18">
        <f t="shared" si="1"/>
        <v>24802645.335586224</v>
      </c>
      <c r="F16" s="22">
        <f t="shared" si="2"/>
        <v>8.7173276843996952</v>
      </c>
    </row>
    <row r="17" spans="1:6" x14ac:dyDescent="0.2">
      <c r="A17" s="20">
        <v>13</v>
      </c>
      <c r="B17" s="179" t="s">
        <v>12</v>
      </c>
      <c r="C17" s="180"/>
      <c r="D17" s="15">
        <f t="shared" si="0"/>
        <v>832628</v>
      </c>
      <c r="E17" s="18">
        <f t="shared" si="1"/>
        <v>6676447.2068016324</v>
      </c>
      <c r="F17" s="22">
        <f t="shared" si="2"/>
        <v>8.0185235264747678</v>
      </c>
    </row>
    <row r="18" spans="1:6" x14ac:dyDescent="0.2">
      <c r="A18" s="20">
        <v>14</v>
      </c>
      <c r="B18" s="179" t="s">
        <v>804</v>
      </c>
      <c r="C18" s="180"/>
      <c r="D18" s="15">
        <f t="shared" si="0"/>
        <v>591002</v>
      </c>
      <c r="E18" s="18">
        <f t="shared" si="1"/>
        <v>10642807.007139057</v>
      </c>
      <c r="F18" s="22">
        <f t="shared" si="2"/>
        <v>18.008072742797921</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780120</v>
      </c>
      <c r="E20" s="18">
        <f t="shared" si="1"/>
        <v>7063319.4771952052</v>
      </c>
      <c r="F20" s="22">
        <f t="shared" si="2"/>
        <v>9.054144845914994</v>
      </c>
    </row>
    <row r="21" spans="1:6" x14ac:dyDescent="0.2">
      <c r="A21" s="20">
        <v>17</v>
      </c>
      <c r="B21" s="179" t="s">
        <v>15</v>
      </c>
      <c r="C21" s="180"/>
      <c r="D21" s="15">
        <f t="shared" si="0"/>
        <v>43936</v>
      </c>
      <c r="E21" s="18">
        <f t="shared" si="1"/>
        <v>871181.44876948232</v>
      </c>
      <c r="F21" s="22">
        <f t="shared" si="2"/>
        <v>19.828419718897539</v>
      </c>
    </row>
    <row r="22" spans="1:6" x14ac:dyDescent="0.2">
      <c r="A22" s="20">
        <v>18</v>
      </c>
      <c r="B22" s="179" t="s">
        <v>16</v>
      </c>
      <c r="C22" s="180"/>
      <c r="D22" s="15">
        <f t="shared" si="0"/>
        <v>229264</v>
      </c>
      <c r="E22" s="18">
        <f t="shared" si="1"/>
        <v>3082415.8788848915</v>
      </c>
      <c r="F22" s="22">
        <f t="shared" si="2"/>
        <v>13.444831630281646</v>
      </c>
    </row>
    <row r="23" spans="1:6" x14ac:dyDescent="0.2">
      <c r="A23" s="20">
        <v>19</v>
      </c>
      <c r="B23" s="179" t="s">
        <v>17</v>
      </c>
      <c r="C23" s="180"/>
      <c r="D23" s="15">
        <f t="shared" si="0"/>
        <v>1195936</v>
      </c>
      <c r="E23" s="18">
        <f t="shared" si="1"/>
        <v>9759397.3647937812</v>
      </c>
      <c r="F23" s="22">
        <f t="shared" si="2"/>
        <v>8.1604679220240719</v>
      </c>
    </row>
    <row r="24" spans="1:6" x14ac:dyDescent="0.2">
      <c r="A24" s="20">
        <v>20</v>
      </c>
      <c r="B24" s="179" t="s">
        <v>18</v>
      </c>
      <c r="C24" s="180"/>
      <c r="D24" s="15">
        <f t="shared" si="0"/>
        <v>220950</v>
      </c>
      <c r="E24" s="18">
        <f t="shared" si="1"/>
        <v>2434217.9749093479</v>
      </c>
      <c r="F24" s="22">
        <f t="shared" si="2"/>
        <v>11.017053518485394</v>
      </c>
    </row>
    <row r="25" spans="1:6" x14ac:dyDescent="0.2">
      <c r="A25" s="20">
        <v>21</v>
      </c>
      <c r="B25" s="179" t="s">
        <v>801</v>
      </c>
      <c r="C25" s="180"/>
      <c r="D25" s="15">
        <f t="shared" si="0"/>
        <v>213017</v>
      </c>
      <c r="E25" s="18">
        <f t="shared" si="1"/>
        <v>1828765.2902523857</v>
      </c>
      <c r="F25" s="22">
        <f t="shared" si="2"/>
        <v>8.5850673432279372</v>
      </c>
    </row>
    <row r="26" spans="1:6" x14ac:dyDescent="0.2">
      <c r="A26" s="20">
        <v>22</v>
      </c>
      <c r="B26" s="179" t="s">
        <v>19</v>
      </c>
      <c r="C26" s="180"/>
      <c r="D26" s="15">
        <f t="shared" si="0"/>
        <v>67740</v>
      </c>
      <c r="E26" s="18">
        <f t="shared" si="1"/>
        <v>632219.04105163715</v>
      </c>
      <c r="F26" s="22">
        <f t="shared" si="2"/>
        <v>9.33302393049361</v>
      </c>
    </row>
    <row r="27" spans="1:6" x14ac:dyDescent="0.2">
      <c r="A27" s="20">
        <v>23</v>
      </c>
      <c r="B27" s="179" t="s">
        <v>20</v>
      </c>
      <c r="C27" s="180"/>
      <c r="D27" s="15">
        <f t="shared" si="0"/>
        <v>780624</v>
      </c>
      <c r="E27" s="18">
        <f t="shared" si="1"/>
        <v>7295027.5389709659</v>
      </c>
      <c r="F27" s="22">
        <f t="shared" si="2"/>
        <v>9.3451233102889049</v>
      </c>
    </row>
    <row r="28" spans="1:6" x14ac:dyDescent="0.2">
      <c r="A28" s="20">
        <v>24</v>
      </c>
      <c r="B28" s="179" t="s">
        <v>21</v>
      </c>
      <c r="C28" s="180"/>
      <c r="D28" s="15">
        <f t="shared" si="0"/>
        <v>559024</v>
      </c>
      <c r="E28" s="18">
        <f t="shared" si="1"/>
        <v>4976989.583596848</v>
      </c>
      <c r="F28" s="22">
        <f t="shared" si="2"/>
        <v>8.902998053029652</v>
      </c>
    </row>
    <row r="29" spans="1:6" x14ac:dyDescent="0.2">
      <c r="A29" s="20">
        <v>25</v>
      </c>
      <c r="B29" s="179" t="s">
        <v>22</v>
      </c>
      <c r="C29" s="180"/>
      <c r="D29" s="15">
        <f t="shared" si="0"/>
        <v>3904127</v>
      </c>
      <c r="E29" s="18">
        <f t="shared" si="1"/>
        <v>31740227.510744099</v>
      </c>
      <c r="F29" s="22">
        <f t="shared" si="2"/>
        <v>8.1299167549478017</v>
      </c>
    </row>
    <row r="30" spans="1:6" x14ac:dyDescent="0.2">
      <c r="A30" s="20">
        <v>26</v>
      </c>
      <c r="B30" s="179" t="s">
        <v>23</v>
      </c>
      <c r="C30" s="180"/>
      <c r="D30" s="15">
        <f t="shared" si="0"/>
        <v>1324825</v>
      </c>
      <c r="E30" s="18">
        <f t="shared" si="1"/>
        <v>14855302.644984283</v>
      </c>
      <c r="F30" s="22">
        <f t="shared" si="2"/>
        <v>11.213030132269758</v>
      </c>
    </row>
    <row r="31" spans="1:6" x14ac:dyDescent="0.2">
      <c r="A31" s="20">
        <v>28</v>
      </c>
      <c r="B31" s="179" t="s">
        <v>24</v>
      </c>
      <c r="C31" s="180"/>
      <c r="D31" s="15">
        <f t="shared" si="0"/>
        <v>2110672</v>
      </c>
      <c r="E31" s="18">
        <f t="shared" si="1"/>
        <v>17224071.103905246</v>
      </c>
      <c r="F31" s="22">
        <f t="shared" si="2"/>
        <v>8.160467900225731</v>
      </c>
    </row>
    <row r="32" spans="1:6" ht="15.75" customHeight="1" thickBot="1" x14ac:dyDescent="0.25">
      <c r="A32" s="23">
        <v>29</v>
      </c>
      <c r="B32" s="181" t="s">
        <v>25</v>
      </c>
      <c r="C32" s="182"/>
      <c r="D32" s="24">
        <f t="shared" si="0"/>
        <v>1680896</v>
      </c>
      <c r="E32" s="25">
        <f t="shared" si="1"/>
        <v>14652921.251247901</v>
      </c>
      <c r="F32" s="26">
        <f t="shared" si="2"/>
        <v>8.7173276938298994</v>
      </c>
    </row>
    <row r="33" spans="1:6" x14ac:dyDescent="0.2">
      <c r="C33" s="14" t="s">
        <v>35</v>
      </c>
      <c r="D33" s="65">
        <f>SUM(D5:D32)</f>
        <v>23539524</v>
      </c>
      <c r="E33" s="5">
        <f>SUM(E5:E32)</f>
        <v>221935602.00000003</v>
      </c>
      <c r="F33" s="9">
        <f t="shared" si="2"/>
        <v>9.4282111227057968</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IF(F3="1",SUMIF(Data!A:A,$A$2,Data!CU:CU),0)</f>
        <v>77440</v>
      </c>
      <c r="E36" s="16">
        <f>IF(F3="1",SUMIF(Data!$A:$A,$A$2,Data!IO:IO),0)</f>
        <v>41662</v>
      </c>
      <c r="F36" s="21">
        <f t="shared" ref="F36:F64" si="3">IFERROR(E36/D36,"")</f>
        <v>0.53799070247933889</v>
      </c>
    </row>
    <row r="37" spans="1:6" x14ac:dyDescent="0.2">
      <c r="A37" s="20">
        <v>2</v>
      </c>
      <c r="B37" s="179" t="s">
        <v>1</v>
      </c>
      <c r="C37" s="180"/>
      <c r="D37" s="15">
        <f>IF(F3="1",SUMIF(Data!A:A,$A$2,Data!CV:CV),0)</f>
        <v>178702</v>
      </c>
      <c r="E37" s="18">
        <f>IF(F3="1",SUMIF(Data!$A:$A,$A$2,Data!IP:IP),0)</f>
        <v>393286</v>
      </c>
      <c r="F37" s="22">
        <f t="shared" si="3"/>
        <v>2.200792380611297</v>
      </c>
    </row>
    <row r="38" spans="1:6" x14ac:dyDescent="0.2">
      <c r="A38" s="20">
        <v>3</v>
      </c>
      <c r="B38" s="179" t="s">
        <v>2</v>
      </c>
      <c r="C38" s="180"/>
      <c r="D38" s="15">
        <f>IF(F3="1",SUMIF(Data!A:A,$A$2,Data!CW:CW),0)</f>
        <v>2573776</v>
      </c>
      <c r="E38" s="18">
        <f>IF(F3="1",SUMIF(Data!$A:$A,$A$2,Data!IQ:IQ),0)</f>
        <v>4118505</v>
      </c>
      <c r="F38" s="22">
        <f t="shared" si="3"/>
        <v>1.6001800467484351</v>
      </c>
    </row>
    <row r="39" spans="1:6" x14ac:dyDescent="0.2">
      <c r="A39" s="20">
        <v>4</v>
      </c>
      <c r="B39" s="179" t="s">
        <v>3</v>
      </c>
      <c r="C39" s="180"/>
      <c r="D39" s="15">
        <f>IF(F3="1",SUMIF(Data!A:A,$A$2,Data!CX:CX),0)</f>
        <v>1138720</v>
      </c>
      <c r="E39" s="18">
        <f>IF(F3="1",SUMIF(Data!$A:$A,$A$2,Data!IR:IR),0)</f>
        <v>1920176</v>
      </c>
      <c r="F39" s="22">
        <f t="shared" si="3"/>
        <v>1.6862582548826752</v>
      </c>
    </row>
    <row r="40" spans="1:6" x14ac:dyDescent="0.2">
      <c r="A40" s="20">
        <v>5</v>
      </c>
      <c r="B40" s="179" t="s">
        <v>4</v>
      </c>
      <c r="C40" s="180"/>
      <c r="D40" s="15">
        <f>IF(F3="1",SUMIF(Data!A:A,$A$2,Data!CY:CY),0)</f>
        <v>9404</v>
      </c>
      <c r="E40" s="18">
        <f>IF(F3="1",SUMIF(Data!$A:$A,$A$2,Data!IS:IS),0)</f>
        <v>280435</v>
      </c>
      <c r="F40" s="22">
        <f t="shared" si="3"/>
        <v>29.820820927264993</v>
      </c>
    </row>
    <row r="41" spans="1:6" x14ac:dyDescent="0.2">
      <c r="A41" s="20">
        <v>6</v>
      </c>
      <c r="B41" s="179" t="s">
        <v>5</v>
      </c>
      <c r="C41" s="180"/>
      <c r="D41" s="15">
        <f>IF(F3="1",SUMIF(Data!A:A,$A$2,Data!CZ:CZ),0)</f>
        <v>249856</v>
      </c>
      <c r="E41" s="18">
        <f>IF(F3="1",SUMIF(Data!$A:$A,$A$2,Data!IT:IT),0)</f>
        <v>661391</v>
      </c>
      <c r="F41" s="22">
        <f t="shared" si="3"/>
        <v>2.6470887231045084</v>
      </c>
    </row>
    <row r="42" spans="1:6" x14ac:dyDescent="0.2">
      <c r="A42" s="20">
        <v>7</v>
      </c>
      <c r="B42" s="179" t="s">
        <v>6</v>
      </c>
      <c r="C42" s="180"/>
      <c r="D42" s="15">
        <f>IF(F3="1",SUMIF(Data!A:A,$A$2,Data!DA:DA),0)</f>
        <v>856388</v>
      </c>
      <c r="E42" s="18">
        <f>IF(F3="1",SUMIF(Data!$A:$A,$A$2,Data!IU:IU),0)</f>
        <v>2159798</v>
      </c>
      <c r="F42" s="22">
        <f t="shared" si="3"/>
        <v>2.5219853617752701</v>
      </c>
    </row>
    <row r="43" spans="1:6" x14ac:dyDescent="0.2">
      <c r="A43" s="20">
        <v>8</v>
      </c>
      <c r="B43" s="179" t="s">
        <v>7</v>
      </c>
      <c r="C43" s="180"/>
      <c r="D43" s="15">
        <f>IF(F3="1",SUMIF(Data!A:A,$A$2,Data!DB:DB),0)</f>
        <v>52246</v>
      </c>
      <c r="E43" s="18">
        <f>IF(F3="1",SUMIF(Data!$A:$A,$A$2,Data!IV:IV),0)</f>
        <v>306970</v>
      </c>
      <c r="F43" s="22">
        <f t="shared" si="3"/>
        <v>5.8754737204762089</v>
      </c>
    </row>
    <row r="44" spans="1:6" x14ac:dyDescent="0.2">
      <c r="A44" s="20">
        <v>9</v>
      </c>
      <c r="B44" s="179" t="s">
        <v>8</v>
      </c>
      <c r="C44" s="180"/>
      <c r="D44" s="15">
        <f>IF(F3="1",SUMIF(Data!A:A,$A$2,Data!DC:DC),0)</f>
        <v>664400</v>
      </c>
      <c r="E44" s="18">
        <f>IF(F3="1",SUMIF(Data!$A:$A,$A$2,Data!IW:IW),0)</f>
        <v>1634093</v>
      </c>
      <c r="F44" s="22">
        <f t="shared" si="3"/>
        <v>2.4595018061408789</v>
      </c>
    </row>
    <row r="45" spans="1:6" x14ac:dyDescent="0.2">
      <c r="A45" s="20">
        <v>10</v>
      </c>
      <c r="B45" s="179" t="s">
        <v>9</v>
      </c>
      <c r="C45" s="180"/>
      <c r="D45" s="15">
        <f>IF(F3="1",SUMIF(Data!A:A,$A$2,Data!DD:DD),0)</f>
        <v>26624</v>
      </c>
      <c r="E45" s="18">
        <f>IF(F3="1",SUMIF(Data!$A:$A,$A$2,Data!IX:IX),0)</f>
        <v>118736</v>
      </c>
      <c r="F45" s="22">
        <f t="shared" si="3"/>
        <v>4.4597355769230766</v>
      </c>
    </row>
    <row r="46" spans="1:6" x14ac:dyDescent="0.2">
      <c r="A46" s="20">
        <v>11</v>
      </c>
      <c r="B46" s="179" t="s">
        <v>10</v>
      </c>
      <c r="C46" s="180"/>
      <c r="D46" s="15">
        <f>IF(F3="1",SUMIF(Data!A:A,$A$2,Data!DE:DE),0)</f>
        <v>331995</v>
      </c>
      <c r="E46" s="18">
        <f>IF(F3="1",SUMIF(Data!$A:$A,$A$2,Data!IY:IY),0)</f>
        <v>1255004</v>
      </c>
      <c r="F46" s="22">
        <f t="shared" si="3"/>
        <v>3.7801894606846487</v>
      </c>
    </row>
    <row r="47" spans="1:6" x14ac:dyDescent="0.2">
      <c r="A47" s="20">
        <v>12</v>
      </c>
      <c r="B47" s="179" t="s">
        <v>11</v>
      </c>
      <c r="C47" s="180"/>
      <c r="D47" s="15">
        <f>IF(F3="1",SUMIF(Data!A:A,$A$2,Data!DF:DF),0)</f>
        <v>2845212</v>
      </c>
      <c r="E47" s="18">
        <f>IF(F3="1",SUMIF(Data!$A:$A,$A$2,Data!IZ:IZ),0)</f>
        <v>2597781</v>
      </c>
      <c r="F47" s="22">
        <f t="shared" si="3"/>
        <v>0.91303600575282262</v>
      </c>
    </row>
    <row r="48" spans="1:6" x14ac:dyDescent="0.2">
      <c r="A48" s="20">
        <v>13</v>
      </c>
      <c r="B48" s="179" t="s">
        <v>12</v>
      </c>
      <c r="C48" s="180"/>
      <c r="D48" s="15">
        <f>IF(F3="1",SUMIF(Data!A:A,$A$2,Data!DG:DG),0)</f>
        <v>832628</v>
      </c>
      <c r="E48" s="18">
        <f>IF(F3="1",SUMIF(Data!$A:$A,$A$2,Data!JA:JA),0)</f>
        <v>777107</v>
      </c>
      <c r="F48" s="22">
        <f t="shared" si="3"/>
        <v>0.93331836066046303</v>
      </c>
    </row>
    <row r="49" spans="1:7" x14ac:dyDescent="0.2">
      <c r="A49" s="20">
        <v>14</v>
      </c>
      <c r="B49" s="179" t="s">
        <v>804</v>
      </c>
      <c r="C49" s="180"/>
      <c r="D49" s="15">
        <f>IF(F3="1",SUMIF(Data!A:A,$A$2,Data!DH:DH),0)</f>
        <v>591002</v>
      </c>
      <c r="E49" s="18">
        <f>IF(F3="1",SUMIF(Data!$A:$A,$A$2,Data!JB:JB),0)</f>
        <v>3469249</v>
      </c>
      <c r="F49" s="22">
        <f t="shared" si="3"/>
        <v>5.8701138067214664</v>
      </c>
    </row>
    <row r="50" spans="1:7" x14ac:dyDescent="0.2">
      <c r="A50" s="20">
        <v>15</v>
      </c>
      <c r="B50" s="179" t="s">
        <v>13</v>
      </c>
      <c r="C50" s="180"/>
      <c r="D50" s="15">
        <f>IF(F3="1",SUMIF(Data!A:A,$A$2,Data!DI:DI),0)</f>
        <v>0</v>
      </c>
      <c r="E50" s="18">
        <f>IF(F3="1",SUMIF(Data!$A:$A,$A$2,Data!JC:JC),0)</f>
        <v>0</v>
      </c>
      <c r="F50" s="22" t="str">
        <f t="shared" si="3"/>
        <v/>
      </c>
    </row>
    <row r="51" spans="1:7" x14ac:dyDescent="0.2">
      <c r="A51" s="20">
        <v>16</v>
      </c>
      <c r="B51" s="179" t="s">
        <v>14</v>
      </c>
      <c r="C51" s="180"/>
      <c r="D51" s="15">
        <f>IF(F3="1",SUMIF(Data!A:A,$A$2,Data!DJ:DJ),0)</f>
        <v>780120</v>
      </c>
      <c r="E51" s="18">
        <f>IF(F3="1",SUMIF(Data!$A:$A,$A$2,Data!JD:JD),0)</f>
        <v>929295</v>
      </c>
      <c r="F51" s="22">
        <f t="shared" si="3"/>
        <v>1.1912205814490078</v>
      </c>
    </row>
    <row r="52" spans="1:7" x14ac:dyDescent="0.2">
      <c r="A52" s="20">
        <v>17</v>
      </c>
      <c r="B52" s="179" t="s">
        <v>15</v>
      </c>
      <c r="C52" s="180"/>
      <c r="D52" s="15">
        <f>IF(F3="1",SUMIF(Data!A:A,$A$2,Data!DK:DK),0)</f>
        <v>43936</v>
      </c>
      <c r="E52" s="18">
        <f>IF(F3="1",SUMIF(Data!$A:$A,$A$2,Data!JE:JE),0)</f>
        <v>177377</v>
      </c>
      <c r="F52" s="22">
        <f t="shared" si="3"/>
        <v>4.0371676984705029</v>
      </c>
    </row>
    <row r="53" spans="1:7" x14ac:dyDescent="0.2">
      <c r="A53" s="20">
        <v>18</v>
      </c>
      <c r="B53" s="179" t="s">
        <v>16</v>
      </c>
      <c r="C53" s="180"/>
      <c r="D53" s="15">
        <f>IF(F3="1",SUMIF(Data!A:A,$A$2,Data!DL:DL),0)</f>
        <v>229264</v>
      </c>
      <c r="E53" s="18">
        <f>IF(F3="1",SUMIF(Data!$A:$A,$A$2,Data!JF:JF),0)</f>
        <v>303505</v>
      </c>
      <c r="F53" s="22">
        <f t="shared" si="3"/>
        <v>1.3238231907320819</v>
      </c>
    </row>
    <row r="54" spans="1:7" x14ac:dyDescent="0.2">
      <c r="A54" s="20">
        <v>19</v>
      </c>
      <c r="B54" s="179" t="s">
        <v>17</v>
      </c>
      <c r="C54" s="180"/>
      <c r="D54" s="15">
        <f>IF(F3="1",SUMIF(Data!A:A,$A$2,Data!DM:DM),0)</f>
        <v>1195936</v>
      </c>
      <c r="E54" s="18">
        <f>IF(F3="1",SUMIF(Data!$A:$A,$A$2,Data!JG:JG),0)</f>
        <v>870832</v>
      </c>
      <c r="F54" s="22">
        <f t="shared" si="3"/>
        <v>0.72815936638749901</v>
      </c>
    </row>
    <row r="55" spans="1:7" x14ac:dyDescent="0.2">
      <c r="A55" s="20">
        <v>20</v>
      </c>
      <c r="B55" s="179" t="s">
        <v>18</v>
      </c>
      <c r="C55" s="180"/>
      <c r="D55" s="15">
        <f>IF(F3="1",SUMIF(Data!A:A,$A$2,Data!DN:DN),0)</f>
        <v>220950</v>
      </c>
      <c r="E55" s="18">
        <f>IF(F3="1",SUMIF(Data!$A:$A,$A$2,Data!JH:JH),0)</f>
        <v>508241</v>
      </c>
      <c r="F55" s="22">
        <f t="shared" si="3"/>
        <v>2.3002534510070149</v>
      </c>
    </row>
    <row r="56" spans="1:7" ht="14.25" customHeight="1" x14ac:dyDescent="0.2">
      <c r="A56" s="20">
        <v>21</v>
      </c>
      <c r="B56" s="179" t="s">
        <v>801</v>
      </c>
      <c r="C56" s="180"/>
      <c r="D56" s="15">
        <f>IF(F3="1",SUMIF(Data!A:A,$A$2,Data!DO:DO),0)</f>
        <v>213017</v>
      </c>
      <c r="E56" s="18">
        <f>IF(F3="1",SUMIF(Data!$A:$A,$A$2,Data!JI:JI),0)</f>
        <v>74958</v>
      </c>
      <c r="F56" s="22">
        <f t="shared" si="3"/>
        <v>0.35188740804724505</v>
      </c>
    </row>
    <row r="57" spans="1:7" x14ac:dyDescent="0.2">
      <c r="A57" s="20">
        <v>22</v>
      </c>
      <c r="B57" s="179" t="s">
        <v>19</v>
      </c>
      <c r="C57" s="180"/>
      <c r="D57" s="15">
        <f>IF(F3="1",SUMIF(Data!A:A,$A$2,Data!DP:DP),0)</f>
        <v>67740</v>
      </c>
      <c r="E57" s="18">
        <f>IF(F3="1",SUMIF(Data!$A:$A,$A$2,Data!JJ:JJ),0)</f>
        <v>213766</v>
      </c>
      <c r="F57" s="22">
        <f t="shared" si="3"/>
        <v>3.1556834957189253</v>
      </c>
    </row>
    <row r="58" spans="1:7" x14ac:dyDescent="0.2">
      <c r="A58" s="20">
        <v>23</v>
      </c>
      <c r="B58" s="179" t="s">
        <v>20</v>
      </c>
      <c r="C58" s="180"/>
      <c r="D58" s="15">
        <f>IF(F3="1",SUMIF(Data!A:A,$A$2,Data!DQ:DQ),0)</f>
        <v>780624</v>
      </c>
      <c r="E58" s="18">
        <f>IF(F3="1",SUMIF(Data!$A:$A,$A$2,Data!JK:JK),0)</f>
        <v>849563</v>
      </c>
      <c r="F58" s="22">
        <f t="shared" si="3"/>
        <v>1.088312683186784</v>
      </c>
    </row>
    <row r="59" spans="1:7" x14ac:dyDescent="0.2">
      <c r="A59" s="20">
        <v>24</v>
      </c>
      <c r="B59" s="179" t="s">
        <v>21</v>
      </c>
      <c r="C59" s="180"/>
      <c r="D59" s="15">
        <f>IF(F3="1",SUMIF(Data!A:A,$A$2,Data!DR:DR),0)</f>
        <v>559024</v>
      </c>
      <c r="E59" s="18">
        <f>IF(F3="1",SUMIF(Data!$A:$A,$A$2,Data!JL:JL),0)</f>
        <v>884177</v>
      </c>
      <c r="F59" s="22">
        <f t="shared" si="3"/>
        <v>1.581644079681731</v>
      </c>
    </row>
    <row r="60" spans="1:7" x14ac:dyDescent="0.2">
      <c r="A60" s="20">
        <v>25</v>
      </c>
      <c r="B60" s="179" t="s">
        <v>22</v>
      </c>
      <c r="C60" s="180"/>
      <c r="D60" s="15">
        <f>IF(F3="1",SUMIF(Data!A:A,$A$2,Data!DS:DS),0)</f>
        <v>3904127</v>
      </c>
      <c r="E60" s="18">
        <f>IF(F3="1",SUMIF(Data!$A:$A,$A$2,Data!JM:JM),0)</f>
        <v>2009926</v>
      </c>
      <c r="F60" s="22">
        <f t="shared" si="3"/>
        <v>0.51482085495681873</v>
      </c>
    </row>
    <row r="61" spans="1:7" x14ac:dyDescent="0.2">
      <c r="A61" s="20">
        <v>26</v>
      </c>
      <c r="B61" s="179" t="s">
        <v>23</v>
      </c>
      <c r="C61" s="180"/>
      <c r="D61" s="15">
        <f>IF(F3="1",SUMIF(Data!A:A,$A$2,Data!DT:DT),0)</f>
        <v>1324825</v>
      </c>
      <c r="E61" s="18">
        <f>IF(F3="1",SUMIF(Data!$A:$A,$A$2,Data!JN:JN),0)</f>
        <v>3813868</v>
      </c>
      <c r="F61" s="22">
        <f t="shared" si="3"/>
        <v>2.8787711584548901</v>
      </c>
    </row>
    <row r="62" spans="1:7" x14ac:dyDescent="0.2">
      <c r="A62" s="20">
        <v>28</v>
      </c>
      <c r="B62" s="179" t="s">
        <v>24</v>
      </c>
      <c r="C62" s="180"/>
      <c r="D62" s="15">
        <f>IF(F3="1",SUMIF(Data!A:A,$A$2,Data!DV:DV),0)</f>
        <v>2110672</v>
      </c>
      <c r="E62" s="18">
        <f>IF(F3="1",SUMIF(Data!$A:$A,$A$2,Data!JP:JP),0)</f>
        <v>1536904</v>
      </c>
      <c r="F62" s="22">
        <f t="shared" si="3"/>
        <v>0.72815861488663325</v>
      </c>
    </row>
    <row r="63" spans="1:7" ht="15.75" customHeight="1" thickBot="1" x14ac:dyDescent="0.25">
      <c r="A63" s="23">
        <v>29</v>
      </c>
      <c r="B63" s="181" t="s">
        <v>25</v>
      </c>
      <c r="C63" s="182"/>
      <c r="D63" s="24">
        <f>IF(F3="1",SUMIF(Data!A:A,$A$2,Data!DW:DW),0)</f>
        <v>1680896</v>
      </c>
      <c r="E63" s="25">
        <f>IF(F3="1",SUMIF(Data!$A:$A,$A$2,Data!JQ:JQ),0)</f>
        <v>1534719</v>
      </c>
      <c r="F63" s="26">
        <f t="shared" si="3"/>
        <v>0.91303626161285412</v>
      </c>
    </row>
    <row r="64" spans="1:7" x14ac:dyDescent="0.2">
      <c r="C64" s="14" t="s">
        <v>35</v>
      </c>
      <c r="D64" s="65">
        <f>SUM(D36:D63)</f>
        <v>23539524</v>
      </c>
      <c r="E64" s="5">
        <f>SUM(E36:E63)</f>
        <v>33441324</v>
      </c>
      <c r="F64" s="9">
        <f t="shared" si="3"/>
        <v>1.4206457190893069</v>
      </c>
      <c r="G64" s="64"/>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77440</v>
      </c>
      <c r="E67" s="16">
        <f>IF(F3="1",SUMIF(Data!A:A,$A$2,Data!DY:DY),0)</f>
        <v>116862</v>
      </c>
      <c r="F67" s="21">
        <f>IFERROR(E67/D67,"")</f>
        <v>1.5090650826446281</v>
      </c>
    </row>
    <row r="68" spans="1:6" x14ac:dyDescent="0.2">
      <c r="A68" s="20">
        <v>2</v>
      </c>
      <c r="B68" s="179" t="s">
        <v>1</v>
      </c>
      <c r="C68" s="180"/>
      <c r="D68" s="15">
        <f t="shared" ref="D68:D94" si="4">D37</f>
        <v>178702</v>
      </c>
      <c r="E68" s="18">
        <f>IF(F3="1",SUMIF(Data!A:A,$A$2,Data!DZ:DZ),0)</f>
        <v>889780</v>
      </c>
      <c r="F68" s="22">
        <f t="shared" ref="F68:F95" si="5">IFERROR(E68/D68,"")</f>
        <v>4.9791272621459193</v>
      </c>
    </row>
    <row r="69" spans="1:6" x14ac:dyDescent="0.2">
      <c r="A69" s="20">
        <v>3</v>
      </c>
      <c r="B69" s="179" t="s">
        <v>2</v>
      </c>
      <c r="C69" s="180"/>
      <c r="D69" s="15">
        <f t="shared" si="4"/>
        <v>2573776</v>
      </c>
      <c r="E69" s="18">
        <f>IF(F3="1",SUMIF(Data!A:A,$A$2,Data!EA:EA),0)</f>
        <v>9739026</v>
      </c>
      <c r="F69" s="22">
        <f t="shared" si="5"/>
        <v>3.7839446789464195</v>
      </c>
    </row>
    <row r="70" spans="1:6" x14ac:dyDescent="0.2">
      <c r="A70" s="20">
        <v>4</v>
      </c>
      <c r="B70" s="179" t="s">
        <v>3</v>
      </c>
      <c r="C70" s="180"/>
      <c r="D70" s="15">
        <f t="shared" si="4"/>
        <v>1138720</v>
      </c>
      <c r="E70" s="18">
        <f>IF(F3="1",SUMIF(Data!A:A,$A$2,Data!EB:EB),0)</f>
        <v>3901785</v>
      </c>
      <c r="F70" s="22">
        <f t="shared" si="5"/>
        <v>3.426465680764367</v>
      </c>
    </row>
    <row r="71" spans="1:6" x14ac:dyDescent="0.2">
      <c r="A71" s="20">
        <v>5</v>
      </c>
      <c r="B71" s="179" t="s">
        <v>4</v>
      </c>
      <c r="C71" s="180"/>
      <c r="D71" s="15">
        <f t="shared" si="4"/>
        <v>9404</v>
      </c>
      <c r="E71" s="18">
        <f>IF(F3="1",SUMIF(Data!A:A,$A$2,Data!EC:EC),0)</f>
        <v>53361</v>
      </c>
      <c r="F71" s="22">
        <f t="shared" si="5"/>
        <v>5.6742875372182047</v>
      </c>
    </row>
    <row r="72" spans="1:6" x14ac:dyDescent="0.2">
      <c r="A72" s="20">
        <v>6</v>
      </c>
      <c r="B72" s="179" t="s">
        <v>5</v>
      </c>
      <c r="C72" s="180"/>
      <c r="D72" s="15">
        <f t="shared" si="4"/>
        <v>249856</v>
      </c>
      <c r="E72" s="18">
        <f>IF(F3="1",SUMIF(Data!A:A,$A$2,Data!ED:ED),0)</f>
        <v>886577</v>
      </c>
      <c r="F72" s="22">
        <f t="shared" si="5"/>
        <v>3.5483518506659837</v>
      </c>
    </row>
    <row r="73" spans="1:6" x14ac:dyDescent="0.2">
      <c r="A73" s="20">
        <v>7</v>
      </c>
      <c r="B73" s="179" t="s">
        <v>6</v>
      </c>
      <c r="C73" s="180"/>
      <c r="D73" s="15">
        <f t="shared" si="4"/>
        <v>856388</v>
      </c>
      <c r="E73" s="18">
        <f>IF(F3="1",SUMIF(Data!A:A,$A$2,Data!EE:EE),0)</f>
        <v>4691634</v>
      </c>
      <c r="F73" s="22">
        <f t="shared" si="5"/>
        <v>5.4783976421902221</v>
      </c>
    </row>
    <row r="74" spans="1:6" x14ac:dyDescent="0.2">
      <c r="A74" s="20">
        <v>8</v>
      </c>
      <c r="B74" s="179" t="s">
        <v>7</v>
      </c>
      <c r="C74" s="180"/>
      <c r="D74" s="15">
        <f t="shared" si="4"/>
        <v>52246</v>
      </c>
      <c r="E74" s="18">
        <f>IF(F3="1",SUMIF(Data!A:A,$A$2,Data!EF:EF),0)</f>
        <v>207539</v>
      </c>
      <c r="F74" s="22">
        <f t="shared" si="5"/>
        <v>3.9723423802779161</v>
      </c>
    </row>
    <row r="75" spans="1:6" x14ac:dyDescent="0.2">
      <c r="A75" s="20">
        <v>9</v>
      </c>
      <c r="B75" s="179" t="s">
        <v>8</v>
      </c>
      <c r="C75" s="180"/>
      <c r="D75" s="15">
        <f t="shared" si="4"/>
        <v>664400</v>
      </c>
      <c r="E75" s="18">
        <f>IF(F3="1",SUMIF(Data!A:A,$A$2,Data!EG:EG),0)</f>
        <v>1660035</v>
      </c>
      <c r="F75" s="22">
        <f t="shared" si="5"/>
        <v>2.4985475617098132</v>
      </c>
    </row>
    <row r="76" spans="1:6" x14ac:dyDescent="0.2">
      <c r="A76" s="20">
        <v>10</v>
      </c>
      <c r="B76" s="179" t="s">
        <v>9</v>
      </c>
      <c r="C76" s="180"/>
      <c r="D76" s="15">
        <f t="shared" si="4"/>
        <v>26624</v>
      </c>
      <c r="E76" s="18">
        <f>IF(F3="1",SUMIF(Data!A:A,$A$2,Data!EH:EH),0)</f>
        <v>232343</v>
      </c>
      <c r="F76" s="22">
        <f t="shared" si="5"/>
        <v>8.7268254206730766</v>
      </c>
    </row>
    <row r="77" spans="1:6" x14ac:dyDescent="0.2">
      <c r="A77" s="20">
        <v>11</v>
      </c>
      <c r="B77" s="179" t="s">
        <v>10</v>
      </c>
      <c r="C77" s="180"/>
      <c r="D77" s="15">
        <f t="shared" si="4"/>
        <v>331995</v>
      </c>
      <c r="E77" s="18">
        <f>IF(F3="1",SUMIF(Data!A:A,$A$2,Data!EI:EI),0)</f>
        <v>1595383</v>
      </c>
      <c r="F77" s="22">
        <f t="shared" si="5"/>
        <v>4.8054428530550162</v>
      </c>
    </row>
    <row r="78" spans="1:6" x14ac:dyDescent="0.2">
      <c r="A78" s="20">
        <v>12</v>
      </c>
      <c r="B78" s="179" t="s">
        <v>11</v>
      </c>
      <c r="C78" s="180"/>
      <c r="D78" s="15">
        <f t="shared" si="4"/>
        <v>2845212</v>
      </c>
      <c r="E78" s="18">
        <f>IF(F3="1",SUMIF(Data!A:A,$A$2,Data!EJ:EJ),0)</f>
        <v>9948652</v>
      </c>
      <c r="F78" s="22">
        <f t="shared" si="5"/>
        <v>3.4966294251535563</v>
      </c>
    </row>
    <row r="79" spans="1:6" x14ac:dyDescent="0.2">
      <c r="A79" s="20">
        <v>13</v>
      </c>
      <c r="B79" s="179" t="s">
        <v>12</v>
      </c>
      <c r="C79" s="180"/>
      <c r="D79" s="15">
        <f t="shared" si="4"/>
        <v>832628</v>
      </c>
      <c r="E79" s="18">
        <f>IF(F3="1",SUMIF(Data!A:A,$A$2,Data!EK:EK),0)</f>
        <v>2312660</v>
      </c>
      <c r="F79" s="22">
        <f t="shared" si="5"/>
        <v>2.7775429123209885</v>
      </c>
    </row>
    <row r="80" spans="1:6" x14ac:dyDescent="0.2">
      <c r="A80" s="20">
        <v>14</v>
      </c>
      <c r="B80" s="179" t="s">
        <v>804</v>
      </c>
      <c r="C80" s="180"/>
      <c r="D80" s="15">
        <f t="shared" si="4"/>
        <v>591002</v>
      </c>
      <c r="E80" s="18">
        <f>IF(F3="1",SUMIF(Data!A:A,$A$2,Data!EL:EL),0)</f>
        <v>4627721</v>
      </c>
      <c r="F80" s="22">
        <f t="shared" si="5"/>
        <v>7.8302966825831382</v>
      </c>
    </row>
    <row r="81" spans="1:6" x14ac:dyDescent="0.2">
      <c r="A81" s="20">
        <v>15</v>
      </c>
      <c r="B81" s="179" t="s">
        <v>13</v>
      </c>
      <c r="C81" s="180"/>
      <c r="D81" s="15">
        <f t="shared" si="4"/>
        <v>0</v>
      </c>
      <c r="E81" s="18">
        <f>IF(F3="1",SUMIF(Data!A:A,$A$2,Data!EM:EM),0)</f>
        <v>0</v>
      </c>
      <c r="F81" s="22" t="str">
        <f t="shared" si="5"/>
        <v/>
      </c>
    </row>
    <row r="82" spans="1:6" x14ac:dyDescent="0.2">
      <c r="A82" s="20">
        <v>16</v>
      </c>
      <c r="B82" s="179" t="s">
        <v>14</v>
      </c>
      <c r="C82" s="180"/>
      <c r="D82" s="15">
        <f t="shared" si="4"/>
        <v>780120</v>
      </c>
      <c r="E82" s="18">
        <f>IF(F3="1",SUMIF(Data!A:A,$A$2,Data!EN:EN),0)</f>
        <v>2773531</v>
      </c>
      <c r="F82" s="22">
        <f t="shared" si="5"/>
        <v>3.5552620109726707</v>
      </c>
    </row>
    <row r="83" spans="1:6" x14ac:dyDescent="0.2">
      <c r="A83" s="20">
        <v>17</v>
      </c>
      <c r="B83" s="179" t="s">
        <v>15</v>
      </c>
      <c r="C83" s="180"/>
      <c r="D83" s="15">
        <f t="shared" si="4"/>
        <v>43936</v>
      </c>
      <c r="E83" s="18">
        <f>IF(F3="1",SUMIF(Data!A:A,$A$2,Data!EO:EO),0)</f>
        <v>504543</v>
      </c>
      <c r="F83" s="22">
        <f t="shared" si="5"/>
        <v>11.483589766933722</v>
      </c>
    </row>
    <row r="84" spans="1:6" x14ac:dyDescent="0.2">
      <c r="A84" s="20">
        <v>18</v>
      </c>
      <c r="B84" s="179" t="s">
        <v>16</v>
      </c>
      <c r="C84" s="180"/>
      <c r="D84" s="15">
        <f t="shared" si="4"/>
        <v>229264</v>
      </c>
      <c r="E84" s="18">
        <f>IF(F3="1",SUMIF(Data!A:A,$A$2,Data!EP:EP),0)</f>
        <v>1791319</v>
      </c>
      <c r="F84" s="22">
        <f t="shared" si="5"/>
        <v>7.8133461860562496</v>
      </c>
    </row>
    <row r="85" spans="1:6" x14ac:dyDescent="0.2">
      <c r="A85" s="20">
        <v>19</v>
      </c>
      <c r="B85" s="179" t="s">
        <v>17</v>
      </c>
      <c r="C85" s="180"/>
      <c r="D85" s="15">
        <f t="shared" si="4"/>
        <v>1195936</v>
      </c>
      <c r="E85" s="18">
        <f>IF(F3="1",SUMIF(Data!A:A,$A$2,Data!EQ:EQ),0)</f>
        <v>3736877</v>
      </c>
      <c r="F85" s="22">
        <f t="shared" si="5"/>
        <v>3.1246463021432587</v>
      </c>
    </row>
    <row r="86" spans="1:6" x14ac:dyDescent="0.2">
      <c r="A86" s="20">
        <v>20</v>
      </c>
      <c r="B86" s="179" t="s">
        <v>18</v>
      </c>
      <c r="C86" s="180"/>
      <c r="D86" s="15">
        <f t="shared" si="4"/>
        <v>220950</v>
      </c>
      <c r="E86" s="18">
        <f>IF(F3="1",SUMIF(Data!A:A,$A$2,Data!ER:ER),0)</f>
        <v>974199</v>
      </c>
      <c r="F86" s="22">
        <f t="shared" si="5"/>
        <v>4.4091378139850645</v>
      </c>
    </row>
    <row r="87" spans="1:6" x14ac:dyDescent="0.2">
      <c r="A87" s="20">
        <v>21</v>
      </c>
      <c r="B87" s="179" t="s">
        <v>801</v>
      </c>
      <c r="C87" s="180"/>
      <c r="D87" s="15">
        <f t="shared" si="4"/>
        <v>213017</v>
      </c>
      <c r="E87" s="18">
        <f>IF(F3="1",SUMIF(Data!A:A,$A$2,Data!ES:ES),0)</f>
        <v>836202</v>
      </c>
      <c r="F87" s="22">
        <f t="shared" si="5"/>
        <v>3.9255176816873769</v>
      </c>
    </row>
    <row r="88" spans="1:6" x14ac:dyDescent="0.2">
      <c r="A88" s="20">
        <v>22</v>
      </c>
      <c r="B88" s="179" t="s">
        <v>19</v>
      </c>
      <c r="C88" s="180"/>
      <c r="D88" s="15">
        <f t="shared" si="4"/>
        <v>67740</v>
      </c>
      <c r="E88" s="18">
        <f>IF(F3="1",SUMIF(Data!A:A,$A$2,Data!ET:ET),0)</f>
        <v>126652</v>
      </c>
      <c r="F88" s="22">
        <f t="shared" si="5"/>
        <v>1.8696781812813699</v>
      </c>
    </row>
    <row r="89" spans="1:6" x14ac:dyDescent="0.2">
      <c r="A89" s="20">
        <v>23</v>
      </c>
      <c r="B89" s="179" t="s">
        <v>20</v>
      </c>
      <c r="C89" s="180"/>
      <c r="D89" s="15">
        <f t="shared" si="4"/>
        <v>780624</v>
      </c>
      <c r="E89" s="18">
        <f>IF(F3="1",SUMIF(Data!A:A,$A$2,Data!EU:EU),0)</f>
        <v>3082800</v>
      </c>
      <c r="F89" s="22">
        <f t="shared" si="5"/>
        <v>3.9491483736088053</v>
      </c>
    </row>
    <row r="90" spans="1:6" x14ac:dyDescent="0.2">
      <c r="A90" s="20">
        <v>24</v>
      </c>
      <c r="B90" s="179" t="s">
        <v>21</v>
      </c>
      <c r="C90" s="180"/>
      <c r="D90" s="15">
        <f t="shared" si="4"/>
        <v>559024</v>
      </c>
      <c r="E90" s="18">
        <f>IF(F3="1",SUMIF(Data!A:A,$A$2,Data!EV:EV),0)</f>
        <v>1684726</v>
      </c>
      <c r="F90" s="22">
        <f t="shared" si="5"/>
        <v>3.0136917198546036</v>
      </c>
    </row>
    <row r="91" spans="1:6" x14ac:dyDescent="0.2">
      <c r="A91" s="20">
        <v>25</v>
      </c>
      <c r="B91" s="179" t="s">
        <v>22</v>
      </c>
      <c r="C91" s="180"/>
      <c r="D91" s="15">
        <f t="shared" si="4"/>
        <v>3904127</v>
      </c>
      <c r="E91" s="18">
        <f>IF(F3="1",SUMIF(Data!A:A,$A$2,Data!EW:EW),0)</f>
        <v>12912641</v>
      </c>
      <c r="F91" s="22">
        <f t="shared" si="5"/>
        <v>3.3074336464976679</v>
      </c>
    </row>
    <row r="92" spans="1:6" x14ac:dyDescent="0.2">
      <c r="A92" s="20">
        <v>26</v>
      </c>
      <c r="B92" s="179" t="s">
        <v>23</v>
      </c>
      <c r="C92" s="180"/>
      <c r="D92" s="15">
        <f t="shared" si="4"/>
        <v>1324825</v>
      </c>
      <c r="E92" s="18">
        <f>IF(F3="1",SUMIF(Data!A:A,$A$2,Data!EX:EX),0)</f>
        <v>5334536</v>
      </c>
      <c r="F92" s="22">
        <f t="shared" si="5"/>
        <v>4.0265967203215522</v>
      </c>
    </row>
    <row r="93" spans="1:6" x14ac:dyDescent="0.2">
      <c r="A93" s="20">
        <v>28</v>
      </c>
      <c r="B93" s="179" t="s">
        <v>24</v>
      </c>
      <c r="C93" s="180"/>
      <c r="D93" s="15">
        <f t="shared" si="4"/>
        <v>2110672</v>
      </c>
      <c r="E93" s="18">
        <f>IF(F3="1",SUMIF(Data!A:A,$A$2,Data!EZ:EZ),0)</f>
        <v>6595105</v>
      </c>
      <c r="F93" s="22">
        <f t="shared" si="5"/>
        <v>3.124647031845782</v>
      </c>
    </row>
    <row r="94" spans="1:6" ht="15.75" customHeight="1" thickBot="1" x14ac:dyDescent="0.25">
      <c r="A94" s="23">
        <v>29</v>
      </c>
      <c r="B94" s="181" t="s">
        <v>25</v>
      </c>
      <c r="C94" s="182"/>
      <c r="D94" s="24">
        <f t="shared" si="4"/>
        <v>1680896</v>
      </c>
      <c r="E94" s="25">
        <f>IF(F3="1",SUMIF(Data!A:A,$A$2,Data!FA:FA),0)</f>
        <v>5877470</v>
      </c>
      <c r="F94" s="26">
        <f t="shared" si="5"/>
        <v>3.4966291787237282</v>
      </c>
    </row>
    <row r="95" spans="1:6" x14ac:dyDescent="0.2">
      <c r="C95" s="14" t="s">
        <v>35</v>
      </c>
      <c r="D95" s="65">
        <f>SUM(D67:D94)</f>
        <v>23539524</v>
      </c>
      <c r="E95" s="5">
        <f>SUM(E67:E94)</f>
        <v>87093959</v>
      </c>
      <c r="F95" s="9">
        <f t="shared" si="5"/>
        <v>3.6999031501231716</v>
      </c>
    </row>
    <row r="96" spans="1:6" ht="15" thickBot="1" x14ac:dyDescent="0.25"/>
    <row r="97" spans="2:14" ht="29.25" customHeight="1" x14ac:dyDescent="0.2">
      <c r="B97" s="183" t="s">
        <v>808</v>
      </c>
      <c r="C97" s="184"/>
      <c r="D97" s="29" t="s">
        <v>27</v>
      </c>
      <c r="E97" s="34" t="s">
        <v>802</v>
      </c>
      <c r="F97" s="30" t="s">
        <v>803</v>
      </c>
      <c r="H97" s="78"/>
      <c r="I97" s="54"/>
      <c r="J97" s="78"/>
      <c r="K97" s="54"/>
      <c r="L97" s="78"/>
      <c r="M97" s="54"/>
      <c r="N97" s="78"/>
    </row>
    <row r="98" spans="2:14" x14ac:dyDescent="0.2">
      <c r="B98" s="185" t="s">
        <v>30</v>
      </c>
      <c r="C98" s="186"/>
      <c r="D98" s="36"/>
      <c r="E98" s="16">
        <f>IF(F3="1",SUMIF(Data!A:A,$A$2,Data!AH:AH),0)</f>
        <v>44745384</v>
      </c>
      <c r="F98" s="21">
        <f t="shared" ref="F98:F105" si="6">IFERROR(E98/$D$95,0)</f>
        <v>1.9008618865870015</v>
      </c>
      <c r="H98" s="78"/>
      <c r="I98" s="78"/>
      <c r="J98" s="78"/>
      <c r="K98" s="78"/>
      <c r="L98" s="54"/>
      <c r="M98" s="54"/>
      <c r="N98" s="54"/>
    </row>
    <row r="99" spans="2:14" x14ac:dyDescent="0.2">
      <c r="B99" s="185" t="s">
        <v>31</v>
      </c>
      <c r="C99" s="186"/>
      <c r="D99" s="37"/>
      <c r="E99" s="18">
        <f>IF(F3="1",SUMIF(Data!A:A,$A$2,Data!AI:AI),0)</f>
        <v>22966595</v>
      </c>
      <c r="F99" s="22">
        <f t="shared" si="6"/>
        <v>0.97566097768162174</v>
      </c>
    </row>
    <row r="100" spans="2:14" x14ac:dyDescent="0.2">
      <c r="B100" s="185" t="s">
        <v>32</v>
      </c>
      <c r="C100" s="186"/>
      <c r="D100" s="37"/>
      <c r="E100" s="18">
        <f>IF(F3="1",SUMIF(Data!A:A,$A$2,Data!AJ:AJ),0)</f>
        <v>21793382</v>
      </c>
      <c r="F100" s="22">
        <f t="shared" si="6"/>
        <v>0.92582084497545492</v>
      </c>
    </row>
    <row r="101" spans="2:14" x14ac:dyDescent="0.2">
      <c r="B101" s="185" t="s">
        <v>28</v>
      </c>
      <c r="C101" s="186"/>
      <c r="D101" s="37"/>
      <c r="E101" s="18">
        <f>IF(F3="1",SUMIF(Data!A:A,$A$2,Data!AK:AK),0)</f>
        <v>0</v>
      </c>
      <c r="F101" s="22">
        <f t="shared" si="6"/>
        <v>0</v>
      </c>
    </row>
    <row r="102" spans="2:14" x14ac:dyDescent="0.2">
      <c r="B102" s="185" t="s">
        <v>33</v>
      </c>
      <c r="C102" s="186"/>
      <c r="D102" s="37"/>
      <c r="E102" s="18">
        <f>IF(F3="1",SUMIF(Data!A:A,$A$2,Data!AL:AL),0)</f>
        <v>882407</v>
      </c>
      <c r="F102" s="22">
        <f t="shared" si="6"/>
        <v>3.7486187061386629E-2</v>
      </c>
    </row>
    <row r="103" spans="2:14" x14ac:dyDescent="0.2">
      <c r="B103" s="187" t="s">
        <v>34</v>
      </c>
      <c r="C103" s="188"/>
      <c r="D103" s="37"/>
      <c r="E103" s="18">
        <f>IF(F3="1",SUMIF(Data!A:A,$A$2,Data!AM:AM),0)</f>
        <v>5018513</v>
      </c>
      <c r="F103" s="22">
        <f t="shared" si="6"/>
        <v>0.21319517760851919</v>
      </c>
    </row>
    <row r="104" spans="2:14" ht="15.75" customHeight="1" thickBot="1" x14ac:dyDescent="0.25">
      <c r="B104" s="177" t="s">
        <v>29</v>
      </c>
      <c r="C104" s="178"/>
      <c r="D104" s="38"/>
      <c r="E104" s="25">
        <f>IF(F3="1",SUMIF(Data!A:A,$A$2,Data!Q:Q),0)</f>
        <v>5994038</v>
      </c>
      <c r="F104" s="26">
        <f t="shared" si="6"/>
        <v>0.25463717957933218</v>
      </c>
    </row>
    <row r="105" spans="2:14" x14ac:dyDescent="0.2">
      <c r="C105" s="14" t="s">
        <v>35</v>
      </c>
      <c r="D105" s="13">
        <f>D95</f>
        <v>23539524</v>
      </c>
      <c r="E105" s="5">
        <f>SUM(E98:E104)</f>
        <v>101400319</v>
      </c>
      <c r="F105" s="9">
        <f t="shared" si="6"/>
        <v>4.3076622534933158</v>
      </c>
    </row>
    <row r="107" spans="2:14" ht="15" thickBot="1" x14ac:dyDescent="0.25">
      <c r="B107" s="12" t="s">
        <v>1281</v>
      </c>
    </row>
    <row r="108" spans="2:14" ht="28.5" x14ac:dyDescent="0.2">
      <c r="B108" s="46" t="s">
        <v>1275</v>
      </c>
      <c r="C108" s="28" t="s">
        <v>1279</v>
      </c>
      <c r="D108" s="28" t="s">
        <v>29</v>
      </c>
      <c r="E108" s="28" t="s">
        <v>1280</v>
      </c>
      <c r="F108" s="47" t="s">
        <v>35</v>
      </c>
    </row>
    <row r="109" spans="2:14" x14ac:dyDescent="0.2">
      <c r="B109" s="43" t="s">
        <v>1276</v>
      </c>
      <c r="C109" s="16">
        <f>E95+IF(F3="1",SUMIF(Data!$A:$A,$A$2,Data!GF:GF),0)</f>
        <v>97926826</v>
      </c>
      <c r="D109" s="16">
        <f>IF(F3="1",SUMIF(Data!$A:$A,$A$2,Data!HJ:HJ),0)</f>
        <v>11156389</v>
      </c>
      <c r="E109" s="16">
        <f>IF(F3="1",SUMIF(Data!$A:$A,$A$2,Data!IN:IN),0)</f>
        <v>11452069</v>
      </c>
      <c r="F109" s="48">
        <f>SUM(C109:E109)</f>
        <v>120535284</v>
      </c>
    </row>
    <row r="110" spans="2:14" x14ac:dyDescent="0.2">
      <c r="B110" s="43" t="s">
        <v>28</v>
      </c>
      <c r="C110" s="51">
        <f>IF(F3="1",SUMIF(Data!A:A,$A$2,Data!W:W),0)</f>
        <v>0</v>
      </c>
      <c r="D110" s="52"/>
      <c r="E110" s="51">
        <f>IF(F3="1",SUMIF(Data!A:A,$A$2,Data!W:W),0)</f>
        <v>0</v>
      </c>
      <c r="F110" s="49">
        <f t="shared" ref="F110:F116" si="7">SUM(C110:E110)</f>
        <v>0</v>
      </c>
    </row>
    <row r="111" spans="2:14" x14ac:dyDescent="0.2">
      <c r="B111" s="43" t="s">
        <v>1277</v>
      </c>
      <c r="C111" s="51">
        <f>IF(F3="1",SUMIF(Data!A:A,$A$2,Data!AS:AS),0)</f>
        <v>123420</v>
      </c>
      <c r="D111" s="52"/>
      <c r="E111" s="51">
        <f>IF(F3="1",SUMIF(Data!A:A,$A$2,Data!AX:AX),0)</f>
        <v>111004</v>
      </c>
      <c r="F111" s="49">
        <f t="shared" si="7"/>
        <v>234424</v>
      </c>
    </row>
    <row r="112" spans="2:14" x14ac:dyDescent="0.2">
      <c r="B112" s="43" t="s">
        <v>32</v>
      </c>
      <c r="C112" s="51">
        <f>IF(F3="1",SUMIF(Data!A:A,$A$2,Data!V:V),0)</f>
        <v>16107768</v>
      </c>
      <c r="D112" s="52"/>
      <c r="E112" s="51">
        <f>IF(F3="1",SUMIF(Data!A:A,$A$2,Data!AC:AC),0)</f>
        <v>5685614</v>
      </c>
      <c r="F112" s="49">
        <f t="shared" si="7"/>
        <v>21793382</v>
      </c>
    </row>
    <row r="113" spans="1:6" x14ac:dyDescent="0.2">
      <c r="B113" s="43" t="s">
        <v>31</v>
      </c>
      <c r="C113" s="51">
        <f>IF(F3="1",SUMIF(Data!A:A,$A$2,Data!U:U),0)</f>
        <v>17747373</v>
      </c>
      <c r="D113" s="52"/>
      <c r="E113" s="51">
        <f>IF(F3="1",SUMIF(Data!A:A,$A$2,Data!AB:AB),0)</f>
        <v>5219222</v>
      </c>
      <c r="F113" s="49">
        <f t="shared" si="7"/>
        <v>22966595</v>
      </c>
    </row>
    <row r="114" spans="1:6" x14ac:dyDescent="0.2">
      <c r="B114" s="43" t="s">
        <v>1363</v>
      </c>
      <c r="C114" s="51">
        <f>IF(F3="1",SUMIF(Data!A:A,$A$2,Data!T:T),0)</f>
        <v>29580897</v>
      </c>
      <c r="D114" s="52"/>
      <c r="E114" s="51">
        <f>IF(F3="1",SUMIF(Data!A:A,$A$2,Data!AA:AA),0)</f>
        <v>15164487</v>
      </c>
      <c r="F114" s="49">
        <f t="shared" si="7"/>
        <v>44745384</v>
      </c>
    </row>
    <row r="115" spans="1:6" x14ac:dyDescent="0.2">
      <c r="B115" s="43" t="s">
        <v>1278</v>
      </c>
      <c r="C115" s="51">
        <f>IF(F3="1",SUMIF(Data!A:A,$A$2,Data!BI:BI),0)</f>
        <v>9251613</v>
      </c>
      <c r="D115" s="51">
        <f>IF(F3="1",SUMIF(Data!A:A,$A$2,Data!BL:BL),0)</f>
        <v>3266321</v>
      </c>
      <c r="E115" s="51">
        <f>IF(F3="1",SUMIF(Data!A:A,$A$2,Data!BU:BU),0)</f>
        <v>20539445</v>
      </c>
      <c r="F115" s="49">
        <f t="shared" si="7"/>
        <v>33057379</v>
      </c>
    </row>
    <row r="116" spans="1:6" x14ac:dyDescent="0.2">
      <c r="B116" s="43" t="s">
        <v>33</v>
      </c>
      <c r="C116" s="51">
        <f>IF(F3="1",SUMIF(Data!A:A,$A$2,Data!X:X),0)</f>
        <v>0</v>
      </c>
      <c r="D116" s="51"/>
      <c r="E116" s="51">
        <f>E102</f>
        <v>882407</v>
      </c>
      <c r="F116" s="49">
        <f t="shared" si="7"/>
        <v>882407</v>
      </c>
    </row>
    <row r="117" spans="1:6" ht="15" thickBot="1" x14ac:dyDescent="0.25">
      <c r="B117" s="44" t="s">
        <v>1282</v>
      </c>
      <c r="C117" s="53"/>
      <c r="D117" s="53">
        <f>IF(F3="1",SUMIF(Data!A:A,$A$2,Data!Q:Q),0)</f>
        <v>5994038</v>
      </c>
      <c r="E117" s="53"/>
      <c r="F117" s="50">
        <f>SUM(C117:E117)</f>
        <v>5994038</v>
      </c>
    </row>
    <row r="118" spans="1:6" x14ac:dyDescent="0.2">
      <c r="B118" s="14" t="s">
        <v>35</v>
      </c>
      <c r="C118" s="5">
        <f>SUM(C109:C116)</f>
        <v>170737897</v>
      </c>
      <c r="D118" s="5">
        <f>SUM(D109:D116)</f>
        <v>14422710</v>
      </c>
      <c r="E118" s="5">
        <f>SUM(E109:E116)</f>
        <v>59054248</v>
      </c>
      <c r="F118" s="5">
        <f>SUM(F109:F116)</f>
        <v>244214855</v>
      </c>
    </row>
    <row r="119" spans="1:6" ht="15" thickBot="1" x14ac:dyDescent="0.25"/>
    <row r="120" spans="1:6" ht="15" thickBot="1" x14ac:dyDescent="0.25">
      <c r="B120" s="57" t="s">
        <v>1283</v>
      </c>
      <c r="C120" s="55"/>
      <c r="D120" s="55"/>
      <c r="E120" s="55">
        <f>IF(F3="1",SUMIF(Data!A:A,$A$2,Data!AM:AM),0)</f>
        <v>5018513</v>
      </c>
      <c r="F120" s="56">
        <f>SUM(C120:E120)</f>
        <v>5018513</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350</v>
      </c>
      <c r="B2" s="60" t="str">
        <f>VLOOKUP(A2,Data!A:G,7,0)</f>
        <v>Alvin Community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12342</v>
      </c>
      <c r="E5" s="16">
        <f>E36+E67+IFERROR($E$105/$D$105*D5,0)</f>
        <v>138614.83108631344</v>
      </c>
      <c r="F5" s="21">
        <f>IFERROR(E5/D5,"")</f>
        <v>11.231148200155035</v>
      </c>
    </row>
    <row r="6" spans="1:6" x14ac:dyDescent="0.2">
      <c r="A6" s="20">
        <v>2</v>
      </c>
      <c r="B6" s="179" t="s">
        <v>1</v>
      </c>
      <c r="C6" s="180"/>
      <c r="D6" s="15">
        <f t="shared" ref="D6:D32" si="0">D37</f>
        <v>15184</v>
      </c>
      <c r="E6" s="18">
        <f t="shared" ref="E6:E32" si="1">E37+E68+IFERROR($E$105/$D$105*D6,0)</f>
        <v>198377.81649769755</v>
      </c>
      <c r="F6" s="22">
        <f t="shared" ref="F6:F33" si="2">IFERROR(E6/D6,"")</f>
        <v>13.06492469031201</v>
      </c>
    </row>
    <row r="7" spans="1:6" ht="14.25" customHeight="1" x14ac:dyDescent="0.2">
      <c r="A7" s="20">
        <v>3</v>
      </c>
      <c r="B7" s="179" t="s">
        <v>2</v>
      </c>
      <c r="C7" s="180"/>
      <c r="D7" s="15">
        <f t="shared" si="0"/>
        <v>319252</v>
      </c>
      <c r="E7" s="18">
        <f t="shared" si="1"/>
        <v>1976464.1085697408</v>
      </c>
      <c r="F7" s="22">
        <f t="shared" si="2"/>
        <v>6.1909216185638325</v>
      </c>
    </row>
    <row r="8" spans="1:6" ht="14.25" customHeight="1" x14ac:dyDescent="0.2">
      <c r="A8" s="20">
        <v>4</v>
      </c>
      <c r="B8" s="179" t="s">
        <v>3</v>
      </c>
      <c r="C8" s="180"/>
      <c r="D8" s="15">
        <f t="shared" si="0"/>
        <v>293636</v>
      </c>
      <c r="E8" s="18">
        <f t="shared" si="1"/>
        <v>2542843.640484584</v>
      </c>
      <c r="F8" s="22">
        <f t="shared" si="2"/>
        <v>8.6598497475942455</v>
      </c>
    </row>
    <row r="9" spans="1:6" x14ac:dyDescent="0.2">
      <c r="A9" s="20">
        <v>5</v>
      </c>
      <c r="B9" s="179" t="s">
        <v>4</v>
      </c>
      <c r="C9" s="180"/>
      <c r="D9" s="15">
        <f t="shared" si="0"/>
        <v>100</v>
      </c>
      <c r="E9" s="18">
        <f t="shared" si="1"/>
        <v>3058.1036386834667</v>
      </c>
      <c r="F9" s="22">
        <f t="shared" si="2"/>
        <v>30.581036386834668</v>
      </c>
    </row>
    <row r="10" spans="1:6" x14ac:dyDescent="0.2">
      <c r="A10" s="20">
        <v>6</v>
      </c>
      <c r="B10" s="179" t="s">
        <v>5</v>
      </c>
      <c r="C10" s="180"/>
      <c r="D10" s="15">
        <f t="shared" si="0"/>
        <v>39272</v>
      </c>
      <c r="E10" s="18">
        <f t="shared" si="1"/>
        <v>409636.34098377102</v>
      </c>
      <c r="F10" s="22">
        <f t="shared" si="2"/>
        <v>10.430748140756036</v>
      </c>
    </row>
    <row r="11" spans="1:6" x14ac:dyDescent="0.2">
      <c r="A11" s="20">
        <v>7</v>
      </c>
      <c r="B11" s="179" t="s">
        <v>6</v>
      </c>
      <c r="C11" s="180"/>
      <c r="D11" s="15">
        <f t="shared" si="0"/>
        <v>48322</v>
      </c>
      <c r="E11" s="18">
        <f t="shared" si="1"/>
        <v>921611.72028462472</v>
      </c>
      <c r="F11" s="22">
        <f t="shared" si="2"/>
        <v>19.072300821253773</v>
      </c>
    </row>
    <row r="12" spans="1:6" x14ac:dyDescent="0.2">
      <c r="A12" s="20">
        <v>8</v>
      </c>
      <c r="B12" s="179" t="s">
        <v>7</v>
      </c>
      <c r="C12" s="180"/>
      <c r="D12" s="15">
        <f t="shared" si="0"/>
        <v>3295</v>
      </c>
      <c r="E12" s="18">
        <f t="shared" si="1"/>
        <v>12978.314894620224</v>
      </c>
      <c r="F12" s="22">
        <f t="shared" si="2"/>
        <v>3.9387905598240436</v>
      </c>
    </row>
    <row r="13" spans="1:6" x14ac:dyDescent="0.2">
      <c r="A13" s="20">
        <v>9</v>
      </c>
      <c r="B13" s="179" t="s">
        <v>8</v>
      </c>
      <c r="C13" s="180"/>
      <c r="D13" s="15">
        <f t="shared" si="0"/>
        <v>67408</v>
      </c>
      <c r="E13" s="18">
        <f t="shared" si="1"/>
        <v>612530.82076375117</v>
      </c>
      <c r="F13" s="22">
        <f t="shared" si="2"/>
        <v>9.0869158076749219</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48610</v>
      </c>
      <c r="E15" s="18">
        <f t="shared" si="1"/>
        <v>859184.57876403304</v>
      </c>
      <c r="F15" s="22">
        <f t="shared" si="2"/>
        <v>17.675058193047377</v>
      </c>
    </row>
    <row r="16" spans="1:6" ht="14.25" customHeight="1" x14ac:dyDescent="0.2">
      <c r="A16" s="20">
        <v>12</v>
      </c>
      <c r="B16" s="179" t="s">
        <v>11</v>
      </c>
      <c r="C16" s="180"/>
      <c r="D16" s="15">
        <f t="shared" si="0"/>
        <v>215472</v>
      </c>
      <c r="E16" s="18">
        <f t="shared" si="1"/>
        <v>1576237.952344039</v>
      </c>
      <c r="F16" s="22">
        <f t="shared" si="2"/>
        <v>7.3152797223956663</v>
      </c>
    </row>
    <row r="17" spans="1:6" x14ac:dyDescent="0.2">
      <c r="A17" s="20">
        <v>13</v>
      </c>
      <c r="B17" s="179" t="s">
        <v>12</v>
      </c>
      <c r="C17" s="180"/>
      <c r="D17" s="15">
        <f t="shared" si="0"/>
        <v>88656</v>
      </c>
      <c r="E17" s="18">
        <f t="shared" si="1"/>
        <v>544250.60191121418</v>
      </c>
      <c r="F17" s="22">
        <f t="shared" si="2"/>
        <v>6.1389031978796043</v>
      </c>
    </row>
    <row r="18" spans="1:6" ht="14.25" customHeight="1" x14ac:dyDescent="0.2">
      <c r="A18" s="20">
        <v>14</v>
      </c>
      <c r="B18" s="179" t="s">
        <v>804</v>
      </c>
      <c r="C18" s="180"/>
      <c r="D18" s="15">
        <f t="shared" si="0"/>
        <v>127583</v>
      </c>
      <c r="E18" s="18">
        <f t="shared" si="1"/>
        <v>1480161.6853415272</v>
      </c>
      <c r="F18" s="22">
        <f t="shared" si="2"/>
        <v>11.601558870237627</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233005</v>
      </c>
      <c r="E20" s="18">
        <f t="shared" si="1"/>
        <v>2363899.5833144113</v>
      </c>
      <c r="F20" s="22">
        <f t="shared" si="2"/>
        <v>10.145274064137729</v>
      </c>
    </row>
    <row r="21" spans="1:6" x14ac:dyDescent="0.2">
      <c r="A21" s="20">
        <v>17</v>
      </c>
      <c r="B21" s="179" t="s">
        <v>15</v>
      </c>
      <c r="C21" s="180"/>
      <c r="D21" s="15">
        <f t="shared" si="0"/>
        <v>35248</v>
      </c>
      <c r="E21" s="18">
        <f t="shared" si="1"/>
        <v>623058.29056314833</v>
      </c>
      <c r="F21" s="22">
        <f t="shared" si="2"/>
        <v>17.676415415432032</v>
      </c>
    </row>
    <row r="22" spans="1:6" x14ac:dyDescent="0.2">
      <c r="A22" s="20">
        <v>18</v>
      </c>
      <c r="B22" s="179" t="s">
        <v>16</v>
      </c>
      <c r="C22" s="180"/>
      <c r="D22" s="15">
        <f t="shared" si="0"/>
        <v>57904</v>
      </c>
      <c r="E22" s="18">
        <f t="shared" si="1"/>
        <v>630280.49094327446</v>
      </c>
      <c r="F22" s="22">
        <f t="shared" si="2"/>
        <v>10.884921437953759</v>
      </c>
    </row>
    <row r="23" spans="1:6" x14ac:dyDescent="0.2">
      <c r="A23" s="20">
        <v>19</v>
      </c>
      <c r="B23" s="179" t="s">
        <v>17</v>
      </c>
      <c r="C23" s="180"/>
      <c r="D23" s="15">
        <f t="shared" si="0"/>
        <v>93776</v>
      </c>
      <c r="E23" s="18">
        <f t="shared" si="1"/>
        <v>728216.30821180763</v>
      </c>
      <c r="F23" s="22">
        <f t="shared" si="2"/>
        <v>7.7654869925333525</v>
      </c>
    </row>
    <row r="24" spans="1:6" x14ac:dyDescent="0.2">
      <c r="A24" s="20">
        <v>20</v>
      </c>
      <c r="B24" s="179" t="s">
        <v>18</v>
      </c>
      <c r="C24" s="180"/>
      <c r="D24" s="15">
        <f t="shared" si="0"/>
        <v>16624</v>
      </c>
      <c r="E24" s="18">
        <f t="shared" si="1"/>
        <v>221016.10889473947</v>
      </c>
      <c r="F24" s="22">
        <f t="shared" si="2"/>
        <v>13.295001738133992</v>
      </c>
    </row>
    <row r="25" spans="1:6" ht="14.25" customHeight="1" x14ac:dyDescent="0.2">
      <c r="A25" s="20">
        <v>21</v>
      </c>
      <c r="B25" s="179" t="s">
        <v>801</v>
      </c>
      <c r="C25" s="180"/>
      <c r="D25" s="15">
        <f t="shared" si="0"/>
        <v>0</v>
      </c>
      <c r="E25" s="18">
        <f t="shared" si="1"/>
        <v>0</v>
      </c>
      <c r="F25" s="22" t="str">
        <f t="shared" si="2"/>
        <v/>
      </c>
    </row>
    <row r="26" spans="1:6" x14ac:dyDescent="0.2">
      <c r="A26" s="20">
        <v>22</v>
      </c>
      <c r="B26" s="179" t="s">
        <v>19</v>
      </c>
      <c r="C26" s="180"/>
      <c r="D26" s="15">
        <f t="shared" si="0"/>
        <v>17660</v>
      </c>
      <c r="E26" s="18">
        <f t="shared" si="1"/>
        <v>94860.502591500204</v>
      </c>
      <c r="F26" s="22">
        <f t="shared" si="2"/>
        <v>5.371489387967169</v>
      </c>
    </row>
    <row r="27" spans="1:6" x14ac:dyDescent="0.2">
      <c r="A27" s="20">
        <v>23</v>
      </c>
      <c r="B27" s="179" t="s">
        <v>20</v>
      </c>
      <c r="C27" s="180"/>
      <c r="D27" s="15">
        <f t="shared" si="0"/>
        <v>50688</v>
      </c>
      <c r="E27" s="18">
        <f t="shared" si="1"/>
        <v>695423.09237587557</v>
      </c>
      <c r="F27" s="22">
        <f t="shared" si="2"/>
        <v>13.719679063602342</v>
      </c>
    </row>
    <row r="28" spans="1:6" x14ac:dyDescent="0.2">
      <c r="A28" s="20">
        <v>24</v>
      </c>
      <c r="B28" s="179" t="s">
        <v>21</v>
      </c>
      <c r="C28" s="180"/>
      <c r="D28" s="15">
        <f t="shared" si="0"/>
        <v>92280</v>
      </c>
      <c r="E28" s="18">
        <f t="shared" si="1"/>
        <v>749718.23777710297</v>
      </c>
      <c r="F28" s="22">
        <f t="shared" si="2"/>
        <v>8.1243848913860308</v>
      </c>
    </row>
    <row r="29" spans="1:6" x14ac:dyDescent="0.2">
      <c r="A29" s="20">
        <v>25</v>
      </c>
      <c r="B29" s="179" t="s">
        <v>22</v>
      </c>
      <c r="C29" s="180"/>
      <c r="D29" s="15">
        <f t="shared" si="0"/>
        <v>362160</v>
      </c>
      <c r="E29" s="18">
        <f t="shared" si="1"/>
        <v>2805378.5378560424</v>
      </c>
      <c r="F29" s="22">
        <f t="shared" si="2"/>
        <v>7.7462407164127525</v>
      </c>
    </row>
    <row r="30" spans="1:6" x14ac:dyDescent="0.2">
      <c r="A30" s="20">
        <v>26</v>
      </c>
      <c r="B30" s="179" t="s">
        <v>23</v>
      </c>
      <c r="C30" s="180"/>
      <c r="D30" s="15">
        <f t="shared" si="0"/>
        <v>119472</v>
      </c>
      <c r="E30" s="18">
        <f t="shared" si="1"/>
        <v>1631945.459207911</v>
      </c>
      <c r="F30" s="22">
        <f t="shared" si="2"/>
        <v>13.659647944354418</v>
      </c>
    </row>
    <row r="31" spans="1:6" x14ac:dyDescent="0.2">
      <c r="A31" s="20">
        <v>28</v>
      </c>
      <c r="B31" s="179" t="s">
        <v>24</v>
      </c>
      <c r="C31" s="180"/>
      <c r="D31" s="15">
        <f t="shared" si="0"/>
        <v>128336</v>
      </c>
      <c r="E31" s="18">
        <f t="shared" si="1"/>
        <v>1028034.3257408137</v>
      </c>
      <c r="F31" s="22">
        <f t="shared" si="2"/>
        <v>8.010490631941261</v>
      </c>
    </row>
    <row r="32" spans="1:6" ht="15.75" customHeight="1" thickBot="1" x14ac:dyDescent="0.25">
      <c r="A32" s="23">
        <v>29</v>
      </c>
      <c r="B32" s="181" t="s">
        <v>25</v>
      </c>
      <c r="C32" s="182"/>
      <c r="D32" s="24">
        <f t="shared" si="0"/>
        <v>46032</v>
      </c>
      <c r="E32" s="25">
        <f t="shared" si="1"/>
        <v>403966.54695877334</v>
      </c>
      <c r="F32" s="26">
        <f t="shared" si="2"/>
        <v>8.7757765675784967</v>
      </c>
    </row>
    <row r="33" spans="1:6" x14ac:dyDescent="0.2">
      <c r="B33" s="31" t="s">
        <v>35</v>
      </c>
      <c r="C33" s="31"/>
      <c r="D33" s="61">
        <f>SUM(D5:D32)</f>
        <v>2532317</v>
      </c>
      <c r="E33" s="32">
        <f>SUM(E5:E32)</f>
        <v>23251748</v>
      </c>
      <c r="F33" s="33">
        <f t="shared" si="2"/>
        <v>9.1820052544764348</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IF(F3="1",SUMIF(Data!A:A,'2'!$A$2,Data!CU:CU),0)</f>
        <v>12342</v>
      </c>
      <c r="E36" s="16">
        <f>IF(F3="1",SUMIF(Data!$A:$A,'2'!$A$2,Data!IO:IO),0)</f>
        <v>14455</v>
      </c>
      <c r="F36" s="21">
        <f t="shared" ref="F36:F64" si="3">IFERROR(E36/D36,"")</f>
        <v>1.1712040187976016</v>
      </c>
    </row>
    <row r="37" spans="1:6" x14ac:dyDescent="0.2">
      <c r="A37" s="20">
        <v>2</v>
      </c>
      <c r="B37" s="179" t="s">
        <v>1</v>
      </c>
      <c r="C37" s="180"/>
      <c r="D37" s="15">
        <f>IF(F3="1",SUMIF(Data!A:A,'2'!$A$2,Data!CV:CV),0)</f>
        <v>15184</v>
      </c>
      <c r="E37" s="18">
        <f>IF(F3="1",SUMIF(Data!$A:$A,'2'!$A$2,Data!IP:IP),0)</f>
        <v>45479</v>
      </c>
      <c r="F37" s="22">
        <f t="shared" si="3"/>
        <v>2.9951923076923075</v>
      </c>
    </row>
    <row r="38" spans="1:6" ht="14.25" customHeight="1" x14ac:dyDescent="0.2">
      <c r="A38" s="20">
        <v>3</v>
      </c>
      <c r="B38" s="179" t="s">
        <v>2</v>
      </c>
      <c r="C38" s="180"/>
      <c r="D38" s="15">
        <f>IF(F3="1",SUMIF(Data!A:A,'2'!$A$2,Data!CW:CW),0)</f>
        <v>319252</v>
      </c>
      <c r="E38" s="18">
        <f>IF(F3="1",SUMIF(Data!$A:$A,'2'!$A$2,Data!IQ:IQ),0)</f>
        <v>167136</v>
      </c>
      <c r="F38" s="22">
        <f t="shared" si="3"/>
        <v>0.52352373673461716</v>
      </c>
    </row>
    <row r="39" spans="1:6" ht="14.25" customHeight="1" x14ac:dyDescent="0.2">
      <c r="A39" s="20">
        <v>4</v>
      </c>
      <c r="B39" s="179" t="s">
        <v>3</v>
      </c>
      <c r="C39" s="180"/>
      <c r="D39" s="15">
        <f>IF(F3="1",SUMIF(Data!A:A,'2'!$A$2,Data!CX:CX),0)</f>
        <v>293636</v>
      </c>
      <c r="E39" s="18">
        <f>IF(F3="1",SUMIF(Data!$A:$A,'2'!$A$2,Data!IR:IR),0)</f>
        <v>200338</v>
      </c>
      <c r="F39" s="22">
        <f t="shared" si="3"/>
        <v>0.68226647958697162</v>
      </c>
    </row>
    <row r="40" spans="1:6" x14ac:dyDescent="0.2">
      <c r="A40" s="20">
        <v>5</v>
      </c>
      <c r="B40" s="179" t="s">
        <v>4</v>
      </c>
      <c r="C40" s="180"/>
      <c r="D40" s="15">
        <f>IF(F3="1",SUMIF(Data!A:A,'2'!$A$2,Data!CY:CY),0)</f>
        <v>100</v>
      </c>
      <c r="E40" s="18">
        <f>IF(F3="1",SUMIF(Data!$A:$A,'2'!$A$2,Data!IS:IS),0)</f>
        <v>2696</v>
      </c>
      <c r="F40" s="22">
        <f t="shared" si="3"/>
        <v>26.96</v>
      </c>
    </row>
    <row r="41" spans="1:6" x14ac:dyDescent="0.2">
      <c r="A41" s="20">
        <v>6</v>
      </c>
      <c r="B41" s="179" t="s">
        <v>5</v>
      </c>
      <c r="C41" s="180"/>
      <c r="D41" s="15">
        <f>IF(F3="1",SUMIF(Data!A:A,'2'!$A$2,Data!CZ:CZ),0)</f>
        <v>39272</v>
      </c>
      <c r="E41" s="18">
        <f>IF(F3="1",SUMIF(Data!$A:$A,'2'!$A$2,Data!IT:IT),0)</f>
        <v>64367</v>
      </c>
      <c r="F41" s="22">
        <f t="shared" si="3"/>
        <v>1.6390048889794255</v>
      </c>
    </row>
    <row r="42" spans="1:6" x14ac:dyDescent="0.2">
      <c r="A42" s="20">
        <v>7</v>
      </c>
      <c r="B42" s="179" t="s">
        <v>6</v>
      </c>
      <c r="C42" s="180"/>
      <c r="D42" s="15">
        <f>IF(F3="1",SUMIF(Data!A:A,'2'!$A$2,Data!DA:DA),0)</f>
        <v>48322</v>
      </c>
      <c r="E42" s="18">
        <f>IF(F3="1",SUMIF(Data!$A:$A,'2'!$A$2,Data!IU:IU),0)</f>
        <v>102094</v>
      </c>
      <c r="F42" s="22">
        <f t="shared" si="3"/>
        <v>2.11278506684326</v>
      </c>
    </row>
    <row r="43" spans="1:6" x14ac:dyDescent="0.2">
      <c r="A43" s="20">
        <v>8</v>
      </c>
      <c r="B43" s="179" t="s">
        <v>7</v>
      </c>
      <c r="C43" s="180"/>
      <c r="D43" s="15">
        <f>IF(F3="1",SUMIF(Data!A:A,'2'!$A$2,Data!DB:DB),0)</f>
        <v>3295</v>
      </c>
      <c r="E43" s="18">
        <f>IF(F3="1",SUMIF(Data!$A:$A,'2'!$A$2,Data!IV:IV),0)</f>
        <v>648</v>
      </c>
      <c r="F43" s="22">
        <f t="shared" si="3"/>
        <v>0.19666160849772382</v>
      </c>
    </row>
    <row r="44" spans="1:6" x14ac:dyDescent="0.2">
      <c r="A44" s="20">
        <v>9</v>
      </c>
      <c r="B44" s="179" t="s">
        <v>8</v>
      </c>
      <c r="C44" s="180"/>
      <c r="D44" s="15">
        <f>IF(F3="1",SUMIF(Data!A:A,'2'!$A$2,Data!DC:DC),0)</f>
        <v>67408</v>
      </c>
      <c r="E44" s="18">
        <f>IF(F3="1",SUMIF(Data!$A:$A,'2'!$A$2,Data!IW:IW),0)</f>
        <v>56195</v>
      </c>
      <c r="F44" s="22">
        <f t="shared" si="3"/>
        <v>0.83365475907904107</v>
      </c>
    </row>
    <row r="45" spans="1:6" x14ac:dyDescent="0.2">
      <c r="A45" s="20">
        <v>10</v>
      </c>
      <c r="B45" s="179" t="s">
        <v>9</v>
      </c>
      <c r="C45" s="180"/>
      <c r="D45" s="15">
        <f>IF(F3="1",SUMIF(Data!A:A,'2'!$A$2,Data!DD:DD),0)</f>
        <v>0</v>
      </c>
      <c r="E45" s="18">
        <f>IF(F3="1",SUMIF(Data!$A:$A,'2'!$A$2,Data!IX:IX),0)</f>
        <v>0</v>
      </c>
      <c r="F45" s="22" t="str">
        <f t="shared" si="3"/>
        <v/>
      </c>
    </row>
    <row r="46" spans="1:6" x14ac:dyDescent="0.2">
      <c r="A46" s="20">
        <v>11</v>
      </c>
      <c r="B46" s="179" t="s">
        <v>10</v>
      </c>
      <c r="C46" s="180"/>
      <c r="D46" s="15">
        <f>IF(F3="1",SUMIF(Data!A:A,'2'!$A$2,Data!DE:DE),0)</f>
        <v>48610</v>
      </c>
      <c r="E46" s="18">
        <f>IF(F3="1",SUMIF(Data!$A:$A,'2'!$A$2,Data!IY:IY),0)</f>
        <v>167029</v>
      </c>
      <c r="F46" s="22">
        <f t="shared" si="3"/>
        <v>3.436103682369883</v>
      </c>
    </row>
    <row r="47" spans="1:6" ht="14.25" customHeight="1" x14ac:dyDescent="0.2">
      <c r="A47" s="20">
        <v>12</v>
      </c>
      <c r="B47" s="179" t="s">
        <v>11</v>
      </c>
      <c r="C47" s="180"/>
      <c r="D47" s="15">
        <f>IF(F3="1",SUMIF(Data!A:A,'2'!$A$2,Data!DF:DF),0)</f>
        <v>215472</v>
      </c>
      <c r="E47" s="18">
        <f>IF(F3="1",SUMIF(Data!$A:$A,'2'!$A$2,Data!IZ:IZ),0)</f>
        <v>94536</v>
      </c>
      <c r="F47" s="22">
        <f t="shared" si="3"/>
        <v>0.43873914012029402</v>
      </c>
    </row>
    <row r="48" spans="1:6" x14ac:dyDescent="0.2">
      <c r="A48" s="20">
        <v>13</v>
      </c>
      <c r="B48" s="179" t="s">
        <v>12</v>
      </c>
      <c r="C48" s="180"/>
      <c r="D48" s="15">
        <f>IF(F3="1",SUMIF(Data!A:A,'2'!$A$2,Data!DG:DG),0)</f>
        <v>88656</v>
      </c>
      <c r="E48" s="18">
        <f>IF(F3="1",SUMIF(Data!$A:$A,'2'!$A$2,Data!JA:JA),0)</f>
        <v>32663</v>
      </c>
      <c r="F48" s="22">
        <f t="shared" si="3"/>
        <v>0.36842402093484933</v>
      </c>
    </row>
    <row r="49" spans="1:6" ht="14.25" customHeight="1" x14ac:dyDescent="0.2">
      <c r="A49" s="20">
        <v>14</v>
      </c>
      <c r="B49" s="179" t="s">
        <v>804</v>
      </c>
      <c r="C49" s="180"/>
      <c r="D49" s="15">
        <f>IF(F3="1",SUMIF(Data!A:A,'2'!$A$2,Data!DH:DH),0)</f>
        <v>127583</v>
      </c>
      <c r="E49" s="18">
        <f>IF(F3="1",SUMIF(Data!$A:$A,'2'!$A$2,Data!JB:JB),0)</f>
        <v>154396</v>
      </c>
      <c r="F49" s="22">
        <f t="shared" si="3"/>
        <v>1.2101612283768213</v>
      </c>
    </row>
    <row r="50" spans="1:6" x14ac:dyDescent="0.2">
      <c r="A50" s="20">
        <v>15</v>
      </c>
      <c r="B50" s="179" t="s">
        <v>13</v>
      </c>
      <c r="C50" s="180"/>
      <c r="D50" s="15">
        <f>IF(F3="1",SUMIF(Data!A:A,'2'!$A$2,Data!DI:DI),0)</f>
        <v>0</v>
      </c>
      <c r="E50" s="18">
        <f>IF(F3="1",SUMIF(Data!$A:$A,'2'!$A$2,Data!JC:JC),0)</f>
        <v>0</v>
      </c>
      <c r="F50" s="22" t="str">
        <f t="shared" si="3"/>
        <v/>
      </c>
    </row>
    <row r="51" spans="1:6" x14ac:dyDescent="0.2">
      <c r="A51" s="20">
        <v>16</v>
      </c>
      <c r="B51" s="179" t="s">
        <v>14</v>
      </c>
      <c r="C51" s="180"/>
      <c r="D51" s="15">
        <f>IF(F3="1",SUMIF(Data!A:A,'2'!$A$2,Data!DJ:DJ),0)</f>
        <v>233005</v>
      </c>
      <c r="E51" s="18">
        <f>IF(F3="1",SUMIF(Data!$A:$A,'2'!$A$2,Data!JD:JD),0)</f>
        <v>352540</v>
      </c>
      <c r="F51" s="22">
        <f t="shared" si="3"/>
        <v>1.5130147421729148</v>
      </c>
    </row>
    <row r="52" spans="1:6" x14ac:dyDescent="0.2">
      <c r="A52" s="20">
        <v>17</v>
      </c>
      <c r="B52" s="179" t="s">
        <v>15</v>
      </c>
      <c r="C52" s="180"/>
      <c r="D52" s="15">
        <f>IF(F3="1",SUMIF(Data!A:A,'2'!$A$2,Data!DK:DK),0)</f>
        <v>35248</v>
      </c>
      <c r="E52" s="18">
        <f>IF(F3="1",SUMIF(Data!$A:$A,'2'!$A$2,Data!JE:JE),0)</f>
        <v>81269</v>
      </c>
      <c r="F52" s="22">
        <f t="shared" si="3"/>
        <v>2.3056343622333184</v>
      </c>
    </row>
    <row r="53" spans="1:6" x14ac:dyDescent="0.2">
      <c r="A53" s="20">
        <v>18</v>
      </c>
      <c r="B53" s="179" t="s">
        <v>16</v>
      </c>
      <c r="C53" s="180"/>
      <c r="D53" s="15">
        <f>IF(F3="1",SUMIF(Data!A:A,'2'!$A$2,Data!DL:DL),0)</f>
        <v>57904</v>
      </c>
      <c r="E53" s="18">
        <f>IF(F3="1",SUMIF(Data!$A:$A,'2'!$A$2,Data!JF:JF),0)</f>
        <v>66423</v>
      </c>
      <c r="F53" s="22">
        <f t="shared" si="3"/>
        <v>1.1471228239845261</v>
      </c>
    </row>
    <row r="54" spans="1:6" x14ac:dyDescent="0.2">
      <c r="A54" s="20">
        <v>19</v>
      </c>
      <c r="B54" s="179" t="s">
        <v>17</v>
      </c>
      <c r="C54" s="180"/>
      <c r="D54" s="15">
        <f>IF(F3="1",SUMIF(Data!A:A,'2'!$A$2,Data!DM:DM),0)</f>
        <v>93776</v>
      </c>
      <c r="E54" s="18">
        <f>IF(F3="1",SUMIF(Data!$A:$A,'2'!$A$2,Data!JG:JG),0)</f>
        <v>46732</v>
      </c>
      <c r="F54" s="22">
        <f t="shared" si="3"/>
        <v>0.49833646135471765</v>
      </c>
    </row>
    <row r="55" spans="1:6" x14ac:dyDescent="0.2">
      <c r="A55" s="20">
        <v>20</v>
      </c>
      <c r="B55" s="179" t="s">
        <v>18</v>
      </c>
      <c r="C55" s="180"/>
      <c r="D55" s="15">
        <f>IF(F3="1",SUMIF(Data!A:A,'2'!$A$2,Data!DN:DN),0)</f>
        <v>16624</v>
      </c>
      <c r="E55" s="18">
        <f>IF(F3="1",SUMIF(Data!$A:$A,'2'!$A$2,Data!JH:JH),0)</f>
        <v>56450</v>
      </c>
      <c r="F55" s="22">
        <f t="shared" si="3"/>
        <v>3.3956929740134747</v>
      </c>
    </row>
    <row r="56" spans="1:6" ht="14.25" customHeight="1" x14ac:dyDescent="0.2">
      <c r="A56" s="20">
        <v>21</v>
      </c>
      <c r="B56" s="179" t="s">
        <v>801</v>
      </c>
      <c r="C56" s="180"/>
      <c r="D56" s="15">
        <f>IF(F3="1",SUMIF(Data!A:A,'2'!$A$2,Data!DO:DO),0)</f>
        <v>0</v>
      </c>
      <c r="E56" s="18">
        <f>IF(F3="1",SUMIF(Data!$A:$A,'2'!$A$2,Data!JI:JI),0)</f>
        <v>0</v>
      </c>
      <c r="F56" s="22" t="str">
        <f t="shared" si="3"/>
        <v/>
      </c>
    </row>
    <row r="57" spans="1:6" x14ac:dyDescent="0.2">
      <c r="A57" s="20">
        <v>22</v>
      </c>
      <c r="B57" s="179" t="s">
        <v>19</v>
      </c>
      <c r="C57" s="180"/>
      <c r="D57" s="15">
        <f>IF(F3="1",SUMIF(Data!A:A,'2'!$A$2,Data!DP:DP),0)</f>
        <v>17660</v>
      </c>
      <c r="E57" s="18">
        <f>IF(F3="1",SUMIF(Data!$A:$A,'2'!$A$2,Data!JJ:JJ),0)</f>
        <v>9021</v>
      </c>
      <c r="F57" s="22">
        <f t="shared" si="3"/>
        <v>0.51081540203850506</v>
      </c>
    </row>
    <row r="58" spans="1:6" x14ac:dyDescent="0.2">
      <c r="A58" s="20">
        <v>23</v>
      </c>
      <c r="B58" s="179" t="s">
        <v>20</v>
      </c>
      <c r="C58" s="180"/>
      <c r="D58" s="15">
        <f>IF(F3="1",SUMIF(Data!A:A,'2'!$A$2,Data!DQ:DQ),0)</f>
        <v>50688</v>
      </c>
      <c r="E58" s="18">
        <f>IF(F3="1",SUMIF(Data!$A:$A,'2'!$A$2,Data!JK:JK),0)</f>
        <v>54544</v>
      </c>
      <c r="F58" s="22">
        <f t="shared" si="3"/>
        <v>1.0760732323232323</v>
      </c>
    </row>
    <row r="59" spans="1:6" x14ac:dyDescent="0.2">
      <c r="A59" s="20">
        <v>24</v>
      </c>
      <c r="B59" s="179" t="s">
        <v>21</v>
      </c>
      <c r="C59" s="180"/>
      <c r="D59" s="15">
        <f>IF(F3="1",SUMIF(Data!A:A,'2'!$A$2,Data!DR:DR),0)</f>
        <v>92280</v>
      </c>
      <c r="E59" s="18">
        <f>IF(F3="1",SUMIF(Data!$A:$A,'2'!$A$2,Data!JL:JL),0)</f>
        <v>90792</v>
      </c>
      <c r="F59" s="22">
        <f t="shared" si="3"/>
        <v>0.98387516254876461</v>
      </c>
    </row>
    <row r="60" spans="1:6" x14ac:dyDescent="0.2">
      <c r="A60" s="20">
        <v>25</v>
      </c>
      <c r="B60" s="179" t="s">
        <v>22</v>
      </c>
      <c r="C60" s="180"/>
      <c r="D60" s="15">
        <f>IF(F3="1",SUMIF(Data!A:A,'2'!$A$2,Data!DS:DS),0)</f>
        <v>362160</v>
      </c>
      <c r="E60" s="18">
        <f>IF(F3="1",SUMIF(Data!$A:$A,'2'!$A$2,Data!JM:JM),0)</f>
        <v>174953</v>
      </c>
      <c r="F60" s="22">
        <f t="shared" si="3"/>
        <v>0.4830820631764966</v>
      </c>
    </row>
    <row r="61" spans="1:6" x14ac:dyDescent="0.2">
      <c r="A61" s="20">
        <v>26</v>
      </c>
      <c r="B61" s="179" t="s">
        <v>23</v>
      </c>
      <c r="C61" s="180"/>
      <c r="D61" s="15">
        <f>IF(F3="1",SUMIF(Data!A:A,'2'!$A$2,Data!DT:DT),0)</f>
        <v>119472</v>
      </c>
      <c r="E61" s="18">
        <f>IF(F3="1",SUMIF(Data!$A:$A,'2'!$A$2,Data!JN:JN),0)</f>
        <v>185524</v>
      </c>
      <c r="F61" s="22">
        <f t="shared" si="3"/>
        <v>1.5528659434846659</v>
      </c>
    </row>
    <row r="62" spans="1:6" x14ac:dyDescent="0.2">
      <c r="A62" s="20">
        <v>28</v>
      </c>
      <c r="B62" s="179" t="s">
        <v>24</v>
      </c>
      <c r="C62" s="180"/>
      <c r="D62" s="15">
        <f>IF(F3="1",SUMIF(Data!A:A,'2'!$A$2,Data!DV:DV),0)</f>
        <v>128336</v>
      </c>
      <c r="E62" s="18">
        <f>IF(F3="1",SUMIF(Data!$A:$A,'2'!$A$2,Data!JP:JP),0)</f>
        <v>63574</v>
      </c>
      <c r="F62" s="22">
        <f t="shared" si="3"/>
        <v>0.49537152474753771</v>
      </c>
    </row>
    <row r="63" spans="1:6" ht="15.75" customHeight="1" thickBot="1" x14ac:dyDescent="0.25">
      <c r="A63" s="23">
        <v>29</v>
      </c>
      <c r="B63" s="181" t="s">
        <v>25</v>
      </c>
      <c r="C63" s="182"/>
      <c r="D63" s="24">
        <f>IF(F3="1",SUMIF(Data!A:A,'2'!$A$2,Data!DW:DW),0)</f>
        <v>46032</v>
      </c>
      <c r="E63" s="25">
        <f>IF(F3="1",SUMIF(Data!$A:$A,'2'!$A$2,Data!JQ:JQ),0)</f>
        <v>39163</v>
      </c>
      <c r="F63" s="26">
        <f t="shared" si="3"/>
        <v>0.85077771984706296</v>
      </c>
    </row>
    <row r="64" spans="1:6" x14ac:dyDescent="0.2">
      <c r="B64" s="31" t="s">
        <v>35</v>
      </c>
      <c r="C64" s="31"/>
      <c r="D64" s="61">
        <f>SUM(D36:D63)</f>
        <v>2532317</v>
      </c>
      <c r="E64" s="32">
        <f>SUM(E36:E63)</f>
        <v>2323017</v>
      </c>
      <c r="F64" s="33">
        <f t="shared" si="3"/>
        <v>0.91734842043867337</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12342</v>
      </c>
      <c r="E67" s="16">
        <f>IF(F3="1",SUMIF(Data!A:A,'2'!$A$2,Data!DY:DY),0)</f>
        <v>79469</v>
      </c>
      <c r="F67" s="21">
        <f>IFERROR(E67/D67,"")</f>
        <v>6.438907794522768</v>
      </c>
    </row>
    <row r="68" spans="1:6" x14ac:dyDescent="0.2">
      <c r="A68" s="20">
        <v>2</v>
      </c>
      <c r="B68" s="179" t="s">
        <v>1</v>
      </c>
      <c r="C68" s="180"/>
      <c r="D68" s="15">
        <f t="shared" ref="D68:D94" si="4">D37</f>
        <v>15184</v>
      </c>
      <c r="E68" s="18">
        <f>IF(F3="1",SUMIF(Data!A:A,'2'!$A$2,Data!DZ:DZ),0)</f>
        <v>97917</v>
      </c>
      <c r="F68" s="22">
        <f t="shared" ref="F68:F95" si="5">IFERROR(E68/D68,"")</f>
        <v>6.4486959957850365</v>
      </c>
    </row>
    <row r="69" spans="1:6" ht="14.25" customHeight="1" x14ac:dyDescent="0.2">
      <c r="A69" s="20">
        <v>3</v>
      </c>
      <c r="B69" s="179" t="s">
        <v>2</v>
      </c>
      <c r="C69" s="180"/>
      <c r="D69" s="15">
        <f t="shared" si="4"/>
        <v>319252</v>
      </c>
      <c r="E69" s="18">
        <f>IF(F3="1",SUMIF(Data!A:A,'2'!$A$2,Data!EA:EA),0)</f>
        <v>653305</v>
      </c>
      <c r="F69" s="22">
        <f t="shared" si="5"/>
        <v>2.0463614949945499</v>
      </c>
    </row>
    <row r="70" spans="1:6" ht="14.25" customHeight="1" x14ac:dyDescent="0.2">
      <c r="A70" s="20">
        <v>4</v>
      </c>
      <c r="B70" s="179" t="s">
        <v>3</v>
      </c>
      <c r="C70" s="180"/>
      <c r="D70" s="15">
        <f t="shared" si="4"/>
        <v>293636</v>
      </c>
      <c r="E70" s="18">
        <f>IF(F3="1",SUMIF(Data!A:A,'2'!$A$2,Data!EB:EB),0)</f>
        <v>1279239</v>
      </c>
      <c r="F70" s="22">
        <f t="shared" si="5"/>
        <v>4.3565468811726085</v>
      </c>
    </row>
    <row r="71" spans="1:6" x14ac:dyDescent="0.2">
      <c r="A71" s="20">
        <v>5</v>
      </c>
      <c r="B71" s="179" t="s">
        <v>4</v>
      </c>
      <c r="C71" s="180"/>
      <c r="D71" s="15">
        <f t="shared" si="4"/>
        <v>100</v>
      </c>
      <c r="E71" s="18">
        <f>IF(F3="1",SUMIF(Data!A:A,'2'!$A$2,Data!EC:EC),0)</f>
        <v>0</v>
      </c>
      <c r="F71" s="22">
        <f t="shared" si="5"/>
        <v>0</v>
      </c>
    </row>
    <row r="72" spans="1:6" x14ac:dyDescent="0.2">
      <c r="A72" s="20">
        <v>6</v>
      </c>
      <c r="B72" s="179" t="s">
        <v>5</v>
      </c>
      <c r="C72" s="180"/>
      <c r="D72" s="15">
        <f t="shared" si="4"/>
        <v>39272</v>
      </c>
      <c r="E72" s="18">
        <f>IF(F3="1",SUMIF(Data!A:A,'2'!$A$2,Data!ED:ED),0)</f>
        <v>203064</v>
      </c>
      <c r="F72" s="22">
        <f t="shared" si="5"/>
        <v>5.170706864941943</v>
      </c>
    </row>
    <row r="73" spans="1:6" x14ac:dyDescent="0.2">
      <c r="A73" s="20">
        <v>7</v>
      </c>
      <c r="B73" s="179" t="s">
        <v>6</v>
      </c>
      <c r="C73" s="180"/>
      <c r="D73" s="15">
        <f t="shared" si="4"/>
        <v>48322</v>
      </c>
      <c r="E73" s="18">
        <f>IF(F3="1",SUMIF(Data!A:A,'2'!$A$2,Data!EE:EE),0)</f>
        <v>644542</v>
      </c>
      <c r="F73" s="22">
        <f t="shared" si="5"/>
        <v>13.338479367575845</v>
      </c>
    </row>
    <row r="74" spans="1:6" x14ac:dyDescent="0.2">
      <c r="A74" s="20">
        <v>8</v>
      </c>
      <c r="B74" s="179" t="s">
        <v>7</v>
      </c>
      <c r="C74" s="180"/>
      <c r="D74" s="15">
        <f t="shared" si="4"/>
        <v>3295</v>
      </c>
      <c r="E74" s="18">
        <f>IF(F3="1",SUMIF(Data!A:A,'2'!$A$2,Data!EF:EF),0)</f>
        <v>399</v>
      </c>
      <c r="F74" s="22">
        <f t="shared" si="5"/>
        <v>0.12109256449165402</v>
      </c>
    </row>
    <row r="75" spans="1:6" x14ac:dyDescent="0.2">
      <c r="A75" s="20">
        <v>9</v>
      </c>
      <c r="B75" s="179" t="s">
        <v>8</v>
      </c>
      <c r="C75" s="180"/>
      <c r="D75" s="15">
        <f t="shared" si="4"/>
        <v>67408</v>
      </c>
      <c r="E75" s="18">
        <f>IF(F3="1",SUMIF(Data!A:A,'2'!$A$2,Data!EG:EG),0)</f>
        <v>312249</v>
      </c>
      <c r="F75" s="22">
        <f t="shared" si="5"/>
        <v>4.6322246617612155</v>
      </c>
    </row>
    <row r="76" spans="1:6" x14ac:dyDescent="0.2">
      <c r="A76" s="20">
        <v>10</v>
      </c>
      <c r="B76" s="179" t="s">
        <v>9</v>
      </c>
      <c r="C76" s="180"/>
      <c r="D76" s="15">
        <f t="shared" si="4"/>
        <v>0</v>
      </c>
      <c r="E76" s="18">
        <f>IF(F3="1",SUMIF(Data!A:A,'2'!$A$2,Data!EH:EH),0)</f>
        <v>0</v>
      </c>
      <c r="F76" s="22" t="str">
        <f t="shared" si="5"/>
        <v/>
      </c>
    </row>
    <row r="77" spans="1:6" x14ac:dyDescent="0.2">
      <c r="A77" s="20">
        <v>11</v>
      </c>
      <c r="B77" s="179" t="s">
        <v>10</v>
      </c>
      <c r="C77" s="180"/>
      <c r="D77" s="15">
        <f t="shared" si="4"/>
        <v>48610</v>
      </c>
      <c r="E77" s="18">
        <f>IF(F3="1",SUMIF(Data!A:A,'2'!$A$2,Data!EI:EI),0)</f>
        <v>516137</v>
      </c>
      <c r="F77" s="22">
        <f t="shared" si="5"/>
        <v>10.617918123842831</v>
      </c>
    </row>
    <row r="78" spans="1:6" ht="14.25" customHeight="1" x14ac:dyDescent="0.2">
      <c r="A78" s="20">
        <v>12</v>
      </c>
      <c r="B78" s="179" t="s">
        <v>11</v>
      </c>
      <c r="C78" s="180"/>
      <c r="D78" s="15">
        <f t="shared" si="4"/>
        <v>215472</v>
      </c>
      <c r="E78" s="18">
        <f>IF(F3="1",SUMIF(Data!A:A,'2'!$A$2,Data!EJ:EJ),0)</f>
        <v>701470</v>
      </c>
      <c r="F78" s="22">
        <f t="shared" si="5"/>
        <v>3.2555041954407069</v>
      </c>
    </row>
    <row r="79" spans="1:6" x14ac:dyDescent="0.2">
      <c r="A79" s="20">
        <v>13</v>
      </c>
      <c r="B79" s="179" t="s">
        <v>12</v>
      </c>
      <c r="C79" s="180"/>
      <c r="D79" s="15">
        <f t="shared" si="4"/>
        <v>88656</v>
      </c>
      <c r="E79" s="18">
        <f>IF(F3="1",SUMIF(Data!A:A,'2'!$A$2,Data!EK:EK),0)</f>
        <v>190561</v>
      </c>
      <c r="F79" s="22">
        <f t="shared" si="5"/>
        <v>2.1494427901100885</v>
      </c>
    </row>
    <row r="80" spans="1:6" ht="14.25" customHeight="1" x14ac:dyDescent="0.2">
      <c r="A80" s="20">
        <v>14</v>
      </c>
      <c r="B80" s="179" t="s">
        <v>804</v>
      </c>
      <c r="C80" s="180"/>
      <c r="D80" s="15">
        <f t="shared" si="4"/>
        <v>127583</v>
      </c>
      <c r="E80" s="18">
        <f>IF(F3="1",SUMIF(Data!A:A,'2'!$A$2,Data!EL:EL),0)</f>
        <v>863783</v>
      </c>
      <c r="F80" s="22">
        <f t="shared" si="5"/>
        <v>6.7703612550261401</v>
      </c>
    </row>
    <row r="81" spans="1:6" x14ac:dyDescent="0.2">
      <c r="A81" s="20">
        <v>15</v>
      </c>
      <c r="B81" s="179" t="s">
        <v>13</v>
      </c>
      <c r="C81" s="180"/>
      <c r="D81" s="15">
        <f t="shared" si="4"/>
        <v>0</v>
      </c>
      <c r="E81" s="18">
        <f>IF(F3="1",SUMIF(Data!A:A,'2'!$A$2,Data!EM:EM),0)</f>
        <v>0</v>
      </c>
      <c r="F81" s="22" t="str">
        <f t="shared" si="5"/>
        <v/>
      </c>
    </row>
    <row r="82" spans="1:6" x14ac:dyDescent="0.2">
      <c r="A82" s="20">
        <v>16</v>
      </c>
      <c r="B82" s="179" t="s">
        <v>14</v>
      </c>
      <c r="C82" s="180"/>
      <c r="D82" s="15">
        <f t="shared" si="4"/>
        <v>233005</v>
      </c>
      <c r="E82" s="18">
        <f>IF(F3="1",SUMIF(Data!A:A,'2'!$A$2,Data!EN:EN),0)</f>
        <v>1167640</v>
      </c>
      <c r="F82" s="22">
        <f t="shared" si="5"/>
        <v>5.0112229351301476</v>
      </c>
    </row>
    <row r="83" spans="1:6" x14ac:dyDescent="0.2">
      <c r="A83" s="20">
        <v>17</v>
      </c>
      <c r="B83" s="179" t="s">
        <v>15</v>
      </c>
      <c r="C83" s="180"/>
      <c r="D83" s="15">
        <f t="shared" si="4"/>
        <v>35248</v>
      </c>
      <c r="E83" s="18">
        <f>IF(F3="1",SUMIF(Data!A:A,'2'!$A$2,Data!EO:EO),0)</f>
        <v>414155</v>
      </c>
      <c r="F83" s="22">
        <f t="shared" si="5"/>
        <v>11.74974466636405</v>
      </c>
    </row>
    <row r="84" spans="1:6" x14ac:dyDescent="0.2">
      <c r="A84" s="20">
        <v>18</v>
      </c>
      <c r="B84" s="179" t="s">
        <v>16</v>
      </c>
      <c r="C84" s="180"/>
      <c r="D84" s="15">
        <f t="shared" si="4"/>
        <v>57904</v>
      </c>
      <c r="E84" s="18">
        <f>IF(F3="1",SUMIF(Data!A:A,'2'!$A$2,Data!EP:EP),0)</f>
        <v>354185</v>
      </c>
      <c r="F84" s="22">
        <f t="shared" si="5"/>
        <v>6.1167622271345676</v>
      </c>
    </row>
    <row r="85" spans="1:6" x14ac:dyDescent="0.2">
      <c r="A85" s="20">
        <v>19</v>
      </c>
      <c r="B85" s="179" t="s">
        <v>17</v>
      </c>
      <c r="C85" s="180"/>
      <c r="D85" s="15">
        <f t="shared" si="4"/>
        <v>93776</v>
      </c>
      <c r="E85" s="18">
        <f>IF(F3="1",SUMIF(Data!A:A,'2'!$A$2,Data!EQ:EQ),0)</f>
        <v>341918</v>
      </c>
      <c r="F85" s="22">
        <f t="shared" si="5"/>
        <v>3.6461141443439686</v>
      </c>
    </row>
    <row r="86" spans="1:6" x14ac:dyDescent="0.2">
      <c r="A86" s="20">
        <v>20</v>
      </c>
      <c r="B86" s="179" t="s">
        <v>18</v>
      </c>
      <c r="C86" s="180"/>
      <c r="D86" s="15">
        <f t="shared" si="4"/>
        <v>16624</v>
      </c>
      <c r="E86" s="18">
        <f>IF(F3="1",SUMIF(Data!A:A,'2'!$A$2,Data!ER:ER),0)</f>
        <v>104370</v>
      </c>
      <c r="F86" s="22">
        <f t="shared" si="5"/>
        <v>6.2782723772858517</v>
      </c>
    </row>
    <row r="87" spans="1:6" ht="14.25" customHeight="1" x14ac:dyDescent="0.2">
      <c r="A87" s="20">
        <v>21</v>
      </c>
      <c r="B87" s="179" t="s">
        <v>801</v>
      </c>
      <c r="C87" s="180"/>
      <c r="D87" s="15">
        <f t="shared" si="4"/>
        <v>0</v>
      </c>
      <c r="E87" s="18">
        <f>IF(F3="1",SUMIF(Data!A:A,'2'!$A$2,Data!ES:ES),0)</f>
        <v>0</v>
      </c>
      <c r="F87" s="22" t="str">
        <f t="shared" si="5"/>
        <v/>
      </c>
    </row>
    <row r="88" spans="1:6" x14ac:dyDescent="0.2">
      <c r="A88" s="20">
        <v>22</v>
      </c>
      <c r="B88" s="179" t="s">
        <v>19</v>
      </c>
      <c r="C88" s="180"/>
      <c r="D88" s="15">
        <f t="shared" si="4"/>
        <v>17660</v>
      </c>
      <c r="E88" s="18">
        <f>IF(F3="1",SUMIF(Data!A:A,'2'!$A$2,Data!ET:ET),0)</f>
        <v>21892</v>
      </c>
      <c r="F88" s="22">
        <f t="shared" si="5"/>
        <v>1.2396375990939978</v>
      </c>
    </row>
    <row r="89" spans="1:6" x14ac:dyDescent="0.2">
      <c r="A89" s="20">
        <v>23</v>
      </c>
      <c r="B89" s="179" t="s">
        <v>20</v>
      </c>
      <c r="C89" s="180"/>
      <c r="D89" s="15">
        <f t="shared" si="4"/>
        <v>50688</v>
      </c>
      <c r="E89" s="18">
        <f>IF(F3="1",SUMIF(Data!A:A,'2'!$A$2,Data!EU:EU),0)</f>
        <v>457336</v>
      </c>
      <c r="F89" s="22">
        <f t="shared" si="5"/>
        <v>9.0225694444444446</v>
      </c>
    </row>
    <row r="90" spans="1:6" x14ac:dyDescent="0.2">
      <c r="A90" s="20">
        <v>24</v>
      </c>
      <c r="B90" s="179" t="s">
        <v>21</v>
      </c>
      <c r="C90" s="180"/>
      <c r="D90" s="15">
        <f t="shared" si="4"/>
        <v>92280</v>
      </c>
      <c r="E90" s="18">
        <f>IF(F3="1",SUMIF(Data!A:A,'2'!$A$2,Data!EV:EV),0)</f>
        <v>324777</v>
      </c>
      <c r="F90" s="22">
        <f t="shared" si="5"/>
        <v>3.519473342002601</v>
      </c>
    </row>
    <row r="91" spans="1:6" x14ac:dyDescent="0.2">
      <c r="A91" s="20">
        <v>25</v>
      </c>
      <c r="B91" s="179" t="s">
        <v>22</v>
      </c>
      <c r="C91" s="180"/>
      <c r="D91" s="15">
        <f t="shared" si="4"/>
        <v>362160</v>
      </c>
      <c r="E91" s="18">
        <f>IF(F3="1",SUMIF(Data!A:A,'2'!$A$2,Data!EW:EW),0)</f>
        <v>1319031</v>
      </c>
      <c r="F91" s="22">
        <f t="shared" si="5"/>
        <v>3.6421222664015906</v>
      </c>
    </row>
    <row r="92" spans="1:6" x14ac:dyDescent="0.2">
      <c r="A92" s="20">
        <v>26</v>
      </c>
      <c r="B92" s="179" t="s">
        <v>23</v>
      </c>
      <c r="C92" s="180"/>
      <c r="D92" s="15">
        <f t="shared" si="4"/>
        <v>119472</v>
      </c>
      <c r="E92" s="18">
        <f>IF(F3="1",SUMIF(Data!A:A,'2'!$A$2,Data!EX:EX),0)</f>
        <v>1013809</v>
      </c>
      <c r="F92" s="22">
        <f t="shared" si="5"/>
        <v>8.4857456140350873</v>
      </c>
    </row>
    <row r="93" spans="1:6" x14ac:dyDescent="0.2">
      <c r="A93" s="20">
        <v>28</v>
      </c>
      <c r="B93" s="179" t="s">
        <v>24</v>
      </c>
      <c r="C93" s="180"/>
      <c r="D93" s="15">
        <f t="shared" si="4"/>
        <v>128336</v>
      </c>
      <c r="E93" s="18">
        <f>IF(F3="1",SUMIF(Data!A:A,'2'!$A$2,Data!EZ:EZ),0)</f>
        <v>499751</v>
      </c>
      <c r="F93" s="22">
        <f t="shared" si="5"/>
        <v>3.8940827203590573</v>
      </c>
    </row>
    <row r="94" spans="1:6" ht="15.75" customHeight="1" thickBot="1" x14ac:dyDescent="0.25">
      <c r="A94" s="23">
        <v>29</v>
      </c>
      <c r="B94" s="181" t="s">
        <v>25</v>
      </c>
      <c r="C94" s="182"/>
      <c r="D94" s="24">
        <f t="shared" si="4"/>
        <v>46032</v>
      </c>
      <c r="E94" s="25">
        <f>IF(F3="1",SUMIF(Data!A:A,'2'!$A$2,Data!FA:FA),0)</f>
        <v>198120</v>
      </c>
      <c r="F94" s="26">
        <f t="shared" si="5"/>
        <v>4.3039624608967673</v>
      </c>
    </row>
    <row r="95" spans="1:6" x14ac:dyDescent="0.2">
      <c r="B95" s="31" t="s">
        <v>35</v>
      </c>
      <c r="C95" s="31"/>
      <c r="D95" s="61">
        <f>SUM(D67:D94)</f>
        <v>2532317</v>
      </c>
      <c r="E95" s="32">
        <f>SUM(E67:E94)</f>
        <v>11759119</v>
      </c>
      <c r="F95" s="33">
        <f t="shared" si="5"/>
        <v>4.6436204472030953</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IF(F3="1",SUMIF(Data!A:A,'2'!$A$2,Data!AH:AH),0)</f>
        <v>3602015</v>
      </c>
      <c r="F98" s="21">
        <f t="shared" ref="F98:F105" si="6">IFERROR(E98/$D$95,0)</f>
        <v>1.4224186782302533</v>
      </c>
    </row>
    <row r="99" spans="2:6" x14ac:dyDescent="0.2">
      <c r="B99" s="185" t="s">
        <v>31</v>
      </c>
      <c r="C99" s="186"/>
      <c r="D99" s="37"/>
      <c r="E99" s="18">
        <f>IF(F3="1",SUMIF(Data!A:A,'2'!$A$2,Data!AI:AI),0)</f>
        <v>2041107</v>
      </c>
      <c r="F99" s="22">
        <f t="shared" si="6"/>
        <v>0.8060234954786466</v>
      </c>
    </row>
    <row r="100" spans="2:6" x14ac:dyDescent="0.2">
      <c r="B100" s="185" t="s">
        <v>32</v>
      </c>
      <c r="C100" s="186"/>
      <c r="D100" s="37"/>
      <c r="E100" s="18">
        <f>IF(F3="1",SUMIF(Data!A:A,'2'!$A$2,Data!AJ:AJ),0)</f>
        <v>2642702</v>
      </c>
      <c r="F100" s="22">
        <f t="shared" si="6"/>
        <v>1.0435905141417918</v>
      </c>
    </row>
    <row r="101" spans="2:6" x14ac:dyDescent="0.2">
      <c r="B101" s="185" t="s">
        <v>28</v>
      </c>
      <c r="C101" s="186"/>
      <c r="D101" s="37"/>
      <c r="E101" s="18">
        <f>IF(F3="1",SUMIF(Data!A:A,'2'!$A$2,Data!AK:AK),0)</f>
        <v>0</v>
      </c>
      <c r="F101" s="22">
        <f t="shared" si="6"/>
        <v>0</v>
      </c>
    </row>
    <row r="102" spans="2:6" x14ac:dyDescent="0.2">
      <c r="B102" s="185" t="s">
        <v>33</v>
      </c>
      <c r="C102" s="186"/>
      <c r="D102" s="37"/>
      <c r="E102" s="18">
        <f>IF(F3="1",SUMIF(Data!A:A,'2'!$A$2,Data!AL:AL),0)</f>
        <v>0</v>
      </c>
      <c r="F102" s="22">
        <f t="shared" si="6"/>
        <v>0</v>
      </c>
    </row>
    <row r="103" spans="2:6" x14ac:dyDescent="0.2">
      <c r="B103" s="187" t="s">
        <v>34</v>
      </c>
      <c r="C103" s="188"/>
      <c r="D103" s="37"/>
      <c r="E103" s="18">
        <f>IF(F3="1",SUMIF(Data!A:A,'2'!$A$2,Data!AM:AM),0)</f>
        <v>413632</v>
      </c>
      <c r="F103" s="22">
        <f t="shared" si="6"/>
        <v>0.16334131943196686</v>
      </c>
    </row>
    <row r="104" spans="2:6" ht="15.75" customHeight="1" thickBot="1" x14ac:dyDescent="0.25">
      <c r="B104" s="177" t="s">
        <v>29</v>
      </c>
      <c r="C104" s="178"/>
      <c r="D104" s="38"/>
      <c r="E104" s="25">
        <f>IF(F3="1",SUMIF(Data!A:A,'2'!$A$2,Data!Q:Q),0)</f>
        <v>470156</v>
      </c>
      <c r="F104" s="26">
        <f t="shared" si="6"/>
        <v>0.18566237955200712</v>
      </c>
    </row>
    <row r="105" spans="2:6" x14ac:dyDescent="0.2">
      <c r="B105" s="31" t="s">
        <v>35</v>
      </c>
      <c r="C105" s="31"/>
      <c r="D105" s="35">
        <f>D95</f>
        <v>2532317</v>
      </c>
      <c r="E105" s="32">
        <f>SUM(E98:E104)</f>
        <v>9169612</v>
      </c>
      <c r="F105" s="33">
        <f t="shared" si="6"/>
        <v>3.6210363868346658</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11834651</v>
      </c>
      <c r="D109" s="16">
        <f>IF(F3="1",SUMIF(Data!$A:$A,$A$2,Data!HJ:HJ),0)</f>
        <v>875128</v>
      </c>
      <c r="E109" s="16">
        <f>IF(F3="1",SUMIF(Data!$A:$A,$A$2,Data!IN:IN),0)</f>
        <v>1372356</v>
      </c>
      <c r="F109" s="48">
        <f>SUM(C109:E109)</f>
        <v>14082135</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69742</v>
      </c>
      <c r="D111" s="52"/>
      <c r="E111" s="51">
        <f>IF(F3="1",SUMIF(Data!A:A,$A$2,Data!AX:AX),0)</f>
        <v>58758</v>
      </c>
      <c r="F111" s="49">
        <f t="shared" si="7"/>
        <v>128500</v>
      </c>
    </row>
    <row r="112" spans="2:6" x14ac:dyDescent="0.2">
      <c r="B112" s="43" t="s">
        <v>32</v>
      </c>
      <c r="C112" s="51">
        <f>IF(F3="1",SUMIF(Data!A:A,$A$2,Data!V:V),0)</f>
        <v>1831628</v>
      </c>
      <c r="D112" s="52"/>
      <c r="E112" s="51">
        <f>IF(F3="1",SUMIF(Data!A:A,$A$2,Data!AC:AC),0)</f>
        <v>811074</v>
      </c>
      <c r="F112" s="49">
        <f t="shared" si="7"/>
        <v>2642702</v>
      </c>
    </row>
    <row r="113" spans="1:6" x14ac:dyDescent="0.2">
      <c r="B113" s="43" t="s">
        <v>31</v>
      </c>
      <c r="C113" s="51">
        <f>IF(F3="1",SUMIF(Data!A:A,$A$2,Data!U:U),0)</f>
        <v>1752686</v>
      </c>
      <c r="D113" s="52"/>
      <c r="E113" s="51">
        <f>IF(F3="1",SUMIF(Data!A:A,$A$2,Data!AB:AB),0)</f>
        <v>288421</v>
      </c>
      <c r="F113" s="49">
        <f t="shared" si="7"/>
        <v>2041107</v>
      </c>
    </row>
    <row r="114" spans="1:6" x14ac:dyDescent="0.2">
      <c r="B114" s="43" t="s">
        <v>1363</v>
      </c>
      <c r="C114" s="51">
        <f>IF(F3="1",SUMIF(Data!A:A,$A$2,Data!T:T),0)</f>
        <v>2578245</v>
      </c>
      <c r="D114" s="52"/>
      <c r="E114" s="51">
        <f>IF(F3="1",SUMIF(Data!A:A,$A$2,Data!AA:AA),0)</f>
        <v>1023770</v>
      </c>
      <c r="F114" s="49">
        <f t="shared" si="7"/>
        <v>3602015</v>
      </c>
    </row>
    <row r="115" spans="1:6" x14ac:dyDescent="0.2">
      <c r="B115" s="43" t="s">
        <v>1278</v>
      </c>
      <c r="C115" s="51">
        <f>IF(F3="1",SUMIF(Data!A:A,$A$2,Data!BI:BI),0)</f>
        <v>1407320</v>
      </c>
      <c r="D115" s="51">
        <f>IF(F3="1",SUMIF(Data!A:A,$A$2,Data!BL:BL),0)</f>
        <v>391211</v>
      </c>
      <c r="E115" s="51">
        <f>IF(F3="1",SUMIF(Data!A:A,$A$2,Data!BU:BU),0)</f>
        <v>2726426</v>
      </c>
      <c r="F115" s="49">
        <f t="shared" si="7"/>
        <v>4524957</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470156</v>
      </c>
      <c r="E117" s="53"/>
      <c r="F117" s="50">
        <f>SUM(C117:E117)</f>
        <v>470156</v>
      </c>
    </row>
    <row r="118" spans="1:6" x14ac:dyDescent="0.2">
      <c r="B118" s="14" t="s">
        <v>35</v>
      </c>
      <c r="C118" s="5">
        <f>SUM(C109:C116)</f>
        <v>19474272</v>
      </c>
      <c r="D118" s="5">
        <f>SUM(D109:D116)</f>
        <v>1266339</v>
      </c>
      <c r="E118" s="5">
        <f>SUM(E109:E116)</f>
        <v>6280805</v>
      </c>
      <c r="F118" s="5">
        <f>SUM(F109:F116)</f>
        <v>27021416</v>
      </c>
    </row>
    <row r="119" spans="1:6" ht="15" thickBot="1" x14ac:dyDescent="0.25"/>
    <row r="120" spans="1:6" ht="15" thickBot="1" x14ac:dyDescent="0.25">
      <c r="B120" s="57" t="s">
        <v>1283</v>
      </c>
      <c r="C120" s="55"/>
      <c r="D120" s="55"/>
      <c r="E120" s="55">
        <f>IF(F3="1",SUMIF(Data!A:A,'2'!$A$2,Data!AM:AM),0)</f>
        <v>413632</v>
      </c>
      <c r="F120" s="56">
        <f>SUM(C120:E120)</f>
        <v>413632</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15" width="16.42578125" style="11" bestFit="1" customWidth="1"/>
    <col min="16"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360</v>
      </c>
      <c r="B2" s="60" t="str">
        <f>VLOOKUP(A2,Data!A:G,7,0)</f>
        <v>Amarillo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12468</v>
      </c>
      <c r="E5" s="16">
        <f>E36+E67+IFERROR($E$105/$D$105*D5,0)</f>
        <v>103387.47100274055</v>
      </c>
      <c r="F5" s="21">
        <f>IFERROR(E5/D5,"")</f>
        <v>8.2922257782114652</v>
      </c>
    </row>
    <row r="6" spans="1:6" x14ac:dyDescent="0.2">
      <c r="A6" s="20">
        <v>2</v>
      </c>
      <c r="B6" s="179" t="s">
        <v>1</v>
      </c>
      <c r="C6" s="180"/>
      <c r="D6" s="15">
        <f t="shared" ref="D6:D32" si="0">D37</f>
        <v>24544</v>
      </c>
      <c r="E6" s="18">
        <f t="shared" ref="E6:E32" si="1">E37+E68+IFERROR($E$105/$D$105*D6,0)</f>
        <v>223970.57878499071</v>
      </c>
      <c r="F6" s="22">
        <f t="shared" ref="F6:F33" si="2">IFERROR(E6/D6,"")</f>
        <v>9.1252680404575752</v>
      </c>
    </row>
    <row r="7" spans="1:6" ht="14.25" customHeight="1" x14ac:dyDescent="0.2">
      <c r="A7" s="20">
        <v>3</v>
      </c>
      <c r="B7" s="179" t="s">
        <v>2</v>
      </c>
      <c r="C7" s="180"/>
      <c r="D7" s="15">
        <f t="shared" si="0"/>
        <v>505328</v>
      </c>
      <c r="E7" s="18">
        <f t="shared" si="1"/>
        <v>3863130.5343978885</v>
      </c>
      <c r="F7" s="22">
        <f t="shared" si="2"/>
        <v>7.6447981002396235</v>
      </c>
    </row>
    <row r="8" spans="1:6" ht="14.25" customHeight="1" x14ac:dyDescent="0.2">
      <c r="A8" s="20">
        <v>4</v>
      </c>
      <c r="B8" s="179" t="s">
        <v>3</v>
      </c>
      <c r="C8" s="180"/>
      <c r="D8" s="15">
        <f t="shared" si="0"/>
        <v>384155</v>
      </c>
      <c r="E8" s="18">
        <f t="shared" si="1"/>
        <v>3131723.7881823704</v>
      </c>
      <c r="F8" s="22">
        <f t="shared" si="2"/>
        <v>8.1522400806507012</v>
      </c>
    </row>
    <row r="9" spans="1:6" x14ac:dyDescent="0.2">
      <c r="A9" s="20">
        <v>5</v>
      </c>
      <c r="B9" s="179" t="s">
        <v>4</v>
      </c>
      <c r="C9" s="180"/>
      <c r="D9" s="15">
        <f t="shared" si="0"/>
        <v>576</v>
      </c>
      <c r="E9" s="18">
        <f t="shared" si="1"/>
        <v>5255.9418750063005</v>
      </c>
      <c r="F9" s="22">
        <f t="shared" si="2"/>
        <v>9.1248990885526045</v>
      </c>
    </row>
    <row r="10" spans="1:6" x14ac:dyDescent="0.2">
      <c r="A10" s="20">
        <v>6</v>
      </c>
      <c r="B10" s="179" t="s">
        <v>5</v>
      </c>
      <c r="C10" s="180"/>
      <c r="D10" s="15">
        <f t="shared" si="0"/>
        <v>41405</v>
      </c>
      <c r="E10" s="18">
        <f t="shared" si="1"/>
        <v>362698.36516429839</v>
      </c>
      <c r="F10" s="22">
        <f t="shared" si="2"/>
        <v>8.7597721329380125</v>
      </c>
    </row>
    <row r="11" spans="1:6" x14ac:dyDescent="0.2">
      <c r="A11" s="20">
        <v>7</v>
      </c>
      <c r="B11" s="179" t="s">
        <v>6</v>
      </c>
      <c r="C11" s="180"/>
      <c r="D11" s="15">
        <f t="shared" si="0"/>
        <v>47524</v>
      </c>
      <c r="E11" s="18">
        <f t="shared" si="1"/>
        <v>379056.23900659621</v>
      </c>
      <c r="F11" s="22">
        <f t="shared" si="2"/>
        <v>7.9761013173679869</v>
      </c>
    </row>
    <row r="12" spans="1:6" x14ac:dyDescent="0.2">
      <c r="A12" s="20">
        <v>8</v>
      </c>
      <c r="B12" s="179" t="s">
        <v>7</v>
      </c>
      <c r="C12" s="180"/>
      <c r="D12" s="15">
        <f t="shared" si="0"/>
        <v>16952</v>
      </c>
      <c r="E12" s="18">
        <f t="shared" si="1"/>
        <v>154690.44212692152</v>
      </c>
      <c r="F12" s="22">
        <f t="shared" si="2"/>
        <v>9.1252030513757383</v>
      </c>
    </row>
    <row r="13" spans="1:6" x14ac:dyDescent="0.2">
      <c r="A13" s="20">
        <v>9</v>
      </c>
      <c r="B13" s="179" t="s">
        <v>8</v>
      </c>
      <c r="C13" s="180"/>
      <c r="D13" s="15">
        <f t="shared" si="0"/>
        <v>202589</v>
      </c>
      <c r="E13" s="18">
        <f t="shared" si="1"/>
        <v>1358056.2665202282</v>
      </c>
      <c r="F13" s="22">
        <f t="shared" si="2"/>
        <v>6.7035044672723014</v>
      </c>
    </row>
    <row r="14" spans="1:6" x14ac:dyDescent="0.2">
      <c r="A14" s="20">
        <v>10</v>
      </c>
      <c r="B14" s="179" t="s">
        <v>9</v>
      </c>
      <c r="C14" s="180"/>
      <c r="D14" s="15">
        <f t="shared" si="0"/>
        <v>4640</v>
      </c>
      <c r="E14" s="18">
        <f t="shared" si="1"/>
        <v>35455.809548661862</v>
      </c>
      <c r="F14" s="22">
        <f t="shared" si="2"/>
        <v>7.641338264797815</v>
      </c>
    </row>
    <row r="15" spans="1:6" x14ac:dyDescent="0.2">
      <c r="A15" s="20">
        <v>11</v>
      </c>
      <c r="B15" s="179" t="s">
        <v>10</v>
      </c>
      <c r="C15" s="180"/>
      <c r="D15" s="15">
        <f t="shared" si="0"/>
        <v>219649</v>
      </c>
      <c r="E15" s="18">
        <f t="shared" si="1"/>
        <v>1829916.1352487132</v>
      </c>
      <c r="F15" s="22">
        <f t="shared" si="2"/>
        <v>8.3310924941552802</v>
      </c>
    </row>
    <row r="16" spans="1:6" ht="14.25" customHeight="1" x14ac:dyDescent="0.2">
      <c r="A16" s="20">
        <v>12</v>
      </c>
      <c r="B16" s="179" t="s">
        <v>11</v>
      </c>
      <c r="C16" s="180"/>
      <c r="D16" s="15">
        <f t="shared" si="0"/>
        <v>469440</v>
      </c>
      <c r="E16" s="18">
        <f t="shared" si="1"/>
        <v>3835651.6281301347</v>
      </c>
      <c r="F16" s="22">
        <f t="shared" si="2"/>
        <v>8.1706962085253387</v>
      </c>
    </row>
    <row r="17" spans="1:6" x14ac:dyDescent="0.2">
      <c r="A17" s="20">
        <v>13</v>
      </c>
      <c r="B17" s="179" t="s">
        <v>12</v>
      </c>
      <c r="C17" s="180"/>
      <c r="D17" s="15">
        <f t="shared" si="0"/>
        <v>46580</v>
      </c>
      <c r="E17" s="18">
        <f t="shared" si="1"/>
        <v>359876.13982255809</v>
      </c>
      <c r="F17" s="22">
        <f t="shared" si="2"/>
        <v>7.7259798158556912</v>
      </c>
    </row>
    <row r="18" spans="1:6" ht="14.25" customHeight="1" x14ac:dyDescent="0.2">
      <c r="A18" s="20">
        <v>14</v>
      </c>
      <c r="B18" s="179" t="s">
        <v>804</v>
      </c>
      <c r="C18" s="180"/>
      <c r="D18" s="15">
        <f t="shared" si="0"/>
        <v>384941</v>
      </c>
      <c r="E18" s="18">
        <f t="shared" si="1"/>
        <v>3854810.7817826392</v>
      </c>
      <c r="F18" s="22">
        <f t="shared" si="2"/>
        <v>10.014030154705887</v>
      </c>
    </row>
    <row r="19" spans="1:6" x14ac:dyDescent="0.2">
      <c r="A19" s="20">
        <v>15</v>
      </c>
      <c r="B19" s="179" t="s">
        <v>13</v>
      </c>
      <c r="C19" s="180"/>
      <c r="D19" s="15">
        <f t="shared" si="0"/>
        <v>56020</v>
      </c>
      <c r="E19" s="18">
        <f t="shared" si="1"/>
        <v>472726.13166293915</v>
      </c>
      <c r="F19" s="22">
        <f t="shared" si="2"/>
        <v>8.4385243067286524</v>
      </c>
    </row>
    <row r="20" spans="1:6" x14ac:dyDescent="0.2">
      <c r="A20" s="20">
        <v>16</v>
      </c>
      <c r="B20" s="179" t="s">
        <v>14</v>
      </c>
      <c r="C20" s="180"/>
      <c r="D20" s="15">
        <f t="shared" si="0"/>
        <v>344933</v>
      </c>
      <c r="E20" s="18">
        <f t="shared" si="1"/>
        <v>2911735.5273811603</v>
      </c>
      <c r="F20" s="22">
        <f t="shared" si="2"/>
        <v>8.4414524773830291</v>
      </c>
    </row>
    <row r="21" spans="1:6" x14ac:dyDescent="0.2">
      <c r="A21" s="20">
        <v>17</v>
      </c>
      <c r="B21" s="179" t="s">
        <v>15</v>
      </c>
      <c r="C21" s="180"/>
      <c r="D21" s="15">
        <f t="shared" si="0"/>
        <v>25120</v>
      </c>
      <c r="E21" s="18">
        <f t="shared" si="1"/>
        <v>213648.52065999698</v>
      </c>
      <c r="F21" s="22">
        <f t="shared" si="2"/>
        <v>8.5051162683119816</v>
      </c>
    </row>
    <row r="22" spans="1:6" x14ac:dyDescent="0.2">
      <c r="A22" s="20">
        <v>18</v>
      </c>
      <c r="B22" s="179" t="s">
        <v>16</v>
      </c>
      <c r="C22" s="180"/>
      <c r="D22" s="15">
        <f t="shared" si="0"/>
        <v>123269</v>
      </c>
      <c r="E22" s="18">
        <f t="shared" si="1"/>
        <v>1293353.7291495688</v>
      </c>
      <c r="F22" s="22">
        <f t="shared" si="2"/>
        <v>10.49212477710997</v>
      </c>
    </row>
    <row r="23" spans="1:6" x14ac:dyDescent="0.2">
      <c r="A23" s="20">
        <v>19</v>
      </c>
      <c r="B23" s="179" t="s">
        <v>17</v>
      </c>
      <c r="C23" s="180"/>
      <c r="D23" s="15">
        <f t="shared" si="0"/>
        <v>277752</v>
      </c>
      <c r="E23" s="18">
        <f t="shared" si="1"/>
        <v>2171837.01331033</v>
      </c>
      <c r="F23" s="22">
        <f t="shared" si="2"/>
        <v>7.8193388825654901</v>
      </c>
    </row>
    <row r="24" spans="1:6" x14ac:dyDescent="0.2">
      <c r="A24" s="20">
        <v>20</v>
      </c>
      <c r="B24" s="179" t="s">
        <v>18</v>
      </c>
      <c r="C24" s="180"/>
      <c r="D24" s="15">
        <f t="shared" si="0"/>
        <v>52492</v>
      </c>
      <c r="E24" s="18">
        <f t="shared" si="1"/>
        <v>479002.86267852556</v>
      </c>
      <c r="F24" s="22">
        <f t="shared" si="2"/>
        <v>9.1252545660010203</v>
      </c>
    </row>
    <row r="25" spans="1:6" ht="14.25" customHeight="1" x14ac:dyDescent="0.2">
      <c r="A25" s="20">
        <v>21</v>
      </c>
      <c r="B25" s="179" t="s">
        <v>801</v>
      </c>
      <c r="C25" s="180"/>
      <c r="D25" s="15">
        <f t="shared" si="0"/>
        <v>159159</v>
      </c>
      <c r="E25" s="18">
        <f t="shared" si="1"/>
        <v>1458815.9025766107</v>
      </c>
      <c r="F25" s="22">
        <f t="shared" si="2"/>
        <v>9.165777006494201</v>
      </c>
    </row>
    <row r="26" spans="1:6" x14ac:dyDescent="0.2">
      <c r="A26" s="20">
        <v>22</v>
      </c>
      <c r="B26" s="179" t="s">
        <v>19</v>
      </c>
      <c r="C26" s="180"/>
      <c r="D26" s="15">
        <f t="shared" si="0"/>
        <v>19568</v>
      </c>
      <c r="E26" s="18">
        <f t="shared" si="1"/>
        <v>172680.88647590848</v>
      </c>
      <c r="F26" s="22">
        <f t="shared" si="2"/>
        <v>8.8246569131187904</v>
      </c>
    </row>
    <row r="27" spans="1:6" x14ac:dyDescent="0.2">
      <c r="A27" s="20">
        <v>23</v>
      </c>
      <c r="B27" s="179" t="s">
        <v>20</v>
      </c>
      <c r="C27" s="180"/>
      <c r="D27" s="15">
        <f t="shared" si="0"/>
        <v>96320</v>
      </c>
      <c r="E27" s="18">
        <f t="shared" si="1"/>
        <v>549210.39132049796</v>
      </c>
      <c r="F27" s="22">
        <f t="shared" si="2"/>
        <v>5.7019351258357345</v>
      </c>
    </row>
    <row r="28" spans="1:6" x14ac:dyDescent="0.2">
      <c r="A28" s="20">
        <v>24</v>
      </c>
      <c r="B28" s="179" t="s">
        <v>21</v>
      </c>
      <c r="C28" s="180"/>
      <c r="D28" s="15">
        <f t="shared" si="0"/>
        <v>231204</v>
      </c>
      <c r="E28" s="18">
        <f t="shared" si="1"/>
        <v>1876096.1480363831</v>
      </c>
      <c r="F28" s="22">
        <f t="shared" si="2"/>
        <v>8.1144623277987531</v>
      </c>
    </row>
    <row r="29" spans="1:6" x14ac:dyDescent="0.2">
      <c r="A29" s="20">
        <v>25</v>
      </c>
      <c r="B29" s="179" t="s">
        <v>22</v>
      </c>
      <c r="C29" s="180"/>
      <c r="D29" s="15">
        <f t="shared" si="0"/>
        <v>657575</v>
      </c>
      <c r="E29" s="18">
        <f t="shared" si="1"/>
        <v>3883152.1344744232</v>
      </c>
      <c r="F29" s="22">
        <f t="shared" si="2"/>
        <v>5.9052612013449766</v>
      </c>
    </row>
    <row r="30" spans="1:6" x14ac:dyDescent="0.2">
      <c r="A30" s="20">
        <v>26</v>
      </c>
      <c r="B30" s="179" t="s">
        <v>23</v>
      </c>
      <c r="C30" s="180"/>
      <c r="D30" s="15">
        <f t="shared" si="0"/>
        <v>258926</v>
      </c>
      <c r="E30" s="18">
        <f t="shared" si="1"/>
        <v>1984047.2429303494</v>
      </c>
      <c r="F30" s="22">
        <f t="shared" si="2"/>
        <v>7.6626033806197498</v>
      </c>
    </row>
    <row r="31" spans="1:6" x14ac:dyDescent="0.2">
      <c r="A31" s="20">
        <v>28</v>
      </c>
      <c r="B31" s="179" t="s">
        <v>24</v>
      </c>
      <c r="C31" s="180"/>
      <c r="D31" s="15">
        <f t="shared" si="0"/>
        <v>348448</v>
      </c>
      <c r="E31" s="18">
        <f t="shared" si="1"/>
        <v>2724633.5598301999</v>
      </c>
      <c r="F31" s="22">
        <f t="shared" si="2"/>
        <v>7.8193405036912251</v>
      </c>
    </row>
    <row r="32" spans="1:6" ht="15.75" customHeight="1" thickBot="1" x14ac:dyDescent="0.25">
      <c r="A32" s="23">
        <v>29</v>
      </c>
      <c r="B32" s="181" t="s">
        <v>25</v>
      </c>
      <c r="C32" s="182"/>
      <c r="D32" s="24">
        <f t="shared" si="0"/>
        <v>246144</v>
      </c>
      <c r="E32" s="25">
        <f t="shared" si="1"/>
        <v>2011167.8279193589</v>
      </c>
      <c r="F32" s="26">
        <f t="shared" si="2"/>
        <v>8.1706961287675455</v>
      </c>
    </row>
    <row r="33" spans="1:6" x14ac:dyDescent="0.2">
      <c r="B33" s="31" t="s">
        <v>35</v>
      </c>
      <c r="C33" s="31"/>
      <c r="D33" s="61">
        <f>SUM(D5:D32)</f>
        <v>5257721</v>
      </c>
      <c r="E33" s="32">
        <f>SUM(E5:E32)</f>
        <v>41699788.000000007</v>
      </c>
      <c r="F33" s="33">
        <f t="shared" si="2"/>
        <v>7.9311526800299994</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IF(F3="1",SUMIF(Data!A:A,'3'!$A$2,Data!CU:CU),0)</f>
        <v>12468</v>
      </c>
      <c r="E36" s="16">
        <f>IF(F3="1",SUMIF(Data!$A:$A,'3'!$A$2,Data!IO:IO),0)</f>
        <v>21132</v>
      </c>
      <c r="F36" s="21">
        <f t="shared" ref="F36:F64" si="3">IFERROR(E36/D36,"")</f>
        <v>1.6948989412897015</v>
      </c>
    </row>
    <row r="37" spans="1:6" x14ac:dyDescent="0.2">
      <c r="A37" s="20">
        <v>2</v>
      </c>
      <c r="B37" s="179" t="s">
        <v>1</v>
      </c>
      <c r="C37" s="180"/>
      <c r="D37" s="15">
        <f>IF(F3="1",SUMIF(Data!A:A,'3'!$A$2,Data!CV:CV),0)</f>
        <v>24544</v>
      </c>
      <c r="E37" s="18">
        <f>IF(F3="1",SUMIF(Data!$A:$A,'3'!$A$2,Data!IP:IP),0)</f>
        <v>52661</v>
      </c>
      <c r="F37" s="22">
        <f t="shared" si="3"/>
        <v>2.1455752933507171</v>
      </c>
    </row>
    <row r="38" spans="1:6" ht="14.25" customHeight="1" x14ac:dyDescent="0.2">
      <c r="A38" s="20">
        <v>3</v>
      </c>
      <c r="B38" s="179" t="s">
        <v>2</v>
      </c>
      <c r="C38" s="180"/>
      <c r="D38" s="15">
        <f>IF(F3="1",SUMIF(Data!A:A,'3'!$A$2,Data!CW:CW),0)</f>
        <v>505328</v>
      </c>
      <c r="E38" s="18">
        <f>IF(F3="1",SUMIF(Data!$A:$A,'3'!$A$2,Data!IQ:IQ),0)</f>
        <v>510363</v>
      </c>
      <c r="F38" s="22">
        <f t="shared" si="3"/>
        <v>1.0099638254757306</v>
      </c>
    </row>
    <row r="39" spans="1:6" ht="14.25" customHeight="1" x14ac:dyDescent="0.2">
      <c r="A39" s="20">
        <v>4</v>
      </c>
      <c r="B39" s="179" t="s">
        <v>3</v>
      </c>
      <c r="C39" s="180"/>
      <c r="D39" s="15">
        <f>IF(F3="1",SUMIF(Data!A:A,'3'!$A$2,Data!CX:CX),0)</f>
        <v>384155</v>
      </c>
      <c r="E39" s="18">
        <f>IF(F3="1",SUMIF(Data!$A:$A,'3'!$A$2,Data!IR:IR),0)</f>
        <v>485874</v>
      </c>
      <c r="F39" s="22">
        <f t="shared" si="3"/>
        <v>1.2647863492600644</v>
      </c>
    </row>
    <row r="40" spans="1:6" x14ac:dyDescent="0.2">
      <c r="A40" s="20">
        <v>5</v>
      </c>
      <c r="B40" s="179" t="s">
        <v>4</v>
      </c>
      <c r="C40" s="180"/>
      <c r="D40" s="15">
        <f>IF(F3="1",SUMIF(Data!A:A,'3'!$A$2,Data!CY:CY),0)</f>
        <v>576</v>
      </c>
      <c r="E40" s="18">
        <f>IF(F3="1",SUMIF(Data!$A:$A,'3'!$A$2,Data!IS:IS),0)</f>
        <v>1236</v>
      </c>
      <c r="F40" s="22">
        <f t="shared" si="3"/>
        <v>2.1458333333333335</v>
      </c>
    </row>
    <row r="41" spans="1:6" x14ac:dyDescent="0.2">
      <c r="A41" s="20">
        <v>6</v>
      </c>
      <c r="B41" s="179" t="s">
        <v>5</v>
      </c>
      <c r="C41" s="180"/>
      <c r="D41" s="15">
        <f>IF(F3="1",SUMIF(Data!A:A,'3'!$A$2,Data!CZ:CZ),0)</f>
        <v>41405</v>
      </c>
      <c r="E41" s="18">
        <f>IF(F3="1",SUMIF(Data!$A:$A,'3'!$A$2,Data!IT:IT),0)</f>
        <v>83803</v>
      </c>
      <c r="F41" s="22">
        <f t="shared" si="3"/>
        <v>2.0239826107957977</v>
      </c>
    </row>
    <row r="42" spans="1:6" x14ac:dyDescent="0.2">
      <c r="A42" s="20">
        <v>7</v>
      </c>
      <c r="B42" s="179" t="s">
        <v>6</v>
      </c>
      <c r="C42" s="180"/>
      <c r="D42" s="15">
        <f>IF(F3="1",SUMIF(Data!A:A,'3'!$A$2,Data!DA:DA),0)</f>
        <v>47524</v>
      </c>
      <c r="E42" s="18">
        <f>IF(F3="1",SUMIF(Data!$A:$A,'3'!$A$2,Data!IU:IU),0)</f>
        <v>52912</v>
      </c>
      <c r="F42" s="22">
        <f t="shared" si="3"/>
        <v>1.1133742950930057</v>
      </c>
    </row>
    <row r="43" spans="1:6" x14ac:dyDescent="0.2">
      <c r="A43" s="20">
        <v>8</v>
      </c>
      <c r="B43" s="179" t="s">
        <v>7</v>
      </c>
      <c r="C43" s="180"/>
      <c r="D43" s="15">
        <f>IF(F3="1",SUMIF(Data!A:A,'3'!$A$2,Data!DB:DB),0)</f>
        <v>16952</v>
      </c>
      <c r="E43" s="18">
        <f>IF(F3="1",SUMIF(Data!$A:$A,'3'!$A$2,Data!IV:IV),0)</f>
        <v>36371</v>
      </c>
      <c r="F43" s="22">
        <f t="shared" si="3"/>
        <v>2.1455285512033977</v>
      </c>
    </row>
    <row r="44" spans="1:6" x14ac:dyDescent="0.2">
      <c r="A44" s="20">
        <v>9</v>
      </c>
      <c r="B44" s="179" t="s">
        <v>8</v>
      </c>
      <c r="C44" s="180"/>
      <c r="D44" s="15">
        <f>IF(F3="1",SUMIF(Data!A:A,'3'!$A$2,Data!DC:DC),0)</f>
        <v>202589</v>
      </c>
      <c r="E44" s="18">
        <f>IF(F3="1",SUMIF(Data!$A:$A,'3'!$A$2,Data!IW:IW),0)</f>
        <v>172748</v>
      </c>
      <c r="F44" s="22">
        <f t="shared" si="3"/>
        <v>0.85270177551594606</v>
      </c>
    </row>
    <row r="45" spans="1:6" x14ac:dyDescent="0.2">
      <c r="A45" s="20">
        <v>10</v>
      </c>
      <c r="B45" s="179" t="s">
        <v>9</v>
      </c>
      <c r="C45" s="180"/>
      <c r="D45" s="15">
        <f>IF(F3="1",SUMIF(Data!A:A,'3'!$A$2,Data!DD:DD),0)</f>
        <v>4640</v>
      </c>
      <c r="E45" s="18">
        <f>IF(F3="1",SUMIF(Data!$A:$A,'3'!$A$2,Data!IX:IX),0)</f>
        <v>4674</v>
      </c>
      <c r="F45" s="22">
        <f t="shared" si="3"/>
        <v>1.0073275862068964</v>
      </c>
    </row>
    <row r="46" spans="1:6" x14ac:dyDescent="0.2">
      <c r="A46" s="20">
        <v>11</v>
      </c>
      <c r="B46" s="179" t="s">
        <v>10</v>
      </c>
      <c r="C46" s="180"/>
      <c r="D46" s="15">
        <f>IF(F3="1",SUMIF(Data!A:A,'3'!$A$2,Data!DE:DE),0)</f>
        <v>219649</v>
      </c>
      <c r="E46" s="18">
        <f>IF(F3="1",SUMIF(Data!$A:$A,'3'!$A$2,Data!IY:IY),0)</f>
        <v>360124</v>
      </c>
      <c r="F46" s="22">
        <f t="shared" si="3"/>
        <v>1.6395430892014078</v>
      </c>
    </row>
    <row r="47" spans="1:6" ht="14.25" customHeight="1" x14ac:dyDescent="0.2">
      <c r="A47" s="20">
        <v>12</v>
      </c>
      <c r="B47" s="179" t="s">
        <v>11</v>
      </c>
      <c r="C47" s="180"/>
      <c r="D47" s="15">
        <f>IF(F3="1",SUMIF(Data!A:A,'3'!$A$2,Data!DF:DF),0)</f>
        <v>469440</v>
      </c>
      <c r="E47" s="18">
        <f>IF(F3="1",SUMIF(Data!$A:$A,'3'!$A$2,Data!IZ:IZ),0)</f>
        <v>748219</v>
      </c>
      <c r="F47" s="22">
        <f t="shared" si="3"/>
        <v>1.5938543796864348</v>
      </c>
    </row>
    <row r="48" spans="1:6" x14ac:dyDescent="0.2">
      <c r="A48" s="20">
        <v>13</v>
      </c>
      <c r="B48" s="179" t="s">
        <v>12</v>
      </c>
      <c r="C48" s="180"/>
      <c r="D48" s="15">
        <f>IF(F3="1",SUMIF(Data!A:A,'3'!$A$2,Data!DG:DG),0)</f>
        <v>46580</v>
      </c>
      <c r="E48" s="18">
        <f>IF(F3="1",SUMIF(Data!$A:$A,'3'!$A$2,Data!JA:JA),0)</f>
        <v>49602</v>
      </c>
      <c r="F48" s="22">
        <f t="shared" si="3"/>
        <v>1.0648776298840703</v>
      </c>
    </row>
    <row r="49" spans="1:6" ht="14.25" customHeight="1" x14ac:dyDescent="0.2">
      <c r="A49" s="20">
        <v>14</v>
      </c>
      <c r="B49" s="179" t="s">
        <v>804</v>
      </c>
      <c r="C49" s="180"/>
      <c r="D49" s="15">
        <f>IF(F3="1",SUMIF(Data!A:A,'3'!$A$2,Data!DH:DH),0)</f>
        <v>384941</v>
      </c>
      <c r="E49" s="18">
        <f>IF(F3="1",SUMIF(Data!$A:$A,'3'!$A$2,Data!JB:JB),0)</f>
        <v>717655</v>
      </c>
      <c r="F49" s="22">
        <f t="shared" si="3"/>
        <v>1.8643246627405239</v>
      </c>
    </row>
    <row r="50" spans="1:6" x14ac:dyDescent="0.2">
      <c r="A50" s="20">
        <v>15</v>
      </c>
      <c r="B50" s="179" t="s">
        <v>13</v>
      </c>
      <c r="C50" s="180"/>
      <c r="D50" s="15">
        <f>IF(F3="1",SUMIF(Data!A:A,'3'!$A$2,Data!DI:DI),0)</f>
        <v>56020</v>
      </c>
      <c r="E50" s="18">
        <f>IF(F3="1",SUMIF(Data!$A:$A,'3'!$A$2,Data!JC:JC),0)</f>
        <v>74819</v>
      </c>
      <c r="F50" s="22">
        <f t="shared" si="3"/>
        <v>1.3355765797929311</v>
      </c>
    </row>
    <row r="51" spans="1:6" x14ac:dyDescent="0.2">
      <c r="A51" s="20">
        <v>16</v>
      </c>
      <c r="B51" s="179" t="s">
        <v>14</v>
      </c>
      <c r="C51" s="180"/>
      <c r="D51" s="15">
        <f>IF(F3="1",SUMIF(Data!A:A,'3'!$A$2,Data!DJ:DJ),0)</f>
        <v>344933</v>
      </c>
      <c r="E51" s="18">
        <f>IF(F3="1",SUMIF(Data!$A:$A,'3'!$A$2,Data!JD:JD),0)</f>
        <v>496897</v>
      </c>
      <c r="F51" s="22">
        <f t="shared" si="3"/>
        <v>1.440560920526595</v>
      </c>
    </row>
    <row r="52" spans="1:6" x14ac:dyDescent="0.2">
      <c r="A52" s="20">
        <v>17</v>
      </c>
      <c r="B52" s="179" t="s">
        <v>15</v>
      </c>
      <c r="C52" s="180"/>
      <c r="D52" s="15">
        <f>IF(F3="1",SUMIF(Data!A:A,'3'!$A$2,Data!DK:DK),0)</f>
        <v>25120</v>
      </c>
      <c r="E52" s="18">
        <f>IF(F3="1",SUMIF(Data!$A:$A,'3'!$A$2,Data!JE:JE),0)</f>
        <v>27060</v>
      </c>
      <c r="F52" s="22">
        <f t="shared" si="3"/>
        <v>1.0772292993630572</v>
      </c>
    </row>
    <row r="53" spans="1:6" x14ac:dyDescent="0.2">
      <c r="A53" s="20">
        <v>18</v>
      </c>
      <c r="B53" s="179" t="s">
        <v>16</v>
      </c>
      <c r="C53" s="180"/>
      <c r="D53" s="15">
        <f>IF(F3="1",SUMIF(Data!A:A,'3'!$A$2,Data!DL:DL),0)</f>
        <v>123269</v>
      </c>
      <c r="E53" s="18">
        <f>IF(F3="1",SUMIF(Data!$A:$A,'3'!$A$2,Data!JF:JF),0)</f>
        <v>222214</v>
      </c>
      <c r="F53" s="22">
        <f t="shared" si="3"/>
        <v>1.8026754496264268</v>
      </c>
    </row>
    <row r="54" spans="1:6" x14ac:dyDescent="0.2">
      <c r="A54" s="20">
        <v>19</v>
      </c>
      <c r="B54" s="179" t="s">
        <v>17</v>
      </c>
      <c r="C54" s="180"/>
      <c r="D54" s="15">
        <f>IF(F3="1",SUMIF(Data!A:A,'3'!$A$2,Data!DM:DM),0)</f>
        <v>277752</v>
      </c>
      <c r="E54" s="18">
        <f>IF(F3="1",SUMIF(Data!$A:$A,'3'!$A$2,Data!JG:JG),0)</f>
        <v>337023</v>
      </c>
      <c r="F54" s="22">
        <f t="shared" si="3"/>
        <v>1.2133954030934071</v>
      </c>
    </row>
    <row r="55" spans="1:6" x14ac:dyDescent="0.2">
      <c r="A55" s="20">
        <v>20</v>
      </c>
      <c r="B55" s="179" t="s">
        <v>18</v>
      </c>
      <c r="C55" s="180"/>
      <c r="D55" s="15">
        <f>IF(F3="1",SUMIF(Data!A:A,'3'!$A$2,Data!DN:DN),0)</f>
        <v>52492</v>
      </c>
      <c r="E55" s="18">
        <f>IF(F3="1",SUMIF(Data!$A:$A,'3'!$A$2,Data!JH:JH),0)</f>
        <v>112625</v>
      </c>
      <c r="F55" s="22">
        <f t="shared" si="3"/>
        <v>2.1455650384820544</v>
      </c>
    </row>
    <row r="56" spans="1:6" ht="14.25" customHeight="1" x14ac:dyDescent="0.2">
      <c r="A56" s="20">
        <v>21</v>
      </c>
      <c r="B56" s="179" t="s">
        <v>801</v>
      </c>
      <c r="C56" s="180"/>
      <c r="D56" s="15">
        <f>IF(F3="1",SUMIF(Data!A:A,'3'!$A$2,Data!DO:DO),0)</f>
        <v>159159</v>
      </c>
      <c r="E56" s="18">
        <f>IF(F3="1",SUMIF(Data!$A:$A,'3'!$A$2,Data!JI:JI),0)</f>
        <v>347849</v>
      </c>
      <c r="F56" s="22">
        <f t="shared" si="3"/>
        <v>2.1855440157326949</v>
      </c>
    </row>
    <row r="57" spans="1:6" x14ac:dyDescent="0.2">
      <c r="A57" s="20">
        <v>22</v>
      </c>
      <c r="B57" s="179" t="s">
        <v>19</v>
      </c>
      <c r="C57" s="180"/>
      <c r="D57" s="15">
        <f>IF(F3="1",SUMIF(Data!A:A,'3'!$A$2,Data!DP:DP),0)</f>
        <v>19568</v>
      </c>
      <c r="E57" s="18">
        <f>IF(F3="1",SUMIF(Data!$A:$A,'3'!$A$2,Data!JJ:JJ),0)</f>
        <v>36613</v>
      </c>
      <c r="F57" s="22">
        <f t="shared" si="3"/>
        <v>1.8710650040883074</v>
      </c>
    </row>
    <row r="58" spans="1:6" x14ac:dyDescent="0.2">
      <c r="A58" s="20">
        <v>23</v>
      </c>
      <c r="B58" s="179" t="s">
        <v>20</v>
      </c>
      <c r="C58" s="180"/>
      <c r="D58" s="15">
        <f>IF(F3="1",SUMIF(Data!A:A,'3'!$A$2,Data!DQ:DQ),0)</f>
        <v>96320</v>
      </c>
      <c r="E58" s="18">
        <f>IF(F3="1",SUMIF(Data!$A:$A,'3'!$A$2,Data!JK:JK),0)</f>
        <v>40510</v>
      </c>
      <c r="F58" s="22">
        <f t="shared" si="3"/>
        <v>0.42057724252491696</v>
      </c>
    </row>
    <row r="59" spans="1:6" x14ac:dyDescent="0.2">
      <c r="A59" s="20">
        <v>24</v>
      </c>
      <c r="B59" s="179" t="s">
        <v>21</v>
      </c>
      <c r="C59" s="180"/>
      <c r="D59" s="15">
        <f>IF(F3="1",SUMIF(Data!A:A,'3'!$A$2,Data!DR:DR),0)</f>
        <v>231204</v>
      </c>
      <c r="E59" s="18">
        <f>IF(F3="1",SUMIF(Data!$A:$A,'3'!$A$2,Data!JL:JL),0)</f>
        <v>693230</v>
      </c>
      <c r="F59" s="22">
        <f t="shared" si="3"/>
        <v>2.9983477794501825</v>
      </c>
    </row>
    <row r="60" spans="1:6" x14ac:dyDescent="0.2">
      <c r="A60" s="20">
        <v>25</v>
      </c>
      <c r="B60" s="179" t="s">
        <v>22</v>
      </c>
      <c r="C60" s="180"/>
      <c r="D60" s="15">
        <f>IF(F3="1",SUMIF(Data!A:A,'3'!$A$2,Data!DS:DS),0)</f>
        <v>657575</v>
      </c>
      <c r="E60" s="18">
        <f>IF(F3="1",SUMIF(Data!$A:$A,'3'!$A$2,Data!JM:JM),0)</f>
        <v>325954</v>
      </c>
      <c r="F60" s="22">
        <f t="shared" si="3"/>
        <v>0.49569098581910809</v>
      </c>
    </row>
    <row r="61" spans="1:6" x14ac:dyDescent="0.2">
      <c r="A61" s="20">
        <v>26</v>
      </c>
      <c r="B61" s="179" t="s">
        <v>23</v>
      </c>
      <c r="C61" s="180"/>
      <c r="D61" s="15">
        <f>IF(F3="1",SUMIF(Data!A:A,'3'!$A$2,Data!DT:DT),0)</f>
        <v>258926</v>
      </c>
      <c r="E61" s="18">
        <f>IF(F3="1",SUMIF(Data!$A:$A,'3'!$A$2,Data!JN:JN),0)</f>
        <v>251394</v>
      </c>
      <c r="F61" s="22">
        <f t="shared" si="3"/>
        <v>0.97091060766396575</v>
      </c>
    </row>
    <row r="62" spans="1:6" x14ac:dyDescent="0.2">
      <c r="A62" s="20">
        <v>28</v>
      </c>
      <c r="B62" s="179" t="s">
        <v>24</v>
      </c>
      <c r="C62" s="180"/>
      <c r="D62" s="15">
        <f>IF(F3="1",SUMIF(Data!A:A,'3'!$A$2,Data!DV:DV),0)</f>
        <v>348448</v>
      </c>
      <c r="E62" s="18">
        <f>IF(F3="1",SUMIF(Data!$A:$A,'3'!$A$2,Data!JP:JP),0)</f>
        <v>422806</v>
      </c>
      <c r="F62" s="22">
        <f t="shared" si="3"/>
        <v>1.2133976949214804</v>
      </c>
    </row>
    <row r="63" spans="1:6" ht="15.75" customHeight="1" thickBot="1" x14ac:dyDescent="0.25">
      <c r="A63" s="23">
        <v>29</v>
      </c>
      <c r="B63" s="181" t="s">
        <v>25</v>
      </c>
      <c r="C63" s="182"/>
      <c r="D63" s="24">
        <f>IF(F3="1",SUMIF(Data!A:A,'3'!$A$2,Data!DW:DW),0)</f>
        <v>246144</v>
      </c>
      <c r="E63" s="25">
        <f>IF(F3="1",SUMIF(Data!$A:$A,'3'!$A$2,Data!JQ:JQ),0)</f>
        <v>392318</v>
      </c>
      <c r="F63" s="26">
        <f t="shared" si="3"/>
        <v>1.5938556292251691</v>
      </c>
    </row>
    <row r="64" spans="1:6" x14ac:dyDescent="0.2">
      <c r="B64" s="31" t="s">
        <v>35</v>
      </c>
      <c r="C64" s="31"/>
      <c r="D64" s="61">
        <f>SUM(D36:D63)</f>
        <v>5257721</v>
      </c>
      <c r="E64" s="32">
        <f>SUM(E36:E63)</f>
        <v>7078686</v>
      </c>
      <c r="F64" s="33">
        <f t="shared" si="3"/>
        <v>1.3463411238443423</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12468</v>
      </c>
      <c r="E67" s="16">
        <f>IF(F3="1",SUMIF(Data!A:A,'3'!$A$2,Data!DY:DY),0)</f>
        <v>36952</v>
      </c>
      <c r="F67" s="21">
        <f>IFERROR(E67/D67,"")</f>
        <v>2.963747192813603</v>
      </c>
    </row>
    <row r="68" spans="1:6" x14ac:dyDescent="0.2">
      <c r="A68" s="20">
        <v>2</v>
      </c>
      <c r="B68" s="179" t="s">
        <v>1</v>
      </c>
      <c r="C68" s="180"/>
      <c r="D68" s="15">
        <f t="shared" ref="D68:D94" si="4">D37</f>
        <v>24544</v>
      </c>
      <c r="E68" s="18">
        <f>IF(F3="1",SUMIF(Data!A:A,'3'!$A$2,Data!DZ:DZ),0)</f>
        <v>82127</v>
      </c>
      <c r="F68" s="22">
        <f t="shared" ref="F68:F95" si="5">IFERROR(E68/D68,"")</f>
        <v>3.3461131029986961</v>
      </c>
    </row>
    <row r="69" spans="1:6" ht="14.25" customHeight="1" x14ac:dyDescent="0.2">
      <c r="A69" s="20">
        <v>3</v>
      </c>
      <c r="B69" s="179" t="s">
        <v>2</v>
      </c>
      <c r="C69" s="180"/>
      <c r="D69" s="15">
        <f t="shared" si="4"/>
        <v>505328</v>
      </c>
      <c r="E69" s="18">
        <f>IF(F3="1",SUMIF(Data!A:A,'3'!$A$2,Data!EA:EA),0)</f>
        <v>1516618</v>
      </c>
      <c r="F69" s="22">
        <f t="shared" si="5"/>
        <v>3.0012546306557324</v>
      </c>
    </row>
    <row r="70" spans="1:6" ht="14.25" customHeight="1" x14ac:dyDescent="0.2">
      <c r="A70" s="20">
        <v>4</v>
      </c>
      <c r="B70" s="179" t="s">
        <v>3</v>
      </c>
      <c r="C70" s="180"/>
      <c r="D70" s="15">
        <f t="shared" si="4"/>
        <v>384155</v>
      </c>
      <c r="E70" s="18">
        <f>IF(F3="1",SUMIF(Data!A:A,'3'!$A$2,Data!EB:EB),0)</f>
        <v>1249992</v>
      </c>
      <c r="F70" s="22">
        <f t="shared" si="5"/>
        <v>3.253874087282477</v>
      </c>
    </row>
    <row r="71" spans="1:6" x14ac:dyDescent="0.2">
      <c r="A71" s="20">
        <v>5</v>
      </c>
      <c r="B71" s="179" t="s">
        <v>4</v>
      </c>
      <c r="C71" s="180"/>
      <c r="D71" s="15">
        <f t="shared" si="4"/>
        <v>576</v>
      </c>
      <c r="E71" s="18">
        <f>IF(F3="1",SUMIF(Data!A:A,'3'!$A$2,Data!EC:EC),0)</f>
        <v>1927</v>
      </c>
      <c r="F71" s="22">
        <f t="shared" si="5"/>
        <v>3.3454861111111112</v>
      </c>
    </row>
    <row r="72" spans="1:6" x14ac:dyDescent="0.2">
      <c r="A72" s="20">
        <v>6</v>
      </c>
      <c r="B72" s="179" t="s">
        <v>5</v>
      </c>
      <c r="C72" s="180"/>
      <c r="D72" s="15">
        <f t="shared" si="4"/>
        <v>41405</v>
      </c>
      <c r="E72" s="18">
        <f>IF(F3="1",SUMIF(Data!A:A,'3'!$A$2,Data!ED:ED),0)</f>
        <v>128447</v>
      </c>
      <c r="F72" s="22">
        <f t="shared" si="5"/>
        <v>3.1022098780340537</v>
      </c>
    </row>
    <row r="73" spans="1:6" x14ac:dyDescent="0.2">
      <c r="A73" s="20">
        <v>7</v>
      </c>
      <c r="B73" s="179" t="s">
        <v>6</v>
      </c>
      <c r="C73" s="180"/>
      <c r="D73" s="15">
        <f t="shared" si="4"/>
        <v>47524</v>
      </c>
      <c r="E73" s="18">
        <f>IF(F3="1",SUMIF(Data!A:A,'3'!$A$2,Data!EE:EE),0)</f>
        <v>153462</v>
      </c>
      <c r="F73" s="22">
        <f t="shared" si="5"/>
        <v>3.2291473781668212</v>
      </c>
    </row>
    <row r="74" spans="1:6" x14ac:dyDescent="0.2">
      <c r="A74" s="20">
        <v>8</v>
      </c>
      <c r="B74" s="179" t="s">
        <v>7</v>
      </c>
      <c r="C74" s="180"/>
      <c r="D74" s="15">
        <f t="shared" si="4"/>
        <v>16952</v>
      </c>
      <c r="E74" s="18">
        <f>IF(F3="1",SUMIF(Data!A:A,'3'!$A$2,Data!EF:EF),0)</f>
        <v>56723</v>
      </c>
      <c r="F74" s="22">
        <f t="shared" si="5"/>
        <v>3.3460948560641812</v>
      </c>
    </row>
    <row r="75" spans="1:6" x14ac:dyDescent="0.2">
      <c r="A75" s="20">
        <v>9</v>
      </c>
      <c r="B75" s="179" t="s">
        <v>8</v>
      </c>
      <c r="C75" s="180"/>
      <c r="D75" s="15">
        <f t="shared" si="4"/>
        <v>202589</v>
      </c>
      <c r="E75" s="18">
        <f>IF(F3="1",SUMIF(Data!A:A,'3'!$A$2,Data!EG:EG),0)</f>
        <v>449185</v>
      </c>
      <c r="F75" s="22">
        <f t="shared" si="5"/>
        <v>2.217223047648194</v>
      </c>
    </row>
    <row r="76" spans="1:6" x14ac:dyDescent="0.2">
      <c r="A76" s="20">
        <v>10</v>
      </c>
      <c r="B76" s="179" t="s">
        <v>9</v>
      </c>
      <c r="C76" s="180"/>
      <c r="D76" s="15">
        <f t="shared" si="4"/>
        <v>4640</v>
      </c>
      <c r="E76" s="18">
        <f>IF(F3="1",SUMIF(Data!A:A,'3'!$A$2,Data!EH:EH),0)</f>
        <v>13922</v>
      </c>
      <c r="F76" s="22">
        <f t="shared" si="5"/>
        <v>3.0004310344827587</v>
      </c>
    </row>
    <row r="77" spans="1:6" x14ac:dyDescent="0.2">
      <c r="A77" s="20">
        <v>11</v>
      </c>
      <c r="B77" s="179" t="s">
        <v>10</v>
      </c>
      <c r="C77" s="180"/>
      <c r="D77" s="15">
        <f t="shared" si="4"/>
        <v>219649</v>
      </c>
      <c r="E77" s="18">
        <f>IF(F3="1",SUMIF(Data!A:A,'3'!$A$2,Data!EI:EI),0)</f>
        <v>671680</v>
      </c>
      <c r="F77" s="22">
        <f t="shared" si="5"/>
        <v>3.057969760845713</v>
      </c>
    </row>
    <row r="78" spans="1:6" ht="14.25" customHeight="1" x14ac:dyDescent="0.2">
      <c r="A78" s="20">
        <v>12</v>
      </c>
      <c r="B78" s="179" t="s">
        <v>11</v>
      </c>
      <c r="C78" s="180"/>
      <c r="D78" s="15">
        <f t="shared" si="4"/>
        <v>469440</v>
      </c>
      <c r="E78" s="18">
        <f>IF(F3="1",SUMIF(Data!A:A,'3'!$A$2,Data!EJ:EJ),0)</f>
        <v>1381685</v>
      </c>
      <c r="F78" s="22">
        <f t="shared" si="5"/>
        <v>2.943262184730743</v>
      </c>
    </row>
    <row r="79" spans="1:6" x14ac:dyDescent="0.2">
      <c r="A79" s="20">
        <v>13</v>
      </c>
      <c r="B79" s="179" t="s">
        <v>12</v>
      </c>
      <c r="C79" s="180"/>
      <c r="D79" s="15">
        <f t="shared" si="4"/>
        <v>46580</v>
      </c>
      <c r="E79" s="18">
        <f>IF(F3="1",SUMIF(Data!A:A,'3'!$A$2,Data!EK:EK),0)</f>
        <v>141022</v>
      </c>
      <c r="F79" s="22">
        <f t="shared" si="5"/>
        <v>3.0275225418634606</v>
      </c>
    </row>
    <row r="80" spans="1:6" ht="14.25" customHeight="1" x14ac:dyDescent="0.2">
      <c r="A80" s="20">
        <v>14</v>
      </c>
      <c r="B80" s="179" t="s">
        <v>804</v>
      </c>
      <c r="C80" s="180"/>
      <c r="D80" s="15">
        <f t="shared" si="4"/>
        <v>384941</v>
      </c>
      <c r="E80" s="18">
        <f>IF(F3="1",SUMIF(Data!A:A,'3'!$A$2,Data!EL:EL),0)</f>
        <v>1738442</v>
      </c>
      <c r="F80" s="22">
        <f t="shared" si="5"/>
        <v>4.5161258478572037</v>
      </c>
    </row>
    <row r="81" spans="1:6" x14ac:dyDescent="0.2">
      <c r="A81" s="20">
        <v>15</v>
      </c>
      <c r="B81" s="179" t="s">
        <v>13</v>
      </c>
      <c r="C81" s="180"/>
      <c r="D81" s="15">
        <f t="shared" si="4"/>
        <v>56020</v>
      </c>
      <c r="E81" s="18">
        <f>IF(F3="1",SUMIF(Data!A:A,'3'!$A$2,Data!EM:EM),0)</f>
        <v>194354</v>
      </c>
      <c r="F81" s="22">
        <f t="shared" si="5"/>
        <v>3.4693680828275615</v>
      </c>
    </row>
    <row r="82" spans="1:6" x14ac:dyDescent="0.2">
      <c r="A82" s="20">
        <v>16</v>
      </c>
      <c r="B82" s="179" t="s">
        <v>14</v>
      </c>
      <c r="C82" s="180"/>
      <c r="D82" s="15">
        <f t="shared" si="4"/>
        <v>344933</v>
      </c>
      <c r="E82" s="18">
        <f>IF(F3="1",SUMIF(Data!A:A,'3'!$A$2,Data!EN:EN),0)</f>
        <v>1161497</v>
      </c>
      <c r="F82" s="22">
        <f t="shared" si="5"/>
        <v>3.3673119127482729</v>
      </c>
    </row>
    <row r="83" spans="1:6" x14ac:dyDescent="0.2">
      <c r="A83" s="20">
        <v>17</v>
      </c>
      <c r="B83" s="179" t="s">
        <v>15</v>
      </c>
      <c r="C83" s="180"/>
      <c r="D83" s="15">
        <f t="shared" si="4"/>
        <v>25120</v>
      </c>
      <c r="E83" s="18">
        <f>IF(F3="1",SUMIF(Data!A:A,'3'!$A$2,Data!EO:EO),0)</f>
        <v>95313</v>
      </c>
      <c r="F83" s="22">
        <f t="shared" si="5"/>
        <v>3.7943073248407644</v>
      </c>
    </row>
    <row r="84" spans="1:6" x14ac:dyDescent="0.2">
      <c r="A84" s="20">
        <v>18</v>
      </c>
      <c r="B84" s="179" t="s">
        <v>16</v>
      </c>
      <c r="C84" s="180"/>
      <c r="D84" s="15">
        <f t="shared" si="4"/>
        <v>123269</v>
      </c>
      <c r="E84" s="18">
        <f>IF(F3="1",SUMIF(Data!A:A,'3'!$A$2,Data!EP:EP),0)</f>
        <v>623232</v>
      </c>
      <c r="F84" s="22">
        <f t="shared" si="5"/>
        <v>5.0558696833753825</v>
      </c>
    </row>
    <row r="85" spans="1:6" x14ac:dyDescent="0.2">
      <c r="A85" s="20">
        <v>19</v>
      </c>
      <c r="B85" s="179" t="s">
        <v>17</v>
      </c>
      <c r="C85" s="180"/>
      <c r="D85" s="15">
        <f t="shared" si="4"/>
        <v>277752</v>
      </c>
      <c r="E85" s="18">
        <f>IF(F3="1",SUMIF(Data!A:A,'3'!$A$2,Data!EQ:EQ),0)</f>
        <v>825580</v>
      </c>
      <c r="F85" s="22">
        <f t="shared" si="5"/>
        <v>2.9723638353639217</v>
      </c>
    </row>
    <row r="86" spans="1:6" x14ac:dyDescent="0.2">
      <c r="A86" s="20">
        <v>20</v>
      </c>
      <c r="B86" s="179" t="s">
        <v>18</v>
      </c>
      <c r="C86" s="180"/>
      <c r="D86" s="15">
        <f t="shared" si="4"/>
        <v>52492</v>
      </c>
      <c r="E86" s="18">
        <f>IF(F3="1",SUMIF(Data!A:A,'3'!$A$2,Data!ER:ER),0)</f>
        <v>175644</v>
      </c>
      <c r="F86" s="22">
        <f t="shared" si="5"/>
        <v>3.3461098834108056</v>
      </c>
    </row>
    <row r="87" spans="1:6" ht="14.25" customHeight="1" x14ac:dyDescent="0.2">
      <c r="A87" s="20">
        <v>21</v>
      </c>
      <c r="B87" s="179" t="s">
        <v>801</v>
      </c>
      <c r="C87" s="180"/>
      <c r="D87" s="15">
        <f t="shared" si="4"/>
        <v>159159</v>
      </c>
      <c r="E87" s="18">
        <f>IF(F3="1",SUMIF(Data!A:A,'3'!$A$2,Data!ES:ES),0)</f>
        <v>532650</v>
      </c>
      <c r="F87" s="22">
        <f t="shared" si="5"/>
        <v>3.3466533466533468</v>
      </c>
    </row>
    <row r="88" spans="1:6" x14ac:dyDescent="0.2">
      <c r="A88" s="20">
        <v>22</v>
      </c>
      <c r="B88" s="179" t="s">
        <v>19</v>
      </c>
      <c r="C88" s="180"/>
      <c r="D88" s="15">
        <f t="shared" si="4"/>
        <v>19568</v>
      </c>
      <c r="E88" s="18">
        <f>IF(F3="1",SUMIF(Data!A:A,'3'!$A$2,Data!ET:ET),0)</f>
        <v>64966</v>
      </c>
      <c r="F88" s="22">
        <f t="shared" si="5"/>
        <v>3.320012264922322</v>
      </c>
    </row>
    <row r="89" spans="1:6" x14ac:dyDescent="0.2">
      <c r="A89" s="20">
        <v>23</v>
      </c>
      <c r="B89" s="179" t="s">
        <v>20</v>
      </c>
      <c r="C89" s="180"/>
      <c r="D89" s="15">
        <f t="shared" si="4"/>
        <v>96320</v>
      </c>
      <c r="E89" s="18">
        <f>IF(F3="1",SUMIF(Data!A:A,'3'!$A$2,Data!EU:EU),0)</f>
        <v>158714</v>
      </c>
      <c r="F89" s="22">
        <f t="shared" si="5"/>
        <v>1.6477782392026579</v>
      </c>
    </row>
    <row r="90" spans="1:6" x14ac:dyDescent="0.2">
      <c r="A90" s="20">
        <v>24</v>
      </c>
      <c r="B90" s="179" t="s">
        <v>21</v>
      </c>
      <c r="C90" s="180"/>
      <c r="D90" s="15">
        <f t="shared" si="4"/>
        <v>231204</v>
      </c>
      <c r="E90" s="18">
        <f>IF(F3="1",SUMIF(Data!A:A,'3'!$A$2,Data!EV:EV),0)</f>
        <v>342768</v>
      </c>
      <c r="F90" s="22">
        <f t="shared" si="5"/>
        <v>1.482534904240411</v>
      </c>
    </row>
    <row r="91" spans="1:6" x14ac:dyDescent="0.2">
      <c r="A91" s="20">
        <v>25</v>
      </c>
      <c r="B91" s="179" t="s">
        <v>22</v>
      </c>
      <c r="C91" s="180"/>
      <c r="D91" s="15">
        <f t="shared" si="4"/>
        <v>657575</v>
      </c>
      <c r="E91" s="18">
        <f>IF(F3="1",SUMIF(Data!A:A,'3'!$A$2,Data!EW:EW),0)</f>
        <v>1167847</v>
      </c>
      <c r="F91" s="22">
        <f t="shared" si="5"/>
        <v>1.7759905714177091</v>
      </c>
    </row>
    <row r="92" spans="1:6" x14ac:dyDescent="0.2">
      <c r="A92" s="20">
        <v>26</v>
      </c>
      <c r="B92" s="179" t="s">
        <v>23</v>
      </c>
      <c r="C92" s="180"/>
      <c r="D92" s="15">
        <f t="shared" si="4"/>
        <v>258926</v>
      </c>
      <c r="E92" s="18">
        <f>IF(F3="1",SUMIF(Data!A:A,'3'!$A$2,Data!EX:EX),0)</f>
        <v>791825</v>
      </c>
      <c r="F92" s="22">
        <f t="shared" si="5"/>
        <v>3.0581131288476242</v>
      </c>
    </row>
    <row r="93" spans="1:6" x14ac:dyDescent="0.2">
      <c r="A93" s="20">
        <v>28</v>
      </c>
      <c r="B93" s="179" t="s">
        <v>24</v>
      </c>
      <c r="C93" s="180"/>
      <c r="D93" s="15">
        <f t="shared" si="4"/>
        <v>348448</v>
      </c>
      <c r="E93" s="18">
        <f>IF(F3="1",SUMIF(Data!A:A,'3'!$A$2,Data!EZ:EZ),0)</f>
        <v>1035714</v>
      </c>
      <c r="F93" s="22">
        <f t="shared" si="5"/>
        <v>2.9723631646615849</v>
      </c>
    </row>
    <row r="94" spans="1:6" ht="15.75" customHeight="1" thickBot="1" x14ac:dyDescent="0.25">
      <c r="A94" s="23">
        <v>29</v>
      </c>
      <c r="B94" s="181" t="s">
        <v>25</v>
      </c>
      <c r="C94" s="182"/>
      <c r="D94" s="24">
        <f t="shared" si="4"/>
        <v>246144</v>
      </c>
      <c r="E94" s="25">
        <f>IF(F3="1",SUMIF(Data!A:A,'3'!$A$2,Data!FA:FA),0)</f>
        <v>724466</v>
      </c>
      <c r="F94" s="26">
        <f t="shared" si="5"/>
        <v>2.9432608554342172</v>
      </c>
    </row>
    <row r="95" spans="1:6" x14ac:dyDescent="0.2">
      <c r="B95" s="31" t="s">
        <v>35</v>
      </c>
      <c r="C95" s="31"/>
      <c r="D95" s="61">
        <f>SUM(D67:D94)</f>
        <v>5257721</v>
      </c>
      <c r="E95" s="32">
        <f>SUM(E67:E94)</f>
        <v>15516754</v>
      </c>
      <c r="F95" s="33">
        <f t="shared" si="5"/>
        <v>2.9512319120774952</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IF(F3="1",SUMIF(Data!A:A,'3'!$A$2,Data!AH:AH),0)</f>
        <v>9570679</v>
      </c>
      <c r="F98" s="21">
        <f t="shared" ref="F98:F105" si="6">IFERROR(E98/$D$95,0)</f>
        <v>1.8203094078213735</v>
      </c>
    </row>
    <row r="99" spans="2:6" x14ac:dyDescent="0.2">
      <c r="B99" s="185" t="s">
        <v>31</v>
      </c>
      <c r="C99" s="186"/>
      <c r="D99" s="37"/>
      <c r="E99" s="18">
        <f>IF(F3="1",SUMIF(Data!A:A,'3'!$A$2,Data!AI:AI),0)</f>
        <v>3067340</v>
      </c>
      <c r="F99" s="22">
        <f t="shared" si="6"/>
        <v>0.58339725519859265</v>
      </c>
    </row>
    <row r="100" spans="2:6" x14ac:dyDescent="0.2">
      <c r="B100" s="185" t="s">
        <v>32</v>
      </c>
      <c r="C100" s="186"/>
      <c r="D100" s="37"/>
      <c r="E100" s="18">
        <f>IF(F3="1",SUMIF(Data!A:A,'3'!$A$2,Data!AJ:AJ),0)</f>
        <v>2657977</v>
      </c>
      <c r="F100" s="22">
        <f t="shared" si="6"/>
        <v>0.50553785566027565</v>
      </c>
    </row>
    <row r="101" spans="2:6" x14ac:dyDescent="0.2">
      <c r="B101" s="185" t="s">
        <v>28</v>
      </c>
      <c r="C101" s="186"/>
      <c r="D101" s="37"/>
      <c r="E101" s="18">
        <f>IF(F3="1",SUMIF(Data!A:A,'3'!$A$2,Data!AK:AK),0)</f>
        <v>0</v>
      </c>
      <c r="F101" s="22">
        <f t="shared" si="6"/>
        <v>0</v>
      </c>
    </row>
    <row r="102" spans="2:6" x14ac:dyDescent="0.2">
      <c r="B102" s="185" t="s">
        <v>33</v>
      </c>
      <c r="C102" s="186"/>
      <c r="D102" s="37"/>
      <c r="E102" s="18">
        <f>IF(F3="1",SUMIF(Data!A:A,'3'!$A$2,Data!AL:AL),0)</f>
        <v>0</v>
      </c>
      <c r="F102" s="22">
        <f t="shared" si="6"/>
        <v>0</v>
      </c>
    </row>
    <row r="103" spans="2:6" x14ac:dyDescent="0.2">
      <c r="B103" s="187" t="s">
        <v>34</v>
      </c>
      <c r="C103" s="188"/>
      <c r="D103" s="37"/>
      <c r="E103" s="18">
        <f>IF(F3="1",SUMIF(Data!A:A,'3'!$A$2,Data!AM:AM),0)</f>
        <v>1511934</v>
      </c>
      <c r="F103" s="22">
        <f t="shared" si="6"/>
        <v>0.28756451702172864</v>
      </c>
    </row>
    <row r="104" spans="2:6" ht="15.75" customHeight="1" thickBot="1" x14ac:dyDescent="0.25">
      <c r="B104" s="177" t="s">
        <v>29</v>
      </c>
      <c r="C104" s="178"/>
      <c r="D104" s="38"/>
      <c r="E104" s="25">
        <f>IF(F3="1",SUMIF(Data!A:A,'3'!$A$2,Data!Q:Q),0)</f>
        <v>2296418</v>
      </c>
      <c r="F104" s="26">
        <f t="shared" si="6"/>
        <v>0.4367706084061897</v>
      </c>
    </row>
    <row r="105" spans="2:6" x14ac:dyDescent="0.2">
      <c r="B105" s="31" t="s">
        <v>35</v>
      </c>
      <c r="C105" s="31"/>
      <c r="D105" s="35">
        <f>D95</f>
        <v>5257721</v>
      </c>
      <c r="E105" s="32">
        <f>SUM(E98:E104)</f>
        <v>19104348</v>
      </c>
      <c r="F105" s="33">
        <f t="shared" si="6"/>
        <v>3.6335796441081603</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18891015</v>
      </c>
      <c r="D109" s="16">
        <f>IF(F3="1",SUMIF(Data!$A:$A,$A$2,Data!HJ:HJ),0)</f>
        <v>2355958</v>
      </c>
      <c r="E109" s="16">
        <f>IF(F3="1",SUMIF(Data!$A:$A,$A$2,Data!IN:IN),0)</f>
        <v>1840348</v>
      </c>
      <c r="F109" s="48">
        <f>SUM(C109:E109)</f>
        <v>23087321</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1706400</v>
      </c>
      <c r="D111" s="52"/>
      <c r="E111" s="51">
        <f>IF(F3="1",SUMIF(Data!A:A,$A$2,Data!AX:AX),0)</f>
        <v>787291</v>
      </c>
      <c r="F111" s="49">
        <f t="shared" si="7"/>
        <v>2493691</v>
      </c>
    </row>
    <row r="112" spans="2:6" x14ac:dyDescent="0.2">
      <c r="B112" s="43" t="s">
        <v>32</v>
      </c>
      <c r="C112" s="51">
        <f>IF(F3="1",SUMIF(Data!A:A,$A$2,Data!V:V),0)</f>
        <v>2228945</v>
      </c>
      <c r="D112" s="52"/>
      <c r="E112" s="51">
        <f>IF(F3="1",SUMIF(Data!A:A,$A$2,Data!AC:AC),0)</f>
        <v>429032</v>
      </c>
      <c r="F112" s="49">
        <f t="shared" si="7"/>
        <v>2657977</v>
      </c>
    </row>
    <row r="113" spans="1:6" x14ac:dyDescent="0.2">
      <c r="B113" s="43" t="s">
        <v>31</v>
      </c>
      <c r="C113" s="51">
        <f>IF(F3="1",SUMIF(Data!A:A,$A$2,Data!U:U),0)</f>
        <v>2779939</v>
      </c>
      <c r="D113" s="52"/>
      <c r="E113" s="51">
        <f>IF(F3="1",SUMIF(Data!A:A,$A$2,Data!AB:AB),0)</f>
        <v>287401</v>
      </c>
      <c r="F113" s="49">
        <f t="shared" si="7"/>
        <v>3067340</v>
      </c>
    </row>
    <row r="114" spans="1:6" x14ac:dyDescent="0.2">
      <c r="B114" s="43" t="s">
        <v>1363</v>
      </c>
      <c r="C114" s="51">
        <f>IF(F3="1",SUMIF(Data!A:A,$A$2,Data!T:T),0)</f>
        <v>5536681</v>
      </c>
      <c r="D114" s="52"/>
      <c r="E114" s="51">
        <f>IF(F3="1",SUMIF(Data!A:A,$A$2,Data!AA:AA),0)</f>
        <v>4033998</v>
      </c>
      <c r="F114" s="49">
        <f t="shared" si="7"/>
        <v>9570679</v>
      </c>
    </row>
    <row r="115" spans="1:6" x14ac:dyDescent="0.2">
      <c r="B115" s="43" t="s">
        <v>1278</v>
      </c>
      <c r="C115" s="51">
        <f>IF(F3="1",SUMIF(Data!A:A,$A$2,Data!BI:BI),0)</f>
        <v>2489150</v>
      </c>
      <c r="D115" s="51">
        <f>IF(F3="1",SUMIF(Data!A:A,$A$2,Data!BL:BL),0)</f>
        <v>928589</v>
      </c>
      <c r="E115" s="51">
        <f>IF(F3="1",SUMIF(Data!A:A,$A$2,Data!BU:BU),0)</f>
        <v>3868650</v>
      </c>
      <c r="F115" s="49">
        <f t="shared" si="7"/>
        <v>7286389</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2296418</v>
      </c>
      <c r="E117" s="53"/>
      <c r="F117" s="50">
        <f>SUM(C117:E117)</f>
        <v>2296418</v>
      </c>
    </row>
    <row r="118" spans="1:6" x14ac:dyDescent="0.2">
      <c r="B118" s="14" t="s">
        <v>35</v>
      </c>
      <c r="C118" s="5">
        <f>SUM(C109:C116)</f>
        <v>33632130</v>
      </c>
      <c r="D118" s="5">
        <f>SUM(D109:D116)</f>
        <v>3284547</v>
      </c>
      <c r="E118" s="5">
        <f>SUM(E109:E116)</f>
        <v>11246720</v>
      </c>
      <c r="F118" s="5">
        <f>SUM(F109:F116)</f>
        <v>48163397</v>
      </c>
    </row>
    <row r="119" spans="1:6" ht="15" thickBot="1" x14ac:dyDescent="0.25"/>
    <row r="120" spans="1:6" ht="15" thickBot="1" x14ac:dyDescent="0.25">
      <c r="B120" s="57" t="s">
        <v>1283</v>
      </c>
      <c r="C120" s="55"/>
      <c r="D120" s="55"/>
      <c r="E120" s="55">
        <f>IF(F3="1",SUMIF(Data!A:A,'3'!$A$2,Data!AM:AM),0)</f>
        <v>1511934</v>
      </c>
      <c r="F120" s="56">
        <f>SUM(C120:E120)</f>
        <v>1511934</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634</v>
      </c>
      <c r="B2" s="60" t="str">
        <f>VLOOKUP(A2,Data!A:G,7,0)</f>
        <v>Angelina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36</v>
      </c>
      <c r="E5" s="16">
        <f>E36+E67+IFERROR($E$105/$D$105*D5,0)</f>
        <v>519.04930042359672</v>
      </c>
      <c r="F5" s="21">
        <f>IFERROR(E5/D5,"")</f>
        <v>14.418036122877687</v>
      </c>
    </row>
    <row r="6" spans="1:6" x14ac:dyDescent="0.2">
      <c r="A6" s="20">
        <v>2</v>
      </c>
      <c r="B6" s="179" t="s">
        <v>1</v>
      </c>
      <c r="C6" s="180"/>
      <c r="D6" s="15">
        <f t="shared" ref="D6:D32" si="0">D37</f>
        <v>50160</v>
      </c>
      <c r="E6" s="18">
        <f t="shared" ref="E6:E32" si="1">E37+E68+IFERROR($E$105/$D$105*D6,0)</f>
        <v>367249.35859021143</v>
      </c>
      <c r="F6" s="22">
        <f t="shared" ref="F6:F33" si="2">IFERROR(E6/D6,"")</f>
        <v>7.321558185610276</v>
      </c>
    </row>
    <row r="7" spans="1:6" ht="14.25" customHeight="1" x14ac:dyDescent="0.2">
      <c r="A7" s="20">
        <v>3</v>
      </c>
      <c r="B7" s="179" t="s">
        <v>2</v>
      </c>
      <c r="C7" s="180"/>
      <c r="D7" s="15">
        <f t="shared" si="0"/>
        <v>238512</v>
      </c>
      <c r="E7" s="18">
        <f t="shared" si="1"/>
        <v>1215464.2984064694</v>
      </c>
      <c r="F7" s="22">
        <f t="shared" si="2"/>
        <v>5.0960299624608796</v>
      </c>
    </row>
    <row r="8" spans="1:6" ht="14.25" customHeight="1" x14ac:dyDescent="0.2">
      <c r="A8" s="20">
        <v>4</v>
      </c>
      <c r="B8" s="179" t="s">
        <v>3</v>
      </c>
      <c r="C8" s="180"/>
      <c r="D8" s="15">
        <f t="shared" si="0"/>
        <v>131275</v>
      </c>
      <c r="E8" s="18">
        <f t="shared" si="1"/>
        <v>776457.58091965714</v>
      </c>
      <c r="F8" s="22">
        <f t="shared" si="2"/>
        <v>5.9147406659276873</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8280</v>
      </c>
      <c r="E10" s="18">
        <f t="shared" si="1"/>
        <v>83676.339097427248</v>
      </c>
      <c r="F10" s="22">
        <f t="shared" si="2"/>
        <v>10.105838055244837</v>
      </c>
    </row>
    <row r="11" spans="1:6" x14ac:dyDescent="0.2">
      <c r="A11" s="20">
        <v>7</v>
      </c>
      <c r="B11" s="179" t="s">
        <v>6</v>
      </c>
      <c r="C11" s="180"/>
      <c r="D11" s="15">
        <f t="shared" si="0"/>
        <v>42015</v>
      </c>
      <c r="E11" s="18">
        <f t="shared" si="1"/>
        <v>493511.45436937269</v>
      </c>
      <c r="F11" s="22">
        <f t="shared" si="2"/>
        <v>11.746077695331969</v>
      </c>
    </row>
    <row r="12" spans="1:6" x14ac:dyDescent="0.2">
      <c r="A12" s="20">
        <v>8</v>
      </c>
      <c r="B12" s="179" t="s">
        <v>7</v>
      </c>
      <c r="C12" s="180"/>
      <c r="D12" s="15">
        <f t="shared" si="0"/>
        <v>16688</v>
      </c>
      <c r="E12" s="18">
        <f t="shared" si="1"/>
        <v>101709.9645963606</v>
      </c>
      <c r="F12" s="22">
        <f t="shared" si="2"/>
        <v>6.0947965362152807</v>
      </c>
    </row>
    <row r="13" spans="1:6" x14ac:dyDescent="0.2">
      <c r="A13" s="20">
        <v>9</v>
      </c>
      <c r="B13" s="179" t="s">
        <v>8</v>
      </c>
      <c r="C13" s="180"/>
      <c r="D13" s="15">
        <f t="shared" si="0"/>
        <v>44380</v>
      </c>
      <c r="E13" s="18">
        <f t="shared" si="1"/>
        <v>292860.33202220063</v>
      </c>
      <c r="F13" s="22">
        <f t="shared" si="2"/>
        <v>6.5989259130734705</v>
      </c>
    </row>
    <row r="14" spans="1:6" x14ac:dyDescent="0.2">
      <c r="A14" s="20">
        <v>10</v>
      </c>
      <c r="B14" s="179" t="s">
        <v>9</v>
      </c>
      <c r="C14" s="180"/>
      <c r="D14" s="15">
        <f t="shared" si="0"/>
        <v>656</v>
      </c>
      <c r="E14" s="18">
        <f t="shared" si="1"/>
        <v>26895.342807718873</v>
      </c>
      <c r="F14" s="22">
        <f t="shared" si="2"/>
        <v>40.998998182498283</v>
      </c>
    </row>
    <row r="15" spans="1:6" x14ac:dyDescent="0.2">
      <c r="A15" s="20">
        <v>11</v>
      </c>
      <c r="B15" s="179" t="s">
        <v>10</v>
      </c>
      <c r="C15" s="180"/>
      <c r="D15" s="15">
        <f t="shared" si="0"/>
        <v>37304</v>
      </c>
      <c r="E15" s="18">
        <f t="shared" si="1"/>
        <v>227527.53063894034</v>
      </c>
      <c r="F15" s="22">
        <f t="shared" si="2"/>
        <v>6.0992797190365735</v>
      </c>
    </row>
    <row r="16" spans="1:6" ht="14.25" customHeight="1" x14ac:dyDescent="0.2">
      <c r="A16" s="20">
        <v>12</v>
      </c>
      <c r="B16" s="179" t="s">
        <v>11</v>
      </c>
      <c r="C16" s="180"/>
      <c r="D16" s="15">
        <f t="shared" si="0"/>
        <v>316818</v>
      </c>
      <c r="E16" s="18">
        <f t="shared" si="1"/>
        <v>1650083.368377863</v>
      </c>
      <c r="F16" s="22">
        <f t="shared" si="2"/>
        <v>5.2083005649232774</v>
      </c>
    </row>
    <row r="17" spans="1:6" x14ac:dyDescent="0.2">
      <c r="A17" s="20">
        <v>13</v>
      </c>
      <c r="B17" s="179" t="s">
        <v>12</v>
      </c>
      <c r="C17" s="180"/>
      <c r="D17" s="15">
        <f t="shared" si="0"/>
        <v>27588</v>
      </c>
      <c r="E17" s="18">
        <f t="shared" si="1"/>
        <v>147725.44722461628</v>
      </c>
      <c r="F17" s="22">
        <f t="shared" si="2"/>
        <v>5.3546994064309219</v>
      </c>
    </row>
    <row r="18" spans="1:6" ht="14.25" customHeight="1" x14ac:dyDescent="0.2">
      <c r="A18" s="20">
        <v>14</v>
      </c>
      <c r="B18" s="179" t="s">
        <v>804</v>
      </c>
      <c r="C18" s="180"/>
      <c r="D18" s="15">
        <f t="shared" si="0"/>
        <v>192488</v>
      </c>
      <c r="E18" s="18">
        <f t="shared" si="1"/>
        <v>1963051.3816649246</v>
      </c>
      <c r="F18" s="22">
        <f t="shared" si="2"/>
        <v>10.198305253651784</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210863</v>
      </c>
      <c r="E20" s="18">
        <f t="shared" si="1"/>
        <v>1377894.1287561355</v>
      </c>
      <c r="F20" s="22">
        <f t="shared" si="2"/>
        <v>6.5345467377213424</v>
      </c>
    </row>
    <row r="21" spans="1:6" x14ac:dyDescent="0.2">
      <c r="A21" s="20">
        <v>17</v>
      </c>
      <c r="B21" s="179" t="s">
        <v>15</v>
      </c>
      <c r="C21" s="180"/>
      <c r="D21" s="15">
        <f t="shared" si="0"/>
        <v>27008</v>
      </c>
      <c r="E21" s="18">
        <f t="shared" si="1"/>
        <v>289731.43071779166</v>
      </c>
      <c r="F21" s="22">
        <f t="shared" si="2"/>
        <v>10.727615177643353</v>
      </c>
    </row>
    <row r="22" spans="1:6" x14ac:dyDescent="0.2">
      <c r="A22" s="20">
        <v>18</v>
      </c>
      <c r="B22" s="179" t="s">
        <v>16</v>
      </c>
      <c r="C22" s="180"/>
      <c r="D22" s="15">
        <f t="shared" si="0"/>
        <v>128232</v>
      </c>
      <c r="E22" s="18">
        <f t="shared" si="1"/>
        <v>630348.60810885148</v>
      </c>
      <c r="F22" s="22">
        <f t="shared" si="2"/>
        <v>4.9156888148734437</v>
      </c>
    </row>
    <row r="23" spans="1:6" x14ac:dyDescent="0.2">
      <c r="A23" s="20">
        <v>19</v>
      </c>
      <c r="B23" s="179" t="s">
        <v>17</v>
      </c>
      <c r="C23" s="180"/>
      <c r="D23" s="15">
        <f t="shared" si="0"/>
        <v>103264</v>
      </c>
      <c r="E23" s="18">
        <f t="shared" si="1"/>
        <v>658712.3044150637</v>
      </c>
      <c r="F23" s="22">
        <f t="shared" si="2"/>
        <v>6.3789152503782898</v>
      </c>
    </row>
    <row r="24" spans="1:6" x14ac:dyDescent="0.2">
      <c r="A24" s="20">
        <v>20</v>
      </c>
      <c r="B24" s="179" t="s">
        <v>18</v>
      </c>
      <c r="C24" s="180"/>
      <c r="D24" s="15">
        <f t="shared" si="0"/>
        <v>13704</v>
      </c>
      <c r="E24" s="18">
        <f t="shared" si="1"/>
        <v>83336.100361249148</v>
      </c>
      <c r="F24" s="22">
        <f t="shared" si="2"/>
        <v>6.081151514977317</v>
      </c>
    </row>
    <row r="25" spans="1:6" ht="14.25" customHeight="1" x14ac:dyDescent="0.2">
      <c r="A25" s="20">
        <v>21</v>
      </c>
      <c r="B25" s="179" t="s">
        <v>801</v>
      </c>
      <c r="C25" s="180"/>
      <c r="D25" s="15">
        <f t="shared" si="0"/>
        <v>10608</v>
      </c>
      <c r="E25" s="18">
        <f t="shared" si="1"/>
        <v>84778.860524819829</v>
      </c>
      <c r="F25" s="22">
        <f t="shared" si="2"/>
        <v>7.9919740313744185</v>
      </c>
    </row>
    <row r="26" spans="1:6" x14ac:dyDescent="0.2">
      <c r="A26" s="20">
        <v>22</v>
      </c>
      <c r="B26" s="179" t="s">
        <v>19</v>
      </c>
      <c r="C26" s="180"/>
      <c r="D26" s="15">
        <f t="shared" si="0"/>
        <v>1536</v>
      </c>
      <c r="E26" s="18">
        <f t="shared" si="1"/>
        <v>9328.43681807346</v>
      </c>
      <c r="F26" s="22">
        <f t="shared" si="2"/>
        <v>6.0732010534332419</v>
      </c>
    </row>
    <row r="27" spans="1:6" x14ac:dyDescent="0.2">
      <c r="A27" s="20">
        <v>23</v>
      </c>
      <c r="B27" s="179" t="s">
        <v>20</v>
      </c>
      <c r="C27" s="180"/>
      <c r="D27" s="15">
        <f t="shared" si="0"/>
        <v>65520</v>
      </c>
      <c r="E27" s="18">
        <f t="shared" si="1"/>
        <v>481478.72677094606</v>
      </c>
      <c r="F27" s="22">
        <f t="shared" si="2"/>
        <v>7.3485764159179805</v>
      </c>
    </row>
    <row r="28" spans="1:6" x14ac:dyDescent="0.2">
      <c r="A28" s="20">
        <v>24</v>
      </c>
      <c r="B28" s="179" t="s">
        <v>21</v>
      </c>
      <c r="C28" s="180"/>
      <c r="D28" s="15">
        <f t="shared" si="0"/>
        <v>131889</v>
      </c>
      <c r="E28" s="18">
        <f t="shared" si="1"/>
        <v>833597.03287688189</v>
      </c>
      <c r="F28" s="22">
        <f t="shared" si="2"/>
        <v>6.3204439557270273</v>
      </c>
    </row>
    <row r="29" spans="1:6" x14ac:dyDescent="0.2">
      <c r="A29" s="20">
        <v>25</v>
      </c>
      <c r="B29" s="179" t="s">
        <v>22</v>
      </c>
      <c r="C29" s="180"/>
      <c r="D29" s="15">
        <f t="shared" si="0"/>
        <v>377488</v>
      </c>
      <c r="E29" s="18">
        <f t="shared" si="1"/>
        <v>1967506.5088417409</v>
      </c>
      <c r="F29" s="22">
        <f t="shared" si="2"/>
        <v>5.2121034545250202</v>
      </c>
    </row>
    <row r="30" spans="1:6" x14ac:dyDescent="0.2">
      <c r="A30" s="20">
        <v>26</v>
      </c>
      <c r="B30" s="179" t="s">
        <v>23</v>
      </c>
      <c r="C30" s="180"/>
      <c r="D30" s="15">
        <f t="shared" si="0"/>
        <v>125576</v>
      </c>
      <c r="E30" s="18">
        <f t="shared" si="1"/>
        <v>910439.41527759947</v>
      </c>
      <c r="F30" s="22">
        <f t="shared" si="2"/>
        <v>7.2501068299483933</v>
      </c>
    </row>
    <row r="31" spans="1:6" x14ac:dyDescent="0.2">
      <c r="A31" s="20">
        <v>28</v>
      </c>
      <c r="B31" s="179" t="s">
        <v>24</v>
      </c>
      <c r="C31" s="180"/>
      <c r="D31" s="15">
        <f t="shared" si="0"/>
        <v>148736</v>
      </c>
      <c r="E31" s="18">
        <f t="shared" si="1"/>
        <v>948621.79855011334</v>
      </c>
      <c r="F31" s="22">
        <f t="shared" si="2"/>
        <v>6.3778896739868847</v>
      </c>
    </row>
    <row r="32" spans="1:6" ht="15.75" customHeight="1" thickBot="1" x14ac:dyDescent="0.25">
      <c r="A32" s="23">
        <v>29</v>
      </c>
      <c r="B32" s="181" t="s">
        <v>25</v>
      </c>
      <c r="C32" s="182"/>
      <c r="D32" s="24">
        <f t="shared" si="0"/>
        <v>166960</v>
      </c>
      <c r="E32" s="25">
        <f t="shared" si="1"/>
        <v>868279.19996454741</v>
      </c>
      <c r="F32" s="26">
        <f t="shared" si="2"/>
        <v>5.200522280573475</v>
      </c>
    </row>
    <row r="33" spans="1:6" x14ac:dyDescent="0.2">
      <c r="B33" s="31" t="s">
        <v>35</v>
      </c>
      <c r="C33" s="31"/>
      <c r="D33" s="61">
        <f>SUM(D5:D32)</f>
        <v>2617584</v>
      </c>
      <c r="E33" s="32">
        <f>SUM(E5:E32)</f>
        <v>16490784.000000002</v>
      </c>
      <c r="F33" s="33">
        <f t="shared" si="2"/>
        <v>6.3000018337520407</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IF(F3="1",SUMIF(Data!A:A,'4'!$A$2,Data!CU:CU),0)</f>
        <v>36</v>
      </c>
      <c r="E36" s="16">
        <f>IF(F3="1",SUMIF(Data!$A:$A,'4'!$A$2,Data!IO:IO),0)</f>
        <v>100</v>
      </c>
      <c r="F36" s="21">
        <f t="shared" ref="F36:F64" si="3">IFERROR(E36/D36,"")</f>
        <v>2.7777777777777777</v>
      </c>
    </row>
    <row r="37" spans="1:6" x14ac:dyDescent="0.2">
      <c r="A37" s="20">
        <v>2</v>
      </c>
      <c r="B37" s="179" t="s">
        <v>1</v>
      </c>
      <c r="C37" s="180"/>
      <c r="D37" s="15">
        <f>IF(F3="1",SUMIF(Data!A:A,'4'!$A$2,Data!CV:CV),0)</f>
        <v>50160</v>
      </c>
      <c r="E37" s="18">
        <f>IF(F3="1",SUMIF(Data!$A:$A,'4'!$A$2,Data!IP:IP),0)</f>
        <v>72927</v>
      </c>
      <c r="F37" s="22">
        <f t="shared" si="3"/>
        <v>1.4538875598086125</v>
      </c>
    </row>
    <row r="38" spans="1:6" ht="14.25" customHeight="1" x14ac:dyDescent="0.2">
      <c r="A38" s="20">
        <v>3</v>
      </c>
      <c r="B38" s="179" t="s">
        <v>2</v>
      </c>
      <c r="C38" s="180"/>
      <c r="D38" s="15">
        <f>IF(F3="1",SUMIF(Data!A:A,'4'!$A$2,Data!CW:CW),0)</f>
        <v>238512</v>
      </c>
      <c r="E38" s="18">
        <f>IF(F3="1",SUMIF(Data!$A:$A,'4'!$A$2,Data!IQ:IQ),0)</f>
        <v>121953</v>
      </c>
      <c r="F38" s="22">
        <f t="shared" si="3"/>
        <v>0.51130760716441936</v>
      </c>
    </row>
    <row r="39" spans="1:6" ht="14.25" customHeight="1" x14ac:dyDescent="0.2">
      <c r="A39" s="20">
        <v>4</v>
      </c>
      <c r="B39" s="179" t="s">
        <v>3</v>
      </c>
      <c r="C39" s="180"/>
      <c r="D39" s="15">
        <f>IF(F3="1",SUMIF(Data!A:A,'4'!$A$2,Data!CX:CX),0)</f>
        <v>131275</v>
      </c>
      <c r="E39" s="18">
        <f>IF(F3="1",SUMIF(Data!$A:$A,'4'!$A$2,Data!IR:IR),0)</f>
        <v>54305</v>
      </c>
      <c r="F39" s="22">
        <f t="shared" si="3"/>
        <v>0.41367358598362219</v>
      </c>
    </row>
    <row r="40" spans="1:6" x14ac:dyDescent="0.2">
      <c r="A40" s="20">
        <v>5</v>
      </c>
      <c r="B40" s="179" t="s">
        <v>4</v>
      </c>
      <c r="C40" s="180"/>
      <c r="D40" s="15">
        <f>IF(F3="1",SUMIF(Data!A:A,'4'!$A$2,Data!CY:CY),0)</f>
        <v>0</v>
      </c>
      <c r="E40" s="18">
        <f>IF(F3="1",SUMIF(Data!$A:$A,'4'!$A$2,Data!IS:IS),0)</f>
        <v>0</v>
      </c>
      <c r="F40" s="22" t="str">
        <f t="shared" si="3"/>
        <v/>
      </c>
    </row>
    <row r="41" spans="1:6" x14ac:dyDescent="0.2">
      <c r="A41" s="20">
        <v>6</v>
      </c>
      <c r="B41" s="179" t="s">
        <v>5</v>
      </c>
      <c r="C41" s="180"/>
      <c r="D41" s="15">
        <f>IF(F3="1",SUMIF(Data!A:A,'4'!$A$2,Data!CZ:CZ),0)</f>
        <v>8280</v>
      </c>
      <c r="E41" s="18">
        <f>IF(F3="1",SUMIF(Data!$A:$A,'4'!$A$2,Data!IT:IT),0)</f>
        <v>9361</v>
      </c>
      <c r="F41" s="22">
        <f t="shared" si="3"/>
        <v>1.1305555555555555</v>
      </c>
    </row>
    <row r="42" spans="1:6" x14ac:dyDescent="0.2">
      <c r="A42" s="20">
        <v>7</v>
      </c>
      <c r="B42" s="179" t="s">
        <v>6</v>
      </c>
      <c r="C42" s="180"/>
      <c r="D42" s="15">
        <f>IF(F3="1",SUMIF(Data!A:A,'4'!$A$2,Data!DA:DA),0)</f>
        <v>42015</v>
      </c>
      <c r="E42" s="18">
        <f>IF(F3="1",SUMIF(Data!$A:$A,'4'!$A$2,Data!IU:IU),0)</f>
        <v>92430</v>
      </c>
      <c r="F42" s="22">
        <f t="shared" si="3"/>
        <v>2.1999285969296678</v>
      </c>
    </row>
    <row r="43" spans="1:6" x14ac:dyDescent="0.2">
      <c r="A43" s="20">
        <v>8</v>
      </c>
      <c r="B43" s="179" t="s">
        <v>7</v>
      </c>
      <c r="C43" s="180"/>
      <c r="D43" s="15">
        <f>IF(F3="1",SUMIF(Data!A:A,'4'!$A$2,Data!DB:DB),0)</f>
        <v>16688</v>
      </c>
      <c r="E43" s="18">
        <f>IF(F3="1",SUMIF(Data!$A:$A,'4'!$A$2,Data!IV:IV),0)</f>
        <v>7677</v>
      </c>
      <c r="F43" s="22">
        <f t="shared" si="3"/>
        <v>0.46003116011505274</v>
      </c>
    </row>
    <row r="44" spans="1:6" x14ac:dyDescent="0.2">
      <c r="A44" s="20">
        <v>9</v>
      </c>
      <c r="B44" s="179" t="s">
        <v>8</v>
      </c>
      <c r="C44" s="180"/>
      <c r="D44" s="15">
        <f>IF(F3="1",SUMIF(Data!A:A,'4'!$A$2,Data!DC:DC),0)</f>
        <v>44380</v>
      </c>
      <c r="E44" s="18">
        <f>IF(F3="1",SUMIF(Data!$A:$A,'4'!$A$2,Data!IW:IW),0)</f>
        <v>66028</v>
      </c>
      <c r="F44" s="22">
        <f t="shared" si="3"/>
        <v>1.4877872915727806</v>
      </c>
    </row>
    <row r="45" spans="1:6" x14ac:dyDescent="0.2">
      <c r="A45" s="20">
        <v>10</v>
      </c>
      <c r="B45" s="179" t="s">
        <v>9</v>
      </c>
      <c r="C45" s="180"/>
      <c r="D45" s="15">
        <f>IF(F3="1",SUMIF(Data!A:A,'4'!$A$2,Data!DD:DD),0)</f>
        <v>656</v>
      </c>
      <c r="E45" s="18">
        <f>IF(F3="1",SUMIF(Data!$A:$A,'4'!$A$2,Data!IX:IX),0)</f>
        <v>2636</v>
      </c>
      <c r="F45" s="22">
        <f t="shared" si="3"/>
        <v>4.0182926829268295</v>
      </c>
    </row>
    <row r="46" spans="1:6" x14ac:dyDescent="0.2">
      <c r="A46" s="20">
        <v>11</v>
      </c>
      <c r="B46" s="179" t="s">
        <v>10</v>
      </c>
      <c r="C46" s="180"/>
      <c r="D46" s="15">
        <f>IF(F3="1",SUMIF(Data!A:A,'4'!$A$2,Data!DE:DE),0)</f>
        <v>37304</v>
      </c>
      <c r="E46" s="18">
        <f>IF(F3="1",SUMIF(Data!$A:$A,'4'!$A$2,Data!IY:IY),0)</f>
        <v>17491</v>
      </c>
      <c r="F46" s="22">
        <f t="shared" si="3"/>
        <v>0.4688773321895775</v>
      </c>
    </row>
    <row r="47" spans="1:6" ht="14.25" customHeight="1" x14ac:dyDescent="0.2">
      <c r="A47" s="20">
        <v>12</v>
      </c>
      <c r="B47" s="179" t="s">
        <v>11</v>
      </c>
      <c r="C47" s="180"/>
      <c r="D47" s="15">
        <f>IF(F3="1",SUMIF(Data!A:A,'4'!$A$2,Data!DF:DF),0)</f>
        <v>316818</v>
      </c>
      <c r="E47" s="18">
        <f>IF(F3="1",SUMIF(Data!$A:$A,'4'!$A$2,Data!IZ:IZ),0)</f>
        <v>108619</v>
      </c>
      <c r="F47" s="22">
        <f t="shared" si="3"/>
        <v>0.3428435253047491</v>
      </c>
    </row>
    <row r="48" spans="1:6" x14ac:dyDescent="0.2">
      <c r="A48" s="20">
        <v>13</v>
      </c>
      <c r="B48" s="179" t="s">
        <v>12</v>
      </c>
      <c r="C48" s="180"/>
      <c r="D48" s="15">
        <f>IF(F3="1",SUMIF(Data!A:A,'4'!$A$2,Data!DG:DG),0)</f>
        <v>27588</v>
      </c>
      <c r="E48" s="18">
        <f>IF(F3="1",SUMIF(Data!$A:$A,'4'!$A$2,Data!JA:JA),0)</f>
        <v>8249</v>
      </c>
      <c r="F48" s="22">
        <f t="shared" si="3"/>
        <v>0.2990068145570538</v>
      </c>
    </row>
    <row r="49" spans="1:6" ht="14.25" customHeight="1" x14ac:dyDescent="0.2">
      <c r="A49" s="20">
        <v>14</v>
      </c>
      <c r="B49" s="179" t="s">
        <v>804</v>
      </c>
      <c r="C49" s="180"/>
      <c r="D49" s="15">
        <f>IF(F3="1",SUMIF(Data!A:A,'4'!$A$2,Data!DH:DH),0)</f>
        <v>192488</v>
      </c>
      <c r="E49" s="18">
        <f>IF(F3="1",SUMIF(Data!$A:$A,'4'!$A$2,Data!JB:JB),0)</f>
        <v>449031</v>
      </c>
      <c r="F49" s="22">
        <f t="shared" si="3"/>
        <v>2.3327739911059391</v>
      </c>
    </row>
    <row r="50" spans="1:6" x14ac:dyDescent="0.2">
      <c r="A50" s="20">
        <v>15</v>
      </c>
      <c r="B50" s="179" t="s">
        <v>13</v>
      </c>
      <c r="C50" s="180"/>
      <c r="D50" s="15">
        <f>IF(F3="1",SUMIF(Data!A:A,'4'!$A$2,Data!DI:DI),0)</f>
        <v>0</v>
      </c>
      <c r="E50" s="18">
        <f>IF(F3="1",SUMIF(Data!$A:$A,'4'!$A$2,Data!JC:JC),0)</f>
        <v>0</v>
      </c>
      <c r="F50" s="22" t="str">
        <f t="shared" si="3"/>
        <v/>
      </c>
    </row>
    <row r="51" spans="1:6" x14ac:dyDescent="0.2">
      <c r="A51" s="20">
        <v>16</v>
      </c>
      <c r="B51" s="179" t="s">
        <v>14</v>
      </c>
      <c r="C51" s="180"/>
      <c r="D51" s="15">
        <f>IF(F3="1",SUMIF(Data!A:A,'4'!$A$2,Data!DJ:DJ),0)</f>
        <v>210863</v>
      </c>
      <c r="E51" s="18">
        <f>IF(F3="1",SUMIF(Data!$A:$A,'4'!$A$2,Data!JD:JD),0)</f>
        <v>119263</v>
      </c>
      <c r="F51" s="22">
        <f t="shared" si="3"/>
        <v>0.56559472263981825</v>
      </c>
    </row>
    <row r="52" spans="1:6" x14ac:dyDescent="0.2">
      <c r="A52" s="20">
        <v>17</v>
      </c>
      <c r="B52" s="179" t="s">
        <v>15</v>
      </c>
      <c r="C52" s="180"/>
      <c r="D52" s="15">
        <f>IF(F3="1",SUMIF(Data!A:A,'4'!$A$2,Data!DK:DK),0)</f>
        <v>27008</v>
      </c>
      <c r="E52" s="18">
        <f>IF(F3="1",SUMIF(Data!$A:$A,'4'!$A$2,Data!JE:JE),0)</f>
        <v>22103</v>
      </c>
      <c r="F52" s="22">
        <f t="shared" si="3"/>
        <v>0.81838714454976302</v>
      </c>
    </row>
    <row r="53" spans="1:6" x14ac:dyDescent="0.2">
      <c r="A53" s="20">
        <v>18</v>
      </c>
      <c r="B53" s="179" t="s">
        <v>16</v>
      </c>
      <c r="C53" s="180"/>
      <c r="D53" s="15">
        <f>IF(F3="1",SUMIF(Data!A:A,'4'!$A$2,Data!DL:DL),0)</f>
        <v>128232</v>
      </c>
      <c r="E53" s="18">
        <f>IF(F3="1",SUMIF(Data!$A:$A,'4'!$A$2,Data!JF:JF),0)</f>
        <v>96041</v>
      </c>
      <c r="F53" s="22">
        <f t="shared" si="3"/>
        <v>0.74896281739347437</v>
      </c>
    </row>
    <row r="54" spans="1:6" x14ac:dyDescent="0.2">
      <c r="A54" s="20">
        <v>19</v>
      </c>
      <c r="B54" s="179" t="s">
        <v>17</v>
      </c>
      <c r="C54" s="180"/>
      <c r="D54" s="15">
        <f>IF(F3="1",SUMIF(Data!A:A,'4'!$A$2,Data!DM:DM),0)</f>
        <v>103264</v>
      </c>
      <c r="E54" s="18">
        <f>IF(F3="1",SUMIF(Data!$A:$A,'4'!$A$2,Data!JG:JG),0)</f>
        <v>49831</v>
      </c>
      <c r="F54" s="22">
        <f t="shared" si="3"/>
        <v>0.48255926557173845</v>
      </c>
    </row>
    <row r="55" spans="1:6" x14ac:dyDescent="0.2">
      <c r="A55" s="20">
        <v>20</v>
      </c>
      <c r="B55" s="179" t="s">
        <v>18</v>
      </c>
      <c r="C55" s="180"/>
      <c r="D55" s="15">
        <f>IF(F3="1",SUMIF(Data!A:A,'4'!$A$2,Data!DN:DN),0)</f>
        <v>13704</v>
      </c>
      <c r="E55" s="18">
        <f>IF(F3="1",SUMIF(Data!$A:$A,'4'!$A$2,Data!JH:JH),0)</f>
        <v>10144</v>
      </c>
      <c r="F55" s="22">
        <f t="shared" si="3"/>
        <v>0.74022183304144773</v>
      </c>
    </row>
    <row r="56" spans="1:6" ht="14.25" customHeight="1" x14ac:dyDescent="0.2">
      <c r="A56" s="20">
        <v>21</v>
      </c>
      <c r="B56" s="179" t="s">
        <v>801</v>
      </c>
      <c r="C56" s="180"/>
      <c r="D56" s="15">
        <f>IF(F3="1",SUMIF(Data!A:A,'4'!$A$2,Data!DO:DO),0)</f>
        <v>10608</v>
      </c>
      <c r="E56" s="18">
        <f>IF(F3="1",SUMIF(Data!$A:$A,'4'!$A$2,Data!JI:JI),0)</f>
        <v>12951</v>
      </c>
      <c r="F56" s="22">
        <f t="shared" si="3"/>
        <v>1.220871040723982</v>
      </c>
    </row>
    <row r="57" spans="1:6" x14ac:dyDescent="0.2">
      <c r="A57" s="20">
        <v>22</v>
      </c>
      <c r="B57" s="179" t="s">
        <v>19</v>
      </c>
      <c r="C57" s="180"/>
      <c r="D57" s="15">
        <f>IF(F3="1",SUMIF(Data!A:A,'4'!$A$2,Data!DP:DP),0)</f>
        <v>1536</v>
      </c>
      <c r="E57" s="18">
        <f>IF(F3="1",SUMIF(Data!$A:$A,'4'!$A$2,Data!JJ:JJ),0)</f>
        <v>641</v>
      </c>
      <c r="F57" s="22">
        <f t="shared" si="3"/>
        <v>0.41731770833333331</v>
      </c>
    </row>
    <row r="58" spans="1:6" x14ac:dyDescent="0.2">
      <c r="A58" s="20">
        <v>23</v>
      </c>
      <c r="B58" s="179" t="s">
        <v>20</v>
      </c>
      <c r="C58" s="180"/>
      <c r="D58" s="15">
        <f>IF(F3="1",SUMIF(Data!A:A,'4'!$A$2,Data!DQ:DQ),0)</f>
        <v>65520</v>
      </c>
      <c r="E58" s="18">
        <f>IF(F3="1",SUMIF(Data!$A:$A,'4'!$A$2,Data!JK:JK),0)</f>
        <v>87737</v>
      </c>
      <c r="F58" s="22">
        <f t="shared" si="3"/>
        <v>1.3390873015873015</v>
      </c>
    </row>
    <row r="59" spans="1:6" x14ac:dyDescent="0.2">
      <c r="A59" s="20">
        <v>24</v>
      </c>
      <c r="B59" s="179" t="s">
        <v>21</v>
      </c>
      <c r="C59" s="180"/>
      <c r="D59" s="15">
        <f>IF(F3="1",SUMIF(Data!A:A,'4'!$A$2,Data!DR:DR),0)</f>
        <v>131889</v>
      </c>
      <c r="E59" s="18">
        <f>IF(F3="1",SUMIF(Data!$A:$A,'4'!$A$2,Data!JL:JL),0)</f>
        <v>199883</v>
      </c>
      <c r="F59" s="22">
        <f t="shared" si="3"/>
        <v>1.5155395825277316</v>
      </c>
    </row>
    <row r="60" spans="1:6" x14ac:dyDescent="0.2">
      <c r="A60" s="20">
        <v>25</v>
      </c>
      <c r="B60" s="179" t="s">
        <v>22</v>
      </c>
      <c r="C60" s="180"/>
      <c r="D60" s="15">
        <f>IF(F3="1",SUMIF(Data!A:A,'4'!$A$2,Data!DS:DS),0)</f>
        <v>377488</v>
      </c>
      <c r="E60" s="18">
        <f>IF(F3="1",SUMIF(Data!$A:$A,'4'!$A$2,Data!JM:JM),0)</f>
        <v>123825</v>
      </c>
      <c r="F60" s="22">
        <f t="shared" si="3"/>
        <v>0.32802367227567497</v>
      </c>
    </row>
    <row r="61" spans="1:6" x14ac:dyDescent="0.2">
      <c r="A61" s="20">
        <v>26</v>
      </c>
      <c r="B61" s="179" t="s">
        <v>23</v>
      </c>
      <c r="C61" s="180"/>
      <c r="D61" s="15">
        <f>IF(F3="1",SUMIF(Data!A:A,'4'!$A$2,Data!DT:DT),0)</f>
        <v>125576</v>
      </c>
      <c r="E61" s="18">
        <f>IF(F3="1",SUMIF(Data!$A:$A,'4'!$A$2,Data!JN:JN),0)</f>
        <v>161937</v>
      </c>
      <c r="F61" s="22">
        <f t="shared" si="3"/>
        <v>1.2895537363827483</v>
      </c>
    </row>
    <row r="62" spans="1:6" x14ac:dyDescent="0.2">
      <c r="A62" s="20">
        <v>28</v>
      </c>
      <c r="B62" s="179" t="s">
        <v>24</v>
      </c>
      <c r="C62" s="180"/>
      <c r="D62" s="15">
        <f>IF(F3="1",SUMIF(Data!A:A,'4'!$A$2,Data!DV:DV),0)</f>
        <v>148736</v>
      </c>
      <c r="E62" s="18">
        <f>IF(F3="1",SUMIF(Data!$A:$A,'4'!$A$2,Data!JP:JP),0)</f>
        <v>74787</v>
      </c>
      <c r="F62" s="22">
        <f t="shared" si="3"/>
        <v>0.50281707185886404</v>
      </c>
    </row>
    <row r="63" spans="1:6" ht="15.75" customHeight="1" thickBot="1" x14ac:dyDescent="0.25">
      <c r="A63" s="23">
        <v>29</v>
      </c>
      <c r="B63" s="181" t="s">
        <v>25</v>
      </c>
      <c r="C63" s="182"/>
      <c r="D63" s="24">
        <f>IF(F3="1",SUMIF(Data!A:A,'4'!$A$2,Data!DW:DW),0)</f>
        <v>166960</v>
      </c>
      <c r="E63" s="25">
        <f>IF(F3="1",SUMIF(Data!$A:$A,'4'!$A$2,Data!JQ:JQ),0)</f>
        <v>57907</v>
      </c>
      <c r="F63" s="26">
        <f t="shared" si="3"/>
        <v>0.34683157642549112</v>
      </c>
    </row>
    <row r="64" spans="1:6" x14ac:dyDescent="0.2">
      <c r="B64" s="31" t="s">
        <v>35</v>
      </c>
      <c r="C64" s="31"/>
      <c r="D64" s="61">
        <f>SUM(D36:D63)</f>
        <v>2617584</v>
      </c>
      <c r="E64" s="32">
        <f>SUM(E36:E63)</f>
        <v>2027857</v>
      </c>
      <c r="F64" s="33">
        <f t="shared" si="3"/>
        <v>0.77470560639123709</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36</v>
      </c>
      <c r="E67" s="16">
        <f>IF(F3="1",SUMIF(Data!A:A,'4'!$A$2,Data!DY:DY),0)</f>
        <v>336</v>
      </c>
      <c r="F67" s="21">
        <f>IFERROR(E67/D67,"")</f>
        <v>9.3333333333333339</v>
      </c>
    </row>
    <row r="68" spans="1:6" x14ac:dyDescent="0.2">
      <c r="A68" s="20">
        <v>2</v>
      </c>
      <c r="B68" s="179" t="s">
        <v>1</v>
      </c>
      <c r="C68" s="180"/>
      <c r="D68" s="15">
        <f t="shared" ref="D68:D94" si="4">D37</f>
        <v>50160</v>
      </c>
      <c r="E68" s="18">
        <f>IF(F3="1",SUMIF(Data!A:A,'4'!$A$2,Data!DZ:DZ),0)</f>
        <v>178607</v>
      </c>
      <c r="F68" s="22">
        <f t="shared" ref="F68:F95" si="5">IFERROR(E68/D68,"")</f>
        <v>3.5607456140350879</v>
      </c>
    </row>
    <row r="69" spans="1:6" ht="14.25" customHeight="1" x14ac:dyDescent="0.2">
      <c r="A69" s="20">
        <v>3</v>
      </c>
      <c r="B69" s="179" t="s">
        <v>2</v>
      </c>
      <c r="C69" s="180"/>
      <c r="D69" s="15">
        <f t="shared" si="4"/>
        <v>238512</v>
      </c>
      <c r="E69" s="18">
        <f>IF(F3="1",SUMIF(Data!A:A,'4'!$A$2,Data!EA:EA),0)</f>
        <v>543282</v>
      </c>
      <c r="F69" s="22">
        <f t="shared" si="5"/>
        <v>2.2777973435298855</v>
      </c>
    </row>
    <row r="70" spans="1:6" ht="14.25" customHeight="1" x14ac:dyDescent="0.2">
      <c r="A70" s="20">
        <v>4</v>
      </c>
      <c r="B70" s="179" t="s">
        <v>3</v>
      </c>
      <c r="C70" s="180"/>
      <c r="D70" s="15">
        <f t="shared" si="4"/>
        <v>131275</v>
      </c>
      <c r="E70" s="18">
        <f>IF(F3="1",SUMIF(Data!A:A,'4'!$A$2,Data!EB:EB),0)</f>
        <v>419311</v>
      </c>
      <c r="F70" s="22">
        <f t="shared" si="5"/>
        <v>3.1941420681774901</v>
      </c>
    </row>
    <row r="71" spans="1:6" x14ac:dyDescent="0.2">
      <c r="A71" s="20">
        <v>5</v>
      </c>
      <c r="B71" s="179" t="s">
        <v>4</v>
      </c>
      <c r="C71" s="180"/>
      <c r="D71" s="15">
        <f t="shared" si="4"/>
        <v>0</v>
      </c>
      <c r="E71" s="18">
        <f>IF(F3="1",SUMIF(Data!A:A,'4'!$A$2,Data!EC:EC),0)</f>
        <v>0</v>
      </c>
      <c r="F71" s="22" t="str">
        <f t="shared" si="5"/>
        <v/>
      </c>
    </row>
    <row r="72" spans="1:6" x14ac:dyDescent="0.2">
      <c r="A72" s="20">
        <v>6</v>
      </c>
      <c r="B72" s="179" t="s">
        <v>5</v>
      </c>
      <c r="C72" s="180"/>
      <c r="D72" s="15">
        <f t="shared" si="4"/>
        <v>8280</v>
      </c>
      <c r="E72" s="18">
        <f>IF(F3="1",SUMIF(Data!A:A,'4'!$A$2,Data!ED:ED),0)</f>
        <v>55214</v>
      </c>
      <c r="F72" s="22">
        <f t="shared" si="5"/>
        <v>6.6683574879227052</v>
      </c>
    </row>
    <row r="73" spans="1:6" x14ac:dyDescent="0.2">
      <c r="A73" s="20">
        <v>7</v>
      </c>
      <c r="B73" s="179" t="s">
        <v>6</v>
      </c>
      <c r="C73" s="180"/>
      <c r="D73" s="15">
        <f t="shared" si="4"/>
        <v>42015</v>
      </c>
      <c r="E73" s="18">
        <f>IF(F3="1",SUMIF(Data!A:A,'4'!$A$2,Data!EE:EE),0)</f>
        <v>304156</v>
      </c>
      <c r="F73" s="22">
        <f t="shared" si="5"/>
        <v>7.2392240866357254</v>
      </c>
    </row>
    <row r="74" spans="1:6" x14ac:dyDescent="0.2">
      <c r="A74" s="20">
        <v>8</v>
      </c>
      <c r="B74" s="179" t="s">
        <v>7</v>
      </c>
      <c r="C74" s="180"/>
      <c r="D74" s="15">
        <f t="shared" si="4"/>
        <v>16688</v>
      </c>
      <c r="E74" s="18">
        <f>IF(F3="1",SUMIF(Data!A:A,'4'!$A$2,Data!EF:EF),0)</f>
        <v>55535</v>
      </c>
      <c r="F74" s="22">
        <f t="shared" si="5"/>
        <v>3.3278403643336527</v>
      </c>
    </row>
    <row r="75" spans="1:6" x14ac:dyDescent="0.2">
      <c r="A75" s="20">
        <v>9</v>
      </c>
      <c r="B75" s="179" t="s">
        <v>8</v>
      </c>
      <c r="C75" s="180"/>
      <c r="D75" s="15">
        <f t="shared" si="4"/>
        <v>44380</v>
      </c>
      <c r="E75" s="18">
        <f>IF(F3="1",SUMIF(Data!A:A,'4'!$A$2,Data!EG:EG),0)</f>
        <v>124451</v>
      </c>
      <c r="F75" s="22">
        <f t="shared" si="5"/>
        <v>2.8042136097341146</v>
      </c>
    </row>
    <row r="76" spans="1:6" x14ac:dyDescent="0.2">
      <c r="A76" s="20">
        <v>10</v>
      </c>
      <c r="B76" s="179" t="s">
        <v>9</v>
      </c>
      <c r="C76" s="180"/>
      <c r="D76" s="15">
        <f t="shared" si="4"/>
        <v>656</v>
      </c>
      <c r="E76" s="18">
        <f>IF(F3="1",SUMIF(Data!A:A,'4'!$A$2,Data!EH:EH),0)</f>
        <v>22746</v>
      </c>
      <c r="F76" s="22">
        <f t="shared" si="5"/>
        <v>34.673780487804876</v>
      </c>
    </row>
    <row r="77" spans="1:6" x14ac:dyDescent="0.2">
      <c r="A77" s="20">
        <v>11</v>
      </c>
      <c r="B77" s="179" t="s">
        <v>10</v>
      </c>
      <c r="C77" s="180"/>
      <c r="D77" s="15">
        <f t="shared" si="4"/>
        <v>37304</v>
      </c>
      <c r="E77" s="18">
        <f>IF(F3="1",SUMIF(Data!A:A,'4'!$A$2,Data!EI:EI),0)</f>
        <v>123979</v>
      </c>
      <c r="F77" s="22">
        <f t="shared" si="5"/>
        <v>3.3234773750804205</v>
      </c>
    </row>
    <row r="78" spans="1:6" ht="14.25" customHeight="1" x14ac:dyDescent="0.2">
      <c r="A78" s="20">
        <v>12</v>
      </c>
      <c r="B78" s="179" t="s">
        <v>11</v>
      </c>
      <c r="C78" s="180"/>
      <c r="D78" s="15">
        <f t="shared" si="4"/>
        <v>316818</v>
      </c>
      <c r="E78" s="18">
        <f>IF(F3="1",SUMIF(Data!A:A,'4'!$A$2,Data!EJ:EJ),0)</f>
        <v>810589</v>
      </c>
      <c r="F78" s="22">
        <f t="shared" si="5"/>
        <v>2.5585320278519528</v>
      </c>
    </row>
    <row r="79" spans="1:6" x14ac:dyDescent="0.2">
      <c r="A79" s="20">
        <v>13</v>
      </c>
      <c r="B79" s="179" t="s">
        <v>12</v>
      </c>
      <c r="C79" s="180"/>
      <c r="D79" s="15">
        <f t="shared" si="4"/>
        <v>27588</v>
      </c>
      <c r="E79" s="18">
        <f>IF(F3="1",SUMIF(Data!A:A,'4'!$A$2,Data!EK:EK),0)</f>
        <v>75833</v>
      </c>
      <c r="F79" s="22">
        <f t="shared" si="5"/>
        <v>2.7487675801072928</v>
      </c>
    </row>
    <row r="80" spans="1:6" ht="14.25" customHeight="1" x14ac:dyDescent="0.2">
      <c r="A80" s="20">
        <v>14</v>
      </c>
      <c r="B80" s="179" t="s">
        <v>804</v>
      </c>
      <c r="C80" s="180"/>
      <c r="D80" s="15">
        <f t="shared" si="4"/>
        <v>192488</v>
      </c>
      <c r="E80" s="18">
        <f>IF(F3="1",SUMIF(Data!A:A,'4'!$A$2,Data!EL:EL),0)</f>
        <v>1069965</v>
      </c>
      <c r="F80" s="22">
        <f t="shared" si="5"/>
        <v>5.5586062507792695</v>
      </c>
    </row>
    <row r="81" spans="1:6" x14ac:dyDescent="0.2">
      <c r="A81" s="20">
        <v>15</v>
      </c>
      <c r="B81" s="179" t="s">
        <v>13</v>
      </c>
      <c r="C81" s="180"/>
      <c r="D81" s="15">
        <f t="shared" si="4"/>
        <v>0</v>
      </c>
      <c r="E81" s="18">
        <f>IF(F3="1",SUMIF(Data!A:A,'4'!$A$2,Data!EM:EM),0)</f>
        <v>0</v>
      </c>
      <c r="F81" s="22" t="str">
        <f t="shared" si="5"/>
        <v/>
      </c>
    </row>
    <row r="82" spans="1:6" x14ac:dyDescent="0.2">
      <c r="A82" s="20">
        <v>16</v>
      </c>
      <c r="B82" s="179" t="s">
        <v>14</v>
      </c>
      <c r="C82" s="180"/>
      <c r="D82" s="15">
        <f t="shared" si="4"/>
        <v>210863</v>
      </c>
      <c r="E82" s="18">
        <f>IF(F3="1",SUMIF(Data!A:A,'4'!$A$2,Data!EN:EN),0)</f>
        <v>772186</v>
      </c>
      <c r="F82" s="22">
        <f t="shared" si="5"/>
        <v>3.6620270033149485</v>
      </c>
    </row>
    <row r="83" spans="1:6" x14ac:dyDescent="0.2">
      <c r="A83" s="20">
        <v>17</v>
      </c>
      <c r="B83" s="179" t="s">
        <v>15</v>
      </c>
      <c r="C83" s="180"/>
      <c r="D83" s="15">
        <f t="shared" si="4"/>
        <v>27008</v>
      </c>
      <c r="E83" s="18">
        <f>IF(F3="1",SUMIF(Data!A:A,'4'!$A$2,Data!EO:EO),0)</f>
        <v>205323</v>
      </c>
      <c r="F83" s="22">
        <f t="shared" si="5"/>
        <v>7.602303021327014</v>
      </c>
    </row>
    <row r="84" spans="1:6" x14ac:dyDescent="0.2">
      <c r="A84" s="20">
        <v>18</v>
      </c>
      <c r="B84" s="179" t="s">
        <v>16</v>
      </c>
      <c r="C84" s="180"/>
      <c r="D84" s="15">
        <f t="shared" si="4"/>
        <v>128232</v>
      </c>
      <c r="E84" s="18">
        <f>IF(F3="1",SUMIF(Data!A:A,'4'!$A$2,Data!EP:EP),0)</f>
        <v>238486</v>
      </c>
      <c r="F84" s="22">
        <f t="shared" si="5"/>
        <v>1.8598009857133946</v>
      </c>
    </row>
    <row r="85" spans="1:6" x14ac:dyDescent="0.2">
      <c r="A85" s="20">
        <v>19</v>
      </c>
      <c r="B85" s="179" t="s">
        <v>17</v>
      </c>
      <c r="C85" s="180"/>
      <c r="D85" s="15">
        <f t="shared" si="4"/>
        <v>103264</v>
      </c>
      <c r="E85" s="18">
        <f>IF(F3="1",SUMIF(Data!A:A,'4'!$A$2,Data!EQ:EQ),0)</f>
        <v>370659</v>
      </c>
      <c r="F85" s="22">
        <f t="shared" si="5"/>
        <v>3.5894309730399754</v>
      </c>
    </row>
    <row r="86" spans="1:6" x14ac:dyDescent="0.2">
      <c r="A86" s="20">
        <v>20</v>
      </c>
      <c r="B86" s="179" t="s">
        <v>18</v>
      </c>
      <c r="C86" s="180"/>
      <c r="D86" s="15">
        <f t="shared" si="4"/>
        <v>13704</v>
      </c>
      <c r="E86" s="18">
        <f>IF(F3="1",SUMIF(Data!A:A,'4'!$A$2,Data!ER:ER),0)</f>
        <v>41578</v>
      </c>
      <c r="F86" s="22">
        <f t="shared" si="5"/>
        <v>3.0340046701692938</v>
      </c>
    </row>
    <row r="87" spans="1:6" ht="14.25" customHeight="1" x14ac:dyDescent="0.2">
      <c r="A87" s="20">
        <v>21</v>
      </c>
      <c r="B87" s="179" t="s">
        <v>801</v>
      </c>
      <c r="C87" s="180"/>
      <c r="D87" s="15">
        <f t="shared" si="4"/>
        <v>10608</v>
      </c>
      <c r="E87" s="18">
        <f>IF(F3="1",SUMIF(Data!A:A,'4'!$A$2,Data!ES:ES),0)</f>
        <v>47356</v>
      </c>
      <c r="F87" s="22">
        <f t="shared" si="5"/>
        <v>4.4641779788838614</v>
      </c>
    </row>
    <row r="88" spans="1:6" x14ac:dyDescent="0.2">
      <c r="A88" s="20">
        <v>22</v>
      </c>
      <c r="B88" s="179" t="s">
        <v>19</v>
      </c>
      <c r="C88" s="180"/>
      <c r="D88" s="15">
        <f t="shared" si="4"/>
        <v>1536</v>
      </c>
      <c r="E88" s="18">
        <f>IF(F3="1",SUMIF(Data!A:A,'4'!$A$2,Data!ET:ET),0)</f>
        <v>5144</v>
      </c>
      <c r="F88" s="22">
        <f t="shared" si="5"/>
        <v>3.3489583333333335</v>
      </c>
    </row>
    <row r="89" spans="1:6" x14ac:dyDescent="0.2">
      <c r="A89" s="20">
        <v>23</v>
      </c>
      <c r="B89" s="179" t="s">
        <v>20</v>
      </c>
      <c r="C89" s="180"/>
      <c r="D89" s="15">
        <f t="shared" si="4"/>
        <v>65520</v>
      </c>
      <c r="E89" s="18">
        <f>IF(F3="1",SUMIF(Data!A:A,'4'!$A$2,Data!EU:EU),0)</f>
        <v>242592</v>
      </c>
      <c r="F89" s="22">
        <f t="shared" si="5"/>
        <v>3.7025641025641027</v>
      </c>
    </row>
    <row r="90" spans="1:6" x14ac:dyDescent="0.2">
      <c r="A90" s="20">
        <v>24</v>
      </c>
      <c r="B90" s="179" t="s">
        <v>21</v>
      </c>
      <c r="C90" s="180"/>
      <c r="D90" s="15">
        <f t="shared" si="4"/>
        <v>131889</v>
      </c>
      <c r="E90" s="18">
        <f>IF(F3="1",SUMIF(Data!A:A,'4'!$A$2,Data!EV:EV),0)</f>
        <v>329456</v>
      </c>
      <c r="F90" s="22">
        <f t="shared" si="5"/>
        <v>2.4979793614327201</v>
      </c>
    </row>
    <row r="91" spans="1:6" x14ac:dyDescent="0.2">
      <c r="A91" s="20">
        <v>25</v>
      </c>
      <c r="B91" s="179" t="s">
        <v>22</v>
      </c>
      <c r="C91" s="180"/>
      <c r="D91" s="15">
        <f t="shared" si="4"/>
        <v>377488</v>
      </c>
      <c r="E91" s="18">
        <f>IF(F3="1",SUMIF(Data!A:A,'4'!$A$2,Data!EW:EW),0)</f>
        <v>972845</v>
      </c>
      <c r="F91" s="22">
        <f t="shared" si="5"/>
        <v>2.5771547704827702</v>
      </c>
    </row>
    <row r="92" spans="1:6" x14ac:dyDescent="0.2">
      <c r="A92" s="20">
        <v>26</v>
      </c>
      <c r="B92" s="179" t="s">
        <v>23</v>
      </c>
      <c r="C92" s="180"/>
      <c r="D92" s="15">
        <f t="shared" si="4"/>
        <v>125576</v>
      </c>
      <c r="E92" s="18">
        <f>IF(F3="1",SUMIF(Data!A:A,'4'!$A$2,Data!EX:EX),0)</f>
        <v>458808</v>
      </c>
      <c r="F92" s="22">
        <f t="shared" si="5"/>
        <v>3.6536280817990701</v>
      </c>
    </row>
    <row r="93" spans="1:6" x14ac:dyDescent="0.2">
      <c r="A93" s="20">
        <v>28</v>
      </c>
      <c r="B93" s="179" t="s">
        <v>24</v>
      </c>
      <c r="C93" s="180"/>
      <c r="D93" s="15">
        <f t="shared" si="4"/>
        <v>148736</v>
      </c>
      <c r="E93" s="18">
        <f>IF(F3="1",SUMIF(Data!A:A,'4'!$A$2,Data!EZ:EZ),0)</f>
        <v>530712</v>
      </c>
      <c r="F93" s="22">
        <f t="shared" si="5"/>
        <v>3.5681475903614457</v>
      </c>
    </row>
    <row r="94" spans="1:6" ht="15.75" customHeight="1" thickBot="1" x14ac:dyDescent="0.25">
      <c r="A94" s="23">
        <v>29</v>
      </c>
      <c r="B94" s="181" t="s">
        <v>25</v>
      </c>
      <c r="C94" s="182"/>
      <c r="D94" s="24">
        <f t="shared" si="4"/>
        <v>166960</v>
      </c>
      <c r="E94" s="25">
        <f>IF(F3="1",SUMIF(Data!A:A,'4'!$A$2,Data!FA:FA),0)</f>
        <v>425208</v>
      </c>
      <c r="F94" s="26">
        <f t="shared" si="5"/>
        <v>2.5467656923814088</v>
      </c>
    </row>
    <row r="95" spans="1:6" x14ac:dyDescent="0.2">
      <c r="B95" s="31" t="s">
        <v>35</v>
      </c>
      <c r="C95" s="31"/>
      <c r="D95" s="61">
        <f>SUM(D67:D94)</f>
        <v>2617584</v>
      </c>
      <c r="E95" s="32">
        <f>SUM(E67:E94)</f>
        <v>8424357</v>
      </c>
      <c r="F95" s="33">
        <f t="shared" si="5"/>
        <v>3.2183712155942272</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IF(F3="1",SUMIF(Data!A:A,'4'!$A$2,Data!AH:AH),0)</f>
        <v>2088127</v>
      </c>
      <c r="F98" s="21">
        <f t="shared" ref="F98:F105" si="6">IFERROR(E98/$D$95,0)</f>
        <v>0.79773065544410415</v>
      </c>
    </row>
    <row r="99" spans="2:6" x14ac:dyDescent="0.2">
      <c r="B99" s="185" t="s">
        <v>31</v>
      </c>
      <c r="C99" s="186"/>
      <c r="D99" s="37"/>
      <c r="E99" s="18">
        <f>IF(F3="1",SUMIF(Data!A:A,'4'!$A$2,Data!AI:AI),0)</f>
        <v>1088049</v>
      </c>
      <c r="F99" s="22">
        <f t="shared" si="6"/>
        <v>0.41566918196321495</v>
      </c>
    </row>
    <row r="100" spans="2:6" x14ac:dyDescent="0.2">
      <c r="B100" s="185" t="s">
        <v>32</v>
      </c>
      <c r="C100" s="186"/>
      <c r="D100" s="37"/>
      <c r="E100" s="18">
        <f>IF(F3="1",SUMIF(Data!A:A,'4'!$A$2,Data!AJ:AJ),0)</f>
        <v>2155518</v>
      </c>
      <c r="F100" s="22">
        <f t="shared" si="6"/>
        <v>0.82347615205471913</v>
      </c>
    </row>
    <row r="101" spans="2:6" x14ac:dyDescent="0.2">
      <c r="B101" s="185" t="s">
        <v>28</v>
      </c>
      <c r="C101" s="186"/>
      <c r="D101" s="37"/>
      <c r="E101" s="18">
        <f>IF(F3="1",SUMIF(Data!A:A,'4'!$A$2,Data!AK:AK),0)</f>
        <v>0</v>
      </c>
      <c r="F101" s="22">
        <f t="shared" si="6"/>
        <v>0</v>
      </c>
    </row>
    <row r="102" spans="2:6" x14ac:dyDescent="0.2">
      <c r="B102" s="185" t="s">
        <v>33</v>
      </c>
      <c r="C102" s="186"/>
      <c r="D102" s="37"/>
      <c r="E102" s="18">
        <f>IF(F3="1",SUMIF(Data!A:A,'4'!$A$2,Data!AL:AL),0)</f>
        <v>0</v>
      </c>
      <c r="F102" s="22">
        <f t="shared" si="6"/>
        <v>0</v>
      </c>
    </row>
    <row r="103" spans="2:6" x14ac:dyDescent="0.2">
      <c r="B103" s="187" t="s">
        <v>34</v>
      </c>
      <c r="C103" s="188"/>
      <c r="D103" s="37"/>
      <c r="E103" s="18">
        <f>IF(F3="1",SUMIF(Data!A:A,'4'!$A$2,Data!AM:AM),0)</f>
        <v>414168</v>
      </c>
      <c r="F103" s="22">
        <f t="shared" si="6"/>
        <v>0.15822529477564043</v>
      </c>
    </row>
    <row r="104" spans="2:6" ht="15.75" customHeight="1" thickBot="1" x14ac:dyDescent="0.25">
      <c r="B104" s="177" t="s">
        <v>29</v>
      </c>
      <c r="C104" s="178"/>
      <c r="D104" s="38"/>
      <c r="E104" s="25">
        <f>IF(F3="1",SUMIF(Data!A:A,'4'!$A$2,Data!Q:Q),0)</f>
        <v>292708</v>
      </c>
      <c r="F104" s="26">
        <f t="shared" si="6"/>
        <v>0.11182372752889688</v>
      </c>
    </row>
    <row r="105" spans="2:6" x14ac:dyDescent="0.2">
      <c r="B105" s="31" t="s">
        <v>35</v>
      </c>
      <c r="C105" s="31"/>
      <c r="D105" s="35">
        <f>D95</f>
        <v>2617584</v>
      </c>
      <c r="E105" s="32">
        <f>SUM(E98:E104)</f>
        <v>6038570</v>
      </c>
      <c r="F105" s="33">
        <f t="shared" si="6"/>
        <v>2.3069250117665754</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8744242</v>
      </c>
      <c r="D109" s="16">
        <f>IF(F3="1",SUMIF(Data!$A:$A,$A$2,Data!HJ:HJ),0)</f>
        <v>742864</v>
      </c>
      <c r="E109" s="16">
        <f>IF(F3="1",SUMIF(Data!$A:$A,$A$2,Data!IN:IN),0)</f>
        <v>965109</v>
      </c>
      <c r="F109" s="48">
        <f>SUM(C109:E109)</f>
        <v>10452215</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49178</v>
      </c>
      <c r="D111" s="52"/>
      <c r="E111" s="51">
        <f>IF(F3="1",SUMIF(Data!A:A,$A$2,Data!AX:AX),0)</f>
        <v>16283</v>
      </c>
      <c r="F111" s="49">
        <f t="shared" si="7"/>
        <v>65461</v>
      </c>
    </row>
    <row r="112" spans="2:6" x14ac:dyDescent="0.2">
      <c r="B112" s="43" t="s">
        <v>32</v>
      </c>
      <c r="C112" s="51">
        <f>IF(F3="1",SUMIF(Data!A:A,$A$2,Data!V:V),0)</f>
        <v>1467634</v>
      </c>
      <c r="D112" s="52"/>
      <c r="E112" s="51">
        <f>IF(F3="1",SUMIF(Data!A:A,$A$2,Data!AC:AC),0)</f>
        <v>687884</v>
      </c>
      <c r="F112" s="49">
        <f t="shared" si="7"/>
        <v>2155518</v>
      </c>
    </row>
    <row r="113" spans="1:6" x14ac:dyDescent="0.2">
      <c r="B113" s="43" t="s">
        <v>31</v>
      </c>
      <c r="C113" s="51">
        <f>IF(F3="1",SUMIF(Data!A:A,$A$2,Data!U:U),0)</f>
        <v>935810</v>
      </c>
      <c r="D113" s="52"/>
      <c r="E113" s="51">
        <f>IF(F3="1",SUMIF(Data!A:A,$A$2,Data!AB:AB),0)</f>
        <v>152239</v>
      </c>
      <c r="F113" s="49">
        <f t="shared" si="7"/>
        <v>1088049</v>
      </c>
    </row>
    <row r="114" spans="1:6" x14ac:dyDescent="0.2">
      <c r="B114" s="43" t="s">
        <v>1363</v>
      </c>
      <c r="C114" s="51">
        <f>IF(F3="1",SUMIF(Data!A:A,$A$2,Data!T:T),0)</f>
        <v>992845</v>
      </c>
      <c r="D114" s="52"/>
      <c r="E114" s="51">
        <f>IF(F3="1",SUMIF(Data!A:A,$A$2,Data!AA:AA),0)</f>
        <v>1095282</v>
      </c>
      <c r="F114" s="49">
        <f t="shared" si="7"/>
        <v>2088127</v>
      </c>
    </row>
    <row r="115" spans="1:6" x14ac:dyDescent="0.2">
      <c r="B115" s="43" t="s">
        <v>1278</v>
      </c>
      <c r="C115" s="51">
        <f>IF(F3="1",SUMIF(Data!A:A,$A$2,Data!BI:BI),0)</f>
        <v>852519</v>
      </c>
      <c r="D115" s="51">
        <f>IF(F3="1",SUMIF(Data!A:A,$A$2,Data!BL:BL),0)</f>
        <v>72425</v>
      </c>
      <c r="E115" s="51">
        <f>IF(F3="1",SUMIF(Data!A:A,$A$2,Data!BU:BU),0)</f>
        <v>1355189</v>
      </c>
      <c r="F115" s="49">
        <f t="shared" si="7"/>
        <v>2280133</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292708</v>
      </c>
      <c r="E117" s="53"/>
      <c r="F117" s="50">
        <f>SUM(C117:E117)</f>
        <v>292708</v>
      </c>
    </row>
    <row r="118" spans="1:6" x14ac:dyDescent="0.2">
      <c r="B118" s="14" t="s">
        <v>35</v>
      </c>
      <c r="C118" s="5">
        <f>SUM(C109:C116)</f>
        <v>13042228</v>
      </c>
      <c r="D118" s="5">
        <f>SUM(D109:D116)</f>
        <v>815289</v>
      </c>
      <c r="E118" s="5">
        <f>SUM(E109:E116)</f>
        <v>4271986</v>
      </c>
      <c r="F118" s="5">
        <f>SUM(F109:F116)</f>
        <v>18129503</v>
      </c>
    </row>
    <row r="119" spans="1:6" ht="15" thickBot="1" x14ac:dyDescent="0.25"/>
    <row r="120" spans="1:6" ht="15" thickBot="1" x14ac:dyDescent="0.25">
      <c r="B120" s="57" t="s">
        <v>1283</v>
      </c>
      <c r="C120" s="55"/>
      <c r="D120" s="55"/>
      <c r="E120" s="55">
        <f>IF(F3="1",SUMIF(Data!A:A,'4'!$A$2,Data!AM:AM),0)</f>
        <v>414168</v>
      </c>
      <c r="F120" s="56">
        <f>SUM(C120:E120)</f>
        <v>414168</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42578125" style="11" bestFit="1" customWidth="1"/>
    <col min="12" max="12" width="13.42578125" style="11" bestFit="1" customWidth="1"/>
    <col min="13"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726</v>
      </c>
      <c r="B2" s="60" t="str">
        <f>VLOOKUP(A2,Data!A:G,7,0)</f>
        <v>Austin Community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95473</v>
      </c>
      <c r="E5" s="16">
        <f>E36+E67+IFERROR($E$105/$D$105*D5,0)</f>
        <v>638829.63914706814</v>
      </c>
      <c r="F5" s="21">
        <f>IFERROR(E5/D5,"")</f>
        <v>6.6912073481200771</v>
      </c>
    </row>
    <row r="6" spans="1:6" x14ac:dyDescent="0.2">
      <c r="A6" s="20">
        <v>2</v>
      </c>
      <c r="B6" s="179" t="s">
        <v>1</v>
      </c>
      <c r="C6" s="180"/>
      <c r="D6" s="15">
        <f t="shared" ref="D6:D32" si="0">D37</f>
        <v>155251</v>
      </c>
      <c r="E6" s="18">
        <f t="shared" ref="E6:E32" si="1">E37+E68+IFERROR($E$105/$D$105*D6,0)</f>
        <v>2553241.2515184553</v>
      </c>
      <c r="F6" s="22">
        <f t="shared" ref="F6:F33" si="2">IFERROR(E6/D6,"")</f>
        <v>16.445892467800242</v>
      </c>
    </row>
    <row r="7" spans="1:6" ht="14.25" customHeight="1" x14ac:dyDescent="0.2">
      <c r="A7" s="20">
        <v>3</v>
      </c>
      <c r="B7" s="179" t="s">
        <v>2</v>
      </c>
      <c r="C7" s="180"/>
      <c r="D7" s="15">
        <f t="shared" si="0"/>
        <v>1998240</v>
      </c>
      <c r="E7" s="18">
        <f t="shared" si="1"/>
        <v>21745408.222138587</v>
      </c>
      <c r="F7" s="22">
        <f t="shared" si="2"/>
        <v>10.882280517925068</v>
      </c>
    </row>
    <row r="8" spans="1:6" ht="14.25" customHeight="1" x14ac:dyDescent="0.2">
      <c r="A8" s="20">
        <v>4</v>
      </c>
      <c r="B8" s="179" t="s">
        <v>3</v>
      </c>
      <c r="C8" s="180"/>
      <c r="D8" s="15">
        <f t="shared" si="0"/>
        <v>910082</v>
      </c>
      <c r="E8" s="18">
        <f t="shared" si="1"/>
        <v>8638455.9490142986</v>
      </c>
      <c r="F8" s="22">
        <f t="shared" si="2"/>
        <v>9.4919534163012766</v>
      </c>
    </row>
    <row r="9" spans="1:6" x14ac:dyDescent="0.2">
      <c r="A9" s="20">
        <v>5</v>
      </c>
      <c r="B9" s="179" t="s">
        <v>4</v>
      </c>
      <c r="C9" s="180"/>
      <c r="D9" s="15">
        <f t="shared" si="0"/>
        <v>872</v>
      </c>
      <c r="E9" s="18">
        <f t="shared" si="1"/>
        <v>4103.8850076591643</v>
      </c>
      <c r="F9" s="22">
        <f t="shared" si="2"/>
        <v>4.7062901463981239</v>
      </c>
    </row>
    <row r="10" spans="1:6" x14ac:dyDescent="0.2">
      <c r="A10" s="20">
        <v>6</v>
      </c>
      <c r="B10" s="179" t="s">
        <v>5</v>
      </c>
      <c r="C10" s="180"/>
      <c r="D10" s="15">
        <f t="shared" si="0"/>
        <v>247952</v>
      </c>
      <c r="E10" s="18">
        <f t="shared" si="1"/>
        <v>1874457.0543797077</v>
      </c>
      <c r="F10" s="22">
        <f t="shared" si="2"/>
        <v>7.5597577530316658</v>
      </c>
    </row>
    <row r="11" spans="1:6" x14ac:dyDescent="0.2">
      <c r="A11" s="20">
        <v>7</v>
      </c>
      <c r="B11" s="179" t="s">
        <v>6</v>
      </c>
      <c r="C11" s="180"/>
      <c r="D11" s="15">
        <f t="shared" si="0"/>
        <v>520976</v>
      </c>
      <c r="E11" s="18">
        <f t="shared" si="1"/>
        <v>8849871.2153099086</v>
      </c>
      <c r="F11" s="22">
        <f t="shared" si="2"/>
        <v>16.987099627065177</v>
      </c>
    </row>
    <row r="12" spans="1:6" x14ac:dyDescent="0.2">
      <c r="A12" s="20">
        <v>8</v>
      </c>
      <c r="B12" s="179" t="s">
        <v>7</v>
      </c>
      <c r="C12" s="180"/>
      <c r="D12" s="15">
        <f t="shared" si="0"/>
        <v>23676</v>
      </c>
      <c r="E12" s="18">
        <f t="shared" si="1"/>
        <v>125964.12550612199</v>
      </c>
      <c r="F12" s="22">
        <f t="shared" si="2"/>
        <v>5.3203296801031419</v>
      </c>
    </row>
    <row r="13" spans="1:6" x14ac:dyDescent="0.2">
      <c r="A13" s="20">
        <v>9</v>
      </c>
      <c r="B13" s="179" t="s">
        <v>8</v>
      </c>
      <c r="C13" s="180"/>
      <c r="D13" s="15">
        <f t="shared" si="0"/>
        <v>209655</v>
      </c>
      <c r="E13" s="18">
        <f t="shared" si="1"/>
        <v>2910788.2606430985</v>
      </c>
      <c r="F13" s="22">
        <f t="shared" si="2"/>
        <v>13.883705423877792</v>
      </c>
    </row>
    <row r="14" spans="1:6" x14ac:dyDescent="0.2">
      <c r="A14" s="20">
        <v>10</v>
      </c>
      <c r="B14" s="179" t="s">
        <v>9</v>
      </c>
      <c r="C14" s="180"/>
      <c r="D14" s="15">
        <f t="shared" si="0"/>
        <v>14224</v>
      </c>
      <c r="E14" s="18">
        <f t="shared" si="1"/>
        <v>199593.27104236692</v>
      </c>
      <c r="F14" s="22">
        <f t="shared" si="2"/>
        <v>14.032147851684963</v>
      </c>
    </row>
    <row r="15" spans="1:6" x14ac:dyDescent="0.2">
      <c r="A15" s="20">
        <v>11</v>
      </c>
      <c r="B15" s="179" t="s">
        <v>10</v>
      </c>
      <c r="C15" s="180"/>
      <c r="D15" s="15">
        <f t="shared" si="0"/>
        <v>366672</v>
      </c>
      <c r="E15" s="18">
        <f t="shared" si="1"/>
        <v>4770428.820560093</v>
      </c>
      <c r="F15" s="22">
        <f t="shared" si="2"/>
        <v>13.010071182310329</v>
      </c>
    </row>
    <row r="16" spans="1:6" ht="14.25" customHeight="1" x14ac:dyDescent="0.2">
      <c r="A16" s="20">
        <v>12</v>
      </c>
      <c r="B16" s="179" t="s">
        <v>11</v>
      </c>
      <c r="C16" s="180"/>
      <c r="D16" s="15">
        <f t="shared" si="0"/>
        <v>2056326</v>
      </c>
      <c r="E16" s="18">
        <f t="shared" si="1"/>
        <v>19936748.791582268</v>
      </c>
      <c r="F16" s="22">
        <f t="shared" si="2"/>
        <v>9.6953249589716162</v>
      </c>
    </row>
    <row r="17" spans="1:6" x14ac:dyDescent="0.2">
      <c r="A17" s="20">
        <v>13</v>
      </c>
      <c r="B17" s="179" t="s">
        <v>12</v>
      </c>
      <c r="C17" s="180"/>
      <c r="D17" s="15">
        <f t="shared" si="0"/>
        <v>884840</v>
      </c>
      <c r="E17" s="18">
        <f t="shared" si="1"/>
        <v>8352957.7731389161</v>
      </c>
      <c r="F17" s="22">
        <f t="shared" si="2"/>
        <v>9.4400770457245553</v>
      </c>
    </row>
    <row r="18" spans="1:6" ht="14.25" customHeight="1" x14ac:dyDescent="0.2">
      <c r="A18" s="20">
        <v>14</v>
      </c>
      <c r="B18" s="179" t="s">
        <v>804</v>
      </c>
      <c r="C18" s="180"/>
      <c r="D18" s="15">
        <f t="shared" si="0"/>
        <v>462924</v>
      </c>
      <c r="E18" s="18">
        <f t="shared" si="1"/>
        <v>7431302.6597312056</v>
      </c>
      <c r="F18" s="22">
        <f t="shared" si="2"/>
        <v>16.052964762533819</v>
      </c>
    </row>
    <row r="19" spans="1:6" x14ac:dyDescent="0.2">
      <c r="A19" s="20">
        <v>15</v>
      </c>
      <c r="B19" s="179" t="s">
        <v>13</v>
      </c>
      <c r="C19" s="180"/>
      <c r="D19" s="15">
        <f t="shared" si="0"/>
        <v>23360</v>
      </c>
      <c r="E19" s="18">
        <f t="shared" si="1"/>
        <v>797317.93781986018</v>
      </c>
      <c r="F19" s="22">
        <f t="shared" si="2"/>
        <v>34.131761036809081</v>
      </c>
    </row>
    <row r="20" spans="1:6" x14ac:dyDescent="0.2">
      <c r="A20" s="20">
        <v>16</v>
      </c>
      <c r="B20" s="179" t="s">
        <v>14</v>
      </c>
      <c r="C20" s="180"/>
      <c r="D20" s="15">
        <f t="shared" si="0"/>
        <v>610440</v>
      </c>
      <c r="E20" s="18">
        <f t="shared" si="1"/>
        <v>9247022.7569672707</v>
      </c>
      <c r="F20" s="22">
        <f t="shared" si="2"/>
        <v>15.148127181979016</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118357</v>
      </c>
      <c r="E22" s="18">
        <f t="shared" si="1"/>
        <v>2081151.3828572426</v>
      </c>
      <c r="F22" s="22">
        <f t="shared" si="2"/>
        <v>17.583678049099273</v>
      </c>
    </row>
    <row r="23" spans="1:6" x14ac:dyDescent="0.2">
      <c r="A23" s="20">
        <v>19</v>
      </c>
      <c r="B23" s="179" t="s">
        <v>17</v>
      </c>
      <c r="C23" s="180"/>
      <c r="D23" s="15">
        <f t="shared" si="0"/>
        <v>957996</v>
      </c>
      <c r="E23" s="18">
        <f t="shared" si="1"/>
        <v>8385072.1350888172</v>
      </c>
      <c r="F23" s="22">
        <f t="shared" si="2"/>
        <v>8.7527214467375831</v>
      </c>
    </row>
    <row r="24" spans="1:6" x14ac:dyDescent="0.2">
      <c r="A24" s="20">
        <v>20</v>
      </c>
      <c r="B24" s="179" t="s">
        <v>18</v>
      </c>
      <c r="C24" s="180"/>
      <c r="D24" s="15">
        <f t="shared" si="0"/>
        <v>187392</v>
      </c>
      <c r="E24" s="18">
        <f t="shared" si="1"/>
        <v>2868306.1231138371</v>
      </c>
      <c r="F24" s="22">
        <f t="shared" si="2"/>
        <v>15.306449171329817</v>
      </c>
    </row>
    <row r="25" spans="1:6" ht="14.25" customHeight="1" x14ac:dyDescent="0.2">
      <c r="A25" s="20">
        <v>21</v>
      </c>
      <c r="B25" s="179" t="s">
        <v>801</v>
      </c>
      <c r="C25" s="180"/>
      <c r="D25" s="15">
        <f t="shared" si="0"/>
        <v>21200</v>
      </c>
      <c r="E25" s="18">
        <f t="shared" si="1"/>
        <v>1122840.3511036402</v>
      </c>
      <c r="F25" s="22">
        <f t="shared" si="2"/>
        <v>52.964167504888685</v>
      </c>
    </row>
    <row r="26" spans="1:6" x14ac:dyDescent="0.2">
      <c r="A26" s="20">
        <v>22</v>
      </c>
      <c r="B26" s="179" t="s">
        <v>19</v>
      </c>
      <c r="C26" s="180"/>
      <c r="D26" s="15">
        <f t="shared" si="0"/>
        <v>31568</v>
      </c>
      <c r="E26" s="18">
        <f t="shared" si="1"/>
        <v>1146761.1673414959</v>
      </c>
      <c r="F26" s="22">
        <f t="shared" si="2"/>
        <v>36.326696887401667</v>
      </c>
    </row>
    <row r="27" spans="1:6" x14ac:dyDescent="0.2">
      <c r="A27" s="20">
        <v>23</v>
      </c>
      <c r="B27" s="179" t="s">
        <v>20</v>
      </c>
      <c r="C27" s="180"/>
      <c r="D27" s="15">
        <f t="shared" si="0"/>
        <v>335776</v>
      </c>
      <c r="E27" s="18">
        <f t="shared" si="1"/>
        <v>3111374.2801969764</v>
      </c>
      <c r="F27" s="22">
        <f t="shared" si="2"/>
        <v>9.2662199805732879</v>
      </c>
    </row>
    <row r="28" spans="1:6" x14ac:dyDescent="0.2">
      <c r="A28" s="20">
        <v>24</v>
      </c>
      <c r="B28" s="179" t="s">
        <v>21</v>
      </c>
      <c r="C28" s="180"/>
      <c r="D28" s="15">
        <f t="shared" si="0"/>
        <v>319232</v>
      </c>
      <c r="E28" s="18">
        <f t="shared" si="1"/>
        <v>3130472.4160149656</v>
      </c>
      <c r="F28" s="22">
        <f t="shared" si="2"/>
        <v>9.8062613272321251</v>
      </c>
    </row>
    <row r="29" spans="1:6" x14ac:dyDescent="0.2">
      <c r="A29" s="20">
        <v>25</v>
      </c>
      <c r="B29" s="179" t="s">
        <v>22</v>
      </c>
      <c r="C29" s="180"/>
      <c r="D29" s="15">
        <f t="shared" si="0"/>
        <v>3496496</v>
      </c>
      <c r="E29" s="18">
        <f t="shared" si="1"/>
        <v>28923776.671720453</v>
      </c>
      <c r="F29" s="22">
        <f t="shared" si="2"/>
        <v>8.2722178637471497</v>
      </c>
    </row>
    <row r="30" spans="1:6" x14ac:dyDescent="0.2">
      <c r="A30" s="20">
        <v>26</v>
      </c>
      <c r="B30" s="179" t="s">
        <v>23</v>
      </c>
      <c r="C30" s="180"/>
      <c r="D30" s="15">
        <f t="shared" si="0"/>
        <v>990968</v>
      </c>
      <c r="E30" s="18">
        <f t="shared" si="1"/>
        <v>14044435.933795856</v>
      </c>
      <c r="F30" s="22">
        <f t="shared" si="2"/>
        <v>14.172441424744145</v>
      </c>
    </row>
    <row r="31" spans="1:6" x14ac:dyDescent="0.2">
      <c r="A31" s="20">
        <v>28</v>
      </c>
      <c r="B31" s="179" t="s">
        <v>24</v>
      </c>
      <c r="C31" s="180"/>
      <c r="D31" s="15">
        <f t="shared" si="0"/>
        <v>1258656</v>
      </c>
      <c r="E31" s="18">
        <f t="shared" si="1"/>
        <v>11193455.330504877</v>
      </c>
      <c r="F31" s="22">
        <f t="shared" si="2"/>
        <v>8.8931807662338862</v>
      </c>
    </row>
    <row r="32" spans="1:6" ht="15.75" customHeight="1" thickBot="1" x14ac:dyDescent="0.25">
      <c r="A32" s="23">
        <v>29</v>
      </c>
      <c r="B32" s="181" t="s">
        <v>25</v>
      </c>
      <c r="C32" s="182"/>
      <c r="D32" s="24">
        <f t="shared" si="0"/>
        <v>520464</v>
      </c>
      <c r="E32" s="25">
        <f t="shared" si="1"/>
        <v>5194848.5947549529</v>
      </c>
      <c r="F32" s="26">
        <f t="shared" si="2"/>
        <v>9.9811871613693803</v>
      </c>
    </row>
    <row r="33" spans="1:6" x14ac:dyDescent="0.2">
      <c r="B33" s="31" t="s">
        <v>35</v>
      </c>
      <c r="C33" s="31"/>
      <c r="D33" s="61">
        <f>SUM(D5:D32)</f>
        <v>16819068</v>
      </c>
      <c r="E33" s="32">
        <f>SUM(E5:E32)</f>
        <v>179278986.00000003</v>
      </c>
      <c r="F33" s="33">
        <f t="shared" si="2"/>
        <v>10.659269942900524</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IF(F3="1",SUMIF(Data!A:A,'5'!$A$2,Data!CU:CU),0)</f>
        <v>95473</v>
      </c>
      <c r="E36" s="16">
        <f>IF(F3="1",SUMIF(Data!$A:$A,'5'!$A$2,Data!IO:IO),0)</f>
        <v>57159</v>
      </c>
      <c r="F36" s="21">
        <f t="shared" ref="F36:F64" si="3">IFERROR(E36/D36,"")</f>
        <v>0.59869282414923586</v>
      </c>
    </row>
    <row r="37" spans="1:6" x14ac:dyDescent="0.2">
      <c r="A37" s="20">
        <v>2</v>
      </c>
      <c r="B37" s="179" t="s">
        <v>1</v>
      </c>
      <c r="C37" s="180"/>
      <c r="D37" s="15">
        <f>IF(F3="1",SUMIF(Data!A:A,'5'!$A$2,Data!CV:CV),0)</f>
        <v>155251</v>
      </c>
      <c r="E37" s="18">
        <f>IF(F3="1",SUMIF(Data!$A:$A,'5'!$A$2,Data!IP:IP),0)</f>
        <v>608406</v>
      </c>
      <c r="F37" s="22">
        <f t="shared" si="3"/>
        <v>3.9188539848374568</v>
      </c>
    </row>
    <row r="38" spans="1:6" ht="14.25" customHeight="1" x14ac:dyDescent="0.2">
      <c r="A38" s="20">
        <v>3</v>
      </c>
      <c r="B38" s="179" t="s">
        <v>2</v>
      </c>
      <c r="C38" s="180"/>
      <c r="D38" s="15">
        <f>IF(F3="1",SUMIF(Data!A:A,'5'!$A$2,Data!CW:CW),0)</f>
        <v>1998240</v>
      </c>
      <c r="E38" s="18">
        <f>IF(F3="1",SUMIF(Data!$A:$A,'5'!$A$2,Data!IQ:IQ),0)</f>
        <v>3856011</v>
      </c>
      <c r="F38" s="22">
        <f t="shared" si="3"/>
        <v>1.9297036392024982</v>
      </c>
    </row>
    <row r="39" spans="1:6" ht="14.25" customHeight="1" x14ac:dyDescent="0.2">
      <c r="A39" s="20">
        <v>4</v>
      </c>
      <c r="B39" s="179" t="s">
        <v>3</v>
      </c>
      <c r="C39" s="180"/>
      <c r="D39" s="15">
        <f>IF(F3="1",SUMIF(Data!A:A,'5'!$A$2,Data!CX:CX),0)</f>
        <v>910082</v>
      </c>
      <c r="E39" s="18">
        <f>IF(F3="1",SUMIF(Data!$A:$A,'5'!$A$2,Data!IR:IR),0)</f>
        <v>727009</v>
      </c>
      <c r="F39" s="22">
        <f t="shared" si="3"/>
        <v>0.79883900571596844</v>
      </c>
    </row>
    <row r="40" spans="1:6" x14ac:dyDescent="0.2">
      <c r="A40" s="20">
        <v>5</v>
      </c>
      <c r="B40" s="179" t="s">
        <v>4</v>
      </c>
      <c r="C40" s="180"/>
      <c r="D40" s="15">
        <f>IF(F3="1",SUMIF(Data!A:A,'5'!$A$2,Data!CY:CY),0)</f>
        <v>872</v>
      </c>
      <c r="E40" s="18">
        <f>IF(F3="1",SUMIF(Data!$A:$A,'5'!$A$2,Data!IS:IS),0)</f>
        <v>0</v>
      </c>
      <c r="F40" s="22">
        <f t="shared" si="3"/>
        <v>0</v>
      </c>
    </row>
    <row r="41" spans="1:6" x14ac:dyDescent="0.2">
      <c r="A41" s="20">
        <v>6</v>
      </c>
      <c r="B41" s="179" t="s">
        <v>5</v>
      </c>
      <c r="C41" s="180"/>
      <c r="D41" s="15">
        <f>IF(F3="1",SUMIF(Data!A:A,'5'!$A$2,Data!CZ:CZ),0)</f>
        <v>247952</v>
      </c>
      <c r="E41" s="18">
        <f>IF(F3="1",SUMIF(Data!$A:$A,'5'!$A$2,Data!IT:IT),0)</f>
        <v>225330</v>
      </c>
      <c r="F41" s="22">
        <f t="shared" si="3"/>
        <v>0.90876459959992262</v>
      </c>
    </row>
    <row r="42" spans="1:6" x14ac:dyDescent="0.2">
      <c r="A42" s="20">
        <v>7</v>
      </c>
      <c r="B42" s="179" t="s">
        <v>6</v>
      </c>
      <c r="C42" s="180"/>
      <c r="D42" s="15">
        <f>IF(F3="1",SUMIF(Data!A:A,'5'!$A$2,Data!DA:DA),0)</f>
        <v>520976</v>
      </c>
      <c r="E42" s="18">
        <f>IF(F3="1",SUMIF(Data!$A:$A,'5'!$A$2,Data!IU:IU),0)</f>
        <v>3047194</v>
      </c>
      <c r="F42" s="22">
        <f t="shared" si="3"/>
        <v>5.8490103190933942</v>
      </c>
    </row>
    <row r="43" spans="1:6" x14ac:dyDescent="0.2">
      <c r="A43" s="20">
        <v>8</v>
      </c>
      <c r="B43" s="179" t="s">
        <v>7</v>
      </c>
      <c r="C43" s="180"/>
      <c r="D43" s="15">
        <f>IF(F3="1",SUMIF(Data!A:A,'5'!$A$2,Data!DB:DB),0)</f>
        <v>23676</v>
      </c>
      <c r="E43" s="18">
        <f>IF(F3="1",SUMIF(Data!$A:$A,'5'!$A$2,Data!IV:IV),0)</f>
        <v>14538</v>
      </c>
      <c r="F43" s="22">
        <f t="shared" si="3"/>
        <v>0.61403953370501774</v>
      </c>
    </row>
    <row r="44" spans="1:6" x14ac:dyDescent="0.2">
      <c r="A44" s="20">
        <v>9</v>
      </c>
      <c r="B44" s="179" t="s">
        <v>8</v>
      </c>
      <c r="C44" s="180"/>
      <c r="D44" s="15">
        <f>IF(F3="1",SUMIF(Data!A:A,'5'!$A$2,Data!DC:DC),0)</f>
        <v>209655</v>
      </c>
      <c r="E44" s="18">
        <f>IF(F3="1",SUMIF(Data!$A:$A,'5'!$A$2,Data!IW:IW),0)</f>
        <v>1005668</v>
      </c>
      <c r="F44" s="22">
        <f t="shared" si="3"/>
        <v>4.7967756552431373</v>
      </c>
    </row>
    <row r="45" spans="1:6" x14ac:dyDescent="0.2">
      <c r="A45" s="20">
        <v>10</v>
      </c>
      <c r="B45" s="179" t="s">
        <v>9</v>
      </c>
      <c r="C45" s="180"/>
      <c r="D45" s="15">
        <f>IF(F3="1",SUMIF(Data!A:A,'5'!$A$2,Data!DD:DD),0)</f>
        <v>14224</v>
      </c>
      <c r="E45" s="18">
        <f>IF(F3="1",SUMIF(Data!$A:$A,'5'!$A$2,Data!IX:IX),0)</f>
        <v>12974</v>
      </c>
      <c r="F45" s="22">
        <f t="shared" si="3"/>
        <v>0.91212035995500562</v>
      </c>
    </row>
    <row r="46" spans="1:6" x14ac:dyDescent="0.2">
      <c r="A46" s="20">
        <v>11</v>
      </c>
      <c r="B46" s="179" t="s">
        <v>10</v>
      </c>
      <c r="C46" s="180"/>
      <c r="D46" s="15">
        <f>IF(F3="1",SUMIF(Data!A:A,'5'!$A$2,Data!DE:DE),0)</f>
        <v>366672</v>
      </c>
      <c r="E46" s="18">
        <f>IF(F3="1",SUMIF(Data!$A:$A,'5'!$A$2,Data!IY:IY),0)</f>
        <v>940824</v>
      </c>
      <c r="F46" s="22">
        <f t="shared" si="3"/>
        <v>2.5658463149626916</v>
      </c>
    </row>
    <row r="47" spans="1:6" ht="14.25" customHeight="1" x14ac:dyDescent="0.2">
      <c r="A47" s="20">
        <v>12</v>
      </c>
      <c r="B47" s="179" t="s">
        <v>11</v>
      </c>
      <c r="C47" s="180"/>
      <c r="D47" s="15">
        <f>IF(F3="1",SUMIF(Data!A:A,'5'!$A$2,Data!DF:DF),0)</f>
        <v>2056326</v>
      </c>
      <c r="E47" s="18">
        <f>IF(F3="1",SUMIF(Data!$A:$A,'5'!$A$2,Data!IZ:IZ),0)</f>
        <v>1009620</v>
      </c>
      <c r="F47" s="22">
        <f t="shared" si="3"/>
        <v>0.4909824609522031</v>
      </c>
    </row>
    <row r="48" spans="1:6" x14ac:dyDescent="0.2">
      <c r="A48" s="20">
        <v>13</v>
      </c>
      <c r="B48" s="179" t="s">
        <v>12</v>
      </c>
      <c r="C48" s="180"/>
      <c r="D48" s="15">
        <f>IF(F3="1",SUMIF(Data!A:A,'5'!$A$2,Data!DG:DG),0)</f>
        <v>884840</v>
      </c>
      <c r="E48" s="18">
        <f>IF(F3="1",SUMIF(Data!$A:$A,'5'!$A$2,Data!JA:JA),0)</f>
        <v>516651</v>
      </c>
      <c r="F48" s="22">
        <f t="shared" si="3"/>
        <v>0.58389200307400213</v>
      </c>
    </row>
    <row r="49" spans="1:6" ht="14.25" customHeight="1" x14ac:dyDescent="0.2">
      <c r="A49" s="20">
        <v>14</v>
      </c>
      <c r="B49" s="179" t="s">
        <v>804</v>
      </c>
      <c r="C49" s="180"/>
      <c r="D49" s="15">
        <f>IF(F3="1",SUMIF(Data!A:A,'5'!$A$2,Data!DH:DH),0)</f>
        <v>462924</v>
      </c>
      <c r="E49" s="18">
        <f>IF(F3="1",SUMIF(Data!$A:$A,'5'!$A$2,Data!JB:JB),0)</f>
        <v>1073312</v>
      </c>
      <c r="F49" s="22">
        <f t="shared" si="3"/>
        <v>2.3185490490879714</v>
      </c>
    </row>
    <row r="50" spans="1:6" x14ac:dyDescent="0.2">
      <c r="A50" s="20">
        <v>15</v>
      </c>
      <c r="B50" s="179" t="s">
        <v>13</v>
      </c>
      <c r="C50" s="180"/>
      <c r="D50" s="15">
        <f>IF(F3="1",SUMIF(Data!A:A,'5'!$A$2,Data!DI:DI),0)</f>
        <v>23360</v>
      </c>
      <c r="E50" s="18">
        <f>IF(F3="1",SUMIF(Data!$A:$A,'5'!$A$2,Data!JC:JC),0)</f>
        <v>245729</v>
      </c>
      <c r="F50" s="22">
        <f t="shared" si="3"/>
        <v>10.519220890410958</v>
      </c>
    </row>
    <row r="51" spans="1:6" x14ac:dyDescent="0.2">
      <c r="A51" s="20">
        <v>16</v>
      </c>
      <c r="B51" s="179" t="s">
        <v>14</v>
      </c>
      <c r="C51" s="180"/>
      <c r="D51" s="15">
        <f>IF(F3="1",SUMIF(Data!A:A,'5'!$A$2,Data!DJ:DJ),0)</f>
        <v>610440</v>
      </c>
      <c r="E51" s="18">
        <f>IF(F3="1",SUMIF(Data!$A:$A,'5'!$A$2,Data!JD:JD),0)</f>
        <v>1461968</v>
      </c>
      <c r="F51" s="22">
        <f t="shared" si="3"/>
        <v>2.394941353777603</v>
      </c>
    </row>
    <row r="52" spans="1:6" x14ac:dyDescent="0.2">
      <c r="A52" s="20">
        <v>17</v>
      </c>
      <c r="B52" s="179" t="s">
        <v>15</v>
      </c>
      <c r="C52" s="180"/>
      <c r="D52" s="15">
        <f>IF(F3="1",SUMIF(Data!A:A,'5'!$A$2,Data!DK:DK),0)</f>
        <v>0</v>
      </c>
      <c r="E52" s="18">
        <f>IF(F3="1",SUMIF(Data!$A:$A,'5'!$A$2,Data!JE:JE),0)</f>
        <v>0</v>
      </c>
      <c r="F52" s="22" t="str">
        <f t="shared" si="3"/>
        <v/>
      </c>
    </row>
    <row r="53" spans="1:6" x14ac:dyDescent="0.2">
      <c r="A53" s="20">
        <v>18</v>
      </c>
      <c r="B53" s="179" t="s">
        <v>16</v>
      </c>
      <c r="C53" s="180"/>
      <c r="D53" s="15">
        <f>IF(F3="1",SUMIF(Data!A:A,'5'!$A$2,Data!DL:DL),0)</f>
        <v>118357</v>
      </c>
      <c r="E53" s="18">
        <f>IF(F3="1",SUMIF(Data!$A:$A,'5'!$A$2,Data!JF:JF),0)</f>
        <v>338142</v>
      </c>
      <c r="F53" s="22">
        <f t="shared" si="3"/>
        <v>2.8569666348420455</v>
      </c>
    </row>
    <row r="54" spans="1:6" x14ac:dyDescent="0.2">
      <c r="A54" s="20">
        <v>19</v>
      </c>
      <c r="B54" s="179" t="s">
        <v>17</v>
      </c>
      <c r="C54" s="180"/>
      <c r="D54" s="15">
        <f>IF(F3="1",SUMIF(Data!A:A,'5'!$A$2,Data!DM:DM),0)</f>
        <v>957996</v>
      </c>
      <c r="E54" s="18">
        <f>IF(F3="1",SUMIF(Data!$A:$A,'5'!$A$2,Data!JG:JG),0)</f>
        <v>322279</v>
      </c>
      <c r="F54" s="22">
        <f t="shared" si="3"/>
        <v>0.33640954659518413</v>
      </c>
    </row>
    <row r="55" spans="1:6" x14ac:dyDescent="0.2">
      <c r="A55" s="20">
        <v>20</v>
      </c>
      <c r="B55" s="179" t="s">
        <v>18</v>
      </c>
      <c r="C55" s="180"/>
      <c r="D55" s="15">
        <f>IF(F3="1",SUMIF(Data!A:A,'5'!$A$2,Data!DN:DN),0)</f>
        <v>187392</v>
      </c>
      <c r="E55" s="18">
        <f>IF(F3="1",SUMIF(Data!$A:$A,'5'!$A$2,Data!JH:JH),0)</f>
        <v>695036</v>
      </c>
      <c r="F55" s="22">
        <f t="shared" si="3"/>
        <v>3.7089950478142075</v>
      </c>
    </row>
    <row r="56" spans="1:6" ht="14.25" customHeight="1" x14ac:dyDescent="0.2">
      <c r="A56" s="20">
        <v>21</v>
      </c>
      <c r="B56" s="179" t="s">
        <v>801</v>
      </c>
      <c r="C56" s="180"/>
      <c r="D56" s="15">
        <f>IF(F3="1",SUMIF(Data!A:A,'5'!$A$2,Data!DO:DO),0)</f>
        <v>21200</v>
      </c>
      <c r="E56" s="18">
        <f>IF(F3="1",SUMIF(Data!$A:$A,'5'!$A$2,Data!JI:JI),0)</f>
        <v>830575</v>
      </c>
      <c r="F56" s="22">
        <f t="shared" si="3"/>
        <v>39.178066037735846</v>
      </c>
    </row>
    <row r="57" spans="1:6" x14ac:dyDescent="0.2">
      <c r="A57" s="20">
        <v>22</v>
      </c>
      <c r="B57" s="179" t="s">
        <v>19</v>
      </c>
      <c r="C57" s="180"/>
      <c r="D57" s="15">
        <f>IF(F3="1",SUMIF(Data!A:A,'5'!$A$2,Data!DP:DP),0)</f>
        <v>31568</v>
      </c>
      <c r="E57" s="18">
        <f>IF(F3="1",SUMIF(Data!$A:$A,'5'!$A$2,Data!JJ:JJ),0)</f>
        <v>292195</v>
      </c>
      <c r="F57" s="22">
        <f t="shared" si="3"/>
        <v>9.2560504308160159</v>
      </c>
    </row>
    <row r="58" spans="1:6" x14ac:dyDescent="0.2">
      <c r="A58" s="20">
        <v>23</v>
      </c>
      <c r="B58" s="179" t="s">
        <v>20</v>
      </c>
      <c r="C58" s="180"/>
      <c r="D58" s="15">
        <f>IF(F3="1",SUMIF(Data!A:A,'5'!$A$2,Data!DQ:DQ),0)</f>
        <v>335776</v>
      </c>
      <c r="E58" s="18">
        <f>IF(F3="1",SUMIF(Data!$A:$A,'5'!$A$2,Data!JK:JK),0)</f>
        <v>292236</v>
      </c>
      <c r="F58" s="22">
        <f t="shared" si="3"/>
        <v>0.87033022014676453</v>
      </c>
    </row>
    <row r="59" spans="1:6" x14ac:dyDescent="0.2">
      <c r="A59" s="20">
        <v>24</v>
      </c>
      <c r="B59" s="179" t="s">
        <v>21</v>
      </c>
      <c r="C59" s="180"/>
      <c r="D59" s="15">
        <f>IF(F3="1",SUMIF(Data!A:A,'5'!$A$2,Data!DR:DR),0)</f>
        <v>319232</v>
      </c>
      <c r="E59" s="18">
        <f>IF(F3="1",SUMIF(Data!$A:$A,'5'!$A$2,Data!JL:JL),0)</f>
        <v>522405</v>
      </c>
      <c r="F59" s="22">
        <f t="shared" si="3"/>
        <v>1.6364430884121892</v>
      </c>
    </row>
    <row r="60" spans="1:6" x14ac:dyDescent="0.2">
      <c r="A60" s="20">
        <v>25</v>
      </c>
      <c r="B60" s="179" t="s">
        <v>22</v>
      </c>
      <c r="C60" s="180"/>
      <c r="D60" s="15">
        <f>IF(F3="1",SUMIF(Data!A:A,'5'!$A$2,Data!DS:DS),0)</f>
        <v>3496496</v>
      </c>
      <c r="E60" s="18">
        <f>IF(F3="1",SUMIF(Data!$A:$A,'5'!$A$2,Data!JM:JM),0)</f>
        <v>1344329</v>
      </c>
      <c r="F60" s="22">
        <f t="shared" si="3"/>
        <v>0.3844789183228009</v>
      </c>
    </row>
    <row r="61" spans="1:6" x14ac:dyDescent="0.2">
      <c r="A61" s="20">
        <v>26</v>
      </c>
      <c r="B61" s="179" t="s">
        <v>23</v>
      </c>
      <c r="C61" s="180"/>
      <c r="D61" s="15">
        <f>IF(F3="1",SUMIF(Data!A:A,'5'!$A$2,Data!DT:DT),0)</f>
        <v>990968</v>
      </c>
      <c r="E61" s="18">
        <f>IF(F3="1",SUMIF(Data!$A:$A,'5'!$A$2,Data!JN:JN),0)</f>
        <v>2198811</v>
      </c>
      <c r="F61" s="22">
        <f t="shared" si="3"/>
        <v>2.2188516682677948</v>
      </c>
    </row>
    <row r="62" spans="1:6" x14ac:dyDescent="0.2">
      <c r="A62" s="20">
        <v>28</v>
      </c>
      <c r="B62" s="179" t="s">
        <v>24</v>
      </c>
      <c r="C62" s="180"/>
      <c r="D62" s="15">
        <f>IF(F3="1",SUMIF(Data!A:A,'5'!$A$2,Data!DV:DV),0)</f>
        <v>1258656</v>
      </c>
      <c r="E62" s="18">
        <f>IF(F3="1",SUMIF(Data!$A:$A,'5'!$A$2,Data!JP:JP),0)</f>
        <v>542958</v>
      </c>
      <c r="F62" s="22">
        <f t="shared" si="3"/>
        <v>0.43137918541682557</v>
      </c>
    </row>
    <row r="63" spans="1:6" ht="15.75" customHeight="1" thickBot="1" x14ac:dyDescent="0.25">
      <c r="A63" s="23">
        <v>29</v>
      </c>
      <c r="B63" s="181" t="s">
        <v>25</v>
      </c>
      <c r="C63" s="182"/>
      <c r="D63" s="24">
        <f>IF(F3="1",SUMIF(Data!A:A,'5'!$A$2,Data!DW:DW),0)</f>
        <v>520464</v>
      </c>
      <c r="E63" s="25">
        <f>IF(F3="1",SUMIF(Data!$A:$A,'5'!$A$2,Data!JQ:JQ),0)</f>
        <v>375177</v>
      </c>
      <c r="F63" s="26">
        <f t="shared" si="3"/>
        <v>0.72085100986811768</v>
      </c>
    </row>
    <row r="64" spans="1:6" x14ac:dyDescent="0.2">
      <c r="B64" s="31" t="s">
        <v>35</v>
      </c>
      <c r="C64" s="31"/>
      <c r="D64" s="61">
        <f>SUM(D36:D63)</f>
        <v>16819068</v>
      </c>
      <c r="E64" s="32">
        <f>SUM(E36:E63)</f>
        <v>22556536</v>
      </c>
      <c r="F64" s="33">
        <f t="shared" si="3"/>
        <v>1.3411287712256112</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95473</v>
      </c>
      <c r="E67" s="16">
        <f>IF(F3="1",SUMIF(Data!A:A,'5'!$A$2,Data!DY:DY),0)</f>
        <v>132347</v>
      </c>
      <c r="F67" s="21">
        <f>IFERROR(E67/D67,"")</f>
        <v>1.386224377572717</v>
      </c>
    </row>
    <row r="68" spans="1:6" x14ac:dyDescent="0.2">
      <c r="A68" s="20">
        <v>2</v>
      </c>
      <c r="B68" s="179" t="s">
        <v>1</v>
      </c>
      <c r="C68" s="180"/>
      <c r="D68" s="15">
        <f t="shared" ref="D68:D94" si="4">D37</f>
        <v>155251</v>
      </c>
      <c r="E68" s="18">
        <f>IF(F3="1",SUMIF(Data!A:A,'5'!$A$2,Data!DZ:DZ),0)</f>
        <v>1214179</v>
      </c>
      <c r="F68" s="22">
        <f t="shared" ref="F68:F95" si="5">IFERROR(E68/D68,"")</f>
        <v>7.8207483365646597</v>
      </c>
    </row>
    <row r="69" spans="1:6" ht="14.25" customHeight="1" x14ac:dyDescent="0.2">
      <c r="A69" s="20">
        <v>3</v>
      </c>
      <c r="B69" s="179" t="s">
        <v>2</v>
      </c>
      <c r="C69" s="180"/>
      <c r="D69" s="15">
        <f t="shared" si="4"/>
        <v>1998240</v>
      </c>
      <c r="E69" s="18">
        <f>IF(F3="1",SUMIF(Data!A:A,'5'!$A$2,Data!EA:EA),0)</f>
        <v>8485100</v>
      </c>
      <c r="F69" s="22">
        <f t="shared" si="5"/>
        <v>4.2462867323244451</v>
      </c>
    </row>
    <row r="70" spans="1:6" ht="14.25" customHeight="1" x14ac:dyDescent="0.2">
      <c r="A70" s="20">
        <v>4</v>
      </c>
      <c r="B70" s="179" t="s">
        <v>3</v>
      </c>
      <c r="C70" s="180"/>
      <c r="D70" s="15">
        <f t="shared" si="4"/>
        <v>910082</v>
      </c>
      <c r="E70" s="18">
        <f>IF(F3="1",SUMIF(Data!A:A,'5'!$A$2,Data!EB:EB),0)</f>
        <v>3628337</v>
      </c>
      <c r="F70" s="22">
        <f t="shared" si="5"/>
        <v>3.9868242641871832</v>
      </c>
    </row>
    <row r="71" spans="1:6" x14ac:dyDescent="0.2">
      <c r="A71" s="20">
        <v>5</v>
      </c>
      <c r="B71" s="179" t="s">
        <v>4</v>
      </c>
      <c r="C71" s="180"/>
      <c r="D71" s="15">
        <f t="shared" si="4"/>
        <v>872</v>
      </c>
      <c r="E71" s="18">
        <f>IF(F3="1",SUMIF(Data!A:A,'5'!$A$2,Data!EC:EC),0)</f>
        <v>0</v>
      </c>
      <c r="F71" s="22">
        <f t="shared" si="5"/>
        <v>0</v>
      </c>
    </row>
    <row r="72" spans="1:6" x14ac:dyDescent="0.2">
      <c r="A72" s="20">
        <v>6</v>
      </c>
      <c r="B72" s="179" t="s">
        <v>5</v>
      </c>
      <c r="C72" s="180"/>
      <c r="D72" s="15">
        <f t="shared" si="4"/>
        <v>247952</v>
      </c>
      <c r="E72" s="18">
        <f>IF(F3="1",SUMIF(Data!A:A,'5'!$A$2,Data!ED:ED),0)</f>
        <v>482193</v>
      </c>
      <c r="F72" s="22">
        <f t="shared" si="5"/>
        <v>1.9447030070336193</v>
      </c>
    </row>
    <row r="73" spans="1:6" x14ac:dyDescent="0.2">
      <c r="A73" s="20">
        <v>7</v>
      </c>
      <c r="B73" s="179" t="s">
        <v>6</v>
      </c>
      <c r="C73" s="180"/>
      <c r="D73" s="15">
        <f t="shared" si="4"/>
        <v>520976</v>
      </c>
      <c r="E73" s="18">
        <f>IF(F3="1",SUMIF(Data!A:A,'5'!$A$2,Data!EE:EE),0)</f>
        <v>3350813</v>
      </c>
      <c r="F73" s="22">
        <f t="shared" si="5"/>
        <v>6.4317991615736618</v>
      </c>
    </row>
    <row r="74" spans="1:6" x14ac:dyDescent="0.2">
      <c r="A74" s="20">
        <v>8</v>
      </c>
      <c r="B74" s="179" t="s">
        <v>7</v>
      </c>
      <c r="C74" s="180"/>
      <c r="D74" s="15">
        <f t="shared" si="4"/>
        <v>23676</v>
      </c>
      <c r="E74" s="18">
        <f>IF(F3="1",SUMIF(Data!A:A,'5'!$A$2,Data!EF:EF),0)</f>
        <v>0</v>
      </c>
      <c r="F74" s="22">
        <f t="shared" si="5"/>
        <v>0</v>
      </c>
    </row>
    <row r="75" spans="1:6" x14ac:dyDescent="0.2">
      <c r="A75" s="20">
        <v>9</v>
      </c>
      <c r="B75" s="179" t="s">
        <v>8</v>
      </c>
      <c r="C75" s="180"/>
      <c r="D75" s="15">
        <f t="shared" si="4"/>
        <v>209655</v>
      </c>
      <c r="E75" s="18">
        <f>IF(F3="1",SUMIF(Data!A:A,'5'!$A$2,Data!EG:EG),0)</f>
        <v>918423</v>
      </c>
      <c r="F75" s="22">
        <f t="shared" si="5"/>
        <v>4.3806396222365311</v>
      </c>
    </row>
    <row r="76" spans="1:6" x14ac:dyDescent="0.2">
      <c r="A76" s="20">
        <v>10</v>
      </c>
      <c r="B76" s="179" t="s">
        <v>9</v>
      </c>
      <c r="C76" s="180"/>
      <c r="D76" s="15">
        <f t="shared" si="4"/>
        <v>14224</v>
      </c>
      <c r="E76" s="18">
        <f>IF(F3="1",SUMIF(Data!A:A,'5'!$A$2,Data!EH:EH),0)</f>
        <v>119677</v>
      </c>
      <c r="F76" s="22">
        <f t="shared" si="5"/>
        <v>8.4137373453318336</v>
      </c>
    </row>
    <row r="77" spans="1:6" x14ac:dyDescent="0.2">
      <c r="A77" s="20">
        <v>11</v>
      </c>
      <c r="B77" s="179" t="s">
        <v>10</v>
      </c>
      <c r="C77" s="180"/>
      <c r="D77" s="15">
        <f t="shared" si="4"/>
        <v>366672</v>
      </c>
      <c r="E77" s="18">
        <f>IF(F3="1",SUMIF(Data!A:A,'5'!$A$2,Data!EI:EI),0)</f>
        <v>2103940</v>
      </c>
      <c r="F77" s="22">
        <f t="shared" si="5"/>
        <v>5.7379347209495135</v>
      </c>
    </row>
    <row r="78" spans="1:6" ht="14.25" customHeight="1" x14ac:dyDescent="0.2">
      <c r="A78" s="20">
        <v>12</v>
      </c>
      <c r="B78" s="179" t="s">
        <v>11</v>
      </c>
      <c r="C78" s="180"/>
      <c r="D78" s="15">
        <f t="shared" si="4"/>
        <v>2056326</v>
      </c>
      <c r="E78" s="18">
        <f>IF(F3="1",SUMIF(Data!A:A,'5'!$A$2,Data!EJ:EJ),0)</f>
        <v>9249462</v>
      </c>
      <c r="F78" s="22">
        <f t="shared" si="5"/>
        <v>4.4980523516212898</v>
      </c>
    </row>
    <row r="79" spans="1:6" x14ac:dyDescent="0.2">
      <c r="A79" s="20">
        <v>13</v>
      </c>
      <c r="B79" s="179" t="s">
        <v>12</v>
      </c>
      <c r="C79" s="180"/>
      <c r="D79" s="15">
        <f t="shared" si="4"/>
        <v>884840</v>
      </c>
      <c r="E79" s="18">
        <f>IF(F3="1",SUMIF(Data!A:A,'5'!$A$2,Data!EK:EK),0)</f>
        <v>3671993</v>
      </c>
      <c r="F79" s="22">
        <f t="shared" si="5"/>
        <v>4.1498948962524302</v>
      </c>
    </row>
    <row r="80" spans="1:6" ht="14.25" customHeight="1" x14ac:dyDescent="0.2">
      <c r="A80" s="20">
        <v>14</v>
      </c>
      <c r="B80" s="179" t="s">
        <v>804</v>
      </c>
      <c r="C80" s="180"/>
      <c r="D80" s="15">
        <f t="shared" si="4"/>
        <v>462924</v>
      </c>
      <c r="E80" s="18">
        <f>IF(F3="1",SUMIF(Data!A:A,'5'!$A$2,Data!EL:EL),0)</f>
        <v>4179336</v>
      </c>
      <c r="F80" s="22">
        <f t="shared" si="5"/>
        <v>9.0281255670477236</v>
      </c>
    </row>
    <row r="81" spans="1:6" x14ac:dyDescent="0.2">
      <c r="A81" s="20">
        <v>15</v>
      </c>
      <c r="B81" s="179" t="s">
        <v>13</v>
      </c>
      <c r="C81" s="180"/>
      <c r="D81" s="15">
        <f t="shared" si="4"/>
        <v>23360</v>
      </c>
      <c r="E81" s="18">
        <f>IF(F3="1",SUMIF(Data!A:A,'5'!$A$2,Data!EM:EM),0)</f>
        <v>441650</v>
      </c>
      <c r="F81" s="22">
        <f t="shared" si="5"/>
        <v>18.90625</v>
      </c>
    </row>
    <row r="82" spans="1:6" x14ac:dyDescent="0.2">
      <c r="A82" s="20">
        <v>16</v>
      </c>
      <c r="B82" s="179" t="s">
        <v>14</v>
      </c>
      <c r="C82" s="180"/>
      <c r="D82" s="15">
        <f t="shared" si="4"/>
        <v>610440</v>
      </c>
      <c r="E82" s="18">
        <f>IF(F3="1",SUMIF(Data!A:A,'5'!$A$2,Data!EN:EN),0)</f>
        <v>4912147</v>
      </c>
      <c r="F82" s="22">
        <f t="shared" si="5"/>
        <v>8.0468956818032886</v>
      </c>
    </row>
    <row r="83" spans="1:6" x14ac:dyDescent="0.2">
      <c r="A83" s="20">
        <v>17</v>
      </c>
      <c r="B83" s="179" t="s">
        <v>15</v>
      </c>
      <c r="C83" s="180"/>
      <c r="D83" s="15">
        <f t="shared" si="4"/>
        <v>0</v>
      </c>
      <c r="E83" s="18">
        <f>IF(F3="1",SUMIF(Data!A:A,'5'!$A$2,Data!EO:EO),0)</f>
        <v>0</v>
      </c>
      <c r="F83" s="22" t="str">
        <f t="shared" si="5"/>
        <v/>
      </c>
    </row>
    <row r="84" spans="1:6" x14ac:dyDescent="0.2">
      <c r="A84" s="20">
        <v>18</v>
      </c>
      <c r="B84" s="179" t="s">
        <v>16</v>
      </c>
      <c r="C84" s="180"/>
      <c r="D84" s="15">
        <f t="shared" si="4"/>
        <v>118357</v>
      </c>
      <c r="E84" s="18">
        <f>IF(F3="1",SUMIF(Data!A:A,'5'!$A$2,Data!EP:EP),0)</f>
        <v>1185987</v>
      </c>
      <c r="F84" s="22">
        <f t="shared" si="5"/>
        <v>10.020421267859104</v>
      </c>
    </row>
    <row r="85" spans="1:6" x14ac:dyDescent="0.2">
      <c r="A85" s="20">
        <v>19</v>
      </c>
      <c r="B85" s="179" t="s">
        <v>17</v>
      </c>
      <c r="C85" s="180"/>
      <c r="D85" s="15">
        <f t="shared" si="4"/>
        <v>957996</v>
      </c>
      <c r="E85" s="18">
        <f>IF(F3="1",SUMIF(Data!A:A,'5'!$A$2,Data!EQ:EQ),0)</f>
        <v>3554186</v>
      </c>
      <c r="F85" s="22">
        <f t="shared" si="5"/>
        <v>3.7100217537442743</v>
      </c>
    </row>
    <row r="86" spans="1:6" x14ac:dyDescent="0.2">
      <c r="A86" s="20">
        <v>20</v>
      </c>
      <c r="B86" s="179" t="s">
        <v>18</v>
      </c>
      <c r="C86" s="180"/>
      <c r="D86" s="15">
        <f t="shared" si="4"/>
        <v>187392</v>
      </c>
      <c r="E86" s="18">
        <f>IF(F3="1",SUMIF(Data!A:A,'5'!$A$2,Data!ER:ER),0)</f>
        <v>1291349</v>
      </c>
      <c r="F86" s="22">
        <f t="shared" si="5"/>
        <v>6.8911639771174862</v>
      </c>
    </row>
    <row r="87" spans="1:6" ht="14.25" customHeight="1" x14ac:dyDescent="0.2">
      <c r="A87" s="20">
        <v>21</v>
      </c>
      <c r="B87" s="179" t="s">
        <v>801</v>
      </c>
      <c r="C87" s="180"/>
      <c r="D87" s="15">
        <f t="shared" si="4"/>
        <v>21200</v>
      </c>
      <c r="E87" s="18">
        <f>IF(F3="1",SUMIF(Data!A:A,'5'!$A$2,Data!ES:ES),0)</f>
        <v>192492</v>
      </c>
      <c r="F87" s="22">
        <f t="shared" si="5"/>
        <v>9.0798113207547164</v>
      </c>
    </row>
    <row r="88" spans="1:6" x14ac:dyDescent="0.2">
      <c r="A88" s="20">
        <v>22</v>
      </c>
      <c r="B88" s="179" t="s">
        <v>19</v>
      </c>
      <c r="C88" s="180"/>
      <c r="D88" s="15">
        <f t="shared" si="4"/>
        <v>31568</v>
      </c>
      <c r="E88" s="18">
        <f>IF(F3="1",SUMIF(Data!A:A,'5'!$A$2,Data!ET:ET),0)</f>
        <v>705998</v>
      </c>
      <c r="F88" s="22">
        <f t="shared" si="5"/>
        <v>22.364356310187532</v>
      </c>
    </row>
    <row r="89" spans="1:6" x14ac:dyDescent="0.2">
      <c r="A89" s="20">
        <v>23</v>
      </c>
      <c r="B89" s="179" t="s">
        <v>20</v>
      </c>
      <c r="C89" s="180"/>
      <c r="D89" s="15">
        <f t="shared" si="4"/>
        <v>335776</v>
      </c>
      <c r="E89" s="18">
        <f>IF(F3="1",SUMIF(Data!A:A,'5'!$A$2,Data!EU:EU),0)</f>
        <v>1238879</v>
      </c>
      <c r="F89" s="22">
        <f t="shared" si="5"/>
        <v>3.6895996140284</v>
      </c>
    </row>
    <row r="90" spans="1:6" x14ac:dyDescent="0.2">
      <c r="A90" s="20">
        <v>24</v>
      </c>
      <c r="B90" s="179" t="s">
        <v>21</v>
      </c>
      <c r="C90" s="180"/>
      <c r="D90" s="15">
        <f t="shared" si="4"/>
        <v>319232</v>
      </c>
      <c r="E90" s="18">
        <f>IF(F3="1",SUMIF(Data!A:A,'5'!$A$2,Data!EV:EV),0)</f>
        <v>1105669</v>
      </c>
      <c r="F90" s="22">
        <f t="shared" si="5"/>
        <v>3.4635280924218121</v>
      </c>
    </row>
    <row r="91" spans="1:6" x14ac:dyDescent="0.2">
      <c r="A91" s="20">
        <v>25</v>
      </c>
      <c r="B91" s="179" t="s">
        <v>22</v>
      </c>
      <c r="C91" s="180"/>
      <c r="D91" s="15">
        <f t="shared" si="4"/>
        <v>3496496</v>
      </c>
      <c r="E91" s="18">
        <f>IF(F3="1",SUMIF(Data!A:A,'5'!$A$2,Data!EW:EW),0)</f>
        <v>11123923</v>
      </c>
      <c r="F91" s="22">
        <f t="shared" si="5"/>
        <v>3.1814487990262252</v>
      </c>
    </row>
    <row r="92" spans="1:6" x14ac:dyDescent="0.2">
      <c r="A92" s="20">
        <v>26</v>
      </c>
      <c r="B92" s="179" t="s">
        <v>23</v>
      </c>
      <c r="C92" s="180"/>
      <c r="D92" s="15">
        <f t="shared" si="4"/>
        <v>990968</v>
      </c>
      <c r="E92" s="18">
        <f>IF(F3="1",SUMIF(Data!A:A,'5'!$A$2,Data!EX:EX),0)</f>
        <v>7181842</v>
      </c>
      <c r="F92" s="22">
        <f t="shared" si="5"/>
        <v>7.247299610078227</v>
      </c>
    </row>
    <row r="93" spans="1:6" x14ac:dyDescent="0.2">
      <c r="A93" s="20">
        <v>28</v>
      </c>
      <c r="B93" s="179" t="s">
        <v>24</v>
      </c>
      <c r="C93" s="180"/>
      <c r="D93" s="15">
        <f t="shared" si="4"/>
        <v>1258656</v>
      </c>
      <c r="E93" s="18">
        <f>IF(F3="1",SUMIF(Data!A:A,'5'!$A$2,Data!EZ:EZ),0)</f>
        <v>4726897</v>
      </c>
      <c r="F93" s="22">
        <f t="shared" si="5"/>
        <v>3.7555114344189358</v>
      </c>
    </row>
    <row r="94" spans="1:6" ht="15.75" customHeight="1" thickBot="1" x14ac:dyDescent="0.25">
      <c r="A94" s="23">
        <v>29</v>
      </c>
      <c r="B94" s="181" t="s">
        <v>25</v>
      </c>
      <c r="C94" s="182"/>
      <c r="D94" s="24">
        <f t="shared" si="4"/>
        <v>520464</v>
      </c>
      <c r="E94" s="25">
        <f>IF(F3="1",SUMIF(Data!A:A,'5'!$A$2,Data!FA:FA),0)</f>
        <v>2370217</v>
      </c>
      <c r="F94" s="26">
        <f t="shared" si="5"/>
        <v>4.5540460051031388</v>
      </c>
    </row>
    <row r="95" spans="1:6" x14ac:dyDescent="0.2">
      <c r="B95" s="31" t="s">
        <v>35</v>
      </c>
      <c r="C95" s="31"/>
      <c r="D95" s="61">
        <f>SUM(D67:D94)</f>
        <v>16819068</v>
      </c>
      <c r="E95" s="32">
        <f>SUM(E67:E94)</f>
        <v>77567036</v>
      </c>
      <c r="F95" s="33">
        <f t="shared" si="5"/>
        <v>4.6118510252767875</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IF(F3="1",SUMIF(Data!A:A,'5'!$A$2,Data!AH:AH),0)</f>
        <v>30014351</v>
      </c>
      <c r="F98" s="21">
        <f t="shared" ref="F98:F105" si="6">IFERROR(E98/$D$95,0)</f>
        <v>1.7845430555367277</v>
      </c>
    </row>
    <row r="99" spans="2:6" x14ac:dyDescent="0.2">
      <c r="B99" s="185" t="s">
        <v>31</v>
      </c>
      <c r="C99" s="186"/>
      <c r="D99" s="37"/>
      <c r="E99" s="18">
        <f>IF(F3="1",SUMIF(Data!A:A,'5'!$A$2,Data!AI:AI),0)</f>
        <v>20578287</v>
      </c>
      <c r="F99" s="22">
        <f t="shared" si="6"/>
        <v>1.2235093525990857</v>
      </c>
    </row>
    <row r="100" spans="2:6" x14ac:dyDescent="0.2">
      <c r="B100" s="185" t="s">
        <v>32</v>
      </c>
      <c r="C100" s="186"/>
      <c r="D100" s="37"/>
      <c r="E100" s="18">
        <f>IF(F3="1",SUMIF(Data!A:A,'5'!$A$2,Data!AJ:AJ),0)</f>
        <v>20525355</v>
      </c>
      <c r="F100" s="22">
        <f t="shared" si="6"/>
        <v>1.2203622103198584</v>
      </c>
    </row>
    <row r="101" spans="2:6" x14ac:dyDescent="0.2">
      <c r="B101" s="185" t="s">
        <v>28</v>
      </c>
      <c r="C101" s="186"/>
      <c r="D101" s="37"/>
      <c r="E101" s="18">
        <f>IF(F3="1",SUMIF(Data!A:A,'5'!$A$2,Data!AK:AK),0)</f>
        <v>0</v>
      </c>
      <c r="F101" s="22">
        <f t="shared" si="6"/>
        <v>0</v>
      </c>
    </row>
    <row r="102" spans="2:6" x14ac:dyDescent="0.2">
      <c r="B102" s="185" t="s">
        <v>33</v>
      </c>
      <c r="C102" s="186"/>
      <c r="D102" s="37"/>
      <c r="E102" s="18">
        <f>IF(F3="1",SUMIF(Data!A:A,'5'!$A$2,Data!AL:AL),0)</f>
        <v>0</v>
      </c>
      <c r="F102" s="22">
        <f t="shared" si="6"/>
        <v>0</v>
      </c>
    </row>
    <row r="103" spans="2:6" x14ac:dyDescent="0.2">
      <c r="B103" s="187" t="s">
        <v>34</v>
      </c>
      <c r="C103" s="188"/>
      <c r="D103" s="37"/>
      <c r="E103" s="18">
        <f>IF(F3="1",SUMIF(Data!A:A,'5'!$A$2,Data!AM:AM),0)</f>
        <v>3263946</v>
      </c>
      <c r="F103" s="22">
        <f t="shared" si="6"/>
        <v>0.19406223935832831</v>
      </c>
    </row>
    <row r="104" spans="2:6" ht="15.75" customHeight="1" thickBot="1" x14ac:dyDescent="0.25">
      <c r="B104" s="177" t="s">
        <v>29</v>
      </c>
      <c r="C104" s="178"/>
      <c r="D104" s="38"/>
      <c r="E104" s="25">
        <f>IF(F3="1",SUMIF(Data!A:A,'5'!$A$2,Data!Q:Q),0)</f>
        <v>4773475</v>
      </c>
      <c r="F104" s="26">
        <f t="shared" si="6"/>
        <v>0.28381328858412369</v>
      </c>
    </row>
    <row r="105" spans="2:6" x14ac:dyDescent="0.2">
      <c r="B105" s="31" t="s">
        <v>35</v>
      </c>
      <c r="C105" s="31"/>
      <c r="D105" s="35">
        <f>D95</f>
        <v>16819068</v>
      </c>
      <c r="E105" s="32">
        <f>SUM(E98:E104)</f>
        <v>79155414</v>
      </c>
      <c r="F105" s="33">
        <f t="shared" si="6"/>
        <v>4.7062901463981239</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88037699</v>
      </c>
      <c r="D109" s="16">
        <f>IF(F3="1",SUMIF(Data!$A:$A,$A$2,Data!HJ:HJ),0)</f>
        <v>5664117</v>
      </c>
      <c r="E109" s="16">
        <f>IF(F3="1",SUMIF(Data!$A:$A,$A$2,Data!IN:IN),0)</f>
        <v>6421756</v>
      </c>
      <c r="F109" s="48">
        <f>SUM(C109:E109)</f>
        <v>100123572</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4494514</v>
      </c>
      <c r="D111" s="52"/>
      <c r="E111" s="51">
        <f>IF(F3="1",SUMIF(Data!A:A,$A$2,Data!AX:AX),0)</f>
        <v>2014355</v>
      </c>
      <c r="F111" s="49">
        <f t="shared" si="7"/>
        <v>6508869</v>
      </c>
    </row>
    <row r="112" spans="2:6" x14ac:dyDescent="0.2">
      <c r="B112" s="43" t="s">
        <v>32</v>
      </c>
      <c r="C112" s="51">
        <f>IF(F3="1",SUMIF(Data!A:A,$A$2,Data!V:V),0)</f>
        <v>17672658</v>
      </c>
      <c r="D112" s="52"/>
      <c r="E112" s="51">
        <f>IF(F3="1",SUMIF(Data!A:A,$A$2,Data!AC:AC),0)</f>
        <v>2852697</v>
      </c>
      <c r="F112" s="49">
        <f t="shared" si="7"/>
        <v>20525355</v>
      </c>
    </row>
    <row r="113" spans="1:6" x14ac:dyDescent="0.2">
      <c r="B113" s="43" t="s">
        <v>31</v>
      </c>
      <c r="C113" s="51">
        <f>IF(F3="1",SUMIF(Data!A:A,$A$2,Data!U:U),0)</f>
        <v>18859197</v>
      </c>
      <c r="D113" s="52"/>
      <c r="E113" s="51">
        <f>IF(F3="1",SUMIF(Data!A:A,$A$2,Data!AB:AB),0)</f>
        <v>1719090</v>
      </c>
      <c r="F113" s="49">
        <f t="shared" si="7"/>
        <v>20578287</v>
      </c>
    </row>
    <row r="114" spans="1:6" x14ac:dyDescent="0.2">
      <c r="B114" s="43" t="s">
        <v>1363</v>
      </c>
      <c r="C114" s="51">
        <f>IF(F3="1",SUMIF(Data!A:A,$A$2,Data!T:T),0)</f>
        <v>18893770</v>
      </c>
      <c r="D114" s="52"/>
      <c r="E114" s="51">
        <f>IF(F3="1",SUMIF(Data!A:A,$A$2,Data!AA:AA),0)</f>
        <v>11120581</v>
      </c>
      <c r="F114" s="49">
        <f t="shared" si="7"/>
        <v>30014351</v>
      </c>
    </row>
    <row r="115" spans="1:6" x14ac:dyDescent="0.2">
      <c r="B115" s="43" t="s">
        <v>1278</v>
      </c>
      <c r="C115" s="51">
        <f>IF(F3="1",SUMIF(Data!A:A,$A$2,Data!BI:BI),0)</f>
        <v>7318042</v>
      </c>
      <c r="D115" s="51">
        <f>IF(F3="1",SUMIF(Data!A:A,$A$2,Data!BL:BL),0)</f>
        <v>772873</v>
      </c>
      <c r="E115" s="51">
        <f>IF(F3="1",SUMIF(Data!A:A,$A$2,Data!BU:BU),0)</f>
        <v>22730871</v>
      </c>
      <c r="F115" s="49">
        <f t="shared" si="7"/>
        <v>30821786</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4773475</v>
      </c>
      <c r="E117" s="53"/>
      <c r="F117" s="50">
        <f>SUM(C117:E117)</f>
        <v>4773475</v>
      </c>
    </row>
    <row r="118" spans="1:6" x14ac:dyDescent="0.2">
      <c r="B118" s="14" t="s">
        <v>35</v>
      </c>
      <c r="C118" s="5">
        <f>SUM(C109:C116)</f>
        <v>155275880</v>
      </c>
      <c r="D118" s="5">
        <f>SUM(D109:D116)</f>
        <v>6436990</v>
      </c>
      <c r="E118" s="5">
        <f>SUM(E109:E116)</f>
        <v>46859350</v>
      </c>
      <c r="F118" s="5">
        <f>SUM(F109:F116)</f>
        <v>208572220</v>
      </c>
    </row>
    <row r="119" spans="1:6" ht="15" thickBot="1" x14ac:dyDescent="0.25"/>
    <row r="120" spans="1:6" ht="15" thickBot="1" x14ac:dyDescent="0.25">
      <c r="B120" s="57" t="s">
        <v>1283</v>
      </c>
      <c r="C120" s="55"/>
      <c r="D120" s="55"/>
      <c r="E120" s="55">
        <f>IF(F3="1",SUMIF(Data!A:A,'5'!$A$2,Data!AM:AM),0)</f>
        <v>3263946</v>
      </c>
      <c r="F120" s="56">
        <f>SUM(C120:E120)</f>
        <v>3263946</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376</v>
      </c>
      <c r="B2" s="60" t="str">
        <f>VLOOKUP(A2,Data!A:G,7,0)</f>
        <v>Blinn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71088</v>
      </c>
      <c r="E5" s="16">
        <f>E36+E67+IFERROR($E$105/$D$105*D5,0)</f>
        <v>579624.38456847798</v>
      </c>
      <c r="F5" s="21">
        <f>IFERROR(E5/D5,"")</f>
        <v>8.1536178337902037</v>
      </c>
    </row>
    <row r="6" spans="1:6" x14ac:dyDescent="0.2">
      <c r="A6" s="20">
        <v>2</v>
      </c>
      <c r="B6" s="179" t="s">
        <v>1</v>
      </c>
      <c r="C6" s="180"/>
      <c r="D6" s="15">
        <f t="shared" ref="D6:D32" si="0">D37</f>
        <v>53692</v>
      </c>
      <c r="E6" s="18">
        <f t="shared" ref="E6:E32" si="1">E37+E68+IFERROR($E$105/$D$105*D6,0)</f>
        <v>674512.10207419982</v>
      </c>
      <c r="F6" s="22">
        <f t="shared" ref="F6:F33" si="2">IFERROR(E6/D6,"")</f>
        <v>12.562618305784843</v>
      </c>
    </row>
    <row r="7" spans="1:6" ht="14.25" customHeight="1" x14ac:dyDescent="0.2">
      <c r="A7" s="20">
        <v>3</v>
      </c>
      <c r="B7" s="179" t="s">
        <v>2</v>
      </c>
      <c r="C7" s="180"/>
      <c r="D7" s="15">
        <f t="shared" si="0"/>
        <v>1415680</v>
      </c>
      <c r="E7" s="18">
        <f t="shared" si="1"/>
        <v>7109221.7260002103</v>
      </c>
      <c r="F7" s="22">
        <f t="shared" si="2"/>
        <v>5.0217716758025901</v>
      </c>
    </row>
    <row r="8" spans="1:6" ht="14.25" customHeight="1" x14ac:dyDescent="0.2">
      <c r="A8" s="20">
        <v>4</v>
      </c>
      <c r="B8" s="179" t="s">
        <v>3</v>
      </c>
      <c r="C8" s="180"/>
      <c r="D8" s="15">
        <f t="shared" si="0"/>
        <v>394303</v>
      </c>
      <c r="E8" s="18">
        <f t="shared" si="1"/>
        <v>2801457.3824063777</v>
      </c>
      <c r="F8" s="22">
        <f t="shared" si="2"/>
        <v>7.1048340550449218</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10368</v>
      </c>
      <c r="E10" s="18">
        <f t="shared" si="1"/>
        <v>39212.414629838786</v>
      </c>
      <c r="F10" s="22">
        <f t="shared" si="2"/>
        <v>3.7820615962421669</v>
      </c>
    </row>
    <row r="11" spans="1:6" x14ac:dyDescent="0.2">
      <c r="A11" s="20">
        <v>7</v>
      </c>
      <c r="B11" s="179" t="s">
        <v>6</v>
      </c>
      <c r="C11" s="180"/>
      <c r="D11" s="15">
        <f t="shared" si="0"/>
        <v>120505</v>
      </c>
      <c r="E11" s="18">
        <f t="shared" si="1"/>
        <v>2005359.4484923538</v>
      </c>
      <c r="F11" s="22">
        <f t="shared" si="2"/>
        <v>16.64129661418492</v>
      </c>
    </row>
    <row r="12" spans="1:6" x14ac:dyDescent="0.2">
      <c r="A12" s="20">
        <v>8</v>
      </c>
      <c r="B12" s="179" t="s">
        <v>7</v>
      </c>
      <c r="C12" s="180"/>
      <c r="D12" s="15">
        <f t="shared" si="0"/>
        <v>5416</v>
      </c>
      <c r="E12" s="18">
        <f t="shared" si="1"/>
        <v>68038.890204013005</v>
      </c>
      <c r="F12" s="22">
        <f t="shared" si="2"/>
        <v>12.562572046531205</v>
      </c>
    </row>
    <row r="13" spans="1:6" x14ac:dyDescent="0.2">
      <c r="A13" s="20">
        <v>9</v>
      </c>
      <c r="B13" s="179" t="s">
        <v>8</v>
      </c>
      <c r="C13" s="180"/>
      <c r="D13" s="15">
        <f t="shared" si="0"/>
        <v>110250</v>
      </c>
      <c r="E13" s="18">
        <f t="shared" si="1"/>
        <v>397300.29966625443</v>
      </c>
      <c r="F13" s="22">
        <f t="shared" si="2"/>
        <v>3.603630835975097</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22225</v>
      </c>
      <c r="E15" s="18">
        <f t="shared" si="1"/>
        <v>197389.45564700686</v>
      </c>
      <c r="F15" s="22">
        <f t="shared" si="2"/>
        <v>8.8814153271994094</v>
      </c>
    </row>
    <row r="16" spans="1:6" ht="14.25" customHeight="1" x14ac:dyDescent="0.2">
      <c r="A16" s="20">
        <v>12</v>
      </c>
      <c r="B16" s="179" t="s">
        <v>11</v>
      </c>
      <c r="C16" s="180"/>
      <c r="D16" s="15">
        <f t="shared" si="0"/>
        <v>847224</v>
      </c>
      <c r="E16" s="18">
        <f t="shared" si="1"/>
        <v>5692388.5690924516</v>
      </c>
      <c r="F16" s="22">
        <f t="shared" si="2"/>
        <v>6.7188707698229173</v>
      </c>
    </row>
    <row r="17" spans="1:6" x14ac:dyDescent="0.2">
      <c r="A17" s="20">
        <v>13</v>
      </c>
      <c r="B17" s="179" t="s">
        <v>12</v>
      </c>
      <c r="C17" s="180"/>
      <c r="D17" s="15">
        <f t="shared" si="0"/>
        <v>142704</v>
      </c>
      <c r="E17" s="18">
        <f t="shared" si="1"/>
        <v>925254.0819190311</v>
      </c>
      <c r="F17" s="22">
        <f t="shared" si="2"/>
        <v>6.4837291310617156</v>
      </c>
    </row>
    <row r="18" spans="1:6" ht="14.25" customHeight="1" x14ac:dyDescent="0.2">
      <c r="A18" s="20">
        <v>14</v>
      </c>
      <c r="B18" s="179" t="s">
        <v>804</v>
      </c>
      <c r="C18" s="180"/>
      <c r="D18" s="15">
        <f t="shared" si="0"/>
        <v>136708</v>
      </c>
      <c r="E18" s="18">
        <f t="shared" si="1"/>
        <v>2074330.234492284</v>
      </c>
      <c r="F18" s="22">
        <f t="shared" si="2"/>
        <v>15.173437066538051</v>
      </c>
    </row>
    <row r="19" spans="1:6" x14ac:dyDescent="0.2">
      <c r="A19" s="20">
        <v>15</v>
      </c>
      <c r="B19" s="179" t="s">
        <v>13</v>
      </c>
      <c r="C19" s="180"/>
      <c r="D19" s="15">
        <f t="shared" si="0"/>
        <v>17424</v>
      </c>
      <c r="E19" s="18">
        <f t="shared" si="1"/>
        <v>512359.32180847909</v>
      </c>
      <c r="F19" s="22">
        <f t="shared" si="2"/>
        <v>29.405378891671205</v>
      </c>
    </row>
    <row r="20" spans="1:6" x14ac:dyDescent="0.2">
      <c r="A20" s="20">
        <v>16</v>
      </c>
      <c r="B20" s="179" t="s">
        <v>14</v>
      </c>
      <c r="C20" s="180"/>
      <c r="D20" s="15">
        <f t="shared" si="0"/>
        <v>316256</v>
      </c>
      <c r="E20" s="18">
        <f t="shared" si="1"/>
        <v>2801204.6197120268</v>
      </c>
      <c r="F20" s="22">
        <f t="shared" si="2"/>
        <v>8.8573959694425621</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71208</v>
      </c>
      <c r="E22" s="18">
        <f t="shared" si="1"/>
        <v>609181.4102007678</v>
      </c>
      <c r="F22" s="22">
        <f t="shared" si="2"/>
        <v>8.5549574514207372</v>
      </c>
    </row>
    <row r="23" spans="1:6" x14ac:dyDescent="0.2">
      <c r="A23" s="20">
        <v>19</v>
      </c>
      <c r="B23" s="179" t="s">
        <v>17</v>
      </c>
      <c r="C23" s="180"/>
      <c r="D23" s="15">
        <f t="shared" si="0"/>
        <v>788120</v>
      </c>
      <c r="E23" s="18">
        <f t="shared" si="1"/>
        <v>4739005.0110019818</v>
      </c>
      <c r="F23" s="22">
        <f t="shared" si="2"/>
        <v>6.0130500571004184</v>
      </c>
    </row>
    <row r="24" spans="1:6" x14ac:dyDescent="0.2">
      <c r="A24" s="20">
        <v>20</v>
      </c>
      <c r="B24" s="179" t="s">
        <v>18</v>
      </c>
      <c r="C24" s="180"/>
      <c r="D24" s="15">
        <f t="shared" si="0"/>
        <v>1140</v>
      </c>
      <c r="E24" s="18">
        <f t="shared" si="1"/>
        <v>14321.743506753108</v>
      </c>
      <c r="F24" s="22">
        <f t="shared" si="2"/>
        <v>12.562932900660622</v>
      </c>
    </row>
    <row r="25" spans="1:6" ht="14.25" customHeight="1" x14ac:dyDescent="0.2">
      <c r="A25" s="20">
        <v>21</v>
      </c>
      <c r="B25" s="179" t="s">
        <v>801</v>
      </c>
      <c r="C25" s="180"/>
      <c r="D25" s="15">
        <f t="shared" si="0"/>
        <v>10400</v>
      </c>
      <c r="E25" s="18">
        <f t="shared" si="1"/>
        <v>130651.88813178273</v>
      </c>
      <c r="F25" s="22">
        <f t="shared" si="2"/>
        <v>12.562681551132956</v>
      </c>
    </row>
    <row r="26" spans="1:6" x14ac:dyDescent="0.2">
      <c r="A26" s="20">
        <v>22</v>
      </c>
      <c r="B26" s="179" t="s">
        <v>19</v>
      </c>
      <c r="C26" s="180"/>
      <c r="D26" s="15">
        <f t="shared" si="0"/>
        <v>6376</v>
      </c>
      <c r="E26" s="18">
        <f t="shared" si="1"/>
        <v>80099.095262331408</v>
      </c>
      <c r="F26" s="22">
        <f t="shared" si="2"/>
        <v>12.562593359838678</v>
      </c>
    </row>
    <row r="27" spans="1:6" x14ac:dyDescent="0.2">
      <c r="A27" s="20">
        <v>23</v>
      </c>
      <c r="B27" s="179" t="s">
        <v>20</v>
      </c>
      <c r="C27" s="180"/>
      <c r="D27" s="15">
        <f t="shared" si="0"/>
        <v>229824</v>
      </c>
      <c r="E27" s="18">
        <f t="shared" si="1"/>
        <v>1766626.6909614264</v>
      </c>
      <c r="F27" s="22">
        <f t="shared" si="2"/>
        <v>7.6868677377533521</v>
      </c>
    </row>
    <row r="28" spans="1:6" x14ac:dyDescent="0.2">
      <c r="A28" s="20">
        <v>24</v>
      </c>
      <c r="B28" s="179" t="s">
        <v>21</v>
      </c>
      <c r="C28" s="180"/>
      <c r="D28" s="15">
        <f t="shared" si="0"/>
        <v>158748</v>
      </c>
      <c r="E28" s="18">
        <f t="shared" si="1"/>
        <v>1107725.6089561775</v>
      </c>
      <c r="F28" s="22">
        <f t="shared" si="2"/>
        <v>6.9778870219226539</v>
      </c>
    </row>
    <row r="29" spans="1:6" x14ac:dyDescent="0.2">
      <c r="A29" s="20">
        <v>25</v>
      </c>
      <c r="B29" s="179" t="s">
        <v>22</v>
      </c>
      <c r="C29" s="180"/>
      <c r="D29" s="15">
        <f t="shared" si="0"/>
        <v>1853952</v>
      </c>
      <c r="E29" s="18">
        <f t="shared" si="1"/>
        <v>9311716.808624506</v>
      </c>
      <c r="F29" s="22">
        <f t="shared" si="2"/>
        <v>5.0226310112799606</v>
      </c>
    </row>
    <row r="30" spans="1:6" x14ac:dyDescent="0.2">
      <c r="A30" s="20">
        <v>26</v>
      </c>
      <c r="B30" s="179" t="s">
        <v>23</v>
      </c>
      <c r="C30" s="180"/>
      <c r="D30" s="15">
        <f t="shared" si="0"/>
        <v>437792</v>
      </c>
      <c r="E30" s="18">
        <f t="shared" si="1"/>
        <v>2993167.9800951369</v>
      </c>
      <c r="F30" s="22">
        <f t="shared" si="2"/>
        <v>6.8369636267796965</v>
      </c>
    </row>
    <row r="31" spans="1:6" x14ac:dyDescent="0.2">
      <c r="A31" s="20">
        <v>28</v>
      </c>
      <c r="B31" s="179" t="s">
        <v>24</v>
      </c>
      <c r="C31" s="180"/>
      <c r="D31" s="15">
        <f t="shared" si="0"/>
        <v>181088</v>
      </c>
      <c r="E31" s="18">
        <f t="shared" si="1"/>
        <v>1088892.5475007952</v>
      </c>
      <c r="F31" s="22">
        <f t="shared" si="2"/>
        <v>6.0130574499734673</v>
      </c>
    </row>
    <row r="32" spans="1:6" ht="15.75" customHeight="1" thickBot="1" x14ac:dyDescent="0.25">
      <c r="A32" s="23">
        <v>29</v>
      </c>
      <c r="B32" s="181" t="s">
        <v>25</v>
      </c>
      <c r="C32" s="182"/>
      <c r="D32" s="24">
        <f t="shared" si="0"/>
        <v>264128</v>
      </c>
      <c r="E32" s="25">
        <f t="shared" si="1"/>
        <v>1774643.2850453374</v>
      </c>
      <c r="F32" s="26">
        <f t="shared" si="2"/>
        <v>6.7188760186172516</v>
      </c>
    </row>
    <row r="33" spans="1:6" x14ac:dyDescent="0.2">
      <c r="B33" s="31" t="s">
        <v>35</v>
      </c>
      <c r="C33" s="31"/>
      <c r="D33" s="61">
        <f>SUM(D5:D32)</f>
        <v>7666619</v>
      </c>
      <c r="E33" s="32">
        <f>SUM(E5:E32)</f>
        <v>49493685.000000007</v>
      </c>
      <c r="F33" s="33">
        <f t="shared" si="2"/>
        <v>6.4557381813286936</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IF(F3="1",SUMIF(Data!A:A,'6'!$A$2,Data!CU:CU),0)</f>
        <v>71088</v>
      </c>
      <c r="E36" s="16">
        <f>IF(F3="1",SUMIF(Data!$A:$A,'6'!$A$2,Data!IO:IO),0)</f>
        <v>69169</v>
      </c>
      <c r="F36" s="21">
        <f t="shared" ref="F36:F64" si="3">IFERROR(E36/D36,"")</f>
        <v>0.97300528921899621</v>
      </c>
    </row>
    <row r="37" spans="1:6" x14ac:dyDescent="0.2">
      <c r="A37" s="20">
        <v>2</v>
      </c>
      <c r="B37" s="179" t="s">
        <v>1</v>
      </c>
      <c r="C37" s="180"/>
      <c r="D37" s="15">
        <f>IF(F3="1",SUMIF(Data!A:A,'6'!$A$2,Data!CV:CV),0)</f>
        <v>53692</v>
      </c>
      <c r="E37" s="18">
        <f>IF(F3="1",SUMIF(Data!$A:$A,'6'!$A$2,Data!IP:IP),0)</f>
        <v>505831</v>
      </c>
      <c r="F37" s="22">
        <f t="shared" si="3"/>
        <v>9.4209751918349109</v>
      </c>
    </row>
    <row r="38" spans="1:6" ht="14.25" customHeight="1" x14ac:dyDescent="0.2">
      <c r="A38" s="20">
        <v>3</v>
      </c>
      <c r="B38" s="179" t="s">
        <v>2</v>
      </c>
      <c r="C38" s="180"/>
      <c r="D38" s="15">
        <f>IF(F3="1",SUMIF(Data!A:A,'6'!$A$2,Data!CW:CW),0)</f>
        <v>1415680</v>
      </c>
      <c r="E38" s="18">
        <f>IF(F3="1",SUMIF(Data!$A:$A,'6'!$A$2,Data!IQ:IQ),0)</f>
        <v>692126</v>
      </c>
      <c r="F38" s="22">
        <f t="shared" si="3"/>
        <v>0.48890003390596742</v>
      </c>
    </row>
    <row r="39" spans="1:6" ht="14.25" customHeight="1" x14ac:dyDescent="0.2">
      <c r="A39" s="20">
        <v>4</v>
      </c>
      <c r="B39" s="179" t="s">
        <v>3</v>
      </c>
      <c r="C39" s="180"/>
      <c r="D39" s="15">
        <f>IF(F3="1",SUMIF(Data!A:A,'6'!$A$2,Data!CX:CX),0)</f>
        <v>394303</v>
      </c>
      <c r="E39" s="18">
        <f>IF(F3="1",SUMIF(Data!$A:$A,'6'!$A$2,Data!IR:IR),0)</f>
        <v>334824</v>
      </c>
      <c r="F39" s="22">
        <f t="shared" si="3"/>
        <v>0.84915407694082978</v>
      </c>
    </row>
    <row r="40" spans="1:6" x14ac:dyDescent="0.2">
      <c r="A40" s="20">
        <v>5</v>
      </c>
      <c r="B40" s="179" t="s">
        <v>4</v>
      </c>
      <c r="C40" s="180"/>
      <c r="D40" s="15">
        <f>IF(F3="1",SUMIF(Data!A:A,'6'!$A$2,Data!CY:CY),0)</f>
        <v>0</v>
      </c>
      <c r="E40" s="18">
        <f>IF(F3="1",SUMIF(Data!$A:$A,'6'!$A$2,Data!IS:IS),0)</f>
        <v>0</v>
      </c>
      <c r="F40" s="22" t="str">
        <f t="shared" si="3"/>
        <v/>
      </c>
    </row>
    <row r="41" spans="1:6" x14ac:dyDescent="0.2">
      <c r="A41" s="20">
        <v>6</v>
      </c>
      <c r="B41" s="179" t="s">
        <v>5</v>
      </c>
      <c r="C41" s="180"/>
      <c r="D41" s="15">
        <f>IF(F3="1",SUMIF(Data!A:A,'6'!$A$2,Data!CZ:CZ),0)</f>
        <v>10368</v>
      </c>
      <c r="E41" s="18">
        <f>IF(F3="1",SUMIF(Data!$A:$A,'6'!$A$2,Data!IT:IT),0)</f>
        <v>1401</v>
      </c>
      <c r="F41" s="22">
        <f t="shared" si="3"/>
        <v>0.13512731481481483</v>
      </c>
    </row>
    <row r="42" spans="1:6" x14ac:dyDescent="0.2">
      <c r="A42" s="20">
        <v>7</v>
      </c>
      <c r="B42" s="179" t="s">
        <v>6</v>
      </c>
      <c r="C42" s="180"/>
      <c r="D42" s="15">
        <f>IF(F3="1",SUMIF(Data!A:A,'6'!$A$2,Data!DA:DA),0)</f>
        <v>120505</v>
      </c>
      <c r="E42" s="18">
        <f>IF(F3="1",SUMIF(Data!$A:$A,'6'!$A$2,Data!IU:IU),0)</f>
        <v>1442134</v>
      </c>
      <c r="F42" s="22">
        <f t="shared" si="3"/>
        <v>11.967420438985934</v>
      </c>
    </row>
    <row r="43" spans="1:6" x14ac:dyDescent="0.2">
      <c r="A43" s="20">
        <v>8</v>
      </c>
      <c r="B43" s="179" t="s">
        <v>7</v>
      </c>
      <c r="C43" s="180"/>
      <c r="D43" s="15">
        <f>IF(F3="1",SUMIF(Data!A:A,'6'!$A$2,Data!DB:DB),0)</f>
        <v>5416</v>
      </c>
      <c r="E43" s="18">
        <f>IF(F3="1",SUMIF(Data!$A:$A,'6'!$A$2,Data!IV:IV),0)</f>
        <v>51024</v>
      </c>
      <c r="F43" s="22">
        <f t="shared" si="3"/>
        <v>9.4209748892171348</v>
      </c>
    </row>
    <row r="44" spans="1:6" x14ac:dyDescent="0.2">
      <c r="A44" s="20">
        <v>9</v>
      </c>
      <c r="B44" s="179" t="s">
        <v>8</v>
      </c>
      <c r="C44" s="180"/>
      <c r="D44" s="15">
        <f>IF(F3="1",SUMIF(Data!A:A,'6'!$A$2,Data!DC:DC),0)</f>
        <v>110250</v>
      </c>
      <c r="E44" s="18">
        <f>IF(F3="1",SUMIF(Data!$A:$A,'6'!$A$2,Data!IW:IW),0)</f>
        <v>27498</v>
      </c>
      <c r="F44" s="22">
        <f t="shared" si="3"/>
        <v>0.24941496598639457</v>
      </c>
    </row>
    <row r="45" spans="1:6" x14ac:dyDescent="0.2">
      <c r="A45" s="20">
        <v>10</v>
      </c>
      <c r="B45" s="179" t="s">
        <v>9</v>
      </c>
      <c r="C45" s="180"/>
      <c r="D45" s="15">
        <f>IF(F3="1",SUMIF(Data!A:A,'6'!$A$2,Data!DD:DD),0)</f>
        <v>0</v>
      </c>
      <c r="E45" s="18">
        <f>IF(F3="1",SUMIF(Data!$A:$A,'6'!$A$2,Data!IX:IX),0)</f>
        <v>0</v>
      </c>
      <c r="F45" s="22" t="str">
        <f t="shared" si="3"/>
        <v/>
      </c>
    </row>
    <row r="46" spans="1:6" x14ac:dyDescent="0.2">
      <c r="A46" s="20">
        <v>11</v>
      </c>
      <c r="B46" s="179" t="s">
        <v>10</v>
      </c>
      <c r="C46" s="180"/>
      <c r="D46" s="15">
        <f>IF(F3="1",SUMIF(Data!A:A,'6'!$A$2,Data!DE:DE),0)</f>
        <v>22225</v>
      </c>
      <c r="E46" s="18">
        <f>IF(F3="1",SUMIF(Data!$A:$A,'6'!$A$2,Data!IY:IY),0)</f>
        <v>69067</v>
      </c>
      <c r="F46" s="22">
        <f t="shared" si="3"/>
        <v>3.1076265466816646</v>
      </c>
    </row>
    <row r="47" spans="1:6" ht="14.25" customHeight="1" x14ac:dyDescent="0.2">
      <c r="A47" s="20">
        <v>12</v>
      </c>
      <c r="B47" s="179" t="s">
        <v>11</v>
      </c>
      <c r="C47" s="180"/>
      <c r="D47" s="15">
        <f>IF(F3="1",SUMIF(Data!A:A,'6'!$A$2,Data!DF:DF),0)</f>
        <v>847224</v>
      </c>
      <c r="E47" s="18">
        <f>IF(F3="1",SUMIF(Data!$A:$A,'6'!$A$2,Data!IZ:IZ),0)</f>
        <v>834441</v>
      </c>
      <c r="F47" s="22">
        <f t="shared" si="3"/>
        <v>0.98491190051273336</v>
      </c>
    </row>
    <row r="48" spans="1:6" x14ac:dyDescent="0.2">
      <c r="A48" s="20">
        <v>13</v>
      </c>
      <c r="B48" s="179" t="s">
        <v>12</v>
      </c>
      <c r="C48" s="180"/>
      <c r="D48" s="15">
        <f>IF(F3="1",SUMIF(Data!A:A,'6'!$A$2,Data!DG:DG),0)</f>
        <v>142704</v>
      </c>
      <c r="E48" s="18">
        <f>IF(F3="1",SUMIF(Data!$A:$A,'6'!$A$2,Data!JA:JA),0)</f>
        <v>75467</v>
      </c>
      <c r="F48" s="22">
        <f t="shared" si="3"/>
        <v>0.52883591209776881</v>
      </c>
    </row>
    <row r="49" spans="1:6" ht="14.25" customHeight="1" x14ac:dyDescent="0.2">
      <c r="A49" s="20">
        <v>14</v>
      </c>
      <c r="B49" s="179" t="s">
        <v>804</v>
      </c>
      <c r="C49" s="180"/>
      <c r="D49" s="15">
        <f>IF(F3="1",SUMIF(Data!A:A,'6'!$A$2,Data!DH:DH),0)</f>
        <v>136708</v>
      </c>
      <c r="E49" s="18">
        <f>IF(F3="1",SUMIF(Data!$A:$A,'6'!$A$2,Data!JB:JB),0)</f>
        <v>512533</v>
      </c>
      <c r="F49" s="22">
        <f t="shared" si="3"/>
        <v>3.7491075869736958</v>
      </c>
    </row>
    <row r="50" spans="1:6" x14ac:dyDescent="0.2">
      <c r="A50" s="20">
        <v>15</v>
      </c>
      <c r="B50" s="179" t="s">
        <v>13</v>
      </c>
      <c r="C50" s="180"/>
      <c r="D50" s="15">
        <f>IF(F3="1",SUMIF(Data!A:A,'6'!$A$2,Data!DI:DI),0)</f>
        <v>17424</v>
      </c>
      <c r="E50" s="18">
        <f>IF(F3="1",SUMIF(Data!$A:$A,'6'!$A$2,Data!JC:JC),0)</f>
        <v>164836</v>
      </c>
      <c r="F50" s="22">
        <f t="shared" si="3"/>
        <v>9.4602846648301195</v>
      </c>
    </row>
    <row r="51" spans="1:6" x14ac:dyDescent="0.2">
      <c r="A51" s="20">
        <v>16</v>
      </c>
      <c r="B51" s="179" t="s">
        <v>14</v>
      </c>
      <c r="C51" s="180"/>
      <c r="D51" s="15">
        <f>IF(F3="1",SUMIF(Data!A:A,'6'!$A$2,Data!DJ:DJ),0)</f>
        <v>316256</v>
      </c>
      <c r="E51" s="18">
        <f>IF(F3="1",SUMIF(Data!$A:$A,'6'!$A$2,Data!JD:JD),0)</f>
        <v>1054931</v>
      </c>
      <c r="F51" s="22">
        <f t="shared" si="3"/>
        <v>3.3356869118688657</v>
      </c>
    </row>
    <row r="52" spans="1:6" x14ac:dyDescent="0.2">
      <c r="A52" s="20">
        <v>17</v>
      </c>
      <c r="B52" s="179" t="s">
        <v>15</v>
      </c>
      <c r="C52" s="180"/>
      <c r="D52" s="15">
        <f>IF(F3="1",SUMIF(Data!A:A,'6'!$A$2,Data!DK:DK),0)</f>
        <v>0</v>
      </c>
      <c r="E52" s="18">
        <f>IF(F3="1",SUMIF(Data!$A:$A,'6'!$A$2,Data!JE:JE),0)</f>
        <v>0</v>
      </c>
      <c r="F52" s="22" t="str">
        <f t="shared" si="3"/>
        <v/>
      </c>
    </row>
    <row r="53" spans="1:6" x14ac:dyDescent="0.2">
      <c r="A53" s="20">
        <v>18</v>
      </c>
      <c r="B53" s="179" t="s">
        <v>16</v>
      </c>
      <c r="C53" s="180"/>
      <c r="D53" s="15">
        <f>IF(F3="1",SUMIF(Data!A:A,'6'!$A$2,Data!DL:DL),0)</f>
        <v>71208</v>
      </c>
      <c r="E53" s="18">
        <f>IF(F3="1",SUMIF(Data!$A:$A,'6'!$A$2,Data!JF:JF),0)</f>
        <v>161994</v>
      </c>
      <c r="F53" s="22">
        <f t="shared" si="3"/>
        <v>2.2749410178631613</v>
      </c>
    </row>
    <row r="54" spans="1:6" x14ac:dyDescent="0.2">
      <c r="A54" s="20">
        <v>19</v>
      </c>
      <c r="B54" s="179" t="s">
        <v>17</v>
      </c>
      <c r="C54" s="180"/>
      <c r="D54" s="15">
        <f>IF(F3="1",SUMIF(Data!A:A,'6'!$A$2,Data!DM:DM),0)</f>
        <v>788120</v>
      </c>
      <c r="E54" s="18">
        <f>IF(F3="1",SUMIF(Data!$A:$A,'6'!$A$2,Data!JG:JG),0)</f>
        <v>319870</v>
      </c>
      <c r="F54" s="22">
        <f t="shared" si="3"/>
        <v>0.40586458914886059</v>
      </c>
    </row>
    <row r="55" spans="1:6" x14ac:dyDescent="0.2">
      <c r="A55" s="20">
        <v>20</v>
      </c>
      <c r="B55" s="179" t="s">
        <v>18</v>
      </c>
      <c r="C55" s="180"/>
      <c r="D55" s="15">
        <f>IF(F3="1",SUMIF(Data!A:A,'6'!$A$2,Data!DN:DN),0)</f>
        <v>1140</v>
      </c>
      <c r="E55" s="18">
        <f>IF(F3="1",SUMIF(Data!$A:$A,'6'!$A$2,Data!JH:JH),0)</f>
        <v>10740</v>
      </c>
      <c r="F55" s="22">
        <f t="shared" si="3"/>
        <v>9.4210526315789469</v>
      </c>
    </row>
    <row r="56" spans="1:6" ht="14.25" customHeight="1" x14ac:dyDescent="0.2">
      <c r="A56" s="20">
        <v>21</v>
      </c>
      <c r="B56" s="179" t="s">
        <v>801</v>
      </c>
      <c r="C56" s="180"/>
      <c r="D56" s="15">
        <f>IF(F3="1",SUMIF(Data!A:A,'6'!$A$2,Data!DO:DO),0)</f>
        <v>10400</v>
      </c>
      <c r="E56" s="18">
        <f>IF(F3="1",SUMIF(Data!$A:$A,'6'!$A$2,Data!JI:JI),0)</f>
        <v>97979</v>
      </c>
      <c r="F56" s="22">
        <f t="shared" si="3"/>
        <v>9.4210576923076932</v>
      </c>
    </row>
    <row r="57" spans="1:6" x14ac:dyDescent="0.2">
      <c r="A57" s="20">
        <v>22</v>
      </c>
      <c r="B57" s="179" t="s">
        <v>19</v>
      </c>
      <c r="C57" s="180"/>
      <c r="D57" s="15">
        <f>IF(F3="1",SUMIF(Data!A:A,'6'!$A$2,Data!DP:DP),0)</f>
        <v>6376</v>
      </c>
      <c r="E57" s="18">
        <f>IF(F3="1",SUMIF(Data!$A:$A,'6'!$A$2,Data!JJ:JJ),0)</f>
        <v>60068</v>
      </c>
      <c r="F57" s="22">
        <f t="shared" si="3"/>
        <v>9.4209535759096621</v>
      </c>
    </row>
    <row r="58" spans="1:6" x14ac:dyDescent="0.2">
      <c r="A58" s="20">
        <v>23</v>
      </c>
      <c r="B58" s="179" t="s">
        <v>20</v>
      </c>
      <c r="C58" s="180"/>
      <c r="D58" s="15">
        <f>IF(F3="1",SUMIF(Data!A:A,'6'!$A$2,Data!DQ:DQ),0)</f>
        <v>229824</v>
      </c>
      <c r="E58" s="18">
        <f>IF(F3="1",SUMIF(Data!$A:$A,'6'!$A$2,Data!JK:JK),0)</f>
        <v>228201</v>
      </c>
      <c r="F58" s="22">
        <f t="shared" si="3"/>
        <v>0.99293807435254799</v>
      </c>
    </row>
    <row r="59" spans="1:6" x14ac:dyDescent="0.2">
      <c r="A59" s="20">
        <v>24</v>
      </c>
      <c r="B59" s="179" t="s">
        <v>21</v>
      </c>
      <c r="C59" s="180"/>
      <c r="D59" s="15">
        <f>IF(F3="1",SUMIF(Data!A:A,'6'!$A$2,Data!DR:DR),0)</f>
        <v>158748</v>
      </c>
      <c r="E59" s="18">
        <f>IF(F3="1",SUMIF(Data!$A:$A,'6'!$A$2,Data!JL:JL),0)</f>
        <v>455203</v>
      </c>
      <c r="F59" s="22">
        <f t="shared" si="3"/>
        <v>2.8674565978783986</v>
      </c>
    </row>
    <row r="60" spans="1:6" x14ac:dyDescent="0.2">
      <c r="A60" s="20">
        <v>25</v>
      </c>
      <c r="B60" s="179" t="s">
        <v>22</v>
      </c>
      <c r="C60" s="180"/>
      <c r="D60" s="15">
        <f>IF(F3="1",SUMIF(Data!A:A,'6'!$A$2,Data!DS:DS),0)</f>
        <v>1853952</v>
      </c>
      <c r="E60" s="18">
        <f>IF(F3="1",SUMIF(Data!$A:$A,'6'!$A$2,Data!JM:JM),0)</f>
        <v>539476</v>
      </c>
      <c r="F60" s="22">
        <f t="shared" si="3"/>
        <v>0.29098703742060206</v>
      </c>
    </row>
    <row r="61" spans="1:6" x14ac:dyDescent="0.2">
      <c r="A61" s="20">
        <v>26</v>
      </c>
      <c r="B61" s="179" t="s">
        <v>23</v>
      </c>
      <c r="C61" s="180"/>
      <c r="D61" s="15">
        <f>IF(F3="1",SUMIF(Data!A:A,'6'!$A$2,Data!DT:DT),0)</f>
        <v>437792</v>
      </c>
      <c r="E61" s="18">
        <f>IF(F3="1",SUMIF(Data!$A:$A,'6'!$A$2,Data!JN:JN),0)</f>
        <v>464245</v>
      </c>
      <c r="F61" s="22">
        <f t="shared" si="3"/>
        <v>1.0604236715152402</v>
      </c>
    </row>
    <row r="62" spans="1:6" x14ac:dyDescent="0.2">
      <c r="A62" s="20">
        <v>28</v>
      </c>
      <c r="B62" s="179" t="s">
        <v>24</v>
      </c>
      <c r="C62" s="180"/>
      <c r="D62" s="15">
        <f>IF(F3="1",SUMIF(Data!A:A,'6'!$A$2,Data!DV:DV),0)</f>
        <v>181088</v>
      </c>
      <c r="E62" s="18">
        <f>IF(F3="1",SUMIF(Data!$A:$A,'6'!$A$2,Data!JP:JP),0)</f>
        <v>73498</v>
      </c>
      <c r="F62" s="22">
        <f t="shared" si="3"/>
        <v>0.40586896978264714</v>
      </c>
    </row>
    <row r="63" spans="1:6" ht="15.75" customHeight="1" thickBot="1" x14ac:dyDescent="0.25">
      <c r="A63" s="23">
        <v>29</v>
      </c>
      <c r="B63" s="181" t="s">
        <v>25</v>
      </c>
      <c r="C63" s="182"/>
      <c r="D63" s="24">
        <f>IF(F3="1",SUMIF(Data!A:A,'6'!$A$2,Data!DW:DW),0)</f>
        <v>264128</v>
      </c>
      <c r="E63" s="25">
        <f>IF(F3="1",SUMIF(Data!$A:$A,'6'!$A$2,Data!JQ:JQ),0)</f>
        <v>260144</v>
      </c>
      <c r="F63" s="26">
        <f t="shared" si="3"/>
        <v>0.98491640416767623</v>
      </c>
    </row>
    <row r="64" spans="1:6" x14ac:dyDescent="0.2">
      <c r="B64" s="31" t="s">
        <v>35</v>
      </c>
      <c r="C64" s="31"/>
      <c r="D64" s="61">
        <f>SUM(D36:D63)</f>
        <v>7666619</v>
      </c>
      <c r="E64" s="32">
        <f>SUM(E36:E63)</f>
        <v>8506700</v>
      </c>
      <c r="F64" s="33">
        <f t="shared" si="3"/>
        <v>1.1095764638884493</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71088</v>
      </c>
      <c r="E67" s="16">
        <f>IF(F3="1",SUMIF(Data!A:A,'6'!$A$2,Data!DY:DY),0)</f>
        <v>360563</v>
      </c>
      <c r="F67" s="21">
        <f>IFERROR(E67/D67,"")</f>
        <v>5.0720656088228671</v>
      </c>
    </row>
    <row r="68" spans="1:6" x14ac:dyDescent="0.2">
      <c r="A68" s="20">
        <v>2</v>
      </c>
      <c r="B68" s="179" t="s">
        <v>1</v>
      </c>
      <c r="C68" s="180"/>
      <c r="D68" s="15">
        <f t="shared" ref="D68:D94" si="4">D37</f>
        <v>53692</v>
      </c>
      <c r="E68" s="18">
        <f>IF(F3="1",SUMIF(Data!A:A,'6'!$A$2,Data!DZ:DZ),0)</f>
        <v>55469</v>
      </c>
      <c r="F68" s="22">
        <f t="shared" ref="F68:F95" si="5">IFERROR(E68/D68,"")</f>
        <v>1.0330961782015944</v>
      </c>
    </row>
    <row r="69" spans="1:6" ht="14.25" customHeight="1" x14ac:dyDescent="0.2">
      <c r="A69" s="20">
        <v>3</v>
      </c>
      <c r="B69" s="179" t="s">
        <v>2</v>
      </c>
      <c r="C69" s="180"/>
      <c r="D69" s="15">
        <f t="shared" si="4"/>
        <v>1415680</v>
      </c>
      <c r="E69" s="18">
        <f>IF(F3="1",SUMIF(Data!A:A,'6'!$A$2,Data!EA:EA),0)</f>
        <v>3432068</v>
      </c>
      <c r="F69" s="22">
        <f t="shared" si="5"/>
        <v>2.424324706148282</v>
      </c>
    </row>
    <row r="70" spans="1:6" ht="14.25" customHeight="1" x14ac:dyDescent="0.2">
      <c r="A70" s="20">
        <v>4</v>
      </c>
      <c r="B70" s="179" t="s">
        <v>3</v>
      </c>
      <c r="C70" s="180"/>
      <c r="D70" s="15">
        <f t="shared" si="4"/>
        <v>394303</v>
      </c>
      <c r="E70" s="18">
        <f>IF(F3="1",SUMIF(Data!A:A,'6'!$A$2,Data!EB:EB),0)</f>
        <v>1635227</v>
      </c>
      <c r="F70" s="22">
        <f t="shared" si="5"/>
        <v>4.147133042355752</v>
      </c>
    </row>
    <row r="71" spans="1:6" x14ac:dyDescent="0.2">
      <c r="A71" s="20">
        <v>5</v>
      </c>
      <c r="B71" s="179" t="s">
        <v>4</v>
      </c>
      <c r="C71" s="180"/>
      <c r="D71" s="15">
        <f t="shared" si="4"/>
        <v>0</v>
      </c>
      <c r="E71" s="18">
        <f>IF(F3="1",SUMIF(Data!A:A,'6'!$A$2,Data!EC:EC),0)</f>
        <v>0</v>
      </c>
      <c r="F71" s="22" t="str">
        <f t="shared" si="5"/>
        <v/>
      </c>
    </row>
    <row r="72" spans="1:6" x14ac:dyDescent="0.2">
      <c r="A72" s="20">
        <v>6</v>
      </c>
      <c r="B72" s="179" t="s">
        <v>5</v>
      </c>
      <c r="C72" s="180"/>
      <c r="D72" s="15">
        <f t="shared" si="4"/>
        <v>10368</v>
      </c>
      <c r="E72" s="18">
        <f>IF(F3="1",SUMIF(Data!A:A,'6'!$A$2,Data!ED:ED),0)</f>
        <v>15950</v>
      </c>
      <c r="F72" s="22">
        <f t="shared" si="5"/>
        <v>1.5383873456790123</v>
      </c>
    </row>
    <row r="73" spans="1:6" x14ac:dyDescent="0.2">
      <c r="A73" s="20">
        <v>7</v>
      </c>
      <c r="B73" s="179" t="s">
        <v>6</v>
      </c>
      <c r="C73" s="180"/>
      <c r="D73" s="15">
        <f t="shared" si="4"/>
        <v>120505</v>
      </c>
      <c r="E73" s="18">
        <f>IF(F3="1",SUMIF(Data!A:A,'6'!$A$2,Data!EE:EE),0)</f>
        <v>309135</v>
      </c>
      <c r="F73" s="22">
        <f t="shared" si="5"/>
        <v>2.5653292394506453</v>
      </c>
    </row>
    <row r="74" spans="1:6" x14ac:dyDescent="0.2">
      <c r="A74" s="20">
        <v>8</v>
      </c>
      <c r="B74" s="179" t="s">
        <v>7</v>
      </c>
      <c r="C74" s="180"/>
      <c r="D74" s="15">
        <f t="shared" si="4"/>
        <v>5416</v>
      </c>
      <c r="E74" s="18">
        <f>IF(F3="1",SUMIF(Data!A:A,'6'!$A$2,Data!EF:EF),0)</f>
        <v>5595</v>
      </c>
      <c r="F74" s="22">
        <f t="shared" si="5"/>
        <v>1.0330502215657311</v>
      </c>
    </row>
    <row r="75" spans="1:6" x14ac:dyDescent="0.2">
      <c r="A75" s="20">
        <v>9</v>
      </c>
      <c r="B75" s="179" t="s">
        <v>8</v>
      </c>
      <c r="C75" s="180"/>
      <c r="D75" s="15">
        <f t="shared" si="4"/>
        <v>110250</v>
      </c>
      <c r="E75" s="18">
        <f>IF(F3="1",SUMIF(Data!A:A,'6'!$A$2,Data!EG:EG),0)</f>
        <v>137335</v>
      </c>
      <c r="F75" s="22">
        <f t="shared" si="5"/>
        <v>1.2456689342403628</v>
      </c>
    </row>
    <row r="76" spans="1:6" x14ac:dyDescent="0.2">
      <c r="A76" s="20">
        <v>10</v>
      </c>
      <c r="B76" s="179" t="s">
        <v>9</v>
      </c>
      <c r="C76" s="180"/>
      <c r="D76" s="15">
        <f t="shared" si="4"/>
        <v>0</v>
      </c>
      <c r="E76" s="18">
        <f>IF(F3="1",SUMIF(Data!A:A,'6'!$A$2,Data!EH:EH),0)</f>
        <v>0</v>
      </c>
      <c r="F76" s="22" t="str">
        <f t="shared" si="5"/>
        <v/>
      </c>
    </row>
    <row r="77" spans="1:6" x14ac:dyDescent="0.2">
      <c r="A77" s="20">
        <v>11</v>
      </c>
      <c r="B77" s="179" t="s">
        <v>10</v>
      </c>
      <c r="C77" s="180"/>
      <c r="D77" s="15">
        <f t="shared" si="4"/>
        <v>22225</v>
      </c>
      <c r="E77" s="18">
        <f>IF(F3="1",SUMIF(Data!A:A,'6'!$A$2,Data!EI:EI),0)</f>
        <v>81460</v>
      </c>
      <c r="F77" s="22">
        <f t="shared" si="5"/>
        <v>3.6652418447694037</v>
      </c>
    </row>
    <row r="78" spans="1:6" ht="14.25" customHeight="1" x14ac:dyDescent="0.2">
      <c r="A78" s="20">
        <v>12</v>
      </c>
      <c r="B78" s="179" t="s">
        <v>11</v>
      </c>
      <c r="C78" s="180"/>
      <c r="D78" s="15">
        <f t="shared" si="4"/>
        <v>847224</v>
      </c>
      <c r="E78" s="18">
        <f>IF(F3="1",SUMIF(Data!A:A,'6'!$A$2,Data!EJ:EJ),0)</f>
        <v>3071536</v>
      </c>
      <c r="F78" s="22">
        <f t="shared" si="5"/>
        <v>3.6254119335618444</v>
      </c>
    </row>
    <row r="79" spans="1:6" x14ac:dyDescent="0.2">
      <c r="A79" s="20">
        <v>13</v>
      </c>
      <c r="B79" s="179" t="s">
        <v>12</v>
      </c>
      <c r="C79" s="180"/>
      <c r="D79" s="15">
        <f t="shared" si="4"/>
        <v>142704</v>
      </c>
      <c r="E79" s="18">
        <f>IF(F3="1",SUMIF(Data!A:A,'6'!$A$2,Data!EK:EK),0)</f>
        <v>548889</v>
      </c>
      <c r="F79" s="22">
        <f t="shared" si="5"/>
        <v>3.846346283215607</v>
      </c>
    </row>
    <row r="80" spans="1:6" ht="14.25" customHeight="1" x14ac:dyDescent="0.2">
      <c r="A80" s="20">
        <v>14</v>
      </c>
      <c r="B80" s="179" t="s">
        <v>804</v>
      </c>
      <c r="C80" s="180"/>
      <c r="D80" s="15">
        <f t="shared" si="4"/>
        <v>136708</v>
      </c>
      <c r="E80" s="18">
        <f>IF(F3="1",SUMIF(Data!A:A,'6'!$A$2,Data!EL:EL),0)</f>
        <v>1273542</v>
      </c>
      <c r="F80" s="22">
        <f t="shared" si="5"/>
        <v>9.3157825438160167</v>
      </c>
    </row>
    <row r="81" spans="1:6" x14ac:dyDescent="0.2">
      <c r="A81" s="20">
        <v>15</v>
      </c>
      <c r="B81" s="179" t="s">
        <v>13</v>
      </c>
      <c r="C81" s="180"/>
      <c r="D81" s="15">
        <f t="shared" si="4"/>
        <v>17424</v>
      </c>
      <c r="E81" s="18">
        <f>IF(F3="1",SUMIF(Data!A:A,'6'!$A$2,Data!EM:EM),0)</f>
        <v>310784</v>
      </c>
      <c r="F81" s="22">
        <f t="shared" si="5"/>
        <v>17.836547291092746</v>
      </c>
    </row>
    <row r="82" spans="1:6" x14ac:dyDescent="0.2">
      <c r="A82" s="20">
        <v>16</v>
      </c>
      <c r="B82" s="179" t="s">
        <v>14</v>
      </c>
      <c r="C82" s="180"/>
      <c r="D82" s="15">
        <f t="shared" si="4"/>
        <v>316256</v>
      </c>
      <c r="E82" s="18">
        <f>IF(F3="1",SUMIF(Data!A:A,'6'!$A$2,Data!EN:EN),0)</f>
        <v>1079433</v>
      </c>
      <c r="F82" s="22">
        <f t="shared" si="5"/>
        <v>3.4131621218253567</v>
      </c>
    </row>
    <row r="83" spans="1:6" x14ac:dyDescent="0.2">
      <c r="A83" s="20">
        <v>17</v>
      </c>
      <c r="B83" s="179" t="s">
        <v>15</v>
      </c>
      <c r="C83" s="180"/>
      <c r="D83" s="15">
        <f t="shared" si="4"/>
        <v>0</v>
      </c>
      <c r="E83" s="18">
        <f>IF(F3="1",SUMIF(Data!A:A,'6'!$A$2,Data!EO:EO),0)</f>
        <v>0</v>
      </c>
      <c r="F83" s="22" t="str">
        <f t="shared" si="5"/>
        <v/>
      </c>
    </row>
    <row r="84" spans="1:6" x14ac:dyDescent="0.2">
      <c r="A84" s="20">
        <v>18</v>
      </c>
      <c r="B84" s="179" t="s">
        <v>16</v>
      </c>
      <c r="C84" s="180"/>
      <c r="D84" s="15">
        <f t="shared" si="4"/>
        <v>71208</v>
      </c>
      <c r="E84" s="18">
        <f>IF(F3="1",SUMIF(Data!A:A,'6'!$A$2,Data!EP:EP),0)</f>
        <v>297042</v>
      </c>
      <c r="F84" s="22">
        <f t="shared" si="5"/>
        <v>4.1714694978092348</v>
      </c>
    </row>
    <row r="85" spans="1:6" x14ac:dyDescent="0.2">
      <c r="A85" s="20">
        <v>19</v>
      </c>
      <c r="B85" s="179" t="s">
        <v>17</v>
      </c>
      <c r="C85" s="180"/>
      <c r="D85" s="15">
        <f t="shared" si="4"/>
        <v>788120</v>
      </c>
      <c r="E85" s="18">
        <f>IF(F3="1",SUMIF(Data!A:A,'6'!$A$2,Data!EQ:EQ),0)</f>
        <v>2757347</v>
      </c>
      <c r="F85" s="22">
        <f t="shared" si="5"/>
        <v>3.4986385322032176</v>
      </c>
    </row>
    <row r="86" spans="1:6" x14ac:dyDescent="0.2">
      <c r="A86" s="20">
        <v>20</v>
      </c>
      <c r="B86" s="179" t="s">
        <v>18</v>
      </c>
      <c r="C86" s="180"/>
      <c r="D86" s="15">
        <f t="shared" si="4"/>
        <v>1140</v>
      </c>
      <c r="E86" s="18">
        <f>IF(F3="1",SUMIF(Data!A:A,'6'!$A$2,Data!ER:ER),0)</f>
        <v>1178</v>
      </c>
      <c r="F86" s="22">
        <f t="shared" si="5"/>
        <v>1.0333333333333334</v>
      </c>
    </row>
    <row r="87" spans="1:6" ht="14.25" customHeight="1" x14ac:dyDescent="0.2">
      <c r="A87" s="20">
        <v>21</v>
      </c>
      <c r="B87" s="179" t="s">
        <v>801</v>
      </c>
      <c r="C87" s="180"/>
      <c r="D87" s="15">
        <f t="shared" si="4"/>
        <v>10400</v>
      </c>
      <c r="E87" s="18">
        <f>IF(F3="1",SUMIF(Data!A:A,'6'!$A$2,Data!ES:ES),0)</f>
        <v>10744</v>
      </c>
      <c r="F87" s="22">
        <f t="shared" si="5"/>
        <v>1.033076923076923</v>
      </c>
    </row>
    <row r="88" spans="1:6" x14ac:dyDescent="0.2">
      <c r="A88" s="20">
        <v>22</v>
      </c>
      <c r="B88" s="179" t="s">
        <v>19</v>
      </c>
      <c r="C88" s="180"/>
      <c r="D88" s="15">
        <f t="shared" si="4"/>
        <v>6376</v>
      </c>
      <c r="E88" s="18">
        <f>IF(F3="1",SUMIF(Data!A:A,'6'!$A$2,Data!ET:ET),0)</f>
        <v>6587</v>
      </c>
      <c r="F88" s="22">
        <f t="shared" si="5"/>
        <v>1.0330928481806776</v>
      </c>
    </row>
    <row r="89" spans="1:6" x14ac:dyDescent="0.2">
      <c r="A89" s="20">
        <v>23</v>
      </c>
      <c r="B89" s="179" t="s">
        <v>20</v>
      </c>
      <c r="C89" s="180"/>
      <c r="D89" s="15">
        <f t="shared" si="4"/>
        <v>229824</v>
      </c>
      <c r="E89" s="18">
        <f>IF(F3="1",SUMIF(Data!A:A,'6'!$A$2,Data!EU:EU),0)</f>
        <v>1053831</v>
      </c>
      <c r="F89" s="22">
        <f t="shared" si="5"/>
        <v>4.5853827276524646</v>
      </c>
    </row>
    <row r="90" spans="1:6" x14ac:dyDescent="0.2">
      <c r="A90" s="20">
        <v>24</v>
      </c>
      <c r="B90" s="179" t="s">
        <v>21</v>
      </c>
      <c r="C90" s="180"/>
      <c r="D90" s="15">
        <f t="shared" si="4"/>
        <v>158748</v>
      </c>
      <c r="E90" s="18">
        <f>IF(F3="1",SUMIF(Data!A:A,'6'!$A$2,Data!EV:EV),0)</f>
        <v>317795</v>
      </c>
      <c r="F90" s="22">
        <f t="shared" si="5"/>
        <v>2.0018834882959156</v>
      </c>
    </row>
    <row r="91" spans="1:6" x14ac:dyDescent="0.2">
      <c r="A91" s="20">
        <v>25</v>
      </c>
      <c r="B91" s="179" t="s">
        <v>22</v>
      </c>
      <c r="C91" s="180"/>
      <c r="D91" s="15">
        <f t="shared" si="4"/>
        <v>1853952</v>
      </c>
      <c r="E91" s="18">
        <f>IF(F3="1",SUMIF(Data!A:A,'6'!$A$2,Data!EW:EW),0)</f>
        <v>4863096</v>
      </c>
      <c r="F91" s="22">
        <f t="shared" si="5"/>
        <v>2.6230970381110192</v>
      </c>
    </row>
    <row r="92" spans="1:6" x14ac:dyDescent="0.2">
      <c r="A92" s="20">
        <v>26</v>
      </c>
      <c r="B92" s="179" t="s">
        <v>23</v>
      </c>
      <c r="C92" s="180"/>
      <c r="D92" s="15">
        <f t="shared" si="4"/>
        <v>437792</v>
      </c>
      <c r="E92" s="18">
        <f>IF(F3="1",SUMIF(Data!A:A,'6'!$A$2,Data!EX:EX),0)</f>
        <v>1605818</v>
      </c>
      <c r="F92" s="22">
        <f t="shared" si="5"/>
        <v>3.6679930195161172</v>
      </c>
    </row>
    <row r="93" spans="1:6" x14ac:dyDescent="0.2">
      <c r="A93" s="20">
        <v>28</v>
      </c>
      <c r="B93" s="179" t="s">
        <v>24</v>
      </c>
      <c r="C93" s="180"/>
      <c r="D93" s="15">
        <f t="shared" si="4"/>
        <v>181088</v>
      </c>
      <c r="E93" s="18">
        <f>IF(F3="1",SUMIF(Data!A:A,'6'!$A$2,Data!EZ:EZ),0)</f>
        <v>633562</v>
      </c>
      <c r="F93" s="22">
        <f t="shared" si="5"/>
        <v>3.498641544442481</v>
      </c>
    </row>
    <row r="94" spans="1:6" ht="15.75" customHeight="1" thickBot="1" x14ac:dyDescent="0.25">
      <c r="A94" s="23">
        <v>29</v>
      </c>
      <c r="B94" s="181" t="s">
        <v>25</v>
      </c>
      <c r="C94" s="182"/>
      <c r="D94" s="24">
        <f t="shared" si="4"/>
        <v>264128</v>
      </c>
      <c r="E94" s="25">
        <f>IF(F3="1",SUMIF(Data!A:A,'6'!$A$2,Data!FA:FA),0)</f>
        <v>957573</v>
      </c>
      <c r="F94" s="26">
        <f t="shared" si="5"/>
        <v>3.625412678701236</v>
      </c>
    </row>
    <row r="95" spans="1:6" x14ac:dyDescent="0.2">
      <c r="B95" s="31" t="s">
        <v>35</v>
      </c>
      <c r="C95" s="31"/>
      <c r="D95" s="61">
        <f>SUM(D67:D94)</f>
        <v>7666619</v>
      </c>
      <c r="E95" s="32">
        <f>SUM(E67:E94)</f>
        <v>24821559</v>
      </c>
      <c r="F95" s="33">
        <f t="shared" si="5"/>
        <v>3.2376147816919034</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IF(F3="1",SUMIF(Data!A:A,'6'!$A$2,Data!AH:AH),0)</f>
        <v>6817267</v>
      </c>
      <c r="F98" s="21">
        <f t="shared" ref="F98:F105" si="6">IFERROR(E98/$D$95,0)</f>
        <v>0.88921426772349066</v>
      </c>
    </row>
    <row r="99" spans="2:6" x14ac:dyDescent="0.2">
      <c r="B99" s="185" t="s">
        <v>31</v>
      </c>
      <c r="C99" s="186"/>
      <c r="D99" s="37"/>
      <c r="E99" s="18">
        <f>IF(F3="1",SUMIF(Data!A:A,'6'!$A$2,Data!AI:AI),0)</f>
        <v>4354390</v>
      </c>
      <c r="F99" s="22">
        <f t="shared" si="6"/>
        <v>0.56796744431932777</v>
      </c>
    </row>
    <row r="100" spans="2:6" x14ac:dyDescent="0.2">
      <c r="B100" s="185" t="s">
        <v>32</v>
      </c>
      <c r="C100" s="186"/>
      <c r="D100" s="37"/>
      <c r="E100" s="18">
        <f>IF(F3="1",SUMIF(Data!A:A,'6'!$A$2,Data!AJ:AJ),0)</f>
        <v>3298127</v>
      </c>
      <c r="F100" s="22">
        <f t="shared" si="6"/>
        <v>0.43019315294003785</v>
      </c>
    </row>
    <row r="101" spans="2:6" x14ac:dyDescent="0.2">
      <c r="B101" s="185" t="s">
        <v>28</v>
      </c>
      <c r="C101" s="186"/>
      <c r="D101" s="37"/>
      <c r="E101" s="18">
        <f>IF(F3="1",SUMIF(Data!A:A,'6'!$A$2,Data!AK:AK),0)</f>
        <v>0</v>
      </c>
      <c r="F101" s="22">
        <f t="shared" si="6"/>
        <v>0</v>
      </c>
    </row>
    <row r="102" spans="2:6" x14ac:dyDescent="0.2">
      <c r="B102" s="185" t="s">
        <v>33</v>
      </c>
      <c r="C102" s="186"/>
      <c r="D102" s="37"/>
      <c r="E102" s="18">
        <f>IF(F3="1",SUMIF(Data!A:A,'6'!$A$2,Data!AL:AL),0)</f>
        <v>578605</v>
      </c>
      <c r="F102" s="22">
        <f t="shared" si="6"/>
        <v>7.5470686622095079E-2</v>
      </c>
    </row>
    <row r="103" spans="2:6" x14ac:dyDescent="0.2">
      <c r="B103" s="187" t="s">
        <v>34</v>
      </c>
      <c r="C103" s="188"/>
      <c r="D103" s="37"/>
      <c r="E103" s="18">
        <f>IF(F3="1",SUMIF(Data!A:A,'6'!$A$2,Data!AM:AM),0)</f>
        <v>383999</v>
      </c>
      <c r="F103" s="22">
        <f t="shared" si="6"/>
        <v>5.0087137498289663E-2</v>
      </c>
    </row>
    <row r="104" spans="2:6" ht="15.75" customHeight="1" thickBot="1" x14ac:dyDescent="0.25">
      <c r="B104" s="177" t="s">
        <v>29</v>
      </c>
      <c r="C104" s="178"/>
      <c r="D104" s="38"/>
      <c r="E104" s="25">
        <f>IF(F3="1",SUMIF(Data!A:A,'6'!$A$2,Data!Q:Q),0)</f>
        <v>733038</v>
      </c>
      <c r="F104" s="26">
        <f t="shared" si="6"/>
        <v>9.5614246645098711E-2</v>
      </c>
    </row>
    <row r="105" spans="2:6" x14ac:dyDescent="0.2">
      <c r="B105" s="31" t="s">
        <v>35</v>
      </c>
      <c r="C105" s="31"/>
      <c r="D105" s="35">
        <f>D95</f>
        <v>7666619</v>
      </c>
      <c r="E105" s="32">
        <f>SUM(E98:E104)</f>
        <v>16165426</v>
      </c>
      <c r="F105" s="33">
        <f t="shared" si="6"/>
        <v>2.1085469357483397</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27118279</v>
      </c>
      <c r="D109" s="16">
        <f>IF(F3="1",SUMIF(Data!$A:$A,$A$2,Data!HJ:HJ),0)</f>
        <v>2381207</v>
      </c>
      <c r="E109" s="16">
        <f>IF(F3="1",SUMIF(Data!$A:$A,$A$2,Data!IN:IN),0)</f>
        <v>3828771</v>
      </c>
      <c r="F109" s="48">
        <f>SUM(C109:E109)</f>
        <v>33328257</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278450</v>
      </c>
      <c r="D111" s="52"/>
      <c r="E111" s="51">
        <f>IF(F3="1",SUMIF(Data!A:A,$A$2,Data!AX:AX),0)</f>
        <v>216291</v>
      </c>
      <c r="F111" s="49">
        <f t="shared" si="7"/>
        <v>494741</v>
      </c>
    </row>
    <row r="112" spans="2:6" x14ac:dyDescent="0.2">
      <c r="B112" s="43" t="s">
        <v>32</v>
      </c>
      <c r="C112" s="51">
        <f>IF(F3="1",SUMIF(Data!A:A,$A$2,Data!V:V),0)</f>
        <v>2734141</v>
      </c>
      <c r="D112" s="52"/>
      <c r="E112" s="51">
        <f>IF(F3="1",SUMIF(Data!A:A,$A$2,Data!AC:AC),0)</f>
        <v>563986</v>
      </c>
      <c r="F112" s="49">
        <f t="shared" si="7"/>
        <v>3298127</v>
      </c>
    </row>
    <row r="113" spans="1:6" x14ac:dyDescent="0.2">
      <c r="B113" s="43" t="s">
        <v>31</v>
      </c>
      <c r="C113" s="51">
        <f>IF(F3="1",SUMIF(Data!A:A,$A$2,Data!U:U),0)</f>
        <v>3630928</v>
      </c>
      <c r="D113" s="52"/>
      <c r="E113" s="51">
        <f>IF(F3="1",SUMIF(Data!A:A,$A$2,Data!AB:AB),0)</f>
        <v>723462</v>
      </c>
      <c r="F113" s="49">
        <f t="shared" si="7"/>
        <v>4354390</v>
      </c>
    </row>
    <row r="114" spans="1:6" x14ac:dyDescent="0.2">
      <c r="B114" s="43" t="s">
        <v>1363</v>
      </c>
      <c r="C114" s="51">
        <f>IF(F3="1",SUMIF(Data!A:A,$A$2,Data!T:T),0)</f>
        <v>3871182</v>
      </c>
      <c r="D114" s="52"/>
      <c r="E114" s="51">
        <f>IF(F3="1",SUMIF(Data!A:A,$A$2,Data!AA:AA),0)</f>
        <v>2946085</v>
      </c>
      <c r="F114" s="49">
        <f t="shared" si="7"/>
        <v>6817267</v>
      </c>
    </row>
    <row r="115" spans="1:6" x14ac:dyDescent="0.2">
      <c r="B115" s="43" t="s">
        <v>1278</v>
      </c>
      <c r="C115" s="51">
        <f>IF(F3="1",SUMIF(Data!A:A,$A$2,Data!BI:BI),0)</f>
        <v>1420118</v>
      </c>
      <c r="D115" s="51">
        <f>IF(F3="1",SUMIF(Data!A:A,$A$2,Data!BL:BL),0)</f>
        <v>556636</v>
      </c>
      <c r="E115" s="51">
        <f>IF(F3="1",SUMIF(Data!A:A,$A$2,Data!BU:BU),0)</f>
        <v>6415315</v>
      </c>
      <c r="F115" s="49">
        <f t="shared" si="7"/>
        <v>8392069</v>
      </c>
    </row>
    <row r="116" spans="1:6" x14ac:dyDescent="0.2">
      <c r="B116" s="43" t="s">
        <v>33</v>
      </c>
      <c r="C116" s="51">
        <f>IF(F3="1",SUMIF(Data!A:A,$A$2,Data!X:X),0)</f>
        <v>0</v>
      </c>
      <c r="D116" s="51"/>
      <c r="E116" s="51">
        <f>E102</f>
        <v>578605</v>
      </c>
      <c r="F116" s="49">
        <f t="shared" si="7"/>
        <v>578605</v>
      </c>
    </row>
    <row r="117" spans="1:6" ht="15" thickBot="1" x14ac:dyDescent="0.25">
      <c r="B117" s="44" t="s">
        <v>1282</v>
      </c>
      <c r="C117" s="53"/>
      <c r="D117" s="53">
        <f>IF(F3="1",SUMIF(Data!A:A,$A$2,Data!Q:Q),0)</f>
        <v>733038</v>
      </c>
      <c r="E117" s="53"/>
      <c r="F117" s="50">
        <f>SUM(C117:E117)</f>
        <v>733038</v>
      </c>
    </row>
    <row r="118" spans="1:6" x14ac:dyDescent="0.2">
      <c r="B118" s="14" t="s">
        <v>35</v>
      </c>
      <c r="C118" s="5">
        <f>SUM(C109:C116)</f>
        <v>39053098</v>
      </c>
      <c r="D118" s="5">
        <f>SUM(D109:D116)</f>
        <v>2937843</v>
      </c>
      <c r="E118" s="5">
        <f>SUM(E109:E116)</f>
        <v>15272515</v>
      </c>
      <c r="F118" s="5">
        <f>SUM(F109:F116)</f>
        <v>57263456</v>
      </c>
    </row>
    <row r="119" spans="1:6" ht="15" thickBot="1" x14ac:dyDescent="0.25"/>
    <row r="120" spans="1:6" ht="15" thickBot="1" x14ac:dyDescent="0.25">
      <c r="B120" s="57" t="s">
        <v>1283</v>
      </c>
      <c r="C120" s="55"/>
      <c r="D120" s="55"/>
      <c r="E120" s="55">
        <f>IF(F3="1",SUMIF(Data!A:A,'6'!$A$2,Data!AM:AM),0)</f>
        <v>383999</v>
      </c>
      <c r="F120" s="56">
        <f>SUM(C120:E120)</f>
        <v>383999</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2.42578125" style="11" bestFit="1" customWidth="1"/>
    <col min="13" max="13" width="12.1406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657</v>
      </c>
      <c r="B2" s="60" t="str">
        <f>VLOOKUP(A2,Data!A:G,7,0)</f>
        <v>Brazosport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8256</v>
      </c>
      <c r="E5" s="16">
        <f>E36+E67+IFERROR($E$105/$D$105*D5,0)</f>
        <v>56243.564807025206</v>
      </c>
      <c r="F5" s="21">
        <f>IFERROR(E5/D5,"")</f>
        <v>6.8124472876726268</v>
      </c>
    </row>
    <row r="6" spans="1:6" x14ac:dyDescent="0.2">
      <c r="A6" s="20">
        <v>2</v>
      </c>
      <c r="B6" s="179" t="s">
        <v>1</v>
      </c>
      <c r="C6" s="180"/>
      <c r="D6" s="15">
        <f t="shared" ref="D6:D32" si="0">D37</f>
        <v>76320</v>
      </c>
      <c r="E6" s="18">
        <f t="shared" ref="E6:E32" si="1">E37+E68+IFERROR($E$105/$D$105*D6,0)</f>
        <v>794219.25606494234</v>
      </c>
      <c r="F6" s="22">
        <f t="shared" ref="F6:F33" si="2">IFERROR(E6/D6,"")</f>
        <v>10.406436793303753</v>
      </c>
    </row>
    <row r="7" spans="1:6" ht="14.25" customHeight="1" x14ac:dyDescent="0.2">
      <c r="A7" s="20">
        <v>3</v>
      </c>
      <c r="B7" s="179" t="s">
        <v>2</v>
      </c>
      <c r="C7" s="180"/>
      <c r="D7" s="15">
        <f t="shared" si="0"/>
        <v>297376</v>
      </c>
      <c r="E7" s="18">
        <f t="shared" si="1"/>
        <v>3272572.0610530432</v>
      </c>
      <c r="F7" s="22">
        <f t="shared" si="2"/>
        <v>11.004829108781621</v>
      </c>
    </row>
    <row r="8" spans="1:6" ht="14.25" customHeight="1" x14ac:dyDescent="0.2">
      <c r="A8" s="20">
        <v>4</v>
      </c>
      <c r="B8" s="179" t="s">
        <v>3</v>
      </c>
      <c r="C8" s="180"/>
      <c r="D8" s="15">
        <f t="shared" si="0"/>
        <v>145424</v>
      </c>
      <c r="E8" s="18">
        <f t="shared" si="1"/>
        <v>1521158.1793237445</v>
      </c>
      <c r="F8" s="22">
        <f t="shared" si="2"/>
        <v>10.460159116265158</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432</v>
      </c>
      <c r="E10" s="18">
        <f t="shared" si="1"/>
        <v>17118.465600367599</v>
      </c>
      <c r="F10" s="22">
        <f t="shared" si="2"/>
        <v>39.626077778628705</v>
      </c>
    </row>
    <row r="11" spans="1:6" x14ac:dyDescent="0.2">
      <c r="A11" s="20">
        <v>7</v>
      </c>
      <c r="B11" s="179" t="s">
        <v>6</v>
      </c>
      <c r="C11" s="180"/>
      <c r="D11" s="15">
        <f t="shared" si="0"/>
        <v>28294</v>
      </c>
      <c r="E11" s="18">
        <f t="shared" si="1"/>
        <v>217684.80022407597</v>
      </c>
      <c r="F11" s="22">
        <f t="shared" si="2"/>
        <v>7.693673578287834</v>
      </c>
    </row>
    <row r="12" spans="1:6" x14ac:dyDescent="0.2">
      <c r="A12" s="20">
        <v>8</v>
      </c>
      <c r="B12" s="179" t="s">
        <v>7</v>
      </c>
      <c r="C12" s="180"/>
      <c r="D12" s="15">
        <f t="shared" si="0"/>
        <v>65200</v>
      </c>
      <c r="E12" s="18">
        <f t="shared" si="1"/>
        <v>653267.16005548008</v>
      </c>
      <c r="F12" s="22">
        <f t="shared" si="2"/>
        <v>10.019434970176075</v>
      </c>
    </row>
    <row r="13" spans="1:6" x14ac:dyDescent="0.2">
      <c r="A13" s="20">
        <v>9</v>
      </c>
      <c r="B13" s="179" t="s">
        <v>8</v>
      </c>
      <c r="C13" s="180"/>
      <c r="D13" s="15">
        <f t="shared" si="0"/>
        <v>33056</v>
      </c>
      <c r="E13" s="18">
        <f t="shared" si="1"/>
        <v>294021.40482812806</v>
      </c>
      <c r="F13" s="22">
        <f t="shared" si="2"/>
        <v>8.8946455962042617</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98736</v>
      </c>
      <c r="E15" s="18">
        <f t="shared" si="1"/>
        <v>800834.74888401653</v>
      </c>
      <c r="F15" s="22">
        <f t="shared" si="2"/>
        <v>8.1108688713743362</v>
      </c>
    </row>
    <row r="16" spans="1:6" ht="14.25" customHeight="1" x14ac:dyDescent="0.2">
      <c r="A16" s="20">
        <v>12</v>
      </c>
      <c r="B16" s="179" t="s">
        <v>11</v>
      </c>
      <c r="C16" s="180"/>
      <c r="D16" s="15">
        <f t="shared" si="0"/>
        <v>164016</v>
      </c>
      <c r="E16" s="18">
        <f t="shared" si="1"/>
        <v>1534977.7729395647</v>
      </c>
      <c r="F16" s="22">
        <f t="shared" si="2"/>
        <v>9.3587075220683626</v>
      </c>
    </row>
    <row r="17" spans="1:6" x14ac:dyDescent="0.2">
      <c r="A17" s="20">
        <v>13</v>
      </c>
      <c r="B17" s="179" t="s">
        <v>12</v>
      </c>
      <c r="C17" s="180"/>
      <c r="D17" s="15">
        <f t="shared" si="0"/>
        <v>10810</v>
      </c>
      <c r="E17" s="18">
        <f t="shared" si="1"/>
        <v>101740.12300919846</v>
      </c>
      <c r="F17" s="22">
        <f t="shared" si="2"/>
        <v>9.411667253394862</v>
      </c>
    </row>
    <row r="18" spans="1:6" ht="14.25" customHeight="1" x14ac:dyDescent="0.2">
      <c r="A18" s="20">
        <v>14</v>
      </c>
      <c r="B18" s="179" t="s">
        <v>804</v>
      </c>
      <c r="C18" s="180"/>
      <c r="D18" s="15">
        <f t="shared" si="0"/>
        <v>45808</v>
      </c>
      <c r="E18" s="18">
        <f t="shared" si="1"/>
        <v>631945.92643897899</v>
      </c>
      <c r="F18" s="22">
        <f t="shared" si="2"/>
        <v>13.795536291455182</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49033</v>
      </c>
      <c r="E20" s="18">
        <f t="shared" si="1"/>
        <v>815751.69394172321</v>
      </c>
      <c r="F20" s="22">
        <f t="shared" si="2"/>
        <v>16.636789385551022</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16784</v>
      </c>
      <c r="E22" s="18">
        <f t="shared" si="1"/>
        <v>376516.86721428187</v>
      </c>
      <c r="F22" s="22">
        <f t="shared" si="2"/>
        <v>22.433083127638337</v>
      </c>
    </row>
    <row r="23" spans="1:6" x14ac:dyDescent="0.2">
      <c r="A23" s="20">
        <v>19</v>
      </c>
      <c r="B23" s="179" t="s">
        <v>17</v>
      </c>
      <c r="C23" s="180"/>
      <c r="D23" s="15">
        <f t="shared" si="0"/>
        <v>78176</v>
      </c>
      <c r="E23" s="18">
        <f t="shared" si="1"/>
        <v>1069980.7008665216</v>
      </c>
      <c r="F23" s="22">
        <f t="shared" si="2"/>
        <v>13.686818216159967</v>
      </c>
    </row>
    <row r="24" spans="1:6" x14ac:dyDescent="0.2">
      <c r="A24" s="20">
        <v>20</v>
      </c>
      <c r="B24" s="179" t="s">
        <v>18</v>
      </c>
      <c r="C24" s="180"/>
      <c r="D24" s="15">
        <f t="shared" si="0"/>
        <v>19552</v>
      </c>
      <c r="E24" s="18">
        <f t="shared" si="1"/>
        <v>211756.96161663721</v>
      </c>
      <c r="F24" s="22">
        <f t="shared" si="2"/>
        <v>10.830450164517043</v>
      </c>
    </row>
    <row r="25" spans="1:6" ht="14.25" customHeight="1" x14ac:dyDescent="0.2">
      <c r="A25" s="20">
        <v>21</v>
      </c>
      <c r="B25" s="179" t="s">
        <v>801</v>
      </c>
      <c r="C25" s="180"/>
      <c r="D25" s="15">
        <f t="shared" si="0"/>
        <v>0</v>
      </c>
      <c r="E25" s="18">
        <f t="shared" si="1"/>
        <v>0</v>
      </c>
      <c r="F25" s="22" t="str">
        <f t="shared" si="2"/>
        <v/>
      </c>
    </row>
    <row r="26" spans="1:6" x14ac:dyDescent="0.2">
      <c r="A26" s="20">
        <v>22</v>
      </c>
      <c r="B26" s="179" t="s">
        <v>19</v>
      </c>
      <c r="C26" s="180"/>
      <c r="D26" s="15">
        <f t="shared" si="0"/>
        <v>1200</v>
      </c>
      <c r="E26" s="18">
        <f t="shared" si="1"/>
        <v>8666.9600010211052</v>
      </c>
      <c r="F26" s="22">
        <f t="shared" si="2"/>
        <v>7.2224666675175877</v>
      </c>
    </row>
    <row r="27" spans="1:6" x14ac:dyDescent="0.2">
      <c r="A27" s="20">
        <v>23</v>
      </c>
      <c r="B27" s="179" t="s">
        <v>20</v>
      </c>
      <c r="C27" s="180"/>
      <c r="D27" s="15">
        <f t="shared" si="0"/>
        <v>26688</v>
      </c>
      <c r="E27" s="18">
        <f t="shared" si="1"/>
        <v>296828.43042270938</v>
      </c>
      <c r="F27" s="22">
        <f t="shared" si="2"/>
        <v>11.122168406126701</v>
      </c>
    </row>
    <row r="28" spans="1:6" x14ac:dyDescent="0.2">
      <c r="A28" s="20">
        <v>24</v>
      </c>
      <c r="B28" s="179" t="s">
        <v>21</v>
      </c>
      <c r="C28" s="180"/>
      <c r="D28" s="15">
        <f t="shared" si="0"/>
        <v>43760</v>
      </c>
      <c r="E28" s="18">
        <f t="shared" si="1"/>
        <v>372227.60803723632</v>
      </c>
      <c r="F28" s="22">
        <f t="shared" si="2"/>
        <v>8.5061153573408674</v>
      </c>
    </row>
    <row r="29" spans="1:6" x14ac:dyDescent="0.2">
      <c r="A29" s="20">
        <v>25</v>
      </c>
      <c r="B29" s="179" t="s">
        <v>22</v>
      </c>
      <c r="C29" s="180"/>
      <c r="D29" s="15">
        <f t="shared" si="0"/>
        <v>334176</v>
      </c>
      <c r="E29" s="18">
        <f t="shared" si="1"/>
        <v>2533206.5010843575</v>
      </c>
      <c r="F29" s="22">
        <f t="shared" si="2"/>
        <v>7.5804561102064705</v>
      </c>
    </row>
    <row r="30" spans="1:6" x14ac:dyDescent="0.2">
      <c r="A30" s="20">
        <v>26</v>
      </c>
      <c r="B30" s="179" t="s">
        <v>23</v>
      </c>
      <c r="C30" s="180"/>
      <c r="D30" s="15">
        <f t="shared" si="0"/>
        <v>69042</v>
      </c>
      <c r="E30" s="18">
        <f t="shared" si="1"/>
        <v>790493.32865874935</v>
      </c>
      <c r="F30" s="22">
        <f t="shared" si="2"/>
        <v>11.449455819048541</v>
      </c>
    </row>
    <row r="31" spans="1:6" x14ac:dyDescent="0.2">
      <c r="A31" s="20">
        <v>28</v>
      </c>
      <c r="B31" s="179" t="s">
        <v>24</v>
      </c>
      <c r="C31" s="180"/>
      <c r="D31" s="15">
        <f t="shared" si="0"/>
        <v>122080</v>
      </c>
      <c r="E31" s="18">
        <f t="shared" si="1"/>
        <v>1121289.4641038803</v>
      </c>
      <c r="F31" s="22">
        <f t="shared" si="2"/>
        <v>9.1848743783083258</v>
      </c>
    </row>
    <row r="32" spans="1:6" ht="15.75" customHeight="1" thickBot="1" x14ac:dyDescent="0.25">
      <c r="A32" s="23">
        <v>29</v>
      </c>
      <c r="B32" s="181" t="s">
        <v>25</v>
      </c>
      <c r="C32" s="182"/>
      <c r="D32" s="24">
        <f t="shared" si="0"/>
        <v>28576</v>
      </c>
      <c r="E32" s="25">
        <f t="shared" si="1"/>
        <v>262467.02082431596</v>
      </c>
      <c r="F32" s="26">
        <f t="shared" si="2"/>
        <v>9.1848761486672714</v>
      </c>
    </row>
    <row r="33" spans="1:6" x14ac:dyDescent="0.2">
      <c r="B33" s="31" t="s">
        <v>35</v>
      </c>
      <c r="C33" s="31"/>
      <c r="D33" s="61">
        <f>SUM(D5:D32)</f>
        <v>1762795</v>
      </c>
      <c r="E33" s="32">
        <f>SUM(E5:E32)</f>
        <v>17754969.000000004</v>
      </c>
      <c r="F33" s="33">
        <f t="shared" si="2"/>
        <v>10.07205545738444</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IF(F3="1",SUMIF(Data!A:A,'7'!$A$2,Data!CU:CU),0)</f>
        <v>8256</v>
      </c>
      <c r="E36" s="16">
        <f>IF(F3="1",SUMIF(Data!$A:$A,'7'!$A$2,Data!IO:IO),0)</f>
        <v>6958</v>
      </c>
      <c r="F36" s="21">
        <f t="shared" ref="F36:F64" si="3">IFERROR(E36/D36,"")</f>
        <v>0.84278100775193798</v>
      </c>
    </row>
    <row r="37" spans="1:6" x14ac:dyDescent="0.2">
      <c r="A37" s="20">
        <v>2</v>
      </c>
      <c r="B37" s="179" t="s">
        <v>1</v>
      </c>
      <c r="C37" s="180"/>
      <c r="D37" s="15">
        <f>IF(F3="1",SUMIF(Data!A:A,'7'!$A$2,Data!CV:CV),0)</f>
        <v>76320</v>
      </c>
      <c r="E37" s="18">
        <f>IF(F3="1",SUMIF(Data!$A:$A,'7'!$A$2,Data!IP:IP),0)</f>
        <v>129812</v>
      </c>
      <c r="F37" s="22">
        <f t="shared" si="3"/>
        <v>1.7008909853249476</v>
      </c>
    </row>
    <row r="38" spans="1:6" ht="14.25" customHeight="1" x14ac:dyDescent="0.2">
      <c r="A38" s="20">
        <v>3</v>
      </c>
      <c r="B38" s="179" t="s">
        <v>2</v>
      </c>
      <c r="C38" s="180"/>
      <c r="D38" s="15">
        <f>IF(F3="1",SUMIF(Data!A:A,'7'!$A$2,Data!CW:CW),0)</f>
        <v>297376</v>
      </c>
      <c r="E38" s="18">
        <f>IF(F3="1",SUMIF(Data!$A:$A,'7'!$A$2,Data!IQ:IQ),0)</f>
        <v>908824</v>
      </c>
      <c r="F38" s="22">
        <f t="shared" si="3"/>
        <v>3.0561444097707953</v>
      </c>
    </row>
    <row r="39" spans="1:6" ht="14.25" customHeight="1" x14ac:dyDescent="0.2">
      <c r="A39" s="20">
        <v>4</v>
      </c>
      <c r="B39" s="179" t="s">
        <v>3</v>
      </c>
      <c r="C39" s="180"/>
      <c r="D39" s="15">
        <f>IF(F3="1",SUMIF(Data!A:A,'7'!$A$2,Data!CX:CX),0)</f>
        <v>145424</v>
      </c>
      <c r="E39" s="18">
        <f>IF(F3="1",SUMIF(Data!$A:$A,'7'!$A$2,Data!IR:IR),0)</f>
        <v>45106</v>
      </c>
      <c r="F39" s="22">
        <f t="shared" si="3"/>
        <v>0.31016888546594784</v>
      </c>
    </row>
    <row r="40" spans="1:6" x14ac:dyDescent="0.2">
      <c r="A40" s="20">
        <v>5</v>
      </c>
      <c r="B40" s="179" t="s">
        <v>4</v>
      </c>
      <c r="C40" s="180"/>
      <c r="D40" s="15">
        <f>IF(F3="1",SUMIF(Data!A:A,'7'!$A$2,Data!CY:CY),0)</f>
        <v>0</v>
      </c>
      <c r="E40" s="18">
        <f>IF(F3="1",SUMIF(Data!$A:$A,'7'!$A$2,Data!IS:IS),0)</f>
        <v>0</v>
      </c>
      <c r="F40" s="22" t="str">
        <f t="shared" si="3"/>
        <v/>
      </c>
    </row>
    <row r="41" spans="1:6" x14ac:dyDescent="0.2">
      <c r="A41" s="20">
        <v>6</v>
      </c>
      <c r="B41" s="179" t="s">
        <v>5</v>
      </c>
      <c r="C41" s="180"/>
      <c r="D41" s="15">
        <f>IF(F3="1",SUMIF(Data!A:A,'7'!$A$2,Data!CZ:CZ),0)</f>
        <v>432</v>
      </c>
      <c r="E41" s="18">
        <f>IF(F3="1",SUMIF(Data!$A:$A,'7'!$A$2,Data!IT:IT),0)</f>
        <v>645</v>
      </c>
      <c r="F41" s="22">
        <f t="shared" si="3"/>
        <v>1.4930555555555556</v>
      </c>
    </row>
    <row r="42" spans="1:6" x14ac:dyDescent="0.2">
      <c r="A42" s="20">
        <v>7</v>
      </c>
      <c r="B42" s="179" t="s">
        <v>6</v>
      </c>
      <c r="C42" s="180"/>
      <c r="D42" s="15">
        <f>IF(F3="1",SUMIF(Data!A:A,'7'!$A$2,Data!DA:DA),0)</f>
        <v>28294</v>
      </c>
      <c r="E42" s="18">
        <f>IF(F3="1",SUMIF(Data!$A:$A,'7'!$A$2,Data!IU:IU),0)</f>
        <v>7298</v>
      </c>
      <c r="F42" s="22">
        <f t="shared" si="3"/>
        <v>0.25793454442638014</v>
      </c>
    </row>
    <row r="43" spans="1:6" x14ac:dyDescent="0.2">
      <c r="A43" s="20">
        <v>8</v>
      </c>
      <c r="B43" s="179" t="s">
        <v>7</v>
      </c>
      <c r="C43" s="180"/>
      <c r="D43" s="15">
        <f>IF(F3="1",SUMIF(Data!A:A,'7'!$A$2,Data!DB:DB),0)</f>
        <v>65200</v>
      </c>
      <c r="E43" s="18">
        <f>IF(F3="1",SUMIF(Data!$A:$A,'7'!$A$2,Data!IV:IV),0)</f>
        <v>41876</v>
      </c>
      <c r="F43" s="22">
        <f t="shared" si="3"/>
        <v>0.64226993865030679</v>
      </c>
    </row>
    <row r="44" spans="1:6" x14ac:dyDescent="0.2">
      <c r="A44" s="20">
        <v>9</v>
      </c>
      <c r="B44" s="179" t="s">
        <v>8</v>
      </c>
      <c r="C44" s="180"/>
      <c r="D44" s="15">
        <f>IF(F3="1",SUMIF(Data!A:A,'7'!$A$2,Data!DC:DC),0)</f>
        <v>33056</v>
      </c>
      <c r="E44" s="18">
        <f>IF(F3="1",SUMIF(Data!$A:$A,'7'!$A$2,Data!IW:IW),0)</f>
        <v>32002</v>
      </c>
      <c r="F44" s="22">
        <f t="shared" si="3"/>
        <v>0.96811471442400776</v>
      </c>
    </row>
    <row r="45" spans="1:6" x14ac:dyDescent="0.2">
      <c r="A45" s="20">
        <v>10</v>
      </c>
      <c r="B45" s="179" t="s">
        <v>9</v>
      </c>
      <c r="C45" s="180"/>
      <c r="D45" s="15">
        <f>IF(F3="1",SUMIF(Data!A:A,'7'!$A$2,Data!DD:DD),0)</f>
        <v>0</v>
      </c>
      <c r="E45" s="18">
        <f>IF(F3="1",SUMIF(Data!$A:$A,'7'!$A$2,Data!IX:IX),0)</f>
        <v>0</v>
      </c>
      <c r="F45" s="22" t="str">
        <f t="shared" si="3"/>
        <v/>
      </c>
    </row>
    <row r="46" spans="1:6" x14ac:dyDescent="0.2">
      <c r="A46" s="20">
        <v>11</v>
      </c>
      <c r="B46" s="179" t="s">
        <v>10</v>
      </c>
      <c r="C46" s="180"/>
      <c r="D46" s="15">
        <f>IF(F3="1",SUMIF(Data!A:A,'7'!$A$2,Data!DE:DE),0)</f>
        <v>98736</v>
      </c>
      <c r="E46" s="18">
        <f>IF(F3="1",SUMIF(Data!$A:$A,'7'!$A$2,Data!IY:IY),0)</f>
        <v>114313</v>
      </c>
      <c r="F46" s="22">
        <f t="shared" si="3"/>
        <v>1.1577641387133366</v>
      </c>
    </row>
    <row r="47" spans="1:6" ht="14.25" customHeight="1" x14ac:dyDescent="0.2">
      <c r="A47" s="20">
        <v>12</v>
      </c>
      <c r="B47" s="179" t="s">
        <v>11</v>
      </c>
      <c r="C47" s="180"/>
      <c r="D47" s="15">
        <f>IF(F3="1",SUMIF(Data!A:A,'7'!$A$2,Data!DF:DF),0)</f>
        <v>164016</v>
      </c>
      <c r="E47" s="18">
        <f>IF(F3="1",SUMIF(Data!$A:$A,'7'!$A$2,Data!IZ:IZ),0)</f>
        <v>35203</v>
      </c>
      <c r="F47" s="22">
        <f t="shared" si="3"/>
        <v>0.21463149936591552</v>
      </c>
    </row>
    <row r="48" spans="1:6" x14ac:dyDescent="0.2">
      <c r="A48" s="20">
        <v>13</v>
      </c>
      <c r="B48" s="179" t="s">
        <v>12</v>
      </c>
      <c r="C48" s="180"/>
      <c r="D48" s="15">
        <f>IF(F3="1",SUMIF(Data!A:A,'7'!$A$2,Data!DG:DG),0)</f>
        <v>10810</v>
      </c>
      <c r="E48" s="18">
        <f>IF(F3="1",SUMIF(Data!$A:$A,'7'!$A$2,Data!JA:JA),0)</f>
        <v>2449</v>
      </c>
      <c r="F48" s="22">
        <f t="shared" si="3"/>
        <v>0.2265494912118409</v>
      </c>
    </row>
    <row r="49" spans="1:6" ht="14.25" customHeight="1" x14ac:dyDescent="0.2">
      <c r="A49" s="20">
        <v>14</v>
      </c>
      <c r="B49" s="179" t="s">
        <v>804</v>
      </c>
      <c r="C49" s="180"/>
      <c r="D49" s="15">
        <f>IF(F3="1",SUMIF(Data!A:A,'7'!$A$2,Data!DH:DH),0)</f>
        <v>45808</v>
      </c>
      <c r="E49" s="18">
        <f>IF(F3="1",SUMIF(Data!$A:$A,'7'!$A$2,Data!JB:JB),0)</f>
        <v>226033</v>
      </c>
      <c r="F49" s="22">
        <f t="shared" si="3"/>
        <v>4.9343564442892074</v>
      </c>
    </row>
    <row r="50" spans="1:6" x14ac:dyDescent="0.2">
      <c r="A50" s="20">
        <v>15</v>
      </c>
      <c r="B50" s="179" t="s">
        <v>13</v>
      </c>
      <c r="C50" s="180"/>
      <c r="D50" s="15">
        <f>IF(F3="1",SUMIF(Data!A:A,'7'!$A$2,Data!DI:DI),0)</f>
        <v>0</v>
      </c>
      <c r="E50" s="18">
        <f>IF(F3="1",SUMIF(Data!$A:$A,'7'!$A$2,Data!JC:JC),0)</f>
        <v>0</v>
      </c>
      <c r="F50" s="22" t="str">
        <f t="shared" si="3"/>
        <v/>
      </c>
    </row>
    <row r="51" spans="1:6" x14ac:dyDescent="0.2">
      <c r="A51" s="20">
        <v>16</v>
      </c>
      <c r="B51" s="179" t="s">
        <v>14</v>
      </c>
      <c r="C51" s="180"/>
      <c r="D51" s="15">
        <f>IF(F3="1",SUMIF(Data!A:A,'7'!$A$2,Data!DJ:DJ),0)</f>
        <v>49033</v>
      </c>
      <c r="E51" s="18">
        <f>IF(F3="1",SUMIF(Data!$A:$A,'7'!$A$2,Data!JD:JD),0)</f>
        <v>308989</v>
      </c>
      <c r="F51" s="22">
        <f t="shared" si="3"/>
        <v>6.3016539881304432</v>
      </c>
    </row>
    <row r="52" spans="1:6" x14ac:dyDescent="0.2">
      <c r="A52" s="20">
        <v>17</v>
      </c>
      <c r="B52" s="179" t="s">
        <v>15</v>
      </c>
      <c r="C52" s="180"/>
      <c r="D52" s="15">
        <f>IF(F3="1",SUMIF(Data!A:A,'7'!$A$2,Data!DK:DK),0)</f>
        <v>0</v>
      </c>
      <c r="E52" s="18">
        <f>IF(F3="1",SUMIF(Data!$A:$A,'7'!$A$2,Data!JE:JE),0)</f>
        <v>0</v>
      </c>
      <c r="F52" s="22" t="str">
        <f t="shared" si="3"/>
        <v/>
      </c>
    </row>
    <row r="53" spans="1:6" x14ac:dyDescent="0.2">
      <c r="A53" s="20">
        <v>18</v>
      </c>
      <c r="B53" s="179" t="s">
        <v>16</v>
      </c>
      <c r="C53" s="180"/>
      <c r="D53" s="15">
        <f>IF(F3="1",SUMIF(Data!A:A,'7'!$A$2,Data!DL:DL),0)</f>
        <v>16784</v>
      </c>
      <c r="E53" s="18">
        <f>IF(F3="1",SUMIF(Data!$A:$A,'7'!$A$2,Data!JF:JF),0)</f>
        <v>87776</v>
      </c>
      <c r="F53" s="22">
        <f t="shared" si="3"/>
        <v>5.2297426120114396</v>
      </c>
    </row>
    <row r="54" spans="1:6" x14ac:dyDescent="0.2">
      <c r="A54" s="20">
        <v>19</v>
      </c>
      <c r="B54" s="179" t="s">
        <v>17</v>
      </c>
      <c r="C54" s="180"/>
      <c r="D54" s="15">
        <f>IF(F3="1",SUMIF(Data!A:A,'7'!$A$2,Data!DM:DM),0)</f>
        <v>78176</v>
      </c>
      <c r="E54" s="18">
        <f>IF(F3="1",SUMIF(Data!$A:$A,'7'!$A$2,Data!JG:JG),0)</f>
        <v>39230</v>
      </c>
      <c r="F54" s="22">
        <f t="shared" si="3"/>
        <v>0.50181641424478096</v>
      </c>
    </row>
    <row r="55" spans="1:6" x14ac:dyDescent="0.2">
      <c r="A55" s="20">
        <v>20</v>
      </c>
      <c r="B55" s="179" t="s">
        <v>18</v>
      </c>
      <c r="C55" s="180"/>
      <c r="D55" s="15">
        <f>IF(F3="1",SUMIF(Data!A:A,'7'!$A$2,Data!DN:DN),0)</f>
        <v>19552</v>
      </c>
      <c r="E55" s="18">
        <f>IF(F3="1",SUMIF(Data!$A:$A,'7'!$A$2,Data!JH:JH),0)</f>
        <v>20426</v>
      </c>
      <c r="F55" s="22">
        <f t="shared" si="3"/>
        <v>1.044701309328969</v>
      </c>
    </row>
    <row r="56" spans="1:6" ht="14.25" customHeight="1" x14ac:dyDescent="0.2">
      <c r="A56" s="20">
        <v>21</v>
      </c>
      <c r="B56" s="179" t="s">
        <v>801</v>
      </c>
      <c r="C56" s="180"/>
      <c r="D56" s="15">
        <f>IF(F3="1",SUMIF(Data!A:A,'7'!$A$2,Data!DO:DO),0)</f>
        <v>0</v>
      </c>
      <c r="E56" s="18">
        <f>IF(F3="1",SUMIF(Data!$A:$A,'7'!$A$2,Data!JI:JI),0)</f>
        <v>0</v>
      </c>
      <c r="F56" s="22" t="str">
        <f t="shared" si="3"/>
        <v/>
      </c>
    </row>
    <row r="57" spans="1:6" x14ac:dyDescent="0.2">
      <c r="A57" s="20">
        <v>22</v>
      </c>
      <c r="B57" s="179" t="s">
        <v>19</v>
      </c>
      <c r="C57" s="180"/>
      <c r="D57" s="15">
        <f>IF(F3="1",SUMIF(Data!A:A,'7'!$A$2,Data!DP:DP),0)</f>
        <v>1200</v>
      </c>
      <c r="E57" s="18">
        <f>IF(F3="1",SUMIF(Data!$A:$A,'7'!$A$2,Data!JJ:JJ),0)</f>
        <v>124</v>
      </c>
      <c r="F57" s="22">
        <f t="shared" si="3"/>
        <v>0.10333333333333333</v>
      </c>
    </row>
    <row r="58" spans="1:6" x14ac:dyDescent="0.2">
      <c r="A58" s="20">
        <v>23</v>
      </c>
      <c r="B58" s="179" t="s">
        <v>20</v>
      </c>
      <c r="C58" s="180"/>
      <c r="D58" s="15">
        <f>IF(F3="1",SUMIF(Data!A:A,'7'!$A$2,Data!DQ:DQ),0)</f>
        <v>26688</v>
      </c>
      <c r="E58" s="18">
        <f>IF(F3="1",SUMIF(Data!$A:$A,'7'!$A$2,Data!JK:JK),0)</f>
        <v>13607</v>
      </c>
      <c r="F58" s="22">
        <f t="shared" si="3"/>
        <v>0.50985461630695439</v>
      </c>
    </row>
    <row r="59" spans="1:6" x14ac:dyDescent="0.2">
      <c r="A59" s="20">
        <v>24</v>
      </c>
      <c r="B59" s="179" t="s">
        <v>21</v>
      </c>
      <c r="C59" s="180"/>
      <c r="D59" s="15">
        <f>IF(F3="1",SUMIF(Data!A:A,'7'!$A$2,Data!DR:DR),0)</f>
        <v>43760</v>
      </c>
      <c r="E59" s="18">
        <f>IF(F3="1",SUMIF(Data!$A:$A,'7'!$A$2,Data!JL:JL),0)</f>
        <v>12007</v>
      </c>
      <c r="F59" s="22">
        <f t="shared" si="3"/>
        <v>0.27438299817184642</v>
      </c>
    </row>
    <row r="60" spans="1:6" x14ac:dyDescent="0.2">
      <c r="A60" s="20">
        <v>25</v>
      </c>
      <c r="B60" s="179" t="s">
        <v>22</v>
      </c>
      <c r="C60" s="180"/>
      <c r="D60" s="15">
        <f>IF(F3="1",SUMIF(Data!A:A,'7'!$A$2,Data!DS:DS),0)</f>
        <v>334176</v>
      </c>
      <c r="E60" s="18">
        <f>IF(F3="1",SUMIF(Data!$A:$A,'7'!$A$2,Data!JM:JM),0)</f>
        <v>41217</v>
      </c>
      <c r="F60" s="22">
        <f t="shared" si="3"/>
        <v>0.12333919850617639</v>
      </c>
    </row>
    <row r="61" spans="1:6" x14ac:dyDescent="0.2">
      <c r="A61" s="20">
        <v>26</v>
      </c>
      <c r="B61" s="179" t="s">
        <v>23</v>
      </c>
      <c r="C61" s="180"/>
      <c r="D61" s="15">
        <f>IF(F3="1",SUMIF(Data!A:A,'7'!$A$2,Data!DT:DT),0)</f>
        <v>69042</v>
      </c>
      <c r="E61" s="18">
        <f>IF(F3="1",SUMIF(Data!$A:$A,'7'!$A$2,Data!JN:JN),0)</f>
        <v>89394</v>
      </c>
      <c r="F61" s="22">
        <f t="shared" si="3"/>
        <v>1.294777092204745</v>
      </c>
    </row>
    <row r="62" spans="1:6" x14ac:dyDescent="0.2">
      <c r="A62" s="20">
        <v>28</v>
      </c>
      <c r="B62" s="179" t="s">
        <v>24</v>
      </c>
      <c r="C62" s="180"/>
      <c r="D62" s="15">
        <f>IF(F3="1",SUMIF(Data!A:A,'7'!$A$2,Data!DV:DV),0)</f>
        <v>122080</v>
      </c>
      <c r="E62" s="18">
        <f>IF(F3="1",SUMIF(Data!$A:$A,'7'!$A$2,Data!JP:JP),0)</f>
        <v>284098</v>
      </c>
      <c r="F62" s="22">
        <f t="shared" si="3"/>
        <v>2.327146133682831</v>
      </c>
    </row>
    <row r="63" spans="1:6" ht="15.75" customHeight="1" thickBot="1" x14ac:dyDescent="0.25">
      <c r="A63" s="23">
        <v>29</v>
      </c>
      <c r="B63" s="181" t="s">
        <v>25</v>
      </c>
      <c r="C63" s="182"/>
      <c r="D63" s="24">
        <f>IF(F3="1",SUMIF(Data!A:A,'7'!$A$2,Data!DW:DW),0)</f>
        <v>28576</v>
      </c>
      <c r="E63" s="25">
        <f>IF(F3="1",SUMIF(Data!$A:$A,'7'!$A$2,Data!JQ:JQ),0)</f>
        <v>66501</v>
      </c>
      <c r="F63" s="26">
        <f t="shared" si="3"/>
        <v>2.327162653975364</v>
      </c>
    </row>
    <row r="64" spans="1:6" x14ac:dyDescent="0.2">
      <c r="B64" s="31" t="s">
        <v>35</v>
      </c>
      <c r="C64" s="31"/>
      <c r="D64" s="61">
        <f>SUM(D36:D63)</f>
        <v>1762795</v>
      </c>
      <c r="E64" s="32">
        <f>SUM(E36:E63)</f>
        <v>2513888</v>
      </c>
      <c r="F64" s="33">
        <f t="shared" si="3"/>
        <v>1.4260807410958165</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8256</v>
      </c>
      <c r="E67" s="16">
        <f>IF(F3="1",SUMIF(Data!A:A,'7'!$A$2,Data!DY:DY),0)</f>
        <v>9258</v>
      </c>
      <c r="F67" s="21">
        <f>IFERROR(E67/D67,"")</f>
        <v>1.1213662790697674</v>
      </c>
    </row>
    <row r="68" spans="1:6" x14ac:dyDescent="0.2">
      <c r="A68" s="20">
        <v>2</v>
      </c>
      <c r="B68" s="179" t="s">
        <v>1</v>
      </c>
      <c r="C68" s="180"/>
      <c r="D68" s="15">
        <f t="shared" ref="D68:D94" si="4">D37</f>
        <v>76320</v>
      </c>
      <c r="E68" s="18">
        <f>IF(F3="1",SUMIF(Data!A:A,'7'!$A$2,Data!DZ:DZ),0)</f>
        <v>294385</v>
      </c>
      <c r="F68" s="22">
        <f t="shared" ref="F68:F95" si="5">IFERROR(E68/D68,"")</f>
        <v>3.8572458071278826</v>
      </c>
    </row>
    <row r="69" spans="1:6" ht="14.25" customHeight="1" x14ac:dyDescent="0.2">
      <c r="A69" s="20">
        <v>3</v>
      </c>
      <c r="B69" s="179" t="s">
        <v>2</v>
      </c>
      <c r="C69" s="180"/>
      <c r="D69" s="15">
        <f t="shared" si="4"/>
        <v>297376</v>
      </c>
      <c r="E69" s="18">
        <f>IF(F3="1",SUMIF(Data!A:A,'7'!$A$2,Data!EA:EA),0)</f>
        <v>921980</v>
      </c>
      <c r="F69" s="22">
        <f t="shared" si="5"/>
        <v>3.1003846981599055</v>
      </c>
    </row>
    <row r="70" spans="1:6" ht="14.25" customHeight="1" x14ac:dyDescent="0.2">
      <c r="A70" s="20">
        <v>4</v>
      </c>
      <c r="B70" s="179" t="s">
        <v>3</v>
      </c>
      <c r="C70" s="180"/>
      <c r="D70" s="15">
        <f t="shared" si="4"/>
        <v>145424</v>
      </c>
      <c r="E70" s="18">
        <f>IF(F3="1",SUMIF(Data!A:A,'7'!$A$2,Data!EB:EB),0)</f>
        <v>770993</v>
      </c>
      <c r="F70" s="22">
        <f t="shared" si="5"/>
        <v>5.3016902299482895</v>
      </c>
    </row>
    <row r="71" spans="1:6" x14ac:dyDescent="0.2">
      <c r="A71" s="20">
        <v>5</v>
      </c>
      <c r="B71" s="179" t="s">
        <v>4</v>
      </c>
      <c r="C71" s="180"/>
      <c r="D71" s="15">
        <f t="shared" si="4"/>
        <v>0</v>
      </c>
      <c r="E71" s="18">
        <f>IF(F3="1",SUMIF(Data!A:A,'7'!$A$2,Data!EC:EC),0)</f>
        <v>0</v>
      </c>
      <c r="F71" s="22" t="str">
        <f t="shared" si="5"/>
        <v/>
      </c>
    </row>
    <row r="72" spans="1:6" x14ac:dyDescent="0.2">
      <c r="A72" s="20">
        <v>6</v>
      </c>
      <c r="B72" s="179" t="s">
        <v>5</v>
      </c>
      <c r="C72" s="180"/>
      <c r="D72" s="15">
        <f t="shared" si="4"/>
        <v>432</v>
      </c>
      <c r="E72" s="18">
        <f>IF(F3="1",SUMIF(Data!A:A,'7'!$A$2,Data!ED:ED),0)</f>
        <v>14379</v>
      </c>
      <c r="F72" s="22">
        <f t="shared" si="5"/>
        <v>33.284722222222221</v>
      </c>
    </row>
    <row r="73" spans="1:6" x14ac:dyDescent="0.2">
      <c r="A73" s="20">
        <v>7</v>
      </c>
      <c r="B73" s="179" t="s">
        <v>6</v>
      </c>
      <c r="C73" s="180"/>
      <c r="D73" s="15">
        <f t="shared" si="4"/>
        <v>28294</v>
      </c>
      <c r="E73" s="18">
        <f>IF(F3="1",SUMIF(Data!A:A,'7'!$A$2,Data!EE:EE),0)</f>
        <v>73209</v>
      </c>
      <c r="F73" s="22">
        <f t="shared" si="5"/>
        <v>2.5874390330105324</v>
      </c>
    </row>
    <row r="74" spans="1:6" x14ac:dyDescent="0.2">
      <c r="A74" s="20">
        <v>8</v>
      </c>
      <c r="B74" s="179" t="s">
        <v>7</v>
      </c>
      <c r="C74" s="180"/>
      <c r="D74" s="15">
        <f t="shared" si="4"/>
        <v>65200</v>
      </c>
      <c r="E74" s="18">
        <f>IF(F3="1",SUMIF(Data!A:A,'7'!$A$2,Data!EF:EF),0)</f>
        <v>295282</v>
      </c>
      <c r="F74" s="22">
        <f t="shared" si="5"/>
        <v>4.5288650306748464</v>
      </c>
    </row>
    <row r="75" spans="1:6" x14ac:dyDescent="0.2">
      <c r="A75" s="20">
        <v>9</v>
      </c>
      <c r="B75" s="179" t="s">
        <v>8</v>
      </c>
      <c r="C75" s="180"/>
      <c r="D75" s="15">
        <f t="shared" si="4"/>
        <v>33056</v>
      </c>
      <c r="E75" s="18">
        <f>IF(F3="1",SUMIF(Data!A:A,'7'!$A$2,Data!EG:EG),0)</f>
        <v>101754</v>
      </c>
      <c r="F75" s="22">
        <f t="shared" si="5"/>
        <v>3.0782308809293322</v>
      </c>
    </row>
    <row r="76" spans="1:6" x14ac:dyDescent="0.2">
      <c r="A76" s="20">
        <v>10</v>
      </c>
      <c r="B76" s="179" t="s">
        <v>9</v>
      </c>
      <c r="C76" s="180"/>
      <c r="D76" s="15">
        <f t="shared" si="4"/>
        <v>0</v>
      </c>
      <c r="E76" s="18">
        <f>IF(F3="1",SUMIF(Data!A:A,'7'!$A$2,Data!EH:EH),0)</f>
        <v>0</v>
      </c>
      <c r="F76" s="22" t="str">
        <f t="shared" si="5"/>
        <v/>
      </c>
    </row>
    <row r="77" spans="1:6" x14ac:dyDescent="0.2">
      <c r="A77" s="20">
        <v>11</v>
      </c>
      <c r="B77" s="179" t="s">
        <v>10</v>
      </c>
      <c r="C77" s="180"/>
      <c r="D77" s="15">
        <f t="shared" si="4"/>
        <v>98736</v>
      </c>
      <c r="E77" s="18">
        <f>IF(F3="1",SUMIF(Data!A:A,'7'!$A$2,Data!EI:EI),0)</f>
        <v>207820</v>
      </c>
      <c r="F77" s="22">
        <f t="shared" si="5"/>
        <v>2.1048047318100793</v>
      </c>
    </row>
    <row r="78" spans="1:6" ht="14.25" customHeight="1" x14ac:dyDescent="0.2">
      <c r="A78" s="20">
        <v>12</v>
      </c>
      <c r="B78" s="179" t="s">
        <v>11</v>
      </c>
      <c r="C78" s="180"/>
      <c r="D78" s="15">
        <f t="shared" si="4"/>
        <v>164016</v>
      </c>
      <c r="E78" s="18">
        <f>IF(F3="1",SUMIF(Data!A:A,'7'!$A$2,Data!EJ:EJ),0)</f>
        <v>704576</v>
      </c>
      <c r="F78" s="22">
        <f t="shared" si="5"/>
        <v>4.2957760218515268</v>
      </c>
    </row>
    <row r="79" spans="1:6" x14ac:dyDescent="0.2">
      <c r="A79" s="20">
        <v>13</v>
      </c>
      <c r="B79" s="179" t="s">
        <v>12</v>
      </c>
      <c r="C79" s="180"/>
      <c r="D79" s="15">
        <f t="shared" si="4"/>
        <v>10810</v>
      </c>
      <c r="E79" s="18">
        <f>IF(F3="1",SUMIF(Data!A:A,'7'!$A$2,Data!EK:EK),0)</f>
        <v>46881</v>
      </c>
      <c r="F79" s="22">
        <f t="shared" si="5"/>
        <v>4.3368177613320995</v>
      </c>
    </row>
    <row r="80" spans="1:6" ht="14.25" customHeight="1" x14ac:dyDescent="0.2">
      <c r="A80" s="20">
        <v>14</v>
      </c>
      <c r="B80" s="179" t="s">
        <v>804</v>
      </c>
      <c r="C80" s="180"/>
      <c r="D80" s="15">
        <f t="shared" si="4"/>
        <v>45808</v>
      </c>
      <c r="E80" s="18">
        <f>IF(F3="1",SUMIF(Data!A:A,'7'!$A$2,Data!EL:EL),0)</f>
        <v>183822</v>
      </c>
      <c r="F80" s="22">
        <f t="shared" si="5"/>
        <v>4.0128798463150543</v>
      </c>
    </row>
    <row r="81" spans="1:6" x14ac:dyDescent="0.2">
      <c r="A81" s="20">
        <v>15</v>
      </c>
      <c r="B81" s="179" t="s">
        <v>13</v>
      </c>
      <c r="C81" s="180"/>
      <c r="D81" s="15">
        <f t="shared" si="4"/>
        <v>0</v>
      </c>
      <c r="E81" s="18">
        <f>IF(F3="1",SUMIF(Data!A:A,'7'!$A$2,Data!EM:EM),0)</f>
        <v>0</v>
      </c>
      <c r="F81" s="22" t="str">
        <f t="shared" si="5"/>
        <v/>
      </c>
    </row>
    <row r="82" spans="1:6" x14ac:dyDescent="0.2">
      <c r="A82" s="20">
        <v>16</v>
      </c>
      <c r="B82" s="179" t="s">
        <v>14</v>
      </c>
      <c r="C82" s="180"/>
      <c r="D82" s="15">
        <f t="shared" si="4"/>
        <v>49033</v>
      </c>
      <c r="E82" s="18">
        <f>IF(F3="1",SUMIF(Data!A:A,'7'!$A$2,Data!EN:EN),0)</f>
        <v>269036</v>
      </c>
      <c r="F82" s="22">
        <f t="shared" si="5"/>
        <v>5.4868353965696572</v>
      </c>
    </row>
    <row r="83" spans="1:6" x14ac:dyDescent="0.2">
      <c r="A83" s="20">
        <v>17</v>
      </c>
      <c r="B83" s="179" t="s">
        <v>15</v>
      </c>
      <c r="C83" s="180"/>
      <c r="D83" s="15">
        <f t="shared" si="4"/>
        <v>0</v>
      </c>
      <c r="E83" s="18">
        <f>IF(F3="1",SUMIF(Data!A:A,'7'!$A$2,Data!EO:EO),0)</f>
        <v>0</v>
      </c>
      <c r="F83" s="22" t="str">
        <f t="shared" si="5"/>
        <v/>
      </c>
    </row>
    <row r="84" spans="1:6" x14ac:dyDescent="0.2">
      <c r="A84" s="20">
        <v>18</v>
      </c>
      <c r="B84" s="179" t="s">
        <v>16</v>
      </c>
      <c r="C84" s="180"/>
      <c r="D84" s="15">
        <f t="shared" si="4"/>
        <v>16784</v>
      </c>
      <c r="E84" s="18">
        <f>IF(F3="1",SUMIF(Data!A:A,'7'!$A$2,Data!EP:EP),0)</f>
        <v>207367</v>
      </c>
      <c r="F84" s="22">
        <f t="shared" si="5"/>
        <v>12.355040514775977</v>
      </c>
    </row>
    <row r="85" spans="1:6" x14ac:dyDescent="0.2">
      <c r="A85" s="20">
        <v>19</v>
      </c>
      <c r="B85" s="179" t="s">
        <v>17</v>
      </c>
      <c r="C85" s="180"/>
      <c r="D85" s="15">
        <f t="shared" si="4"/>
        <v>78176</v>
      </c>
      <c r="E85" s="18">
        <f>IF(F3="1",SUMIF(Data!A:A,'7'!$A$2,Data!EQ:EQ),0)</f>
        <v>651730</v>
      </c>
      <c r="F85" s="22">
        <f t="shared" si="5"/>
        <v>8.3367018010642653</v>
      </c>
    </row>
    <row r="86" spans="1:6" x14ac:dyDescent="0.2">
      <c r="A86" s="20">
        <v>20</v>
      </c>
      <c r="B86" s="179" t="s">
        <v>18</v>
      </c>
      <c r="C86" s="180"/>
      <c r="D86" s="15">
        <f t="shared" si="4"/>
        <v>19552</v>
      </c>
      <c r="E86" s="18">
        <f>IF(F3="1",SUMIF(Data!A:A,'7'!$A$2,Data!ER:ER),0)</f>
        <v>96537</v>
      </c>
      <c r="F86" s="22">
        <f t="shared" si="5"/>
        <v>4.937448854337152</v>
      </c>
    </row>
    <row r="87" spans="1:6" ht="14.25" customHeight="1" x14ac:dyDescent="0.2">
      <c r="A87" s="20">
        <v>21</v>
      </c>
      <c r="B87" s="179" t="s">
        <v>801</v>
      </c>
      <c r="C87" s="180"/>
      <c r="D87" s="15">
        <f t="shared" si="4"/>
        <v>0</v>
      </c>
      <c r="E87" s="18">
        <f>IF(F3="1",SUMIF(Data!A:A,'7'!$A$2,Data!ES:ES),0)</f>
        <v>0</v>
      </c>
      <c r="F87" s="22" t="str">
        <f t="shared" si="5"/>
        <v/>
      </c>
    </row>
    <row r="88" spans="1:6" x14ac:dyDescent="0.2">
      <c r="A88" s="20">
        <v>22</v>
      </c>
      <c r="B88" s="179" t="s">
        <v>19</v>
      </c>
      <c r="C88" s="180"/>
      <c r="D88" s="15">
        <f t="shared" si="4"/>
        <v>1200</v>
      </c>
      <c r="E88" s="18">
        <f>IF(F3="1",SUMIF(Data!A:A,'7'!$A$2,Data!ET:ET),0)</f>
        <v>2725</v>
      </c>
      <c r="F88" s="22">
        <f t="shared" si="5"/>
        <v>2.2708333333333335</v>
      </c>
    </row>
    <row r="89" spans="1:6" x14ac:dyDescent="0.2">
      <c r="A89" s="20">
        <v>23</v>
      </c>
      <c r="B89" s="179" t="s">
        <v>20</v>
      </c>
      <c r="C89" s="180"/>
      <c r="D89" s="15">
        <f t="shared" si="4"/>
        <v>26688</v>
      </c>
      <c r="E89" s="18">
        <f>IF(F3="1",SUMIF(Data!A:A,'7'!$A$2,Data!EU:EU),0)</f>
        <v>153830</v>
      </c>
      <c r="F89" s="22">
        <f t="shared" si="5"/>
        <v>5.7640137889688248</v>
      </c>
    </row>
    <row r="90" spans="1:6" x14ac:dyDescent="0.2">
      <c r="A90" s="20">
        <v>24</v>
      </c>
      <c r="B90" s="179" t="s">
        <v>21</v>
      </c>
      <c r="C90" s="180"/>
      <c r="D90" s="15">
        <f t="shared" si="4"/>
        <v>43760</v>
      </c>
      <c r="E90" s="18">
        <f>IF(F3="1",SUMIF(Data!A:A,'7'!$A$2,Data!EV:EV),0)</f>
        <v>148059</v>
      </c>
      <c r="F90" s="22">
        <f t="shared" si="5"/>
        <v>3.3834323583180987</v>
      </c>
    </row>
    <row r="91" spans="1:6" x14ac:dyDescent="0.2">
      <c r="A91" s="20">
        <v>25</v>
      </c>
      <c r="B91" s="179" t="s">
        <v>22</v>
      </c>
      <c r="C91" s="180"/>
      <c r="D91" s="15">
        <f t="shared" si="4"/>
        <v>334176</v>
      </c>
      <c r="E91" s="18">
        <f>IF(F3="1",SUMIF(Data!A:A,'7'!$A$2,Data!EW:EW),0)</f>
        <v>871804</v>
      </c>
      <c r="F91" s="22">
        <f t="shared" si="5"/>
        <v>2.6088169108493728</v>
      </c>
    </row>
    <row r="92" spans="1:6" x14ac:dyDescent="0.2">
      <c r="A92" s="20">
        <v>26</v>
      </c>
      <c r="B92" s="179" t="s">
        <v>23</v>
      </c>
      <c r="C92" s="180"/>
      <c r="D92" s="15">
        <f t="shared" si="4"/>
        <v>69042</v>
      </c>
      <c r="E92" s="18">
        <f>IF(F3="1",SUMIF(Data!A:A,'7'!$A$2,Data!EX:EX),0)</f>
        <v>366363</v>
      </c>
      <c r="F92" s="22">
        <f t="shared" si="5"/>
        <v>5.3063787259928743</v>
      </c>
    </row>
    <row r="93" spans="1:6" x14ac:dyDescent="0.2">
      <c r="A93" s="20">
        <v>28</v>
      </c>
      <c r="B93" s="179" t="s">
        <v>24</v>
      </c>
      <c r="C93" s="180"/>
      <c r="D93" s="15">
        <f t="shared" si="4"/>
        <v>122080</v>
      </c>
      <c r="E93" s="18">
        <f>IF(F3="1",SUMIF(Data!A:A,'7'!$A$2,Data!EZ:EZ),0)</f>
        <v>245311</v>
      </c>
      <c r="F93" s="22">
        <f t="shared" si="5"/>
        <v>2.0094282437745741</v>
      </c>
    </row>
    <row r="94" spans="1:6" ht="15.75" customHeight="1" thickBot="1" x14ac:dyDescent="0.25">
      <c r="A94" s="23">
        <v>29</v>
      </c>
      <c r="B94" s="181" t="s">
        <v>25</v>
      </c>
      <c r="C94" s="182"/>
      <c r="D94" s="24">
        <f t="shared" si="4"/>
        <v>28576</v>
      </c>
      <c r="E94" s="25">
        <f>IF(F3="1",SUMIF(Data!A:A,'7'!$A$2,Data!FA:FA),0)</f>
        <v>57421</v>
      </c>
      <c r="F94" s="26">
        <f t="shared" si="5"/>
        <v>2.0094134938409853</v>
      </c>
    </row>
    <row r="95" spans="1:6" x14ac:dyDescent="0.2">
      <c r="B95" s="31" t="s">
        <v>35</v>
      </c>
      <c r="C95" s="31"/>
      <c r="D95" s="61">
        <f>SUM(D67:D94)</f>
        <v>1762795</v>
      </c>
      <c r="E95" s="32">
        <f>SUM(E67:E94)</f>
        <v>6694522</v>
      </c>
      <c r="F95" s="33">
        <f t="shared" si="5"/>
        <v>3.7976747154377</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IF(F3="1",SUMIF(Data!A:A,'7'!$A$2,Data!AH:AH),0)</f>
        <v>4340849</v>
      </c>
      <c r="F98" s="21">
        <f t="shared" ref="F98:F105" si="6">IFERROR(E98/$D$95,0)</f>
        <v>2.4624808897234223</v>
      </c>
    </row>
    <row r="99" spans="2:6" x14ac:dyDescent="0.2">
      <c r="B99" s="185" t="s">
        <v>31</v>
      </c>
      <c r="C99" s="186"/>
      <c r="D99" s="37"/>
      <c r="E99" s="18">
        <f>IF(F3="1",SUMIF(Data!A:A,'7'!$A$2,Data!AI:AI),0)</f>
        <v>1846861</v>
      </c>
      <c r="F99" s="22">
        <f t="shared" si="6"/>
        <v>1.0476890392813685</v>
      </c>
    </row>
    <row r="100" spans="2:6" x14ac:dyDescent="0.2">
      <c r="B100" s="185" t="s">
        <v>32</v>
      </c>
      <c r="C100" s="186"/>
      <c r="D100" s="37"/>
      <c r="E100" s="18">
        <f>IF(F3="1",SUMIF(Data!A:A,'7'!$A$2,Data!AJ:AJ),0)</f>
        <v>1583353</v>
      </c>
      <c r="F100" s="22">
        <f t="shared" si="6"/>
        <v>0.89820597403555147</v>
      </c>
    </row>
    <row r="101" spans="2:6" x14ac:dyDescent="0.2">
      <c r="B101" s="185" t="s">
        <v>28</v>
      </c>
      <c r="C101" s="186"/>
      <c r="D101" s="37"/>
      <c r="E101" s="18">
        <f>IF(F3="1",SUMIF(Data!A:A,'7'!$A$2,Data!AK:AK),0)</f>
        <v>0</v>
      </c>
      <c r="F101" s="22">
        <f t="shared" si="6"/>
        <v>0</v>
      </c>
    </row>
    <row r="102" spans="2:6" x14ac:dyDescent="0.2">
      <c r="B102" s="185" t="s">
        <v>33</v>
      </c>
      <c r="C102" s="186"/>
      <c r="D102" s="37"/>
      <c r="E102" s="18">
        <f>IF(F3="1",SUMIF(Data!A:A,'7'!$A$2,Data!AL:AL),0)</f>
        <v>283810</v>
      </c>
      <c r="F102" s="22">
        <f t="shared" si="6"/>
        <v>0.1610000028364047</v>
      </c>
    </row>
    <row r="103" spans="2:6" x14ac:dyDescent="0.2">
      <c r="B103" s="187" t="s">
        <v>34</v>
      </c>
      <c r="C103" s="188"/>
      <c r="D103" s="37"/>
      <c r="E103" s="18">
        <f>IF(F3="1",SUMIF(Data!A:A,'7'!$A$2,Data!AM:AM),0)</f>
        <v>116508</v>
      </c>
      <c r="F103" s="22">
        <f t="shared" si="6"/>
        <v>6.6092767451688933E-2</v>
      </c>
    </row>
    <row r="104" spans="2:6" ht="15.75" customHeight="1" thickBot="1" x14ac:dyDescent="0.25">
      <c r="B104" s="177" t="s">
        <v>29</v>
      </c>
      <c r="C104" s="178"/>
      <c r="D104" s="38"/>
      <c r="E104" s="25">
        <f>IF(F3="1",SUMIF(Data!A:A,'7'!$A$2,Data!Q:Q),0)</f>
        <v>375178</v>
      </c>
      <c r="F104" s="26">
        <f t="shared" si="6"/>
        <v>0.2128313275224856</v>
      </c>
    </row>
    <row r="105" spans="2:6" x14ac:dyDescent="0.2">
      <c r="B105" s="31" t="s">
        <v>35</v>
      </c>
      <c r="C105" s="31"/>
      <c r="D105" s="35">
        <f>D95</f>
        <v>1762795</v>
      </c>
      <c r="E105" s="32">
        <f>SUM(E98:E104)</f>
        <v>8546559</v>
      </c>
      <c r="F105" s="33">
        <f t="shared" si="6"/>
        <v>4.8483000008509212</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7841042</v>
      </c>
      <c r="D109" s="16">
        <f>IF(F3="1",SUMIF(Data!$A:$A,$A$2,Data!HJ:HJ),0)</f>
        <v>402735</v>
      </c>
      <c r="E109" s="16">
        <f>IF(F3="1",SUMIF(Data!$A:$A,$A$2,Data!IN:IN),0)</f>
        <v>3276193</v>
      </c>
      <c r="F109" s="48">
        <f>SUM(C109:E109)</f>
        <v>11519970</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64306</v>
      </c>
      <c r="D111" s="52"/>
      <c r="E111" s="51">
        <f>IF(F3="1",SUMIF(Data!A:A,$A$2,Data!AX:AX),0)</f>
        <v>1667</v>
      </c>
      <c r="F111" s="49">
        <f t="shared" si="7"/>
        <v>65973</v>
      </c>
    </row>
    <row r="112" spans="2:6" x14ac:dyDescent="0.2">
      <c r="B112" s="43" t="s">
        <v>32</v>
      </c>
      <c r="C112" s="51">
        <f>IF(F3="1",SUMIF(Data!A:A,$A$2,Data!V:V),0)</f>
        <v>743875</v>
      </c>
      <c r="D112" s="52"/>
      <c r="E112" s="51">
        <f>IF(F3="1",SUMIF(Data!A:A,$A$2,Data!AC:AC),0)</f>
        <v>839478</v>
      </c>
      <c r="F112" s="49">
        <f t="shared" si="7"/>
        <v>1583353</v>
      </c>
    </row>
    <row r="113" spans="1:6" x14ac:dyDescent="0.2">
      <c r="B113" s="43" t="s">
        <v>31</v>
      </c>
      <c r="C113" s="51">
        <f>IF(F3="1",SUMIF(Data!A:A,$A$2,Data!U:U),0)</f>
        <v>1529969</v>
      </c>
      <c r="D113" s="52"/>
      <c r="E113" s="51">
        <f>IF(F3="1",SUMIF(Data!A:A,$A$2,Data!AB:AB),0)</f>
        <v>316892</v>
      </c>
      <c r="F113" s="49">
        <f t="shared" si="7"/>
        <v>1846861</v>
      </c>
    </row>
    <row r="114" spans="1:6" x14ac:dyDescent="0.2">
      <c r="B114" s="43" t="s">
        <v>1363</v>
      </c>
      <c r="C114" s="51">
        <f>IF(F3="1",SUMIF(Data!A:A,$A$2,Data!T:T),0)</f>
        <v>2909746</v>
      </c>
      <c r="D114" s="52"/>
      <c r="E114" s="51">
        <f>IF(F3="1",SUMIF(Data!A:A,$A$2,Data!AA:AA),0)</f>
        <v>1431103</v>
      </c>
      <c r="F114" s="49">
        <f t="shared" si="7"/>
        <v>4340849</v>
      </c>
    </row>
    <row r="115" spans="1:6" x14ac:dyDescent="0.2">
      <c r="B115" s="43" t="s">
        <v>1278</v>
      </c>
      <c r="C115" s="51">
        <f>IF(F3="1",SUMIF(Data!A:A,$A$2,Data!BI:BI),0)</f>
        <v>493801</v>
      </c>
      <c r="D115" s="51">
        <f>IF(F3="1",SUMIF(Data!A:A,$A$2,Data!BL:BL),0)</f>
        <v>247076</v>
      </c>
      <c r="E115" s="51">
        <f>IF(F3="1",SUMIF(Data!A:A,$A$2,Data!BU:BU),0)</f>
        <v>2770170</v>
      </c>
      <c r="F115" s="49">
        <f t="shared" si="7"/>
        <v>3511047</v>
      </c>
    </row>
    <row r="116" spans="1:6" x14ac:dyDescent="0.2">
      <c r="B116" s="43" t="s">
        <v>33</v>
      </c>
      <c r="C116" s="51">
        <f>IF(F3="1",SUMIF(Data!A:A,$A$2,Data!X:X),0)</f>
        <v>3580</v>
      </c>
      <c r="D116" s="51"/>
      <c r="E116" s="51">
        <f>E102</f>
        <v>283810</v>
      </c>
      <c r="F116" s="49">
        <f t="shared" si="7"/>
        <v>287390</v>
      </c>
    </row>
    <row r="117" spans="1:6" ht="15" thickBot="1" x14ac:dyDescent="0.25">
      <c r="B117" s="44" t="s">
        <v>1282</v>
      </c>
      <c r="C117" s="53"/>
      <c r="D117" s="53">
        <f>IF(F3="1",SUMIF(Data!A:A,$A$2,Data!Q:Q),0)</f>
        <v>375178</v>
      </c>
      <c r="E117" s="53"/>
      <c r="F117" s="50">
        <f>SUM(C117:E117)</f>
        <v>375178</v>
      </c>
    </row>
    <row r="118" spans="1:6" x14ac:dyDescent="0.2">
      <c r="B118" s="14" t="s">
        <v>35</v>
      </c>
      <c r="C118" s="5">
        <f>SUM(C109:C116)</f>
        <v>13586319</v>
      </c>
      <c r="D118" s="5">
        <f>SUM(D109:D116)</f>
        <v>649811</v>
      </c>
      <c r="E118" s="5">
        <f>SUM(E109:E116)</f>
        <v>8919313</v>
      </c>
      <c r="F118" s="5">
        <f>SUM(F109:F116)</f>
        <v>23155443</v>
      </c>
    </row>
    <row r="119" spans="1:6" ht="15" thickBot="1" x14ac:dyDescent="0.25"/>
    <row r="120" spans="1:6" ht="15" thickBot="1" x14ac:dyDescent="0.25">
      <c r="B120" s="57" t="s">
        <v>1283</v>
      </c>
      <c r="C120" s="55"/>
      <c r="D120" s="55"/>
      <c r="E120" s="55">
        <f>IF(F3="1",SUMIF(Data!A:A,'7'!$A$2,Data!AM:AM),0)</f>
        <v>116508</v>
      </c>
      <c r="F120" s="56">
        <f>SUM(C120:E120)</f>
        <v>116508</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627</v>
      </c>
      <c r="B2" s="60" t="str">
        <f>VLOOKUP(A2,Data!A:G,7,0)</f>
        <v>Central Texas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84496</v>
      </c>
      <c r="E5" s="16">
        <f>E36+E67+IFERROR($E$105/$D$105*D5,0)</f>
        <v>484445.85877049656</v>
      </c>
      <c r="F5" s="21">
        <f>IFERROR(E5/D5,"")</f>
        <v>5.7333584876265924</v>
      </c>
    </row>
    <row r="6" spans="1:6" x14ac:dyDescent="0.2">
      <c r="A6" s="20">
        <v>2</v>
      </c>
      <c r="B6" s="179" t="s">
        <v>1</v>
      </c>
      <c r="C6" s="180"/>
      <c r="D6" s="15">
        <f t="shared" ref="D6:D32" si="0">D37</f>
        <v>125764</v>
      </c>
      <c r="E6" s="18">
        <f t="shared" ref="E6:E32" si="1">E37+E68+IFERROR($E$105/$D$105*D6,0)</f>
        <v>633480.75968581624</v>
      </c>
      <c r="F6" s="22">
        <f t="shared" ref="F6:F33" si="2">IFERROR(E6/D6,"")</f>
        <v>5.0370595693983669</v>
      </c>
    </row>
    <row r="7" spans="1:6" ht="14.25" customHeight="1" x14ac:dyDescent="0.2">
      <c r="A7" s="20">
        <v>3</v>
      </c>
      <c r="B7" s="179" t="s">
        <v>2</v>
      </c>
      <c r="C7" s="180"/>
      <c r="D7" s="15">
        <f t="shared" si="0"/>
        <v>367872</v>
      </c>
      <c r="E7" s="18">
        <f t="shared" si="1"/>
        <v>2233398.8829485429</v>
      </c>
      <c r="F7" s="22">
        <f t="shared" si="2"/>
        <v>6.0711304011953695</v>
      </c>
    </row>
    <row r="8" spans="1:6" ht="14.25" customHeight="1" x14ac:dyDescent="0.2">
      <c r="A8" s="20">
        <v>4</v>
      </c>
      <c r="B8" s="179" t="s">
        <v>3</v>
      </c>
      <c r="C8" s="180"/>
      <c r="D8" s="15">
        <f t="shared" si="0"/>
        <v>918586</v>
      </c>
      <c r="E8" s="18">
        <f t="shared" si="1"/>
        <v>5837807.2123243157</v>
      </c>
      <c r="F8" s="22">
        <f t="shared" si="2"/>
        <v>6.3552103040154275</v>
      </c>
    </row>
    <row r="9" spans="1:6" x14ac:dyDescent="0.2">
      <c r="A9" s="20">
        <v>5</v>
      </c>
      <c r="B9" s="179" t="s">
        <v>4</v>
      </c>
      <c r="C9" s="180"/>
      <c r="D9" s="15">
        <f t="shared" si="0"/>
        <v>21751</v>
      </c>
      <c r="E9" s="18">
        <f t="shared" si="1"/>
        <v>940205.28086675191</v>
      </c>
      <c r="F9" s="22">
        <f t="shared" si="2"/>
        <v>43.225841610351338</v>
      </c>
    </row>
    <row r="10" spans="1:6" x14ac:dyDescent="0.2">
      <c r="A10" s="20">
        <v>6</v>
      </c>
      <c r="B10" s="179" t="s">
        <v>5</v>
      </c>
      <c r="C10" s="180"/>
      <c r="D10" s="15">
        <f t="shared" si="0"/>
        <v>39520</v>
      </c>
      <c r="E10" s="18">
        <f t="shared" si="1"/>
        <v>907557.41339956946</v>
      </c>
      <c r="F10" s="22">
        <f t="shared" si="2"/>
        <v>22.964509448369672</v>
      </c>
    </row>
    <row r="11" spans="1:6" x14ac:dyDescent="0.2">
      <c r="A11" s="20">
        <v>7</v>
      </c>
      <c r="B11" s="179" t="s">
        <v>6</v>
      </c>
      <c r="C11" s="180"/>
      <c r="D11" s="15">
        <f t="shared" si="0"/>
        <v>506016</v>
      </c>
      <c r="E11" s="18">
        <f t="shared" si="1"/>
        <v>3487869.3288157023</v>
      </c>
      <c r="F11" s="22">
        <f t="shared" si="2"/>
        <v>6.8928044346734145</v>
      </c>
    </row>
    <row r="12" spans="1:6" x14ac:dyDescent="0.2">
      <c r="A12" s="20">
        <v>8</v>
      </c>
      <c r="B12" s="179" t="s">
        <v>7</v>
      </c>
      <c r="C12" s="180"/>
      <c r="D12" s="15">
        <f t="shared" si="0"/>
        <v>51080</v>
      </c>
      <c r="E12" s="18">
        <f t="shared" si="1"/>
        <v>234741.70841219657</v>
      </c>
      <c r="F12" s="22">
        <f t="shared" si="2"/>
        <v>4.59556985928341</v>
      </c>
    </row>
    <row r="13" spans="1:6" x14ac:dyDescent="0.2">
      <c r="A13" s="20">
        <v>9</v>
      </c>
      <c r="B13" s="179" t="s">
        <v>8</v>
      </c>
      <c r="C13" s="180"/>
      <c r="D13" s="15">
        <f t="shared" si="0"/>
        <v>289922</v>
      </c>
      <c r="E13" s="18">
        <f t="shared" si="1"/>
        <v>2285854.2102639163</v>
      </c>
      <c r="F13" s="22">
        <f t="shared" si="2"/>
        <v>7.8843765228713805</v>
      </c>
    </row>
    <row r="14" spans="1:6" x14ac:dyDescent="0.2">
      <c r="A14" s="20">
        <v>10</v>
      </c>
      <c r="B14" s="179" t="s">
        <v>9</v>
      </c>
      <c r="C14" s="180"/>
      <c r="D14" s="15">
        <f t="shared" si="0"/>
        <v>800</v>
      </c>
      <c r="E14" s="18">
        <f t="shared" si="1"/>
        <v>9228.1865060641594</v>
      </c>
      <c r="F14" s="22">
        <f t="shared" si="2"/>
        <v>11.535233132580199</v>
      </c>
    </row>
    <row r="15" spans="1:6" x14ac:dyDescent="0.2">
      <c r="A15" s="20">
        <v>11</v>
      </c>
      <c r="B15" s="179" t="s">
        <v>10</v>
      </c>
      <c r="C15" s="180"/>
      <c r="D15" s="15">
        <f t="shared" si="0"/>
        <v>132648</v>
      </c>
      <c r="E15" s="18">
        <f t="shared" si="1"/>
        <v>619938.00457049836</v>
      </c>
      <c r="F15" s="22">
        <f t="shared" si="2"/>
        <v>4.6735571178645614</v>
      </c>
    </row>
    <row r="16" spans="1:6" ht="14.25" customHeight="1" x14ac:dyDescent="0.2">
      <c r="A16" s="20">
        <v>12</v>
      </c>
      <c r="B16" s="179" t="s">
        <v>11</v>
      </c>
      <c r="C16" s="180"/>
      <c r="D16" s="15">
        <f t="shared" si="0"/>
        <v>768896</v>
      </c>
      <c r="E16" s="18">
        <f t="shared" si="1"/>
        <v>5298253.4147083852</v>
      </c>
      <c r="F16" s="22">
        <f t="shared" si="2"/>
        <v>6.8907282840701285</v>
      </c>
    </row>
    <row r="17" spans="1:6" x14ac:dyDescent="0.2">
      <c r="A17" s="20">
        <v>13</v>
      </c>
      <c r="B17" s="179" t="s">
        <v>12</v>
      </c>
      <c r="C17" s="180"/>
      <c r="D17" s="15">
        <f t="shared" si="0"/>
        <v>133920</v>
      </c>
      <c r="E17" s="18">
        <f t="shared" si="1"/>
        <v>816586.42111514031</v>
      </c>
      <c r="F17" s="22">
        <f t="shared" si="2"/>
        <v>6.0975688553997935</v>
      </c>
    </row>
    <row r="18" spans="1:6" ht="14.25" customHeight="1" x14ac:dyDescent="0.2">
      <c r="A18" s="20">
        <v>14</v>
      </c>
      <c r="B18" s="179" t="s">
        <v>804</v>
      </c>
      <c r="C18" s="180"/>
      <c r="D18" s="15">
        <f t="shared" si="0"/>
        <v>233456</v>
      </c>
      <c r="E18" s="18">
        <f t="shared" si="1"/>
        <v>3387933.1861996432</v>
      </c>
      <c r="F18" s="22">
        <f t="shared" si="2"/>
        <v>14.512084445033082</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167331</v>
      </c>
      <c r="E20" s="18">
        <f t="shared" si="1"/>
        <v>1980296.0203077774</v>
      </c>
      <c r="F20" s="22">
        <f t="shared" si="2"/>
        <v>11.83460339272327</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96960</v>
      </c>
      <c r="E22" s="18">
        <f t="shared" si="1"/>
        <v>943717.20453497604</v>
      </c>
      <c r="F22" s="22">
        <f t="shared" si="2"/>
        <v>9.7330569774646865</v>
      </c>
    </row>
    <row r="23" spans="1:6" x14ac:dyDescent="0.2">
      <c r="A23" s="20">
        <v>19</v>
      </c>
      <c r="B23" s="179" t="s">
        <v>17</v>
      </c>
      <c r="C23" s="180"/>
      <c r="D23" s="15">
        <f t="shared" si="0"/>
        <v>296778</v>
      </c>
      <c r="E23" s="18">
        <f t="shared" si="1"/>
        <v>1890022.5686208864</v>
      </c>
      <c r="F23" s="22">
        <f t="shared" si="2"/>
        <v>6.3684726247258432</v>
      </c>
    </row>
    <row r="24" spans="1:6" x14ac:dyDescent="0.2">
      <c r="A24" s="20">
        <v>20</v>
      </c>
      <c r="B24" s="179" t="s">
        <v>18</v>
      </c>
      <c r="C24" s="180"/>
      <c r="D24" s="15">
        <f t="shared" si="0"/>
        <v>37520</v>
      </c>
      <c r="E24" s="18">
        <f t="shared" si="1"/>
        <v>355581.9471344091</v>
      </c>
      <c r="F24" s="22">
        <f t="shared" si="2"/>
        <v>9.4771307871644215</v>
      </c>
    </row>
    <row r="25" spans="1:6" ht="14.25" customHeight="1" x14ac:dyDescent="0.2">
      <c r="A25" s="20">
        <v>21</v>
      </c>
      <c r="B25" s="179" t="s">
        <v>801</v>
      </c>
      <c r="C25" s="180"/>
      <c r="D25" s="15">
        <f t="shared" si="0"/>
        <v>54598</v>
      </c>
      <c r="E25" s="18">
        <f t="shared" si="1"/>
        <v>311716.30857261375</v>
      </c>
      <c r="F25" s="22">
        <f t="shared" si="2"/>
        <v>5.7092990324300112</v>
      </c>
    </row>
    <row r="26" spans="1:6" x14ac:dyDescent="0.2">
      <c r="A26" s="20">
        <v>22</v>
      </c>
      <c r="B26" s="179" t="s">
        <v>19</v>
      </c>
      <c r="C26" s="180"/>
      <c r="D26" s="15">
        <f t="shared" si="0"/>
        <v>7984</v>
      </c>
      <c r="E26" s="18">
        <f t="shared" si="1"/>
        <v>46080.50133052031</v>
      </c>
      <c r="F26" s="22">
        <f t="shared" si="2"/>
        <v>5.7716058780711812</v>
      </c>
    </row>
    <row r="27" spans="1:6" x14ac:dyDescent="0.2">
      <c r="A27" s="20">
        <v>23</v>
      </c>
      <c r="B27" s="179" t="s">
        <v>20</v>
      </c>
      <c r="C27" s="180"/>
      <c r="D27" s="15">
        <f t="shared" si="0"/>
        <v>183240</v>
      </c>
      <c r="E27" s="18">
        <f t="shared" si="1"/>
        <v>1328724.1192139958</v>
      </c>
      <c r="F27" s="22">
        <f t="shared" si="2"/>
        <v>7.2512776643418233</v>
      </c>
    </row>
    <row r="28" spans="1:6" x14ac:dyDescent="0.2">
      <c r="A28" s="20">
        <v>24</v>
      </c>
      <c r="B28" s="179" t="s">
        <v>21</v>
      </c>
      <c r="C28" s="180"/>
      <c r="D28" s="15">
        <f t="shared" si="0"/>
        <v>226080</v>
      </c>
      <c r="E28" s="18">
        <f t="shared" si="1"/>
        <v>1487159.5066137314</v>
      </c>
      <c r="F28" s="22">
        <f t="shared" si="2"/>
        <v>6.5780232953544377</v>
      </c>
    </row>
    <row r="29" spans="1:6" x14ac:dyDescent="0.2">
      <c r="A29" s="20">
        <v>25</v>
      </c>
      <c r="B29" s="179" t="s">
        <v>22</v>
      </c>
      <c r="C29" s="180"/>
      <c r="D29" s="15">
        <f t="shared" si="0"/>
        <v>1478016</v>
      </c>
      <c r="E29" s="18">
        <f t="shared" si="1"/>
        <v>7643997.9336836562</v>
      </c>
      <c r="F29" s="22">
        <f t="shared" si="2"/>
        <v>5.1717964715427005</v>
      </c>
    </row>
    <row r="30" spans="1:6" x14ac:dyDescent="0.2">
      <c r="A30" s="20">
        <v>26</v>
      </c>
      <c r="B30" s="179" t="s">
        <v>23</v>
      </c>
      <c r="C30" s="180"/>
      <c r="D30" s="15">
        <f t="shared" si="0"/>
        <v>238192</v>
      </c>
      <c r="E30" s="18">
        <f t="shared" si="1"/>
        <v>1354968.8503155429</v>
      </c>
      <c r="F30" s="22">
        <f t="shared" si="2"/>
        <v>5.6885573416216451</v>
      </c>
    </row>
    <row r="31" spans="1:6" x14ac:dyDescent="0.2">
      <c r="A31" s="20">
        <v>28</v>
      </c>
      <c r="B31" s="179" t="s">
        <v>24</v>
      </c>
      <c r="C31" s="180"/>
      <c r="D31" s="15">
        <f t="shared" si="0"/>
        <v>407552</v>
      </c>
      <c r="E31" s="18">
        <f t="shared" si="1"/>
        <v>1920238.9336493255</v>
      </c>
      <c r="F31" s="22">
        <f t="shared" si="2"/>
        <v>4.7116415418138677</v>
      </c>
    </row>
    <row r="32" spans="1:6" ht="15.75" customHeight="1" thickBot="1" x14ac:dyDescent="0.25">
      <c r="A32" s="23">
        <v>29</v>
      </c>
      <c r="B32" s="181" t="s">
        <v>25</v>
      </c>
      <c r="C32" s="182"/>
      <c r="D32" s="24">
        <f t="shared" si="0"/>
        <v>180144</v>
      </c>
      <c r="E32" s="25">
        <f t="shared" si="1"/>
        <v>910810.23743552738</v>
      </c>
      <c r="F32" s="26">
        <f t="shared" si="2"/>
        <v>5.0560120649898268</v>
      </c>
    </row>
    <row r="33" spans="1:6" x14ac:dyDescent="0.2">
      <c r="B33" s="31" t="s">
        <v>35</v>
      </c>
      <c r="C33" s="31"/>
      <c r="D33" s="61">
        <f>SUM(D5:D32)</f>
        <v>7049122</v>
      </c>
      <c r="E33" s="32">
        <f>SUM(E5:E32)</f>
        <v>47350613.999999993</v>
      </c>
      <c r="F33" s="33">
        <f t="shared" si="2"/>
        <v>6.7172357068014987</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IF(F3="1",SUMIF(Data!A:A,'8'!$A$2,Data!CU:CU),0)</f>
        <v>84496</v>
      </c>
      <c r="E36" s="16">
        <f>IF(F3="1",SUMIF(Data!$A:$A,'8'!$A$2,Data!IO:IO),0)</f>
        <v>83533</v>
      </c>
      <c r="F36" s="21">
        <f t="shared" ref="F36:F64" si="3">IFERROR(E36/D36,"")</f>
        <v>0.98860301079341029</v>
      </c>
    </row>
    <row r="37" spans="1:6" x14ac:dyDescent="0.2">
      <c r="A37" s="20">
        <v>2</v>
      </c>
      <c r="B37" s="179" t="s">
        <v>1</v>
      </c>
      <c r="C37" s="180"/>
      <c r="D37" s="15">
        <f>IF(F3="1",SUMIF(Data!A:A,'8'!$A$2,Data!CV:CV),0)</f>
        <v>125764</v>
      </c>
      <c r="E37" s="18">
        <f>IF(F3="1",SUMIF(Data!$A:$A,'8'!$A$2,Data!IP:IP),0)</f>
        <v>114765</v>
      </c>
      <c r="F37" s="22">
        <f t="shared" si="3"/>
        <v>0.91254253999554724</v>
      </c>
    </row>
    <row r="38" spans="1:6" ht="14.25" customHeight="1" x14ac:dyDescent="0.2">
      <c r="A38" s="20">
        <v>3</v>
      </c>
      <c r="B38" s="179" t="s">
        <v>2</v>
      </c>
      <c r="C38" s="180"/>
      <c r="D38" s="15">
        <f>IF(F3="1",SUMIF(Data!A:A,'8'!$A$2,Data!CW:CW),0)</f>
        <v>367872</v>
      </c>
      <c r="E38" s="18">
        <f>IF(F3="1",SUMIF(Data!$A:$A,'8'!$A$2,Data!IQ:IQ),0)</f>
        <v>275673</v>
      </c>
      <c r="F38" s="22">
        <f t="shared" si="3"/>
        <v>0.74937206419624214</v>
      </c>
    </row>
    <row r="39" spans="1:6" ht="14.25" customHeight="1" x14ac:dyDescent="0.2">
      <c r="A39" s="20">
        <v>4</v>
      </c>
      <c r="B39" s="179" t="s">
        <v>3</v>
      </c>
      <c r="C39" s="180"/>
      <c r="D39" s="15">
        <f>IF(F3="1",SUMIF(Data!A:A,'8'!$A$2,Data!CX:CX),0)</f>
        <v>918586</v>
      </c>
      <c r="E39" s="18">
        <f>IF(F3="1",SUMIF(Data!$A:$A,'8'!$A$2,Data!IR:IR),0)</f>
        <v>1202397</v>
      </c>
      <c r="F39" s="22">
        <f t="shared" si="3"/>
        <v>1.3089650832910582</v>
      </c>
    </row>
    <row r="40" spans="1:6" x14ac:dyDescent="0.2">
      <c r="A40" s="20">
        <v>5</v>
      </c>
      <c r="B40" s="179" t="s">
        <v>4</v>
      </c>
      <c r="C40" s="180"/>
      <c r="D40" s="15">
        <f>IF(F3="1",SUMIF(Data!A:A,'8'!$A$2,Data!CY:CY),0)</f>
        <v>21751</v>
      </c>
      <c r="E40" s="18">
        <f>IF(F3="1",SUMIF(Data!$A:$A,'8'!$A$2,Data!IS:IS),0)</f>
        <v>658503</v>
      </c>
      <c r="F40" s="22">
        <f t="shared" si="3"/>
        <v>30.274608063997057</v>
      </c>
    </row>
    <row r="41" spans="1:6" x14ac:dyDescent="0.2">
      <c r="A41" s="20">
        <v>6</v>
      </c>
      <c r="B41" s="179" t="s">
        <v>5</v>
      </c>
      <c r="C41" s="180"/>
      <c r="D41" s="15">
        <f>IF(F3="1",SUMIF(Data!A:A,'8'!$A$2,Data!CZ:CZ),0)</f>
        <v>39520</v>
      </c>
      <c r="E41" s="18">
        <f>IF(F3="1",SUMIF(Data!$A:$A,'8'!$A$2,Data!IT:IT),0)</f>
        <v>613670</v>
      </c>
      <c r="F41" s="22">
        <f t="shared" si="3"/>
        <v>15.528087044534413</v>
      </c>
    </row>
    <row r="42" spans="1:6" x14ac:dyDescent="0.2">
      <c r="A42" s="20">
        <v>7</v>
      </c>
      <c r="B42" s="179" t="s">
        <v>6</v>
      </c>
      <c r="C42" s="180"/>
      <c r="D42" s="15">
        <f>IF(F3="1",SUMIF(Data!A:A,'8'!$A$2,Data!DA:DA),0)</f>
        <v>506016</v>
      </c>
      <c r="E42" s="18">
        <f>IF(F3="1",SUMIF(Data!$A:$A,'8'!$A$2,Data!IU:IU),0)</f>
        <v>590000</v>
      </c>
      <c r="F42" s="22">
        <f t="shared" si="3"/>
        <v>1.1659710364889648</v>
      </c>
    </row>
    <row r="43" spans="1:6" x14ac:dyDescent="0.2">
      <c r="A43" s="20">
        <v>8</v>
      </c>
      <c r="B43" s="179" t="s">
        <v>7</v>
      </c>
      <c r="C43" s="180"/>
      <c r="D43" s="15">
        <f>IF(F3="1",SUMIF(Data!A:A,'8'!$A$2,Data!DB:DB),0)</f>
        <v>51080</v>
      </c>
      <c r="E43" s="18">
        <f>IF(F3="1",SUMIF(Data!$A:$A,'8'!$A$2,Data!IV:IV),0)</f>
        <v>40867</v>
      </c>
      <c r="F43" s="22">
        <f t="shared" si="3"/>
        <v>0.80005873140172279</v>
      </c>
    </row>
    <row r="44" spans="1:6" x14ac:dyDescent="0.2">
      <c r="A44" s="20">
        <v>9</v>
      </c>
      <c r="B44" s="179" t="s">
        <v>8</v>
      </c>
      <c r="C44" s="180"/>
      <c r="D44" s="15">
        <f>IF(F3="1",SUMIF(Data!A:A,'8'!$A$2,Data!DC:DC),0)</f>
        <v>289922</v>
      </c>
      <c r="E44" s="18">
        <f>IF(F3="1",SUMIF(Data!$A:$A,'8'!$A$2,Data!IW:IW),0)</f>
        <v>559689</v>
      </c>
      <c r="F44" s="22">
        <f t="shared" si="3"/>
        <v>1.9304813018673987</v>
      </c>
    </row>
    <row r="45" spans="1:6" x14ac:dyDescent="0.2">
      <c r="A45" s="20">
        <v>10</v>
      </c>
      <c r="B45" s="179" t="s">
        <v>9</v>
      </c>
      <c r="C45" s="180"/>
      <c r="D45" s="15">
        <f>IF(F3="1",SUMIF(Data!A:A,'8'!$A$2,Data!DD:DD),0)</f>
        <v>800</v>
      </c>
      <c r="E45" s="18">
        <f>IF(F3="1",SUMIF(Data!$A:$A,'8'!$A$2,Data!IX:IX),0)</f>
        <v>863</v>
      </c>
      <c r="F45" s="22">
        <f t="shared" si="3"/>
        <v>1.0787500000000001</v>
      </c>
    </row>
    <row r="46" spans="1:6" x14ac:dyDescent="0.2">
      <c r="A46" s="20">
        <v>11</v>
      </c>
      <c r="B46" s="179" t="s">
        <v>10</v>
      </c>
      <c r="C46" s="180"/>
      <c r="D46" s="15">
        <f>IF(F3="1",SUMIF(Data!A:A,'8'!$A$2,Data!DE:DE),0)</f>
        <v>132648</v>
      </c>
      <c r="E46" s="18">
        <f>IF(F3="1",SUMIF(Data!$A:$A,'8'!$A$2,Data!IY:IY),0)</f>
        <v>97733</v>
      </c>
      <c r="F46" s="22">
        <f t="shared" si="3"/>
        <v>0.73678457270369702</v>
      </c>
    </row>
    <row r="47" spans="1:6" ht="14.25" customHeight="1" x14ac:dyDescent="0.2">
      <c r="A47" s="20">
        <v>12</v>
      </c>
      <c r="B47" s="179" t="s">
        <v>11</v>
      </c>
      <c r="C47" s="180"/>
      <c r="D47" s="15">
        <f>IF(F3="1",SUMIF(Data!A:A,'8'!$A$2,Data!DF:DF),0)</f>
        <v>768896</v>
      </c>
      <c r="E47" s="18">
        <f>IF(F3="1",SUMIF(Data!$A:$A,'8'!$A$2,Data!IZ:IZ),0)</f>
        <v>466746</v>
      </c>
      <c r="F47" s="22">
        <f t="shared" si="3"/>
        <v>0.60703398118861329</v>
      </c>
    </row>
    <row r="48" spans="1:6" x14ac:dyDescent="0.2">
      <c r="A48" s="20">
        <v>13</v>
      </c>
      <c r="B48" s="179" t="s">
        <v>12</v>
      </c>
      <c r="C48" s="180"/>
      <c r="D48" s="15">
        <f>IF(F3="1",SUMIF(Data!A:A,'8'!$A$2,Data!DG:DG),0)</f>
        <v>133920</v>
      </c>
      <c r="E48" s="18">
        <f>IF(F3="1",SUMIF(Data!$A:$A,'8'!$A$2,Data!JA:JA),0)</f>
        <v>42761</v>
      </c>
      <c r="F48" s="22">
        <f t="shared" si="3"/>
        <v>0.31930256869772999</v>
      </c>
    </row>
    <row r="49" spans="1:6" ht="14.25" customHeight="1" x14ac:dyDescent="0.2">
      <c r="A49" s="20">
        <v>14</v>
      </c>
      <c r="B49" s="179" t="s">
        <v>804</v>
      </c>
      <c r="C49" s="180"/>
      <c r="D49" s="15">
        <f>IF(F3="1",SUMIF(Data!A:A,'8'!$A$2,Data!DH:DH),0)</f>
        <v>233456</v>
      </c>
      <c r="E49" s="18">
        <f>IF(F3="1",SUMIF(Data!$A:$A,'8'!$A$2,Data!JB:JB),0)</f>
        <v>1324691</v>
      </c>
      <c r="F49" s="22">
        <f t="shared" si="3"/>
        <v>5.674264101158248</v>
      </c>
    </row>
    <row r="50" spans="1:6" x14ac:dyDescent="0.2">
      <c r="A50" s="20">
        <v>15</v>
      </c>
      <c r="B50" s="179" t="s">
        <v>13</v>
      </c>
      <c r="C50" s="180"/>
      <c r="D50" s="15">
        <f>IF(F3="1",SUMIF(Data!A:A,'8'!$A$2,Data!DI:DI),0)</f>
        <v>0</v>
      </c>
      <c r="E50" s="18">
        <f>IF(F3="1",SUMIF(Data!$A:$A,'8'!$A$2,Data!JC:JC),0)</f>
        <v>0</v>
      </c>
      <c r="F50" s="22" t="str">
        <f t="shared" si="3"/>
        <v/>
      </c>
    </row>
    <row r="51" spans="1:6" x14ac:dyDescent="0.2">
      <c r="A51" s="20">
        <v>16</v>
      </c>
      <c r="B51" s="179" t="s">
        <v>14</v>
      </c>
      <c r="C51" s="180"/>
      <c r="D51" s="15">
        <f>IF(F3="1",SUMIF(Data!A:A,'8'!$A$2,Data!DJ:DJ),0)</f>
        <v>167331</v>
      </c>
      <c r="E51" s="18">
        <f>IF(F3="1",SUMIF(Data!$A:$A,'8'!$A$2,Data!JD:JD),0)</f>
        <v>614869</v>
      </c>
      <c r="F51" s="22">
        <f t="shared" si="3"/>
        <v>3.6745671752394955</v>
      </c>
    </row>
    <row r="52" spans="1:6" x14ac:dyDescent="0.2">
      <c r="A52" s="20">
        <v>17</v>
      </c>
      <c r="B52" s="179" t="s">
        <v>15</v>
      </c>
      <c r="C52" s="180"/>
      <c r="D52" s="15">
        <f>IF(F3="1",SUMIF(Data!A:A,'8'!$A$2,Data!DK:DK),0)</f>
        <v>0</v>
      </c>
      <c r="E52" s="18">
        <f>IF(F3="1",SUMIF(Data!$A:$A,'8'!$A$2,Data!JE:JE),0)</f>
        <v>0</v>
      </c>
      <c r="F52" s="22" t="str">
        <f t="shared" si="3"/>
        <v/>
      </c>
    </row>
    <row r="53" spans="1:6" x14ac:dyDescent="0.2">
      <c r="A53" s="20">
        <v>18</v>
      </c>
      <c r="B53" s="179" t="s">
        <v>16</v>
      </c>
      <c r="C53" s="180"/>
      <c r="D53" s="15">
        <f>IF(F3="1",SUMIF(Data!A:A,'8'!$A$2,Data!DL:DL),0)</f>
        <v>96960</v>
      </c>
      <c r="E53" s="18">
        <f>IF(F3="1",SUMIF(Data!$A:$A,'8'!$A$2,Data!JF:JF),0)</f>
        <v>188353</v>
      </c>
      <c r="F53" s="22">
        <f t="shared" si="3"/>
        <v>1.9425845709570957</v>
      </c>
    </row>
    <row r="54" spans="1:6" x14ac:dyDescent="0.2">
      <c r="A54" s="20">
        <v>19</v>
      </c>
      <c r="B54" s="179" t="s">
        <v>17</v>
      </c>
      <c r="C54" s="180"/>
      <c r="D54" s="15">
        <f>IF(F3="1",SUMIF(Data!A:A,'8'!$A$2,Data!DM:DM),0)</f>
        <v>296778</v>
      </c>
      <c r="E54" s="18">
        <f>IF(F3="1",SUMIF(Data!$A:$A,'8'!$A$2,Data!JG:JG),0)</f>
        <v>213890</v>
      </c>
      <c r="F54" s="22">
        <f t="shared" si="3"/>
        <v>0.72070706049639799</v>
      </c>
    </row>
    <row r="55" spans="1:6" x14ac:dyDescent="0.2">
      <c r="A55" s="20">
        <v>20</v>
      </c>
      <c r="B55" s="179" t="s">
        <v>18</v>
      </c>
      <c r="C55" s="180"/>
      <c r="D55" s="15">
        <f>IF(F3="1",SUMIF(Data!A:A,'8'!$A$2,Data!DN:DN),0)</f>
        <v>37520</v>
      </c>
      <c r="E55" s="18">
        <f>IF(F3="1",SUMIF(Data!$A:$A,'8'!$A$2,Data!JH:JH),0)</f>
        <v>147698</v>
      </c>
      <c r="F55" s="22">
        <f t="shared" si="3"/>
        <v>3.9365138592750535</v>
      </c>
    </row>
    <row r="56" spans="1:6" ht="14.25" customHeight="1" x14ac:dyDescent="0.2">
      <c r="A56" s="20">
        <v>21</v>
      </c>
      <c r="B56" s="179" t="s">
        <v>801</v>
      </c>
      <c r="C56" s="180"/>
      <c r="D56" s="15">
        <f>IF(F3="1",SUMIF(Data!A:A,'8'!$A$2,Data!DO:DO),0)</f>
        <v>54598</v>
      </c>
      <c r="E56" s="18">
        <f>IF(F3="1",SUMIF(Data!$A:$A,'8'!$A$2,Data!JI:JI),0)</f>
        <v>44917</v>
      </c>
      <c r="F56" s="22">
        <f t="shared" si="3"/>
        <v>0.8226858126671307</v>
      </c>
    </row>
    <row r="57" spans="1:6" x14ac:dyDescent="0.2">
      <c r="A57" s="20">
        <v>22</v>
      </c>
      <c r="B57" s="179" t="s">
        <v>19</v>
      </c>
      <c r="C57" s="180"/>
      <c r="D57" s="15">
        <f>IF(F3="1",SUMIF(Data!A:A,'8'!$A$2,Data!DP:DP),0)</f>
        <v>7984</v>
      </c>
      <c r="E57" s="18">
        <f>IF(F3="1",SUMIF(Data!$A:$A,'8'!$A$2,Data!JJ:JJ),0)</f>
        <v>7829</v>
      </c>
      <c r="F57" s="22">
        <f t="shared" si="3"/>
        <v>0.98058617234468937</v>
      </c>
    </row>
    <row r="58" spans="1:6" x14ac:dyDescent="0.2">
      <c r="A58" s="20">
        <v>23</v>
      </c>
      <c r="B58" s="179" t="s">
        <v>20</v>
      </c>
      <c r="C58" s="180"/>
      <c r="D58" s="15">
        <f>IF(F3="1",SUMIF(Data!A:A,'8'!$A$2,Data!DQ:DQ),0)</f>
        <v>183240</v>
      </c>
      <c r="E58" s="18">
        <f>IF(F3="1",SUMIF(Data!$A:$A,'8'!$A$2,Data!JK:JK),0)</f>
        <v>319666</v>
      </c>
      <c r="F58" s="22">
        <f t="shared" si="3"/>
        <v>1.7445208469766427</v>
      </c>
    </row>
    <row r="59" spans="1:6" x14ac:dyDescent="0.2">
      <c r="A59" s="20">
        <v>24</v>
      </c>
      <c r="B59" s="179" t="s">
        <v>21</v>
      </c>
      <c r="C59" s="180"/>
      <c r="D59" s="15">
        <f>IF(F3="1",SUMIF(Data!A:A,'8'!$A$2,Data!DR:DR),0)</f>
        <v>226080</v>
      </c>
      <c r="E59" s="18">
        <f>IF(F3="1",SUMIF(Data!$A:$A,'8'!$A$2,Data!JL:JL),0)</f>
        <v>199069</v>
      </c>
      <c r="F59" s="22">
        <f t="shared" si="3"/>
        <v>0.88052459306440201</v>
      </c>
    </row>
    <row r="60" spans="1:6" x14ac:dyDescent="0.2">
      <c r="A60" s="20">
        <v>25</v>
      </c>
      <c r="B60" s="179" t="s">
        <v>22</v>
      </c>
      <c r="C60" s="180"/>
      <c r="D60" s="15">
        <f>IF(F3="1",SUMIF(Data!A:A,'8'!$A$2,Data!DS:DS),0)</f>
        <v>1478016</v>
      </c>
      <c r="E60" s="18">
        <f>IF(F3="1",SUMIF(Data!$A:$A,'8'!$A$2,Data!JM:JM),0)</f>
        <v>452108</v>
      </c>
      <c r="F60" s="22">
        <f t="shared" si="3"/>
        <v>0.3058884342253399</v>
      </c>
    </row>
    <row r="61" spans="1:6" x14ac:dyDescent="0.2">
      <c r="A61" s="20">
        <v>26</v>
      </c>
      <c r="B61" s="179" t="s">
        <v>23</v>
      </c>
      <c r="C61" s="180"/>
      <c r="D61" s="15">
        <f>IF(F3="1",SUMIF(Data!A:A,'8'!$A$2,Data!DT:DT),0)</f>
        <v>238192</v>
      </c>
      <c r="E61" s="18">
        <f>IF(F3="1",SUMIF(Data!$A:$A,'8'!$A$2,Data!JN:JN),0)</f>
        <v>164029</v>
      </c>
      <c r="F61" s="22">
        <f t="shared" si="3"/>
        <v>0.68864193591724321</v>
      </c>
    </row>
    <row r="62" spans="1:6" x14ac:dyDescent="0.2">
      <c r="A62" s="20">
        <v>28</v>
      </c>
      <c r="B62" s="179" t="s">
        <v>24</v>
      </c>
      <c r="C62" s="180"/>
      <c r="D62" s="15">
        <f>IF(F3="1",SUMIF(Data!A:A,'8'!$A$2,Data!DV:DV),0)</f>
        <v>407552</v>
      </c>
      <c r="E62" s="18">
        <f>IF(F3="1",SUMIF(Data!$A:$A,'8'!$A$2,Data!JP:JP),0)</f>
        <v>117147</v>
      </c>
      <c r="F62" s="22">
        <f t="shared" si="3"/>
        <v>0.28744062107412061</v>
      </c>
    </row>
    <row r="63" spans="1:6" ht="15.75" customHeight="1" thickBot="1" x14ac:dyDescent="0.25">
      <c r="A63" s="23">
        <v>29</v>
      </c>
      <c r="B63" s="181" t="s">
        <v>25</v>
      </c>
      <c r="C63" s="182"/>
      <c r="D63" s="24">
        <f>IF(F3="1",SUMIF(Data!A:A,'8'!$A$2,Data!DW:DW),0)</f>
        <v>180144</v>
      </c>
      <c r="E63" s="25">
        <f>IF(F3="1",SUMIF(Data!$A:$A,'8'!$A$2,Data!JQ:JQ),0)</f>
        <v>57068</v>
      </c>
      <c r="F63" s="26">
        <f t="shared" si="3"/>
        <v>0.31679101163513634</v>
      </c>
    </row>
    <row r="64" spans="1:6" x14ac:dyDescent="0.2">
      <c r="B64" s="31" t="s">
        <v>35</v>
      </c>
      <c r="C64" s="31"/>
      <c r="D64" s="61">
        <f>SUM(D36:D63)</f>
        <v>7049122</v>
      </c>
      <c r="E64" s="32">
        <f>SUM(E36:E63)</f>
        <v>8598534</v>
      </c>
      <c r="F64" s="33">
        <f t="shared" si="3"/>
        <v>1.2198021257115426</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84496</v>
      </c>
      <c r="E67" s="16">
        <f>IF(F3="1",SUMIF(Data!A:A,'8'!$A$2,Data!DY:DY),0)</f>
        <v>171909</v>
      </c>
      <c r="F67" s="21">
        <f>IFERROR(E67/D67,"")</f>
        <v>2.0345223442529825</v>
      </c>
    </row>
    <row r="68" spans="1:6" x14ac:dyDescent="0.2">
      <c r="A68" s="20">
        <v>2</v>
      </c>
      <c r="B68" s="179" t="s">
        <v>1</v>
      </c>
      <c r="C68" s="180"/>
      <c r="D68" s="15">
        <f t="shared" ref="D68:D94" si="4">D37</f>
        <v>125764</v>
      </c>
      <c r="E68" s="18">
        <f>IF(F3="1",SUMIF(Data!A:A,'8'!$A$2,Data!DZ:DZ),0)</f>
        <v>177866</v>
      </c>
      <c r="F68" s="22">
        <f t="shared" ref="F68:F95" si="5">IFERROR(E68/D68,"")</f>
        <v>1.4142838968226201</v>
      </c>
    </row>
    <row r="69" spans="1:6" ht="14.25" customHeight="1" x14ac:dyDescent="0.2">
      <c r="A69" s="20">
        <v>3</v>
      </c>
      <c r="B69" s="179" t="s">
        <v>2</v>
      </c>
      <c r="C69" s="180"/>
      <c r="D69" s="15">
        <f t="shared" si="4"/>
        <v>367872</v>
      </c>
      <c r="E69" s="18">
        <f>IF(F3="1",SUMIF(Data!A:A,'8'!$A$2,Data!EA:EA),0)</f>
        <v>960707</v>
      </c>
      <c r="F69" s="22">
        <f t="shared" si="5"/>
        <v>2.6115252044189283</v>
      </c>
    </row>
    <row r="70" spans="1:6" ht="14.25" customHeight="1" x14ac:dyDescent="0.2">
      <c r="A70" s="20">
        <v>4</v>
      </c>
      <c r="B70" s="179" t="s">
        <v>3</v>
      </c>
      <c r="C70" s="180"/>
      <c r="D70" s="15">
        <f t="shared" si="4"/>
        <v>918586</v>
      </c>
      <c r="E70" s="18">
        <f>IF(F3="1",SUMIF(Data!A:A,'8'!$A$2,Data!EB:EB),0)</f>
        <v>2145828</v>
      </c>
      <c r="F70" s="22">
        <f t="shared" si="5"/>
        <v>2.3360120881441695</v>
      </c>
    </row>
    <row r="71" spans="1:6" x14ac:dyDescent="0.2">
      <c r="A71" s="20">
        <v>5</v>
      </c>
      <c r="B71" s="179" t="s">
        <v>4</v>
      </c>
      <c r="C71" s="180"/>
      <c r="D71" s="15">
        <f t="shared" si="4"/>
        <v>21751</v>
      </c>
      <c r="E71" s="18">
        <f>IF(F3="1",SUMIF(Data!A:A,'8'!$A$2,Data!EC:EC),0)</f>
        <v>222752</v>
      </c>
      <c r="F71" s="22">
        <f t="shared" si="5"/>
        <v>10.24100041377408</v>
      </c>
    </row>
    <row r="72" spans="1:6" x14ac:dyDescent="0.2">
      <c r="A72" s="20">
        <v>6</v>
      </c>
      <c r="B72" s="179" t="s">
        <v>5</v>
      </c>
      <c r="C72" s="180"/>
      <c r="D72" s="15">
        <f t="shared" si="4"/>
        <v>39520</v>
      </c>
      <c r="E72" s="18">
        <f>IF(F3="1",SUMIF(Data!A:A,'8'!$A$2,Data!ED:ED),0)</f>
        <v>186779</v>
      </c>
      <c r="F72" s="22">
        <f t="shared" si="5"/>
        <v>4.7261892712550608</v>
      </c>
    </row>
    <row r="73" spans="1:6" x14ac:dyDescent="0.2">
      <c r="A73" s="20">
        <v>7</v>
      </c>
      <c r="B73" s="179" t="s">
        <v>6</v>
      </c>
      <c r="C73" s="180"/>
      <c r="D73" s="15">
        <f t="shared" si="4"/>
        <v>506016</v>
      </c>
      <c r="E73" s="18">
        <f>IF(F3="1",SUMIF(Data!A:A,'8'!$A$2,Data!EE:EE),0)</f>
        <v>1526448</v>
      </c>
      <c r="F73" s="22">
        <f t="shared" si="5"/>
        <v>3.0166002656042497</v>
      </c>
    </row>
    <row r="74" spans="1:6" x14ac:dyDescent="0.2">
      <c r="A74" s="20">
        <v>8</v>
      </c>
      <c r="B74" s="179" t="s">
        <v>7</v>
      </c>
      <c r="C74" s="180"/>
      <c r="D74" s="15">
        <f t="shared" si="4"/>
        <v>51080</v>
      </c>
      <c r="E74" s="18">
        <f>IF(F3="1",SUMIF(Data!A:A,'8'!$A$2,Data!EF:EF),0)</f>
        <v>55436</v>
      </c>
      <c r="F74" s="22">
        <f t="shared" si="5"/>
        <v>1.0852779953014879</v>
      </c>
    </row>
    <row r="75" spans="1:6" x14ac:dyDescent="0.2">
      <c r="A75" s="20">
        <v>9</v>
      </c>
      <c r="B75" s="179" t="s">
        <v>8</v>
      </c>
      <c r="C75" s="180"/>
      <c r="D75" s="15">
        <f t="shared" si="4"/>
        <v>289922</v>
      </c>
      <c r="E75" s="18">
        <f>IF(F3="1",SUMIF(Data!A:A,'8'!$A$2,Data!EG:EG),0)</f>
        <v>940409</v>
      </c>
      <c r="F75" s="22">
        <f t="shared" si="5"/>
        <v>3.243662088423783</v>
      </c>
    </row>
    <row r="76" spans="1:6" x14ac:dyDescent="0.2">
      <c r="A76" s="20">
        <v>10</v>
      </c>
      <c r="B76" s="179" t="s">
        <v>9</v>
      </c>
      <c r="C76" s="180"/>
      <c r="D76" s="15">
        <f t="shared" si="4"/>
        <v>800</v>
      </c>
      <c r="E76" s="18">
        <f>IF(F3="1",SUMIF(Data!A:A,'8'!$A$2,Data!EH:EH),0)</f>
        <v>6197</v>
      </c>
      <c r="F76" s="22">
        <f t="shared" si="5"/>
        <v>7.7462499999999999</v>
      </c>
    </row>
    <row r="77" spans="1:6" x14ac:dyDescent="0.2">
      <c r="A77" s="20">
        <v>11</v>
      </c>
      <c r="B77" s="179" t="s">
        <v>10</v>
      </c>
      <c r="C77" s="180"/>
      <c r="D77" s="15">
        <f t="shared" si="4"/>
        <v>132648</v>
      </c>
      <c r="E77" s="18">
        <f>IF(F3="1",SUMIF(Data!A:A,'8'!$A$2,Data!EI:EI),0)</f>
        <v>162698</v>
      </c>
      <c r="F77" s="22">
        <f t="shared" si="5"/>
        <v>1.2265394125806646</v>
      </c>
    </row>
    <row r="78" spans="1:6" ht="14.25" customHeight="1" x14ac:dyDescent="0.2">
      <c r="A78" s="20">
        <v>12</v>
      </c>
      <c r="B78" s="179" t="s">
        <v>11</v>
      </c>
      <c r="C78" s="180"/>
      <c r="D78" s="15">
        <f t="shared" si="4"/>
        <v>768896</v>
      </c>
      <c r="E78" s="18">
        <f>IF(F3="1",SUMIF(Data!A:A,'8'!$A$2,Data!EJ:EJ),0)</f>
        <v>2747620</v>
      </c>
      <c r="F78" s="22">
        <f t="shared" si="5"/>
        <v>3.5734611703013153</v>
      </c>
    </row>
    <row r="79" spans="1:6" x14ac:dyDescent="0.2">
      <c r="A79" s="20">
        <v>13</v>
      </c>
      <c r="B79" s="179" t="s">
        <v>12</v>
      </c>
      <c r="C79" s="180"/>
      <c r="D79" s="15">
        <f t="shared" si="4"/>
        <v>133920</v>
      </c>
      <c r="E79" s="18">
        <f>IF(F3="1",SUMIF(Data!A:A,'8'!$A$2,Data!EK:EK),0)</f>
        <v>410871</v>
      </c>
      <c r="F79" s="22">
        <f t="shared" si="5"/>
        <v>3.0680331541218639</v>
      </c>
    </row>
    <row r="80" spans="1:6" ht="14.25" customHeight="1" x14ac:dyDescent="0.2">
      <c r="A80" s="20">
        <v>14</v>
      </c>
      <c r="B80" s="179" t="s">
        <v>804</v>
      </c>
      <c r="C80" s="180"/>
      <c r="D80" s="15">
        <f t="shared" si="4"/>
        <v>233456</v>
      </c>
      <c r="E80" s="18">
        <f>IF(F3="1",SUMIF(Data!A:A,'8'!$A$2,Data!EL:EL),0)</f>
        <v>1430522</v>
      </c>
      <c r="F80" s="22">
        <f t="shared" si="5"/>
        <v>6.1275872112946335</v>
      </c>
    </row>
    <row r="81" spans="1:6" x14ac:dyDescent="0.2">
      <c r="A81" s="20">
        <v>15</v>
      </c>
      <c r="B81" s="179" t="s">
        <v>13</v>
      </c>
      <c r="C81" s="180"/>
      <c r="D81" s="15">
        <f t="shared" si="4"/>
        <v>0</v>
      </c>
      <c r="E81" s="18">
        <f>IF(F3="1",SUMIF(Data!A:A,'8'!$A$2,Data!EM:EM),0)</f>
        <v>0</v>
      </c>
      <c r="F81" s="22" t="str">
        <f t="shared" si="5"/>
        <v/>
      </c>
    </row>
    <row r="82" spans="1:6" x14ac:dyDescent="0.2">
      <c r="A82" s="20">
        <v>16</v>
      </c>
      <c r="B82" s="179" t="s">
        <v>14</v>
      </c>
      <c r="C82" s="180"/>
      <c r="D82" s="15">
        <f t="shared" si="4"/>
        <v>167331</v>
      </c>
      <c r="E82" s="18">
        <f>IF(F3="1",SUMIF(Data!A:A,'8'!$A$2,Data!EN:EN),0)</f>
        <v>911921</v>
      </c>
      <c r="F82" s="22">
        <f t="shared" si="5"/>
        <v>5.4498030849035741</v>
      </c>
    </row>
    <row r="83" spans="1:6" x14ac:dyDescent="0.2">
      <c r="A83" s="20">
        <v>17</v>
      </c>
      <c r="B83" s="179" t="s">
        <v>15</v>
      </c>
      <c r="C83" s="180"/>
      <c r="D83" s="15">
        <f t="shared" si="4"/>
        <v>0</v>
      </c>
      <c r="E83" s="18">
        <f>IF(F3="1",SUMIF(Data!A:A,'8'!$A$2,Data!EO:EO),0)</f>
        <v>0</v>
      </c>
      <c r="F83" s="22" t="str">
        <f t="shared" si="5"/>
        <v/>
      </c>
    </row>
    <row r="84" spans="1:6" x14ac:dyDescent="0.2">
      <c r="A84" s="20">
        <v>18</v>
      </c>
      <c r="B84" s="179" t="s">
        <v>16</v>
      </c>
      <c r="C84" s="180"/>
      <c r="D84" s="15">
        <f t="shared" si="4"/>
        <v>96960</v>
      </c>
      <c r="E84" s="18">
        <f>IF(F3="1",SUMIF(Data!A:A,'8'!$A$2,Data!EP:EP),0)</f>
        <v>492580</v>
      </c>
      <c r="F84" s="22">
        <f t="shared" si="5"/>
        <v>5.0802392739273925</v>
      </c>
    </row>
    <row r="85" spans="1:6" x14ac:dyDescent="0.2">
      <c r="A85" s="20">
        <v>19</v>
      </c>
      <c r="B85" s="179" t="s">
        <v>17</v>
      </c>
      <c r="C85" s="180"/>
      <c r="D85" s="15">
        <f t="shared" si="4"/>
        <v>296778</v>
      </c>
      <c r="E85" s="18">
        <f>IF(F3="1",SUMIF(Data!A:A,'8'!$A$2,Data!EQ:EQ),0)</f>
        <v>871795</v>
      </c>
      <c r="F85" s="22">
        <f t="shared" si="5"/>
        <v>2.9375324316492462</v>
      </c>
    </row>
    <row r="86" spans="1:6" x14ac:dyDescent="0.2">
      <c r="A86" s="20">
        <v>20</v>
      </c>
      <c r="B86" s="179" t="s">
        <v>18</v>
      </c>
      <c r="C86" s="180"/>
      <c r="D86" s="15">
        <f t="shared" si="4"/>
        <v>37520</v>
      </c>
      <c r="E86" s="18">
        <f>IF(F3="1",SUMIF(Data!A:A,'8'!$A$2,Data!ER:ER),0)</f>
        <v>106196</v>
      </c>
      <c r="F86" s="22">
        <f t="shared" si="5"/>
        <v>2.8303837953091686</v>
      </c>
    </row>
    <row r="87" spans="1:6" ht="14.25" customHeight="1" x14ac:dyDescent="0.2">
      <c r="A87" s="20">
        <v>21</v>
      </c>
      <c r="B87" s="179" t="s">
        <v>801</v>
      </c>
      <c r="C87" s="180"/>
      <c r="D87" s="15">
        <f t="shared" si="4"/>
        <v>54598</v>
      </c>
      <c r="E87" s="18">
        <f>IF(F3="1",SUMIF(Data!A:A,'8'!$A$2,Data!ES:ES),0)</f>
        <v>118826</v>
      </c>
      <c r="F87" s="22">
        <f t="shared" si="5"/>
        <v>2.1763800871826806</v>
      </c>
    </row>
    <row r="88" spans="1:6" x14ac:dyDescent="0.2">
      <c r="A88" s="20">
        <v>22</v>
      </c>
      <c r="B88" s="179" t="s">
        <v>19</v>
      </c>
      <c r="C88" s="180"/>
      <c r="D88" s="15">
        <f t="shared" si="4"/>
        <v>7984</v>
      </c>
      <c r="E88" s="18">
        <f>IF(F3="1",SUMIF(Data!A:A,'8'!$A$2,Data!ET:ET),0)</f>
        <v>16613</v>
      </c>
      <c r="F88" s="22">
        <f t="shared" si="5"/>
        <v>2.0807865731462925</v>
      </c>
    </row>
    <row r="89" spans="1:6" x14ac:dyDescent="0.2">
      <c r="A89" s="20">
        <v>23</v>
      </c>
      <c r="B89" s="179" t="s">
        <v>20</v>
      </c>
      <c r="C89" s="180"/>
      <c r="D89" s="15">
        <f t="shared" si="4"/>
        <v>183240</v>
      </c>
      <c r="E89" s="18">
        <f>IF(F3="1",SUMIF(Data!A:A,'8'!$A$2,Data!EU:EU),0)</f>
        <v>512435</v>
      </c>
      <c r="F89" s="22">
        <f t="shared" si="5"/>
        <v>2.7965236847849813</v>
      </c>
    </row>
    <row r="90" spans="1:6" x14ac:dyDescent="0.2">
      <c r="A90" s="20">
        <v>24</v>
      </c>
      <c r="B90" s="179" t="s">
        <v>21</v>
      </c>
      <c r="C90" s="180"/>
      <c r="D90" s="15">
        <f t="shared" si="4"/>
        <v>226080</v>
      </c>
      <c r="E90" s="18">
        <f>IF(F3="1",SUMIF(Data!A:A,'8'!$A$2,Data!EV:EV),0)</f>
        <v>675361</v>
      </c>
      <c r="F90" s="22">
        <f t="shared" si="5"/>
        <v>2.9872655697098374</v>
      </c>
    </row>
    <row r="91" spans="1:6" x14ac:dyDescent="0.2">
      <c r="A91" s="20">
        <v>25</v>
      </c>
      <c r="B91" s="179" t="s">
        <v>22</v>
      </c>
      <c r="C91" s="180"/>
      <c r="D91" s="15">
        <f t="shared" si="4"/>
        <v>1478016</v>
      </c>
      <c r="E91" s="18">
        <f>IF(F3="1",SUMIF(Data!A:A,'8'!$A$2,Data!EW:EW),0)</f>
        <v>3186122</v>
      </c>
      <c r="F91" s="22">
        <f t="shared" si="5"/>
        <v>2.1556749047371611</v>
      </c>
    </row>
    <row r="92" spans="1:6" x14ac:dyDescent="0.2">
      <c r="A92" s="20">
        <v>26</v>
      </c>
      <c r="B92" s="179" t="s">
        <v>23</v>
      </c>
      <c r="C92" s="180"/>
      <c r="D92" s="15">
        <f t="shared" si="4"/>
        <v>238192</v>
      </c>
      <c r="E92" s="18">
        <f>IF(F3="1",SUMIF(Data!A:A,'8'!$A$2,Data!EX:EX),0)</f>
        <v>545384</v>
      </c>
      <c r="F92" s="22">
        <f t="shared" si="5"/>
        <v>2.2896822731242024</v>
      </c>
    </row>
    <row r="93" spans="1:6" x14ac:dyDescent="0.2">
      <c r="A93" s="20">
        <v>28</v>
      </c>
      <c r="B93" s="179" t="s">
        <v>24</v>
      </c>
      <c r="C93" s="180"/>
      <c r="D93" s="15">
        <f t="shared" si="4"/>
        <v>407552</v>
      </c>
      <c r="E93" s="18">
        <f>IF(F3="1",SUMIF(Data!A:A,'8'!$A$2,Data!EZ:EZ),0)</f>
        <v>698531</v>
      </c>
      <c r="F93" s="22">
        <f t="shared" si="5"/>
        <v>1.7139677881595476</v>
      </c>
    </row>
    <row r="94" spans="1:6" ht="15.75" customHeight="1" thickBot="1" x14ac:dyDescent="0.25">
      <c r="A94" s="23">
        <v>29</v>
      </c>
      <c r="B94" s="181" t="s">
        <v>25</v>
      </c>
      <c r="C94" s="182"/>
      <c r="D94" s="24">
        <f t="shared" si="4"/>
        <v>180144</v>
      </c>
      <c r="E94" s="25">
        <f>IF(F3="1",SUMIF(Data!A:A,'8'!$A$2,Data!FA:FA),0)</f>
        <v>365510</v>
      </c>
      <c r="F94" s="26">
        <f t="shared" si="5"/>
        <v>2.0289879207744916</v>
      </c>
    </row>
    <row r="95" spans="1:6" x14ac:dyDescent="0.2">
      <c r="B95" s="31" t="s">
        <v>35</v>
      </c>
      <c r="C95" s="31"/>
      <c r="D95" s="61">
        <f>SUM(D67:D94)</f>
        <v>7049122</v>
      </c>
      <c r="E95" s="32">
        <f>SUM(E67:E94)</f>
        <v>19647316</v>
      </c>
      <c r="F95" s="33">
        <f t="shared" si="5"/>
        <v>2.7872004485097577</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IF(F3="1",SUMIF(Data!A:A,'8'!$A$2,Data!AH:AH),0)</f>
        <v>8731093</v>
      </c>
      <c r="F98" s="21">
        <f t="shared" ref="F98:F105" si="6">IFERROR(E98/$D$95,0)</f>
        <v>1.2386071627076394</v>
      </c>
    </row>
    <row r="99" spans="2:6" x14ac:dyDescent="0.2">
      <c r="B99" s="185" t="s">
        <v>31</v>
      </c>
      <c r="C99" s="186"/>
      <c r="D99" s="37"/>
      <c r="E99" s="18">
        <f>IF(F3="1",SUMIF(Data!A:A,'8'!$A$2,Data!AI:AI),0)</f>
        <v>4559534</v>
      </c>
      <c r="F99" s="22">
        <f t="shared" si="6"/>
        <v>0.64682296603747247</v>
      </c>
    </row>
    <row r="100" spans="2:6" x14ac:dyDescent="0.2">
      <c r="B100" s="185" t="s">
        <v>32</v>
      </c>
      <c r="C100" s="186"/>
      <c r="D100" s="37"/>
      <c r="E100" s="18">
        <f>IF(F3="1",SUMIF(Data!A:A,'8'!$A$2,Data!AJ:AJ),0)</f>
        <v>2372747</v>
      </c>
      <c r="F100" s="22">
        <f t="shared" si="6"/>
        <v>0.33660177820727177</v>
      </c>
    </row>
    <row r="101" spans="2:6" x14ac:dyDescent="0.2">
      <c r="B101" s="185" t="s">
        <v>28</v>
      </c>
      <c r="C101" s="186"/>
      <c r="D101" s="37"/>
      <c r="E101" s="18">
        <f>IF(F3="1",SUMIF(Data!A:A,'8'!$A$2,Data!AK:AK),0)</f>
        <v>0</v>
      </c>
      <c r="F101" s="22">
        <f t="shared" si="6"/>
        <v>0</v>
      </c>
    </row>
    <row r="102" spans="2:6" x14ac:dyDescent="0.2">
      <c r="B102" s="185" t="s">
        <v>33</v>
      </c>
      <c r="C102" s="186"/>
      <c r="D102" s="37"/>
      <c r="E102" s="18">
        <f>IF(F3="1",SUMIF(Data!A:A,'8'!$A$2,Data!AL:AL),0)</f>
        <v>0</v>
      </c>
      <c r="F102" s="22">
        <f t="shared" si="6"/>
        <v>0</v>
      </c>
    </row>
    <row r="103" spans="2:6" x14ac:dyDescent="0.2">
      <c r="B103" s="187" t="s">
        <v>34</v>
      </c>
      <c r="C103" s="188"/>
      <c r="D103" s="37"/>
      <c r="E103" s="18">
        <f>IF(F3="1",SUMIF(Data!A:A,'8'!$A$2,Data!AM:AM),0)</f>
        <v>828477</v>
      </c>
      <c r="F103" s="22">
        <f t="shared" si="6"/>
        <v>0.11752910504315289</v>
      </c>
    </row>
    <row r="104" spans="2:6" ht="15.75" customHeight="1" thickBot="1" x14ac:dyDescent="0.25">
      <c r="B104" s="177" t="s">
        <v>29</v>
      </c>
      <c r="C104" s="178"/>
      <c r="D104" s="38"/>
      <c r="E104" s="25">
        <f>IF(F3="1",SUMIF(Data!A:A,'8'!$A$2,Data!Q:Q),0)</f>
        <v>2612913</v>
      </c>
      <c r="F104" s="26">
        <f t="shared" si="6"/>
        <v>0.37067212058466287</v>
      </c>
    </row>
    <row r="105" spans="2:6" x14ac:dyDescent="0.2">
      <c r="B105" s="31" t="s">
        <v>35</v>
      </c>
      <c r="C105" s="31"/>
      <c r="D105" s="35">
        <f>D95</f>
        <v>7049122</v>
      </c>
      <c r="E105" s="32">
        <f>SUM(E98:E104)</f>
        <v>19104764</v>
      </c>
      <c r="F105" s="33">
        <f t="shared" si="6"/>
        <v>2.7102331325801994</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21723475</v>
      </c>
      <c r="D109" s="16">
        <f>IF(F3="1",SUMIF(Data!$A:$A,$A$2,Data!HJ:HJ),0)</f>
        <v>2244327</v>
      </c>
      <c r="E109" s="16">
        <f>IF(F3="1",SUMIF(Data!$A:$A,$A$2,Data!IN:IN),0)</f>
        <v>4278048</v>
      </c>
      <c r="F109" s="48">
        <f>SUM(C109:E109)</f>
        <v>28245850</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28028786</v>
      </c>
      <c r="D111" s="52"/>
      <c r="E111" s="51">
        <f>IF(F3="1",SUMIF(Data!A:A,$A$2,Data!AX:AX),0)</f>
        <v>18822652</v>
      </c>
      <c r="F111" s="49">
        <f t="shared" si="7"/>
        <v>46851438</v>
      </c>
    </row>
    <row r="112" spans="2:6" x14ac:dyDescent="0.2">
      <c r="B112" s="43" t="s">
        <v>32</v>
      </c>
      <c r="C112" s="51">
        <f>IF(F3="1",SUMIF(Data!A:A,$A$2,Data!V:V),0)</f>
        <v>1744926</v>
      </c>
      <c r="D112" s="52"/>
      <c r="E112" s="51">
        <f>IF(F3="1",SUMIF(Data!A:A,$A$2,Data!AC:AC),0)</f>
        <v>627821</v>
      </c>
      <c r="F112" s="49">
        <f t="shared" si="7"/>
        <v>2372747</v>
      </c>
    </row>
    <row r="113" spans="1:6" x14ac:dyDescent="0.2">
      <c r="B113" s="43" t="s">
        <v>31</v>
      </c>
      <c r="C113" s="51">
        <f>IF(F3="1",SUMIF(Data!A:A,$A$2,Data!U:U),0)</f>
        <v>3867423</v>
      </c>
      <c r="D113" s="52"/>
      <c r="E113" s="51">
        <f>IF(F3="1",SUMIF(Data!A:A,$A$2,Data!AB:AB),0)</f>
        <v>692111</v>
      </c>
      <c r="F113" s="49">
        <f t="shared" si="7"/>
        <v>4559534</v>
      </c>
    </row>
    <row r="114" spans="1:6" x14ac:dyDescent="0.2">
      <c r="B114" s="43" t="s">
        <v>1363</v>
      </c>
      <c r="C114" s="51">
        <f>IF(F3="1",SUMIF(Data!A:A,$A$2,Data!T:T),0)</f>
        <v>5869642</v>
      </c>
      <c r="D114" s="52"/>
      <c r="E114" s="51">
        <f>IF(F3="1",SUMIF(Data!A:A,$A$2,Data!AA:AA),0)</f>
        <v>2861451</v>
      </c>
      <c r="F114" s="49">
        <f t="shared" si="7"/>
        <v>8731093</v>
      </c>
    </row>
    <row r="115" spans="1:6" x14ac:dyDescent="0.2">
      <c r="B115" s="43" t="s">
        <v>1278</v>
      </c>
      <c r="C115" s="51">
        <f>IF(F3="1",SUMIF(Data!A:A,$A$2,Data!BI:BI),0)</f>
        <v>2562313</v>
      </c>
      <c r="D115" s="51">
        <f>IF(F3="1",SUMIF(Data!A:A,$A$2,Data!BL:BL),0)</f>
        <v>0</v>
      </c>
      <c r="E115" s="51">
        <f>IF(F3="1",SUMIF(Data!A:A,$A$2,Data!BU:BU),0)</f>
        <v>4812241</v>
      </c>
      <c r="F115" s="49">
        <f t="shared" si="7"/>
        <v>7374554</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2612913</v>
      </c>
      <c r="E117" s="53"/>
      <c r="F117" s="50">
        <f>SUM(C117:E117)</f>
        <v>2612913</v>
      </c>
    </row>
    <row r="118" spans="1:6" x14ac:dyDescent="0.2">
      <c r="B118" s="14" t="s">
        <v>35</v>
      </c>
      <c r="C118" s="5">
        <f>SUM(C109:C116)</f>
        <v>63796565</v>
      </c>
      <c r="D118" s="5">
        <f>SUM(D109:D116)</f>
        <v>2244327</v>
      </c>
      <c r="E118" s="5">
        <f>SUM(E109:E116)</f>
        <v>32094324</v>
      </c>
      <c r="F118" s="5">
        <f>SUM(F109:F116)</f>
        <v>98135216</v>
      </c>
    </row>
    <row r="119" spans="1:6" ht="15" thickBot="1" x14ac:dyDescent="0.25"/>
    <row r="120" spans="1:6" ht="15" thickBot="1" x14ac:dyDescent="0.25">
      <c r="B120" s="57" t="s">
        <v>1283</v>
      </c>
      <c r="C120" s="55"/>
      <c r="D120" s="55"/>
      <c r="E120" s="55">
        <f>IF(F3="1",SUMIF(Data!A:A,'8'!$A$2,Data!AM:AM),0)</f>
        <v>828477</v>
      </c>
      <c r="F120" s="56">
        <f>SUM(C120:E120)</f>
        <v>828477</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2.140625" style="11" bestFit="1" customWidth="1"/>
    <col min="13" max="13" width="10.57031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384</v>
      </c>
      <c r="B2" s="60" t="str">
        <f>VLOOKUP(A2,Data!A:G,7,0)</f>
        <v>Cisco Junior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5600</v>
      </c>
      <c r="E5" s="16">
        <f>E36+E67+IFERROR($E$105/$D$105*D5,0)</f>
        <v>116717.96542290371</v>
      </c>
      <c r="F5" s="21">
        <f>IFERROR(E5/D5,"")</f>
        <v>20.84249382551852</v>
      </c>
    </row>
    <row r="6" spans="1:6" x14ac:dyDescent="0.2">
      <c r="A6" s="20">
        <v>2</v>
      </c>
      <c r="B6" s="179" t="s">
        <v>1</v>
      </c>
      <c r="C6" s="180"/>
      <c r="D6" s="15">
        <f t="shared" ref="D6:D32" si="0">D37</f>
        <v>24640</v>
      </c>
      <c r="E6" s="18">
        <f t="shared" ref="E6:E32" si="1">E37+E68+IFERROR($E$105/$D$105*D6,0)</f>
        <v>149543.84786077635</v>
      </c>
      <c r="F6" s="22">
        <f t="shared" ref="F6:F33" si="2">IFERROR(E6/D6,"")</f>
        <v>6.0691496696743652</v>
      </c>
    </row>
    <row r="7" spans="1:6" ht="14.25" customHeight="1" x14ac:dyDescent="0.2">
      <c r="A7" s="20">
        <v>3</v>
      </c>
      <c r="B7" s="179" t="s">
        <v>2</v>
      </c>
      <c r="C7" s="180"/>
      <c r="D7" s="15">
        <f t="shared" si="0"/>
        <v>288448</v>
      </c>
      <c r="E7" s="18">
        <f t="shared" si="1"/>
        <v>1326312.9904117377</v>
      </c>
      <c r="F7" s="22">
        <f t="shared" si="2"/>
        <v>4.5981008376266699</v>
      </c>
    </row>
    <row r="8" spans="1:6" ht="14.25" customHeight="1" x14ac:dyDescent="0.2">
      <c r="A8" s="20">
        <v>4</v>
      </c>
      <c r="B8" s="179" t="s">
        <v>3</v>
      </c>
      <c r="C8" s="180"/>
      <c r="D8" s="15">
        <f t="shared" si="0"/>
        <v>125456</v>
      </c>
      <c r="E8" s="18">
        <f t="shared" si="1"/>
        <v>512019.98251710867</v>
      </c>
      <c r="F8" s="22">
        <f t="shared" si="2"/>
        <v>4.0812713821348412</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0</v>
      </c>
      <c r="E10" s="18">
        <f t="shared" si="1"/>
        <v>0</v>
      </c>
      <c r="F10" s="22" t="str">
        <f t="shared" si="2"/>
        <v/>
      </c>
    </row>
    <row r="11" spans="1:6" x14ac:dyDescent="0.2">
      <c r="A11" s="20">
        <v>7</v>
      </c>
      <c r="B11" s="179" t="s">
        <v>6</v>
      </c>
      <c r="C11" s="180"/>
      <c r="D11" s="15">
        <f t="shared" si="0"/>
        <v>12896</v>
      </c>
      <c r="E11" s="18">
        <f t="shared" si="1"/>
        <v>201562.17751674398</v>
      </c>
      <c r="F11" s="22">
        <f t="shared" si="2"/>
        <v>15.629821457563894</v>
      </c>
    </row>
    <row r="12" spans="1:6" x14ac:dyDescent="0.2">
      <c r="A12" s="20">
        <v>8</v>
      </c>
      <c r="B12" s="179" t="s">
        <v>7</v>
      </c>
      <c r="C12" s="180"/>
      <c r="D12" s="15">
        <f t="shared" si="0"/>
        <v>4512</v>
      </c>
      <c r="E12" s="18">
        <f t="shared" si="1"/>
        <v>28195.486426453852</v>
      </c>
      <c r="F12" s="22">
        <f t="shared" si="2"/>
        <v>6.2489996512530697</v>
      </c>
    </row>
    <row r="13" spans="1:6" x14ac:dyDescent="0.2">
      <c r="A13" s="20">
        <v>9</v>
      </c>
      <c r="B13" s="179" t="s">
        <v>8</v>
      </c>
      <c r="C13" s="180"/>
      <c r="D13" s="15">
        <f t="shared" si="0"/>
        <v>94354</v>
      </c>
      <c r="E13" s="18">
        <f t="shared" si="1"/>
        <v>443855.25848440308</v>
      </c>
      <c r="F13" s="22">
        <f t="shared" si="2"/>
        <v>4.7041488276533379</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15792</v>
      </c>
      <c r="E15" s="18">
        <f t="shared" si="1"/>
        <v>95288.202492588476</v>
      </c>
      <c r="F15" s="22">
        <f t="shared" si="2"/>
        <v>6.0339540585479021</v>
      </c>
    </row>
    <row r="16" spans="1:6" ht="14.25" customHeight="1" x14ac:dyDescent="0.2">
      <c r="A16" s="20">
        <v>12</v>
      </c>
      <c r="B16" s="179" t="s">
        <v>11</v>
      </c>
      <c r="C16" s="180"/>
      <c r="D16" s="15">
        <f t="shared" si="0"/>
        <v>220032</v>
      </c>
      <c r="E16" s="18">
        <f t="shared" si="1"/>
        <v>1215988.8699879197</v>
      </c>
      <c r="F16" s="22">
        <f t="shared" si="2"/>
        <v>5.5264182936478319</v>
      </c>
    </row>
    <row r="17" spans="1:6" x14ac:dyDescent="0.2">
      <c r="A17" s="20">
        <v>13</v>
      </c>
      <c r="B17" s="179" t="s">
        <v>12</v>
      </c>
      <c r="C17" s="180"/>
      <c r="D17" s="15">
        <f t="shared" si="0"/>
        <v>25936</v>
      </c>
      <c r="E17" s="18">
        <f t="shared" si="1"/>
        <v>86581.168430076927</v>
      </c>
      <c r="F17" s="22">
        <f t="shared" si="2"/>
        <v>3.3382622004193756</v>
      </c>
    </row>
    <row r="18" spans="1:6" ht="14.25" customHeight="1" x14ac:dyDescent="0.2">
      <c r="A18" s="20">
        <v>14</v>
      </c>
      <c r="B18" s="179" t="s">
        <v>804</v>
      </c>
      <c r="C18" s="180"/>
      <c r="D18" s="15">
        <f t="shared" si="0"/>
        <v>63152</v>
      </c>
      <c r="E18" s="18">
        <f t="shared" si="1"/>
        <v>450531.05292628845</v>
      </c>
      <c r="F18" s="22">
        <f t="shared" si="2"/>
        <v>7.1340741849234934</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91008</v>
      </c>
      <c r="E20" s="18">
        <f t="shared" si="1"/>
        <v>390822.06664421811</v>
      </c>
      <c r="F20" s="22">
        <f t="shared" si="2"/>
        <v>4.2943704580280651</v>
      </c>
    </row>
    <row r="21" spans="1:6" x14ac:dyDescent="0.2">
      <c r="A21" s="20">
        <v>17</v>
      </c>
      <c r="B21" s="179" t="s">
        <v>15</v>
      </c>
      <c r="C21" s="180"/>
      <c r="D21" s="15">
        <f t="shared" si="0"/>
        <v>18112</v>
      </c>
      <c r="E21" s="18">
        <f t="shared" si="1"/>
        <v>194387.97388207715</v>
      </c>
      <c r="F21" s="22">
        <f t="shared" si="2"/>
        <v>10.732551561510443</v>
      </c>
    </row>
    <row r="22" spans="1:6" x14ac:dyDescent="0.2">
      <c r="A22" s="20">
        <v>18</v>
      </c>
      <c r="B22" s="179" t="s">
        <v>16</v>
      </c>
      <c r="C22" s="180"/>
      <c r="D22" s="15">
        <f t="shared" si="0"/>
        <v>99200</v>
      </c>
      <c r="E22" s="18">
        <f t="shared" si="1"/>
        <v>653413.67320572294</v>
      </c>
      <c r="F22" s="22">
        <f t="shared" si="2"/>
        <v>6.586831383122207</v>
      </c>
    </row>
    <row r="23" spans="1:6" x14ac:dyDescent="0.2">
      <c r="A23" s="20">
        <v>19</v>
      </c>
      <c r="B23" s="179" t="s">
        <v>17</v>
      </c>
      <c r="C23" s="180"/>
      <c r="D23" s="15">
        <f t="shared" si="0"/>
        <v>142144</v>
      </c>
      <c r="E23" s="18">
        <f t="shared" si="1"/>
        <v>680854.57947736175</v>
      </c>
      <c r="F23" s="22">
        <f t="shared" si="2"/>
        <v>4.7898932032119665</v>
      </c>
    </row>
    <row r="24" spans="1:6" x14ac:dyDescent="0.2">
      <c r="A24" s="20">
        <v>20</v>
      </c>
      <c r="B24" s="179" t="s">
        <v>18</v>
      </c>
      <c r="C24" s="180"/>
      <c r="D24" s="15">
        <f t="shared" si="0"/>
        <v>45600</v>
      </c>
      <c r="E24" s="18">
        <f t="shared" si="1"/>
        <v>276991.57558650168</v>
      </c>
      <c r="F24" s="22">
        <f t="shared" si="2"/>
        <v>6.0743766575987213</v>
      </c>
    </row>
    <row r="25" spans="1:6" ht="14.25" customHeight="1" x14ac:dyDescent="0.2">
      <c r="A25" s="20">
        <v>21</v>
      </c>
      <c r="B25" s="179" t="s">
        <v>801</v>
      </c>
      <c r="C25" s="180"/>
      <c r="D25" s="15">
        <f t="shared" si="0"/>
        <v>0</v>
      </c>
      <c r="E25" s="18">
        <f t="shared" si="1"/>
        <v>0</v>
      </c>
      <c r="F25" s="22" t="str">
        <f t="shared" si="2"/>
        <v/>
      </c>
    </row>
    <row r="26" spans="1:6" x14ac:dyDescent="0.2">
      <c r="A26" s="20">
        <v>22</v>
      </c>
      <c r="B26" s="179" t="s">
        <v>19</v>
      </c>
      <c r="C26" s="180"/>
      <c r="D26" s="15">
        <f t="shared" si="0"/>
        <v>2448</v>
      </c>
      <c r="E26" s="18">
        <f t="shared" si="1"/>
        <v>14574.827742012196</v>
      </c>
      <c r="F26" s="22">
        <f t="shared" si="2"/>
        <v>5.9537695024559625</v>
      </c>
    </row>
    <row r="27" spans="1:6" x14ac:dyDescent="0.2">
      <c r="A27" s="20">
        <v>23</v>
      </c>
      <c r="B27" s="179" t="s">
        <v>20</v>
      </c>
      <c r="C27" s="180"/>
      <c r="D27" s="15">
        <f t="shared" si="0"/>
        <v>71088</v>
      </c>
      <c r="E27" s="18">
        <f t="shared" si="1"/>
        <v>834417.54678274633</v>
      </c>
      <c r="F27" s="22">
        <f t="shared" si="2"/>
        <v>11.737811540382994</v>
      </c>
    </row>
    <row r="28" spans="1:6" x14ac:dyDescent="0.2">
      <c r="A28" s="20">
        <v>24</v>
      </c>
      <c r="B28" s="179" t="s">
        <v>21</v>
      </c>
      <c r="C28" s="180"/>
      <c r="D28" s="15">
        <f t="shared" si="0"/>
        <v>47328</v>
      </c>
      <c r="E28" s="18">
        <f t="shared" si="1"/>
        <v>282662.33634556911</v>
      </c>
      <c r="F28" s="22">
        <f t="shared" si="2"/>
        <v>5.9724124481399832</v>
      </c>
    </row>
    <row r="29" spans="1:6" x14ac:dyDescent="0.2">
      <c r="A29" s="20">
        <v>25</v>
      </c>
      <c r="B29" s="179" t="s">
        <v>22</v>
      </c>
      <c r="C29" s="180"/>
      <c r="D29" s="15">
        <f t="shared" si="0"/>
        <v>362640</v>
      </c>
      <c r="E29" s="18">
        <f t="shared" si="1"/>
        <v>1732606.403743179</v>
      </c>
      <c r="F29" s="22">
        <f t="shared" si="2"/>
        <v>4.7777586690469311</v>
      </c>
    </row>
    <row r="30" spans="1:6" x14ac:dyDescent="0.2">
      <c r="A30" s="20">
        <v>26</v>
      </c>
      <c r="B30" s="179" t="s">
        <v>23</v>
      </c>
      <c r="C30" s="180"/>
      <c r="D30" s="15">
        <f t="shared" si="0"/>
        <v>98784</v>
      </c>
      <c r="E30" s="18">
        <f t="shared" si="1"/>
        <v>628675.99006002152</v>
      </c>
      <c r="F30" s="22">
        <f t="shared" si="2"/>
        <v>6.3641479395450835</v>
      </c>
    </row>
    <row r="31" spans="1:6" x14ac:dyDescent="0.2">
      <c r="A31" s="20">
        <v>28</v>
      </c>
      <c r="B31" s="179" t="s">
        <v>24</v>
      </c>
      <c r="C31" s="180"/>
      <c r="D31" s="15">
        <f t="shared" si="0"/>
        <v>90928</v>
      </c>
      <c r="E31" s="18">
        <f t="shared" si="1"/>
        <v>461031.2814238909</v>
      </c>
      <c r="F31" s="22">
        <f t="shared" si="2"/>
        <v>5.0702894754519061</v>
      </c>
    </row>
    <row r="32" spans="1:6" ht="15.75" customHeight="1" thickBot="1" x14ac:dyDescent="0.25">
      <c r="A32" s="23">
        <v>29</v>
      </c>
      <c r="B32" s="181" t="s">
        <v>25</v>
      </c>
      <c r="C32" s="182"/>
      <c r="D32" s="24">
        <f t="shared" si="0"/>
        <v>51516</v>
      </c>
      <c r="E32" s="25">
        <f t="shared" si="1"/>
        <v>277162.74262969784</v>
      </c>
      <c r="F32" s="26">
        <f t="shared" si="2"/>
        <v>5.3801293312698544</v>
      </c>
    </row>
    <row r="33" spans="1:6" x14ac:dyDescent="0.2">
      <c r="B33" s="31" t="s">
        <v>35</v>
      </c>
      <c r="C33" s="31"/>
      <c r="D33" s="61">
        <f>SUM(D5:D32)</f>
        <v>2001614</v>
      </c>
      <c r="E33" s="32">
        <f>SUM(E5:E32)</f>
        <v>11054198</v>
      </c>
      <c r="F33" s="33">
        <f t="shared" si="2"/>
        <v>5.522642227722228</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IF(F3="1",SUMIF(Data!A:A,'9'!$A$2,Data!CU:CU),0)</f>
        <v>5600</v>
      </c>
      <c r="E36" s="16">
        <f>IF(F3="1",SUMIF(Data!$A:$A,'9'!$A$2,Data!IO:IO),0)</f>
        <v>13815</v>
      </c>
      <c r="F36" s="21">
        <f t="shared" ref="F36:F64" si="3">IFERROR(E36/D36,"")</f>
        <v>2.4669642857142855</v>
      </c>
    </row>
    <row r="37" spans="1:6" x14ac:dyDescent="0.2">
      <c r="A37" s="20">
        <v>2</v>
      </c>
      <c r="B37" s="179" t="s">
        <v>1</v>
      </c>
      <c r="C37" s="180"/>
      <c r="D37" s="15">
        <f>IF(F3="1",SUMIF(Data!A:A,'9'!$A$2,Data!CV:CV),0)</f>
        <v>24640</v>
      </c>
      <c r="E37" s="18">
        <f>IF(F3="1",SUMIF(Data!$A:$A,'9'!$A$2,Data!IP:IP),0)</f>
        <v>16828</v>
      </c>
      <c r="F37" s="22">
        <f t="shared" si="3"/>
        <v>0.68295454545454548</v>
      </c>
    </row>
    <row r="38" spans="1:6" ht="14.25" customHeight="1" x14ac:dyDescent="0.2">
      <c r="A38" s="20">
        <v>3</v>
      </c>
      <c r="B38" s="179" t="s">
        <v>2</v>
      </c>
      <c r="C38" s="180"/>
      <c r="D38" s="15">
        <f>IF(F3="1",SUMIF(Data!A:A,'9'!$A$2,Data!CW:CW),0)</f>
        <v>288448</v>
      </c>
      <c r="E38" s="18">
        <f>IF(F3="1",SUMIF(Data!$A:$A,'9'!$A$2,Data!IQ:IQ),0)</f>
        <v>77408</v>
      </c>
      <c r="F38" s="22">
        <f t="shared" si="3"/>
        <v>0.26836032837807855</v>
      </c>
    </row>
    <row r="39" spans="1:6" ht="14.25" customHeight="1" x14ac:dyDescent="0.2">
      <c r="A39" s="20">
        <v>4</v>
      </c>
      <c r="B39" s="179" t="s">
        <v>3</v>
      </c>
      <c r="C39" s="180"/>
      <c r="D39" s="15">
        <f>IF(F3="1",SUMIF(Data!A:A,'9'!$A$2,Data!CX:CX),0)</f>
        <v>125456</v>
      </c>
      <c r="E39" s="18">
        <f>IF(F3="1",SUMIF(Data!$A:$A,'9'!$A$2,Data!IR:IR),0)</f>
        <v>22722</v>
      </c>
      <c r="F39" s="22">
        <f t="shared" si="3"/>
        <v>0.1811152914169111</v>
      </c>
    </row>
    <row r="40" spans="1:6" x14ac:dyDescent="0.2">
      <c r="A40" s="20">
        <v>5</v>
      </c>
      <c r="B40" s="179" t="s">
        <v>4</v>
      </c>
      <c r="C40" s="180"/>
      <c r="D40" s="15">
        <f>IF(F3="1",SUMIF(Data!A:A,'9'!$A$2,Data!CY:CY),0)</f>
        <v>0</v>
      </c>
      <c r="E40" s="18">
        <f>IF(F3="1",SUMIF(Data!$A:$A,'9'!$A$2,Data!IS:IS),0)</f>
        <v>0</v>
      </c>
      <c r="F40" s="22" t="str">
        <f t="shared" si="3"/>
        <v/>
      </c>
    </row>
    <row r="41" spans="1:6" x14ac:dyDescent="0.2">
      <c r="A41" s="20">
        <v>6</v>
      </c>
      <c r="B41" s="179" t="s">
        <v>5</v>
      </c>
      <c r="C41" s="180"/>
      <c r="D41" s="15">
        <f>IF(F3="1",SUMIF(Data!A:A,'9'!$A$2,Data!CZ:CZ),0)</f>
        <v>0</v>
      </c>
      <c r="E41" s="18">
        <f>IF(F3="1",SUMIF(Data!$A:$A,'9'!$A$2,Data!IT:IT),0)</f>
        <v>0</v>
      </c>
      <c r="F41" s="22" t="str">
        <f t="shared" si="3"/>
        <v/>
      </c>
    </row>
    <row r="42" spans="1:6" x14ac:dyDescent="0.2">
      <c r="A42" s="20">
        <v>7</v>
      </c>
      <c r="B42" s="179" t="s">
        <v>6</v>
      </c>
      <c r="C42" s="180"/>
      <c r="D42" s="15">
        <f>IF(F3="1",SUMIF(Data!A:A,'9'!$A$2,Data!DA:DA),0)</f>
        <v>12896</v>
      </c>
      <c r="E42" s="18">
        <f>IF(F3="1",SUMIF(Data!$A:$A,'9'!$A$2,Data!IU:IU),0)</f>
        <v>13920</v>
      </c>
      <c r="F42" s="22">
        <f t="shared" si="3"/>
        <v>1.0794044665012408</v>
      </c>
    </row>
    <row r="43" spans="1:6" x14ac:dyDescent="0.2">
      <c r="A43" s="20">
        <v>8</v>
      </c>
      <c r="B43" s="179" t="s">
        <v>7</v>
      </c>
      <c r="C43" s="180"/>
      <c r="D43" s="15">
        <f>IF(F3="1",SUMIF(Data!A:A,'9'!$A$2,Data!DB:DB),0)</f>
        <v>4512</v>
      </c>
      <c r="E43" s="18">
        <f>IF(F3="1",SUMIF(Data!$A:$A,'9'!$A$2,Data!IV:IV),0)</f>
        <v>3236</v>
      </c>
      <c r="F43" s="22">
        <f t="shared" si="3"/>
        <v>0.71719858156028371</v>
      </c>
    </row>
    <row r="44" spans="1:6" x14ac:dyDescent="0.2">
      <c r="A44" s="20">
        <v>9</v>
      </c>
      <c r="B44" s="179" t="s">
        <v>8</v>
      </c>
      <c r="C44" s="180"/>
      <c r="D44" s="15">
        <f>IF(F3="1",SUMIF(Data!A:A,'9'!$A$2,Data!DC:DC),0)</f>
        <v>94354</v>
      </c>
      <c r="E44" s="18">
        <f>IF(F3="1",SUMIF(Data!$A:$A,'9'!$A$2,Data!IW:IW),0)</f>
        <v>33556</v>
      </c>
      <c r="F44" s="22">
        <f t="shared" si="3"/>
        <v>0.35563940055535537</v>
      </c>
    </row>
    <row r="45" spans="1:6" x14ac:dyDescent="0.2">
      <c r="A45" s="20">
        <v>10</v>
      </c>
      <c r="B45" s="179" t="s">
        <v>9</v>
      </c>
      <c r="C45" s="180"/>
      <c r="D45" s="15">
        <f>IF(F3="1",SUMIF(Data!A:A,'9'!$A$2,Data!DD:DD),0)</f>
        <v>0</v>
      </c>
      <c r="E45" s="18">
        <f>IF(F3="1",SUMIF(Data!$A:$A,'9'!$A$2,Data!IX:IX),0)</f>
        <v>0</v>
      </c>
      <c r="F45" s="22" t="str">
        <f t="shared" si="3"/>
        <v/>
      </c>
    </row>
    <row r="46" spans="1:6" x14ac:dyDescent="0.2">
      <c r="A46" s="20">
        <v>11</v>
      </c>
      <c r="B46" s="179" t="s">
        <v>10</v>
      </c>
      <c r="C46" s="180"/>
      <c r="D46" s="15">
        <f>IF(F3="1",SUMIF(Data!A:A,'9'!$A$2,Data!DE:DE),0)</f>
        <v>15792</v>
      </c>
      <c r="E46" s="18">
        <f>IF(F3="1",SUMIF(Data!$A:$A,'9'!$A$2,Data!IY:IY),0)</f>
        <v>10679</v>
      </c>
      <c r="F46" s="22">
        <f t="shared" si="3"/>
        <v>0.67622847011144882</v>
      </c>
    </row>
    <row r="47" spans="1:6" ht="14.25" customHeight="1" x14ac:dyDescent="0.2">
      <c r="A47" s="20">
        <v>12</v>
      </c>
      <c r="B47" s="179" t="s">
        <v>11</v>
      </c>
      <c r="C47" s="180"/>
      <c r="D47" s="15">
        <f>IF(F3="1",SUMIF(Data!A:A,'9'!$A$2,Data!DF:DF),0)</f>
        <v>220032</v>
      </c>
      <c r="E47" s="18">
        <f>IF(F3="1",SUMIF(Data!$A:$A,'9'!$A$2,Data!IZ:IZ),0)</f>
        <v>62975</v>
      </c>
      <c r="F47" s="22">
        <f t="shared" si="3"/>
        <v>0.28620836969168123</v>
      </c>
    </row>
    <row r="48" spans="1:6" x14ac:dyDescent="0.2">
      <c r="A48" s="20">
        <v>13</v>
      </c>
      <c r="B48" s="179" t="s">
        <v>12</v>
      </c>
      <c r="C48" s="180"/>
      <c r="D48" s="15">
        <f>IF(F3="1",SUMIF(Data!A:A,'9'!$A$2,Data!DG:DG),0)</f>
        <v>25936</v>
      </c>
      <c r="E48" s="18">
        <f>IF(F3="1",SUMIF(Data!$A:$A,'9'!$A$2,Data!JA:JA),0)</f>
        <v>3794</v>
      </c>
      <c r="F48" s="22">
        <f t="shared" si="3"/>
        <v>0.14628315854410859</v>
      </c>
    </row>
    <row r="49" spans="1:6" ht="14.25" customHeight="1" x14ac:dyDescent="0.2">
      <c r="A49" s="20">
        <v>14</v>
      </c>
      <c r="B49" s="179" t="s">
        <v>804</v>
      </c>
      <c r="C49" s="180"/>
      <c r="D49" s="15">
        <f>IF(F3="1",SUMIF(Data!A:A,'9'!$A$2,Data!DH:DH),0)</f>
        <v>63152</v>
      </c>
      <c r="E49" s="18">
        <f>IF(F3="1",SUMIF(Data!$A:$A,'9'!$A$2,Data!JB:JB),0)</f>
        <v>88483</v>
      </c>
      <c r="F49" s="22">
        <f t="shared" si="3"/>
        <v>1.4011116037496834</v>
      </c>
    </row>
    <row r="50" spans="1:6" x14ac:dyDescent="0.2">
      <c r="A50" s="20">
        <v>15</v>
      </c>
      <c r="B50" s="179" t="s">
        <v>13</v>
      </c>
      <c r="C50" s="180"/>
      <c r="D50" s="15">
        <f>IF(F3="1",SUMIF(Data!A:A,'9'!$A$2,Data!DI:DI),0)</f>
        <v>0</v>
      </c>
      <c r="E50" s="18">
        <f>IF(F3="1",SUMIF(Data!$A:$A,'9'!$A$2,Data!JC:JC),0)</f>
        <v>0</v>
      </c>
      <c r="F50" s="22" t="str">
        <f t="shared" si="3"/>
        <v/>
      </c>
    </row>
    <row r="51" spans="1:6" x14ac:dyDescent="0.2">
      <c r="A51" s="20">
        <v>16</v>
      </c>
      <c r="B51" s="179" t="s">
        <v>14</v>
      </c>
      <c r="C51" s="180"/>
      <c r="D51" s="15">
        <f>IF(F3="1",SUMIF(Data!A:A,'9'!$A$2,Data!DJ:DJ),0)</f>
        <v>91008</v>
      </c>
      <c r="E51" s="18">
        <f>IF(F3="1",SUMIF(Data!$A:$A,'9'!$A$2,Data!JD:JD),0)</f>
        <v>22232</v>
      </c>
      <c r="F51" s="22">
        <f t="shared" si="3"/>
        <v>0.24428621659634317</v>
      </c>
    </row>
    <row r="52" spans="1:6" x14ac:dyDescent="0.2">
      <c r="A52" s="20">
        <v>17</v>
      </c>
      <c r="B52" s="179" t="s">
        <v>15</v>
      </c>
      <c r="C52" s="180"/>
      <c r="D52" s="15">
        <f>IF(F3="1",SUMIF(Data!A:A,'9'!$A$2,Data!DK:DK),0)</f>
        <v>18112</v>
      </c>
      <c r="E52" s="18">
        <f>IF(F3="1",SUMIF(Data!$A:$A,'9'!$A$2,Data!JE:JE),0)</f>
        <v>17237</v>
      </c>
      <c r="F52" s="22">
        <f t="shared" si="3"/>
        <v>0.95168948763250882</v>
      </c>
    </row>
    <row r="53" spans="1:6" x14ac:dyDescent="0.2">
      <c r="A53" s="20">
        <v>18</v>
      </c>
      <c r="B53" s="179" t="s">
        <v>16</v>
      </c>
      <c r="C53" s="180"/>
      <c r="D53" s="15">
        <f>IF(F3="1",SUMIF(Data!A:A,'9'!$A$2,Data!DL:DL),0)</f>
        <v>99200</v>
      </c>
      <c r="E53" s="18">
        <f>IF(F3="1",SUMIF(Data!$A:$A,'9'!$A$2,Data!JF:JF),0)</f>
        <v>46359</v>
      </c>
      <c r="F53" s="22">
        <f t="shared" si="3"/>
        <v>0.46732862903225808</v>
      </c>
    </row>
    <row r="54" spans="1:6" x14ac:dyDescent="0.2">
      <c r="A54" s="20">
        <v>19</v>
      </c>
      <c r="B54" s="179" t="s">
        <v>17</v>
      </c>
      <c r="C54" s="180"/>
      <c r="D54" s="15">
        <f>IF(F3="1",SUMIF(Data!A:A,'9'!$A$2,Data!DM:DM),0)</f>
        <v>142144</v>
      </c>
      <c r="E54" s="18">
        <f>IF(F3="1",SUMIF(Data!$A:$A,'9'!$A$2,Data!JG:JG),0)</f>
        <v>28375</v>
      </c>
      <c r="F54" s="22">
        <f t="shared" si="3"/>
        <v>0.19962151058081945</v>
      </c>
    </row>
    <row r="55" spans="1:6" x14ac:dyDescent="0.2">
      <c r="A55" s="20">
        <v>20</v>
      </c>
      <c r="B55" s="179" t="s">
        <v>18</v>
      </c>
      <c r="C55" s="180"/>
      <c r="D55" s="15">
        <f>IF(F3="1",SUMIF(Data!A:A,'9'!$A$2,Data!DN:DN),0)</f>
        <v>45600</v>
      </c>
      <c r="E55" s="18">
        <f>IF(F3="1",SUMIF(Data!$A:$A,'9'!$A$2,Data!JH:JH),0)</f>
        <v>30758</v>
      </c>
      <c r="F55" s="22">
        <f t="shared" si="3"/>
        <v>0.67451754385964913</v>
      </c>
    </row>
    <row r="56" spans="1:6" ht="14.25" customHeight="1" x14ac:dyDescent="0.2">
      <c r="A56" s="20">
        <v>21</v>
      </c>
      <c r="B56" s="179" t="s">
        <v>801</v>
      </c>
      <c r="C56" s="180"/>
      <c r="D56" s="15">
        <f>IF(F3="1",SUMIF(Data!A:A,'9'!$A$2,Data!DO:DO),0)</f>
        <v>0</v>
      </c>
      <c r="E56" s="18">
        <f>IF(F3="1",SUMIF(Data!$A:$A,'9'!$A$2,Data!JI:JI),0)</f>
        <v>0</v>
      </c>
      <c r="F56" s="22" t="str">
        <f t="shared" si="3"/>
        <v/>
      </c>
    </row>
    <row r="57" spans="1:6" x14ac:dyDescent="0.2">
      <c r="A57" s="20">
        <v>22</v>
      </c>
      <c r="B57" s="179" t="s">
        <v>19</v>
      </c>
      <c r="C57" s="180"/>
      <c r="D57" s="15">
        <f>IF(F3="1",SUMIF(Data!A:A,'9'!$A$2,Data!DP:DP),0)</f>
        <v>2448</v>
      </c>
      <c r="E57" s="18">
        <f>IF(F3="1",SUMIF(Data!$A:$A,'9'!$A$2,Data!JJ:JJ),0)</f>
        <v>1618</v>
      </c>
      <c r="F57" s="22">
        <f t="shared" si="3"/>
        <v>0.66094771241830064</v>
      </c>
    </row>
    <row r="58" spans="1:6" x14ac:dyDescent="0.2">
      <c r="A58" s="20">
        <v>23</v>
      </c>
      <c r="B58" s="179" t="s">
        <v>20</v>
      </c>
      <c r="C58" s="180"/>
      <c r="D58" s="15">
        <f>IF(F3="1",SUMIF(Data!A:A,'9'!$A$2,Data!DQ:DQ),0)</f>
        <v>71088</v>
      </c>
      <c r="E58" s="18">
        <f>IF(F3="1",SUMIF(Data!$A:$A,'9'!$A$2,Data!JK:JK),0)</f>
        <v>90672</v>
      </c>
      <c r="F58" s="22">
        <f t="shared" si="3"/>
        <v>1.2754895340985821</v>
      </c>
    </row>
    <row r="59" spans="1:6" x14ac:dyDescent="0.2">
      <c r="A59" s="20">
        <v>24</v>
      </c>
      <c r="B59" s="179" t="s">
        <v>21</v>
      </c>
      <c r="C59" s="180"/>
      <c r="D59" s="15">
        <f>IF(F3="1",SUMIF(Data!A:A,'9'!$A$2,Data!DR:DR),0)</f>
        <v>47328</v>
      </c>
      <c r="E59" s="18">
        <f>IF(F3="1",SUMIF(Data!$A:$A,'9'!$A$2,Data!JL:JL),0)</f>
        <v>28600</v>
      </c>
      <c r="F59" s="22">
        <f t="shared" si="3"/>
        <v>0.6042934415145369</v>
      </c>
    </row>
    <row r="60" spans="1:6" x14ac:dyDescent="0.2">
      <c r="A60" s="20">
        <v>25</v>
      </c>
      <c r="B60" s="179" t="s">
        <v>22</v>
      </c>
      <c r="C60" s="180"/>
      <c r="D60" s="15">
        <f>IF(F3="1",SUMIF(Data!A:A,'9'!$A$2,Data!DS:DS),0)</f>
        <v>362640</v>
      </c>
      <c r="E60" s="18">
        <f>IF(F3="1",SUMIF(Data!$A:$A,'9'!$A$2,Data!JM:JM),0)</f>
        <v>82860</v>
      </c>
      <c r="F60" s="22">
        <f t="shared" si="3"/>
        <v>0.2284910655195235</v>
      </c>
    </row>
    <row r="61" spans="1:6" x14ac:dyDescent="0.2">
      <c r="A61" s="20">
        <v>26</v>
      </c>
      <c r="B61" s="179" t="s">
        <v>23</v>
      </c>
      <c r="C61" s="180"/>
      <c r="D61" s="15">
        <f>IF(F3="1",SUMIF(Data!A:A,'9'!$A$2,Data!DT:DT),0)</f>
        <v>98784</v>
      </c>
      <c r="E61" s="18">
        <f>IF(F3="1",SUMIF(Data!$A:$A,'9'!$A$2,Data!JN:JN),0)</f>
        <v>134115</v>
      </c>
      <c r="F61" s="22">
        <f t="shared" si="3"/>
        <v>1.3576591350826044</v>
      </c>
    </row>
    <row r="62" spans="1:6" x14ac:dyDescent="0.2">
      <c r="A62" s="20">
        <v>28</v>
      </c>
      <c r="B62" s="179" t="s">
        <v>24</v>
      </c>
      <c r="C62" s="180"/>
      <c r="D62" s="15">
        <f>IF(F3="1",SUMIF(Data!A:A,'9'!$A$2,Data!DV:DV),0)</f>
        <v>90928</v>
      </c>
      <c r="E62" s="18">
        <f>IF(F3="1",SUMIF(Data!$A:$A,'9'!$A$2,Data!JP:JP),0)</f>
        <v>29431</v>
      </c>
      <c r="F62" s="22">
        <f t="shared" si="3"/>
        <v>0.3236736758754179</v>
      </c>
    </row>
    <row r="63" spans="1:6" ht="15.75" customHeight="1" thickBot="1" x14ac:dyDescent="0.25">
      <c r="A63" s="23">
        <v>29</v>
      </c>
      <c r="B63" s="181" t="s">
        <v>25</v>
      </c>
      <c r="C63" s="182"/>
      <c r="D63" s="24">
        <f>IF(F3="1",SUMIF(Data!A:A,'9'!$A$2,Data!DW:DW),0)</f>
        <v>51516</v>
      </c>
      <c r="E63" s="25">
        <f>IF(F3="1",SUMIF(Data!$A:$A,'9'!$A$2,Data!JQ:JQ),0)</f>
        <v>16801</v>
      </c>
      <c r="F63" s="26">
        <f t="shared" si="3"/>
        <v>0.32613168724279834</v>
      </c>
    </row>
    <row r="64" spans="1:6" x14ac:dyDescent="0.2">
      <c r="B64" s="31" t="s">
        <v>35</v>
      </c>
      <c r="C64" s="31"/>
      <c r="D64" s="61">
        <f>SUM(D36:D63)</f>
        <v>2001614</v>
      </c>
      <c r="E64" s="32">
        <f>SUM(E36:E63)</f>
        <v>876474</v>
      </c>
      <c r="F64" s="33">
        <f t="shared" si="3"/>
        <v>0.43788362791227481</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5600</v>
      </c>
      <c r="E67" s="16">
        <f>IF(F3="1",SUMIF(Data!A:A,'9'!$A$2,Data!DY:DY),0)</f>
        <v>88988</v>
      </c>
      <c r="F67" s="21">
        <f>IFERROR(E67/D67,"")</f>
        <v>15.890714285714285</v>
      </c>
    </row>
    <row r="68" spans="1:6" x14ac:dyDescent="0.2">
      <c r="A68" s="20">
        <v>2</v>
      </c>
      <c r="B68" s="179" t="s">
        <v>1</v>
      </c>
      <c r="C68" s="180"/>
      <c r="D68" s="15">
        <f t="shared" ref="D68:D94" si="4">D37</f>
        <v>24640</v>
      </c>
      <c r="E68" s="18">
        <f>IF(F3="1",SUMIF(Data!A:A,'9'!$A$2,Data!DZ:DZ),0)</f>
        <v>71490</v>
      </c>
      <c r="F68" s="22">
        <f t="shared" ref="F68:F95" si="5">IFERROR(E68/D68,"")</f>
        <v>2.9013798701298703</v>
      </c>
    </row>
    <row r="69" spans="1:6" ht="14.25" customHeight="1" x14ac:dyDescent="0.2">
      <c r="A69" s="20">
        <v>3</v>
      </c>
      <c r="B69" s="179" t="s">
        <v>2</v>
      </c>
      <c r="C69" s="180"/>
      <c r="D69" s="15">
        <f t="shared" si="4"/>
        <v>288448</v>
      </c>
      <c r="E69" s="18">
        <f>IF(F3="1",SUMIF(Data!A:A,'9'!$A$2,Data!EA:EA),0)</f>
        <v>532165</v>
      </c>
      <c r="F69" s="22">
        <f t="shared" si="5"/>
        <v>1.8449252551586421</v>
      </c>
    </row>
    <row r="70" spans="1:6" ht="14.25" customHeight="1" x14ac:dyDescent="0.2">
      <c r="A70" s="20">
        <v>4</v>
      </c>
      <c r="B70" s="179" t="s">
        <v>3</v>
      </c>
      <c r="C70" s="180"/>
      <c r="D70" s="15">
        <f t="shared" si="4"/>
        <v>125456</v>
      </c>
      <c r="E70" s="18">
        <f>IF(F3="1",SUMIF(Data!A:A,'9'!$A$2,Data!EB:EB),0)</f>
        <v>177563</v>
      </c>
      <c r="F70" s="22">
        <f t="shared" si="5"/>
        <v>1.4153408366279812</v>
      </c>
    </row>
    <row r="71" spans="1:6" x14ac:dyDescent="0.2">
      <c r="A71" s="20">
        <v>5</v>
      </c>
      <c r="B71" s="179" t="s">
        <v>4</v>
      </c>
      <c r="C71" s="180"/>
      <c r="D71" s="15">
        <f t="shared" si="4"/>
        <v>0</v>
      </c>
      <c r="E71" s="18">
        <f>IF(F3="1",SUMIF(Data!A:A,'9'!$A$2,Data!EC:EC),0)</f>
        <v>0</v>
      </c>
      <c r="F71" s="22" t="str">
        <f t="shared" si="5"/>
        <v/>
      </c>
    </row>
    <row r="72" spans="1:6" x14ac:dyDescent="0.2">
      <c r="A72" s="20">
        <v>6</v>
      </c>
      <c r="B72" s="179" t="s">
        <v>5</v>
      </c>
      <c r="C72" s="180"/>
      <c r="D72" s="15">
        <f t="shared" si="4"/>
        <v>0</v>
      </c>
      <c r="E72" s="18">
        <f>IF(F3="1",SUMIF(Data!A:A,'9'!$A$2,Data!ED:ED),0)</f>
        <v>0</v>
      </c>
      <c r="F72" s="22" t="str">
        <f t="shared" si="5"/>
        <v/>
      </c>
    </row>
    <row r="73" spans="1:6" x14ac:dyDescent="0.2">
      <c r="A73" s="20">
        <v>7</v>
      </c>
      <c r="B73" s="179" t="s">
        <v>6</v>
      </c>
      <c r="C73" s="180"/>
      <c r="D73" s="15">
        <f t="shared" si="4"/>
        <v>12896</v>
      </c>
      <c r="E73" s="18">
        <f>IF(F3="1",SUMIF(Data!A:A,'9'!$A$2,Data!EE:EE),0)</f>
        <v>155598</v>
      </c>
      <c r="F73" s="22">
        <f t="shared" si="5"/>
        <v>12.065601736972704</v>
      </c>
    </row>
    <row r="74" spans="1:6" x14ac:dyDescent="0.2">
      <c r="A74" s="20">
        <v>8</v>
      </c>
      <c r="B74" s="179" t="s">
        <v>7</v>
      </c>
      <c r="C74" s="180"/>
      <c r="D74" s="15">
        <f t="shared" si="4"/>
        <v>4512</v>
      </c>
      <c r="E74" s="18">
        <f>IF(F3="1",SUMIF(Data!A:A,'9'!$A$2,Data!EF:EF),0)</f>
        <v>13748</v>
      </c>
      <c r="F74" s="22">
        <f t="shared" si="5"/>
        <v>3.0469858156028371</v>
      </c>
    </row>
    <row r="75" spans="1:6" x14ac:dyDescent="0.2">
      <c r="A75" s="20">
        <v>9</v>
      </c>
      <c r="B75" s="179" t="s">
        <v>8</v>
      </c>
      <c r="C75" s="180"/>
      <c r="D75" s="15">
        <f t="shared" si="4"/>
        <v>94354</v>
      </c>
      <c r="E75" s="18">
        <f>IF(F3="1",SUMIF(Data!A:A,'9'!$A$2,Data!EG:EG),0)</f>
        <v>175847</v>
      </c>
      <c r="F75" s="22">
        <f t="shared" si="5"/>
        <v>1.8636941730080336</v>
      </c>
    </row>
    <row r="76" spans="1:6" x14ac:dyDescent="0.2">
      <c r="A76" s="20">
        <v>10</v>
      </c>
      <c r="B76" s="179" t="s">
        <v>9</v>
      </c>
      <c r="C76" s="180"/>
      <c r="D76" s="15">
        <f t="shared" si="4"/>
        <v>0</v>
      </c>
      <c r="E76" s="18">
        <f>IF(F3="1",SUMIF(Data!A:A,'9'!$A$2,Data!EH:EH),0)</f>
        <v>0</v>
      </c>
      <c r="F76" s="22" t="str">
        <f t="shared" si="5"/>
        <v/>
      </c>
    </row>
    <row r="77" spans="1:6" x14ac:dyDescent="0.2">
      <c r="A77" s="20">
        <v>11</v>
      </c>
      <c r="B77" s="179" t="s">
        <v>10</v>
      </c>
      <c r="C77" s="180"/>
      <c r="D77" s="15">
        <f t="shared" si="4"/>
        <v>15792</v>
      </c>
      <c r="E77" s="18">
        <f>IF(F3="1",SUMIF(Data!A:A,'9'!$A$2,Data!EI:EI),0)</f>
        <v>45369</v>
      </c>
      <c r="F77" s="22">
        <f t="shared" si="5"/>
        <v>2.8729103343465048</v>
      </c>
    </row>
    <row r="78" spans="1:6" ht="14.25" customHeight="1" x14ac:dyDescent="0.2">
      <c r="A78" s="20">
        <v>12</v>
      </c>
      <c r="B78" s="179" t="s">
        <v>11</v>
      </c>
      <c r="C78" s="180"/>
      <c r="D78" s="15">
        <f t="shared" si="4"/>
        <v>220032</v>
      </c>
      <c r="E78" s="18">
        <f>IF(F3="1",SUMIF(Data!A:A,'9'!$A$2,Data!EJ:EJ),0)</f>
        <v>606275</v>
      </c>
      <c r="F78" s="22">
        <f t="shared" si="5"/>
        <v>2.7553946698662011</v>
      </c>
    </row>
    <row r="79" spans="1:6" x14ac:dyDescent="0.2">
      <c r="A79" s="20">
        <v>13</v>
      </c>
      <c r="B79" s="179" t="s">
        <v>12</v>
      </c>
      <c r="C79" s="180"/>
      <c r="D79" s="15">
        <f t="shared" si="4"/>
        <v>25936</v>
      </c>
      <c r="E79" s="18">
        <f>IF(F3="1",SUMIF(Data!A:A,'9'!$A$2,Data!EK:EK),0)</f>
        <v>18341</v>
      </c>
      <c r="F79" s="22">
        <f t="shared" si="5"/>
        <v>0.70716378778531774</v>
      </c>
    </row>
    <row r="80" spans="1:6" ht="14.25" customHeight="1" x14ac:dyDescent="0.2">
      <c r="A80" s="20">
        <v>14</v>
      </c>
      <c r="B80" s="179" t="s">
        <v>804</v>
      </c>
      <c r="C80" s="180"/>
      <c r="D80" s="15">
        <f t="shared" si="4"/>
        <v>63152</v>
      </c>
      <c r="E80" s="18">
        <f>IF(F3="1",SUMIF(Data!A:A,'9'!$A$2,Data!EL:EL),0)</f>
        <v>205127</v>
      </c>
      <c r="F80" s="22">
        <f t="shared" si="5"/>
        <v>3.2481473270838612</v>
      </c>
    </row>
    <row r="81" spans="1:6" x14ac:dyDescent="0.2">
      <c r="A81" s="20">
        <v>15</v>
      </c>
      <c r="B81" s="179" t="s">
        <v>13</v>
      </c>
      <c r="C81" s="180"/>
      <c r="D81" s="15">
        <f t="shared" si="4"/>
        <v>0</v>
      </c>
      <c r="E81" s="18">
        <f>IF(F3="1",SUMIF(Data!A:A,'9'!$A$2,Data!EM:EM),0)</f>
        <v>0</v>
      </c>
      <c r="F81" s="22" t="str">
        <f t="shared" si="5"/>
        <v/>
      </c>
    </row>
    <row r="82" spans="1:6" x14ac:dyDescent="0.2">
      <c r="A82" s="20">
        <v>16</v>
      </c>
      <c r="B82" s="179" t="s">
        <v>14</v>
      </c>
      <c r="C82" s="180"/>
      <c r="D82" s="15">
        <f t="shared" si="4"/>
        <v>91008</v>
      </c>
      <c r="E82" s="18">
        <f>IF(F3="1",SUMIF(Data!A:A,'9'!$A$2,Data!EN:EN),0)</f>
        <v>142452</v>
      </c>
      <c r="F82" s="22">
        <f t="shared" si="5"/>
        <v>1.5652689873417722</v>
      </c>
    </row>
    <row r="83" spans="1:6" x14ac:dyDescent="0.2">
      <c r="A83" s="20">
        <v>17</v>
      </c>
      <c r="B83" s="179" t="s">
        <v>15</v>
      </c>
      <c r="C83" s="180"/>
      <c r="D83" s="15">
        <f t="shared" si="4"/>
        <v>18112</v>
      </c>
      <c r="E83" s="18">
        <f>IF(F3="1",SUMIF(Data!A:A,'9'!$A$2,Data!EO:EO),0)</f>
        <v>132146</v>
      </c>
      <c r="F83" s="22">
        <f t="shared" si="5"/>
        <v>7.2960468197879855</v>
      </c>
    </row>
    <row r="84" spans="1:6" x14ac:dyDescent="0.2">
      <c r="A84" s="20">
        <v>18</v>
      </c>
      <c r="B84" s="179" t="s">
        <v>16</v>
      </c>
      <c r="C84" s="180"/>
      <c r="D84" s="15">
        <f t="shared" si="4"/>
        <v>99200</v>
      </c>
      <c r="E84" s="18">
        <f>IF(F3="1",SUMIF(Data!A:A,'9'!$A$2,Data!EP:EP),0)</f>
        <v>360561</v>
      </c>
      <c r="F84" s="22">
        <f t="shared" si="5"/>
        <v>3.6346875000000001</v>
      </c>
    </row>
    <row r="85" spans="1:6" x14ac:dyDescent="0.2">
      <c r="A85" s="20">
        <v>19</v>
      </c>
      <c r="B85" s="179" t="s">
        <v>17</v>
      </c>
      <c r="C85" s="180"/>
      <c r="D85" s="15">
        <f t="shared" si="4"/>
        <v>142144</v>
      </c>
      <c r="E85" s="18">
        <f>IF(F3="1",SUMIF(Data!A:A,'9'!$A$2,Data!EQ:EQ),0)</f>
        <v>299278</v>
      </c>
      <c r="F85" s="22">
        <f t="shared" si="5"/>
        <v>2.1054564385411978</v>
      </c>
    </row>
    <row r="86" spans="1:6" x14ac:dyDescent="0.2">
      <c r="A86" s="20">
        <v>20</v>
      </c>
      <c r="B86" s="179" t="s">
        <v>18</v>
      </c>
      <c r="C86" s="180"/>
      <c r="D86" s="15">
        <f t="shared" si="4"/>
        <v>45600</v>
      </c>
      <c r="E86" s="18">
        <f>IF(F3="1",SUMIF(Data!A:A,'9'!$A$2,Data!ER:ER),0)</f>
        <v>132926</v>
      </c>
      <c r="F86" s="22">
        <f t="shared" si="5"/>
        <v>2.9150438596491228</v>
      </c>
    </row>
    <row r="87" spans="1:6" ht="14.25" customHeight="1" x14ac:dyDescent="0.2">
      <c r="A87" s="20">
        <v>21</v>
      </c>
      <c r="B87" s="179" t="s">
        <v>801</v>
      </c>
      <c r="C87" s="180"/>
      <c r="D87" s="15">
        <f t="shared" si="4"/>
        <v>0</v>
      </c>
      <c r="E87" s="18">
        <f>IF(F3="1",SUMIF(Data!A:A,'9'!$A$2,Data!ES:ES),0)</f>
        <v>0</v>
      </c>
      <c r="F87" s="22" t="str">
        <f t="shared" si="5"/>
        <v/>
      </c>
    </row>
    <row r="88" spans="1:6" x14ac:dyDescent="0.2">
      <c r="A88" s="20">
        <v>22</v>
      </c>
      <c r="B88" s="179" t="s">
        <v>19</v>
      </c>
      <c r="C88" s="180"/>
      <c r="D88" s="15">
        <f t="shared" si="4"/>
        <v>2448</v>
      </c>
      <c r="E88" s="18">
        <f>IF(F3="1",SUMIF(Data!A:A,'9'!$A$2,Data!ET:ET),0)</f>
        <v>6874</v>
      </c>
      <c r="F88" s="22">
        <f t="shared" si="5"/>
        <v>2.8080065359477122</v>
      </c>
    </row>
    <row r="89" spans="1:6" x14ac:dyDescent="0.2">
      <c r="A89" s="20">
        <v>23</v>
      </c>
      <c r="B89" s="179" t="s">
        <v>20</v>
      </c>
      <c r="C89" s="180"/>
      <c r="D89" s="15">
        <f t="shared" si="4"/>
        <v>71088</v>
      </c>
      <c r="E89" s="18">
        <f>IF(F3="1",SUMIF(Data!A:A,'9'!$A$2,Data!EU:EU),0)</f>
        <v>567105</v>
      </c>
      <c r="F89" s="22">
        <f t="shared" si="5"/>
        <v>7.9775067521944631</v>
      </c>
    </row>
    <row r="90" spans="1:6" x14ac:dyDescent="0.2">
      <c r="A90" s="20">
        <v>24</v>
      </c>
      <c r="B90" s="179" t="s">
        <v>21</v>
      </c>
      <c r="C90" s="180"/>
      <c r="D90" s="15">
        <f t="shared" si="4"/>
        <v>47328</v>
      </c>
      <c r="E90" s="18">
        <f>IF(F3="1",SUMIF(Data!A:A,'9'!$A$2,Data!EV:EV),0)</f>
        <v>136461</v>
      </c>
      <c r="F90" s="22">
        <f t="shared" si="5"/>
        <v>2.8833037525354968</v>
      </c>
    </row>
    <row r="91" spans="1:6" x14ac:dyDescent="0.2">
      <c r="A91" s="20">
        <v>25</v>
      </c>
      <c r="B91" s="179" t="s">
        <v>22</v>
      </c>
      <c r="C91" s="180"/>
      <c r="D91" s="15">
        <f t="shared" si="4"/>
        <v>362640</v>
      </c>
      <c r="E91" s="18">
        <f>IF(F3="1",SUMIF(Data!A:A,'9'!$A$2,Data!EW:EW),0)</f>
        <v>748653</v>
      </c>
      <c r="F91" s="22">
        <f t="shared" si="5"/>
        <v>2.0644523494374587</v>
      </c>
    </row>
    <row r="92" spans="1:6" x14ac:dyDescent="0.2">
      <c r="A92" s="20">
        <v>26</v>
      </c>
      <c r="B92" s="179" t="s">
        <v>23</v>
      </c>
      <c r="C92" s="180"/>
      <c r="D92" s="15">
        <f t="shared" si="4"/>
        <v>98784</v>
      </c>
      <c r="E92" s="18">
        <f>IF(F3="1",SUMIF(Data!A:A,'9'!$A$2,Data!EX:EX),0)</f>
        <v>249101</v>
      </c>
      <c r="F92" s="22">
        <f t="shared" si="5"/>
        <v>2.52167355037253</v>
      </c>
    </row>
    <row r="93" spans="1:6" x14ac:dyDescent="0.2">
      <c r="A93" s="20">
        <v>28</v>
      </c>
      <c r="B93" s="179" t="s">
        <v>24</v>
      </c>
      <c r="C93" s="180"/>
      <c r="D93" s="15">
        <f t="shared" si="4"/>
        <v>90928</v>
      </c>
      <c r="E93" s="18">
        <f>IF(F3="1",SUMIF(Data!A:A,'9'!$A$2,Data!EZ:EZ),0)</f>
        <v>205661</v>
      </c>
      <c r="F93" s="22">
        <f t="shared" si="5"/>
        <v>2.2618005454865386</v>
      </c>
    </row>
    <row r="94" spans="1:6" ht="15.75" customHeight="1" thickBot="1" x14ac:dyDescent="0.25">
      <c r="A94" s="23">
        <v>29</v>
      </c>
      <c r="B94" s="181" t="s">
        <v>25</v>
      </c>
      <c r="C94" s="182"/>
      <c r="D94" s="24">
        <f t="shared" si="4"/>
        <v>51516</v>
      </c>
      <c r="E94" s="25">
        <f>IF(F3="1",SUMIF(Data!A:A,'9'!$A$2,Data!FA:FA),0)</f>
        <v>132354</v>
      </c>
      <c r="F94" s="26">
        <f t="shared" si="5"/>
        <v>2.5691823899371071</v>
      </c>
    </row>
    <row r="95" spans="1:6" x14ac:dyDescent="0.2">
      <c r="B95" s="31" t="s">
        <v>35</v>
      </c>
      <c r="C95" s="31"/>
      <c r="D95" s="61">
        <f>SUM(D67:D94)</f>
        <v>2001614</v>
      </c>
      <c r="E95" s="32">
        <f>SUM(E67:E94)</f>
        <v>5204083</v>
      </c>
      <c r="F95" s="33">
        <f t="shared" si="5"/>
        <v>2.5999433457200039</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IF(F3="1",SUMIF(Data!A:A,'9'!$A$2,Data!AH:AH),0)</f>
        <v>2243359</v>
      </c>
      <c r="F98" s="21">
        <f t="shared" ref="F98:F105" si="6">IFERROR(E98/$D$95,0)</f>
        <v>1.1207750345471206</v>
      </c>
    </row>
    <row r="99" spans="2:6" x14ac:dyDescent="0.2">
      <c r="B99" s="185" t="s">
        <v>31</v>
      </c>
      <c r="C99" s="186"/>
      <c r="D99" s="37"/>
      <c r="E99" s="18">
        <f>IF(F3="1",SUMIF(Data!A:A,'9'!$A$2,Data!AI:AI),0)</f>
        <v>1184922</v>
      </c>
      <c r="F99" s="22">
        <f t="shared" si="6"/>
        <v>0.59198326950151225</v>
      </c>
    </row>
    <row r="100" spans="2:6" x14ac:dyDescent="0.2">
      <c r="B100" s="185" t="s">
        <v>32</v>
      </c>
      <c r="C100" s="186"/>
      <c r="D100" s="37"/>
      <c r="E100" s="18">
        <f>IF(F3="1",SUMIF(Data!A:A,'9'!$A$2,Data!AJ:AJ),0)</f>
        <v>880246</v>
      </c>
      <c r="F100" s="22">
        <f t="shared" si="6"/>
        <v>0.43976810713754</v>
      </c>
    </row>
    <row r="101" spans="2:6" x14ac:dyDescent="0.2">
      <c r="B101" s="185" t="s">
        <v>28</v>
      </c>
      <c r="C101" s="186"/>
      <c r="D101" s="37"/>
      <c r="E101" s="18">
        <f>IF(F3="1",SUMIF(Data!A:A,'9'!$A$2,Data!AK:AK),0)</f>
        <v>0</v>
      </c>
      <c r="F101" s="22">
        <f t="shared" si="6"/>
        <v>0</v>
      </c>
    </row>
    <row r="102" spans="2:6" x14ac:dyDescent="0.2">
      <c r="B102" s="185" t="s">
        <v>33</v>
      </c>
      <c r="C102" s="186"/>
      <c r="D102" s="37"/>
      <c r="E102" s="18">
        <f>IF(F3="1",SUMIF(Data!A:A,'9'!$A$2,Data!AL:AL),0)</f>
        <v>0</v>
      </c>
      <c r="F102" s="22">
        <f t="shared" si="6"/>
        <v>0</v>
      </c>
    </row>
    <row r="103" spans="2:6" x14ac:dyDescent="0.2">
      <c r="B103" s="187" t="s">
        <v>34</v>
      </c>
      <c r="C103" s="188"/>
      <c r="D103" s="37"/>
      <c r="E103" s="18">
        <f>IF(F3="1",SUMIF(Data!A:A,'9'!$A$2,Data!AM:AM),0)</f>
        <v>300937</v>
      </c>
      <c r="F103" s="22">
        <f t="shared" si="6"/>
        <v>0.150347169833944</v>
      </c>
    </row>
    <row r="104" spans="2:6" ht="15.75" customHeight="1" thickBot="1" x14ac:dyDescent="0.25">
      <c r="B104" s="177" t="s">
        <v>29</v>
      </c>
      <c r="C104" s="178"/>
      <c r="D104" s="38"/>
      <c r="E104" s="25">
        <f>IF(F3="1",SUMIF(Data!A:A,'9'!$A$2,Data!Q:Q),0)</f>
        <v>364177</v>
      </c>
      <c r="F104" s="26">
        <f t="shared" si="6"/>
        <v>0.18194167306983264</v>
      </c>
    </row>
    <row r="105" spans="2:6" x14ac:dyDescent="0.2">
      <c r="B105" s="31" t="s">
        <v>35</v>
      </c>
      <c r="C105" s="31"/>
      <c r="D105" s="35">
        <f>D95</f>
        <v>2001614</v>
      </c>
      <c r="E105" s="32">
        <f>SUM(E98:E104)</f>
        <v>4973641</v>
      </c>
      <c r="F105" s="33">
        <f t="shared" si="6"/>
        <v>2.4848152540899493</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5229563</v>
      </c>
      <c r="D109" s="16">
        <f>IF(F3="1",SUMIF(Data!$A:$A,$A$2,Data!HJ:HJ),0)</f>
        <v>380076</v>
      </c>
      <c r="E109" s="16">
        <f>IF(F3="1",SUMIF(Data!$A:$A,$A$2,Data!IN:IN),0)</f>
        <v>274644</v>
      </c>
      <c r="F109" s="48">
        <f>SUM(C109:E109)</f>
        <v>5884283</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0</v>
      </c>
      <c r="D111" s="52"/>
      <c r="E111" s="51">
        <f>IF(F3="1",SUMIF(Data!A:A,$A$2,Data!AX:AX),0)</f>
        <v>250</v>
      </c>
      <c r="F111" s="49">
        <f t="shared" si="7"/>
        <v>250</v>
      </c>
    </row>
    <row r="112" spans="2:6" x14ac:dyDescent="0.2">
      <c r="B112" s="43" t="s">
        <v>32</v>
      </c>
      <c r="C112" s="51">
        <f>IF(F3="1",SUMIF(Data!A:A,$A$2,Data!V:V),0)</f>
        <v>689601</v>
      </c>
      <c r="D112" s="52"/>
      <c r="E112" s="51">
        <f>IF(F3="1",SUMIF(Data!A:A,$A$2,Data!AC:AC),0)</f>
        <v>190645</v>
      </c>
      <c r="F112" s="49">
        <f t="shared" si="7"/>
        <v>880246</v>
      </c>
    </row>
    <row r="113" spans="1:6" x14ac:dyDescent="0.2">
      <c r="B113" s="43" t="s">
        <v>31</v>
      </c>
      <c r="C113" s="51">
        <f>IF(F3="1",SUMIF(Data!A:A,$A$2,Data!U:U),0)</f>
        <v>939191</v>
      </c>
      <c r="D113" s="52"/>
      <c r="E113" s="51">
        <f>IF(F3="1",SUMIF(Data!A:A,$A$2,Data!AB:AB),0)</f>
        <v>245731</v>
      </c>
      <c r="F113" s="49">
        <f t="shared" si="7"/>
        <v>1184922</v>
      </c>
    </row>
    <row r="114" spans="1:6" x14ac:dyDescent="0.2">
      <c r="B114" s="43" t="s">
        <v>1363</v>
      </c>
      <c r="C114" s="51">
        <f>IF(F3="1",SUMIF(Data!A:A,$A$2,Data!T:T),0)</f>
        <v>1064703</v>
      </c>
      <c r="D114" s="52"/>
      <c r="E114" s="51">
        <f>IF(F3="1",SUMIF(Data!A:A,$A$2,Data!AA:AA),0)</f>
        <v>1178656</v>
      </c>
      <c r="F114" s="49">
        <f t="shared" si="7"/>
        <v>2243359</v>
      </c>
    </row>
    <row r="115" spans="1:6" x14ac:dyDescent="0.2">
      <c r="B115" s="43" t="s">
        <v>1278</v>
      </c>
      <c r="C115" s="51">
        <f>IF(F3="1",SUMIF(Data!A:A,$A$2,Data!BI:BI),0)</f>
        <v>424825</v>
      </c>
      <c r="D115" s="51">
        <f>IF(F3="1",SUMIF(Data!A:A,$A$2,Data!BL:BL),0)</f>
        <v>29609</v>
      </c>
      <c r="E115" s="51">
        <f>IF(F3="1",SUMIF(Data!A:A,$A$2,Data!BU:BU),0)</f>
        <v>1402434</v>
      </c>
      <c r="F115" s="49">
        <f t="shared" si="7"/>
        <v>1856868</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364177</v>
      </c>
      <c r="E117" s="53"/>
      <c r="F117" s="50">
        <f>SUM(C117:E117)</f>
        <v>364177</v>
      </c>
    </row>
    <row r="118" spans="1:6" x14ac:dyDescent="0.2">
      <c r="B118" s="14" t="s">
        <v>35</v>
      </c>
      <c r="C118" s="5">
        <f>SUM(C109:C116)</f>
        <v>8347883</v>
      </c>
      <c r="D118" s="5">
        <f>SUM(D109:D116)</f>
        <v>409685</v>
      </c>
      <c r="E118" s="5">
        <f>SUM(E109:E116)</f>
        <v>3292360</v>
      </c>
      <c r="F118" s="5">
        <f>SUM(F109:F116)</f>
        <v>12049928</v>
      </c>
    </row>
    <row r="119" spans="1:6" ht="15" thickBot="1" x14ac:dyDescent="0.25"/>
    <row r="120" spans="1:6" ht="15" thickBot="1" x14ac:dyDescent="0.25">
      <c r="B120" s="57" t="s">
        <v>1283</v>
      </c>
      <c r="C120" s="55"/>
      <c r="D120" s="55"/>
      <c r="E120" s="55">
        <f>IF(F3="1",SUMIF(Data!A:A,'9'!$A$2,Data!AM:AM),0)</f>
        <v>300937</v>
      </c>
      <c r="F120" s="56">
        <f>SUM(C120:E120)</f>
        <v>300937</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28515625" style="11" bestFit="1" customWidth="1"/>
    <col min="12" max="12" width="12.42578125" style="11" bestFit="1" customWidth="1"/>
    <col min="13" max="13" width="10.285156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392</v>
      </c>
      <c r="B2" s="60" t="str">
        <f>VLOOKUP(A2,Data!A:G,7,0)</f>
        <v>Clarendon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40384</v>
      </c>
      <c r="E5" s="16">
        <f>E36+E67+IFERROR($E$105/$D$105*D5,0)</f>
        <v>311876.98354443937</v>
      </c>
      <c r="F5" s="21">
        <f>IFERROR(E5/D5,"")</f>
        <v>7.7227858445037478</v>
      </c>
    </row>
    <row r="6" spans="1:6" x14ac:dyDescent="0.2">
      <c r="A6" s="20">
        <v>2</v>
      </c>
      <c r="B6" s="179" t="s">
        <v>1</v>
      </c>
      <c r="C6" s="180"/>
      <c r="D6" s="15">
        <f t="shared" ref="D6:D32" si="0">D37</f>
        <v>27452</v>
      </c>
      <c r="E6" s="18">
        <f t="shared" ref="E6:E32" si="1">E37+E68+IFERROR($E$105/$D$105*D6,0)</f>
        <v>162139.93859602688</v>
      </c>
      <c r="F6" s="22">
        <f t="shared" ref="F6:F33" si="2">IFERROR(E6/D6,"")</f>
        <v>5.9063069574539879</v>
      </c>
    </row>
    <row r="7" spans="1:6" ht="14.25" customHeight="1" x14ac:dyDescent="0.2">
      <c r="A7" s="20">
        <v>3</v>
      </c>
      <c r="B7" s="179" t="s">
        <v>2</v>
      </c>
      <c r="C7" s="180"/>
      <c r="D7" s="15">
        <f t="shared" si="0"/>
        <v>86704</v>
      </c>
      <c r="E7" s="18">
        <f t="shared" si="1"/>
        <v>435598.54509798612</v>
      </c>
      <c r="F7" s="22">
        <f t="shared" si="2"/>
        <v>5.0239728858874573</v>
      </c>
    </row>
    <row r="8" spans="1:6" ht="14.25" customHeight="1" x14ac:dyDescent="0.2">
      <c r="A8" s="20">
        <v>4</v>
      </c>
      <c r="B8" s="179" t="s">
        <v>3</v>
      </c>
      <c r="C8" s="180"/>
      <c r="D8" s="15">
        <f t="shared" si="0"/>
        <v>26732</v>
      </c>
      <c r="E8" s="18">
        <f t="shared" si="1"/>
        <v>209867.44800193032</v>
      </c>
      <c r="F8" s="22">
        <f t="shared" si="2"/>
        <v>7.8507948526833129</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0</v>
      </c>
      <c r="E10" s="18">
        <f t="shared" si="1"/>
        <v>0</v>
      </c>
      <c r="F10" s="22" t="str">
        <f t="shared" si="2"/>
        <v/>
      </c>
    </row>
    <row r="11" spans="1:6" x14ac:dyDescent="0.2">
      <c r="A11" s="20">
        <v>7</v>
      </c>
      <c r="B11" s="179" t="s">
        <v>6</v>
      </c>
      <c r="C11" s="180"/>
      <c r="D11" s="15">
        <f t="shared" si="0"/>
        <v>23024</v>
      </c>
      <c r="E11" s="18">
        <f t="shared" si="1"/>
        <v>125494.8214423329</v>
      </c>
      <c r="F11" s="22">
        <f t="shared" si="2"/>
        <v>5.4506089924571279</v>
      </c>
    </row>
    <row r="12" spans="1:6" x14ac:dyDescent="0.2">
      <c r="A12" s="20">
        <v>8</v>
      </c>
      <c r="B12" s="179" t="s">
        <v>7</v>
      </c>
      <c r="C12" s="180"/>
      <c r="D12" s="15">
        <f t="shared" si="0"/>
        <v>0</v>
      </c>
      <c r="E12" s="18">
        <f t="shared" si="1"/>
        <v>0</v>
      </c>
      <c r="F12" s="22" t="str">
        <f t="shared" si="2"/>
        <v/>
      </c>
    </row>
    <row r="13" spans="1:6" x14ac:dyDescent="0.2">
      <c r="A13" s="20">
        <v>9</v>
      </c>
      <c r="B13" s="179" t="s">
        <v>8</v>
      </c>
      <c r="C13" s="180"/>
      <c r="D13" s="15">
        <f t="shared" si="0"/>
        <v>49280</v>
      </c>
      <c r="E13" s="18">
        <f t="shared" si="1"/>
        <v>234352.91177372157</v>
      </c>
      <c r="F13" s="22">
        <f t="shared" si="2"/>
        <v>4.7555379824212984</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42840</v>
      </c>
      <c r="E15" s="18">
        <f t="shared" si="1"/>
        <v>297623.1903487466</v>
      </c>
      <c r="F15" s="22">
        <f t="shared" si="2"/>
        <v>6.9473200361518819</v>
      </c>
    </row>
    <row r="16" spans="1:6" ht="14.25" customHeight="1" x14ac:dyDescent="0.2">
      <c r="A16" s="20">
        <v>12</v>
      </c>
      <c r="B16" s="179" t="s">
        <v>11</v>
      </c>
      <c r="C16" s="180"/>
      <c r="D16" s="15">
        <f t="shared" si="0"/>
        <v>81936</v>
      </c>
      <c r="E16" s="18">
        <f t="shared" si="1"/>
        <v>413353.02960819099</v>
      </c>
      <c r="F16" s="22">
        <f t="shared" si="2"/>
        <v>5.044828031734415</v>
      </c>
    </row>
    <row r="17" spans="1:6" x14ac:dyDescent="0.2">
      <c r="A17" s="20">
        <v>13</v>
      </c>
      <c r="B17" s="179" t="s">
        <v>12</v>
      </c>
      <c r="C17" s="180"/>
      <c r="D17" s="15">
        <f t="shared" si="0"/>
        <v>11472</v>
      </c>
      <c r="E17" s="18">
        <f t="shared" si="1"/>
        <v>48065.216799272195</v>
      </c>
      <c r="F17" s="22">
        <f t="shared" si="2"/>
        <v>4.1897852858500864</v>
      </c>
    </row>
    <row r="18" spans="1:6" ht="14.25" customHeight="1" x14ac:dyDescent="0.2">
      <c r="A18" s="20">
        <v>14</v>
      </c>
      <c r="B18" s="179" t="s">
        <v>804</v>
      </c>
      <c r="C18" s="180"/>
      <c r="D18" s="15">
        <f t="shared" si="0"/>
        <v>0</v>
      </c>
      <c r="E18" s="18">
        <f t="shared" si="1"/>
        <v>0</v>
      </c>
      <c r="F18" s="22" t="str">
        <f t="shared" si="2"/>
        <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9532</v>
      </c>
      <c r="E20" s="18">
        <f t="shared" si="1"/>
        <v>53780.061587400851</v>
      </c>
      <c r="F20" s="22">
        <f t="shared" si="2"/>
        <v>5.6420542999791072</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96224</v>
      </c>
      <c r="E22" s="18">
        <f t="shared" si="1"/>
        <v>577067.69850881863</v>
      </c>
      <c r="F22" s="22">
        <f t="shared" si="2"/>
        <v>5.9971285594947066</v>
      </c>
    </row>
    <row r="23" spans="1:6" x14ac:dyDescent="0.2">
      <c r="A23" s="20">
        <v>19</v>
      </c>
      <c r="B23" s="179" t="s">
        <v>17</v>
      </c>
      <c r="C23" s="180"/>
      <c r="D23" s="15">
        <f t="shared" si="0"/>
        <v>33632</v>
      </c>
      <c r="E23" s="18">
        <f t="shared" si="1"/>
        <v>250288.64952868922</v>
      </c>
      <c r="F23" s="22">
        <f t="shared" si="2"/>
        <v>7.4419793508768199</v>
      </c>
    </row>
    <row r="24" spans="1:6" x14ac:dyDescent="0.2">
      <c r="A24" s="20">
        <v>20</v>
      </c>
      <c r="B24" s="179" t="s">
        <v>18</v>
      </c>
      <c r="C24" s="180"/>
      <c r="D24" s="15">
        <f t="shared" si="0"/>
        <v>0</v>
      </c>
      <c r="E24" s="18">
        <f t="shared" si="1"/>
        <v>0</v>
      </c>
      <c r="F24" s="22" t="str">
        <f t="shared" si="2"/>
        <v/>
      </c>
    </row>
    <row r="25" spans="1:6" ht="14.25" customHeight="1" x14ac:dyDescent="0.2">
      <c r="A25" s="20">
        <v>21</v>
      </c>
      <c r="B25" s="179" t="s">
        <v>801</v>
      </c>
      <c r="C25" s="180"/>
      <c r="D25" s="15">
        <f t="shared" si="0"/>
        <v>0</v>
      </c>
      <c r="E25" s="18">
        <f t="shared" si="1"/>
        <v>0</v>
      </c>
      <c r="F25" s="22" t="str">
        <f t="shared" si="2"/>
        <v/>
      </c>
    </row>
    <row r="26" spans="1:6" x14ac:dyDescent="0.2">
      <c r="A26" s="20">
        <v>22</v>
      </c>
      <c r="B26" s="179" t="s">
        <v>19</v>
      </c>
      <c r="C26" s="180"/>
      <c r="D26" s="15">
        <f t="shared" si="0"/>
        <v>1030</v>
      </c>
      <c r="E26" s="18">
        <f t="shared" si="1"/>
        <v>4132.6184887770542</v>
      </c>
      <c r="F26" s="22">
        <f t="shared" si="2"/>
        <v>4.0122509599777221</v>
      </c>
    </row>
    <row r="27" spans="1:6" x14ac:dyDescent="0.2">
      <c r="A27" s="20">
        <v>23</v>
      </c>
      <c r="B27" s="179" t="s">
        <v>20</v>
      </c>
      <c r="C27" s="180"/>
      <c r="D27" s="15">
        <f t="shared" si="0"/>
        <v>49280</v>
      </c>
      <c r="E27" s="18">
        <f t="shared" si="1"/>
        <v>446673.91177372157</v>
      </c>
      <c r="F27" s="22">
        <f t="shared" si="2"/>
        <v>9.0639998330706479</v>
      </c>
    </row>
    <row r="28" spans="1:6" x14ac:dyDescent="0.2">
      <c r="A28" s="20">
        <v>24</v>
      </c>
      <c r="B28" s="179" t="s">
        <v>21</v>
      </c>
      <c r="C28" s="180"/>
      <c r="D28" s="15">
        <f t="shared" si="0"/>
        <v>21171</v>
      </c>
      <c r="E28" s="18">
        <f t="shared" si="1"/>
        <v>98174.250510581565</v>
      </c>
      <c r="F28" s="22">
        <f t="shared" si="2"/>
        <v>4.6372042185339177</v>
      </c>
    </row>
    <row r="29" spans="1:6" x14ac:dyDescent="0.2">
      <c r="A29" s="20">
        <v>25</v>
      </c>
      <c r="B29" s="179" t="s">
        <v>22</v>
      </c>
      <c r="C29" s="180"/>
      <c r="D29" s="15">
        <f t="shared" si="0"/>
        <v>122816</v>
      </c>
      <c r="E29" s="18">
        <f t="shared" si="1"/>
        <v>592056.21778411907</v>
      </c>
      <c r="F29" s="22">
        <f t="shared" si="2"/>
        <v>4.8206766038962279</v>
      </c>
    </row>
    <row r="30" spans="1:6" x14ac:dyDescent="0.2">
      <c r="A30" s="20">
        <v>26</v>
      </c>
      <c r="B30" s="179" t="s">
        <v>23</v>
      </c>
      <c r="C30" s="180"/>
      <c r="D30" s="15">
        <f t="shared" si="0"/>
        <v>35520</v>
      </c>
      <c r="E30" s="18">
        <f t="shared" si="1"/>
        <v>163638.20264209801</v>
      </c>
      <c r="F30" s="22">
        <f t="shared" si="2"/>
        <v>4.6069313806896961</v>
      </c>
    </row>
    <row r="31" spans="1:6" x14ac:dyDescent="0.2">
      <c r="A31" s="20">
        <v>28</v>
      </c>
      <c r="B31" s="179" t="s">
        <v>24</v>
      </c>
      <c r="C31" s="180"/>
      <c r="D31" s="15">
        <f t="shared" si="0"/>
        <v>33440</v>
      </c>
      <c r="E31" s="18">
        <f t="shared" si="1"/>
        <v>119993.11870359677</v>
      </c>
      <c r="F31" s="22">
        <f t="shared" si="2"/>
        <v>3.5883109660166501</v>
      </c>
    </row>
    <row r="32" spans="1:6" ht="15.75" customHeight="1" thickBot="1" x14ac:dyDescent="0.25">
      <c r="A32" s="23">
        <v>29</v>
      </c>
      <c r="B32" s="181" t="s">
        <v>25</v>
      </c>
      <c r="C32" s="182"/>
      <c r="D32" s="24">
        <f t="shared" si="0"/>
        <v>19840</v>
      </c>
      <c r="E32" s="25">
        <f t="shared" si="1"/>
        <v>109000.18525955024</v>
      </c>
      <c r="F32" s="26">
        <f t="shared" si="2"/>
        <v>5.4939609505821698</v>
      </c>
    </row>
    <row r="33" spans="1:6" x14ac:dyDescent="0.2">
      <c r="B33" s="31" t="s">
        <v>35</v>
      </c>
      <c r="C33" s="31"/>
      <c r="D33" s="61">
        <f>SUM(D5:D32)</f>
        <v>812309</v>
      </c>
      <c r="E33" s="32">
        <f>SUM(E5:E32)</f>
        <v>4653177</v>
      </c>
      <c r="F33" s="33">
        <f t="shared" si="2"/>
        <v>5.7283336759779839</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IF(F3="1",SUMIF(Data!A:A,'10'!$A$2,Data!CU:CU),0)</f>
        <v>40384</v>
      </c>
      <c r="E36" s="16">
        <f>IF(F3="1",SUMIF(Data!$A:$A,'10'!$A$2,Data!IO:IO),0)</f>
        <v>38560</v>
      </c>
      <c r="F36" s="21">
        <f t="shared" ref="F36:F64" si="3">IFERROR(E36/D36,"")</f>
        <v>0.95483359746434227</v>
      </c>
    </row>
    <row r="37" spans="1:6" x14ac:dyDescent="0.2">
      <c r="A37" s="20">
        <v>2</v>
      </c>
      <c r="B37" s="179" t="s">
        <v>1</v>
      </c>
      <c r="C37" s="180"/>
      <c r="D37" s="15">
        <f>IF(F3="1",SUMIF(Data!A:A,'10'!$A$2,Data!CV:CV),0)</f>
        <v>27452</v>
      </c>
      <c r="E37" s="18">
        <f>IF(F3="1",SUMIF(Data!$A:$A,'10'!$A$2,Data!IP:IP),0)</f>
        <v>20054</v>
      </c>
      <c r="F37" s="22">
        <f t="shared" si="3"/>
        <v>0.73051143814658315</v>
      </c>
    </row>
    <row r="38" spans="1:6" ht="14.25" customHeight="1" x14ac:dyDescent="0.2">
      <c r="A38" s="20">
        <v>3</v>
      </c>
      <c r="B38" s="179" t="s">
        <v>2</v>
      </c>
      <c r="C38" s="180"/>
      <c r="D38" s="15">
        <f>IF(F3="1",SUMIF(Data!A:A,'10'!$A$2,Data!CW:CW),0)</f>
        <v>86704</v>
      </c>
      <c r="E38" s="18">
        <f>IF(F3="1",SUMIF(Data!$A:$A,'10'!$A$2,Data!IQ:IQ),0)</f>
        <v>8787</v>
      </c>
      <c r="F38" s="22">
        <f t="shared" si="3"/>
        <v>0.10134480531463369</v>
      </c>
    </row>
    <row r="39" spans="1:6" ht="14.25" customHeight="1" x14ac:dyDescent="0.2">
      <c r="A39" s="20">
        <v>4</v>
      </c>
      <c r="B39" s="179" t="s">
        <v>3</v>
      </c>
      <c r="C39" s="180"/>
      <c r="D39" s="15">
        <f>IF(F3="1",SUMIF(Data!A:A,'10'!$A$2,Data!CX:CX),0)</f>
        <v>26732</v>
      </c>
      <c r="E39" s="18">
        <f>IF(F3="1",SUMIF(Data!$A:$A,'10'!$A$2,Data!IR:IR),0)</f>
        <v>712</v>
      </c>
      <c r="F39" s="22">
        <f t="shared" si="3"/>
        <v>2.6634744875056113E-2</v>
      </c>
    </row>
    <row r="40" spans="1:6" x14ac:dyDescent="0.2">
      <c r="A40" s="20">
        <v>5</v>
      </c>
      <c r="B40" s="179" t="s">
        <v>4</v>
      </c>
      <c r="C40" s="180"/>
      <c r="D40" s="15">
        <f>IF(F3="1",SUMIF(Data!A:A,'10'!$A$2,Data!CY:CY),0)</f>
        <v>0</v>
      </c>
      <c r="E40" s="18">
        <f>IF(F3="1",SUMIF(Data!$A:$A,'10'!$A$2,Data!IS:IS),0)</f>
        <v>0</v>
      </c>
      <c r="F40" s="22" t="str">
        <f t="shared" si="3"/>
        <v/>
      </c>
    </row>
    <row r="41" spans="1:6" x14ac:dyDescent="0.2">
      <c r="A41" s="20">
        <v>6</v>
      </c>
      <c r="B41" s="179" t="s">
        <v>5</v>
      </c>
      <c r="C41" s="180"/>
      <c r="D41" s="15">
        <f>IF(F3="1",SUMIF(Data!A:A,'10'!$A$2,Data!CZ:CZ),0)</f>
        <v>0</v>
      </c>
      <c r="E41" s="18">
        <f>IF(F3="1",SUMIF(Data!$A:$A,'10'!$A$2,Data!IT:IT),0)</f>
        <v>0</v>
      </c>
      <c r="F41" s="22" t="str">
        <f t="shared" si="3"/>
        <v/>
      </c>
    </row>
    <row r="42" spans="1:6" x14ac:dyDescent="0.2">
      <c r="A42" s="20">
        <v>7</v>
      </c>
      <c r="B42" s="179" t="s">
        <v>6</v>
      </c>
      <c r="C42" s="180"/>
      <c r="D42" s="15">
        <f>IF(F3="1",SUMIF(Data!A:A,'10'!$A$2,Data!DA:DA),0)</f>
        <v>23024</v>
      </c>
      <c r="E42" s="18">
        <f>IF(F3="1",SUMIF(Data!$A:$A,'10'!$A$2,Data!IU:IU),0)</f>
        <v>2965</v>
      </c>
      <c r="F42" s="22">
        <f t="shared" si="3"/>
        <v>0.1287786657400973</v>
      </c>
    </row>
    <row r="43" spans="1:6" x14ac:dyDescent="0.2">
      <c r="A43" s="20">
        <v>8</v>
      </c>
      <c r="B43" s="179" t="s">
        <v>7</v>
      </c>
      <c r="C43" s="180"/>
      <c r="D43" s="15">
        <f>IF(F3="1",SUMIF(Data!A:A,'10'!$A$2,Data!DB:DB),0)</f>
        <v>0</v>
      </c>
      <c r="E43" s="18">
        <f>IF(F3="1",SUMIF(Data!$A:$A,'10'!$A$2,Data!IV:IV),0)</f>
        <v>0</v>
      </c>
      <c r="F43" s="22" t="str">
        <f t="shared" si="3"/>
        <v/>
      </c>
    </row>
    <row r="44" spans="1:6" x14ac:dyDescent="0.2">
      <c r="A44" s="20">
        <v>9</v>
      </c>
      <c r="B44" s="179" t="s">
        <v>8</v>
      </c>
      <c r="C44" s="180"/>
      <c r="D44" s="15">
        <f>IF(F3="1",SUMIF(Data!A:A,'10'!$A$2,Data!DC:DC),0)</f>
        <v>49280</v>
      </c>
      <c r="E44" s="18">
        <f>IF(F3="1",SUMIF(Data!$A:$A,'10'!$A$2,Data!IW:IW),0)</f>
        <v>24043</v>
      </c>
      <c r="F44" s="22">
        <f t="shared" si="3"/>
        <v>0.48788555194805194</v>
      </c>
    </row>
    <row r="45" spans="1:6" x14ac:dyDescent="0.2">
      <c r="A45" s="20">
        <v>10</v>
      </c>
      <c r="B45" s="179" t="s">
        <v>9</v>
      </c>
      <c r="C45" s="180"/>
      <c r="D45" s="15">
        <f>IF(F3="1",SUMIF(Data!A:A,'10'!$A$2,Data!DD:DD),0)</f>
        <v>0</v>
      </c>
      <c r="E45" s="18">
        <f>IF(F3="1",SUMIF(Data!$A:$A,'10'!$A$2,Data!IX:IX),0)</f>
        <v>0</v>
      </c>
      <c r="F45" s="22" t="str">
        <f t="shared" si="3"/>
        <v/>
      </c>
    </row>
    <row r="46" spans="1:6" x14ac:dyDescent="0.2">
      <c r="A46" s="20">
        <v>11</v>
      </c>
      <c r="B46" s="179" t="s">
        <v>10</v>
      </c>
      <c r="C46" s="180"/>
      <c r="D46" s="15">
        <f>IF(F3="1",SUMIF(Data!A:A,'10'!$A$2,Data!DE:DE),0)</f>
        <v>42840</v>
      </c>
      <c r="E46" s="18">
        <f>IF(F3="1",SUMIF(Data!$A:$A,'10'!$A$2,Data!IY:IY),0)</f>
        <v>10440</v>
      </c>
      <c r="F46" s="22">
        <f t="shared" si="3"/>
        <v>0.24369747899159663</v>
      </c>
    </row>
    <row r="47" spans="1:6" ht="14.25" customHeight="1" x14ac:dyDescent="0.2">
      <c r="A47" s="20">
        <v>12</v>
      </c>
      <c r="B47" s="179" t="s">
        <v>11</v>
      </c>
      <c r="C47" s="180"/>
      <c r="D47" s="15">
        <f>IF(F3="1",SUMIF(Data!A:A,'10'!$A$2,Data!DF:DF),0)</f>
        <v>81936</v>
      </c>
      <c r="E47" s="18">
        <f>IF(F3="1",SUMIF(Data!$A:$A,'10'!$A$2,Data!IZ:IZ),0)</f>
        <v>5288</v>
      </c>
      <c r="F47" s="22">
        <f t="shared" si="3"/>
        <v>6.4538176137473147E-2</v>
      </c>
    </row>
    <row r="48" spans="1:6" x14ac:dyDescent="0.2">
      <c r="A48" s="20">
        <v>13</v>
      </c>
      <c r="B48" s="179" t="s">
        <v>12</v>
      </c>
      <c r="C48" s="180"/>
      <c r="D48" s="15">
        <f>IF(F3="1",SUMIF(Data!A:A,'10'!$A$2,Data!DG:DG),0)</f>
        <v>11472</v>
      </c>
      <c r="E48" s="18">
        <f>IF(F3="1",SUMIF(Data!$A:$A,'10'!$A$2,Data!JA:JA),0)</f>
        <v>305</v>
      </c>
      <c r="F48" s="22">
        <f t="shared" si="3"/>
        <v>2.6586471408647141E-2</v>
      </c>
    </row>
    <row r="49" spans="1:6" ht="14.25" customHeight="1" x14ac:dyDescent="0.2">
      <c r="A49" s="20">
        <v>14</v>
      </c>
      <c r="B49" s="179" t="s">
        <v>804</v>
      </c>
      <c r="C49" s="180"/>
      <c r="D49" s="15">
        <f>IF(F3="1",SUMIF(Data!A:A,'10'!$A$2,Data!DH:DH),0)</f>
        <v>0</v>
      </c>
      <c r="E49" s="18">
        <f>IF(F3="1",SUMIF(Data!$A:$A,'10'!$A$2,Data!JB:JB),0)</f>
        <v>0</v>
      </c>
      <c r="F49" s="22" t="str">
        <f t="shared" si="3"/>
        <v/>
      </c>
    </row>
    <row r="50" spans="1:6" x14ac:dyDescent="0.2">
      <c r="A50" s="20">
        <v>15</v>
      </c>
      <c r="B50" s="179" t="s">
        <v>13</v>
      </c>
      <c r="C50" s="180"/>
      <c r="D50" s="15">
        <f>IF(F3="1",SUMIF(Data!A:A,'10'!$A$2,Data!DI:DI),0)</f>
        <v>0</v>
      </c>
      <c r="E50" s="18">
        <f>IF(F3="1",SUMIF(Data!$A:$A,'10'!$A$2,Data!JC:JC),0)</f>
        <v>0</v>
      </c>
      <c r="F50" s="22" t="str">
        <f t="shared" si="3"/>
        <v/>
      </c>
    </row>
    <row r="51" spans="1:6" x14ac:dyDescent="0.2">
      <c r="A51" s="20">
        <v>16</v>
      </c>
      <c r="B51" s="179" t="s">
        <v>14</v>
      </c>
      <c r="C51" s="180"/>
      <c r="D51" s="15">
        <f>IF(F3="1",SUMIF(Data!A:A,'10'!$A$2,Data!DJ:DJ),0)</f>
        <v>9532</v>
      </c>
      <c r="E51" s="18">
        <f>IF(F3="1",SUMIF(Data!$A:$A,'10'!$A$2,Data!JD:JD),0)</f>
        <v>16970</v>
      </c>
      <c r="F51" s="22">
        <f t="shared" si="3"/>
        <v>1.7803189257238774</v>
      </c>
    </row>
    <row r="52" spans="1:6" x14ac:dyDescent="0.2">
      <c r="A52" s="20">
        <v>17</v>
      </c>
      <c r="B52" s="179" t="s">
        <v>15</v>
      </c>
      <c r="C52" s="180"/>
      <c r="D52" s="15">
        <f>IF(F3="1",SUMIF(Data!A:A,'10'!$A$2,Data!DK:DK),0)</f>
        <v>0</v>
      </c>
      <c r="E52" s="18">
        <f>IF(F3="1",SUMIF(Data!$A:$A,'10'!$A$2,Data!JE:JE),0)</f>
        <v>0</v>
      </c>
      <c r="F52" s="22" t="str">
        <f t="shared" si="3"/>
        <v/>
      </c>
    </row>
    <row r="53" spans="1:6" x14ac:dyDescent="0.2">
      <c r="A53" s="20">
        <v>18</v>
      </c>
      <c r="B53" s="179" t="s">
        <v>16</v>
      </c>
      <c r="C53" s="180"/>
      <c r="D53" s="15">
        <f>IF(F3="1",SUMIF(Data!A:A,'10'!$A$2,Data!DL:DL),0)</f>
        <v>96224</v>
      </c>
      <c r="E53" s="18">
        <f>IF(F3="1",SUMIF(Data!$A:$A,'10'!$A$2,Data!JF:JF),0)</f>
        <v>58288</v>
      </c>
      <c r="F53" s="22">
        <f t="shared" si="3"/>
        <v>0.60575324243431994</v>
      </c>
    </row>
    <row r="54" spans="1:6" x14ac:dyDescent="0.2">
      <c r="A54" s="20">
        <v>19</v>
      </c>
      <c r="B54" s="179" t="s">
        <v>17</v>
      </c>
      <c r="C54" s="180"/>
      <c r="D54" s="15">
        <f>IF(F3="1",SUMIF(Data!A:A,'10'!$A$2,Data!DM:DM),0)</f>
        <v>33632</v>
      </c>
      <c r="E54" s="18">
        <f>IF(F3="1",SUMIF(Data!$A:$A,'10'!$A$2,Data!JG:JG),0)</f>
        <v>895</v>
      </c>
      <c r="F54" s="22">
        <f t="shared" si="3"/>
        <v>2.6611560418648907E-2</v>
      </c>
    </row>
    <row r="55" spans="1:6" x14ac:dyDescent="0.2">
      <c r="A55" s="20">
        <v>20</v>
      </c>
      <c r="B55" s="179" t="s">
        <v>18</v>
      </c>
      <c r="C55" s="180"/>
      <c r="D55" s="15">
        <f>IF(F3="1",SUMIF(Data!A:A,'10'!$A$2,Data!DN:DN),0)</f>
        <v>0</v>
      </c>
      <c r="E55" s="18">
        <f>IF(F3="1",SUMIF(Data!$A:$A,'10'!$A$2,Data!JH:JH),0)</f>
        <v>0</v>
      </c>
      <c r="F55" s="22" t="str">
        <f t="shared" si="3"/>
        <v/>
      </c>
    </row>
    <row r="56" spans="1:6" ht="14.25" customHeight="1" x14ac:dyDescent="0.2">
      <c r="A56" s="20">
        <v>21</v>
      </c>
      <c r="B56" s="179" t="s">
        <v>801</v>
      </c>
      <c r="C56" s="180"/>
      <c r="D56" s="15">
        <f>IF(F3="1",SUMIF(Data!A:A,'10'!$A$2,Data!DO:DO),0)</f>
        <v>0</v>
      </c>
      <c r="E56" s="18">
        <f>IF(F3="1",SUMIF(Data!$A:$A,'10'!$A$2,Data!JI:JI),0)</f>
        <v>0</v>
      </c>
      <c r="F56" s="22" t="str">
        <f t="shared" si="3"/>
        <v/>
      </c>
    </row>
    <row r="57" spans="1:6" x14ac:dyDescent="0.2">
      <c r="A57" s="20">
        <v>22</v>
      </c>
      <c r="B57" s="179" t="s">
        <v>19</v>
      </c>
      <c r="C57" s="180"/>
      <c r="D57" s="15">
        <f>IF(F3="1",SUMIF(Data!A:A,'10'!$A$2,Data!DP:DP),0)</f>
        <v>1030</v>
      </c>
      <c r="E57" s="18">
        <f>IF(F3="1",SUMIF(Data!$A:$A,'10'!$A$2,Data!JJ:JJ),0)</f>
        <v>27</v>
      </c>
      <c r="F57" s="22">
        <f t="shared" si="3"/>
        <v>2.621359223300971E-2</v>
      </c>
    </row>
    <row r="58" spans="1:6" x14ac:dyDescent="0.2">
      <c r="A58" s="20">
        <v>23</v>
      </c>
      <c r="B58" s="179" t="s">
        <v>20</v>
      </c>
      <c r="C58" s="180"/>
      <c r="D58" s="15">
        <f>IF(F3="1",SUMIF(Data!A:A,'10'!$A$2,Data!DQ:DQ),0)</f>
        <v>49280</v>
      </c>
      <c r="E58" s="18">
        <f>IF(F3="1",SUMIF(Data!$A:$A,'10'!$A$2,Data!JK:JK),0)</f>
        <v>1633</v>
      </c>
      <c r="F58" s="22">
        <f t="shared" si="3"/>
        <v>3.3137175324675326E-2</v>
      </c>
    </row>
    <row r="59" spans="1:6" x14ac:dyDescent="0.2">
      <c r="A59" s="20">
        <v>24</v>
      </c>
      <c r="B59" s="179" t="s">
        <v>21</v>
      </c>
      <c r="C59" s="180"/>
      <c r="D59" s="15">
        <f>IF(F3="1",SUMIF(Data!A:A,'10'!$A$2,Data!DR:DR),0)</f>
        <v>21171</v>
      </c>
      <c r="E59" s="18">
        <f>IF(F3="1",SUMIF(Data!$A:$A,'10'!$A$2,Data!JL:JL),0)</f>
        <v>603</v>
      </c>
      <c r="F59" s="22">
        <f t="shared" si="3"/>
        <v>2.8482357942468471E-2</v>
      </c>
    </row>
    <row r="60" spans="1:6" x14ac:dyDescent="0.2">
      <c r="A60" s="20">
        <v>25</v>
      </c>
      <c r="B60" s="179" t="s">
        <v>22</v>
      </c>
      <c r="C60" s="180"/>
      <c r="D60" s="15">
        <f>IF(F3="1",SUMIF(Data!A:A,'10'!$A$2,Data!DS:DS),0)</f>
        <v>122816</v>
      </c>
      <c r="E60" s="18">
        <f>IF(F3="1",SUMIF(Data!$A:$A,'10'!$A$2,Data!JM:JM),0)</f>
        <v>5566</v>
      </c>
      <c r="F60" s="22">
        <f t="shared" si="3"/>
        <v>4.531982803543512E-2</v>
      </c>
    </row>
    <row r="61" spans="1:6" x14ac:dyDescent="0.2">
      <c r="A61" s="20">
        <v>26</v>
      </c>
      <c r="B61" s="179" t="s">
        <v>23</v>
      </c>
      <c r="C61" s="180"/>
      <c r="D61" s="15">
        <f>IF(F3="1",SUMIF(Data!A:A,'10'!$A$2,Data!DT:DT),0)</f>
        <v>35520</v>
      </c>
      <c r="E61" s="18">
        <f>IF(F3="1",SUMIF(Data!$A:$A,'10'!$A$2,Data!JN:JN),0)</f>
        <v>3626</v>
      </c>
      <c r="F61" s="22">
        <f t="shared" si="3"/>
        <v>0.10208333333333333</v>
      </c>
    </row>
    <row r="62" spans="1:6" x14ac:dyDescent="0.2">
      <c r="A62" s="20">
        <v>28</v>
      </c>
      <c r="B62" s="179" t="s">
        <v>24</v>
      </c>
      <c r="C62" s="180"/>
      <c r="D62" s="15">
        <f>IF(F3="1",SUMIF(Data!A:A,'10'!$A$2,Data!DV:DV),0)</f>
        <v>33440</v>
      </c>
      <c r="E62" s="18">
        <f>IF(F3="1",SUMIF(Data!$A:$A,'10'!$A$2,Data!JP:JP),0)</f>
        <v>890</v>
      </c>
      <c r="F62" s="22">
        <f t="shared" si="3"/>
        <v>2.6614832535885168E-2</v>
      </c>
    </row>
    <row r="63" spans="1:6" ht="15.75" customHeight="1" thickBot="1" x14ac:dyDescent="0.25">
      <c r="A63" s="23">
        <v>29</v>
      </c>
      <c r="B63" s="181" t="s">
        <v>25</v>
      </c>
      <c r="C63" s="182"/>
      <c r="D63" s="24">
        <f>IF(F3="1",SUMIF(Data!A:A,'10'!$A$2,Data!DW:DW),0)</f>
        <v>19840</v>
      </c>
      <c r="E63" s="25">
        <f>IF(F3="1",SUMIF(Data!$A:$A,'10'!$A$2,Data!JQ:JQ),0)</f>
        <v>1779</v>
      </c>
      <c r="F63" s="26">
        <f t="shared" si="3"/>
        <v>8.9667338709677413E-2</v>
      </c>
    </row>
    <row r="64" spans="1:6" x14ac:dyDescent="0.2">
      <c r="B64" s="31" t="s">
        <v>35</v>
      </c>
      <c r="C64" s="31"/>
      <c r="D64" s="61">
        <f>SUM(D36:D63)</f>
        <v>812309</v>
      </c>
      <c r="E64" s="32">
        <f>SUM(E36:E63)</f>
        <v>201431</v>
      </c>
      <c r="F64" s="33">
        <f t="shared" si="3"/>
        <v>0.24797336973984038</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40384</v>
      </c>
      <c r="E67" s="16">
        <f>IF(F3="1",SUMIF(Data!A:A,'10'!$A$2,Data!DY:DY),0)</f>
        <v>162570</v>
      </c>
      <c r="F67" s="21">
        <f>IFERROR(E67/D67,"")</f>
        <v>4.0256041996830429</v>
      </c>
    </row>
    <row r="68" spans="1:6" x14ac:dyDescent="0.2">
      <c r="A68" s="20">
        <v>2</v>
      </c>
      <c r="B68" s="179" t="s">
        <v>1</v>
      </c>
      <c r="C68" s="180"/>
      <c r="D68" s="15">
        <f t="shared" ref="D68:D94" si="4">D37</f>
        <v>27452</v>
      </c>
      <c r="E68" s="18">
        <f>IF(F3="1",SUMIF(Data!A:A,'10'!$A$2,Data!DZ:DZ),0)</f>
        <v>66803</v>
      </c>
      <c r="F68" s="22">
        <f t="shared" ref="F68:F95" si="5">IFERROR(E68/D68,"")</f>
        <v>2.4334474719510419</v>
      </c>
    </row>
    <row r="69" spans="1:6" ht="14.25" customHeight="1" x14ac:dyDescent="0.2">
      <c r="A69" s="20">
        <v>3</v>
      </c>
      <c r="B69" s="179" t="s">
        <v>2</v>
      </c>
      <c r="C69" s="180"/>
      <c r="D69" s="15">
        <f t="shared" si="4"/>
        <v>86704</v>
      </c>
      <c r="E69" s="18">
        <f>IF(F3="1",SUMIF(Data!A:A,'10'!$A$2,Data!EA:EA),0)</f>
        <v>189039</v>
      </c>
      <c r="F69" s="22">
        <f t="shared" si="5"/>
        <v>2.1802800332164605</v>
      </c>
    </row>
    <row r="70" spans="1:6" ht="14.25" customHeight="1" x14ac:dyDescent="0.2">
      <c r="A70" s="20">
        <v>4</v>
      </c>
      <c r="B70" s="179" t="s">
        <v>3</v>
      </c>
      <c r="C70" s="180"/>
      <c r="D70" s="15">
        <f t="shared" si="4"/>
        <v>26732</v>
      </c>
      <c r="E70" s="18">
        <f>IF(F3="1",SUMIF(Data!A:A,'10'!$A$2,Data!EB:EB),0)</f>
        <v>135847</v>
      </c>
      <c r="F70" s="22">
        <f t="shared" si="5"/>
        <v>5.0818120604518926</v>
      </c>
    </row>
    <row r="71" spans="1:6" x14ac:dyDescent="0.2">
      <c r="A71" s="20">
        <v>5</v>
      </c>
      <c r="B71" s="179" t="s">
        <v>4</v>
      </c>
      <c r="C71" s="180"/>
      <c r="D71" s="15">
        <f t="shared" si="4"/>
        <v>0</v>
      </c>
      <c r="E71" s="18">
        <f>IF(F3="1",SUMIF(Data!A:A,'10'!$A$2,Data!EC:EC),0)</f>
        <v>0</v>
      </c>
      <c r="F71" s="22" t="str">
        <f t="shared" si="5"/>
        <v/>
      </c>
    </row>
    <row r="72" spans="1:6" x14ac:dyDescent="0.2">
      <c r="A72" s="20">
        <v>6</v>
      </c>
      <c r="B72" s="179" t="s">
        <v>5</v>
      </c>
      <c r="C72" s="180"/>
      <c r="D72" s="15">
        <f t="shared" si="4"/>
        <v>0</v>
      </c>
      <c r="E72" s="18">
        <f>IF(F3="1",SUMIF(Data!A:A,'10'!$A$2,Data!ED:ED),0)</f>
        <v>0</v>
      </c>
      <c r="F72" s="22" t="str">
        <f t="shared" si="5"/>
        <v/>
      </c>
    </row>
    <row r="73" spans="1:6" x14ac:dyDescent="0.2">
      <c r="A73" s="20">
        <v>7</v>
      </c>
      <c r="B73" s="179" t="s">
        <v>6</v>
      </c>
      <c r="C73" s="180"/>
      <c r="D73" s="15">
        <f t="shared" si="4"/>
        <v>23024</v>
      </c>
      <c r="E73" s="18">
        <f>IF(F3="1",SUMIF(Data!A:A,'10'!$A$2,Data!EE:EE),0)</f>
        <v>59390</v>
      </c>
      <c r="F73" s="22">
        <f t="shared" si="5"/>
        <v>2.5794822793606671</v>
      </c>
    </row>
    <row r="74" spans="1:6" x14ac:dyDescent="0.2">
      <c r="A74" s="20">
        <v>8</v>
      </c>
      <c r="B74" s="179" t="s">
        <v>7</v>
      </c>
      <c r="C74" s="180"/>
      <c r="D74" s="15">
        <f t="shared" si="4"/>
        <v>0</v>
      </c>
      <c r="E74" s="18">
        <f>IF(F3="1",SUMIF(Data!A:A,'10'!$A$2,Data!EF:EF),0)</f>
        <v>0</v>
      </c>
      <c r="F74" s="22" t="str">
        <f t="shared" si="5"/>
        <v/>
      </c>
    </row>
    <row r="75" spans="1:6" x14ac:dyDescent="0.2">
      <c r="A75" s="20">
        <v>9</v>
      </c>
      <c r="B75" s="179" t="s">
        <v>8</v>
      </c>
      <c r="C75" s="180"/>
      <c r="D75" s="15">
        <f t="shared" si="4"/>
        <v>49280</v>
      </c>
      <c r="E75" s="18">
        <f>IF(F3="1",SUMIF(Data!A:A,'10'!$A$2,Data!EG:EG),0)</f>
        <v>75167</v>
      </c>
      <c r="F75" s="22">
        <f t="shared" si="5"/>
        <v>1.5253043831168831</v>
      </c>
    </row>
    <row r="76" spans="1:6" x14ac:dyDescent="0.2">
      <c r="A76" s="20">
        <v>10</v>
      </c>
      <c r="B76" s="179" t="s">
        <v>9</v>
      </c>
      <c r="C76" s="180"/>
      <c r="D76" s="15">
        <f t="shared" si="4"/>
        <v>0</v>
      </c>
      <c r="E76" s="18">
        <f>IF(F3="1",SUMIF(Data!A:A,'10'!$A$2,Data!EH:EH),0)</f>
        <v>0</v>
      </c>
      <c r="F76" s="22" t="str">
        <f t="shared" si="5"/>
        <v/>
      </c>
    </row>
    <row r="77" spans="1:6" x14ac:dyDescent="0.2">
      <c r="A77" s="20">
        <v>11</v>
      </c>
      <c r="B77" s="179" t="s">
        <v>10</v>
      </c>
      <c r="C77" s="180"/>
      <c r="D77" s="15">
        <f t="shared" si="4"/>
        <v>42840</v>
      </c>
      <c r="E77" s="18">
        <f>IF(F3="1",SUMIF(Data!A:A,'10'!$A$2,Data!EI:EI),0)</f>
        <v>169701</v>
      </c>
      <c r="F77" s="22">
        <f t="shared" si="5"/>
        <v>3.9612745098039217</v>
      </c>
    </row>
    <row r="78" spans="1:6" ht="14.25" customHeight="1" x14ac:dyDescent="0.2">
      <c r="A78" s="20">
        <v>12</v>
      </c>
      <c r="B78" s="179" t="s">
        <v>11</v>
      </c>
      <c r="C78" s="180"/>
      <c r="D78" s="15">
        <f t="shared" si="4"/>
        <v>81936</v>
      </c>
      <c r="E78" s="18">
        <f>IF(F3="1",SUMIF(Data!A:A,'10'!$A$2,Data!EJ:EJ),0)</f>
        <v>183368</v>
      </c>
      <c r="F78" s="22">
        <f t="shared" si="5"/>
        <v>2.2379418082405782</v>
      </c>
    </row>
    <row r="79" spans="1:6" x14ac:dyDescent="0.2">
      <c r="A79" s="20">
        <v>13</v>
      </c>
      <c r="B79" s="179" t="s">
        <v>12</v>
      </c>
      <c r="C79" s="180"/>
      <c r="D79" s="15">
        <f t="shared" si="4"/>
        <v>11472</v>
      </c>
      <c r="E79" s="18">
        <f>IF(F3="1",SUMIF(Data!A:A,'10'!$A$2,Data!EK:EK),0)</f>
        <v>16300</v>
      </c>
      <c r="F79" s="22">
        <f t="shared" si="5"/>
        <v>1.4208507670850767</v>
      </c>
    </row>
    <row r="80" spans="1:6" ht="14.25" customHeight="1" x14ac:dyDescent="0.2">
      <c r="A80" s="20">
        <v>14</v>
      </c>
      <c r="B80" s="179" t="s">
        <v>804</v>
      </c>
      <c r="C80" s="180"/>
      <c r="D80" s="15">
        <f t="shared" si="4"/>
        <v>0</v>
      </c>
      <c r="E80" s="18">
        <f>IF(F3="1",SUMIF(Data!A:A,'10'!$A$2,Data!EL:EL),0)</f>
        <v>0</v>
      </c>
      <c r="F80" s="22" t="str">
        <f t="shared" si="5"/>
        <v/>
      </c>
    </row>
    <row r="81" spans="1:6" x14ac:dyDescent="0.2">
      <c r="A81" s="20">
        <v>15</v>
      </c>
      <c r="B81" s="179" t="s">
        <v>13</v>
      </c>
      <c r="C81" s="180"/>
      <c r="D81" s="15">
        <f t="shared" si="4"/>
        <v>0</v>
      </c>
      <c r="E81" s="18">
        <f>IF(F3="1",SUMIF(Data!A:A,'10'!$A$2,Data!EM:EM),0)</f>
        <v>0</v>
      </c>
      <c r="F81" s="22" t="str">
        <f t="shared" si="5"/>
        <v/>
      </c>
    </row>
    <row r="82" spans="1:6" x14ac:dyDescent="0.2">
      <c r="A82" s="20">
        <v>16</v>
      </c>
      <c r="B82" s="179" t="s">
        <v>14</v>
      </c>
      <c r="C82" s="180"/>
      <c r="D82" s="15">
        <f t="shared" si="4"/>
        <v>9532</v>
      </c>
      <c r="E82" s="18">
        <f>IF(F3="1",SUMIF(Data!A:A,'10'!$A$2,Data!EN:EN),0)</f>
        <v>10670</v>
      </c>
      <c r="F82" s="22">
        <f t="shared" si="5"/>
        <v>1.119387326898867</v>
      </c>
    </row>
    <row r="83" spans="1:6" x14ac:dyDescent="0.2">
      <c r="A83" s="20">
        <v>17</v>
      </c>
      <c r="B83" s="179" t="s">
        <v>15</v>
      </c>
      <c r="C83" s="180"/>
      <c r="D83" s="15">
        <f t="shared" si="4"/>
        <v>0</v>
      </c>
      <c r="E83" s="18">
        <f>IF(F3="1",SUMIF(Data!A:A,'10'!$A$2,Data!EO:EO),0)</f>
        <v>0</v>
      </c>
      <c r="F83" s="22" t="str">
        <f t="shared" si="5"/>
        <v/>
      </c>
    </row>
    <row r="84" spans="1:6" x14ac:dyDescent="0.2">
      <c r="A84" s="20">
        <v>18</v>
      </c>
      <c r="B84" s="179" t="s">
        <v>16</v>
      </c>
      <c r="C84" s="180"/>
      <c r="D84" s="15">
        <f t="shared" si="4"/>
        <v>96224</v>
      </c>
      <c r="E84" s="18">
        <f>IF(F3="1",SUMIF(Data!A:A,'10'!$A$2,Data!EP:EP),0)</f>
        <v>254900</v>
      </c>
      <c r="F84" s="22">
        <f t="shared" si="5"/>
        <v>2.6490272697040238</v>
      </c>
    </row>
    <row r="85" spans="1:6" x14ac:dyDescent="0.2">
      <c r="A85" s="20">
        <v>19</v>
      </c>
      <c r="B85" s="179" t="s">
        <v>17</v>
      </c>
      <c r="C85" s="180"/>
      <c r="D85" s="15">
        <f t="shared" si="4"/>
        <v>33632</v>
      </c>
      <c r="E85" s="18">
        <f>IF(F3="1",SUMIF(Data!A:A,'10'!$A$2,Data!EQ:EQ),0)</f>
        <v>157163</v>
      </c>
      <c r="F85" s="22">
        <f t="shared" si="5"/>
        <v>4.6730197431018077</v>
      </c>
    </row>
    <row r="86" spans="1:6" x14ac:dyDescent="0.2">
      <c r="A86" s="20">
        <v>20</v>
      </c>
      <c r="B86" s="179" t="s">
        <v>18</v>
      </c>
      <c r="C86" s="180"/>
      <c r="D86" s="15">
        <f t="shared" si="4"/>
        <v>0</v>
      </c>
      <c r="E86" s="18">
        <f>IF(F3="1",SUMIF(Data!A:A,'10'!$A$2,Data!ER:ER),0)</f>
        <v>0</v>
      </c>
      <c r="F86" s="22" t="str">
        <f t="shared" si="5"/>
        <v/>
      </c>
    </row>
    <row r="87" spans="1:6" ht="14.25" customHeight="1" x14ac:dyDescent="0.2">
      <c r="A87" s="20">
        <v>21</v>
      </c>
      <c r="B87" s="179" t="s">
        <v>801</v>
      </c>
      <c r="C87" s="180"/>
      <c r="D87" s="15">
        <f t="shared" si="4"/>
        <v>0</v>
      </c>
      <c r="E87" s="18">
        <f>IF(F3="1",SUMIF(Data!A:A,'10'!$A$2,Data!ES:ES),0)</f>
        <v>0</v>
      </c>
      <c r="F87" s="22" t="str">
        <f t="shared" si="5"/>
        <v/>
      </c>
    </row>
    <row r="88" spans="1:6" x14ac:dyDescent="0.2">
      <c r="A88" s="20">
        <v>22</v>
      </c>
      <c r="B88" s="179" t="s">
        <v>19</v>
      </c>
      <c r="C88" s="180"/>
      <c r="D88" s="15">
        <f t="shared" si="4"/>
        <v>1030</v>
      </c>
      <c r="E88" s="18">
        <f>IF(F3="1",SUMIF(Data!A:A,'10'!$A$2,Data!ET:ET),0)</f>
        <v>1281</v>
      </c>
      <c r="F88" s="22">
        <f t="shared" si="5"/>
        <v>1.2436893203883495</v>
      </c>
    </row>
    <row r="89" spans="1:6" x14ac:dyDescent="0.2">
      <c r="A89" s="20">
        <v>23</v>
      </c>
      <c r="B89" s="179" t="s">
        <v>20</v>
      </c>
      <c r="C89" s="180"/>
      <c r="D89" s="15">
        <f t="shared" si="4"/>
        <v>49280</v>
      </c>
      <c r="E89" s="18">
        <f>IF(F3="1",SUMIF(Data!A:A,'10'!$A$2,Data!EU:EU),0)</f>
        <v>309898</v>
      </c>
      <c r="F89" s="22">
        <f t="shared" si="5"/>
        <v>6.2885146103896101</v>
      </c>
    </row>
    <row r="90" spans="1:6" x14ac:dyDescent="0.2">
      <c r="A90" s="20">
        <v>24</v>
      </c>
      <c r="B90" s="179" t="s">
        <v>21</v>
      </c>
      <c r="C90" s="180"/>
      <c r="D90" s="15">
        <f t="shared" si="4"/>
        <v>21171</v>
      </c>
      <c r="E90" s="18">
        <f>IF(F3="1",SUMIF(Data!A:A,'10'!$A$2,Data!EV:EV),0)</f>
        <v>39513</v>
      </c>
      <c r="F90" s="22">
        <f t="shared" si="5"/>
        <v>1.8663738132350858</v>
      </c>
    </row>
    <row r="91" spans="1:6" x14ac:dyDescent="0.2">
      <c r="A91" s="20">
        <v>25</v>
      </c>
      <c r="B91" s="179" t="s">
        <v>22</v>
      </c>
      <c r="C91" s="180"/>
      <c r="D91" s="15">
        <f t="shared" si="4"/>
        <v>122816</v>
      </c>
      <c r="E91" s="18">
        <f>IF(F3="1",SUMIF(Data!A:A,'10'!$A$2,Data!EW:EW),0)</f>
        <v>249686</v>
      </c>
      <c r="F91" s="22">
        <f t="shared" si="5"/>
        <v>2.0330087285044294</v>
      </c>
    </row>
    <row r="92" spans="1:6" x14ac:dyDescent="0.2">
      <c r="A92" s="20">
        <v>26</v>
      </c>
      <c r="B92" s="179" t="s">
        <v>23</v>
      </c>
      <c r="C92" s="180"/>
      <c r="D92" s="15">
        <f t="shared" si="4"/>
        <v>35520</v>
      </c>
      <c r="E92" s="18">
        <f>IF(F3="1",SUMIF(Data!A:A,'10'!$A$2,Data!EX:EX),0)</f>
        <v>62604</v>
      </c>
      <c r="F92" s="22">
        <f t="shared" si="5"/>
        <v>1.7625</v>
      </c>
    </row>
    <row r="93" spans="1:6" x14ac:dyDescent="0.2">
      <c r="A93" s="20">
        <v>28</v>
      </c>
      <c r="B93" s="179" t="s">
        <v>24</v>
      </c>
      <c r="C93" s="180"/>
      <c r="D93" s="15">
        <f t="shared" si="4"/>
        <v>33440</v>
      </c>
      <c r="E93" s="18">
        <f>IF(F3="1",SUMIF(Data!A:A,'10'!$A$2,Data!EZ:EZ),0)</f>
        <v>27399</v>
      </c>
      <c r="F93" s="22">
        <f t="shared" si="5"/>
        <v>0.81934808612440191</v>
      </c>
    </row>
    <row r="94" spans="1:6" ht="15.75" customHeight="1" thickBot="1" x14ac:dyDescent="0.25">
      <c r="A94" s="23">
        <v>29</v>
      </c>
      <c r="B94" s="181" t="s">
        <v>25</v>
      </c>
      <c r="C94" s="182"/>
      <c r="D94" s="24">
        <f t="shared" si="4"/>
        <v>19840</v>
      </c>
      <c r="E94" s="25">
        <f>IF(F3="1",SUMIF(Data!A:A,'10'!$A$2,Data!FA:FA),0)</f>
        <v>52813</v>
      </c>
      <c r="F94" s="26">
        <f t="shared" si="5"/>
        <v>2.6619455645161292</v>
      </c>
    </row>
    <row r="95" spans="1:6" x14ac:dyDescent="0.2">
      <c r="B95" s="31" t="s">
        <v>35</v>
      </c>
      <c r="C95" s="31"/>
      <c r="D95" s="61">
        <f>SUM(D67:D94)</f>
        <v>812309</v>
      </c>
      <c r="E95" s="32">
        <f>SUM(E67:E94)</f>
        <v>2224112</v>
      </c>
      <c r="F95" s="33">
        <f t="shared" si="5"/>
        <v>2.7380122588817803</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IF(F3="1",SUMIF(Data!A:A,'10'!$A$2,Data!AH:AH),0)</f>
        <v>920446</v>
      </c>
      <c r="F98" s="21">
        <f t="shared" ref="F98:F105" si="6">IFERROR(E98/$D$95,0)</f>
        <v>1.1331229864497376</v>
      </c>
    </row>
    <row r="99" spans="2:6" x14ac:dyDescent="0.2">
      <c r="B99" s="185" t="s">
        <v>31</v>
      </c>
      <c r="C99" s="186"/>
      <c r="D99" s="37"/>
      <c r="E99" s="18">
        <f>IF(F3="1",SUMIF(Data!A:A,'10'!$A$2,Data!AI:AI),0)</f>
        <v>407873</v>
      </c>
      <c r="F99" s="22">
        <f t="shared" si="6"/>
        <v>0.50211557424576114</v>
      </c>
    </row>
    <row r="100" spans="2:6" x14ac:dyDescent="0.2">
      <c r="B100" s="185" t="s">
        <v>32</v>
      </c>
      <c r="C100" s="186"/>
      <c r="D100" s="37"/>
      <c r="E100" s="18">
        <f>IF(F3="1",SUMIF(Data!A:A,'10'!$A$2,Data!AJ:AJ),0)</f>
        <v>409639</v>
      </c>
      <c r="F100" s="22">
        <f t="shared" si="6"/>
        <v>0.50428962377617381</v>
      </c>
    </row>
    <row r="101" spans="2:6" x14ac:dyDescent="0.2">
      <c r="B101" s="185" t="s">
        <v>28</v>
      </c>
      <c r="C101" s="186"/>
      <c r="D101" s="37"/>
      <c r="E101" s="18">
        <f>IF(F3="1",SUMIF(Data!A:A,'10'!$A$2,Data!AK:AK),0)</f>
        <v>0</v>
      </c>
      <c r="F101" s="22">
        <f t="shared" si="6"/>
        <v>0</v>
      </c>
    </row>
    <row r="102" spans="2:6" x14ac:dyDescent="0.2">
      <c r="B102" s="185" t="s">
        <v>33</v>
      </c>
      <c r="C102" s="186"/>
      <c r="D102" s="37"/>
      <c r="E102" s="18">
        <f>IF(F3="1",SUMIF(Data!A:A,'10'!$A$2,Data!AL:AL),0)</f>
        <v>0</v>
      </c>
      <c r="F102" s="22">
        <f t="shared" si="6"/>
        <v>0</v>
      </c>
    </row>
    <row r="103" spans="2:6" x14ac:dyDescent="0.2">
      <c r="B103" s="187" t="s">
        <v>34</v>
      </c>
      <c r="C103" s="188"/>
      <c r="D103" s="37"/>
      <c r="E103" s="18">
        <f>IF(F3="1",SUMIF(Data!A:A,'10'!$A$2,Data!AM:AM),0)</f>
        <v>390854</v>
      </c>
      <c r="F103" s="22">
        <f t="shared" si="6"/>
        <v>0.48116418751977386</v>
      </c>
    </row>
    <row r="104" spans="2:6" ht="15.75" customHeight="1" thickBot="1" x14ac:dyDescent="0.25">
      <c r="B104" s="177" t="s">
        <v>29</v>
      </c>
      <c r="C104" s="178"/>
      <c r="D104" s="38"/>
      <c r="E104" s="25">
        <f>IF(F3="1",SUMIF(Data!A:A,'10'!$A$2,Data!Q:Q),0)</f>
        <v>98822</v>
      </c>
      <c r="F104" s="26">
        <f t="shared" si="6"/>
        <v>0.12165567536491655</v>
      </c>
    </row>
    <row r="105" spans="2:6" x14ac:dyDescent="0.2">
      <c r="B105" s="31" t="s">
        <v>35</v>
      </c>
      <c r="C105" s="31"/>
      <c r="D105" s="35">
        <f>D95</f>
        <v>812309</v>
      </c>
      <c r="E105" s="32">
        <f>SUM(E98:E104)</f>
        <v>2227634</v>
      </c>
      <c r="F105" s="33">
        <f t="shared" si="6"/>
        <v>2.7423480473563631</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2224112</v>
      </c>
      <c r="D109" s="16">
        <f>IF(F3="1",SUMIF(Data!$A:$A,$A$2,Data!HJ:HJ),0)</f>
        <v>176219</v>
      </c>
      <c r="E109" s="16">
        <f>IF(F3="1",SUMIF(Data!$A:$A,$A$2,Data!IN:IN),0)</f>
        <v>201431</v>
      </c>
      <c r="F109" s="48">
        <f>SUM(C109:E109)</f>
        <v>2601762</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0</v>
      </c>
      <c r="D111" s="52"/>
      <c r="E111" s="51">
        <f>IF(F3="1",SUMIF(Data!A:A,$A$2,Data!AX:AX),0)</f>
        <v>0</v>
      </c>
      <c r="F111" s="49">
        <f t="shared" si="7"/>
        <v>0</v>
      </c>
    </row>
    <row r="112" spans="2:6" x14ac:dyDescent="0.2">
      <c r="B112" s="43" t="s">
        <v>32</v>
      </c>
      <c r="C112" s="51">
        <f>IF(F3="1",SUMIF(Data!A:A,$A$2,Data!V:V),0)</f>
        <v>361478</v>
      </c>
      <c r="D112" s="52"/>
      <c r="E112" s="51">
        <f>IF(F3="1",SUMIF(Data!A:A,$A$2,Data!AC:AC),0)</f>
        <v>48161</v>
      </c>
      <c r="F112" s="49">
        <f t="shared" si="7"/>
        <v>409639</v>
      </c>
    </row>
    <row r="113" spans="1:6" x14ac:dyDescent="0.2">
      <c r="B113" s="43" t="s">
        <v>31</v>
      </c>
      <c r="C113" s="51">
        <f>IF(F3="1",SUMIF(Data!A:A,$A$2,Data!U:U),0)</f>
        <v>314936</v>
      </c>
      <c r="D113" s="52"/>
      <c r="E113" s="51">
        <f>IF(F3="1",SUMIF(Data!A:A,$A$2,Data!AB:AB),0)</f>
        <v>92937</v>
      </c>
      <c r="F113" s="49">
        <f t="shared" si="7"/>
        <v>407873</v>
      </c>
    </row>
    <row r="114" spans="1:6" x14ac:dyDescent="0.2">
      <c r="B114" s="43" t="s">
        <v>1363</v>
      </c>
      <c r="C114" s="51">
        <f>IF(F3="1",SUMIF(Data!A:A,$A$2,Data!T:T),0)</f>
        <v>444010</v>
      </c>
      <c r="D114" s="52"/>
      <c r="E114" s="51">
        <f>IF(F3="1",SUMIF(Data!A:A,$A$2,Data!AA:AA),0)</f>
        <v>476436</v>
      </c>
      <c r="F114" s="49">
        <f t="shared" si="7"/>
        <v>920446</v>
      </c>
    </row>
    <row r="115" spans="1:6" x14ac:dyDescent="0.2">
      <c r="B115" s="43" t="s">
        <v>1278</v>
      </c>
      <c r="C115" s="51">
        <f>IF(F3="1",SUMIF(Data!A:A,$A$2,Data!BI:BI),0)</f>
        <v>308335</v>
      </c>
      <c r="D115" s="51">
        <f>IF(F3="1",SUMIF(Data!A:A,$A$2,Data!BL:BL),0)</f>
        <v>101670</v>
      </c>
      <c r="E115" s="51">
        <f>IF(F3="1",SUMIF(Data!A:A,$A$2,Data!BU:BU),0)</f>
        <v>595823</v>
      </c>
      <c r="F115" s="49">
        <f t="shared" si="7"/>
        <v>1005828</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98822</v>
      </c>
      <c r="E117" s="53"/>
      <c r="F117" s="50">
        <f>SUM(C117:E117)</f>
        <v>98822</v>
      </c>
    </row>
    <row r="118" spans="1:6" x14ac:dyDescent="0.2">
      <c r="B118" s="14" t="s">
        <v>35</v>
      </c>
      <c r="C118" s="5">
        <f>SUM(C109:C116)</f>
        <v>3652871</v>
      </c>
      <c r="D118" s="5">
        <f>SUM(D109:D116)</f>
        <v>277889</v>
      </c>
      <c r="E118" s="5">
        <f>SUM(E109:E116)</f>
        <v>1414788</v>
      </c>
      <c r="F118" s="5">
        <f>SUM(F109:F116)</f>
        <v>5345548</v>
      </c>
    </row>
    <row r="119" spans="1:6" ht="15" thickBot="1" x14ac:dyDescent="0.25"/>
    <row r="120" spans="1:6" ht="15" thickBot="1" x14ac:dyDescent="0.25">
      <c r="B120" s="57" t="s">
        <v>1283</v>
      </c>
      <c r="C120" s="55"/>
      <c r="D120" s="55"/>
      <c r="E120" s="55">
        <f>IF(F3="1",SUMIF(Data!A:A,'10'!$A$2,Data!AM:AM),0)</f>
        <v>390854</v>
      </c>
      <c r="F120" s="56">
        <f>SUM(C120:E120)</f>
        <v>390854</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3" width="12.1406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368</v>
      </c>
      <c r="B2" s="60" t="str">
        <f>VLOOKUP(A2,Data!A:G,7,0)</f>
        <v>Coastal Bend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11568</v>
      </c>
      <c r="E5" s="16">
        <f>E36+E67+IFERROR($E$105/$D$105*D5,0)</f>
        <v>154616.53365162649</v>
      </c>
      <c r="F5" s="21">
        <f>IFERROR(E5/D5,"")</f>
        <v>13.365882922858445</v>
      </c>
    </row>
    <row r="6" spans="1:6" x14ac:dyDescent="0.2">
      <c r="A6" s="20">
        <v>2</v>
      </c>
      <c r="B6" s="179" t="s">
        <v>1</v>
      </c>
      <c r="C6" s="180"/>
      <c r="D6" s="15">
        <f t="shared" ref="D6:D32" si="0">D37</f>
        <v>122131</v>
      </c>
      <c r="E6" s="18">
        <f t="shared" ref="E6:E32" si="1">E37+E68+IFERROR($E$105/$D$105*D6,0)</f>
        <v>679947.0230296331</v>
      </c>
      <c r="F6" s="22">
        <f t="shared" ref="F6:F33" si="2">IFERROR(E6/D6,"")</f>
        <v>5.5673581894001778</v>
      </c>
    </row>
    <row r="7" spans="1:6" ht="14.25" customHeight="1" x14ac:dyDescent="0.2">
      <c r="A7" s="20">
        <v>3</v>
      </c>
      <c r="B7" s="179" t="s">
        <v>2</v>
      </c>
      <c r="C7" s="180"/>
      <c r="D7" s="15">
        <f t="shared" si="0"/>
        <v>181536</v>
      </c>
      <c r="E7" s="18">
        <f t="shared" si="1"/>
        <v>1129234.5073462715</v>
      </c>
      <c r="F7" s="22">
        <f t="shared" si="2"/>
        <v>6.2204439193673515</v>
      </c>
    </row>
    <row r="8" spans="1:6" ht="14.25" customHeight="1" x14ac:dyDescent="0.2">
      <c r="A8" s="20">
        <v>4</v>
      </c>
      <c r="B8" s="179" t="s">
        <v>3</v>
      </c>
      <c r="C8" s="180"/>
      <c r="D8" s="15">
        <f t="shared" si="0"/>
        <v>121088</v>
      </c>
      <c r="E8" s="18">
        <f t="shared" si="1"/>
        <v>917963.4919439964</v>
      </c>
      <c r="F8" s="22">
        <f t="shared" si="2"/>
        <v>7.5809617133324227</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15193</v>
      </c>
      <c r="E10" s="18">
        <f t="shared" si="1"/>
        <v>199838.40151877259</v>
      </c>
      <c r="F10" s="22">
        <f t="shared" si="2"/>
        <v>13.153320708140104</v>
      </c>
    </row>
    <row r="11" spans="1:6" x14ac:dyDescent="0.2">
      <c r="A11" s="20">
        <v>7</v>
      </c>
      <c r="B11" s="179" t="s">
        <v>6</v>
      </c>
      <c r="C11" s="180"/>
      <c r="D11" s="15">
        <f t="shared" si="0"/>
        <v>144140</v>
      </c>
      <c r="E11" s="18">
        <f t="shared" si="1"/>
        <v>993709.29499874171</v>
      </c>
      <c r="F11" s="22">
        <f t="shared" si="2"/>
        <v>6.894056438176368</v>
      </c>
    </row>
    <row r="12" spans="1:6" x14ac:dyDescent="0.2">
      <c r="A12" s="20">
        <v>8</v>
      </c>
      <c r="B12" s="179" t="s">
        <v>7</v>
      </c>
      <c r="C12" s="180"/>
      <c r="D12" s="15">
        <f t="shared" si="0"/>
        <v>20984</v>
      </c>
      <c r="E12" s="18">
        <f t="shared" si="1"/>
        <v>152680.44036529481</v>
      </c>
      <c r="F12" s="22">
        <f t="shared" si="2"/>
        <v>7.2760408103933862</v>
      </c>
    </row>
    <row r="13" spans="1:6" x14ac:dyDescent="0.2">
      <c r="A13" s="20">
        <v>9</v>
      </c>
      <c r="B13" s="179" t="s">
        <v>8</v>
      </c>
      <c r="C13" s="180"/>
      <c r="D13" s="15">
        <f t="shared" si="0"/>
        <v>162006</v>
      </c>
      <c r="E13" s="18">
        <f t="shared" si="1"/>
        <v>1201021.5695682401</v>
      </c>
      <c r="F13" s="22">
        <f t="shared" si="2"/>
        <v>7.4134388205883734</v>
      </c>
    </row>
    <row r="14" spans="1:6" x14ac:dyDescent="0.2">
      <c r="A14" s="20">
        <v>10</v>
      </c>
      <c r="B14" s="179" t="s">
        <v>9</v>
      </c>
      <c r="C14" s="180"/>
      <c r="D14" s="15">
        <f t="shared" si="0"/>
        <v>672</v>
      </c>
      <c r="E14" s="18">
        <f t="shared" si="1"/>
        <v>2042.1139880612905</v>
      </c>
      <c r="F14" s="22">
        <f t="shared" si="2"/>
        <v>3.0388601012816823</v>
      </c>
    </row>
    <row r="15" spans="1:6" x14ac:dyDescent="0.2">
      <c r="A15" s="20">
        <v>11</v>
      </c>
      <c r="B15" s="179" t="s">
        <v>10</v>
      </c>
      <c r="C15" s="180"/>
      <c r="D15" s="15">
        <f t="shared" si="0"/>
        <v>126394</v>
      </c>
      <c r="E15" s="18">
        <f t="shared" si="1"/>
        <v>613659.68364139693</v>
      </c>
      <c r="F15" s="22">
        <f t="shared" si="2"/>
        <v>4.8551330256293568</v>
      </c>
    </row>
    <row r="16" spans="1:6" ht="14.25" customHeight="1" x14ac:dyDescent="0.2">
      <c r="A16" s="20">
        <v>12</v>
      </c>
      <c r="B16" s="179" t="s">
        <v>11</v>
      </c>
      <c r="C16" s="180"/>
      <c r="D16" s="15">
        <f t="shared" si="0"/>
        <v>258560</v>
      </c>
      <c r="E16" s="18">
        <f t="shared" si="1"/>
        <v>1385493.6677873917</v>
      </c>
      <c r="F16" s="22">
        <f t="shared" si="2"/>
        <v>5.35849964336089</v>
      </c>
    </row>
    <row r="17" spans="1:6" x14ac:dyDescent="0.2">
      <c r="A17" s="20">
        <v>13</v>
      </c>
      <c r="B17" s="179" t="s">
        <v>12</v>
      </c>
      <c r="C17" s="180"/>
      <c r="D17" s="15">
        <f t="shared" si="0"/>
        <v>17872</v>
      </c>
      <c r="E17" s="18">
        <f t="shared" si="1"/>
        <v>111047.50773010623</v>
      </c>
      <c r="F17" s="22">
        <f t="shared" si="2"/>
        <v>6.2134908085332494</v>
      </c>
    </row>
    <row r="18" spans="1:6" ht="14.25" customHeight="1" x14ac:dyDescent="0.2">
      <c r="A18" s="20">
        <v>14</v>
      </c>
      <c r="B18" s="179" t="s">
        <v>804</v>
      </c>
      <c r="C18" s="180"/>
      <c r="D18" s="15">
        <f t="shared" si="0"/>
        <v>34124</v>
      </c>
      <c r="E18" s="18">
        <f t="shared" si="1"/>
        <v>432993.06209613616</v>
      </c>
      <c r="F18" s="22">
        <f t="shared" si="2"/>
        <v>12.688813213460795</v>
      </c>
    </row>
    <row r="19" spans="1:6" x14ac:dyDescent="0.2">
      <c r="A19" s="20">
        <v>15</v>
      </c>
      <c r="B19" s="179" t="s">
        <v>13</v>
      </c>
      <c r="C19" s="180"/>
      <c r="D19" s="15">
        <f t="shared" si="0"/>
        <v>37984</v>
      </c>
      <c r="E19" s="18">
        <f t="shared" si="1"/>
        <v>634772.06208708347</v>
      </c>
      <c r="F19" s="22">
        <f t="shared" si="2"/>
        <v>16.711564397827598</v>
      </c>
    </row>
    <row r="20" spans="1:6" x14ac:dyDescent="0.2">
      <c r="A20" s="20">
        <v>16</v>
      </c>
      <c r="B20" s="179" t="s">
        <v>14</v>
      </c>
      <c r="C20" s="180"/>
      <c r="D20" s="15">
        <f t="shared" si="0"/>
        <v>84893</v>
      </c>
      <c r="E20" s="18">
        <f t="shared" si="1"/>
        <v>723260.95057810587</v>
      </c>
      <c r="F20" s="22">
        <f t="shared" si="2"/>
        <v>8.519677129776376</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133632</v>
      </c>
      <c r="E22" s="18">
        <f t="shared" si="1"/>
        <v>1069091.9530544737</v>
      </c>
      <c r="F22" s="22">
        <f t="shared" si="2"/>
        <v>8.0002690452471992</v>
      </c>
    </row>
    <row r="23" spans="1:6" x14ac:dyDescent="0.2">
      <c r="A23" s="20">
        <v>19</v>
      </c>
      <c r="B23" s="179" t="s">
        <v>17</v>
      </c>
      <c r="C23" s="180"/>
      <c r="D23" s="15">
        <f t="shared" si="0"/>
        <v>63280</v>
      </c>
      <c r="E23" s="18">
        <f t="shared" si="1"/>
        <v>475805.06720910489</v>
      </c>
      <c r="F23" s="22">
        <f t="shared" si="2"/>
        <v>7.5190434135446411</v>
      </c>
    </row>
    <row r="24" spans="1:6" x14ac:dyDescent="0.2">
      <c r="A24" s="20">
        <v>20</v>
      </c>
      <c r="B24" s="179" t="s">
        <v>18</v>
      </c>
      <c r="C24" s="180"/>
      <c r="D24" s="15">
        <f t="shared" si="0"/>
        <v>31840</v>
      </c>
      <c r="E24" s="18">
        <f t="shared" si="1"/>
        <v>199757.30562480877</v>
      </c>
      <c r="F24" s="22">
        <f t="shared" si="2"/>
        <v>6.2737847243972604</v>
      </c>
    </row>
    <row r="25" spans="1:6" ht="14.25" customHeight="1" x14ac:dyDescent="0.2">
      <c r="A25" s="20">
        <v>21</v>
      </c>
      <c r="B25" s="179" t="s">
        <v>801</v>
      </c>
      <c r="C25" s="180"/>
      <c r="D25" s="15">
        <f t="shared" si="0"/>
        <v>32246</v>
      </c>
      <c r="E25" s="18">
        <f t="shared" si="1"/>
        <v>169700.08282592913</v>
      </c>
      <c r="F25" s="22">
        <f t="shared" si="2"/>
        <v>5.2626708064854286</v>
      </c>
    </row>
    <row r="26" spans="1:6" x14ac:dyDescent="0.2">
      <c r="A26" s="20">
        <v>22</v>
      </c>
      <c r="B26" s="179" t="s">
        <v>19</v>
      </c>
      <c r="C26" s="180"/>
      <c r="D26" s="15">
        <f t="shared" si="0"/>
        <v>1248</v>
      </c>
      <c r="E26" s="18">
        <f t="shared" si="1"/>
        <v>117143.49740639955</v>
      </c>
      <c r="F26" s="22">
        <f t="shared" si="2"/>
        <v>93.864981896153481</v>
      </c>
    </row>
    <row r="27" spans="1:6" x14ac:dyDescent="0.2">
      <c r="A27" s="20">
        <v>23</v>
      </c>
      <c r="B27" s="179" t="s">
        <v>20</v>
      </c>
      <c r="C27" s="180"/>
      <c r="D27" s="15">
        <f t="shared" si="0"/>
        <v>35888</v>
      </c>
      <c r="E27" s="18">
        <f t="shared" si="1"/>
        <v>296605.61131479702</v>
      </c>
      <c r="F27" s="22">
        <f t="shared" si="2"/>
        <v>8.2647573371265324</v>
      </c>
    </row>
    <row r="28" spans="1:6" x14ac:dyDescent="0.2">
      <c r="A28" s="20">
        <v>24</v>
      </c>
      <c r="B28" s="179" t="s">
        <v>21</v>
      </c>
      <c r="C28" s="180"/>
      <c r="D28" s="15">
        <f t="shared" si="0"/>
        <v>55437</v>
      </c>
      <c r="E28" s="18">
        <f t="shared" si="1"/>
        <v>390320.28743475262</v>
      </c>
      <c r="F28" s="22">
        <f t="shared" si="2"/>
        <v>7.0407902201553592</v>
      </c>
    </row>
    <row r="29" spans="1:6" x14ac:dyDescent="0.2">
      <c r="A29" s="20">
        <v>25</v>
      </c>
      <c r="B29" s="179" t="s">
        <v>22</v>
      </c>
      <c r="C29" s="180"/>
      <c r="D29" s="15">
        <f t="shared" si="0"/>
        <v>276288</v>
      </c>
      <c r="E29" s="18">
        <f t="shared" si="1"/>
        <v>1580293.5796629135</v>
      </c>
      <c r="F29" s="22">
        <f t="shared" si="2"/>
        <v>5.7197329585899981</v>
      </c>
    </row>
    <row r="30" spans="1:6" x14ac:dyDescent="0.2">
      <c r="A30" s="20">
        <v>26</v>
      </c>
      <c r="B30" s="179" t="s">
        <v>23</v>
      </c>
      <c r="C30" s="180"/>
      <c r="D30" s="15">
        <f t="shared" si="0"/>
        <v>68048</v>
      </c>
      <c r="E30" s="18">
        <f t="shared" si="1"/>
        <v>406677.35217201593</v>
      </c>
      <c r="F30" s="22">
        <f t="shared" si="2"/>
        <v>5.9763307102635777</v>
      </c>
    </row>
    <row r="31" spans="1:6" x14ac:dyDescent="0.2">
      <c r="A31" s="20">
        <v>28</v>
      </c>
      <c r="B31" s="179" t="s">
        <v>24</v>
      </c>
      <c r="C31" s="180"/>
      <c r="D31" s="15">
        <f t="shared" si="0"/>
        <v>101760</v>
      </c>
      <c r="E31" s="18">
        <f t="shared" si="1"/>
        <v>585165.40390642406</v>
      </c>
      <c r="F31" s="22">
        <f t="shared" si="2"/>
        <v>5.750446186187343</v>
      </c>
    </row>
    <row r="32" spans="1:6" ht="15.75" customHeight="1" thickBot="1" x14ac:dyDescent="0.25">
      <c r="A32" s="23">
        <v>29</v>
      </c>
      <c r="B32" s="181" t="s">
        <v>25</v>
      </c>
      <c r="C32" s="182"/>
      <c r="D32" s="24">
        <f t="shared" si="0"/>
        <v>70472</v>
      </c>
      <c r="E32" s="25">
        <f t="shared" si="1"/>
        <v>469077.54905752267</v>
      </c>
      <c r="F32" s="26">
        <f t="shared" si="2"/>
        <v>6.65622586357025</v>
      </c>
    </row>
    <row r="33" spans="1:6" x14ac:dyDescent="0.2">
      <c r="B33" s="31" t="s">
        <v>35</v>
      </c>
      <c r="C33" s="31"/>
      <c r="D33" s="61">
        <f>SUM(D5:D32)</f>
        <v>2209284</v>
      </c>
      <c r="E33" s="32">
        <f>SUM(E5:E32)</f>
        <v>15091918</v>
      </c>
      <c r="F33" s="33">
        <f t="shared" si="2"/>
        <v>6.8311353361541567</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IF(F3="1",SUMIF(Data!A:A,'11'!$A$2,Data!CU:CU),0)</f>
        <v>11568</v>
      </c>
      <c r="E36" s="16">
        <f>IF(F3="1",SUMIF(Data!$A:$A,'11'!$A$2,Data!IO:IO),0)</f>
        <v>10412</v>
      </c>
      <c r="F36" s="21">
        <f t="shared" ref="F36:F64" si="3">IFERROR(E36/D36,"")</f>
        <v>0.90006915629322271</v>
      </c>
    </row>
    <row r="37" spans="1:6" x14ac:dyDescent="0.2">
      <c r="A37" s="20">
        <v>2</v>
      </c>
      <c r="B37" s="179" t="s">
        <v>1</v>
      </c>
      <c r="C37" s="180"/>
      <c r="D37" s="15">
        <f>IF(F3="1",SUMIF(Data!A:A,'11'!$A$2,Data!CV:CV),0)</f>
        <v>122131</v>
      </c>
      <c r="E37" s="18">
        <f>IF(F3="1",SUMIF(Data!$A:$A,'11'!$A$2,Data!IP:IP),0)</f>
        <v>96693</v>
      </c>
      <c r="F37" s="22">
        <f t="shared" si="3"/>
        <v>0.79171545307907087</v>
      </c>
    </row>
    <row r="38" spans="1:6" ht="14.25" customHeight="1" x14ac:dyDescent="0.2">
      <c r="A38" s="20">
        <v>3</v>
      </c>
      <c r="B38" s="179" t="s">
        <v>2</v>
      </c>
      <c r="C38" s="180"/>
      <c r="D38" s="15">
        <f>IF(F3="1",SUMIF(Data!A:A,'11'!$A$2,Data!CW:CW),0)</f>
        <v>181536</v>
      </c>
      <c r="E38" s="18">
        <f>IF(F3="1",SUMIF(Data!$A:$A,'11'!$A$2,Data!IQ:IQ),0)</f>
        <v>121831</v>
      </c>
      <c r="F38" s="22">
        <f t="shared" si="3"/>
        <v>0.67111206592631767</v>
      </c>
    </row>
    <row r="39" spans="1:6" ht="14.25" customHeight="1" x14ac:dyDescent="0.2">
      <c r="A39" s="20">
        <v>4</v>
      </c>
      <c r="B39" s="179" t="s">
        <v>3</v>
      </c>
      <c r="C39" s="180"/>
      <c r="D39" s="15">
        <f>IF(F3="1",SUMIF(Data!A:A,'11'!$A$2,Data!CX:CX),0)</f>
        <v>121088</v>
      </c>
      <c r="E39" s="18">
        <f>IF(F3="1",SUMIF(Data!$A:$A,'11'!$A$2,Data!IR:IR),0)</f>
        <v>98281</v>
      </c>
      <c r="F39" s="22">
        <f t="shared" si="3"/>
        <v>0.8116493789640592</v>
      </c>
    </row>
    <row r="40" spans="1:6" x14ac:dyDescent="0.2">
      <c r="A40" s="20">
        <v>5</v>
      </c>
      <c r="B40" s="179" t="s">
        <v>4</v>
      </c>
      <c r="C40" s="180"/>
      <c r="D40" s="15">
        <f>IF(F3="1",SUMIF(Data!A:A,'11'!$A$2,Data!CY:CY),0)</f>
        <v>0</v>
      </c>
      <c r="E40" s="18">
        <f>IF(F3="1",SUMIF(Data!$A:$A,'11'!$A$2,Data!IS:IS),0)</f>
        <v>0</v>
      </c>
      <c r="F40" s="22" t="str">
        <f t="shared" si="3"/>
        <v/>
      </c>
    </row>
    <row r="41" spans="1:6" x14ac:dyDescent="0.2">
      <c r="A41" s="20">
        <v>6</v>
      </c>
      <c r="B41" s="179" t="s">
        <v>5</v>
      </c>
      <c r="C41" s="180"/>
      <c r="D41" s="15">
        <f>IF(F3="1",SUMIF(Data!A:A,'11'!$A$2,Data!CZ:CZ),0)</f>
        <v>15193</v>
      </c>
      <c r="E41" s="18">
        <f>IF(F3="1",SUMIF(Data!$A:$A,'11'!$A$2,Data!IT:IT),0)</f>
        <v>4641</v>
      </c>
      <c r="F41" s="22">
        <f t="shared" si="3"/>
        <v>0.30546962416902523</v>
      </c>
    </row>
    <row r="42" spans="1:6" x14ac:dyDescent="0.2">
      <c r="A42" s="20">
        <v>7</v>
      </c>
      <c r="B42" s="179" t="s">
        <v>6</v>
      </c>
      <c r="C42" s="180"/>
      <c r="D42" s="15">
        <f>IF(F3="1",SUMIF(Data!A:A,'11'!$A$2,Data!DA:DA),0)</f>
        <v>144140</v>
      </c>
      <c r="E42" s="18">
        <f>IF(F3="1",SUMIF(Data!$A:$A,'11'!$A$2,Data!IU:IU),0)</f>
        <v>112905</v>
      </c>
      <c r="F42" s="22">
        <f t="shared" si="3"/>
        <v>0.78330095740252537</v>
      </c>
    </row>
    <row r="43" spans="1:6" x14ac:dyDescent="0.2">
      <c r="A43" s="20">
        <v>8</v>
      </c>
      <c r="B43" s="179" t="s">
        <v>7</v>
      </c>
      <c r="C43" s="180"/>
      <c r="D43" s="15">
        <f>IF(F3="1",SUMIF(Data!A:A,'11'!$A$2,Data!DB:DB),0)</f>
        <v>20984</v>
      </c>
      <c r="E43" s="18">
        <f>IF(F3="1",SUMIF(Data!$A:$A,'11'!$A$2,Data!IV:IV),0)</f>
        <v>4624</v>
      </c>
      <c r="F43" s="22">
        <f t="shared" si="3"/>
        <v>0.22035836828059474</v>
      </c>
    </row>
    <row r="44" spans="1:6" x14ac:dyDescent="0.2">
      <c r="A44" s="20">
        <v>9</v>
      </c>
      <c r="B44" s="179" t="s">
        <v>8</v>
      </c>
      <c r="C44" s="180"/>
      <c r="D44" s="15">
        <f>IF(F3="1",SUMIF(Data!A:A,'11'!$A$2,Data!DC:DC),0)</f>
        <v>162006</v>
      </c>
      <c r="E44" s="18">
        <f>IF(F3="1",SUMIF(Data!$A:$A,'11'!$A$2,Data!IW:IW),0)</f>
        <v>199010</v>
      </c>
      <c r="F44" s="22">
        <f t="shared" si="3"/>
        <v>1.228411293408886</v>
      </c>
    </row>
    <row r="45" spans="1:6" x14ac:dyDescent="0.2">
      <c r="A45" s="20">
        <v>10</v>
      </c>
      <c r="B45" s="179" t="s">
        <v>9</v>
      </c>
      <c r="C45" s="180"/>
      <c r="D45" s="15">
        <f>IF(F3="1",SUMIF(Data!A:A,'11'!$A$2,Data!DD:DD),0)</f>
        <v>672</v>
      </c>
      <c r="E45" s="18">
        <f>IF(F3="1",SUMIF(Data!$A:$A,'11'!$A$2,Data!IX:IX),0)</f>
        <v>0</v>
      </c>
      <c r="F45" s="22">
        <f t="shared" si="3"/>
        <v>0</v>
      </c>
    </row>
    <row r="46" spans="1:6" x14ac:dyDescent="0.2">
      <c r="A46" s="20">
        <v>11</v>
      </c>
      <c r="B46" s="179" t="s">
        <v>10</v>
      </c>
      <c r="C46" s="180"/>
      <c r="D46" s="15">
        <f>IF(F3="1",SUMIF(Data!A:A,'11'!$A$2,Data!DE:DE),0)</f>
        <v>126394</v>
      </c>
      <c r="E46" s="18">
        <f>IF(F3="1",SUMIF(Data!$A:$A,'11'!$A$2,Data!IY:IY),0)</f>
        <v>35426</v>
      </c>
      <c r="F46" s="22">
        <f t="shared" si="3"/>
        <v>0.28028229188094372</v>
      </c>
    </row>
    <row r="47" spans="1:6" ht="14.25" customHeight="1" x14ac:dyDescent="0.2">
      <c r="A47" s="20">
        <v>12</v>
      </c>
      <c r="B47" s="179" t="s">
        <v>11</v>
      </c>
      <c r="C47" s="180"/>
      <c r="D47" s="15">
        <f>IF(F3="1",SUMIF(Data!A:A,'11'!$A$2,Data!DF:DF),0)</f>
        <v>258560</v>
      </c>
      <c r="E47" s="18">
        <f>IF(F3="1",SUMIF(Data!$A:$A,'11'!$A$2,Data!IZ:IZ),0)</f>
        <v>23267</v>
      </c>
      <c r="F47" s="22">
        <f t="shared" si="3"/>
        <v>8.9986850247524758E-2</v>
      </c>
    </row>
    <row r="48" spans="1:6" x14ac:dyDescent="0.2">
      <c r="A48" s="20">
        <v>13</v>
      </c>
      <c r="B48" s="179" t="s">
        <v>12</v>
      </c>
      <c r="C48" s="180"/>
      <c r="D48" s="15">
        <f>IF(F3="1",SUMIF(Data!A:A,'11'!$A$2,Data!DG:DG),0)</f>
        <v>17872</v>
      </c>
      <c r="E48" s="18">
        <f>IF(F3="1",SUMIF(Data!$A:$A,'11'!$A$2,Data!JA:JA),0)</f>
        <v>3324</v>
      </c>
      <c r="F48" s="22">
        <f t="shared" si="3"/>
        <v>0.1859892569382274</v>
      </c>
    </row>
    <row r="49" spans="1:6" ht="14.25" customHeight="1" x14ac:dyDescent="0.2">
      <c r="A49" s="20">
        <v>14</v>
      </c>
      <c r="B49" s="179" t="s">
        <v>804</v>
      </c>
      <c r="C49" s="180"/>
      <c r="D49" s="15">
        <f>IF(F3="1",SUMIF(Data!A:A,'11'!$A$2,Data!DH:DH),0)</f>
        <v>34124</v>
      </c>
      <c r="E49" s="18">
        <f>IF(F3="1",SUMIF(Data!$A:$A,'11'!$A$2,Data!JB:JB),0)</f>
        <v>158551</v>
      </c>
      <c r="F49" s="22">
        <f t="shared" si="3"/>
        <v>4.646319306060251</v>
      </c>
    </row>
    <row r="50" spans="1:6" x14ac:dyDescent="0.2">
      <c r="A50" s="20">
        <v>15</v>
      </c>
      <c r="B50" s="179" t="s">
        <v>13</v>
      </c>
      <c r="C50" s="180"/>
      <c r="D50" s="15">
        <f>IF(F3="1",SUMIF(Data!A:A,'11'!$A$2,Data!DI:DI),0)</f>
        <v>37984</v>
      </c>
      <c r="E50" s="18">
        <f>IF(F3="1",SUMIF(Data!$A:$A,'11'!$A$2,Data!JC:JC),0)</f>
        <v>234808</v>
      </c>
      <c r="F50" s="22">
        <f t="shared" si="3"/>
        <v>6.1817607413647853</v>
      </c>
    </row>
    <row r="51" spans="1:6" x14ac:dyDescent="0.2">
      <c r="A51" s="20">
        <v>16</v>
      </c>
      <c r="B51" s="179" t="s">
        <v>14</v>
      </c>
      <c r="C51" s="180"/>
      <c r="D51" s="15">
        <f>IF(F3="1",SUMIF(Data!A:A,'11'!$A$2,Data!DJ:DJ),0)</f>
        <v>84893</v>
      </c>
      <c r="E51" s="18">
        <f>IF(F3="1",SUMIF(Data!$A:$A,'11'!$A$2,Data!JD:JD),0)</f>
        <v>286417</v>
      </c>
      <c r="F51" s="22">
        <f t="shared" si="3"/>
        <v>3.3738588576207698</v>
      </c>
    </row>
    <row r="52" spans="1:6" x14ac:dyDescent="0.2">
      <c r="A52" s="20">
        <v>17</v>
      </c>
      <c r="B52" s="179" t="s">
        <v>15</v>
      </c>
      <c r="C52" s="180"/>
      <c r="D52" s="15">
        <f>IF(F3="1",SUMIF(Data!A:A,'11'!$A$2,Data!DK:DK),0)</f>
        <v>0</v>
      </c>
      <c r="E52" s="18">
        <f>IF(F3="1",SUMIF(Data!$A:$A,'11'!$A$2,Data!JE:JE),0)</f>
        <v>0</v>
      </c>
      <c r="F52" s="22" t="str">
        <f t="shared" si="3"/>
        <v/>
      </c>
    </row>
    <row r="53" spans="1:6" x14ac:dyDescent="0.2">
      <c r="A53" s="20">
        <v>18</v>
      </c>
      <c r="B53" s="179" t="s">
        <v>16</v>
      </c>
      <c r="C53" s="180"/>
      <c r="D53" s="15">
        <f>IF(F3="1",SUMIF(Data!A:A,'11'!$A$2,Data!DL:DL),0)</f>
        <v>133632</v>
      </c>
      <c r="E53" s="18">
        <f>IF(F3="1",SUMIF(Data!$A:$A,'11'!$A$2,Data!JF:JF),0)</f>
        <v>144776</v>
      </c>
      <c r="F53" s="22">
        <f t="shared" si="3"/>
        <v>1.0833931992337165</v>
      </c>
    </row>
    <row r="54" spans="1:6" x14ac:dyDescent="0.2">
      <c r="A54" s="20">
        <v>19</v>
      </c>
      <c r="B54" s="179" t="s">
        <v>17</v>
      </c>
      <c r="C54" s="180"/>
      <c r="D54" s="15">
        <f>IF(F3="1",SUMIF(Data!A:A,'11'!$A$2,Data!DM:DM),0)</f>
        <v>63280</v>
      </c>
      <c r="E54" s="18">
        <f>IF(F3="1",SUMIF(Data!$A:$A,'11'!$A$2,Data!JG:JG),0)</f>
        <v>13468</v>
      </c>
      <c r="F54" s="22">
        <f t="shared" si="3"/>
        <v>0.21283185840707963</v>
      </c>
    </row>
    <row r="55" spans="1:6" x14ac:dyDescent="0.2">
      <c r="A55" s="20">
        <v>20</v>
      </c>
      <c r="B55" s="179" t="s">
        <v>18</v>
      </c>
      <c r="C55" s="180"/>
      <c r="D55" s="15">
        <f>IF(F3="1",SUMIF(Data!A:A,'11'!$A$2,Data!DN:DN),0)</f>
        <v>31840</v>
      </c>
      <c r="E55" s="18">
        <f>IF(F3="1",SUMIF(Data!$A:$A,'11'!$A$2,Data!JH:JH),0)</f>
        <v>7448</v>
      </c>
      <c r="F55" s="22">
        <f t="shared" si="3"/>
        <v>0.23391959798994974</v>
      </c>
    </row>
    <row r="56" spans="1:6" ht="14.25" customHeight="1" x14ac:dyDescent="0.2">
      <c r="A56" s="20">
        <v>21</v>
      </c>
      <c r="B56" s="179" t="s">
        <v>801</v>
      </c>
      <c r="C56" s="180"/>
      <c r="D56" s="15">
        <f>IF(F3="1",SUMIF(Data!A:A,'11'!$A$2,Data!DO:DO),0)</f>
        <v>32246</v>
      </c>
      <c r="E56" s="18">
        <f>IF(F3="1",SUMIF(Data!$A:$A,'11'!$A$2,Data!JI:JI),0)</f>
        <v>15338</v>
      </c>
      <c r="F56" s="22">
        <f t="shared" si="3"/>
        <v>0.47565589530484403</v>
      </c>
    </row>
    <row r="57" spans="1:6" x14ac:dyDescent="0.2">
      <c r="A57" s="20">
        <v>22</v>
      </c>
      <c r="B57" s="179" t="s">
        <v>19</v>
      </c>
      <c r="C57" s="180"/>
      <c r="D57" s="15">
        <f>IF(F3="1",SUMIF(Data!A:A,'11'!$A$2,Data!DP:DP),0)</f>
        <v>1248</v>
      </c>
      <c r="E57" s="18">
        <f>IF(F3="1",SUMIF(Data!$A:$A,'11'!$A$2,Data!JJ:JJ),0)</f>
        <v>21618</v>
      </c>
      <c r="F57" s="22">
        <f t="shared" si="3"/>
        <v>17.322115384615383</v>
      </c>
    </row>
    <row r="58" spans="1:6" x14ac:dyDescent="0.2">
      <c r="A58" s="20">
        <v>23</v>
      </c>
      <c r="B58" s="179" t="s">
        <v>20</v>
      </c>
      <c r="C58" s="180"/>
      <c r="D58" s="15">
        <f>IF(F3="1",SUMIF(Data!A:A,'11'!$A$2,Data!DQ:DQ),0)</f>
        <v>35888</v>
      </c>
      <c r="E58" s="18">
        <f>IF(F3="1",SUMIF(Data!$A:$A,'11'!$A$2,Data!JK:JK),0)</f>
        <v>47296</v>
      </c>
      <c r="F58" s="22">
        <f t="shared" si="3"/>
        <v>1.3178778421756576</v>
      </c>
    </row>
    <row r="59" spans="1:6" x14ac:dyDescent="0.2">
      <c r="A59" s="20">
        <v>24</v>
      </c>
      <c r="B59" s="179" t="s">
        <v>21</v>
      </c>
      <c r="C59" s="180"/>
      <c r="D59" s="15">
        <f>IF(F3="1",SUMIF(Data!A:A,'11'!$A$2,Data!DR:DR),0)</f>
        <v>55437</v>
      </c>
      <c r="E59" s="18">
        <f>IF(F3="1",SUMIF(Data!$A:$A,'11'!$A$2,Data!JL:JL),0)</f>
        <v>49888</v>
      </c>
      <c r="F59" s="22">
        <f t="shared" si="3"/>
        <v>0.89990439598102345</v>
      </c>
    </row>
    <row r="60" spans="1:6" x14ac:dyDescent="0.2">
      <c r="A60" s="20">
        <v>25</v>
      </c>
      <c r="B60" s="179" t="s">
        <v>22</v>
      </c>
      <c r="C60" s="180"/>
      <c r="D60" s="15">
        <f>IF(F3="1",SUMIF(Data!A:A,'11'!$A$2,Data!DS:DS),0)</f>
        <v>276288</v>
      </c>
      <c r="E60" s="18">
        <f>IF(F3="1",SUMIF(Data!$A:$A,'11'!$A$2,Data!JM:JM),0)</f>
        <v>33459</v>
      </c>
      <c r="F60" s="22">
        <f t="shared" si="3"/>
        <v>0.121101893676164</v>
      </c>
    </row>
    <row r="61" spans="1:6" x14ac:dyDescent="0.2">
      <c r="A61" s="20">
        <v>26</v>
      </c>
      <c r="B61" s="179" t="s">
        <v>23</v>
      </c>
      <c r="C61" s="180"/>
      <c r="D61" s="15">
        <f>IF(F3="1",SUMIF(Data!A:A,'11'!$A$2,Data!DT:DT),0)</f>
        <v>68048</v>
      </c>
      <c r="E61" s="18">
        <f>IF(F3="1",SUMIF(Data!$A:$A,'11'!$A$2,Data!JN:JN),0)</f>
        <v>14339</v>
      </c>
      <c r="F61" s="22">
        <f t="shared" si="3"/>
        <v>0.21071890430284504</v>
      </c>
    </row>
    <row r="62" spans="1:6" x14ac:dyDescent="0.2">
      <c r="A62" s="20">
        <v>28</v>
      </c>
      <c r="B62" s="179" t="s">
        <v>24</v>
      </c>
      <c r="C62" s="180"/>
      <c r="D62" s="15">
        <f>IF(F3="1",SUMIF(Data!A:A,'11'!$A$2,Data!DV:DV),0)</f>
        <v>101760</v>
      </c>
      <c r="E62" s="18">
        <f>IF(F3="1",SUMIF(Data!$A:$A,'11'!$A$2,Data!JP:JP),0)</f>
        <v>17317</v>
      </c>
      <c r="F62" s="22">
        <f t="shared" si="3"/>
        <v>0.17017492138364779</v>
      </c>
    </row>
    <row r="63" spans="1:6" ht="15.75" customHeight="1" thickBot="1" x14ac:dyDescent="0.25">
      <c r="A63" s="23">
        <v>29</v>
      </c>
      <c r="B63" s="181" t="s">
        <v>25</v>
      </c>
      <c r="C63" s="182"/>
      <c r="D63" s="24">
        <f>IF(F3="1",SUMIF(Data!A:A,'11'!$A$2,Data!DW:DW),0)</f>
        <v>70472</v>
      </c>
      <c r="E63" s="25">
        <f>IF(F3="1",SUMIF(Data!$A:$A,'11'!$A$2,Data!JQ:JQ),0)</f>
        <v>13977</v>
      </c>
      <c r="F63" s="26">
        <f t="shared" si="3"/>
        <v>0.19833409013508912</v>
      </c>
    </row>
    <row r="64" spans="1:6" x14ac:dyDescent="0.2">
      <c r="B64" s="31" t="s">
        <v>35</v>
      </c>
      <c r="C64" s="31"/>
      <c r="D64" s="61">
        <f>SUM(D36:D63)</f>
        <v>2209284</v>
      </c>
      <c r="E64" s="32">
        <f>SUM(E36:E63)</f>
        <v>1769114</v>
      </c>
      <c r="F64" s="33">
        <f t="shared" si="3"/>
        <v>0.80076350528044382</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11568</v>
      </c>
      <c r="E67" s="16">
        <f>IF(F3="1",SUMIF(Data!A:A,'11'!$A$2,Data!DY:DY),0)</f>
        <v>109051</v>
      </c>
      <c r="F67" s="21">
        <f>IFERROR(E67/D67,"")</f>
        <v>9.4269536652835413</v>
      </c>
    </row>
    <row r="68" spans="1:6" x14ac:dyDescent="0.2">
      <c r="A68" s="20">
        <v>2</v>
      </c>
      <c r="B68" s="179" t="s">
        <v>1</v>
      </c>
      <c r="C68" s="180"/>
      <c r="D68" s="15">
        <f t="shared" ref="D68:D94" si="4">D37</f>
        <v>122131</v>
      </c>
      <c r="E68" s="18">
        <f>IF(F3="1",SUMIF(Data!A:A,'11'!$A$2,Data!DZ:DZ),0)</f>
        <v>212115</v>
      </c>
      <c r="F68" s="22">
        <f t="shared" ref="F68:F95" si="5">IFERROR(E68/D68,"")</f>
        <v>1.7367826350394249</v>
      </c>
    </row>
    <row r="69" spans="1:6" ht="14.25" customHeight="1" x14ac:dyDescent="0.2">
      <c r="A69" s="20">
        <v>3</v>
      </c>
      <c r="B69" s="179" t="s">
        <v>2</v>
      </c>
      <c r="C69" s="180"/>
      <c r="D69" s="15">
        <f t="shared" si="4"/>
        <v>181536</v>
      </c>
      <c r="E69" s="18">
        <f>IF(F3="1",SUMIF(Data!A:A,'11'!$A$2,Data!EA:EA),0)</f>
        <v>455741</v>
      </c>
      <c r="F69" s="22">
        <f t="shared" si="5"/>
        <v>2.5104717521593511</v>
      </c>
    </row>
    <row r="70" spans="1:6" ht="14.25" customHeight="1" x14ac:dyDescent="0.2">
      <c r="A70" s="20">
        <v>4</v>
      </c>
      <c r="B70" s="179" t="s">
        <v>3</v>
      </c>
      <c r="C70" s="180"/>
      <c r="D70" s="15">
        <f t="shared" si="4"/>
        <v>121088</v>
      </c>
      <c r="E70" s="18">
        <f>IF(F3="1",SUMIF(Data!A:A,'11'!$A$2,Data!EB:EB),0)</f>
        <v>451713</v>
      </c>
      <c r="F70" s="22">
        <f t="shared" si="5"/>
        <v>3.7304522330866807</v>
      </c>
    </row>
    <row r="71" spans="1:6" x14ac:dyDescent="0.2">
      <c r="A71" s="20">
        <v>5</v>
      </c>
      <c r="B71" s="179" t="s">
        <v>4</v>
      </c>
      <c r="C71" s="180"/>
      <c r="D71" s="15">
        <f t="shared" si="4"/>
        <v>0</v>
      </c>
      <c r="E71" s="18">
        <f>IF(F3="1",SUMIF(Data!A:A,'11'!$A$2,Data!EC:EC),0)</f>
        <v>0</v>
      </c>
      <c r="F71" s="22" t="str">
        <f t="shared" si="5"/>
        <v/>
      </c>
    </row>
    <row r="72" spans="1:6" x14ac:dyDescent="0.2">
      <c r="A72" s="20">
        <v>6</v>
      </c>
      <c r="B72" s="179" t="s">
        <v>5</v>
      </c>
      <c r="C72" s="180"/>
      <c r="D72" s="15">
        <f t="shared" si="4"/>
        <v>15193</v>
      </c>
      <c r="E72" s="18">
        <f>IF(F3="1",SUMIF(Data!A:A,'11'!$A$2,Data!ED:ED),0)</f>
        <v>149028</v>
      </c>
      <c r="F72" s="22">
        <f t="shared" si="5"/>
        <v>9.8089909826893962</v>
      </c>
    </row>
    <row r="73" spans="1:6" x14ac:dyDescent="0.2">
      <c r="A73" s="20">
        <v>7</v>
      </c>
      <c r="B73" s="179" t="s">
        <v>6</v>
      </c>
      <c r="C73" s="180"/>
      <c r="D73" s="15">
        <f t="shared" si="4"/>
        <v>144140</v>
      </c>
      <c r="E73" s="18">
        <f>IF(F3="1",SUMIF(Data!A:A,'11'!$A$2,Data!EE:EE),0)</f>
        <v>442783</v>
      </c>
      <c r="F73" s="22">
        <f t="shared" si="5"/>
        <v>3.0718953794921604</v>
      </c>
    </row>
    <row r="74" spans="1:6" x14ac:dyDescent="0.2">
      <c r="A74" s="20">
        <v>8</v>
      </c>
      <c r="B74" s="179" t="s">
        <v>7</v>
      </c>
      <c r="C74" s="180"/>
      <c r="D74" s="15">
        <f t="shared" si="4"/>
        <v>20984</v>
      </c>
      <c r="E74" s="18">
        <f>IF(F3="1",SUMIF(Data!A:A,'11'!$A$2,Data!EF:EF),0)</f>
        <v>84289</v>
      </c>
      <c r="F74" s="22">
        <f t="shared" si="5"/>
        <v>4.0168223408311095</v>
      </c>
    </row>
    <row r="75" spans="1:6" x14ac:dyDescent="0.2">
      <c r="A75" s="20">
        <v>9</v>
      </c>
      <c r="B75" s="179" t="s">
        <v>8</v>
      </c>
      <c r="C75" s="180"/>
      <c r="D75" s="15">
        <f t="shared" si="4"/>
        <v>162006</v>
      </c>
      <c r="E75" s="18">
        <f>IF(F3="1",SUMIF(Data!A:A,'11'!$A$2,Data!EG:EG),0)</f>
        <v>509698</v>
      </c>
      <c r="F75" s="22">
        <f t="shared" si="5"/>
        <v>3.1461674258978061</v>
      </c>
    </row>
    <row r="76" spans="1:6" x14ac:dyDescent="0.2">
      <c r="A76" s="20">
        <v>10</v>
      </c>
      <c r="B76" s="179" t="s">
        <v>9</v>
      </c>
      <c r="C76" s="180"/>
      <c r="D76" s="15">
        <f t="shared" si="4"/>
        <v>672</v>
      </c>
      <c r="E76" s="18">
        <f>IF(F3="1",SUMIF(Data!A:A,'11'!$A$2,Data!EH:EH),0)</f>
        <v>0</v>
      </c>
      <c r="F76" s="22">
        <f t="shared" si="5"/>
        <v>0</v>
      </c>
    </row>
    <row r="77" spans="1:6" x14ac:dyDescent="0.2">
      <c r="A77" s="20">
        <v>11</v>
      </c>
      <c r="B77" s="179" t="s">
        <v>10</v>
      </c>
      <c r="C77" s="180"/>
      <c r="D77" s="15">
        <f t="shared" si="4"/>
        <v>126394</v>
      </c>
      <c r="E77" s="18">
        <f>IF(F3="1",SUMIF(Data!A:A,'11'!$A$2,Data!EI:EI),0)</f>
        <v>194140</v>
      </c>
      <c r="F77" s="22">
        <f t="shared" si="5"/>
        <v>1.535990632466731</v>
      </c>
    </row>
    <row r="78" spans="1:6" ht="14.25" customHeight="1" x14ac:dyDescent="0.2">
      <c r="A78" s="20">
        <v>12</v>
      </c>
      <c r="B78" s="179" t="s">
        <v>11</v>
      </c>
      <c r="C78" s="180"/>
      <c r="D78" s="15">
        <f t="shared" si="4"/>
        <v>258560</v>
      </c>
      <c r="E78" s="18">
        <f>IF(F3="1",SUMIF(Data!A:A,'11'!$A$2,Data!EJ:EJ),0)</f>
        <v>576499</v>
      </c>
      <c r="F78" s="22">
        <f t="shared" si="5"/>
        <v>2.2296526918316832</v>
      </c>
    </row>
    <row r="79" spans="1:6" x14ac:dyDescent="0.2">
      <c r="A79" s="20">
        <v>13</v>
      </c>
      <c r="B79" s="179" t="s">
        <v>12</v>
      </c>
      <c r="C79" s="180"/>
      <c r="D79" s="15">
        <f t="shared" si="4"/>
        <v>17872</v>
      </c>
      <c r="E79" s="18">
        <f>IF(F3="1",SUMIF(Data!A:A,'11'!$A$2,Data!EK:EK),0)</f>
        <v>53413</v>
      </c>
      <c r="F79" s="22">
        <f t="shared" si="5"/>
        <v>2.9886414503133394</v>
      </c>
    </row>
    <row r="80" spans="1:6" ht="14.25" customHeight="1" x14ac:dyDescent="0.2">
      <c r="A80" s="20">
        <v>14</v>
      </c>
      <c r="B80" s="179" t="s">
        <v>804</v>
      </c>
      <c r="C80" s="180"/>
      <c r="D80" s="15">
        <f t="shared" si="4"/>
        <v>34124</v>
      </c>
      <c r="E80" s="18">
        <f>IF(F3="1",SUMIF(Data!A:A,'11'!$A$2,Data!EL:EL),0)</f>
        <v>170744</v>
      </c>
      <c r="F80" s="22">
        <f t="shared" si="5"/>
        <v>5.0036338061188603</v>
      </c>
    </row>
    <row r="81" spans="1:6" x14ac:dyDescent="0.2">
      <c r="A81" s="20">
        <v>15</v>
      </c>
      <c r="B81" s="179" t="s">
        <v>13</v>
      </c>
      <c r="C81" s="180"/>
      <c r="D81" s="15">
        <f t="shared" si="4"/>
        <v>37984</v>
      </c>
      <c r="E81" s="18">
        <f>IF(F3="1",SUMIF(Data!A:A,'11'!$A$2,Data!EM:EM),0)</f>
        <v>284536</v>
      </c>
      <c r="F81" s="22">
        <f t="shared" si="5"/>
        <v>7.4909435551811292</v>
      </c>
    </row>
    <row r="82" spans="1:6" x14ac:dyDescent="0.2">
      <c r="A82" s="20">
        <v>16</v>
      </c>
      <c r="B82" s="179" t="s">
        <v>14</v>
      </c>
      <c r="C82" s="180"/>
      <c r="D82" s="15">
        <f t="shared" si="4"/>
        <v>84893</v>
      </c>
      <c r="E82" s="18">
        <f>IF(F3="1",SUMIF(Data!A:A,'11'!$A$2,Data!EN:EN),0)</f>
        <v>178866</v>
      </c>
      <c r="F82" s="22">
        <f t="shared" si="5"/>
        <v>2.1069581708739236</v>
      </c>
    </row>
    <row r="83" spans="1:6" x14ac:dyDescent="0.2">
      <c r="A83" s="20">
        <v>17</v>
      </c>
      <c r="B83" s="179" t="s">
        <v>15</v>
      </c>
      <c r="C83" s="180"/>
      <c r="D83" s="15">
        <f t="shared" si="4"/>
        <v>0</v>
      </c>
      <c r="E83" s="18">
        <f>IF(F3="1",SUMIF(Data!A:A,'11'!$A$2,Data!EO:EO),0)</f>
        <v>0</v>
      </c>
      <c r="F83" s="22" t="str">
        <f t="shared" si="5"/>
        <v/>
      </c>
    </row>
    <row r="84" spans="1:6" x14ac:dyDescent="0.2">
      <c r="A84" s="20">
        <v>18</v>
      </c>
      <c r="B84" s="179" t="s">
        <v>16</v>
      </c>
      <c r="C84" s="180"/>
      <c r="D84" s="15">
        <f t="shared" si="4"/>
        <v>133632</v>
      </c>
      <c r="E84" s="18">
        <f>IF(F3="1",SUMIF(Data!A:A,'11'!$A$2,Data!EP:EP),0)</f>
        <v>518227</v>
      </c>
      <c r="F84" s="22">
        <f t="shared" si="5"/>
        <v>3.8780157447318007</v>
      </c>
    </row>
    <row r="85" spans="1:6" x14ac:dyDescent="0.2">
      <c r="A85" s="20">
        <v>19</v>
      </c>
      <c r="B85" s="179" t="s">
        <v>17</v>
      </c>
      <c r="C85" s="180"/>
      <c r="D85" s="15">
        <f t="shared" si="4"/>
        <v>63280</v>
      </c>
      <c r="E85" s="18">
        <f>IF(F3="1",SUMIF(Data!A:A,'11'!$A$2,Data!EQ:EQ),0)</f>
        <v>270038</v>
      </c>
      <c r="F85" s="22">
        <f t="shared" si="5"/>
        <v>4.2673514538558788</v>
      </c>
    </row>
    <row r="86" spans="1:6" x14ac:dyDescent="0.2">
      <c r="A86" s="20">
        <v>20</v>
      </c>
      <c r="B86" s="179" t="s">
        <v>18</v>
      </c>
      <c r="C86" s="180"/>
      <c r="D86" s="15">
        <f t="shared" si="4"/>
        <v>31840</v>
      </c>
      <c r="E86" s="18">
        <f>IF(F3="1",SUMIF(Data!A:A,'11'!$A$2,Data!ER:ER),0)</f>
        <v>95552</v>
      </c>
      <c r="F86" s="22">
        <f t="shared" si="5"/>
        <v>3.0010050251256279</v>
      </c>
    </row>
    <row r="87" spans="1:6" ht="14.25" customHeight="1" x14ac:dyDescent="0.2">
      <c r="A87" s="20">
        <v>21</v>
      </c>
      <c r="B87" s="179" t="s">
        <v>801</v>
      </c>
      <c r="C87" s="180"/>
      <c r="D87" s="15">
        <f t="shared" si="4"/>
        <v>32246</v>
      </c>
      <c r="E87" s="18">
        <f>IF(F3="1",SUMIF(Data!A:A,'11'!$A$2,Data!ES:ES),0)</f>
        <v>56371</v>
      </c>
      <c r="F87" s="22">
        <f t="shared" si="5"/>
        <v>1.7481548098989022</v>
      </c>
    </row>
    <row r="88" spans="1:6" x14ac:dyDescent="0.2">
      <c r="A88" s="20">
        <v>22</v>
      </c>
      <c r="B88" s="179" t="s">
        <v>19</v>
      </c>
      <c r="C88" s="180"/>
      <c r="D88" s="15">
        <f t="shared" si="4"/>
        <v>1248</v>
      </c>
      <c r="E88" s="18">
        <f>IF(F3="1",SUMIF(Data!A:A,'11'!$A$2,Data!ET:ET),0)</f>
        <v>91733</v>
      </c>
      <c r="F88" s="22">
        <f t="shared" si="5"/>
        <v>73.504006410256409</v>
      </c>
    </row>
    <row r="89" spans="1:6" x14ac:dyDescent="0.2">
      <c r="A89" s="20">
        <v>23</v>
      </c>
      <c r="B89" s="179" t="s">
        <v>20</v>
      </c>
      <c r="C89" s="180"/>
      <c r="D89" s="15">
        <f t="shared" si="4"/>
        <v>35888</v>
      </c>
      <c r="E89" s="18">
        <f>IF(F3="1",SUMIF(Data!A:A,'11'!$A$2,Data!EU:EU),0)</f>
        <v>140251</v>
      </c>
      <c r="F89" s="22">
        <f t="shared" si="5"/>
        <v>3.9080193936691932</v>
      </c>
    </row>
    <row r="90" spans="1:6" x14ac:dyDescent="0.2">
      <c r="A90" s="20">
        <v>24</v>
      </c>
      <c r="B90" s="179" t="s">
        <v>21</v>
      </c>
      <c r="C90" s="180"/>
      <c r="D90" s="15">
        <f t="shared" si="4"/>
        <v>55437</v>
      </c>
      <c r="E90" s="18">
        <f>IF(F3="1",SUMIF(Data!A:A,'11'!$A$2,Data!EV:EV),0)</f>
        <v>171967</v>
      </c>
      <c r="F90" s="22">
        <f t="shared" si="5"/>
        <v>3.1020257228926531</v>
      </c>
    </row>
    <row r="91" spans="1:6" x14ac:dyDescent="0.2">
      <c r="A91" s="20">
        <v>25</v>
      </c>
      <c r="B91" s="179" t="s">
        <v>22</v>
      </c>
      <c r="C91" s="180"/>
      <c r="D91" s="15">
        <f t="shared" si="4"/>
        <v>276288</v>
      </c>
      <c r="E91" s="18">
        <f>IF(F3="1",SUMIF(Data!A:A,'11'!$A$2,Data!EW:EW),0)</f>
        <v>707234</v>
      </c>
      <c r="F91" s="22">
        <f t="shared" si="5"/>
        <v>2.5597709636321522</v>
      </c>
    </row>
    <row r="92" spans="1:6" x14ac:dyDescent="0.2">
      <c r="A92" s="20">
        <v>26</v>
      </c>
      <c r="B92" s="179" t="s">
        <v>23</v>
      </c>
      <c r="C92" s="180"/>
      <c r="D92" s="15">
        <f t="shared" si="4"/>
        <v>68048</v>
      </c>
      <c r="E92" s="18">
        <f>IF(F3="1",SUMIF(Data!A:A,'11'!$A$2,Data!EX:EX),0)</f>
        <v>185550</v>
      </c>
      <c r="F92" s="22">
        <f t="shared" si="5"/>
        <v>2.7267517046790499</v>
      </c>
    </row>
    <row r="93" spans="1:6" x14ac:dyDescent="0.2">
      <c r="A93" s="20">
        <v>28</v>
      </c>
      <c r="B93" s="179" t="s">
        <v>24</v>
      </c>
      <c r="C93" s="180"/>
      <c r="D93" s="15">
        <f t="shared" si="4"/>
        <v>101760</v>
      </c>
      <c r="E93" s="18">
        <f>IF(F3="1",SUMIF(Data!A:A,'11'!$A$2,Data!EZ:EZ),0)</f>
        <v>258614</v>
      </c>
      <c r="F93" s="22">
        <f t="shared" si="5"/>
        <v>2.5414111635220125</v>
      </c>
    </row>
    <row r="94" spans="1:6" ht="15.75" customHeight="1" thickBot="1" x14ac:dyDescent="0.25">
      <c r="A94" s="23">
        <v>29</v>
      </c>
      <c r="B94" s="181" t="s">
        <v>25</v>
      </c>
      <c r="C94" s="182"/>
      <c r="D94" s="24">
        <f t="shared" si="4"/>
        <v>70472</v>
      </c>
      <c r="E94" s="25">
        <f>IF(F3="1",SUMIF(Data!A:A,'11'!$A$2,Data!FA:FA),0)</f>
        <v>240946</v>
      </c>
      <c r="F94" s="26">
        <f t="shared" si="5"/>
        <v>3.4190316721534795</v>
      </c>
    </row>
    <row r="95" spans="1:6" x14ac:dyDescent="0.2">
      <c r="B95" s="31" t="s">
        <v>35</v>
      </c>
      <c r="C95" s="31"/>
      <c r="D95" s="61">
        <f>SUM(D67:D94)</f>
        <v>2209284</v>
      </c>
      <c r="E95" s="32">
        <f>SUM(E67:E94)</f>
        <v>6609099</v>
      </c>
      <c r="F95" s="33">
        <f t="shared" si="5"/>
        <v>2.9915117295920308</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IF(F3="1",SUMIF(Data!A:A,'11'!$A$2,Data!AH:AH),0)</f>
        <v>4471862</v>
      </c>
      <c r="F98" s="21">
        <f t="shared" ref="F98:F105" si="6">IFERROR(E98/$D$95,0)</f>
        <v>2.0241227474602632</v>
      </c>
    </row>
    <row r="99" spans="2:6" x14ac:dyDescent="0.2">
      <c r="B99" s="185" t="s">
        <v>31</v>
      </c>
      <c r="C99" s="186"/>
      <c r="D99" s="37"/>
      <c r="E99" s="18">
        <f>IF(F3="1",SUMIF(Data!A:A,'11'!$A$2,Data!AI:AI),0)</f>
        <v>825668</v>
      </c>
      <c r="F99" s="22">
        <f t="shared" si="6"/>
        <v>0.37372651048937122</v>
      </c>
    </row>
    <row r="100" spans="2:6" x14ac:dyDescent="0.2">
      <c r="B100" s="185" t="s">
        <v>32</v>
      </c>
      <c r="C100" s="186"/>
      <c r="D100" s="37"/>
      <c r="E100" s="18">
        <f>IF(F3="1",SUMIF(Data!A:A,'11'!$A$2,Data!AJ:AJ),0)</f>
        <v>745470</v>
      </c>
      <c r="F100" s="22">
        <f t="shared" si="6"/>
        <v>0.33742606201828285</v>
      </c>
    </row>
    <row r="101" spans="2:6" x14ac:dyDescent="0.2">
      <c r="B101" s="185" t="s">
        <v>28</v>
      </c>
      <c r="C101" s="186"/>
      <c r="D101" s="37"/>
      <c r="E101" s="18">
        <f>IF(F3="1",SUMIF(Data!A:A,'11'!$A$2,Data!AK:AK),0)</f>
        <v>0</v>
      </c>
      <c r="F101" s="22">
        <f t="shared" si="6"/>
        <v>0</v>
      </c>
    </row>
    <row r="102" spans="2:6" x14ac:dyDescent="0.2">
      <c r="B102" s="185" t="s">
        <v>33</v>
      </c>
      <c r="C102" s="186"/>
      <c r="D102" s="37"/>
      <c r="E102" s="18">
        <f>IF(F3="1",SUMIF(Data!A:A,'11'!$A$2,Data!AL:AL),0)</f>
        <v>92094</v>
      </c>
      <c r="F102" s="22">
        <f t="shared" si="6"/>
        <v>4.1684998397670918E-2</v>
      </c>
    </row>
    <row r="103" spans="2:6" x14ac:dyDescent="0.2">
      <c r="B103" s="187" t="s">
        <v>34</v>
      </c>
      <c r="C103" s="188"/>
      <c r="D103" s="37"/>
      <c r="E103" s="18">
        <f>IF(F3="1",SUMIF(Data!A:A,'11'!$A$2,Data!AM:AM),0)</f>
        <v>432542</v>
      </c>
      <c r="F103" s="22">
        <f t="shared" si="6"/>
        <v>0.19578379239608851</v>
      </c>
    </row>
    <row r="104" spans="2:6" ht="15.75" customHeight="1" thickBot="1" x14ac:dyDescent="0.25">
      <c r="B104" s="177" t="s">
        <v>29</v>
      </c>
      <c r="C104" s="178"/>
      <c r="D104" s="38"/>
      <c r="E104" s="25">
        <f>IF(F3="1",SUMIF(Data!A:A,'11'!$A$2,Data!Q:Q),0)</f>
        <v>146069</v>
      </c>
      <c r="F104" s="26">
        <f t="shared" si="6"/>
        <v>6.611599052000558E-2</v>
      </c>
    </row>
    <row r="105" spans="2:6" x14ac:dyDescent="0.2">
      <c r="B105" s="31" t="s">
        <v>35</v>
      </c>
      <c r="C105" s="31"/>
      <c r="D105" s="35">
        <f>D95</f>
        <v>2209284</v>
      </c>
      <c r="E105" s="32">
        <f>SUM(E98:E104)</f>
        <v>6713705</v>
      </c>
      <c r="F105" s="33">
        <f t="shared" si="6"/>
        <v>3.0388601012816823</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7470686</v>
      </c>
      <c r="D109" s="16">
        <f>IF(F3="1",SUMIF(Data!$A:$A,$A$2,Data!HJ:HJ),0)</f>
        <v>226530</v>
      </c>
      <c r="E109" s="16">
        <f>IF(F3="1",SUMIF(Data!$A:$A,$A$2,Data!IN:IN),0)</f>
        <v>680997</v>
      </c>
      <c r="F109" s="48">
        <f>SUM(C109:E109)</f>
        <v>8378213</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66949</v>
      </c>
      <c r="D111" s="52"/>
      <c r="E111" s="51">
        <f>IF(F3="1",SUMIF(Data!A:A,$A$2,Data!AX:AX),0)</f>
        <v>159177</v>
      </c>
      <c r="F111" s="49">
        <f t="shared" si="7"/>
        <v>226126</v>
      </c>
    </row>
    <row r="112" spans="2:6" x14ac:dyDescent="0.2">
      <c r="B112" s="43" t="s">
        <v>32</v>
      </c>
      <c r="C112" s="51">
        <f>IF(F3="1",SUMIF(Data!A:A,$A$2,Data!V:V),0)</f>
        <v>565670</v>
      </c>
      <c r="D112" s="52"/>
      <c r="E112" s="51">
        <f>IF(F3="1",SUMIF(Data!A:A,$A$2,Data!AC:AC),0)</f>
        <v>179800</v>
      </c>
      <c r="F112" s="49">
        <f t="shared" si="7"/>
        <v>745470</v>
      </c>
    </row>
    <row r="113" spans="1:6" x14ac:dyDescent="0.2">
      <c r="B113" s="43" t="s">
        <v>31</v>
      </c>
      <c r="C113" s="51">
        <f>IF(F3="1",SUMIF(Data!A:A,$A$2,Data!U:U),0)</f>
        <v>574686</v>
      </c>
      <c r="D113" s="52"/>
      <c r="E113" s="51">
        <f>IF(F3="1",SUMIF(Data!A:A,$A$2,Data!AB:AB),0)</f>
        <v>250982</v>
      </c>
      <c r="F113" s="49">
        <f t="shared" si="7"/>
        <v>825668</v>
      </c>
    </row>
    <row r="114" spans="1:6" x14ac:dyDescent="0.2">
      <c r="B114" s="43" t="s">
        <v>1363</v>
      </c>
      <c r="C114" s="51">
        <f>IF(F3="1",SUMIF(Data!A:A,$A$2,Data!T:T),0)</f>
        <v>2290972</v>
      </c>
      <c r="D114" s="52"/>
      <c r="E114" s="51">
        <f>IF(F3="1",SUMIF(Data!A:A,$A$2,Data!AA:AA),0)</f>
        <v>2180890</v>
      </c>
      <c r="F114" s="49">
        <f t="shared" si="7"/>
        <v>4471862</v>
      </c>
    </row>
    <row r="115" spans="1:6" x14ac:dyDescent="0.2">
      <c r="B115" s="43" t="s">
        <v>1278</v>
      </c>
      <c r="C115" s="51">
        <f>IF(F3="1",SUMIF(Data!A:A,$A$2,Data!BI:BI),0)</f>
        <v>780358</v>
      </c>
      <c r="D115" s="51">
        <f>IF(F3="1",SUMIF(Data!A:A,$A$2,Data!BL:BL),0)</f>
        <v>281358</v>
      </c>
      <c r="E115" s="51">
        <f>IF(F3="1",SUMIF(Data!A:A,$A$2,Data!BU:BU),0)</f>
        <v>1751254</v>
      </c>
      <c r="F115" s="49">
        <f t="shared" si="7"/>
        <v>2812970</v>
      </c>
    </row>
    <row r="116" spans="1:6" x14ac:dyDescent="0.2">
      <c r="B116" s="43" t="s">
        <v>33</v>
      </c>
      <c r="C116" s="51">
        <f>IF(F3="1",SUMIF(Data!A:A,$A$2,Data!X:X),0)</f>
        <v>0</v>
      </c>
      <c r="D116" s="51"/>
      <c r="E116" s="51">
        <f>E102</f>
        <v>92094</v>
      </c>
      <c r="F116" s="49">
        <f t="shared" si="7"/>
        <v>92094</v>
      </c>
    </row>
    <row r="117" spans="1:6" ht="15" thickBot="1" x14ac:dyDescent="0.25">
      <c r="B117" s="44" t="s">
        <v>1282</v>
      </c>
      <c r="C117" s="53"/>
      <c r="D117" s="53">
        <f>IF(F3="1",SUMIF(Data!A:A,$A$2,Data!Q:Q),0)</f>
        <v>146069</v>
      </c>
      <c r="E117" s="53"/>
      <c r="F117" s="50">
        <f>SUM(C117:E117)</f>
        <v>146069</v>
      </c>
    </row>
    <row r="118" spans="1:6" x14ac:dyDescent="0.2">
      <c r="B118" s="14" t="s">
        <v>35</v>
      </c>
      <c r="C118" s="5">
        <f>SUM(C109:C116)</f>
        <v>11749321</v>
      </c>
      <c r="D118" s="5">
        <f>SUM(D109:D116)</f>
        <v>507888</v>
      </c>
      <c r="E118" s="5">
        <f>SUM(E109:E116)</f>
        <v>5295194</v>
      </c>
      <c r="F118" s="5">
        <f>SUM(F109:F116)</f>
        <v>17552403</v>
      </c>
    </row>
    <row r="119" spans="1:6" ht="15" thickBot="1" x14ac:dyDescent="0.25"/>
    <row r="120" spans="1:6" ht="15" thickBot="1" x14ac:dyDescent="0.25">
      <c r="B120" s="57" t="s">
        <v>1283</v>
      </c>
      <c r="C120" s="55"/>
      <c r="D120" s="55"/>
      <c r="E120" s="55">
        <f>IF(F3="1",SUMIF(Data!A:A,'11'!$A$2,Data!AM:AM),0)</f>
        <v>432542</v>
      </c>
      <c r="F120" s="56">
        <f>SUM(C120:E120)</f>
        <v>432542</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140625" style="11"/>
    <col min="12" max="14" width="6"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650</v>
      </c>
      <c r="B2" s="60" t="str">
        <f>VLOOKUP(A2,Data!A:G,7,0)</f>
        <v>College of the Mainland Community College District</v>
      </c>
      <c r="C2" s="60"/>
    </row>
    <row r="3" spans="1:6" ht="15" thickBot="1" x14ac:dyDescent="0.25">
      <c r="A3" s="4"/>
      <c r="F3" s="58">
        <f>IFERROR(VLOOKUP(A2,Data!A:C,3,0),"0")</f>
        <v>0</v>
      </c>
    </row>
    <row r="4" spans="1:6" ht="29.25" customHeight="1" x14ac:dyDescent="0.2">
      <c r="A4" s="27" t="s">
        <v>26</v>
      </c>
      <c r="B4" s="189" t="s">
        <v>805</v>
      </c>
      <c r="C4" s="190"/>
      <c r="D4" s="29" t="s">
        <v>27</v>
      </c>
      <c r="E4" s="29" t="s">
        <v>802</v>
      </c>
      <c r="F4" s="30" t="s">
        <v>803</v>
      </c>
    </row>
    <row r="5" spans="1:6" x14ac:dyDescent="0.2">
      <c r="A5" s="20">
        <v>1</v>
      </c>
      <c r="B5" s="179" t="s">
        <v>0</v>
      </c>
      <c r="C5" s="180"/>
      <c r="D5" s="15">
        <f>D36</f>
        <v>0</v>
      </c>
      <c r="E5" s="16">
        <f>E36+E67+IFERROR($E$105/$D$105*D5,0)</f>
        <v>0</v>
      </c>
      <c r="F5" s="21" t="str">
        <f>IFERROR(E5/D5,"")</f>
        <v/>
      </c>
    </row>
    <row r="6" spans="1:6" x14ac:dyDescent="0.2">
      <c r="A6" s="20">
        <v>2</v>
      </c>
      <c r="B6" s="179" t="s">
        <v>1</v>
      </c>
      <c r="C6" s="180"/>
      <c r="D6" s="15">
        <f t="shared" ref="D6:D32" si="0">D37</f>
        <v>0</v>
      </c>
      <c r="E6" s="18">
        <f t="shared" ref="E6:E32" si="1">E37+E68+IFERROR($E$105/$D$105*D6,0)</f>
        <v>0</v>
      </c>
      <c r="F6" s="22" t="str">
        <f t="shared" ref="F6:F33" si="2">IFERROR(E6/D6,"")</f>
        <v/>
      </c>
    </row>
    <row r="7" spans="1:6" ht="14.25" customHeight="1" x14ac:dyDescent="0.2">
      <c r="A7" s="20">
        <v>3</v>
      </c>
      <c r="B7" s="179" t="s">
        <v>2</v>
      </c>
      <c r="C7" s="180"/>
      <c r="D7" s="15">
        <f t="shared" si="0"/>
        <v>0</v>
      </c>
      <c r="E7" s="18">
        <f t="shared" si="1"/>
        <v>0</v>
      </c>
      <c r="F7" s="22" t="str">
        <f t="shared" si="2"/>
        <v/>
      </c>
    </row>
    <row r="8" spans="1:6" ht="14.25" customHeight="1" x14ac:dyDescent="0.2">
      <c r="A8" s="20">
        <v>4</v>
      </c>
      <c r="B8" s="179" t="s">
        <v>3</v>
      </c>
      <c r="C8" s="180"/>
      <c r="D8" s="15">
        <f t="shared" si="0"/>
        <v>0</v>
      </c>
      <c r="E8" s="18">
        <f t="shared" si="1"/>
        <v>0</v>
      </c>
      <c r="F8" s="22" t="str">
        <f t="shared" si="2"/>
        <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0</v>
      </c>
      <c r="E10" s="18">
        <f t="shared" si="1"/>
        <v>0</v>
      </c>
      <c r="F10" s="22" t="str">
        <f t="shared" si="2"/>
        <v/>
      </c>
    </row>
    <row r="11" spans="1:6" x14ac:dyDescent="0.2">
      <c r="A11" s="20">
        <v>7</v>
      </c>
      <c r="B11" s="179" t="s">
        <v>6</v>
      </c>
      <c r="C11" s="180"/>
      <c r="D11" s="15">
        <f t="shared" si="0"/>
        <v>0</v>
      </c>
      <c r="E11" s="18">
        <f t="shared" si="1"/>
        <v>0</v>
      </c>
      <c r="F11" s="22" t="str">
        <f t="shared" si="2"/>
        <v/>
      </c>
    </row>
    <row r="12" spans="1:6" x14ac:dyDescent="0.2">
      <c r="A12" s="20">
        <v>8</v>
      </c>
      <c r="B12" s="179" t="s">
        <v>7</v>
      </c>
      <c r="C12" s="180"/>
      <c r="D12" s="15">
        <f t="shared" si="0"/>
        <v>0</v>
      </c>
      <c r="E12" s="18">
        <f t="shared" si="1"/>
        <v>0</v>
      </c>
      <c r="F12" s="22" t="str">
        <f t="shared" si="2"/>
        <v/>
      </c>
    </row>
    <row r="13" spans="1:6" x14ac:dyDescent="0.2">
      <c r="A13" s="20">
        <v>9</v>
      </c>
      <c r="B13" s="179" t="s">
        <v>8</v>
      </c>
      <c r="C13" s="180"/>
      <c r="D13" s="15">
        <f t="shared" si="0"/>
        <v>0</v>
      </c>
      <c r="E13" s="18">
        <f t="shared" si="1"/>
        <v>0</v>
      </c>
      <c r="F13" s="22" t="str">
        <f t="shared" si="2"/>
        <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0</v>
      </c>
      <c r="E15" s="18">
        <f t="shared" si="1"/>
        <v>0</v>
      </c>
      <c r="F15" s="22" t="str">
        <f t="shared" si="2"/>
        <v/>
      </c>
    </row>
    <row r="16" spans="1:6" ht="14.25" customHeight="1" x14ac:dyDescent="0.2">
      <c r="A16" s="20">
        <v>12</v>
      </c>
      <c r="B16" s="179" t="s">
        <v>11</v>
      </c>
      <c r="C16" s="180"/>
      <c r="D16" s="15">
        <f t="shared" si="0"/>
        <v>0</v>
      </c>
      <c r="E16" s="18">
        <f t="shared" si="1"/>
        <v>0</v>
      </c>
      <c r="F16" s="22" t="str">
        <f t="shared" si="2"/>
        <v/>
      </c>
    </row>
    <row r="17" spans="1:6" x14ac:dyDescent="0.2">
      <c r="A17" s="20">
        <v>13</v>
      </c>
      <c r="B17" s="179" t="s">
        <v>12</v>
      </c>
      <c r="C17" s="180"/>
      <c r="D17" s="15">
        <f t="shared" si="0"/>
        <v>0</v>
      </c>
      <c r="E17" s="18">
        <f t="shared" si="1"/>
        <v>0</v>
      </c>
      <c r="F17" s="22" t="str">
        <f t="shared" si="2"/>
        <v/>
      </c>
    </row>
    <row r="18" spans="1:6" ht="14.25" customHeight="1" x14ac:dyDescent="0.2">
      <c r="A18" s="20">
        <v>14</v>
      </c>
      <c r="B18" s="179" t="s">
        <v>804</v>
      </c>
      <c r="C18" s="180"/>
      <c r="D18" s="15">
        <f t="shared" si="0"/>
        <v>0</v>
      </c>
      <c r="E18" s="18">
        <f t="shared" si="1"/>
        <v>0</v>
      </c>
      <c r="F18" s="22" t="str">
        <f t="shared" si="2"/>
        <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0</v>
      </c>
      <c r="E20" s="18">
        <f t="shared" si="1"/>
        <v>0</v>
      </c>
      <c r="F20" s="22" t="str">
        <f t="shared" si="2"/>
        <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0</v>
      </c>
      <c r="E22" s="18">
        <f t="shared" si="1"/>
        <v>0</v>
      </c>
      <c r="F22" s="22" t="str">
        <f t="shared" si="2"/>
        <v/>
      </c>
    </row>
    <row r="23" spans="1:6" x14ac:dyDescent="0.2">
      <c r="A23" s="20">
        <v>19</v>
      </c>
      <c r="B23" s="179" t="s">
        <v>17</v>
      </c>
      <c r="C23" s="180"/>
      <c r="D23" s="15">
        <f t="shared" si="0"/>
        <v>0</v>
      </c>
      <c r="E23" s="18">
        <f t="shared" si="1"/>
        <v>0</v>
      </c>
      <c r="F23" s="22" t="str">
        <f t="shared" si="2"/>
        <v/>
      </c>
    </row>
    <row r="24" spans="1:6" x14ac:dyDescent="0.2">
      <c r="A24" s="20">
        <v>20</v>
      </c>
      <c r="B24" s="179" t="s">
        <v>18</v>
      </c>
      <c r="C24" s="180"/>
      <c r="D24" s="15">
        <f t="shared" si="0"/>
        <v>0</v>
      </c>
      <c r="E24" s="18">
        <f t="shared" si="1"/>
        <v>0</v>
      </c>
      <c r="F24" s="22" t="str">
        <f t="shared" si="2"/>
        <v/>
      </c>
    </row>
    <row r="25" spans="1:6" ht="14.25" customHeight="1" x14ac:dyDescent="0.2">
      <c r="A25" s="20">
        <v>21</v>
      </c>
      <c r="B25" s="179" t="s">
        <v>801</v>
      </c>
      <c r="C25" s="180"/>
      <c r="D25" s="15">
        <f t="shared" si="0"/>
        <v>0</v>
      </c>
      <c r="E25" s="18">
        <f t="shared" si="1"/>
        <v>0</v>
      </c>
      <c r="F25" s="22" t="str">
        <f t="shared" si="2"/>
        <v/>
      </c>
    </row>
    <row r="26" spans="1:6" x14ac:dyDescent="0.2">
      <c r="A26" s="20">
        <v>22</v>
      </c>
      <c r="B26" s="179" t="s">
        <v>19</v>
      </c>
      <c r="C26" s="180"/>
      <c r="D26" s="15">
        <f t="shared" si="0"/>
        <v>0</v>
      </c>
      <c r="E26" s="18">
        <f t="shared" si="1"/>
        <v>0</v>
      </c>
      <c r="F26" s="22" t="str">
        <f t="shared" si="2"/>
        <v/>
      </c>
    </row>
    <row r="27" spans="1:6" x14ac:dyDescent="0.2">
      <c r="A27" s="20">
        <v>23</v>
      </c>
      <c r="B27" s="179" t="s">
        <v>20</v>
      </c>
      <c r="C27" s="180"/>
      <c r="D27" s="15">
        <f t="shared" si="0"/>
        <v>0</v>
      </c>
      <c r="E27" s="18">
        <f t="shared" si="1"/>
        <v>0</v>
      </c>
      <c r="F27" s="22" t="str">
        <f t="shared" si="2"/>
        <v/>
      </c>
    </row>
    <row r="28" spans="1:6" x14ac:dyDescent="0.2">
      <c r="A28" s="20">
        <v>24</v>
      </c>
      <c r="B28" s="179" t="s">
        <v>21</v>
      </c>
      <c r="C28" s="180"/>
      <c r="D28" s="15">
        <f t="shared" si="0"/>
        <v>0</v>
      </c>
      <c r="E28" s="18">
        <f t="shared" si="1"/>
        <v>0</v>
      </c>
      <c r="F28" s="22" t="str">
        <f t="shared" si="2"/>
        <v/>
      </c>
    </row>
    <row r="29" spans="1:6" x14ac:dyDescent="0.2">
      <c r="A29" s="20">
        <v>25</v>
      </c>
      <c r="B29" s="179" t="s">
        <v>22</v>
      </c>
      <c r="C29" s="180"/>
      <c r="D29" s="15">
        <f t="shared" si="0"/>
        <v>0</v>
      </c>
      <c r="E29" s="18">
        <f t="shared" si="1"/>
        <v>0</v>
      </c>
      <c r="F29" s="22" t="str">
        <f t="shared" si="2"/>
        <v/>
      </c>
    </row>
    <row r="30" spans="1:6" x14ac:dyDescent="0.2">
      <c r="A30" s="20">
        <v>26</v>
      </c>
      <c r="B30" s="179" t="s">
        <v>23</v>
      </c>
      <c r="C30" s="180"/>
      <c r="D30" s="15">
        <f t="shared" si="0"/>
        <v>0</v>
      </c>
      <c r="E30" s="18">
        <f t="shared" si="1"/>
        <v>0</v>
      </c>
      <c r="F30" s="22" t="str">
        <f t="shared" si="2"/>
        <v/>
      </c>
    </row>
    <row r="31" spans="1:6" x14ac:dyDescent="0.2">
      <c r="A31" s="20">
        <v>28</v>
      </c>
      <c r="B31" s="179" t="s">
        <v>24</v>
      </c>
      <c r="C31" s="180"/>
      <c r="D31" s="15">
        <f t="shared" si="0"/>
        <v>0</v>
      </c>
      <c r="E31" s="18">
        <f t="shared" si="1"/>
        <v>0</v>
      </c>
      <c r="F31" s="22" t="str">
        <f t="shared" si="2"/>
        <v/>
      </c>
    </row>
    <row r="32" spans="1:6" ht="15.75" customHeight="1" thickBot="1" x14ac:dyDescent="0.25">
      <c r="A32" s="23">
        <v>29</v>
      </c>
      <c r="B32" s="181" t="s">
        <v>25</v>
      </c>
      <c r="C32" s="182"/>
      <c r="D32" s="24">
        <f t="shared" si="0"/>
        <v>0</v>
      </c>
      <c r="E32" s="25">
        <f t="shared" si="1"/>
        <v>0</v>
      </c>
      <c r="F32" s="26" t="str">
        <f t="shared" si="2"/>
        <v/>
      </c>
    </row>
    <row r="33" spans="1:6" x14ac:dyDescent="0.2">
      <c r="B33" s="31" t="s">
        <v>35</v>
      </c>
      <c r="C33" s="31"/>
      <c r="D33" s="61">
        <f>SUM(D5:D32)</f>
        <v>0</v>
      </c>
      <c r="E33" s="32">
        <f>SUM(E5:E32)</f>
        <v>0</v>
      </c>
      <c r="F33" s="33" t="str">
        <f t="shared" si="2"/>
        <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IF(F3="1",SUMIF(Data!A:A,'12'!$A$2,Data!CU:CU),0)</f>
        <v>0</v>
      </c>
      <c r="E36" s="16">
        <f>IF(F3="1",SUMIF(Data!$A:$A,'12'!$A$2,Data!IO:IO),0)</f>
        <v>0</v>
      </c>
      <c r="F36" s="21" t="str">
        <f t="shared" ref="F36:F64" si="3">IFERROR(E36/D36,"")</f>
        <v/>
      </c>
    </row>
    <row r="37" spans="1:6" x14ac:dyDescent="0.2">
      <c r="A37" s="20">
        <v>2</v>
      </c>
      <c r="B37" s="179" t="s">
        <v>1</v>
      </c>
      <c r="C37" s="180"/>
      <c r="D37" s="15">
        <f>IF(F3="1",SUMIF(Data!A:A,'12'!$A$2,Data!CV:CV),0)</f>
        <v>0</v>
      </c>
      <c r="E37" s="18">
        <f>IF(F3="1",SUMIF(Data!$A:$A,'12'!$A$2,Data!IP:IP),0)</f>
        <v>0</v>
      </c>
      <c r="F37" s="22" t="str">
        <f t="shared" si="3"/>
        <v/>
      </c>
    </row>
    <row r="38" spans="1:6" ht="14.25" customHeight="1" x14ac:dyDescent="0.2">
      <c r="A38" s="20">
        <v>3</v>
      </c>
      <c r="B38" s="179" t="s">
        <v>2</v>
      </c>
      <c r="C38" s="180"/>
      <c r="D38" s="15">
        <f>IF(F3="1",SUMIF(Data!A:A,'12'!$A$2,Data!CW:CW),0)</f>
        <v>0</v>
      </c>
      <c r="E38" s="18">
        <f>IF(F3="1",SUMIF(Data!$A:$A,'12'!$A$2,Data!IQ:IQ),0)</f>
        <v>0</v>
      </c>
      <c r="F38" s="22" t="str">
        <f t="shared" si="3"/>
        <v/>
      </c>
    </row>
    <row r="39" spans="1:6" ht="14.25" customHeight="1" x14ac:dyDescent="0.2">
      <c r="A39" s="20">
        <v>4</v>
      </c>
      <c r="B39" s="179" t="s">
        <v>3</v>
      </c>
      <c r="C39" s="180"/>
      <c r="D39" s="15">
        <f>IF(F3="1",SUMIF(Data!A:A,'12'!$A$2,Data!CX:CX),0)</f>
        <v>0</v>
      </c>
      <c r="E39" s="18">
        <f>IF(F3="1",SUMIF(Data!$A:$A,'12'!$A$2,Data!IR:IR),0)</f>
        <v>0</v>
      </c>
      <c r="F39" s="22" t="str">
        <f t="shared" si="3"/>
        <v/>
      </c>
    </row>
    <row r="40" spans="1:6" x14ac:dyDescent="0.2">
      <c r="A40" s="20">
        <v>5</v>
      </c>
      <c r="B40" s="179" t="s">
        <v>4</v>
      </c>
      <c r="C40" s="180"/>
      <c r="D40" s="15">
        <f>IF(F3="1",SUMIF(Data!A:A,'12'!$A$2,Data!CY:CY),0)</f>
        <v>0</v>
      </c>
      <c r="E40" s="18">
        <f>IF(F3="1",SUMIF(Data!$A:$A,'12'!$A$2,Data!IS:IS),0)</f>
        <v>0</v>
      </c>
      <c r="F40" s="22" t="str">
        <f t="shared" si="3"/>
        <v/>
      </c>
    </row>
    <row r="41" spans="1:6" x14ac:dyDescent="0.2">
      <c r="A41" s="20">
        <v>6</v>
      </c>
      <c r="B41" s="179" t="s">
        <v>5</v>
      </c>
      <c r="C41" s="180"/>
      <c r="D41" s="15">
        <f>IF(F3="1",SUMIF(Data!A:A,'12'!$A$2,Data!CZ:CZ),0)</f>
        <v>0</v>
      </c>
      <c r="E41" s="18">
        <f>IF(F3="1",SUMIF(Data!$A:$A,'12'!$A$2,Data!IT:IT),0)</f>
        <v>0</v>
      </c>
      <c r="F41" s="22" t="str">
        <f t="shared" si="3"/>
        <v/>
      </c>
    </row>
    <row r="42" spans="1:6" x14ac:dyDescent="0.2">
      <c r="A42" s="20">
        <v>7</v>
      </c>
      <c r="B42" s="179" t="s">
        <v>6</v>
      </c>
      <c r="C42" s="180"/>
      <c r="D42" s="15">
        <f>IF(F3="1",SUMIF(Data!A:A,'12'!$A$2,Data!DA:DA),0)</f>
        <v>0</v>
      </c>
      <c r="E42" s="18">
        <f>IF(F3="1",SUMIF(Data!$A:$A,'12'!$A$2,Data!IU:IU),0)</f>
        <v>0</v>
      </c>
      <c r="F42" s="22" t="str">
        <f t="shared" si="3"/>
        <v/>
      </c>
    </row>
    <row r="43" spans="1:6" x14ac:dyDescent="0.2">
      <c r="A43" s="20">
        <v>8</v>
      </c>
      <c r="B43" s="179" t="s">
        <v>7</v>
      </c>
      <c r="C43" s="180"/>
      <c r="D43" s="15">
        <f>IF(F3="1",SUMIF(Data!A:A,'12'!$A$2,Data!DB:DB),0)</f>
        <v>0</v>
      </c>
      <c r="E43" s="18">
        <f>IF(F3="1",SUMIF(Data!$A:$A,'12'!$A$2,Data!IV:IV),0)</f>
        <v>0</v>
      </c>
      <c r="F43" s="22" t="str">
        <f t="shared" si="3"/>
        <v/>
      </c>
    </row>
    <row r="44" spans="1:6" x14ac:dyDescent="0.2">
      <c r="A44" s="20">
        <v>9</v>
      </c>
      <c r="B44" s="179" t="s">
        <v>8</v>
      </c>
      <c r="C44" s="180"/>
      <c r="D44" s="15">
        <f>IF(F3="1",SUMIF(Data!A:A,'12'!$A$2,Data!DC:DC),0)</f>
        <v>0</v>
      </c>
      <c r="E44" s="18">
        <f>IF(F3="1",SUMIF(Data!$A:$A,'12'!$A$2,Data!IW:IW),0)</f>
        <v>0</v>
      </c>
      <c r="F44" s="22" t="str">
        <f t="shared" si="3"/>
        <v/>
      </c>
    </row>
    <row r="45" spans="1:6" x14ac:dyDescent="0.2">
      <c r="A45" s="20">
        <v>10</v>
      </c>
      <c r="B45" s="179" t="s">
        <v>9</v>
      </c>
      <c r="C45" s="180"/>
      <c r="D45" s="15">
        <f>IF(F3="1",SUMIF(Data!A:A,'12'!$A$2,Data!DD:DD),0)</f>
        <v>0</v>
      </c>
      <c r="E45" s="18">
        <f>IF(F3="1",SUMIF(Data!$A:$A,'12'!$A$2,Data!IX:IX),0)</f>
        <v>0</v>
      </c>
      <c r="F45" s="22" t="str">
        <f t="shared" si="3"/>
        <v/>
      </c>
    </row>
    <row r="46" spans="1:6" x14ac:dyDescent="0.2">
      <c r="A46" s="20">
        <v>11</v>
      </c>
      <c r="B46" s="179" t="s">
        <v>10</v>
      </c>
      <c r="C46" s="180"/>
      <c r="D46" s="15">
        <f>IF(F3="1",SUMIF(Data!A:A,'12'!$A$2,Data!DE:DE),0)</f>
        <v>0</v>
      </c>
      <c r="E46" s="18">
        <f>IF(F3="1",SUMIF(Data!$A:$A,'12'!$A$2,Data!IY:IY),0)</f>
        <v>0</v>
      </c>
      <c r="F46" s="22" t="str">
        <f t="shared" si="3"/>
        <v/>
      </c>
    </row>
    <row r="47" spans="1:6" ht="14.25" customHeight="1" x14ac:dyDescent="0.2">
      <c r="A47" s="20">
        <v>12</v>
      </c>
      <c r="B47" s="179" t="s">
        <v>11</v>
      </c>
      <c r="C47" s="180"/>
      <c r="D47" s="15">
        <f>IF(F3="1",SUMIF(Data!A:A,'12'!$A$2,Data!DF:DF),0)</f>
        <v>0</v>
      </c>
      <c r="E47" s="18">
        <f>IF(F3="1",SUMIF(Data!$A:$A,'12'!$A$2,Data!IZ:IZ),0)</f>
        <v>0</v>
      </c>
      <c r="F47" s="22" t="str">
        <f t="shared" si="3"/>
        <v/>
      </c>
    </row>
    <row r="48" spans="1:6" x14ac:dyDescent="0.2">
      <c r="A48" s="20">
        <v>13</v>
      </c>
      <c r="B48" s="179" t="s">
        <v>12</v>
      </c>
      <c r="C48" s="180"/>
      <c r="D48" s="15">
        <f>IF(F3="1",SUMIF(Data!A:A,'12'!$A$2,Data!DG:DG),0)</f>
        <v>0</v>
      </c>
      <c r="E48" s="18">
        <f>IF(F3="1",SUMIF(Data!$A:$A,'12'!$A$2,Data!JA:JA),0)</f>
        <v>0</v>
      </c>
      <c r="F48" s="22" t="str">
        <f t="shared" si="3"/>
        <v/>
      </c>
    </row>
    <row r="49" spans="1:6" ht="14.25" customHeight="1" x14ac:dyDescent="0.2">
      <c r="A49" s="20">
        <v>14</v>
      </c>
      <c r="B49" s="179" t="s">
        <v>804</v>
      </c>
      <c r="C49" s="180"/>
      <c r="D49" s="15">
        <f>IF(F3="1",SUMIF(Data!A:A,'12'!$A$2,Data!DH:DH),0)</f>
        <v>0</v>
      </c>
      <c r="E49" s="18">
        <f>IF(F3="1",SUMIF(Data!$A:$A,'12'!$A$2,Data!JB:JB),0)</f>
        <v>0</v>
      </c>
      <c r="F49" s="22" t="str">
        <f t="shared" si="3"/>
        <v/>
      </c>
    </row>
    <row r="50" spans="1:6" x14ac:dyDescent="0.2">
      <c r="A50" s="20">
        <v>15</v>
      </c>
      <c r="B50" s="179" t="s">
        <v>13</v>
      </c>
      <c r="C50" s="180"/>
      <c r="D50" s="15">
        <f>IF(F3="1",SUMIF(Data!A:A,'12'!$A$2,Data!DI:DI),0)</f>
        <v>0</v>
      </c>
      <c r="E50" s="18">
        <f>IF(F3="1",SUMIF(Data!$A:$A,'12'!$A$2,Data!JC:JC),0)</f>
        <v>0</v>
      </c>
      <c r="F50" s="22" t="str">
        <f t="shared" si="3"/>
        <v/>
      </c>
    </row>
    <row r="51" spans="1:6" x14ac:dyDescent="0.2">
      <c r="A51" s="20">
        <v>16</v>
      </c>
      <c r="B51" s="179" t="s">
        <v>14</v>
      </c>
      <c r="C51" s="180"/>
      <c r="D51" s="15">
        <f>IF(F3="1",SUMIF(Data!A:A,'12'!$A$2,Data!DJ:DJ),0)</f>
        <v>0</v>
      </c>
      <c r="E51" s="18">
        <f>IF(F3="1",SUMIF(Data!$A:$A,'12'!$A$2,Data!JD:JD),0)</f>
        <v>0</v>
      </c>
      <c r="F51" s="22" t="str">
        <f t="shared" si="3"/>
        <v/>
      </c>
    </row>
    <row r="52" spans="1:6" x14ac:dyDescent="0.2">
      <c r="A52" s="20">
        <v>17</v>
      </c>
      <c r="B52" s="179" t="s">
        <v>15</v>
      </c>
      <c r="C52" s="180"/>
      <c r="D52" s="15">
        <f>IF(F3="1",SUMIF(Data!A:A,'12'!$A$2,Data!DK:DK),0)</f>
        <v>0</v>
      </c>
      <c r="E52" s="18">
        <f>IF(F3="1",SUMIF(Data!$A:$A,'12'!$A$2,Data!JE:JE),0)</f>
        <v>0</v>
      </c>
      <c r="F52" s="22" t="str">
        <f t="shared" si="3"/>
        <v/>
      </c>
    </row>
    <row r="53" spans="1:6" x14ac:dyDescent="0.2">
      <c r="A53" s="20">
        <v>18</v>
      </c>
      <c r="B53" s="179" t="s">
        <v>16</v>
      </c>
      <c r="C53" s="180"/>
      <c r="D53" s="15">
        <f>IF(F3="1",SUMIF(Data!A:A,'12'!$A$2,Data!DL:DL),0)</f>
        <v>0</v>
      </c>
      <c r="E53" s="18">
        <f>IF(F3="1",SUMIF(Data!$A:$A,'12'!$A$2,Data!JF:JF),0)</f>
        <v>0</v>
      </c>
      <c r="F53" s="22" t="str">
        <f t="shared" si="3"/>
        <v/>
      </c>
    </row>
    <row r="54" spans="1:6" x14ac:dyDescent="0.2">
      <c r="A54" s="20">
        <v>19</v>
      </c>
      <c r="B54" s="179" t="s">
        <v>17</v>
      </c>
      <c r="C54" s="180"/>
      <c r="D54" s="15">
        <f>IF(F3="1",SUMIF(Data!A:A,'12'!$A$2,Data!DM:DM),0)</f>
        <v>0</v>
      </c>
      <c r="E54" s="18">
        <f>IF(F3="1",SUMIF(Data!$A:$A,'12'!$A$2,Data!JG:JG),0)</f>
        <v>0</v>
      </c>
      <c r="F54" s="22" t="str">
        <f t="shared" si="3"/>
        <v/>
      </c>
    </row>
    <row r="55" spans="1:6" x14ac:dyDescent="0.2">
      <c r="A55" s="20">
        <v>20</v>
      </c>
      <c r="B55" s="179" t="s">
        <v>18</v>
      </c>
      <c r="C55" s="180"/>
      <c r="D55" s="15">
        <f>IF(F3="1",SUMIF(Data!A:A,'12'!$A$2,Data!DN:DN),0)</f>
        <v>0</v>
      </c>
      <c r="E55" s="18">
        <f>IF(F3="1",SUMIF(Data!$A:$A,'12'!$A$2,Data!JH:JH),0)</f>
        <v>0</v>
      </c>
      <c r="F55" s="22" t="str">
        <f t="shared" si="3"/>
        <v/>
      </c>
    </row>
    <row r="56" spans="1:6" ht="14.25" customHeight="1" x14ac:dyDescent="0.2">
      <c r="A56" s="20">
        <v>21</v>
      </c>
      <c r="B56" s="179" t="s">
        <v>801</v>
      </c>
      <c r="C56" s="180"/>
      <c r="D56" s="15">
        <f>IF(F3="1",SUMIF(Data!A:A,'12'!$A$2,Data!DO:DO),0)</f>
        <v>0</v>
      </c>
      <c r="E56" s="18">
        <f>IF(F3="1",SUMIF(Data!$A:$A,'12'!$A$2,Data!JI:JI),0)</f>
        <v>0</v>
      </c>
      <c r="F56" s="22" t="str">
        <f t="shared" si="3"/>
        <v/>
      </c>
    </row>
    <row r="57" spans="1:6" x14ac:dyDescent="0.2">
      <c r="A57" s="20">
        <v>22</v>
      </c>
      <c r="B57" s="179" t="s">
        <v>19</v>
      </c>
      <c r="C57" s="180"/>
      <c r="D57" s="15">
        <f>IF(F3="1",SUMIF(Data!A:A,'12'!$A$2,Data!DP:DP),0)</f>
        <v>0</v>
      </c>
      <c r="E57" s="18">
        <f>IF(F3="1",SUMIF(Data!$A:$A,'12'!$A$2,Data!JJ:JJ),0)</f>
        <v>0</v>
      </c>
      <c r="F57" s="22" t="str">
        <f t="shared" si="3"/>
        <v/>
      </c>
    </row>
    <row r="58" spans="1:6" x14ac:dyDescent="0.2">
      <c r="A58" s="20">
        <v>23</v>
      </c>
      <c r="B58" s="179" t="s">
        <v>20</v>
      </c>
      <c r="C58" s="180"/>
      <c r="D58" s="15">
        <f>IF(F3="1",SUMIF(Data!A:A,'12'!$A$2,Data!DQ:DQ),0)</f>
        <v>0</v>
      </c>
      <c r="E58" s="18">
        <f>IF(F3="1",SUMIF(Data!$A:$A,'12'!$A$2,Data!JK:JK),0)</f>
        <v>0</v>
      </c>
      <c r="F58" s="22" t="str">
        <f t="shared" si="3"/>
        <v/>
      </c>
    </row>
    <row r="59" spans="1:6" x14ac:dyDescent="0.2">
      <c r="A59" s="20">
        <v>24</v>
      </c>
      <c r="B59" s="179" t="s">
        <v>21</v>
      </c>
      <c r="C59" s="180"/>
      <c r="D59" s="15">
        <f>IF(F3="1",SUMIF(Data!A:A,'12'!$A$2,Data!DR:DR),0)</f>
        <v>0</v>
      </c>
      <c r="E59" s="18">
        <f>IF(F3="1",SUMIF(Data!$A:$A,'12'!$A$2,Data!JL:JL),0)</f>
        <v>0</v>
      </c>
      <c r="F59" s="22" t="str">
        <f t="shared" si="3"/>
        <v/>
      </c>
    </row>
    <row r="60" spans="1:6" x14ac:dyDescent="0.2">
      <c r="A60" s="20">
        <v>25</v>
      </c>
      <c r="B60" s="179" t="s">
        <v>22</v>
      </c>
      <c r="C60" s="180"/>
      <c r="D60" s="15">
        <f>IF(F3="1",SUMIF(Data!A:A,'12'!$A$2,Data!DS:DS),0)</f>
        <v>0</v>
      </c>
      <c r="E60" s="18">
        <f>IF(F3="1",SUMIF(Data!$A:$A,'12'!$A$2,Data!JM:JM),0)</f>
        <v>0</v>
      </c>
      <c r="F60" s="22" t="str">
        <f t="shared" si="3"/>
        <v/>
      </c>
    </row>
    <row r="61" spans="1:6" x14ac:dyDescent="0.2">
      <c r="A61" s="20">
        <v>26</v>
      </c>
      <c r="B61" s="179" t="s">
        <v>23</v>
      </c>
      <c r="C61" s="180"/>
      <c r="D61" s="15">
        <f>IF(F3="1",SUMIF(Data!A:A,'12'!$A$2,Data!DT:DT),0)</f>
        <v>0</v>
      </c>
      <c r="E61" s="18">
        <f>IF(F3="1",SUMIF(Data!$A:$A,'12'!$A$2,Data!JN:JN),0)</f>
        <v>0</v>
      </c>
      <c r="F61" s="22" t="str">
        <f t="shared" si="3"/>
        <v/>
      </c>
    </row>
    <row r="62" spans="1:6" x14ac:dyDescent="0.2">
      <c r="A62" s="20">
        <v>28</v>
      </c>
      <c r="B62" s="179" t="s">
        <v>24</v>
      </c>
      <c r="C62" s="180"/>
      <c r="D62" s="15">
        <f>IF(F3="1",SUMIF(Data!A:A,'12'!$A$2,Data!DV:DV),0)</f>
        <v>0</v>
      </c>
      <c r="E62" s="18">
        <f>IF(F3="1",SUMIF(Data!$A:$A,'12'!$A$2,Data!JP:JP),0)</f>
        <v>0</v>
      </c>
      <c r="F62" s="22" t="str">
        <f t="shared" si="3"/>
        <v/>
      </c>
    </row>
    <row r="63" spans="1:6" ht="15.75" customHeight="1" thickBot="1" x14ac:dyDescent="0.25">
      <c r="A63" s="23">
        <v>29</v>
      </c>
      <c r="B63" s="181" t="s">
        <v>25</v>
      </c>
      <c r="C63" s="182"/>
      <c r="D63" s="24">
        <f>IF(F3="1",SUMIF(Data!A:A,'12'!$A$2,Data!DW:DW),0)</f>
        <v>0</v>
      </c>
      <c r="E63" s="25">
        <f>IF(F3="1",SUMIF(Data!$A:$A,'12'!$A$2,Data!JQ:JQ),0)</f>
        <v>0</v>
      </c>
      <c r="F63" s="26" t="str">
        <f t="shared" si="3"/>
        <v/>
      </c>
    </row>
    <row r="64" spans="1:6" x14ac:dyDescent="0.2">
      <c r="B64" s="31" t="s">
        <v>35</v>
      </c>
      <c r="C64" s="31"/>
      <c r="D64" s="61">
        <f>SUM(D36:D63)</f>
        <v>0</v>
      </c>
      <c r="E64" s="32">
        <f>SUM(E36:E63)</f>
        <v>0</v>
      </c>
      <c r="F64" s="33" t="str">
        <f t="shared" si="3"/>
        <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0</v>
      </c>
      <c r="E67" s="16">
        <f>IF(F3="1",SUMIF(Data!A:A,'12'!$A$2,Data!DY:DY),0)</f>
        <v>0</v>
      </c>
      <c r="F67" s="21" t="str">
        <f>IFERROR(E67/D67,"")</f>
        <v/>
      </c>
    </row>
    <row r="68" spans="1:6" x14ac:dyDescent="0.2">
      <c r="A68" s="20">
        <v>2</v>
      </c>
      <c r="B68" s="179" t="s">
        <v>1</v>
      </c>
      <c r="C68" s="180"/>
      <c r="D68" s="15">
        <f t="shared" ref="D68:D94" si="4">D37</f>
        <v>0</v>
      </c>
      <c r="E68" s="18">
        <f>IF(F3="1",SUMIF(Data!A:A,'12'!$A$2,Data!DZ:DZ),0)</f>
        <v>0</v>
      </c>
      <c r="F68" s="22" t="str">
        <f t="shared" ref="F68:F95" si="5">IFERROR(E68/D68,"")</f>
        <v/>
      </c>
    </row>
    <row r="69" spans="1:6" ht="14.25" customHeight="1" x14ac:dyDescent="0.2">
      <c r="A69" s="20">
        <v>3</v>
      </c>
      <c r="B69" s="179" t="s">
        <v>2</v>
      </c>
      <c r="C69" s="180"/>
      <c r="D69" s="15">
        <f t="shared" si="4"/>
        <v>0</v>
      </c>
      <c r="E69" s="18">
        <f>IF(F3="1",SUMIF(Data!A:A,'12'!$A$2,Data!EA:EA),0)</f>
        <v>0</v>
      </c>
      <c r="F69" s="22" t="str">
        <f t="shared" si="5"/>
        <v/>
      </c>
    </row>
    <row r="70" spans="1:6" ht="14.25" customHeight="1" x14ac:dyDescent="0.2">
      <c r="A70" s="20">
        <v>4</v>
      </c>
      <c r="B70" s="179" t="s">
        <v>3</v>
      </c>
      <c r="C70" s="180"/>
      <c r="D70" s="15">
        <f t="shared" si="4"/>
        <v>0</v>
      </c>
      <c r="E70" s="18">
        <f>IF(F3="1",SUMIF(Data!A:A,'12'!$A$2,Data!EB:EB),0)</f>
        <v>0</v>
      </c>
      <c r="F70" s="22" t="str">
        <f t="shared" si="5"/>
        <v/>
      </c>
    </row>
    <row r="71" spans="1:6" x14ac:dyDescent="0.2">
      <c r="A71" s="20">
        <v>5</v>
      </c>
      <c r="B71" s="179" t="s">
        <v>4</v>
      </c>
      <c r="C71" s="180"/>
      <c r="D71" s="15">
        <f t="shared" si="4"/>
        <v>0</v>
      </c>
      <c r="E71" s="18">
        <f>IF(F3="1",SUMIF(Data!A:A,'12'!$A$2,Data!EC:EC),0)</f>
        <v>0</v>
      </c>
      <c r="F71" s="22" t="str">
        <f t="shared" si="5"/>
        <v/>
      </c>
    </row>
    <row r="72" spans="1:6" x14ac:dyDescent="0.2">
      <c r="A72" s="20">
        <v>6</v>
      </c>
      <c r="B72" s="179" t="s">
        <v>5</v>
      </c>
      <c r="C72" s="180"/>
      <c r="D72" s="15">
        <f t="shared" si="4"/>
        <v>0</v>
      </c>
      <c r="E72" s="18">
        <f>IF(F3="1",SUMIF(Data!A:A,'12'!$A$2,Data!ED:ED),0)</f>
        <v>0</v>
      </c>
      <c r="F72" s="22" t="str">
        <f t="shared" si="5"/>
        <v/>
      </c>
    </row>
    <row r="73" spans="1:6" x14ac:dyDescent="0.2">
      <c r="A73" s="20">
        <v>7</v>
      </c>
      <c r="B73" s="179" t="s">
        <v>6</v>
      </c>
      <c r="C73" s="180"/>
      <c r="D73" s="15">
        <f t="shared" si="4"/>
        <v>0</v>
      </c>
      <c r="E73" s="18">
        <f>IF(F3="1",SUMIF(Data!A:A,'12'!$A$2,Data!EE:EE),0)</f>
        <v>0</v>
      </c>
      <c r="F73" s="22" t="str">
        <f t="shared" si="5"/>
        <v/>
      </c>
    </row>
    <row r="74" spans="1:6" x14ac:dyDescent="0.2">
      <c r="A74" s="20">
        <v>8</v>
      </c>
      <c r="B74" s="179" t="s">
        <v>7</v>
      </c>
      <c r="C74" s="180"/>
      <c r="D74" s="15">
        <f t="shared" si="4"/>
        <v>0</v>
      </c>
      <c r="E74" s="18">
        <f>IF(F3="1",SUMIF(Data!A:A,'12'!$A$2,Data!EF:EF),0)</f>
        <v>0</v>
      </c>
      <c r="F74" s="22" t="str">
        <f t="shared" si="5"/>
        <v/>
      </c>
    </row>
    <row r="75" spans="1:6" x14ac:dyDescent="0.2">
      <c r="A75" s="20">
        <v>9</v>
      </c>
      <c r="B75" s="179" t="s">
        <v>8</v>
      </c>
      <c r="C75" s="180"/>
      <c r="D75" s="15">
        <f t="shared" si="4"/>
        <v>0</v>
      </c>
      <c r="E75" s="18">
        <f>IF(F3="1",SUMIF(Data!A:A,'12'!$A$2,Data!EG:EG),0)</f>
        <v>0</v>
      </c>
      <c r="F75" s="22" t="str">
        <f t="shared" si="5"/>
        <v/>
      </c>
    </row>
    <row r="76" spans="1:6" x14ac:dyDescent="0.2">
      <c r="A76" s="20">
        <v>10</v>
      </c>
      <c r="B76" s="179" t="s">
        <v>9</v>
      </c>
      <c r="C76" s="180"/>
      <c r="D76" s="15">
        <f t="shared" si="4"/>
        <v>0</v>
      </c>
      <c r="E76" s="18">
        <f>IF(F3="1",SUMIF(Data!A:A,'12'!$A$2,Data!EH:EH),0)</f>
        <v>0</v>
      </c>
      <c r="F76" s="22" t="str">
        <f t="shared" si="5"/>
        <v/>
      </c>
    </row>
    <row r="77" spans="1:6" x14ac:dyDescent="0.2">
      <c r="A77" s="20">
        <v>11</v>
      </c>
      <c r="B77" s="179" t="s">
        <v>10</v>
      </c>
      <c r="C77" s="180"/>
      <c r="D77" s="15">
        <f t="shared" si="4"/>
        <v>0</v>
      </c>
      <c r="E77" s="18">
        <f>IF(F3="1",SUMIF(Data!A:A,'12'!$A$2,Data!EI:EI),0)</f>
        <v>0</v>
      </c>
      <c r="F77" s="22" t="str">
        <f t="shared" si="5"/>
        <v/>
      </c>
    </row>
    <row r="78" spans="1:6" ht="14.25" customHeight="1" x14ac:dyDescent="0.2">
      <c r="A78" s="20">
        <v>12</v>
      </c>
      <c r="B78" s="179" t="s">
        <v>11</v>
      </c>
      <c r="C78" s="180"/>
      <c r="D78" s="15">
        <f t="shared" si="4"/>
        <v>0</v>
      </c>
      <c r="E78" s="18">
        <f>IF(F3="1",SUMIF(Data!A:A,'12'!$A$2,Data!EJ:EJ),0)</f>
        <v>0</v>
      </c>
      <c r="F78" s="22" t="str">
        <f t="shared" si="5"/>
        <v/>
      </c>
    </row>
    <row r="79" spans="1:6" x14ac:dyDescent="0.2">
      <c r="A79" s="20">
        <v>13</v>
      </c>
      <c r="B79" s="179" t="s">
        <v>12</v>
      </c>
      <c r="C79" s="180"/>
      <c r="D79" s="15">
        <f t="shared" si="4"/>
        <v>0</v>
      </c>
      <c r="E79" s="18">
        <f>IF(F3="1",SUMIF(Data!A:A,'12'!$A$2,Data!EK:EK),0)</f>
        <v>0</v>
      </c>
      <c r="F79" s="22" t="str">
        <f t="shared" si="5"/>
        <v/>
      </c>
    </row>
    <row r="80" spans="1:6" ht="14.25" customHeight="1" x14ac:dyDescent="0.2">
      <c r="A80" s="20">
        <v>14</v>
      </c>
      <c r="B80" s="179" t="s">
        <v>804</v>
      </c>
      <c r="C80" s="180"/>
      <c r="D80" s="15">
        <f t="shared" si="4"/>
        <v>0</v>
      </c>
      <c r="E80" s="18">
        <f>IF(F3="1",SUMIF(Data!A:A,'12'!$A$2,Data!EL:EL),0)</f>
        <v>0</v>
      </c>
      <c r="F80" s="22" t="str">
        <f t="shared" si="5"/>
        <v/>
      </c>
    </row>
    <row r="81" spans="1:6" x14ac:dyDescent="0.2">
      <c r="A81" s="20">
        <v>15</v>
      </c>
      <c r="B81" s="179" t="s">
        <v>13</v>
      </c>
      <c r="C81" s="180"/>
      <c r="D81" s="15">
        <f t="shared" si="4"/>
        <v>0</v>
      </c>
      <c r="E81" s="18">
        <f>IF(F3="1",SUMIF(Data!A:A,'12'!$A$2,Data!EM:EM),0)</f>
        <v>0</v>
      </c>
      <c r="F81" s="22" t="str">
        <f t="shared" si="5"/>
        <v/>
      </c>
    </row>
    <row r="82" spans="1:6" x14ac:dyDescent="0.2">
      <c r="A82" s="20">
        <v>16</v>
      </c>
      <c r="B82" s="179" t="s">
        <v>14</v>
      </c>
      <c r="C82" s="180"/>
      <c r="D82" s="15">
        <f t="shared" si="4"/>
        <v>0</v>
      </c>
      <c r="E82" s="18">
        <f>IF(F3="1",SUMIF(Data!A:A,'12'!$A$2,Data!EN:EN),0)</f>
        <v>0</v>
      </c>
      <c r="F82" s="22" t="str">
        <f t="shared" si="5"/>
        <v/>
      </c>
    </row>
    <row r="83" spans="1:6" x14ac:dyDescent="0.2">
      <c r="A83" s="20">
        <v>17</v>
      </c>
      <c r="B83" s="179" t="s">
        <v>15</v>
      </c>
      <c r="C83" s="180"/>
      <c r="D83" s="15">
        <f t="shared" si="4"/>
        <v>0</v>
      </c>
      <c r="E83" s="18">
        <f>IF(F3="1",SUMIF(Data!A:A,'12'!$A$2,Data!EO:EO),0)</f>
        <v>0</v>
      </c>
      <c r="F83" s="22" t="str">
        <f t="shared" si="5"/>
        <v/>
      </c>
    </row>
    <row r="84" spans="1:6" x14ac:dyDescent="0.2">
      <c r="A84" s="20">
        <v>18</v>
      </c>
      <c r="B84" s="179" t="s">
        <v>16</v>
      </c>
      <c r="C84" s="180"/>
      <c r="D84" s="15">
        <f t="shared" si="4"/>
        <v>0</v>
      </c>
      <c r="E84" s="18">
        <f>IF(F3="1",SUMIF(Data!A:A,'12'!$A$2,Data!EP:EP),0)</f>
        <v>0</v>
      </c>
      <c r="F84" s="22" t="str">
        <f t="shared" si="5"/>
        <v/>
      </c>
    </row>
    <row r="85" spans="1:6" x14ac:dyDescent="0.2">
      <c r="A85" s="20">
        <v>19</v>
      </c>
      <c r="B85" s="179" t="s">
        <v>17</v>
      </c>
      <c r="C85" s="180"/>
      <c r="D85" s="15">
        <f t="shared" si="4"/>
        <v>0</v>
      </c>
      <c r="E85" s="18">
        <f>IF(F3="1",SUMIF(Data!A:A,'12'!$A$2,Data!EQ:EQ),0)</f>
        <v>0</v>
      </c>
      <c r="F85" s="22" t="str">
        <f t="shared" si="5"/>
        <v/>
      </c>
    </row>
    <row r="86" spans="1:6" x14ac:dyDescent="0.2">
      <c r="A86" s="20">
        <v>20</v>
      </c>
      <c r="B86" s="179" t="s">
        <v>18</v>
      </c>
      <c r="C86" s="180"/>
      <c r="D86" s="15">
        <f t="shared" si="4"/>
        <v>0</v>
      </c>
      <c r="E86" s="18">
        <f>IF(F3="1",SUMIF(Data!A:A,'12'!$A$2,Data!ER:ER),0)</f>
        <v>0</v>
      </c>
      <c r="F86" s="22" t="str">
        <f t="shared" si="5"/>
        <v/>
      </c>
    </row>
    <row r="87" spans="1:6" ht="14.25" customHeight="1" x14ac:dyDescent="0.2">
      <c r="A87" s="20">
        <v>21</v>
      </c>
      <c r="B87" s="179" t="s">
        <v>801</v>
      </c>
      <c r="C87" s="180"/>
      <c r="D87" s="15">
        <f t="shared" si="4"/>
        <v>0</v>
      </c>
      <c r="E87" s="18">
        <f>IF(F3="1",SUMIF(Data!A:A,'12'!$A$2,Data!ES:ES),0)</f>
        <v>0</v>
      </c>
      <c r="F87" s="22" t="str">
        <f t="shared" si="5"/>
        <v/>
      </c>
    </row>
    <row r="88" spans="1:6" x14ac:dyDescent="0.2">
      <c r="A88" s="20">
        <v>22</v>
      </c>
      <c r="B88" s="179" t="s">
        <v>19</v>
      </c>
      <c r="C88" s="180"/>
      <c r="D88" s="15">
        <f t="shared" si="4"/>
        <v>0</v>
      </c>
      <c r="E88" s="18">
        <f>IF(F3="1",SUMIF(Data!A:A,'12'!$A$2,Data!ET:ET),0)</f>
        <v>0</v>
      </c>
      <c r="F88" s="22" t="str">
        <f t="shared" si="5"/>
        <v/>
      </c>
    </row>
    <row r="89" spans="1:6" x14ac:dyDescent="0.2">
      <c r="A89" s="20">
        <v>23</v>
      </c>
      <c r="B89" s="179" t="s">
        <v>20</v>
      </c>
      <c r="C89" s="180"/>
      <c r="D89" s="15">
        <f t="shared" si="4"/>
        <v>0</v>
      </c>
      <c r="E89" s="18">
        <f>IF(F3="1",SUMIF(Data!A:A,'12'!$A$2,Data!EU:EU),0)</f>
        <v>0</v>
      </c>
      <c r="F89" s="22" t="str">
        <f t="shared" si="5"/>
        <v/>
      </c>
    </row>
    <row r="90" spans="1:6" x14ac:dyDescent="0.2">
      <c r="A90" s="20">
        <v>24</v>
      </c>
      <c r="B90" s="179" t="s">
        <v>21</v>
      </c>
      <c r="C90" s="180"/>
      <c r="D90" s="15">
        <f t="shared" si="4"/>
        <v>0</v>
      </c>
      <c r="E90" s="18">
        <f>IF(F3="1",SUMIF(Data!A:A,'12'!$A$2,Data!EV:EV),0)</f>
        <v>0</v>
      </c>
      <c r="F90" s="22" t="str">
        <f t="shared" si="5"/>
        <v/>
      </c>
    </row>
    <row r="91" spans="1:6" x14ac:dyDescent="0.2">
      <c r="A91" s="20">
        <v>25</v>
      </c>
      <c r="B91" s="179" t="s">
        <v>22</v>
      </c>
      <c r="C91" s="180"/>
      <c r="D91" s="15">
        <f t="shared" si="4"/>
        <v>0</v>
      </c>
      <c r="E91" s="18">
        <f>IF(F3="1",SUMIF(Data!A:A,'12'!$A$2,Data!EW:EW),0)</f>
        <v>0</v>
      </c>
      <c r="F91" s="22" t="str">
        <f t="shared" si="5"/>
        <v/>
      </c>
    </row>
    <row r="92" spans="1:6" x14ac:dyDescent="0.2">
      <c r="A92" s="20">
        <v>26</v>
      </c>
      <c r="B92" s="179" t="s">
        <v>23</v>
      </c>
      <c r="C92" s="180"/>
      <c r="D92" s="15">
        <f t="shared" si="4"/>
        <v>0</v>
      </c>
      <c r="E92" s="18">
        <f>IF(F3="1",SUMIF(Data!A:A,'12'!$A$2,Data!EX:EX),0)</f>
        <v>0</v>
      </c>
      <c r="F92" s="22" t="str">
        <f t="shared" si="5"/>
        <v/>
      </c>
    </row>
    <row r="93" spans="1:6" x14ac:dyDescent="0.2">
      <c r="A93" s="20">
        <v>28</v>
      </c>
      <c r="B93" s="179" t="s">
        <v>24</v>
      </c>
      <c r="C93" s="180"/>
      <c r="D93" s="15">
        <f t="shared" si="4"/>
        <v>0</v>
      </c>
      <c r="E93" s="18">
        <f>IF(F3="1",SUMIF(Data!A:A,'12'!$A$2,Data!EZ:EZ),0)</f>
        <v>0</v>
      </c>
      <c r="F93" s="22" t="str">
        <f t="shared" si="5"/>
        <v/>
      </c>
    </row>
    <row r="94" spans="1:6" ht="15.75" customHeight="1" thickBot="1" x14ac:dyDescent="0.25">
      <c r="A94" s="23">
        <v>29</v>
      </c>
      <c r="B94" s="181" t="s">
        <v>25</v>
      </c>
      <c r="C94" s="182"/>
      <c r="D94" s="24">
        <f t="shared" si="4"/>
        <v>0</v>
      </c>
      <c r="E94" s="25">
        <f>IF(F3="1",SUMIF(Data!A:A,'12'!$A$2,Data!FA:FA),0)</f>
        <v>0</v>
      </c>
      <c r="F94" s="26" t="str">
        <f t="shared" si="5"/>
        <v/>
      </c>
    </row>
    <row r="95" spans="1:6" x14ac:dyDescent="0.2">
      <c r="B95" s="31" t="s">
        <v>35</v>
      </c>
      <c r="C95" s="31"/>
      <c r="D95" s="61">
        <f>SUM(D67:D94)</f>
        <v>0</v>
      </c>
      <c r="E95" s="32">
        <f>SUM(E67:E94)</f>
        <v>0</v>
      </c>
      <c r="F95" s="33" t="str">
        <f t="shared" si="5"/>
        <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IF(F3="1",SUMIF(Data!A:A,'12'!$A$2,Data!AH:AH),0)</f>
        <v>0</v>
      </c>
      <c r="F98" s="21">
        <f t="shared" ref="F98:F105" si="6">IFERROR(E98/$D$95,0)</f>
        <v>0</v>
      </c>
    </row>
    <row r="99" spans="2:6" x14ac:dyDescent="0.2">
      <c r="B99" s="185" t="s">
        <v>31</v>
      </c>
      <c r="C99" s="186"/>
      <c r="D99" s="37"/>
      <c r="E99" s="18">
        <f>IF(F3="1",SUMIF(Data!A:A,'12'!$A$2,Data!AI:AI),0)</f>
        <v>0</v>
      </c>
      <c r="F99" s="22">
        <f t="shared" si="6"/>
        <v>0</v>
      </c>
    </row>
    <row r="100" spans="2:6" x14ac:dyDescent="0.2">
      <c r="B100" s="185" t="s">
        <v>32</v>
      </c>
      <c r="C100" s="186"/>
      <c r="D100" s="37"/>
      <c r="E100" s="18">
        <f>IF(F3="1",SUMIF(Data!A:A,'12'!$A$2,Data!AJ:AJ),0)</f>
        <v>0</v>
      </c>
      <c r="F100" s="22">
        <f t="shared" si="6"/>
        <v>0</v>
      </c>
    </row>
    <row r="101" spans="2:6" x14ac:dyDescent="0.2">
      <c r="B101" s="185" t="s">
        <v>28</v>
      </c>
      <c r="C101" s="186"/>
      <c r="D101" s="37"/>
      <c r="E101" s="18">
        <f>IF(F3="1",SUMIF(Data!A:A,'12'!$A$2,Data!AK:AK),0)</f>
        <v>0</v>
      </c>
      <c r="F101" s="22">
        <f t="shared" si="6"/>
        <v>0</v>
      </c>
    </row>
    <row r="102" spans="2:6" x14ac:dyDescent="0.2">
      <c r="B102" s="185" t="s">
        <v>33</v>
      </c>
      <c r="C102" s="186"/>
      <c r="D102" s="37"/>
      <c r="E102" s="18">
        <f>IF(F3="1",SUMIF(Data!A:A,'12'!$A$2,Data!AL:AL),0)</f>
        <v>0</v>
      </c>
      <c r="F102" s="22">
        <f t="shared" si="6"/>
        <v>0</v>
      </c>
    </row>
    <row r="103" spans="2:6" x14ac:dyDescent="0.2">
      <c r="B103" s="187" t="s">
        <v>34</v>
      </c>
      <c r="C103" s="188"/>
      <c r="D103" s="37"/>
      <c r="E103" s="18">
        <f>IF(F3="1",SUMIF(Data!A:A,'12'!$A$2,Data!AM:AM),0)</f>
        <v>0</v>
      </c>
      <c r="F103" s="22">
        <f t="shared" si="6"/>
        <v>0</v>
      </c>
    </row>
    <row r="104" spans="2:6" ht="15.75" customHeight="1" thickBot="1" x14ac:dyDescent="0.25">
      <c r="B104" s="177" t="s">
        <v>29</v>
      </c>
      <c r="C104" s="178"/>
      <c r="D104" s="38"/>
      <c r="E104" s="25">
        <f>IF(F3="1",SUMIF(Data!A:A,'12'!$A$2,Data!Q:Q),0)</f>
        <v>0</v>
      </c>
      <c r="F104" s="26">
        <f t="shared" si="6"/>
        <v>0</v>
      </c>
    </row>
    <row r="105" spans="2:6" x14ac:dyDescent="0.2">
      <c r="B105" s="31" t="s">
        <v>35</v>
      </c>
      <c r="C105" s="31"/>
      <c r="D105" s="35">
        <f>D95</f>
        <v>0</v>
      </c>
      <c r="E105" s="32">
        <f>SUM(E98:E104)</f>
        <v>0</v>
      </c>
      <c r="F105" s="33">
        <f t="shared" si="6"/>
        <v>0</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0</v>
      </c>
      <c r="D109" s="16">
        <f>IF(F3="1",SUMIF(Data!$A:$A,$A$2,Data!HJ:HJ),0)</f>
        <v>0</v>
      </c>
      <c r="E109" s="16">
        <f>IF(F3="1",SUMIF(Data!$A:$A,$A$2,Data!IN:IN),0)</f>
        <v>0</v>
      </c>
      <c r="F109" s="48">
        <f>SUM(C109:E109)</f>
        <v>0</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1363</v>
      </c>
      <c r="C114" s="51">
        <f>IF(F3="1",SUMIF(Data!A:A,$A$2,Data!T:T),0)</f>
        <v>0</v>
      </c>
      <c r="D114" s="52"/>
      <c r="E114" s="51">
        <f>IF(F3="1",SUMIF(Data!A:A,$A$2,Data!AA:AA),0)</f>
        <v>0</v>
      </c>
      <c r="F114" s="49">
        <f t="shared" si="7"/>
        <v>0</v>
      </c>
    </row>
    <row r="115" spans="1:6" x14ac:dyDescent="0.2">
      <c r="B115" s="43" t="s">
        <v>1278</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0</v>
      </c>
      <c r="E117" s="53"/>
      <c r="F117" s="50">
        <f>SUM(C117:E117)</f>
        <v>0</v>
      </c>
    </row>
    <row r="118" spans="1:6" x14ac:dyDescent="0.2">
      <c r="B118" s="14" t="s">
        <v>35</v>
      </c>
      <c r="C118" s="5">
        <f>SUM(C109:C116)</f>
        <v>0</v>
      </c>
      <c r="D118" s="5">
        <f>SUM(D109:D116)</f>
        <v>0</v>
      </c>
      <c r="E118" s="5">
        <f>SUM(E109:E116)</f>
        <v>0</v>
      </c>
      <c r="F118" s="5">
        <f>SUM(F109:F116)</f>
        <v>0</v>
      </c>
    </row>
    <row r="119" spans="1:6" ht="15" thickBot="1" x14ac:dyDescent="0.25"/>
    <row r="120" spans="1:6" ht="15" thickBot="1" x14ac:dyDescent="0.25">
      <c r="B120" s="57" t="s">
        <v>1283</v>
      </c>
      <c r="C120" s="55"/>
      <c r="D120" s="55"/>
      <c r="E120" s="55">
        <f>IF(F3="1",SUMIF(Data!A:A,'12'!$A$2,Data!AM:AM),0)</f>
        <v>0</v>
      </c>
      <c r="F120" s="56">
        <f>SUM(C120:E120)</f>
        <v>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757</v>
      </c>
      <c r="B2" s="60" t="str">
        <f>VLOOKUP(A2,Data!A:G,7,0)</f>
        <v>Collin County Community College District</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104652</v>
      </c>
      <c r="E5" s="16">
        <f>E36+E67+IFERROR($E$105/$D$105*D5,0)</f>
        <v>639851.49441316584</v>
      </c>
      <c r="F5" s="21">
        <f>IFERROR(E5/D5,"")</f>
        <v>6.1140875894695359</v>
      </c>
    </row>
    <row r="6" spans="1:6" x14ac:dyDescent="0.2">
      <c r="A6" s="20">
        <v>2</v>
      </c>
      <c r="B6" s="179" t="s">
        <v>1</v>
      </c>
      <c r="C6" s="180"/>
      <c r="D6" s="15">
        <f t="shared" ref="D6:D32" si="0">D37</f>
        <v>1462</v>
      </c>
      <c r="E6" s="18">
        <f t="shared" ref="E6:E32" si="1">E37+E68+IFERROR($E$105/$D$105*D6,0)</f>
        <v>4863.1699999240191</v>
      </c>
      <c r="F6" s="22">
        <f t="shared" ref="F6:F33" si="2">IFERROR(E6/D6,"")</f>
        <v>3.3263816688946779</v>
      </c>
    </row>
    <row r="7" spans="1:6" ht="14.25" customHeight="1" x14ac:dyDescent="0.2">
      <c r="A7" s="20">
        <v>3</v>
      </c>
      <c r="B7" s="179" t="s">
        <v>2</v>
      </c>
      <c r="C7" s="180"/>
      <c r="D7" s="15">
        <f t="shared" si="0"/>
        <v>1366992</v>
      </c>
      <c r="E7" s="18">
        <f t="shared" si="1"/>
        <v>10251249.189149203</v>
      </c>
      <c r="F7" s="22">
        <f t="shared" si="2"/>
        <v>7.4991288823557145</v>
      </c>
    </row>
    <row r="8" spans="1:6" ht="14.25" customHeight="1" x14ac:dyDescent="0.2">
      <c r="A8" s="20">
        <v>4</v>
      </c>
      <c r="B8" s="179" t="s">
        <v>3</v>
      </c>
      <c r="C8" s="180"/>
      <c r="D8" s="15">
        <f t="shared" si="0"/>
        <v>698473</v>
      </c>
      <c r="E8" s="18">
        <f t="shared" si="1"/>
        <v>4431677.312829637</v>
      </c>
      <c r="F8" s="22">
        <f t="shared" si="2"/>
        <v>6.3448083359408836</v>
      </c>
    </row>
    <row r="9" spans="1:6" x14ac:dyDescent="0.2">
      <c r="A9" s="20">
        <v>5</v>
      </c>
      <c r="B9" s="179" t="s">
        <v>4</v>
      </c>
      <c r="C9" s="180"/>
      <c r="D9" s="15">
        <f t="shared" si="0"/>
        <v>1407</v>
      </c>
      <c r="E9" s="18">
        <f t="shared" si="1"/>
        <v>4679.5719493112829</v>
      </c>
      <c r="F9" s="22">
        <f t="shared" si="2"/>
        <v>3.3259217834479622</v>
      </c>
    </row>
    <row r="10" spans="1:6" x14ac:dyDescent="0.2">
      <c r="A10" s="20">
        <v>6</v>
      </c>
      <c r="B10" s="179" t="s">
        <v>5</v>
      </c>
      <c r="C10" s="180"/>
      <c r="D10" s="15">
        <f t="shared" si="0"/>
        <v>217973</v>
      </c>
      <c r="E10" s="18">
        <f t="shared" si="1"/>
        <v>1105163.979749274</v>
      </c>
      <c r="F10" s="22">
        <f t="shared" si="2"/>
        <v>5.0701874991364706</v>
      </c>
    </row>
    <row r="11" spans="1:6" x14ac:dyDescent="0.2">
      <c r="A11" s="20">
        <v>7</v>
      </c>
      <c r="B11" s="179" t="s">
        <v>6</v>
      </c>
      <c r="C11" s="180"/>
      <c r="D11" s="15">
        <f t="shared" si="0"/>
        <v>350927</v>
      </c>
      <c r="E11" s="18">
        <f t="shared" si="1"/>
        <v>2921234.4928613789</v>
      </c>
      <c r="F11" s="22">
        <f t="shared" si="2"/>
        <v>8.3243366650653243</v>
      </c>
    </row>
    <row r="12" spans="1:6" x14ac:dyDescent="0.2">
      <c r="A12" s="20">
        <v>8</v>
      </c>
      <c r="B12" s="179" t="s">
        <v>7</v>
      </c>
      <c r="C12" s="180"/>
      <c r="D12" s="15">
        <f t="shared" si="0"/>
        <v>972</v>
      </c>
      <c r="E12" s="18">
        <f t="shared" si="1"/>
        <v>3232.4782762832742</v>
      </c>
      <c r="F12" s="22">
        <f t="shared" si="2"/>
        <v>3.3255949344478131</v>
      </c>
    </row>
    <row r="13" spans="1:6" x14ac:dyDescent="0.2">
      <c r="A13" s="20">
        <v>9</v>
      </c>
      <c r="B13" s="179" t="s">
        <v>8</v>
      </c>
      <c r="C13" s="180"/>
      <c r="D13" s="15">
        <f t="shared" si="0"/>
        <v>320454</v>
      </c>
      <c r="E13" s="18">
        <f t="shared" si="1"/>
        <v>2112813.9583827988</v>
      </c>
      <c r="F13" s="22">
        <f t="shared" si="2"/>
        <v>6.5931895322972993</v>
      </c>
    </row>
    <row r="14" spans="1:6" x14ac:dyDescent="0.2">
      <c r="A14" s="20">
        <v>10</v>
      </c>
      <c r="B14" s="179" t="s">
        <v>9</v>
      </c>
      <c r="C14" s="180"/>
      <c r="D14" s="15">
        <f t="shared" si="0"/>
        <v>9472</v>
      </c>
      <c r="E14" s="18">
        <f t="shared" si="1"/>
        <v>238044.72246188804</v>
      </c>
      <c r="F14" s="22">
        <f t="shared" si="2"/>
        <v>25.13141073288514</v>
      </c>
    </row>
    <row r="15" spans="1:6" x14ac:dyDescent="0.2">
      <c r="A15" s="20">
        <v>11</v>
      </c>
      <c r="B15" s="179" t="s">
        <v>10</v>
      </c>
      <c r="C15" s="180"/>
      <c r="D15" s="15">
        <f t="shared" si="0"/>
        <v>62414</v>
      </c>
      <c r="E15" s="18">
        <f t="shared" si="1"/>
        <v>566826.66783533362</v>
      </c>
      <c r="F15" s="22">
        <f t="shared" si="2"/>
        <v>9.0817231364010258</v>
      </c>
    </row>
    <row r="16" spans="1:6" ht="14.25" customHeight="1" x14ac:dyDescent="0.2">
      <c r="A16" s="20">
        <v>12</v>
      </c>
      <c r="B16" s="179" t="s">
        <v>11</v>
      </c>
      <c r="C16" s="180"/>
      <c r="D16" s="15">
        <f t="shared" si="0"/>
        <v>1714404</v>
      </c>
      <c r="E16" s="18">
        <f t="shared" si="1"/>
        <v>11901459.097503241</v>
      </c>
      <c r="F16" s="22">
        <f t="shared" si="2"/>
        <v>6.9420388061992631</v>
      </c>
    </row>
    <row r="17" spans="1:6" x14ac:dyDescent="0.2">
      <c r="A17" s="20">
        <v>13</v>
      </c>
      <c r="B17" s="179" t="s">
        <v>12</v>
      </c>
      <c r="C17" s="180"/>
      <c r="D17" s="15">
        <f t="shared" si="0"/>
        <v>337047</v>
      </c>
      <c r="E17" s="18">
        <f t="shared" si="1"/>
        <v>1747438.021179474</v>
      </c>
      <c r="F17" s="22">
        <f t="shared" si="2"/>
        <v>5.1845529590219579</v>
      </c>
    </row>
    <row r="18" spans="1:6" ht="14.25" customHeight="1" x14ac:dyDescent="0.2">
      <c r="A18" s="20">
        <v>14</v>
      </c>
      <c r="B18" s="179" t="s">
        <v>804</v>
      </c>
      <c r="C18" s="180"/>
      <c r="D18" s="15">
        <f t="shared" si="0"/>
        <v>149009</v>
      </c>
      <c r="E18" s="18">
        <f t="shared" si="1"/>
        <v>3005794.4531591507</v>
      </c>
      <c r="F18" s="22">
        <f t="shared" si="2"/>
        <v>20.171898698462179</v>
      </c>
    </row>
    <row r="19" spans="1:6" x14ac:dyDescent="0.2">
      <c r="A19" s="20">
        <v>15</v>
      </c>
      <c r="B19" s="179" t="s">
        <v>13</v>
      </c>
      <c r="C19" s="180"/>
      <c r="D19" s="15">
        <f t="shared" si="0"/>
        <v>23360</v>
      </c>
      <c r="E19" s="18">
        <f t="shared" si="1"/>
        <v>542952.0993147915</v>
      </c>
      <c r="F19" s="22">
        <f t="shared" si="2"/>
        <v>23.242812470667445</v>
      </c>
    </row>
    <row r="20" spans="1:6" x14ac:dyDescent="0.2">
      <c r="A20" s="20">
        <v>16</v>
      </c>
      <c r="B20" s="179" t="s">
        <v>14</v>
      </c>
      <c r="C20" s="180"/>
      <c r="D20" s="15">
        <f t="shared" si="0"/>
        <v>234841</v>
      </c>
      <c r="E20" s="18">
        <f t="shared" si="1"/>
        <v>1276793.0327990127</v>
      </c>
      <c r="F20" s="22">
        <f t="shared" si="2"/>
        <v>5.4368403847667688</v>
      </c>
    </row>
    <row r="21" spans="1:6" x14ac:dyDescent="0.2">
      <c r="A21" s="20">
        <v>17</v>
      </c>
      <c r="B21" s="179" t="s">
        <v>15</v>
      </c>
      <c r="C21" s="180"/>
      <c r="D21" s="15">
        <f t="shared" si="0"/>
        <v>42096</v>
      </c>
      <c r="E21" s="18">
        <f t="shared" si="1"/>
        <v>707993.00979261391</v>
      </c>
      <c r="F21" s="22">
        <f t="shared" si="2"/>
        <v>16.818534060067794</v>
      </c>
    </row>
    <row r="22" spans="1:6" x14ac:dyDescent="0.2">
      <c r="A22" s="20">
        <v>18</v>
      </c>
      <c r="B22" s="179" t="s">
        <v>16</v>
      </c>
      <c r="C22" s="180"/>
      <c r="D22" s="15">
        <f t="shared" si="0"/>
        <v>0</v>
      </c>
      <c r="E22" s="18">
        <f t="shared" si="1"/>
        <v>0</v>
      </c>
      <c r="F22" s="22" t="str">
        <f t="shared" si="2"/>
        <v/>
      </c>
    </row>
    <row r="23" spans="1:6" x14ac:dyDescent="0.2">
      <c r="A23" s="20">
        <v>19</v>
      </c>
      <c r="B23" s="179" t="s">
        <v>17</v>
      </c>
      <c r="C23" s="180"/>
      <c r="D23" s="15">
        <f t="shared" si="0"/>
        <v>898384</v>
      </c>
      <c r="E23" s="18">
        <f t="shared" si="1"/>
        <v>5887513.8927576877</v>
      </c>
      <c r="F23" s="22">
        <f t="shared" si="2"/>
        <v>6.5534491851565564</v>
      </c>
    </row>
    <row r="24" spans="1:6" x14ac:dyDescent="0.2">
      <c r="A24" s="20">
        <v>20</v>
      </c>
      <c r="B24" s="179" t="s">
        <v>18</v>
      </c>
      <c r="C24" s="180"/>
      <c r="D24" s="15">
        <f t="shared" si="0"/>
        <v>96</v>
      </c>
      <c r="E24" s="18">
        <f t="shared" si="1"/>
        <v>318.86205197859499</v>
      </c>
      <c r="F24" s="22">
        <f t="shared" si="2"/>
        <v>3.3214797081103646</v>
      </c>
    </row>
    <row r="25" spans="1:6" ht="14.25" customHeight="1" x14ac:dyDescent="0.2">
      <c r="A25" s="20">
        <v>21</v>
      </c>
      <c r="B25" s="179" t="s">
        <v>801</v>
      </c>
      <c r="C25" s="180"/>
      <c r="D25" s="15">
        <f t="shared" si="0"/>
        <v>1848</v>
      </c>
      <c r="E25" s="18">
        <f t="shared" si="1"/>
        <v>6146.0945005879539</v>
      </c>
      <c r="F25" s="22">
        <f t="shared" si="2"/>
        <v>3.3258087124393692</v>
      </c>
    </row>
    <row r="26" spans="1:6" x14ac:dyDescent="0.2">
      <c r="A26" s="20">
        <v>22</v>
      </c>
      <c r="B26" s="179" t="s">
        <v>19</v>
      </c>
      <c r="C26" s="180"/>
      <c r="D26" s="15">
        <f t="shared" si="0"/>
        <v>14040</v>
      </c>
      <c r="E26" s="18">
        <f t="shared" si="1"/>
        <v>46691.575101869515</v>
      </c>
      <c r="F26" s="22">
        <f t="shared" si="2"/>
        <v>3.3256107622414186</v>
      </c>
    </row>
    <row r="27" spans="1:6" x14ac:dyDescent="0.2">
      <c r="A27" s="20">
        <v>23</v>
      </c>
      <c r="B27" s="179" t="s">
        <v>20</v>
      </c>
      <c r="C27" s="180"/>
      <c r="D27" s="15">
        <f t="shared" si="0"/>
        <v>294592</v>
      </c>
      <c r="E27" s="18">
        <f t="shared" si="1"/>
        <v>2357450.0168383149</v>
      </c>
      <c r="F27" s="22">
        <f t="shared" si="2"/>
        <v>8.0024237482291269</v>
      </c>
    </row>
    <row r="28" spans="1:6" x14ac:dyDescent="0.2">
      <c r="A28" s="20">
        <v>24</v>
      </c>
      <c r="B28" s="179" t="s">
        <v>21</v>
      </c>
      <c r="C28" s="180"/>
      <c r="D28" s="15">
        <f t="shared" si="0"/>
        <v>238515</v>
      </c>
      <c r="E28" s="18">
        <f t="shared" si="1"/>
        <v>2435015.9825799437</v>
      </c>
      <c r="F28" s="22">
        <f t="shared" si="2"/>
        <v>10.209068539001503</v>
      </c>
    </row>
    <row r="29" spans="1:6" x14ac:dyDescent="0.2">
      <c r="A29" s="20">
        <v>25</v>
      </c>
      <c r="B29" s="179" t="s">
        <v>22</v>
      </c>
      <c r="C29" s="180"/>
      <c r="D29" s="15">
        <f t="shared" si="0"/>
        <v>2196976</v>
      </c>
      <c r="E29" s="18">
        <f t="shared" si="1"/>
        <v>13514352.869872142</v>
      </c>
      <c r="F29" s="22">
        <f t="shared" si="2"/>
        <v>6.1513429686405958</v>
      </c>
    </row>
    <row r="30" spans="1:6" x14ac:dyDescent="0.2">
      <c r="A30" s="20">
        <v>26</v>
      </c>
      <c r="B30" s="179" t="s">
        <v>23</v>
      </c>
      <c r="C30" s="180"/>
      <c r="D30" s="15">
        <f t="shared" si="0"/>
        <v>851643</v>
      </c>
      <c r="E30" s="18">
        <f t="shared" si="1"/>
        <v>7474632.1930542346</v>
      </c>
      <c r="F30" s="22">
        <f t="shared" si="2"/>
        <v>8.7767200494270892</v>
      </c>
    </row>
    <row r="31" spans="1:6" x14ac:dyDescent="0.2">
      <c r="A31" s="20">
        <v>28</v>
      </c>
      <c r="B31" s="179" t="s">
        <v>24</v>
      </c>
      <c r="C31" s="180"/>
      <c r="D31" s="15">
        <f t="shared" si="0"/>
        <v>687488</v>
      </c>
      <c r="E31" s="18">
        <f t="shared" si="1"/>
        <v>4186612.7749027116</v>
      </c>
      <c r="F31" s="22">
        <f t="shared" si="2"/>
        <v>6.0897248750563087</v>
      </c>
    </row>
    <row r="32" spans="1:6" ht="15.75" customHeight="1" thickBot="1" x14ac:dyDescent="0.25">
      <c r="A32" s="23">
        <v>29</v>
      </c>
      <c r="B32" s="181" t="s">
        <v>25</v>
      </c>
      <c r="C32" s="182"/>
      <c r="D32" s="24">
        <f t="shared" si="0"/>
        <v>367568</v>
      </c>
      <c r="E32" s="25">
        <f t="shared" si="1"/>
        <v>2601229.9866840439</v>
      </c>
      <c r="F32" s="26">
        <f t="shared" si="2"/>
        <v>7.0768673733405629</v>
      </c>
    </row>
    <row r="33" spans="1:6" x14ac:dyDescent="0.2">
      <c r="B33" s="31" t="s">
        <v>35</v>
      </c>
      <c r="C33" s="31"/>
      <c r="D33" s="61">
        <f>SUM(D5:D32)</f>
        <v>11187105</v>
      </c>
      <c r="E33" s="32">
        <f>SUM(E5:E32)</f>
        <v>79972030.999999985</v>
      </c>
      <c r="F33" s="33">
        <f t="shared" si="2"/>
        <v>7.1485903636374184</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IF(F3="1",SUMIF(Data!A:A,'13'!$A$2,Data!CU:CU),0)</f>
        <v>104652</v>
      </c>
      <c r="E36" s="16">
        <f>IF(F3="1",SUMIF(Data!$A:$A,'13'!$A$2,Data!IO:IO),0)</f>
        <v>82915</v>
      </c>
      <c r="F36" s="21">
        <f t="shared" ref="F36:F64" si="3">IFERROR(E36/D36,"")</f>
        <v>0.79229255054848446</v>
      </c>
    </row>
    <row r="37" spans="1:6" x14ac:dyDescent="0.2">
      <c r="A37" s="20">
        <v>2</v>
      </c>
      <c r="B37" s="179" t="s">
        <v>1</v>
      </c>
      <c r="C37" s="180"/>
      <c r="D37" s="15">
        <f>IF(F3="1",SUMIF(Data!A:A,'13'!$A$2,Data!CV:CV),0)</f>
        <v>1462</v>
      </c>
      <c r="E37" s="18">
        <f>IF(F3="1",SUMIF(Data!$A:$A,'13'!$A$2,Data!IP:IP),0)</f>
        <v>747</v>
      </c>
      <c r="F37" s="22">
        <f t="shared" si="3"/>
        <v>0.51094391244870041</v>
      </c>
    </row>
    <row r="38" spans="1:6" ht="14.25" customHeight="1" x14ac:dyDescent="0.2">
      <c r="A38" s="20">
        <v>3</v>
      </c>
      <c r="B38" s="179" t="s">
        <v>2</v>
      </c>
      <c r="C38" s="180"/>
      <c r="D38" s="15">
        <f>IF(F3="1",SUMIF(Data!A:A,'13'!$A$2,Data!CW:CW),0)</f>
        <v>1366992</v>
      </c>
      <c r="E38" s="18">
        <f>IF(F3="1",SUMIF(Data!$A:$A,'13'!$A$2,Data!IQ:IQ),0)</f>
        <v>2444988</v>
      </c>
      <c r="F38" s="22">
        <f t="shared" si="3"/>
        <v>1.7885898381263388</v>
      </c>
    </row>
    <row r="39" spans="1:6" ht="14.25" customHeight="1" x14ac:dyDescent="0.2">
      <c r="A39" s="20">
        <v>4</v>
      </c>
      <c r="B39" s="179" t="s">
        <v>3</v>
      </c>
      <c r="C39" s="180"/>
      <c r="D39" s="15">
        <f>IF(F3="1",SUMIF(Data!A:A,'13'!$A$2,Data!CX:CX),0)</f>
        <v>698473</v>
      </c>
      <c r="E39" s="18">
        <f>IF(F3="1",SUMIF(Data!$A:$A,'13'!$A$2,Data!IR:IR),0)</f>
        <v>606830</v>
      </c>
      <c r="F39" s="22">
        <f t="shared" si="3"/>
        <v>0.86879521470407595</v>
      </c>
    </row>
    <row r="40" spans="1:6" x14ac:dyDescent="0.2">
      <c r="A40" s="20">
        <v>5</v>
      </c>
      <c r="B40" s="179" t="s">
        <v>4</v>
      </c>
      <c r="C40" s="180"/>
      <c r="D40" s="15">
        <f>IF(F3="1",SUMIF(Data!A:A,'13'!$A$2,Data!CY:CY),0)</f>
        <v>1407</v>
      </c>
      <c r="E40" s="18">
        <f>IF(F3="1",SUMIF(Data!$A:$A,'13'!$A$2,Data!IS:IS),0)</f>
        <v>719</v>
      </c>
      <c r="F40" s="22">
        <f t="shared" si="3"/>
        <v>0.5110163468372424</v>
      </c>
    </row>
    <row r="41" spans="1:6" x14ac:dyDescent="0.2">
      <c r="A41" s="20">
        <v>6</v>
      </c>
      <c r="B41" s="179" t="s">
        <v>5</v>
      </c>
      <c r="C41" s="180"/>
      <c r="D41" s="15">
        <f>IF(F3="1",SUMIF(Data!A:A,'13'!$A$2,Data!CZ:CZ),0)</f>
        <v>217973</v>
      </c>
      <c r="E41" s="18">
        <f>IF(F3="1",SUMIF(Data!$A:$A,'13'!$A$2,Data!IT:IT),0)</f>
        <v>219149</v>
      </c>
      <c r="F41" s="22">
        <f t="shared" si="3"/>
        <v>1.0053951636211824</v>
      </c>
    </row>
    <row r="42" spans="1:6" x14ac:dyDescent="0.2">
      <c r="A42" s="20">
        <v>7</v>
      </c>
      <c r="B42" s="179" t="s">
        <v>6</v>
      </c>
      <c r="C42" s="180"/>
      <c r="D42" s="15">
        <f>IF(F3="1",SUMIF(Data!A:A,'13'!$A$2,Data!DA:DA),0)</f>
        <v>350927</v>
      </c>
      <c r="E42" s="18">
        <f>IF(F3="1",SUMIF(Data!$A:$A,'13'!$A$2,Data!IU:IU),0)</f>
        <v>362722</v>
      </c>
      <c r="F42" s="22">
        <f t="shared" si="3"/>
        <v>1.0336109789215422</v>
      </c>
    </row>
    <row r="43" spans="1:6" x14ac:dyDescent="0.2">
      <c r="A43" s="20">
        <v>8</v>
      </c>
      <c r="B43" s="179" t="s">
        <v>7</v>
      </c>
      <c r="C43" s="180"/>
      <c r="D43" s="15">
        <f>IF(F3="1",SUMIF(Data!A:A,'13'!$A$2,Data!DB:DB),0)</f>
        <v>972</v>
      </c>
      <c r="E43" s="18">
        <f>IF(F3="1",SUMIF(Data!$A:$A,'13'!$A$2,Data!IV:IV),0)</f>
        <v>496</v>
      </c>
      <c r="F43" s="22">
        <f t="shared" si="3"/>
        <v>0.51028806584362141</v>
      </c>
    </row>
    <row r="44" spans="1:6" x14ac:dyDescent="0.2">
      <c r="A44" s="20">
        <v>9</v>
      </c>
      <c r="B44" s="179" t="s">
        <v>8</v>
      </c>
      <c r="C44" s="180"/>
      <c r="D44" s="15">
        <f>IF(F3="1",SUMIF(Data!A:A,'13'!$A$2,Data!DC:DC),0)</f>
        <v>320454</v>
      </c>
      <c r="E44" s="18">
        <f>IF(F3="1",SUMIF(Data!$A:$A,'13'!$A$2,Data!IW:IW),0)</f>
        <v>492123</v>
      </c>
      <c r="F44" s="22">
        <f t="shared" si="3"/>
        <v>1.5357055926903704</v>
      </c>
    </row>
    <row r="45" spans="1:6" x14ac:dyDescent="0.2">
      <c r="A45" s="20">
        <v>10</v>
      </c>
      <c r="B45" s="179" t="s">
        <v>9</v>
      </c>
      <c r="C45" s="180"/>
      <c r="D45" s="15">
        <f>IF(F3="1",SUMIF(Data!A:A,'13'!$A$2,Data!DD:DD),0)</f>
        <v>9472</v>
      </c>
      <c r="E45" s="18">
        <f>IF(F3="1",SUMIF(Data!$A:$A,'13'!$A$2,Data!IX:IX),0)</f>
        <v>113477</v>
      </c>
      <c r="F45" s="22">
        <f t="shared" si="3"/>
        <v>11.980257601351351</v>
      </c>
    </row>
    <row r="46" spans="1:6" x14ac:dyDescent="0.2">
      <c r="A46" s="20">
        <v>11</v>
      </c>
      <c r="B46" s="179" t="s">
        <v>10</v>
      </c>
      <c r="C46" s="180"/>
      <c r="D46" s="15">
        <f>IF(F3="1",SUMIF(Data!A:A,'13'!$A$2,Data!DE:DE),0)</f>
        <v>62414</v>
      </c>
      <c r="E46" s="18">
        <f>IF(F3="1",SUMIF(Data!$A:$A,'13'!$A$2,Data!IY:IY),0)</f>
        <v>69050</v>
      </c>
      <c r="F46" s="22">
        <f t="shared" si="3"/>
        <v>1.10632229948409</v>
      </c>
    </row>
    <row r="47" spans="1:6" ht="14.25" customHeight="1" x14ac:dyDescent="0.2">
      <c r="A47" s="20">
        <v>12</v>
      </c>
      <c r="B47" s="179" t="s">
        <v>11</v>
      </c>
      <c r="C47" s="180"/>
      <c r="D47" s="15">
        <f>IF(F3="1",SUMIF(Data!A:A,'13'!$A$2,Data!DF:DF),0)</f>
        <v>1714404</v>
      </c>
      <c r="E47" s="18">
        <f>IF(F3="1",SUMIF(Data!$A:$A,'13'!$A$2,Data!IZ:IZ),0)</f>
        <v>1625472</v>
      </c>
      <c r="F47" s="22">
        <f t="shared" si="3"/>
        <v>0.94812657926603061</v>
      </c>
    </row>
    <row r="48" spans="1:6" x14ac:dyDescent="0.2">
      <c r="A48" s="20">
        <v>13</v>
      </c>
      <c r="B48" s="179" t="s">
        <v>12</v>
      </c>
      <c r="C48" s="180"/>
      <c r="D48" s="15">
        <f>IF(F3="1",SUMIF(Data!A:A,'13'!$A$2,Data!DG:DG),0)</f>
        <v>337047</v>
      </c>
      <c r="E48" s="18">
        <f>IF(F3="1",SUMIF(Data!$A:$A,'13'!$A$2,Data!JA:JA),0)</f>
        <v>214484</v>
      </c>
      <c r="F48" s="22">
        <f t="shared" si="3"/>
        <v>0.63636228775215331</v>
      </c>
    </row>
    <row r="49" spans="1:6" ht="14.25" customHeight="1" x14ac:dyDescent="0.2">
      <c r="A49" s="20">
        <v>14</v>
      </c>
      <c r="B49" s="179" t="s">
        <v>804</v>
      </c>
      <c r="C49" s="180"/>
      <c r="D49" s="15">
        <f>IF(F3="1",SUMIF(Data!A:A,'13'!$A$2,Data!DH:DH),0)</f>
        <v>149009</v>
      </c>
      <c r="E49" s="18">
        <f>IF(F3="1",SUMIF(Data!$A:$A,'13'!$A$2,Data!JB:JB),0)</f>
        <v>886644</v>
      </c>
      <c r="F49" s="22">
        <f t="shared" si="3"/>
        <v>5.9502714601131474</v>
      </c>
    </row>
    <row r="50" spans="1:6" x14ac:dyDescent="0.2">
      <c r="A50" s="20">
        <v>15</v>
      </c>
      <c r="B50" s="179" t="s">
        <v>13</v>
      </c>
      <c r="C50" s="180"/>
      <c r="D50" s="15">
        <f>IF(F3="1",SUMIF(Data!A:A,'13'!$A$2,Data!DI:DI),0)</f>
        <v>23360</v>
      </c>
      <c r="E50" s="18">
        <f>IF(F3="1",SUMIF(Data!$A:$A,'13'!$A$2,Data!JC:JC),0)</f>
        <v>233555</v>
      </c>
      <c r="F50" s="22">
        <f t="shared" si="3"/>
        <v>9.9980736301369859</v>
      </c>
    </row>
    <row r="51" spans="1:6" x14ac:dyDescent="0.2">
      <c r="A51" s="20">
        <v>16</v>
      </c>
      <c r="B51" s="179" t="s">
        <v>14</v>
      </c>
      <c r="C51" s="180"/>
      <c r="D51" s="15">
        <f>IF(F3="1",SUMIF(Data!A:A,'13'!$A$2,Data!DJ:DJ),0)</f>
        <v>234841</v>
      </c>
      <c r="E51" s="18">
        <f>IF(F3="1",SUMIF(Data!$A:$A,'13'!$A$2,Data!JD:JD),0)</f>
        <v>285376</v>
      </c>
      <c r="F51" s="22">
        <f t="shared" si="3"/>
        <v>1.2151881485771223</v>
      </c>
    </row>
    <row r="52" spans="1:6" x14ac:dyDescent="0.2">
      <c r="A52" s="20">
        <v>17</v>
      </c>
      <c r="B52" s="179" t="s">
        <v>15</v>
      </c>
      <c r="C52" s="180"/>
      <c r="D52" s="15">
        <f>IF(F3="1",SUMIF(Data!A:A,'13'!$A$2,Data!DK:DK),0)</f>
        <v>42096</v>
      </c>
      <c r="E52" s="18">
        <f>IF(F3="1",SUMIF(Data!$A:$A,'13'!$A$2,Data!JE:JE),0)</f>
        <v>239739</v>
      </c>
      <c r="F52" s="22">
        <f t="shared" si="3"/>
        <v>5.6950541619156212</v>
      </c>
    </row>
    <row r="53" spans="1:6" x14ac:dyDescent="0.2">
      <c r="A53" s="20">
        <v>18</v>
      </c>
      <c r="B53" s="179" t="s">
        <v>16</v>
      </c>
      <c r="C53" s="180"/>
      <c r="D53" s="15">
        <f>IF(F3="1",SUMIF(Data!A:A,'13'!$A$2,Data!DL:DL),0)</f>
        <v>0</v>
      </c>
      <c r="E53" s="18">
        <f>IF(F3="1",SUMIF(Data!$A:$A,'13'!$A$2,Data!JF:JF),0)</f>
        <v>0</v>
      </c>
      <c r="F53" s="22" t="str">
        <f t="shared" si="3"/>
        <v/>
      </c>
    </row>
    <row r="54" spans="1:6" x14ac:dyDescent="0.2">
      <c r="A54" s="20">
        <v>19</v>
      </c>
      <c r="B54" s="179" t="s">
        <v>17</v>
      </c>
      <c r="C54" s="180"/>
      <c r="D54" s="15">
        <f>IF(F3="1",SUMIF(Data!A:A,'13'!$A$2,Data!DM:DM),0)</f>
        <v>898384</v>
      </c>
      <c r="E54" s="18">
        <f>IF(F3="1",SUMIF(Data!$A:$A,'13'!$A$2,Data!JG:JG),0)</f>
        <v>1213914</v>
      </c>
      <c r="F54" s="22">
        <f t="shared" si="3"/>
        <v>1.3512195230547295</v>
      </c>
    </row>
    <row r="55" spans="1:6" x14ac:dyDescent="0.2">
      <c r="A55" s="20">
        <v>20</v>
      </c>
      <c r="B55" s="179" t="s">
        <v>18</v>
      </c>
      <c r="C55" s="180"/>
      <c r="D55" s="15">
        <f>IF(F3="1",SUMIF(Data!A:A,'13'!$A$2,Data!DN:DN),0)</f>
        <v>96</v>
      </c>
      <c r="E55" s="18">
        <f>IF(F3="1",SUMIF(Data!$A:$A,'13'!$A$2,Data!JH:JH),0)</f>
        <v>49</v>
      </c>
      <c r="F55" s="22">
        <f t="shared" si="3"/>
        <v>0.51041666666666663</v>
      </c>
    </row>
    <row r="56" spans="1:6" ht="14.25" customHeight="1" x14ac:dyDescent="0.2">
      <c r="A56" s="20">
        <v>21</v>
      </c>
      <c r="B56" s="179" t="s">
        <v>801</v>
      </c>
      <c r="C56" s="180"/>
      <c r="D56" s="15">
        <f>IF(F3="1",SUMIF(Data!A:A,'13'!$A$2,Data!DO:DO),0)</f>
        <v>1848</v>
      </c>
      <c r="E56" s="18">
        <f>IF(F3="1",SUMIF(Data!$A:$A,'13'!$A$2,Data!JI:JI),0)</f>
        <v>944</v>
      </c>
      <c r="F56" s="22">
        <f t="shared" si="3"/>
        <v>0.51082251082251084</v>
      </c>
    </row>
    <row r="57" spans="1:6" x14ac:dyDescent="0.2">
      <c r="A57" s="20">
        <v>22</v>
      </c>
      <c r="B57" s="179" t="s">
        <v>19</v>
      </c>
      <c r="C57" s="180"/>
      <c r="D57" s="15">
        <f>IF(F3="1",SUMIF(Data!A:A,'13'!$A$2,Data!DP:DP),0)</f>
        <v>14040</v>
      </c>
      <c r="E57" s="18">
        <f>IF(F3="1",SUMIF(Data!$A:$A,'13'!$A$2,Data!JJ:JJ),0)</f>
        <v>7168</v>
      </c>
      <c r="F57" s="22">
        <f t="shared" si="3"/>
        <v>0.51054131054131058</v>
      </c>
    </row>
    <row r="58" spans="1:6" x14ac:dyDescent="0.2">
      <c r="A58" s="20">
        <v>23</v>
      </c>
      <c r="B58" s="179" t="s">
        <v>20</v>
      </c>
      <c r="C58" s="180"/>
      <c r="D58" s="15">
        <f>IF(F3="1",SUMIF(Data!A:A,'13'!$A$2,Data!DQ:DQ),0)</f>
        <v>294592</v>
      </c>
      <c r="E58" s="18">
        <f>IF(F3="1",SUMIF(Data!$A:$A,'13'!$A$2,Data!JK:JK),0)</f>
        <v>646303</v>
      </c>
      <c r="F58" s="22">
        <f t="shared" si="3"/>
        <v>2.1938918911579406</v>
      </c>
    </row>
    <row r="59" spans="1:6" x14ac:dyDescent="0.2">
      <c r="A59" s="20">
        <v>24</v>
      </c>
      <c r="B59" s="179" t="s">
        <v>21</v>
      </c>
      <c r="C59" s="180"/>
      <c r="D59" s="15">
        <f>IF(F3="1",SUMIF(Data!A:A,'13'!$A$2,Data!DR:DR),0)</f>
        <v>238515</v>
      </c>
      <c r="E59" s="18">
        <f>IF(F3="1",SUMIF(Data!$A:$A,'13'!$A$2,Data!JL:JL),0)</f>
        <v>969356</v>
      </c>
      <c r="F59" s="22">
        <f t="shared" si="3"/>
        <v>4.0641301385657087</v>
      </c>
    </row>
    <row r="60" spans="1:6" x14ac:dyDescent="0.2">
      <c r="A60" s="20">
        <v>25</v>
      </c>
      <c r="B60" s="179" t="s">
        <v>22</v>
      </c>
      <c r="C60" s="180"/>
      <c r="D60" s="15">
        <f>IF(F3="1",SUMIF(Data!A:A,'13'!$A$2,Data!DS:DS),0)</f>
        <v>2196976</v>
      </c>
      <c r="E60" s="18">
        <f>IF(F3="1",SUMIF(Data!$A:$A,'13'!$A$2,Data!JM:JM),0)</f>
        <v>1636333</v>
      </c>
      <c r="F60" s="22">
        <f t="shared" si="3"/>
        <v>0.74481150454078693</v>
      </c>
    </row>
    <row r="61" spans="1:6" x14ac:dyDescent="0.2">
      <c r="A61" s="20">
        <v>26</v>
      </c>
      <c r="B61" s="179" t="s">
        <v>23</v>
      </c>
      <c r="C61" s="180"/>
      <c r="D61" s="15">
        <f>IF(F3="1",SUMIF(Data!A:A,'13'!$A$2,Data!DT:DT),0)</f>
        <v>851643</v>
      </c>
      <c r="E61" s="18">
        <f>IF(F3="1",SUMIF(Data!$A:$A,'13'!$A$2,Data!JN:JN),0)</f>
        <v>1652128</v>
      </c>
      <c r="F61" s="22">
        <f t="shared" si="3"/>
        <v>1.9399302289809228</v>
      </c>
    </row>
    <row r="62" spans="1:6" x14ac:dyDescent="0.2">
      <c r="A62" s="20">
        <v>28</v>
      </c>
      <c r="B62" s="179" t="s">
        <v>24</v>
      </c>
      <c r="C62" s="180"/>
      <c r="D62" s="15">
        <f>IF(F3="1",SUMIF(Data!A:A,'13'!$A$2,Data!DV:DV),0)</f>
        <v>687488</v>
      </c>
      <c r="E62" s="18">
        <f>IF(F3="1",SUMIF(Data!$A:$A,'13'!$A$2,Data!JP:JP),0)</f>
        <v>776486</v>
      </c>
      <c r="F62" s="22">
        <f t="shared" si="3"/>
        <v>1.1294538959225471</v>
      </c>
    </row>
    <row r="63" spans="1:6" ht="15.75" customHeight="1" thickBot="1" x14ac:dyDescent="0.25">
      <c r="A63" s="23">
        <v>29</v>
      </c>
      <c r="B63" s="181" t="s">
        <v>25</v>
      </c>
      <c r="C63" s="182"/>
      <c r="D63" s="24">
        <f>IF(F3="1",SUMIF(Data!A:A,'13'!$A$2,Data!DW:DW),0)</f>
        <v>367568</v>
      </c>
      <c r="E63" s="25">
        <f>IF(F3="1",SUMIF(Data!$A:$A,'13'!$A$2,Data!JQ:JQ),0)</f>
        <v>333662</v>
      </c>
      <c r="F63" s="26">
        <f t="shared" si="3"/>
        <v>0.90775584381665431</v>
      </c>
    </row>
    <row r="64" spans="1:6" x14ac:dyDescent="0.2">
      <c r="B64" s="31" t="s">
        <v>35</v>
      </c>
      <c r="C64" s="31"/>
      <c r="D64" s="61">
        <f>SUM(D36:D63)</f>
        <v>11187105</v>
      </c>
      <c r="E64" s="32">
        <f>SUM(E36:E63)</f>
        <v>15114829</v>
      </c>
      <c r="F64" s="33">
        <f t="shared" si="3"/>
        <v>1.3510938710238261</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104652</v>
      </c>
      <c r="E67" s="16">
        <f>IF(F3="1",SUMIF(Data!A:A,'13'!$A$2,Data!DY:DY),0)</f>
        <v>270384</v>
      </c>
      <c r="F67" s="21">
        <f>IFERROR(E67/D67,"")</f>
        <v>2.5836486641440204</v>
      </c>
    </row>
    <row r="68" spans="1:6" x14ac:dyDescent="0.2">
      <c r="A68" s="20">
        <v>2</v>
      </c>
      <c r="B68" s="179" t="s">
        <v>1</v>
      </c>
      <c r="C68" s="180"/>
      <c r="D68" s="15">
        <f t="shared" ref="D68:D94" si="4">D37</f>
        <v>1462</v>
      </c>
      <c r="E68" s="18">
        <f>IF(F3="1",SUMIF(Data!A:A,'13'!$A$2,Data!DZ:DZ),0)</f>
        <v>113</v>
      </c>
      <c r="F68" s="22">
        <f t="shared" ref="F68:F95" si="5">IFERROR(E68/D68,"")</f>
        <v>7.7291381668946654E-2</v>
      </c>
    </row>
    <row r="69" spans="1:6" ht="14.25" customHeight="1" x14ac:dyDescent="0.2">
      <c r="A69" s="20">
        <v>3</v>
      </c>
      <c r="B69" s="179" t="s">
        <v>2</v>
      </c>
      <c r="C69" s="180"/>
      <c r="D69" s="15">
        <f t="shared" si="4"/>
        <v>1366992</v>
      </c>
      <c r="E69" s="18">
        <f>IF(F3="1",SUMIF(Data!A:A,'13'!$A$2,Data!EA:EA),0)</f>
        <v>4063237</v>
      </c>
      <c r="F69" s="22">
        <f t="shared" si="5"/>
        <v>2.9723926694523448</v>
      </c>
    </row>
    <row r="70" spans="1:6" ht="14.25" customHeight="1" x14ac:dyDescent="0.2">
      <c r="A70" s="20">
        <v>4</v>
      </c>
      <c r="B70" s="179" t="s">
        <v>3</v>
      </c>
      <c r="C70" s="180"/>
      <c r="D70" s="15">
        <f t="shared" si="4"/>
        <v>698473</v>
      </c>
      <c r="E70" s="18">
        <f>IF(F3="1",SUMIF(Data!A:A,'13'!$A$2,Data!EB:EB),0)</f>
        <v>1912326</v>
      </c>
      <c r="F70" s="22">
        <f t="shared" si="5"/>
        <v>2.7378667464597775</v>
      </c>
    </row>
    <row r="71" spans="1:6" x14ac:dyDescent="0.2">
      <c r="A71" s="20">
        <v>5</v>
      </c>
      <c r="B71" s="179" t="s">
        <v>4</v>
      </c>
      <c r="C71" s="180"/>
      <c r="D71" s="15">
        <f t="shared" si="4"/>
        <v>1407</v>
      </c>
      <c r="E71" s="18">
        <f>IF(F3="1",SUMIF(Data!A:A,'13'!$A$2,Data!EC:EC),0)</f>
        <v>108</v>
      </c>
      <c r="F71" s="22">
        <f t="shared" si="5"/>
        <v>7.6759061833688705E-2</v>
      </c>
    </row>
    <row r="72" spans="1:6" x14ac:dyDescent="0.2">
      <c r="A72" s="20">
        <v>6</v>
      </c>
      <c r="B72" s="179" t="s">
        <v>5</v>
      </c>
      <c r="C72" s="180"/>
      <c r="D72" s="15">
        <f t="shared" si="4"/>
        <v>217973</v>
      </c>
      <c r="E72" s="18">
        <f>IF(F3="1",SUMIF(Data!A:A,'13'!$A$2,Data!ED:ED),0)</f>
        <v>289173</v>
      </c>
      <c r="F72" s="22">
        <f t="shared" si="5"/>
        <v>1.3266459607382566</v>
      </c>
    </row>
    <row r="73" spans="1:6" x14ac:dyDescent="0.2">
      <c r="A73" s="20">
        <v>7</v>
      </c>
      <c r="B73" s="179" t="s">
        <v>6</v>
      </c>
      <c r="C73" s="180"/>
      <c r="D73" s="15">
        <f t="shared" si="4"/>
        <v>350927</v>
      </c>
      <c r="E73" s="18">
        <f>IF(F3="1",SUMIF(Data!A:A,'13'!$A$2,Data!EE:EE),0)</f>
        <v>1597623</v>
      </c>
      <c r="F73" s="22">
        <f t="shared" si="5"/>
        <v>4.5525793113667516</v>
      </c>
    </row>
    <row r="74" spans="1:6" x14ac:dyDescent="0.2">
      <c r="A74" s="20">
        <v>8</v>
      </c>
      <c r="B74" s="179" t="s">
        <v>7</v>
      </c>
      <c r="C74" s="180"/>
      <c r="D74" s="15">
        <f t="shared" si="4"/>
        <v>972</v>
      </c>
      <c r="E74" s="18">
        <f>IF(F3="1",SUMIF(Data!A:A,'13'!$A$2,Data!EF:EF),0)</f>
        <v>75</v>
      </c>
      <c r="F74" s="22">
        <f t="shared" si="5"/>
        <v>7.716049382716049E-2</v>
      </c>
    </row>
    <row r="75" spans="1:6" x14ac:dyDescent="0.2">
      <c r="A75" s="20">
        <v>9</v>
      </c>
      <c r="B75" s="179" t="s">
        <v>8</v>
      </c>
      <c r="C75" s="180"/>
      <c r="D75" s="15">
        <f t="shared" si="4"/>
        <v>320454</v>
      </c>
      <c r="E75" s="18">
        <f>IF(F3="1",SUMIF(Data!A:A,'13'!$A$2,Data!EG:EG),0)</f>
        <v>743241</v>
      </c>
      <c r="F75" s="22">
        <f t="shared" si="5"/>
        <v>2.3193375648298975</v>
      </c>
    </row>
    <row r="76" spans="1:6" x14ac:dyDescent="0.2">
      <c r="A76" s="20">
        <v>10</v>
      </c>
      <c r="B76" s="179" t="s">
        <v>9</v>
      </c>
      <c r="C76" s="180"/>
      <c r="D76" s="15">
        <f t="shared" si="4"/>
        <v>9472</v>
      </c>
      <c r="E76" s="18">
        <f>IF(F3="1",SUMIF(Data!A:A,'13'!$A$2,Data!EH:EH),0)</f>
        <v>98632</v>
      </c>
      <c r="F76" s="22">
        <f t="shared" si="5"/>
        <v>10.413006756756756</v>
      </c>
    </row>
    <row r="77" spans="1:6" x14ac:dyDescent="0.2">
      <c r="A77" s="20">
        <v>11</v>
      </c>
      <c r="B77" s="179" t="s">
        <v>10</v>
      </c>
      <c r="C77" s="180"/>
      <c r="D77" s="15">
        <f t="shared" si="4"/>
        <v>62414</v>
      </c>
      <c r="E77" s="18">
        <f>IF(F3="1",SUMIF(Data!A:A,'13'!$A$2,Data!EI:EI),0)</f>
        <v>326878</v>
      </c>
      <c r="F77" s="22">
        <f t="shared" si="5"/>
        <v>5.2372544621399042</v>
      </c>
    </row>
    <row r="78" spans="1:6" ht="14.25" customHeight="1" x14ac:dyDescent="0.2">
      <c r="A78" s="20">
        <v>12</v>
      </c>
      <c r="B78" s="179" t="s">
        <v>11</v>
      </c>
      <c r="C78" s="180"/>
      <c r="D78" s="15">
        <f t="shared" si="4"/>
        <v>1714404</v>
      </c>
      <c r="E78" s="18">
        <f>IF(F3="1",SUMIF(Data!A:A,'13'!$A$2,Data!EJ:EJ),0)</f>
        <v>5581698</v>
      </c>
      <c r="F78" s="22">
        <f t="shared" si="5"/>
        <v>3.2557658521562014</v>
      </c>
    </row>
    <row r="79" spans="1:6" x14ac:dyDescent="0.2">
      <c r="A79" s="20">
        <v>13</v>
      </c>
      <c r="B79" s="179" t="s">
        <v>12</v>
      </c>
      <c r="C79" s="180"/>
      <c r="D79" s="15">
        <f t="shared" si="4"/>
        <v>337047</v>
      </c>
      <c r="E79" s="18">
        <f>IF(F3="1",SUMIF(Data!A:A,'13'!$A$2,Data!EK:EK),0)</f>
        <v>610070</v>
      </c>
      <c r="F79" s="22">
        <f t="shared" si="5"/>
        <v>1.8100442964927741</v>
      </c>
    </row>
    <row r="80" spans="1:6" ht="14.25" customHeight="1" x14ac:dyDescent="0.2">
      <c r="A80" s="20">
        <v>14</v>
      </c>
      <c r="B80" s="179" t="s">
        <v>804</v>
      </c>
      <c r="C80" s="180"/>
      <c r="D80" s="15">
        <f t="shared" si="4"/>
        <v>149009</v>
      </c>
      <c r="E80" s="18">
        <f>IF(F3="1",SUMIF(Data!A:A,'13'!$A$2,Data!EL:EL),0)</f>
        <v>1711142</v>
      </c>
      <c r="F80" s="22">
        <f t="shared" si="5"/>
        <v>11.483480863572</v>
      </c>
    </row>
    <row r="81" spans="1:6" x14ac:dyDescent="0.2">
      <c r="A81" s="20">
        <v>15</v>
      </c>
      <c r="B81" s="179" t="s">
        <v>13</v>
      </c>
      <c r="C81" s="180"/>
      <c r="D81" s="15">
        <f t="shared" si="4"/>
        <v>23360</v>
      </c>
      <c r="E81" s="18">
        <f>IF(F3="1",SUMIF(Data!A:A,'13'!$A$2,Data!EM:EM),0)</f>
        <v>245434</v>
      </c>
      <c r="F81" s="22">
        <f t="shared" si="5"/>
        <v>10.506592465753425</v>
      </c>
    </row>
    <row r="82" spans="1:6" x14ac:dyDescent="0.2">
      <c r="A82" s="20">
        <v>16</v>
      </c>
      <c r="B82" s="179" t="s">
        <v>14</v>
      </c>
      <c r="C82" s="180"/>
      <c r="D82" s="15">
        <f t="shared" si="4"/>
        <v>234841</v>
      </c>
      <c r="E82" s="18">
        <f>IF(F3="1",SUMIF(Data!A:A,'13'!$A$2,Data!EN:EN),0)</f>
        <v>348388</v>
      </c>
      <c r="F82" s="22">
        <f t="shared" si="5"/>
        <v>1.4835058614126153</v>
      </c>
    </row>
    <row r="83" spans="1:6" x14ac:dyDescent="0.2">
      <c r="A83" s="20">
        <v>17</v>
      </c>
      <c r="B83" s="179" t="s">
        <v>15</v>
      </c>
      <c r="C83" s="180"/>
      <c r="D83" s="15">
        <f t="shared" si="4"/>
        <v>42096</v>
      </c>
      <c r="E83" s="18">
        <f>IF(F3="1",SUMIF(Data!A:A,'13'!$A$2,Data!EO:EO),0)</f>
        <v>352989</v>
      </c>
      <c r="F83" s="22">
        <f t="shared" si="5"/>
        <v>8.3853335233751434</v>
      </c>
    </row>
    <row r="84" spans="1:6" x14ac:dyDescent="0.2">
      <c r="A84" s="20">
        <v>18</v>
      </c>
      <c r="B84" s="179" t="s">
        <v>16</v>
      </c>
      <c r="C84" s="180"/>
      <c r="D84" s="15">
        <f t="shared" si="4"/>
        <v>0</v>
      </c>
      <c r="E84" s="18">
        <f>IF(F3="1",SUMIF(Data!A:A,'13'!$A$2,Data!EP:EP),0)</f>
        <v>0</v>
      </c>
      <c r="F84" s="22" t="str">
        <f t="shared" si="5"/>
        <v/>
      </c>
    </row>
    <row r="85" spans="1:6" x14ac:dyDescent="0.2">
      <c r="A85" s="20">
        <v>19</v>
      </c>
      <c r="B85" s="179" t="s">
        <v>17</v>
      </c>
      <c r="C85" s="180"/>
      <c r="D85" s="15">
        <f t="shared" si="4"/>
        <v>898384</v>
      </c>
      <c r="E85" s="18">
        <f>IF(F3="1",SUMIF(Data!A:A,'13'!$A$2,Data!EQ:EQ),0)</f>
        <v>2213693</v>
      </c>
      <c r="F85" s="22">
        <f t="shared" si="5"/>
        <v>2.4640832873247964</v>
      </c>
    </row>
    <row r="86" spans="1:6" x14ac:dyDescent="0.2">
      <c r="A86" s="20">
        <v>20</v>
      </c>
      <c r="B86" s="179" t="s">
        <v>18</v>
      </c>
      <c r="C86" s="180"/>
      <c r="D86" s="15">
        <f t="shared" si="4"/>
        <v>96</v>
      </c>
      <c r="E86" s="18">
        <f>IF(F3="1",SUMIF(Data!A:A,'13'!$A$2,Data!ER:ER),0)</f>
        <v>7</v>
      </c>
      <c r="F86" s="22">
        <f t="shared" si="5"/>
        <v>7.2916666666666671E-2</v>
      </c>
    </row>
    <row r="87" spans="1:6" ht="14.25" customHeight="1" x14ac:dyDescent="0.2">
      <c r="A87" s="20">
        <v>21</v>
      </c>
      <c r="B87" s="179" t="s">
        <v>801</v>
      </c>
      <c r="C87" s="180"/>
      <c r="D87" s="15">
        <f t="shared" si="4"/>
        <v>1848</v>
      </c>
      <c r="E87" s="18">
        <f>IF(F3="1",SUMIF(Data!A:A,'13'!$A$2,Data!ES:ES),0)</f>
        <v>142</v>
      </c>
      <c r="F87" s="22">
        <f t="shared" si="5"/>
        <v>7.6839826839826833E-2</v>
      </c>
    </row>
    <row r="88" spans="1:6" x14ac:dyDescent="0.2">
      <c r="A88" s="20">
        <v>22</v>
      </c>
      <c r="B88" s="179" t="s">
        <v>19</v>
      </c>
      <c r="C88" s="180"/>
      <c r="D88" s="15">
        <f t="shared" si="4"/>
        <v>14040</v>
      </c>
      <c r="E88" s="18">
        <f>IF(F3="1",SUMIF(Data!A:A,'13'!$A$2,Data!ET:ET),0)</f>
        <v>1080</v>
      </c>
      <c r="F88" s="22">
        <f t="shared" si="5"/>
        <v>7.6923076923076927E-2</v>
      </c>
    </row>
    <row r="89" spans="1:6" x14ac:dyDescent="0.2">
      <c r="A89" s="20">
        <v>23</v>
      </c>
      <c r="B89" s="179" t="s">
        <v>20</v>
      </c>
      <c r="C89" s="180"/>
      <c r="D89" s="15">
        <f t="shared" si="4"/>
        <v>294592</v>
      </c>
      <c r="E89" s="18">
        <f>IF(F3="1",SUMIF(Data!A:A,'13'!$A$2,Data!EU:EU),0)</f>
        <v>904511</v>
      </c>
      <c r="F89" s="22">
        <f t="shared" si="5"/>
        <v>3.0703854822941561</v>
      </c>
    </row>
    <row r="90" spans="1:6" x14ac:dyDescent="0.2">
      <c r="A90" s="20">
        <v>24</v>
      </c>
      <c r="B90" s="179" t="s">
        <v>21</v>
      </c>
      <c r="C90" s="180"/>
      <c r="D90" s="15">
        <f t="shared" si="4"/>
        <v>238515</v>
      </c>
      <c r="E90" s="18">
        <f>IF(F3="1",SUMIF(Data!A:A,'13'!$A$2,Data!EV:EV),0)</f>
        <v>812571</v>
      </c>
      <c r="F90" s="22">
        <f t="shared" si="5"/>
        <v>3.4067920256587634</v>
      </c>
    </row>
    <row r="91" spans="1:6" x14ac:dyDescent="0.2">
      <c r="A91" s="20">
        <v>25</v>
      </c>
      <c r="B91" s="179" t="s">
        <v>22</v>
      </c>
      <c r="C91" s="180"/>
      <c r="D91" s="15">
        <f t="shared" si="4"/>
        <v>2196976</v>
      </c>
      <c r="E91" s="18">
        <f>IF(F3="1",SUMIF(Data!A:A,'13'!$A$2,Data!EW:EW),0)</f>
        <v>5862378</v>
      </c>
      <c r="F91" s="22">
        <f t="shared" si="5"/>
        <v>2.6683850893227783</v>
      </c>
    </row>
    <row r="92" spans="1:6" x14ac:dyDescent="0.2">
      <c r="A92" s="20">
        <v>26</v>
      </c>
      <c r="B92" s="179" t="s">
        <v>23</v>
      </c>
      <c r="C92" s="180"/>
      <c r="D92" s="15">
        <f t="shared" si="4"/>
        <v>851643</v>
      </c>
      <c r="E92" s="18">
        <f>IF(F3="1",SUMIF(Data!A:A,'13'!$A$2,Data!EX:EX),0)</f>
        <v>3490581</v>
      </c>
      <c r="F92" s="22">
        <f t="shared" si="5"/>
        <v>4.0986434456691363</v>
      </c>
    </row>
    <row r="93" spans="1:6" x14ac:dyDescent="0.2">
      <c r="A93" s="20">
        <v>28</v>
      </c>
      <c r="B93" s="179" t="s">
        <v>24</v>
      </c>
      <c r="C93" s="180"/>
      <c r="D93" s="15">
        <f t="shared" si="4"/>
        <v>687488</v>
      </c>
      <c r="E93" s="18">
        <f>IF(F3="1",SUMIF(Data!A:A,'13'!$A$2,Data!EZ:EZ),0)</f>
        <v>1527684</v>
      </c>
      <c r="F93" s="22">
        <f t="shared" si="5"/>
        <v>2.2221246043567304</v>
      </c>
    </row>
    <row r="94" spans="1:6" ht="15.75" customHeight="1" thickBot="1" x14ac:dyDescent="0.25">
      <c r="A94" s="23">
        <v>29</v>
      </c>
      <c r="B94" s="181" t="s">
        <v>25</v>
      </c>
      <c r="C94" s="182"/>
      <c r="D94" s="24">
        <f t="shared" si="4"/>
        <v>367568</v>
      </c>
      <c r="E94" s="25">
        <f>IF(F3="1",SUMIF(Data!A:A,'13'!$A$2,Data!FA:FA),0)</f>
        <v>1261113</v>
      </c>
      <c r="F94" s="26">
        <f t="shared" si="5"/>
        <v>3.4309651547468767</v>
      </c>
    </row>
    <row r="95" spans="1:6" x14ac:dyDescent="0.2">
      <c r="B95" s="31" t="s">
        <v>35</v>
      </c>
      <c r="C95" s="31"/>
      <c r="D95" s="61">
        <f>SUM(D67:D94)</f>
        <v>11187105</v>
      </c>
      <c r="E95" s="32">
        <f>SUM(E67:E94)</f>
        <v>34225271</v>
      </c>
      <c r="F95" s="33">
        <f t="shared" si="5"/>
        <v>3.0593501178365625</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IF(F3="1",SUMIF(Data!A:A,'13'!$A$2,Data!AH:AH),0)</f>
        <v>12158207</v>
      </c>
      <c r="F98" s="21">
        <f t="shared" ref="F98:F105" si="6">IFERROR(E98/$D$95,0)</f>
        <v>1.086805478271635</v>
      </c>
    </row>
    <row r="99" spans="2:6" x14ac:dyDescent="0.2">
      <c r="B99" s="185" t="s">
        <v>31</v>
      </c>
      <c r="C99" s="186"/>
      <c r="D99" s="37"/>
      <c r="E99" s="18">
        <f>IF(F3="1",SUMIF(Data!A:A,'13'!$A$2,Data!AI:AI),0)</f>
        <v>6991550</v>
      </c>
      <c r="F99" s="22">
        <f t="shared" si="6"/>
        <v>0.62496508256604366</v>
      </c>
    </row>
    <row r="100" spans="2:6" x14ac:dyDescent="0.2">
      <c r="B100" s="185" t="s">
        <v>32</v>
      </c>
      <c r="C100" s="186"/>
      <c r="D100" s="37"/>
      <c r="E100" s="18">
        <f>IF(F3="1",SUMIF(Data!A:A,'13'!$A$2,Data!AJ:AJ),0)</f>
        <v>7823372</v>
      </c>
      <c r="F100" s="22">
        <f t="shared" si="6"/>
        <v>0.69932051232199932</v>
      </c>
    </row>
    <row r="101" spans="2:6" x14ac:dyDescent="0.2">
      <c r="B101" s="185" t="s">
        <v>28</v>
      </c>
      <c r="C101" s="186"/>
      <c r="D101" s="37"/>
      <c r="E101" s="18">
        <f>IF(F3="1",SUMIF(Data!A:A,'13'!$A$2,Data!AK:AK),0)</f>
        <v>0</v>
      </c>
      <c r="F101" s="22">
        <f t="shared" si="6"/>
        <v>0</v>
      </c>
    </row>
    <row r="102" spans="2:6" x14ac:dyDescent="0.2">
      <c r="B102" s="185" t="s">
        <v>33</v>
      </c>
      <c r="C102" s="186"/>
      <c r="D102" s="37"/>
      <c r="E102" s="18">
        <f>IF(F3="1",SUMIF(Data!A:A,'13'!$A$2,Data!AL:AL),0)</f>
        <v>0</v>
      </c>
      <c r="F102" s="22">
        <f t="shared" si="6"/>
        <v>0</v>
      </c>
    </row>
    <row r="103" spans="2:6" x14ac:dyDescent="0.2">
      <c r="B103" s="187" t="s">
        <v>34</v>
      </c>
      <c r="C103" s="188"/>
      <c r="D103" s="37"/>
      <c r="E103" s="18">
        <f>IF(F3="1",SUMIF(Data!A:A,'13'!$A$2,Data!AM:AM),0)</f>
        <v>2363991</v>
      </c>
      <c r="F103" s="22">
        <f t="shared" si="6"/>
        <v>0.21131391901658203</v>
      </c>
    </row>
    <row r="104" spans="2:6" ht="15.75" customHeight="1" thickBot="1" x14ac:dyDescent="0.25">
      <c r="B104" s="177" t="s">
        <v>29</v>
      </c>
      <c r="C104" s="178"/>
      <c r="D104" s="38"/>
      <c r="E104" s="25">
        <f>IF(F3="1",SUMIF(Data!A:A,'13'!$A$2,Data!Q:Q),0)</f>
        <v>1294811</v>
      </c>
      <c r="F104" s="26">
        <f t="shared" si="6"/>
        <v>0.11574138260077116</v>
      </c>
    </row>
    <row r="105" spans="2:6" x14ac:dyDescent="0.2">
      <c r="B105" s="31" t="s">
        <v>35</v>
      </c>
      <c r="C105" s="31"/>
      <c r="D105" s="35">
        <f>D95</f>
        <v>11187105</v>
      </c>
      <c r="E105" s="32">
        <f>SUM(E98:E104)</f>
        <v>30631931</v>
      </c>
      <c r="F105" s="33">
        <f t="shared" si="6"/>
        <v>2.7381463747770312</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41387639</v>
      </c>
      <c r="D109" s="16">
        <f>IF(F3="1",SUMIF(Data!$A:$A,$A$2,Data!HJ:HJ),0)</f>
        <v>2704954</v>
      </c>
      <c r="E109" s="16">
        <f>IF(F3="1",SUMIF(Data!$A:$A,$A$2,Data!IN:IN),0)</f>
        <v>5247506</v>
      </c>
      <c r="F109" s="48">
        <f>SUM(C109:E109)</f>
        <v>49340099</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456120</v>
      </c>
      <c r="D111" s="52"/>
      <c r="E111" s="51">
        <f>IF(F3="1",SUMIF(Data!A:A,$A$2,Data!AX:AX),0)</f>
        <v>22180</v>
      </c>
      <c r="F111" s="49">
        <f t="shared" si="7"/>
        <v>478300</v>
      </c>
    </row>
    <row r="112" spans="2:6" x14ac:dyDescent="0.2">
      <c r="B112" s="43" t="s">
        <v>32</v>
      </c>
      <c r="C112" s="51">
        <f>IF(F3="1",SUMIF(Data!A:A,$A$2,Data!V:V),0)</f>
        <v>6389220</v>
      </c>
      <c r="D112" s="52"/>
      <c r="E112" s="51">
        <f>IF(F3="1",SUMIF(Data!A:A,$A$2,Data!AC:AC),0)</f>
        <v>1434152</v>
      </c>
      <c r="F112" s="49">
        <f t="shared" si="7"/>
        <v>7823372</v>
      </c>
    </row>
    <row r="113" spans="1:6" x14ac:dyDescent="0.2">
      <c r="B113" s="43" t="s">
        <v>31</v>
      </c>
      <c r="C113" s="51">
        <f>IF(F3="1",SUMIF(Data!A:A,$A$2,Data!U:U),0)</f>
        <v>6328231</v>
      </c>
      <c r="D113" s="52"/>
      <c r="E113" s="51">
        <f>IF(F3="1",SUMIF(Data!A:A,$A$2,Data!AB:AB),0)</f>
        <v>663319</v>
      </c>
      <c r="F113" s="49">
        <f t="shared" si="7"/>
        <v>6991550</v>
      </c>
    </row>
    <row r="114" spans="1:6" x14ac:dyDescent="0.2">
      <c r="B114" s="43" t="s">
        <v>1363</v>
      </c>
      <c r="C114" s="51">
        <f>IF(F3="1",SUMIF(Data!A:A,$A$2,Data!T:T),0)</f>
        <v>7260202</v>
      </c>
      <c r="D114" s="52"/>
      <c r="E114" s="51">
        <f>IF(F3="1",SUMIF(Data!A:A,$A$2,Data!AA:AA),0)</f>
        <v>4898005</v>
      </c>
      <c r="F114" s="49">
        <f t="shared" si="7"/>
        <v>12158207</v>
      </c>
    </row>
    <row r="115" spans="1:6" x14ac:dyDescent="0.2">
      <c r="B115" s="43" t="s">
        <v>1278</v>
      </c>
      <c r="C115" s="51">
        <f>IF(F3="1",SUMIF(Data!A:A,$A$2,Data!BI:BI),0)</f>
        <v>3035166</v>
      </c>
      <c r="D115" s="51">
        <f>IF(F3="1",SUMIF(Data!A:A,$A$2,Data!BL:BL),0)</f>
        <v>380113</v>
      </c>
      <c r="E115" s="51">
        <f>IF(F3="1",SUMIF(Data!A:A,$A$2,Data!BU:BU),0)</f>
        <v>12373789</v>
      </c>
      <c r="F115" s="49">
        <f t="shared" si="7"/>
        <v>15789068</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1294811</v>
      </c>
      <c r="E117" s="53"/>
      <c r="F117" s="50">
        <f>SUM(C117:E117)</f>
        <v>1294811</v>
      </c>
    </row>
    <row r="118" spans="1:6" x14ac:dyDescent="0.2">
      <c r="B118" s="14" t="s">
        <v>35</v>
      </c>
      <c r="C118" s="5">
        <f>SUM(C109:C116)</f>
        <v>64856578</v>
      </c>
      <c r="D118" s="5">
        <f>SUM(D109:D116)</f>
        <v>3085067</v>
      </c>
      <c r="E118" s="5">
        <f>SUM(E109:E116)</f>
        <v>24638951</v>
      </c>
      <c r="F118" s="5">
        <f>SUM(F109:F116)</f>
        <v>92580596</v>
      </c>
    </row>
    <row r="119" spans="1:6" ht="15" thickBot="1" x14ac:dyDescent="0.25"/>
    <row r="120" spans="1:6" ht="15" thickBot="1" x14ac:dyDescent="0.25">
      <c r="B120" s="57" t="s">
        <v>1283</v>
      </c>
      <c r="C120" s="55"/>
      <c r="D120" s="55"/>
      <c r="E120" s="55">
        <f>IF(F3="1",SUMIF(Data!A:A,'13'!$A$2,Data!AM:AM),0)</f>
        <v>2363991</v>
      </c>
      <c r="F120" s="56">
        <f>SUM(C120:E120)</f>
        <v>2363991</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4.5703125" style="11" bestFit="1" customWidth="1"/>
    <col min="13"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765</v>
      </c>
      <c r="B2" s="60" t="str">
        <f>VLOOKUP(A2,Data!A:G,7,0)</f>
        <v>Dallas County Community College District</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63962</v>
      </c>
      <c r="E5" s="16">
        <f>E36+E67+IFERROR($E$105/$D$105*D5,0)</f>
        <v>1288845.6215922055</v>
      </c>
      <c r="F5" s="21">
        <f>IFERROR(E5/D5,"")</f>
        <v>20.150177004974914</v>
      </c>
    </row>
    <row r="6" spans="1:6" x14ac:dyDescent="0.2">
      <c r="A6" s="20">
        <v>2</v>
      </c>
      <c r="B6" s="179" t="s">
        <v>1</v>
      </c>
      <c r="C6" s="180"/>
      <c r="D6" s="15">
        <f t="shared" ref="D6:D32" si="0">D37</f>
        <v>160266</v>
      </c>
      <c r="E6" s="18">
        <f t="shared" ref="E6:E32" si="1">E37+E68+IFERROR($E$105/$D$105*D6,0)</f>
        <v>1573370.8065116224</v>
      </c>
      <c r="F6" s="22">
        <f t="shared" ref="F6:F33" si="2">IFERROR(E6/D6,"")</f>
        <v>9.8172463686098261</v>
      </c>
    </row>
    <row r="7" spans="1:6" ht="14.25" customHeight="1" x14ac:dyDescent="0.2">
      <c r="A7" s="20">
        <v>3</v>
      </c>
      <c r="B7" s="179" t="s">
        <v>2</v>
      </c>
      <c r="C7" s="180"/>
      <c r="D7" s="15">
        <f t="shared" si="0"/>
        <v>3932520</v>
      </c>
      <c r="E7" s="18">
        <f t="shared" si="1"/>
        <v>30503609.079324901</v>
      </c>
      <c r="F7" s="22">
        <f t="shared" si="2"/>
        <v>7.7567587906291386</v>
      </c>
    </row>
    <row r="8" spans="1:6" ht="14.25" customHeight="1" x14ac:dyDescent="0.2">
      <c r="A8" s="20">
        <v>4</v>
      </c>
      <c r="B8" s="179" t="s">
        <v>3</v>
      </c>
      <c r="C8" s="180"/>
      <c r="D8" s="15">
        <f t="shared" si="0"/>
        <v>2808238</v>
      </c>
      <c r="E8" s="18">
        <f t="shared" si="1"/>
        <v>22182254.663313396</v>
      </c>
      <c r="F8" s="22">
        <f t="shared" si="2"/>
        <v>7.8989938400211797</v>
      </c>
    </row>
    <row r="9" spans="1:6" x14ac:dyDescent="0.2">
      <c r="A9" s="20">
        <v>5</v>
      </c>
      <c r="B9" s="179" t="s">
        <v>4</v>
      </c>
      <c r="C9" s="180"/>
      <c r="D9" s="15">
        <f t="shared" si="0"/>
        <v>12864</v>
      </c>
      <c r="E9" s="18">
        <f t="shared" si="1"/>
        <v>213559.43091463886</v>
      </c>
      <c r="F9" s="22">
        <f t="shared" si="2"/>
        <v>16.601323920603146</v>
      </c>
    </row>
    <row r="10" spans="1:6" x14ac:dyDescent="0.2">
      <c r="A10" s="20">
        <v>6</v>
      </c>
      <c r="B10" s="179" t="s">
        <v>5</v>
      </c>
      <c r="C10" s="180"/>
      <c r="D10" s="15">
        <f t="shared" si="0"/>
        <v>1060808</v>
      </c>
      <c r="E10" s="18">
        <f t="shared" si="1"/>
        <v>9624279.1745721549</v>
      </c>
      <c r="F10" s="22">
        <f t="shared" si="2"/>
        <v>9.0725929429002754</v>
      </c>
    </row>
    <row r="11" spans="1:6" x14ac:dyDescent="0.2">
      <c r="A11" s="20">
        <v>7</v>
      </c>
      <c r="B11" s="179" t="s">
        <v>6</v>
      </c>
      <c r="C11" s="180"/>
      <c r="D11" s="15">
        <f t="shared" si="0"/>
        <v>2018900</v>
      </c>
      <c r="E11" s="18">
        <f t="shared" si="1"/>
        <v>16102413.579101708</v>
      </c>
      <c r="F11" s="22">
        <f t="shared" si="2"/>
        <v>7.9758351474078495</v>
      </c>
    </row>
    <row r="12" spans="1:6" x14ac:dyDescent="0.2">
      <c r="A12" s="20">
        <v>8</v>
      </c>
      <c r="B12" s="179" t="s">
        <v>7</v>
      </c>
      <c r="C12" s="180"/>
      <c r="D12" s="15">
        <f t="shared" si="0"/>
        <v>125450</v>
      </c>
      <c r="E12" s="18">
        <f t="shared" si="1"/>
        <v>2246332.520852102</v>
      </c>
      <c r="F12" s="22">
        <f t="shared" si="2"/>
        <v>17.906197854540469</v>
      </c>
    </row>
    <row r="13" spans="1:6" x14ac:dyDescent="0.2">
      <c r="A13" s="20">
        <v>9</v>
      </c>
      <c r="B13" s="179" t="s">
        <v>8</v>
      </c>
      <c r="C13" s="180"/>
      <c r="D13" s="15">
        <f t="shared" si="0"/>
        <v>740077</v>
      </c>
      <c r="E13" s="18">
        <f t="shared" si="1"/>
        <v>5413486.6647242829</v>
      </c>
      <c r="F13" s="22">
        <f t="shared" si="2"/>
        <v>7.3147613893206831</v>
      </c>
    </row>
    <row r="14" spans="1:6" x14ac:dyDescent="0.2">
      <c r="A14" s="20">
        <v>10</v>
      </c>
      <c r="B14" s="179" t="s">
        <v>9</v>
      </c>
      <c r="C14" s="180"/>
      <c r="D14" s="15">
        <f t="shared" si="0"/>
        <v>28701</v>
      </c>
      <c r="E14" s="18">
        <f t="shared" si="1"/>
        <v>310233.43599821592</v>
      </c>
      <c r="F14" s="22">
        <f t="shared" si="2"/>
        <v>10.809150761235355</v>
      </c>
    </row>
    <row r="15" spans="1:6" x14ac:dyDescent="0.2">
      <c r="A15" s="20">
        <v>11</v>
      </c>
      <c r="B15" s="179" t="s">
        <v>10</v>
      </c>
      <c r="C15" s="180"/>
      <c r="D15" s="15">
        <f t="shared" si="0"/>
        <v>548953</v>
      </c>
      <c r="E15" s="18">
        <f t="shared" si="1"/>
        <v>3526443.5656781513</v>
      </c>
      <c r="F15" s="22">
        <f t="shared" si="2"/>
        <v>6.4239444281717217</v>
      </c>
    </row>
    <row r="16" spans="1:6" ht="14.25" customHeight="1" x14ac:dyDescent="0.2">
      <c r="A16" s="20">
        <v>12</v>
      </c>
      <c r="B16" s="179" t="s">
        <v>11</v>
      </c>
      <c r="C16" s="180"/>
      <c r="D16" s="15">
        <f t="shared" si="0"/>
        <v>3107541</v>
      </c>
      <c r="E16" s="18">
        <f t="shared" si="1"/>
        <v>31406171.333170686</v>
      </c>
      <c r="F16" s="22">
        <f t="shared" si="2"/>
        <v>10.106438284537738</v>
      </c>
    </row>
    <row r="17" spans="1:6" x14ac:dyDescent="0.2">
      <c r="A17" s="20">
        <v>13</v>
      </c>
      <c r="B17" s="179" t="s">
        <v>12</v>
      </c>
      <c r="C17" s="180"/>
      <c r="D17" s="15">
        <f t="shared" si="0"/>
        <v>788574</v>
      </c>
      <c r="E17" s="18">
        <f t="shared" si="1"/>
        <v>5495215.5054477938</v>
      </c>
      <c r="F17" s="22">
        <f t="shared" si="2"/>
        <v>6.9685476638182262</v>
      </c>
    </row>
    <row r="18" spans="1:6" ht="14.25" customHeight="1" x14ac:dyDescent="0.2">
      <c r="A18" s="20">
        <v>14</v>
      </c>
      <c r="B18" s="179" t="s">
        <v>804</v>
      </c>
      <c r="C18" s="180"/>
      <c r="D18" s="15">
        <f t="shared" si="0"/>
        <v>654517</v>
      </c>
      <c r="E18" s="18">
        <f t="shared" si="1"/>
        <v>7595073.095301358</v>
      </c>
      <c r="F18" s="22">
        <f t="shared" si="2"/>
        <v>11.604088351106782</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1120113</v>
      </c>
      <c r="E20" s="18">
        <f t="shared" si="1"/>
        <v>8596609.6478613857</v>
      </c>
      <c r="F20" s="22">
        <f t="shared" si="2"/>
        <v>7.674769998974555</v>
      </c>
    </row>
    <row r="21" spans="1:6" x14ac:dyDescent="0.2">
      <c r="A21" s="20">
        <v>17</v>
      </c>
      <c r="B21" s="179" t="s">
        <v>15</v>
      </c>
      <c r="C21" s="180"/>
      <c r="D21" s="15">
        <f t="shared" si="0"/>
        <v>22758</v>
      </c>
      <c r="E21" s="18">
        <f t="shared" si="1"/>
        <v>410008.5072104595</v>
      </c>
      <c r="F21" s="22">
        <f t="shared" si="2"/>
        <v>18.016016662732206</v>
      </c>
    </row>
    <row r="22" spans="1:6" x14ac:dyDescent="0.2">
      <c r="A22" s="20">
        <v>18</v>
      </c>
      <c r="B22" s="179" t="s">
        <v>16</v>
      </c>
      <c r="C22" s="180"/>
      <c r="D22" s="15">
        <f t="shared" si="0"/>
        <v>31984</v>
      </c>
      <c r="E22" s="18">
        <f t="shared" si="1"/>
        <v>442631.03034622269</v>
      </c>
      <c r="F22" s="22">
        <f t="shared" si="2"/>
        <v>13.839139267953435</v>
      </c>
    </row>
    <row r="23" spans="1:6" x14ac:dyDescent="0.2">
      <c r="A23" s="20">
        <v>19</v>
      </c>
      <c r="B23" s="179" t="s">
        <v>17</v>
      </c>
      <c r="C23" s="180"/>
      <c r="D23" s="15">
        <f t="shared" si="0"/>
        <v>1417626</v>
      </c>
      <c r="E23" s="18">
        <f t="shared" si="1"/>
        <v>10017424.652813729</v>
      </c>
      <c r="F23" s="22">
        <f t="shared" si="2"/>
        <v>7.0663381264266665</v>
      </c>
    </row>
    <row r="24" spans="1:6" x14ac:dyDescent="0.2">
      <c r="A24" s="20">
        <v>20</v>
      </c>
      <c r="B24" s="179" t="s">
        <v>18</v>
      </c>
      <c r="C24" s="180"/>
      <c r="D24" s="15">
        <f t="shared" si="0"/>
        <v>540142</v>
      </c>
      <c r="E24" s="18">
        <f t="shared" si="1"/>
        <v>4987342.7469756575</v>
      </c>
      <c r="F24" s="22">
        <f t="shared" si="2"/>
        <v>9.2333918617246162</v>
      </c>
    </row>
    <row r="25" spans="1:6" ht="14.25" customHeight="1" x14ac:dyDescent="0.2">
      <c r="A25" s="20">
        <v>21</v>
      </c>
      <c r="B25" s="179" t="s">
        <v>801</v>
      </c>
      <c r="C25" s="180"/>
      <c r="D25" s="15">
        <f t="shared" si="0"/>
        <v>104044</v>
      </c>
      <c r="E25" s="18">
        <f t="shared" si="1"/>
        <v>512836.62422906439</v>
      </c>
      <c r="F25" s="22">
        <f t="shared" si="2"/>
        <v>4.9290360254225556</v>
      </c>
    </row>
    <row r="26" spans="1:6" x14ac:dyDescent="0.2">
      <c r="A26" s="20">
        <v>22</v>
      </c>
      <c r="B26" s="179" t="s">
        <v>19</v>
      </c>
      <c r="C26" s="180"/>
      <c r="D26" s="15">
        <f t="shared" si="0"/>
        <v>102725</v>
      </c>
      <c r="E26" s="18">
        <f t="shared" si="1"/>
        <v>1215797.428692963</v>
      </c>
      <c r="F26" s="22">
        <f t="shared" si="2"/>
        <v>11.835458054932714</v>
      </c>
    </row>
    <row r="27" spans="1:6" x14ac:dyDescent="0.2">
      <c r="A27" s="20">
        <v>23</v>
      </c>
      <c r="B27" s="179" t="s">
        <v>20</v>
      </c>
      <c r="C27" s="180"/>
      <c r="D27" s="15">
        <f t="shared" si="0"/>
        <v>640026</v>
      </c>
      <c r="E27" s="18">
        <f t="shared" si="1"/>
        <v>5780628.2617049627</v>
      </c>
      <c r="F27" s="22">
        <f t="shared" si="2"/>
        <v>9.0318647394089666</v>
      </c>
    </row>
    <row r="28" spans="1:6" x14ac:dyDescent="0.2">
      <c r="A28" s="20">
        <v>24</v>
      </c>
      <c r="B28" s="179" t="s">
        <v>21</v>
      </c>
      <c r="C28" s="180"/>
      <c r="D28" s="15">
        <f t="shared" si="0"/>
        <v>1015279</v>
      </c>
      <c r="E28" s="18">
        <f t="shared" si="1"/>
        <v>7205518.8754340494</v>
      </c>
      <c r="F28" s="22">
        <f t="shared" si="2"/>
        <v>7.0970825511352542</v>
      </c>
    </row>
    <row r="29" spans="1:6" x14ac:dyDescent="0.2">
      <c r="A29" s="20">
        <v>25</v>
      </c>
      <c r="B29" s="179" t="s">
        <v>22</v>
      </c>
      <c r="C29" s="180"/>
      <c r="D29" s="15">
        <f t="shared" si="0"/>
        <v>5244489</v>
      </c>
      <c r="E29" s="18">
        <f t="shared" si="1"/>
        <v>36287503.396461703</v>
      </c>
      <c r="F29" s="22">
        <f t="shared" si="2"/>
        <v>6.9191685589314238</v>
      </c>
    </row>
    <row r="30" spans="1:6" x14ac:dyDescent="0.2">
      <c r="A30" s="20">
        <v>26</v>
      </c>
      <c r="B30" s="179" t="s">
        <v>23</v>
      </c>
      <c r="C30" s="180"/>
      <c r="D30" s="15">
        <f t="shared" si="0"/>
        <v>1890363</v>
      </c>
      <c r="E30" s="18">
        <f t="shared" si="1"/>
        <v>16465437.141176106</v>
      </c>
      <c r="F30" s="22">
        <f t="shared" si="2"/>
        <v>8.7101985921096148</v>
      </c>
    </row>
    <row r="31" spans="1:6" x14ac:dyDescent="0.2">
      <c r="A31" s="20">
        <v>28</v>
      </c>
      <c r="B31" s="179" t="s">
        <v>24</v>
      </c>
      <c r="C31" s="180"/>
      <c r="D31" s="15">
        <f t="shared" si="0"/>
        <v>1943712</v>
      </c>
      <c r="E31" s="18">
        <f t="shared" si="1"/>
        <v>14466429.400960393</v>
      </c>
      <c r="F31" s="22">
        <f t="shared" si="2"/>
        <v>7.4426815294448936</v>
      </c>
    </row>
    <row r="32" spans="1:6" ht="15.75" customHeight="1" thickBot="1" x14ac:dyDescent="0.25">
      <c r="A32" s="23">
        <v>29</v>
      </c>
      <c r="B32" s="181" t="s">
        <v>25</v>
      </c>
      <c r="C32" s="182"/>
      <c r="D32" s="24">
        <f t="shared" si="0"/>
        <v>2367056</v>
      </c>
      <c r="E32" s="25">
        <f t="shared" si="1"/>
        <v>13641441.809630081</v>
      </c>
      <c r="F32" s="26">
        <f t="shared" si="2"/>
        <v>5.7630414361257536</v>
      </c>
    </row>
    <row r="33" spans="1:6" x14ac:dyDescent="0.2">
      <c r="B33" s="31" t="s">
        <v>35</v>
      </c>
      <c r="C33" s="31"/>
      <c r="D33" s="61">
        <f>SUM(D5:D32)</f>
        <v>32491688</v>
      </c>
      <c r="E33" s="32">
        <f>SUM(E5:E32)</f>
        <v>257510898</v>
      </c>
      <c r="F33" s="33">
        <f t="shared" si="2"/>
        <v>7.9254392077136773</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IF(F3="1",SUMIF(Data!A:A,'14'!$A$2,Data!CU:CU),0)</f>
        <v>63962</v>
      </c>
      <c r="E36" s="16">
        <f>IF(F3="1",SUMIF(Data!$A:$A,'14'!$A$2,Data!IO:IO),0)</f>
        <v>575985</v>
      </c>
      <c r="F36" s="21">
        <f t="shared" ref="F36:F64" si="3">IFERROR(E36/D36,"")</f>
        <v>9.0051124104937301</v>
      </c>
    </row>
    <row r="37" spans="1:6" x14ac:dyDescent="0.2">
      <c r="A37" s="20">
        <v>2</v>
      </c>
      <c r="B37" s="179" t="s">
        <v>1</v>
      </c>
      <c r="C37" s="180"/>
      <c r="D37" s="15">
        <f>IF(F3="1",SUMIF(Data!A:A,'14'!$A$2,Data!CV:CV),0)</f>
        <v>160266</v>
      </c>
      <c r="E37" s="18">
        <f>IF(F3="1",SUMIF(Data!$A:$A,'14'!$A$2,Data!IP:IP),0)</f>
        <v>371978</v>
      </c>
      <c r="F37" s="22">
        <f t="shared" si="3"/>
        <v>2.3210038311307453</v>
      </c>
    </row>
    <row r="38" spans="1:6" ht="14.25" customHeight="1" x14ac:dyDescent="0.2">
      <c r="A38" s="20">
        <v>3</v>
      </c>
      <c r="B38" s="179" t="s">
        <v>2</v>
      </c>
      <c r="C38" s="180"/>
      <c r="D38" s="15">
        <f>IF(F3="1",SUMIF(Data!A:A,'14'!$A$2,Data!CW:CW),0)</f>
        <v>3932520</v>
      </c>
      <c r="E38" s="18">
        <f>IF(F3="1",SUMIF(Data!$A:$A,'14'!$A$2,Data!IQ:IQ),0)</f>
        <v>6878918</v>
      </c>
      <c r="F38" s="22">
        <f t="shared" si="3"/>
        <v>1.7492391647086347</v>
      </c>
    </row>
    <row r="39" spans="1:6" ht="14.25" customHeight="1" x14ac:dyDescent="0.2">
      <c r="A39" s="20">
        <v>4</v>
      </c>
      <c r="B39" s="179" t="s">
        <v>3</v>
      </c>
      <c r="C39" s="180"/>
      <c r="D39" s="15">
        <f>IF(F3="1",SUMIF(Data!A:A,'14'!$A$2,Data!CX:CX),0)</f>
        <v>2808238</v>
      </c>
      <c r="E39" s="18">
        <f>IF(F3="1",SUMIF(Data!$A:$A,'14'!$A$2,Data!IR:IR),0)</f>
        <v>5491451</v>
      </c>
      <c r="F39" s="22">
        <f t="shared" si="3"/>
        <v>1.9554792008369661</v>
      </c>
    </row>
    <row r="40" spans="1:6" x14ac:dyDescent="0.2">
      <c r="A40" s="20">
        <v>5</v>
      </c>
      <c r="B40" s="179" t="s">
        <v>4</v>
      </c>
      <c r="C40" s="180"/>
      <c r="D40" s="15">
        <f>IF(F3="1",SUMIF(Data!A:A,'14'!$A$2,Data!CY:CY),0)</f>
        <v>12864</v>
      </c>
      <c r="E40" s="18">
        <f>IF(F3="1",SUMIF(Data!$A:$A,'14'!$A$2,Data!IS:IS),0)</f>
        <v>40053</v>
      </c>
      <c r="F40" s="22">
        <f t="shared" si="3"/>
        <v>3.11357276119403</v>
      </c>
    </row>
    <row r="41" spans="1:6" x14ac:dyDescent="0.2">
      <c r="A41" s="20">
        <v>6</v>
      </c>
      <c r="B41" s="179" t="s">
        <v>5</v>
      </c>
      <c r="C41" s="180"/>
      <c r="D41" s="15">
        <f>IF(F3="1",SUMIF(Data!A:A,'14'!$A$2,Data!CZ:CZ),0)</f>
        <v>1060808</v>
      </c>
      <c r="E41" s="18">
        <f>IF(F3="1",SUMIF(Data!$A:$A,'14'!$A$2,Data!IT:IT),0)</f>
        <v>4083335</v>
      </c>
      <c r="F41" s="22">
        <f t="shared" si="3"/>
        <v>3.8492686706736752</v>
      </c>
    </row>
    <row r="42" spans="1:6" x14ac:dyDescent="0.2">
      <c r="A42" s="20">
        <v>7</v>
      </c>
      <c r="B42" s="179" t="s">
        <v>6</v>
      </c>
      <c r="C42" s="180"/>
      <c r="D42" s="15">
        <f>IF(F3="1",SUMIF(Data!A:A,'14'!$A$2,Data!DA:DA),0)</f>
        <v>2018900</v>
      </c>
      <c r="E42" s="18">
        <f>IF(F3="1",SUMIF(Data!$A:$A,'14'!$A$2,Data!IU:IU),0)</f>
        <v>2868900</v>
      </c>
      <c r="F42" s="22">
        <f t="shared" si="3"/>
        <v>1.4210213482589529</v>
      </c>
    </row>
    <row r="43" spans="1:6" x14ac:dyDescent="0.2">
      <c r="A43" s="20">
        <v>8</v>
      </c>
      <c r="B43" s="179" t="s">
        <v>7</v>
      </c>
      <c r="C43" s="180"/>
      <c r="D43" s="15">
        <f>IF(F3="1",SUMIF(Data!A:A,'14'!$A$2,Data!DB:DB),0)</f>
        <v>125450</v>
      </c>
      <c r="E43" s="18">
        <f>IF(F3="1",SUMIF(Data!$A:$A,'14'!$A$2,Data!IV:IV),0)</f>
        <v>1038126</v>
      </c>
      <c r="F43" s="22">
        <f t="shared" si="3"/>
        <v>8.2752172180151451</v>
      </c>
    </row>
    <row r="44" spans="1:6" x14ac:dyDescent="0.2">
      <c r="A44" s="20">
        <v>9</v>
      </c>
      <c r="B44" s="179" t="s">
        <v>8</v>
      </c>
      <c r="C44" s="180"/>
      <c r="D44" s="15">
        <f>IF(F3="1",SUMIF(Data!A:A,'14'!$A$2,Data!DC:DC),0)</f>
        <v>740077</v>
      </c>
      <c r="E44" s="18">
        <f>IF(F3="1",SUMIF(Data!$A:$A,'14'!$A$2,Data!IW:IW),0)</f>
        <v>1306074</v>
      </c>
      <c r="F44" s="22">
        <f t="shared" si="3"/>
        <v>1.7647812322231335</v>
      </c>
    </row>
    <row r="45" spans="1:6" x14ac:dyDescent="0.2">
      <c r="A45" s="20">
        <v>10</v>
      </c>
      <c r="B45" s="179" t="s">
        <v>9</v>
      </c>
      <c r="C45" s="180"/>
      <c r="D45" s="15">
        <f>IF(F3="1",SUMIF(Data!A:A,'14'!$A$2,Data!DD:DD),0)</f>
        <v>28701</v>
      </c>
      <c r="E45" s="18">
        <f>IF(F3="1",SUMIF(Data!$A:$A,'14'!$A$2,Data!IX:IX),0)</f>
        <v>101844</v>
      </c>
      <c r="F45" s="22">
        <f t="shared" si="3"/>
        <v>3.548447789275635</v>
      </c>
    </row>
    <row r="46" spans="1:6" x14ac:dyDescent="0.2">
      <c r="A46" s="20">
        <v>11</v>
      </c>
      <c r="B46" s="179" t="s">
        <v>10</v>
      </c>
      <c r="C46" s="180"/>
      <c r="D46" s="15">
        <f>IF(F3="1",SUMIF(Data!A:A,'14'!$A$2,Data!DE:DE),0)</f>
        <v>548953</v>
      </c>
      <c r="E46" s="18">
        <f>IF(F3="1",SUMIF(Data!$A:$A,'14'!$A$2,Data!IY:IY),0)</f>
        <v>846305</v>
      </c>
      <c r="F46" s="22">
        <f t="shared" si="3"/>
        <v>1.5416711448885423</v>
      </c>
    </row>
    <row r="47" spans="1:6" ht="14.25" customHeight="1" x14ac:dyDescent="0.2">
      <c r="A47" s="20">
        <v>12</v>
      </c>
      <c r="B47" s="179" t="s">
        <v>11</v>
      </c>
      <c r="C47" s="180"/>
      <c r="D47" s="15">
        <f>IF(F3="1",SUMIF(Data!A:A,'14'!$A$2,Data!DF:DF),0)</f>
        <v>3107541</v>
      </c>
      <c r="E47" s="18">
        <f>IF(F3="1",SUMIF(Data!$A:$A,'14'!$A$2,Data!IZ:IZ),0)</f>
        <v>7161709</v>
      </c>
      <c r="F47" s="22">
        <f t="shared" si="3"/>
        <v>2.3046225295177121</v>
      </c>
    </row>
    <row r="48" spans="1:6" x14ac:dyDescent="0.2">
      <c r="A48" s="20">
        <v>13</v>
      </c>
      <c r="B48" s="179" t="s">
        <v>12</v>
      </c>
      <c r="C48" s="180"/>
      <c r="D48" s="15">
        <f>IF(F3="1",SUMIF(Data!A:A,'14'!$A$2,Data!DG:DG),0)</f>
        <v>788574</v>
      </c>
      <c r="E48" s="18">
        <f>IF(F3="1",SUMIF(Data!$A:$A,'14'!$A$2,Data!JA:JA),0)</f>
        <v>656884</v>
      </c>
      <c r="F48" s="22">
        <f t="shared" si="3"/>
        <v>0.83300235615173723</v>
      </c>
    </row>
    <row r="49" spans="1:6" ht="14.25" customHeight="1" x14ac:dyDescent="0.2">
      <c r="A49" s="20">
        <v>14</v>
      </c>
      <c r="B49" s="179" t="s">
        <v>804</v>
      </c>
      <c r="C49" s="180"/>
      <c r="D49" s="15">
        <f>IF(F3="1",SUMIF(Data!A:A,'14'!$A$2,Data!DH:DH),0)</f>
        <v>654517</v>
      </c>
      <c r="E49" s="18">
        <f>IF(F3="1",SUMIF(Data!$A:$A,'14'!$A$2,Data!JB:JB),0)</f>
        <v>2310806</v>
      </c>
      <c r="F49" s="22">
        <f t="shared" si="3"/>
        <v>3.5305515364765161</v>
      </c>
    </row>
    <row r="50" spans="1:6" x14ac:dyDescent="0.2">
      <c r="A50" s="20">
        <v>15</v>
      </c>
      <c r="B50" s="179" t="s">
        <v>13</v>
      </c>
      <c r="C50" s="180"/>
      <c r="D50" s="15">
        <f>IF(F3="1",SUMIF(Data!A:A,'14'!$A$2,Data!DI:DI),0)</f>
        <v>0</v>
      </c>
      <c r="E50" s="18">
        <f>IF(F3="1",SUMIF(Data!$A:$A,'14'!$A$2,Data!JC:JC),0)</f>
        <v>0</v>
      </c>
      <c r="F50" s="22" t="str">
        <f t="shared" si="3"/>
        <v/>
      </c>
    </row>
    <row r="51" spans="1:6" x14ac:dyDescent="0.2">
      <c r="A51" s="20">
        <v>16</v>
      </c>
      <c r="B51" s="179" t="s">
        <v>14</v>
      </c>
      <c r="C51" s="180"/>
      <c r="D51" s="15">
        <f>IF(F3="1",SUMIF(Data!A:A,'14'!$A$2,Data!DJ:DJ),0)</f>
        <v>1120113</v>
      </c>
      <c r="E51" s="18">
        <f>IF(F3="1",SUMIF(Data!$A:$A,'14'!$A$2,Data!JD:JD),0)</f>
        <v>2802565</v>
      </c>
      <c r="F51" s="22">
        <f t="shared" si="3"/>
        <v>2.5020377408350765</v>
      </c>
    </row>
    <row r="52" spans="1:6" x14ac:dyDescent="0.2">
      <c r="A52" s="20">
        <v>17</v>
      </c>
      <c r="B52" s="179" t="s">
        <v>15</v>
      </c>
      <c r="C52" s="180"/>
      <c r="D52" s="15">
        <f>IF(F3="1",SUMIF(Data!A:A,'14'!$A$2,Data!DK:DK),0)</f>
        <v>22758</v>
      </c>
      <c r="E52" s="18">
        <f>IF(F3="1",SUMIF(Data!$A:$A,'14'!$A$2,Data!JE:JE),0)</f>
        <v>92673</v>
      </c>
      <c r="F52" s="22">
        <f t="shared" si="3"/>
        <v>4.0721065119957816</v>
      </c>
    </row>
    <row r="53" spans="1:6" x14ac:dyDescent="0.2">
      <c r="A53" s="20">
        <v>18</v>
      </c>
      <c r="B53" s="179" t="s">
        <v>16</v>
      </c>
      <c r="C53" s="180"/>
      <c r="D53" s="15">
        <f>IF(F3="1",SUMIF(Data!A:A,'14'!$A$2,Data!DL:DL),0)</f>
        <v>31984</v>
      </c>
      <c r="E53" s="18">
        <f>IF(F3="1",SUMIF(Data!$A:$A,'14'!$A$2,Data!JF:JF),0)</f>
        <v>115865</v>
      </c>
      <c r="F53" s="22">
        <f t="shared" si="3"/>
        <v>3.6225925462731365</v>
      </c>
    </row>
    <row r="54" spans="1:6" x14ac:dyDescent="0.2">
      <c r="A54" s="20">
        <v>19</v>
      </c>
      <c r="B54" s="179" t="s">
        <v>17</v>
      </c>
      <c r="C54" s="180"/>
      <c r="D54" s="15">
        <f>IF(F3="1",SUMIF(Data!A:A,'14'!$A$2,Data!DM:DM),0)</f>
        <v>1417626</v>
      </c>
      <c r="E54" s="18">
        <f>IF(F3="1",SUMIF(Data!$A:$A,'14'!$A$2,Data!JG:JG),0)</f>
        <v>1808925</v>
      </c>
      <c r="F54" s="22">
        <f t="shared" si="3"/>
        <v>1.2760241417694089</v>
      </c>
    </row>
    <row r="55" spans="1:6" x14ac:dyDescent="0.2">
      <c r="A55" s="20">
        <v>20</v>
      </c>
      <c r="B55" s="179" t="s">
        <v>18</v>
      </c>
      <c r="C55" s="180"/>
      <c r="D55" s="15">
        <f>IF(F3="1",SUMIF(Data!A:A,'14'!$A$2,Data!DN:DN),0)</f>
        <v>540142</v>
      </c>
      <c r="E55" s="18">
        <f>IF(F3="1",SUMIF(Data!$A:$A,'14'!$A$2,Data!JH:JH),0)</f>
        <v>1043515</v>
      </c>
      <c r="F55" s="22">
        <f t="shared" si="3"/>
        <v>1.9319271598949905</v>
      </c>
    </row>
    <row r="56" spans="1:6" ht="14.25" customHeight="1" x14ac:dyDescent="0.2">
      <c r="A56" s="20">
        <v>21</v>
      </c>
      <c r="B56" s="179" t="s">
        <v>801</v>
      </c>
      <c r="C56" s="180"/>
      <c r="D56" s="15">
        <f>IF(F3="1",SUMIF(Data!A:A,'14'!$A$2,Data!DO:DO),0)</f>
        <v>104044</v>
      </c>
      <c r="E56" s="18">
        <f>IF(F3="1",SUMIF(Data!$A:$A,'14'!$A$2,Data!JI:JI),0)</f>
        <v>76488</v>
      </c>
      <c r="F56" s="22">
        <f t="shared" si="3"/>
        <v>0.73515051324439662</v>
      </c>
    </row>
    <row r="57" spans="1:6" x14ac:dyDescent="0.2">
      <c r="A57" s="20">
        <v>22</v>
      </c>
      <c r="B57" s="179" t="s">
        <v>19</v>
      </c>
      <c r="C57" s="180"/>
      <c r="D57" s="15">
        <f>IF(F3="1",SUMIF(Data!A:A,'14'!$A$2,Data!DP:DP),0)</f>
        <v>102725</v>
      </c>
      <c r="E57" s="18">
        <f>IF(F3="1",SUMIF(Data!$A:$A,'14'!$A$2,Data!JJ:JJ),0)</f>
        <v>295856</v>
      </c>
      <c r="F57" s="22">
        <f t="shared" si="3"/>
        <v>2.8800778778291556</v>
      </c>
    </row>
    <row r="58" spans="1:6" x14ac:dyDescent="0.2">
      <c r="A58" s="20">
        <v>23</v>
      </c>
      <c r="B58" s="179" t="s">
        <v>20</v>
      </c>
      <c r="C58" s="180"/>
      <c r="D58" s="15">
        <f>IF(F3="1",SUMIF(Data!A:A,'14'!$A$2,Data!DQ:DQ),0)</f>
        <v>640026</v>
      </c>
      <c r="E58" s="18">
        <f>IF(F3="1",SUMIF(Data!$A:$A,'14'!$A$2,Data!JK:JK),0)</f>
        <v>1487537</v>
      </c>
      <c r="F58" s="22">
        <f t="shared" si="3"/>
        <v>2.3241821426004567</v>
      </c>
    </row>
    <row r="59" spans="1:6" x14ac:dyDescent="0.2">
      <c r="A59" s="20">
        <v>24</v>
      </c>
      <c r="B59" s="179" t="s">
        <v>21</v>
      </c>
      <c r="C59" s="180"/>
      <c r="D59" s="15">
        <f>IF(F3="1",SUMIF(Data!A:A,'14'!$A$2,Data!DR:DR),0)</f>
        <v>1015279</v>
      </c>
      <c r="E59" s="18">
        <f>IF(F3="1",SUMIF(Data!$A:$A,'14'!$A$2,Data!JL:JL),0)</f>
        <v>1933860</v>
      </c>
      <c r="F59" s="22">
        <f t="shared" si="3"/>
        <v>1.9047572145193588</v>
      </c>
    </row>
    <row r="60" spans="1:6" x14ac:dyDescent="0.2">
      <c r="A60" s="20">
        <v>25</v>
      </c>
      <c r="B60" s="179" t="s">
        <v>22</v>
      </c>
      <c r="C60" s="180"/>
      <c r="D60" s="15">
        <f>IF(F3="1",SUMIF(Data!A:A,'14'!$A$2,Data!DS:DS),0)</f>
        <v>5244489</v>
      </c>
      <c r="E60" s="18">
        <f>IF(F3="1",SUMIF(Data!$A:$A,'14'!$A$2,Data!JM:JM),0)</f>
        <v>4892007</v>
      </c>
      <c r="F60" s="22">
        <f t="shared" si="3"/>
        <v>0.93279002015258305</v>
      </c>
    </row>
    <row r="61" spans="1:6" x14ac:dyDescent="0.2">
      <c r="A61" s="20">
        <v>26</v>
      </c>
      <c r="B61" s="179" t="s">
        <v>23</v>
      </c>
      <c r="C61" s="180"/>
      <c r="D61" s="15">
        <f>IF(F3="1",SUMIF(Data!A:A,'14'!$A$2,Data!DT:DT),0)</f>
        <v>1890363</v>
      </c>
      <c r="E61" s="18">
        <f>IF(F3="1",SUMIF(Data!$A:$A,'14'!$A$2,Data!JN:JN),0)</f>
        <v>3810271</v>
      </c>
      <c r="F61" s="22">
        <f t="shared" si="3"/>
        <v>2.0156292733194632</v>
      </c>
    </row>
    <row r="62" spans="1:6" x14ac:dyDescent="0.2">
      <c r="A62" s="20">
        <v>28</v>
      </c>
      <c r="B62" s="179" t="s">
        <v>24</v>
      </c>
      <c r="C62" s="180"/>
      <c r="D62" s="15">
        <f>IF(F3="1",SUMIF(Data!A:A,'14'!$A$2,Data!DV:DV),0)</f>
        <v>1943712</v>
      </c>
      <c r="E62" s="18">
        <f>IF(F3="1",SUMIF(Data!$A:$A,'14'!$A$2,Data!JP:JP),0)</f>
        <v>2028054</v>
      </c>
      <c r="F62" s="22">
        <f t="shared" si="3"/>
        <v>1.0433922309477948</v>
      </c>
    </row>
    <row r="63" spans="1:6" ht="15.75" customHeight="1" thickBot="1" x14ac:dyDescent="0.25">
      <c r="A63" s="23">
        <v>29</v>
      </c>
      <c r="B63" s="181" t="s">
        <v>25</v>
      </c>
      <c r="C63" s="182"/>
      <c r="D63" s="24">
        <f>IF(F3="1",SUMIF(Data!A:A,'14'!$A$2,Data!DW:DW),0)</f>
        <v>2367056</v>
      </c>
      <c r="E63" s="25">
        <f>IF(F3="1",SUMIF(Data!$A:$A,'14'!$A$2,Data!JQ:JQ),0)</f>
        <v>1282730</v>
      </c>
      <c r="F63" s="26">
        <f t="shared" si="3"/>
        <v>0.54190944362955507</v>
      </c>
    </row>
    <row r="64" spans="1:6" x14ac:dyDescent="0.2">
      <c r="B64" s="31" t="s">
        <v>35</v>
      </c>
      <c r="C64" s="31"/>
      <c r="D64" s="61">
        <f>SUM(D36:D63)</f>
        <v>32491688</v>
      </c>
      <c r="E64" s="32">
        <f>SUM(E36:E63)</f>
        <v>55402714</v>
      </c>
      <c r="F64" s="33">
        <f t="shared" si="3"/>
        <v>1.7051349871388646</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63962</v>
      </c>
      <c r="E67" s="16">
        <f>IF(F3="1",SUMIF(Data!A:A,'14'!$A$2,Data!DY:DY),0)</f>
        <v>494973</v>
      </c>
      <c r="F67" s="21">
        <f>IFERROR(E67/D67,"")</f>
        <v>7.7385478878083864</v>
      </c>
    </row>
    <row r="68" spans="1:6" x14ac:dyDescent="0.2">
      <c r="A68" s="20">
        <v>2</v>
      </c>
      <c r="B68" s="179" t="s">
        <v>1</v>
      </c>
      <c r="C68" s="180"/>
      <c r="D68" s="15">
        <f t="shared" ref="D68:D94" si="4">D37</f>
        <v>160266</v>
      </c>
      <c r="E68" s="18">
        <f>IF(F3="1",SUMIF(Data!A:A,'14'!$A$2,Data!DZ:DZ),0)</f>
        <v>655444</v>
      </c>
      <c r="F68" s="22">
        <f t="shared" ref="F68:F95" si="5">IFERROR(E68/D68,"")</f>
        <v>4.0897258308062847</v>
      </c>
    </row>
    <row r="69" spans="1:6" ht="14.25" customHeight="1" x14ac:dyDescent="0.2">
      <c r="A69" s="20">
        <v>3</v>
      </c>
      <c r="B69" s="179" t="s">
        <v>2</v>
      </c>
      <c r="C69" s="180"/>
      <c r="D69" s="15">
        <f t="shared" si="4"/>
        <v>3932520</v>
      </c>
      <c r="E69" s="18">
        <f>IF(F3="1",SUMIF(Data!A:A,'14'!$A$2,Data!EA:EA),0)</f>
        <v>10228496</v>
      </c>
      <c r="F69" s="22">
        <f t="shared" si="5"/>
        <v>2.6010029192477089</v>
      </c>
    </row>
    <row r="70" spans="1:6" ht="14.25" customHeight="1" x14ac:dyDescent="0.2">
      <c r="A70" s="20">
        <v>4</v>
      </c>
      <c r="B70" s="179" t="s">
        <v>3</v>
      </c>
      <c r="C70" s="180"/>
      <c r="D70" s="15">
        <f t="shared" si="4"/>
        <v>2808238</v>
      </c>
      <c r="E70" s="18">
        <f>IF(F3="1",SUMIF(Data!A:A,'14'!$A$2,Data!EB:EB),0)</f>
        <v>7124494</v>
      </c>
      <c r="F70" s="22">
        <f t="shared" si="5"/>
        <v>2.5369979325114183</v>
      </c>
    </row>
    <row r="71" spans="1:6" x14ac:dyDescent="0.2">
      <c r="A71" s="20">
        <v>5</v>
      </c>
      <c r="B71" s="179" t="s">
        <v>4</v>
      </c>
      <c r="C71" s="180"/>
      <c r="D71" s="15">
        <f t="shared" si="4"/>
        <v>12864</v>
      </c>
      <c r="E71" s="18">
        <f>IF(F3="1",SUMIF(Data!A:A,'14'!$A$2,Data!EC:EC),0)</f>
        <v>129685</v>
      </c>
      <c r="F71" s="22">
        <f t="shared" si="5"/>
        <v>10.081234452736318</v>
      </c>
    </row>
    <row r="72" spans="1:6" x14ac:dyDescent="0.2">
      <c r="A72" s="20">
        <v>6</v>
      </c>
      <c r="B72" s="179" t="s">
        <v>5</v>
      </c>
      <c r="C72" s="180"/>
      <c r="D72" s="15">
        <f t="shared" si="4"/>
        <v>1060808</v>
      </c>
      <c r="E72" s="18">
        <f>IF(F3="1",SUMIF(Data!A:A,'14'!$A$2,Data!ED:ED),0)</f>
        <v>1927284</v>
      </c>
      <c r="F72" s="22">
        <f t="shared" si="5"/>
        <v>1.8168075655538043</v>
      </c>
    </row>
    <row r="73" spans="1:6" x14ac:dyDescent="0.2">
      <c r="A73" s="20">
        <v>7</v>
      </c>
      <c r="B73" s="179" t="s">
        <v>6</v>
      </c>
      <c r="C73" s="180"/>
      <c r="D73" s="15">
        <f t="shared" si="4"/>
        <v>2018900</v>
      </c>
      <c r="E73" s="18">
        <f>IF(F3="1",SUMIF(Data!A:A,'14'!$A$2,Data!EE:EE),0)</f>
        <v>6356097</v>
      </c>
      <c r="F73" s="22">
        <f t="shared" si="5"/>
        <v>3.1482970924761009</v>
      </c>
    </row>
    <row r="74" spans="1:6" x14ac:dyDescent="0.2">
      <c r="A74" s="20">
        <v>8</v>
      </c>
      <c r="B74" s="179" t="s">
        <v>7</v>
      </c>
      <c r="C74" s="180"/>
      <c r="D74" s="15">
        <f t="shared" si="4"/>
        <v>125450</v>
      </c>
      <c r="E74" s="18">
        <f>IF(F3="1",SUMIF(Data!A:A,'14'!$A$2,Data!EF:EF),0)</f>
        <v>780859</v>
      </c>
      <c r="F74" s="22">
        <f t="shared" si="5"/>
        <v>6.2244639298525311</v>
      </c>
    </row>
    <row r="75" spans="1:6" x14ac:dyDescent="0.2">
      <c r="A75" s="20">
        <v>9</v>
      </c>
      <c r="B75" s="179" t="s">
        <v>8</v>
      </c>
      <c r="C75" s="180"/>
      <c r="D75" s="15">
        <f t="shared" si="4"/>
        <v>740077</v>
      </c>
      <c r="E75" s="18">
        <f>IF(F3="1",SUMIF(Data!A:A,'14'!$A$2,Data!EG:EG),0)</f>
        <v>1586328</v>
      </c>
      <c r="F75" s="22">
        <f t="shared" si="5"/>
        <v>2.1434634504247532</v>
      </c>
    </row>
    <row r="76" spans="1:6" x14ac:dyDescent="0.2">
      <c r="A76" s="20">
        <v>10</v>
      </c>
      <c r="B76" s="179" t="s">
        <v>9</v>
      </c>
      <c r="C76" s="180"/>
      <c r="D76" s="15">
        <f t="shared" si="4"/>
        <v>28701</v>
      </c>
      <c r="E76" s="18">
        <f>IF(F3="1",SUMIF(Data!A:A,'14'!$A$2,Data!EH:EH),0)</f>
        <v>110619</v>
      </c>
      <c r="F76" s="22">
        <f t="shared" si="5"/>
        <v>3.8541862652869239</v>
      </c>
    </row>
    <row r="77" spans="1:6" x14ac:dyDescent="0.2">
      <c r="A77" s="20">
        <v>11</v>
      </c>
      <c r="B77" s="179" t="s">
        <v>10</v>
      </c>
      <c r="C77" s="180"/>
      <c r="D77" s="15">
        <f t="shared" si="4"/>
        <v>548953</v>
      </c>
      <c r="E77" s="18">
        <f>IF(F3="1",SUMIF(Data!A:A,'14'!$A$2,Data!EI:EI),0)</f>
        <v>810121</v>
      </c>
      <c r="F77" s="22">
        <f t="shared" si="5"/>
        <v>1.4757565766103837</v>
      </c>
    </row>
    <row r="78" spans="1:6" ht="14.25" customHeight="1" x14ac:dyDescent="0.2">
      <c r="A78" s="20">
        <v>12</v>
      </c>
      <c r="B78" s="179" t="s">
        <v>11</v>
      </c>
      <c r="C78" s="180"/>
      <c r="D78" s="15">
        <f t="shared" si="4"/>
        <v>3107541</v>
      </c>
      <c r="E78" s="18">
        <f>IF(F3="1",SUMIF(Data!A:A,'14'!$A$2,Data!EJ:EJ),0)</f>
        <v>13658572</v>
      </c>
      <c r="F78" s="22">
        <f t="shared" si="5"/>
        <v>4.3952990483472298</v>
      </c>
    </row>
    <row r="79" spans="1:6" x14ac:dyDescent="0.2">
      <c r="A79" s="20">
        <v>13</v>
      </c>
      <c r="B79" s="179" t="s">
        <v>12</v>
      </c>
      <c r="C79" s="180"/>
      <c r="D79" s="15">
        <f t="shared" si="4"/>
        <v>788574</v>
      </c>
      <c r="E79" s="18">
        <f>IF(F3="1",SUMIF(Data!A:A,'14'!$A$2,Data!EK:EK),0)</f>
        <v>2152041</v>
      </c>
      <c r="F79" s="22">
        <f t="shared" si="5"/>
        <v>2.7290286009936926</v>
      </c>
    </row>
    <row r="80" spans="1:6" ht="14.25" customHeight="1" x14ac:dyDescent="0.2">
      <c r="A80" s="20">
        <v>14</v>
      </c>
      <c r="B80" s="179" t="s">
        <v>804</v>
      </c>
      <c r="C80" s="180"/>
      <c r="D80" s="15">
        <f t="shared" si="4"/>
        <v>654517</v>
      </c>
      <c r="E80" s="18">
        <f>IF(F3="1",SUMIF(Data!A:A,'14'!$A$2,Data!EL:EL),0)</f>
        <v>3054644</v>
      </c>
      <c r="F80" s="22">
        <f t="shared" si="5"/>
        <v>4.6670201079574714</v>
      </c>
    </row>
    <row r="81" spans="1:6" x14ac:dyDescent="0.2">
      <c r="A81" s="20">
        <v>15</v>
      </c>
      <c r="B81" s="179" t="s">
        <v>13</v>
      </c>
      <c r="C81" s="180"/>
      <c r="D81" s="15">
        <f t="shared" si="4"/>
        <v>0</v>
      </c>
      <c r="E81" s="18">
        <f>IF(F3="1",SUMIF(Data!A:A,'14'!$A$2,Data!EM:EM),0)</f>
        <v>0</v>
      </c>
      <c r="F81" s="22" t="str">
        <f t="shared" si="5"/>
        <v/>
      </c>
    </row>
    <row r="82" spans="1:6" x14ac:dyDescent="0.2">
      <c r="A82" s="20">
        <v>16</v>
      </c>
      <c r="B82" s="179" t="s">
        <v>14</v>
      </c>
      <c r="C82" s="180"/>
      <c r="D82" s="15">
        <f t="shared" si="4"/>
        <v>1120113</v>
      </c>
      <c r="E82" s="18">
        <f>IF(F3="1",SUMIF(Data!A:A,'14'!$A$2,Data!EN:EN),0)</f>
        <v>1978361</v>
      </c>
      <c r="F82" s="22">
        <f t="shared" si="5"/>
        <v>1.7662155514666824</v>
      </c>
    </row>
    <row r="83" spans="1:6" x14ac:dyDescent="0.2">
      <c r="A83" s="20">
        <v>17</v>
      </c>
      <c r="B83" s="179" t="s">
        <v>15</v>
      </c>
      <c r="C83" s="180"/>
      <c r="D83" s="15">
        <f t="shared" si="4"/>
        <v>22758</v>
      </c>
      <c r="E83" s="18">
        <f>IF(F3="1",SUMIF(Data!A:A,'14'!$A$2,Data!EO:EO),0)</f>
        <v>239810</v>
      </c>
      <c r="F83" s="22">
        <f t="shared" si="5"/>
        <v>10.537393444063627</v>
      </c>
    </row>
    <row r="84" spans="1:6" x14ac:dyDescent="0.2">
      <c r="A84" s="20">
        <v>18</v>
      </c>
      <c r="B84" s="179" t="s">
        <v>16</v>
      </c>
      <c r="C84" s="180"/>
      <c r="D84" s="15">
        <f t="shared" si="4"/>
        <v>31984</v>
      </c>
      <c r="E84" s="18">
        <f>IF(F3="1",SUMIF(Data!A:A,'14'!$A$2,Data!EP:EP),0)</f>
        <v>217812</v>
      </c>
      <c r="F84" s="22">
        <f t="shared" si="5"/>
        <v>6.8100300150075039</v>
      </c>
    </row>
    <row r="85" spans="1:6" x14ac:dyDescent="0.2">
      <c r="A85" s="20">
        <v>19</v>
      </c>
      <c r="B85" s="179" t="s">
        <v>17</v>
      </c>
      <c r="C85" s="180"/>
      <c r="D85" s="15">
        <f t="shared" si="4"/>
        <v>1417626</v>
      </c>
      <c r="E85" s="18">
        <f>IF(F3="1",SUMIF(Data!A:A,'14'!$A$2,Data!EQ:EQ),0)</f>
        <v>3379333</v>
      </c>
      <c r="F85" s="22">
        <f t="shared" si="5"/>
        <v>2.3837972779844612</v>
      </c>
    </row>
    <row r="86" spans="1:6" x14ac:dyDescent="0.2">
      <c r="A86" s="20">
        <v>20</v>
      </c>
      <c r="B86" s="179" t="s">
        <v>18</v>
      </c>
      <c r="C86" s="180"/>
      <c r="D86" s="15">
        <f t="shared" si="4"/>
        <v>540142</v>
      </c>
      <c r="E86" s="18">
        <f>IF(F3="1",SUMIF(Data!A:A,'14'!$A$2,Data!ER:ER),0)</f>
        <v>2103825</v>
      </c>
      <c r="F86" s="22">
        <f t="shared" si="5"/>
        <v>3.8949479951568291</v>
      </c>
    </row>
    <row r="87" spans="1:6" ht="14.25" customHeight="1" x14ac:dyDescent="0.2">
      <c r="A87" s="20">
        <v>21</v>
      </c>
      <c r="B87" s="179" t="s">
        <v>801</v>
      </c>
      <c r="C87" s="180"/>
      <c r="D87" s="15">
        <f t="shared" si="4"/>
        <v>104044</v>
      </c>
      <c r="E87" s="18">
        <f>IF(F3="1",SUMIF(Data!A:A,'14'!$A$2,Data!ES:ES),0)</f>
        <v>81921</v>
      </c>
      <c r="F87" s="22">
        <f t="shared" si="5"/>
        <v>0.78736880550536315</v>
      </c>
    </row>
    <row r="88" spans="1:6" x14ac:dyDescent="0.2">
      <c r="A88" s="20">
        <v>22</v>
      </c>
      <c r="B88" s="179" t="s">
        <v>19</v>
      </c>
      <c r="C88" s="180"/>
      <c r="D88" s="15">
        <f t="shared" si="4"/>
        <v>102725</v>
      </c>
      <c r="E88" s="18">
        <f>IF(F3="1",SUMIF(Data!A:A,'14'!$A$2,Data!ET:ET),0)</f>
        <v>570007</v>
      </c>
      <c r="F88" s="22">
        <f t="shared" si="5"/>
        <v>5.5488634704307618</v>
      </c>
    </row>
    <row r="89" spans="1:6" x14ac:dyDescent="0.2">
      <c r="A89" s="20">
        <v>23</v>
      </c>
      <c r="B89" s="179" t="s">
        <v>20</v>
      </c>
      <c r="C89" s="180"/>
      <c r="D89" s="15">
        <f t="shared" si="4"/>
        <v>640026</v>
      </c>
      <c r="E89" s="18">
        <f>IF(F3="1",SUMIF(Data!A:A,'14'!$A$2,Data!EU:EU),0)</f>
        <v>2112832</v>
      </c>
      <c r="F89" s="22">
        <f t="shared" si="5"/>
        <v>3.3011658901357133</v>
      </c>
    </row>
    <row r="90" spans="1:6" x14ac:dyDescent="0.2">
      <c r="A90" s="20">
        <v>24</v>
      </c>
      <c r="B90" s="179" t="s">
        <v>21</v>
      </c>
      <c r="C90" s="180"/>
      <c r="D90" s="15">
        <f t="shared" si="4"/>
        <v>1015279</v>
      </c>
      <c r="E90" s="18">
        <f>IF(F3="1",SUMIF(Data!A:A,'14'!$A$2,Data!EV:EV),0)</f>
        <v>1813094</v>
      </c>
      <c r="F90" s="22">
        <f t="shared" si="5"/>
        <v>1.7858086299430993</v>
      </c>
    </row>
    <row r="91" spans="1:6" x14ac:dyDescent="0.2">
      <c r="A91" s="20">
        <v>25</v>
      </c>
      <c r="B91" s="179" t="s">
        <v>22</v>
      </c>
      <c r="C91" s="180"/>
      <c r="D91" s="15">
        <f t="shared" si="4"/>
        <v>5244489</v>
      </c>
      <c r="E91" s="18">
        <f>IF(F3="1",SUMIF(Data!A:A,'14'!$A$2,Data!EW:EW),0)</f>
        <v>13530057</v>
      </c>
      <c r="F91" s="22">
        <f t="shared" si="5"/>
        <v>2.5798618321060451</v>
      </c>
    </row>
    <row r="92" spans="1:6" x14ac:dyDescent="0.2">
      <c r="A92" s="20">
        <v>26</v>
      </c>
      <c r="B92" s="179" t="s">
        <v>23</v>
      </c>
      <c r="C92" s="180"/>
      <c r="D92" s="15">
        <f t="shared" si="4"/>
        <v>1890363</v>
      </c>
      <c r="E92" s="18">
        <f>IF(F3="1",SUMIF(Data!A:A,'14'!$A$2,Data!EX:EX),0)</f>
        <v>6215613</v>
      </c>
      <c r="F92" s="22">
        <f t="shared" si="5"/>
        <v>3.2880526121173554</v>
      </c>
    </row>
    <row r="93" spans="1:6" x14ac:dyDescent="0.2">
      <c r="A93" s="20">
        <v>28</v>
      </c>
      <c r="B93" s="179" t="s">
        <v>24</v>
      </c>
      <c r="C93" s="180"/>
      <c r="D93" s="15">
        <f t="shared" si="4"/>
        <v>1943712</v>
      </c>
      <c r="E93" s="18">
        <f>IF(F3="1",SUMIF(Data!A:A,'14'!$A$2,Data!EZ:EZ),0)</f>
        <v>5817088</v>
      </c>
      <c r="F93" s="22">
        <f t="shared" si="5"/>
        <v>2.9927725918243033</v>
      </c>
    </row>
    <row r="94" spans="1:6" ht="15.75" customHeight="1" thickBot="1" x14ac:dyDescent="0.25">
      <c r="A94" s="23">
        <v>29</v>
      </c>
      <c r="B94" s="181" t="s">
        <v>25</v>
      </c>
      <c r="C94" s="182"/>
      <c r="D94" s="24">
        <f t="shared" si="4"/>
        <v>2367056</v>
      </c>
      <c r="E94" s="25">
        <f>IF(F3="1",SUMIF(Data!A:A,'14'!$A$2,Data!FA:FA),0)</f>
        <v>4295296</v>
      </c>
      <c r="F94" s="26">
        <f t="shared" si="5"/>
        <v>1.8146152858234026</v>
      </c>
    </row>
    <row r="95" spans="1:6" x14ac:dyDescent="0.2">
      <c r="B95" s="31" t="s">
        <v>35</v>
      </c>
      <c r="C95" s="31"/>
      <c r="D95" s="61">
        <f>SUM(D67:D94)</f>
        <v>32491688</v>
      </c>
      <c r="E95" s="32">
        <f>SUM(E67:E94)</f>
        <v>91424706</v>
      </c>
      <c r="F95" s="33">
        <f t="shared" si="5"/>
        <v>2.813787513902017</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IF(F3="1",SUMIF(Data!A:A,'14'!$A$2,Data!AH:AH),0)</f>
        <v>53713827</v>
      </c>
      <c r="F98" s="21">
        <f t="shared" ref="F98:F105" si="6">IFERROR(E98/$D$95,0)</f>
        <v>1.6531559394513453</v>
      </c>
    </row>
    <row r="99" spans="2:6" x14ac:dyDescent="0.2">
      <c r="B99" s="185" t="s">
        <v>31</v>
      </c>
      <c r="C99" s="186"/>
      <c r="D99" s="37"/>
      <c r="E99" s="18">
        <f>IF(F3="1",SUMIF(Data!A:A,'14'!$A$2,Data!AI:AI),0)</f>
        <v>28088075</v>
      </c>
      <c r="F99" s="22">
        <f t="shared" si="6"/>
        <v>0.86446955295151173</v>
      </c>
    </row>
    <row r="100" spans="2:6" x14ac:dyDescent="0.2">
      <c r="B100" s="185" t="s">
        <v>32</v>
      </c>
      <c r="C100" s="186"/>
      <c r="D100" s="37"/>
      <c r="E100" s="18">
        <f>IF(F3="1",SUMIF(Data!A:A,'14'!$A$2,Data!AJ:AJ),0)</f>
        <v>16540985</v>
      </c>
      <c r="F100" s="22">
        <f t="shared" si="6"/>
        <v>0.50908358470018544</v>
      </c>
    </row>
    <row r="101" spans="2:6" x14ac:dyDescent="0.2">
      <c r="B101" s="185" t="s">
        <v>28</v>
      </c>
      <c r="C101" s="186"/>
      <c r="D101" s="37"/>
      <c r="E101" s="18">
        <f>IF(F3="1",SUMIF(Data!A:A,'14'!$A$2,Data!AK:AK),0)</f>
        <v>0</v>
      </c>
      <c r="F101" s="22">
        <f t="shared" si="6"/>
        <v>0</v>
      </c>
    </row>
    <row r="102" spans="2:6" x14ac:dyDescent="0.2">
      <c r="B102" s="185" t="s">
        <v>33</v>
      </c>
      <c r="C102" s="186"/>
      <c r="D102" s="37"/>
      <c r="E102" s="18">
        <f>IF(F3="1",SUMIF(Data!A:A,'14'!$A$2,Data!AL:AL),0)</f>
        <v>0</v>
      </c>
      <c r="F102" s="22">
        <f t="shared" si="6"/>
        <v>0</v>
      </c>
    </row>
    <row r="103" spans="2:6" x14ac:dyDescent="0.2">
      <c r="B103" s="187" t="s">
        <v>34</v>
      </c>
      <c r="C103" s="188"/>
      <c r="D103" s="37"/>
      <c r="E103" s="18">
        <f>IF(F3="1",SUMIF(Data!A:A,'14'!$A$2,Data!AM:AM),0)</f>
        <v>3172340</v>
      </c>
      <c r="F103" s="22">
        <f t="shared" si="6"/>
        <v>9.7635432175761386E-2</v>
      </c>
    </row>
    <row r="104" spans="2:6" ht="15.75" customHeight="1" thickBot="1" x14ac:dyDescent="0.25">
      <c r="B104" s="177" t="s">
        <v>29</v>
      </c>
      <c r="C104" s="178"/>
      <c r="D104" s="38"/>
      <c r="E104" s="25">
        <f>IF(F3="1",SUMIF(Data!A:A,'14'!$A$2,Data!Q:Q),0)</f>
        <v>9168251</v>
      </c>
      <c r="F104" s="26">
        <f t="shared" si="6"/>
        <v>0.28217219739399196</v>
      </c>
    </row>
    <row r="105" spans="2:6" x14ac:dyDescent="0.2">
      <c r="B105" s="31" t="s">
        <v>35</v>
      </c>
      <c r="C105" s="31"/>
      <c r="D105" s="35">
        <f>D95</f>
        <v>32491688</v>
      </c>
      <c r="E105" s="32">
        <f>SUM(E98:E104)</f>
        <v>110683478</v>
      </c>
      <c r="F105" s="33">
        <f t="shared" si="6"/>
        <v>3.4065167066727957</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117861043</v>
      </c>
      <c r="D109" s="16">
        <f>IF(F3="1",SUMIF(Data!$A:$A,$A$2,Data!HJ:HJ),0)</f>
        <v>14265600</v>
      </c>
      <c r="E109" s="16">
        <f>IF(F3="1",SUMIF(Data!$A:$A,$A$2,Data!IN:IN),0)</f>
        <v>14700776</v>
      </c>
      <c r="F109" s="48">
        <f>SUM(C109:E109)</f>
        <v>146827419</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3783011</v>
      </c>
      <c r="D111" s="52"/>
      <c r="E111" s="51">
        <f>IF(F3="1",SUMIF(Data!A:A,$A$2,Data!AX:AX),0)</f>
        <v>1767995</v>
      </c>
      <c r="F111" s="49">
        <f t="shared" si="7"/>
        <v>5551006</v>
      </c>
    </row>
    <row r="112" spans="2:6" x14ac:dyDescent="0.2">
      <c r="B112" s="43" t="s">
        <v>32</v>
      </c>
      <c r="C112" s="51">
        <f>IF(F3="1",SUMIF(Data!A:A,$A$2,Data!V:V),0)</f>
        <v>12612900</v>
      </c>
      <c r="D112" s="52"/>
      <c r="E112" s="51">
        <f>IF(F3="1",SUMIF(Data!A:A,$A$2,Data!AC:AC),0)</f>
        <v>3928085</v>
      </c>
      <c r="F112" s="49">
        <f t="shared" si="7"/>
        <v>16540985</v>
      </c>
    </row>
    <row r="113" spans="1:6" x14ac:dyDescent="0.2">
      <c r="B113" s="43" t="s">
        <v>31</v>
      </c>
      <c r="C113" s="51">
        <f>IF(F3="1",SUMIF(Data!A:A,$A$2,Data!U:U),0)</f>
        <v>23325337</v>
      </c>
      <c r="D113" s="52"/>
      <c r="E113" s="51">
        <f>IF(F3="1",SUMIF(Data!A:A,$A$2,Data!AB:AB),0)</f>
        <v>4762738</v>
      </c>
      <c r="F113" s="49">
        <f t="shared" si="7"/>
        <v>28088075</v>
      </c>
    </row>
    <row r="114" spans="1:6" x14ac:dyDescent="0.2">
      <c r="B114" s="43" t="s">
        <v>1363</v>
      </c>
      <c r="C114" s="51">
        <f>IF(F3="1",SUMIF(Data!A:A,$A$2,Data!T:T),0)</f>
        <v>43427655</v>
      </c>
      <c r="D114" s="52"/>
      <c r="E114" s="51">
        <f>IF(F3="1",SUMIF(Data!A:A,$A$2,Data!AA:AA),0)</f>
        <v>10286172</v>
      </c>
      <c r="F114" s="49">
        <f t="shared" si="7"/>
        <v>53713827</v>
      </c>
    </row>
    <row r="115" spans="1:6" x14ac:dyDescent="0.2">
      <c r="B115" s="43" t="s">
        <v>1278</v>
      </c>
      <c r="C115" s="51">
        <f>IF(F3="1",SUMIF(Data!A:A,$A$2,Data!BI:BI),0)</f>
        <v>8612288</v>
      </c>
      <c r="D115" s="51">
        <f>IF(F3="1",SUMIF(Data!A:A,$A$2,Data!BL:BL),0)</f>
        <v>1017193</v>
      </c>
      <c r="E115" s="51">
        <f>IF(F3="1",SUMIF(Data!A:A,$A$2,Data!BU:BU),0)</f>
        <v>30834317</v>
      </c>
      <c r="F115" s="49">
        <f t="shared" si="7"/>
        <v>40463798</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9168251</v>
      </c>
      <c r="E117" s="53"/>
      <c r="F117" s="50">
        <f>SUM(C117:E117)</f>
        <v>9168251</v>
      </c>
    </row>
    <row r="118" spans="1:6" x14ac:dyDescent="0.2">
      <c r="B118" s="14" t="s">
        <v>35</v>
      </c>
      <c r="C118" s="5">
        <f>SUM(C109:C116)</f>
        <v>209622234</v>
      </c>
      <c r="D118" s="5">
        <f>SUM(D109:D116)</f>
        <v>15282793</v>
      </c>
      <c r="E118" s="5">
        <f>SUM(E109:E116)</f>
        <v>66280083</v>
      </c>
      <c r="F118" s="5">
        <f>SUM(F109:F116)</f>
        <v>291185110</v>
      </c>
    </row>
    <row r="119" spans="1:6" ht="15" thickBot="1" x14ac:dyDescent="0.25"/>
    <row r="120" spans="1:6" ht="15" thickBot="1" x14ac:dyDescent="0.25">
      <c r="B120" s="57" t="s">
        <v>1283</v>
      </c>
      <c r="C120" s="55"/>
      <c r="D120" s="55"/>
      <c r="E120" s="55">
        <f>IF(F3="1",SUMIF(Data!A:A,'14'!$A$2,Data!AM:AM),0)</f>
        <v>3172340</v>
      </c>
      <c r="F120" s="56">
        <f>SUM(C120:E120)</f>
        <v>3172340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42578125" style="11" bestFit="1" customWidth="1"/>
    <col min="12" max="12" width="13.5703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407</v>
      </c>
      <c r="B2" s="60" t="str">
        <f>VLOOKUP(A2,Data!A:G,7,0)</f>
        <v>Del Mar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330</v>
      </c>
      <c r="E5" s="16">
        <f>E36+E67+IFERROR($E$105/$D$105*D5,0)</f>
        <v>1673.8818642250096</v>
      </c>
      <c r="F5" s="21">
        <f>IFERROR(E5/D5,"")</f>
        <v>5.072369285530332</v>
      </c>
    </row>
    <row r="6" spans="1:6" x14ac:dyDescent="0.2">
      <c r="A6" s="20">
        <v>2</v>
      </c>
      <c r="B6" s="179" t="s">
        <v>1</v>
      </c>
      <c r="C6" s="180"/>
      <c r="D6" s="15">
        <f t="shared" ref="D6:D32" si="0">D37</f>
        <v>205815</v>
      </c>
      <c r="E6" s="18">
        <f t="shared" ref="E6:E32" si="1">E37+E68+IFERROR($E$105/$D$105*D6,0)</f>
        <v>1577904.7754105162</v>
      </c>
      <c r="F6" s="22">
        <f t="shared" ref="F6:F33" si="2">IFERROR(E6/D6,"")</f>
        <v>7.6666169881229074</v>
      </c>
    </row>
    <row r="7" spans="1:6" ht="14.25" customHeight="1" x14ac:dyDescent="0.2">
      <c r="A7" s="20">
        <v>3</v>
      </c>
      <c r="B7" s="179" t="s">
        <v>2</v>
      </c>
      <c r="C7" s="180"/>
      <c r="D7" s="15">
        <f t="shared" si="0"/>
        <v>592724</v>
      </c>
      <c r="E7" s="18">
        <f t="shared" si="1"/>
        <v>4804944.6123966807</v>
      </c>
      <c r="F7" s="22">
        <f t="shared" si="2"/>
        <v>8.1065464067537008</v>
      </c>
    </row>
    <row r="8" spans="1:6" ht="14.25" customHeight="1" x14ac:dyDescent="0.2">
      <c r="A8" s="20">
        <v>4</v>
      </c>
      <c r="B8" s="179" t="s">
        <v>3</v>
      </c>
      <c r="C8" s="180"/>
      <c r="D8" s="15">
        <f t="shared" si="0"/>
        <v>348050</v>
      </c>
      <c r="E8" s="18">
        <f t="shared" si="1"/>
        <v>3317099.3116470138</v>
      </c>
      <c r="F8" s="22">
        <f t="shared" si="2"/>
        <v>9.530525245358465</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44671</v>
      </c>
      <c r="E10" s="18">
        <f t="shared" si="1"/>
        <v>421594.2083539255</v>
      </c>
      <c r="F10" s="22">
        <f t="shared" si="2"/>
        <v>9.4377607027808974</v>
      </c>
    </row>
    <row r="11" spans="1:6" x14ac:dyDescent="0.2">
      <c r="A11" s="20">
        <v>7</v>
      </c>
      <c r="B11" s="179" t="s">
        <v>6</v>
      </c>
      <c r="C11" s="180"/>
      <c r="D11" s="15">
        <f t="shared" si="0"/>
        <v>204667</v>
      </c>
      <c r="E11" s="18">
        <f t="shared" si="1"/>
        <v>1962121.2227434549</v>
      </c>
      <c r="F11" s="22">
        <f t="shared" si="2"/>
        <v>9.5868958979388701</v>
      </c>
    </row>
    <row r="12" spans="1:6" x14ac:dyDescent="0.2">
      <c r="A12" s="20">
        <v>8</v>
      </c>
      <c r="B12" s="179" t="s">
        <v>7</v>
      </c>
      <c r="C12" s="180"/>
      <c r="D12" s="15">
        <f t="shared" si="0"/>
        <v>64890</v>
      </c>
      <c r="E12" s="18">
        <f t="shared" si="1"/>
        <v>340410.86111988145</v>
      </c>
      <c r="F12" s="22">
        <f t="shared" si="2"/>
        <v>5.2459679630125047</v>
      </c>
    </row>
    <row r="13" spans="1:6" x14ac:dyDescent="0.2">
      <c r="A13" s="20">
        <v>9</v>
      </c>
      <c r="B13" s="179" t="s">
        <v>8</v>
      </c>
      <c r="C13" s="180"/>
      <c r="D13" s="15">
        <f t="shared" si="0"/>
        <v>240009</v>
      </c>
      <c r="E13" s="18">
        <f t="shared" si="1"/>
        <v>2276374.8798508495</v>
      </c>
      <c r="F13" s="22">
        <f t="shared" si="2"/>
        <v>9.4845396624745302</v>
      </c>
    </row>
    <row r="14" spans="1:6" x14ac:dyDescent="0.2">
      <c r="A14" s="20">
        <v>10</v>
      </c>
      <c r="B14" s="179" t="s">
        <v>9</v>
      </c>
      <c r="C14" s="180"/>
      <c r="D14" s="15">
        <f t="shared" si="0"/>
        <v>3104</v>
      </c>
      <c r="E14" s="18">
        <f t="shared" si="1"/>
        <v>33083.870625922515</v>
      </c>
      <c r="F14" s="22">
        <f t="shared" si="2"/>
        <v>10.658463474846171</v>
      </c>
    </row>
    <row r="15" spans="1:6" x14ac:dyDescent="0.2">
      <c r="A15" s="20">
        <v>11</v>
      </c>
      <c r="B15" s="179" t="s">
        <v>10</v>
      </c>
      <c r="C15" s="180"/>
      <c r="D15" s="15">
        <f t="shared" si="0"/>
        <v>185244</v>
      </c>
      <c r="E15" s="18">
        <f t="shared" si="1"/>
        <v>1495021.8486560537</v>
      </c>
      <c r="F15" s="22">
        <f t="shared" si="2"/>
        <v>8.0705547745462933</v>
      </c>
    </row>
    <row r="16" spans="1:6" ht="14.25" customHeight="1" x14ac:dyDescent="0.2">
      <c r="A16" s="20">
        <v>12</v>
      </c>
      <c r="B16" s="179" t="s">
        <v>11</v>
      </c>
      <c r="C16" s="180"/>
      <c r="D16" s="15">
        <f t="shared" si="0"/>
        <v>579689</v>
      </c>
      <c r="E16" s="18">
        <f t="shared" si="1"/>
        <v>5580883.2787597924</v>
      </c>
      <c r="F16" s="22">
        <f t="shared" si="2"/>
        <v>9.6273748143569957</v>
      </c>
    </row>
    <row r="17" spans="1:6" x14ac:dyDescent="0.2">
      <c r="A17" s="20">
        <v>13</v>
      </c>
      <c r="B17" s="179" t="s">
        <v>12</v>
      </c>
      <c r="C17" s="180"/>
      <c r="D17" s="15">
        <f t="shared" si="0"/>
        <v>104768</v>
      </c>
      <c r="E17" s="18">
        <f t="shared" si="1"/>
        <v>873676.45803371468</v>
      </c>
      <c r="F17" s="22">
        <f t="shared" si="2"/>
        <v>8.3391537304684125</v>
      </c>
    </row>
    <row r="18" spans="1:6" ht="14.25" customHeight="1" x14ac:dyDescent="0.2">
      <c r="A18" s="20">
        <v>14</v>
      </c>
      <c r="B18" s="179" t="s">
        <v>804</v>
      </c>
      <c r="C18" s="180"/>
      <c r="D18" s="15">
        <f t="shared" si="0"/>
        <v>315968</v>
      </c>
      <c r="E18" s="18">
        <f t="shared" si="1"/>
        <v>4383426.851137721</v>
      </c>
      <c r="F18" s="22">
        <f t="shared" si="2"/>
        <v>13.873008820949339</v>
      </c>
    </row>
    <row r="19" spans="1:6" x14ac:dyDescent="0.2">
      <c r="A19" s="20">
        <v>15</v>
      </c>
      <c r="B19" s="179" t="s">
        <v>13</v>
      </c>
      <c r="C19" s="180"/>
      <c r="D19" s="15">
        <f t="shared" si="0"/>
        <v>34176</v>
      </c>
      <c r="E19" s="18">
        <f t="shared" si="1"/>
        <v>622333.87452046643</v>
      </c>
      <c r="F19" s="22">
        <f t="shared" si="2"/>
        <v>18.209675635547356</v>
      </c>
    </row>
    <row r="20" spans="1:6" x14ac:dyDescent="0.2">
      <c r="A20" s="20">
        <v>16</v>
      </c>
      <c r="B20" s="179" t="s">
        <v>14</v>
      </c>
      <c r="C20" s="180"/>
      <c r="D20" s="15">
        <f t="shared" si="0"/>
        <v>495737</v>
      </c>
      <c r="E20" s="18">
        <f t="shared" si="1"/>
        <v>5088649.932500951</v>
      </c>
      <c r="F20" s="22">
        <f t="shared" si="2"/>
        <v>10.264817700718226</v>
      </c>
    </row>
    <row r="21" spans="1:6" x14ac:dyDescent="0.2">
      <c r="A21" s="20">
        <v>17</v>
      </c>
      <c r="B21" s="179" t="s">
        <v>15</v>
      </c>
      <c r="C21" s="180"/>
      <c r="D21" s="15">
        <f t="shared" si="0"/>
        <v>23648</v>
      </c>
      <c r="E21" s="18">
        <f t="shared" si="1"/>
        <v>329582.95250058494</v>
      </c>
      <c r="F21" s="22">
        <f t="shared" si="2"/>
        <v>13.937032835782516</v>
      </c>
    </row>
    <row r="22" spans="1:6" x14ac:dyDescent="0.2">
      <c r="A22" s="20">
        <v>18</v>
      </c>
      <c r="B22" s="179" t="s">
        <v>16</v>
      </c>
      <c r="C22" s="180"/>
      <c r="D22" s="15">
        <f t="shared" si="0"/>
        <v>336</v>
      </c>
      <c r="E22" s="18">
        <f t="shared" si="1"/>
        <v>3599.6251708472828</v>
      </c>
      <c r="F22" s="22">
        <f t="shared" si="2"/>
        <v>10.713170151331198</v>
      </c>
    </row>
    <row r="23" spans="1:6" x14ac:dyDescent="0.2">
      <c r="A23" s="20">
        <v>19</v>
      </c>
      <c r="B23" s="179" t="s">
        <v>17</v>
      </c>
      <c r="C23" s="180"/>
      <c r="D23" s="15">
        <f t="shared" si="0"/>
        <v>225760</v>
      </c>
      <c r="E23" s="18">
        <f t="shared" si="1"/>
        <v>2226280.8171740551</v>
      </c>
      <c r="F23" s="22">
        <f t="shared" si="2"/>
        <v>9.8612722234853614</v>
      </c>
    </row>
    <row r="24" spans="1:6" x14ac:dyDescent="0.2">
      <c r="A24" s="20">
        <v>20</v>
      </c>
      <c r="B24" s="179" t="s">
        <v>18</v>
      </c>
      <c r="C24" s="180"/>
      <c r="D24" s="15">
        <f t="shared" si="0"/>
        <v>84584</v>
      </c>
      <c r="E24" s="18">
        <f t="shared" si="1"/>
        <v>1049997.9745563886</v>
      </c>
      <c r="F24" s="22">
        <f t="shared" si="2"/>
        <v>12.41367131557255</v>
      </c>
    </row>
    <row r="25" spans="1:6" ht="14.25" customHeight="1" x14ac:dyDescent="0.2">
      <c r="A25" s="20">
        <v>21</v>
      </c>
      <c r="B25" s="179" t="s">
        <v>801</v>
      </c>
      <c r="C25" s="180"/>
      <c r="D25" s="15">
        <f t="shared" si="0"/>
        <v>173424</v>
      </c>
      <c r="E25" s="18">
        <f t="shared" si="1"/>
        <v>1507635.534610176</v>
      </c>
      <c r="F25" s="22">
        <f t="shared" si="2"/>
        <v>8.6933500242767785</v>
      </c>
    </row>
    <row r="26" spans="1:6" x14ac:dyDescent="0.2">
      <c r="A26" s="20">
        <v>22</v>
      </c>
      <c r="B26" s="179" t="s">
        <v>19</v>
      </c>
      <c r="C26" s="180"/>
      <c r="D26" s="15">
        <f t="shared" si="0"/>
        <v>31519</v>
      </c>
      <c r="E26" s="18">
        <f t="shared" si="1"/>
        <v>336655.88023790327</v>
      </c>
      <c r="F26" s="22">
        <f t="shared" si="2"/>
        <v>10.681045726003466</v>
      </c>
    </row>
    <row r="27" spans="1:6" x14ac:dyDescent="0.2">
      <c r="A27" s="20">
        <v>23</v>
      </c>
      <c r="B27" s="179" t="s">
        <v>20</v>
      </c>
      <c r="C27" s="180"/>
      <c r="D27" s="15">
        <f t="shared" si="0"/>
        <v>134736</v>
      </c>
      <c r="E27" s="18">
        <f t="shared" si="1"/>
        <v>1223155.6935097603</v>
      </c>
      <c r="F27" s="22">
        <f t="shared" si="2"/>
        <v>9.0781654013015096</v>
      </c>
    </row>
    <row r="28" spans="1:6" x14ac:dyDescent="0.2">
      <c r="A28" s="20">
        <v>24</v>
      </c>
      <c r="B28" s="179" t="s">
        <v>21</v>
      </c>
      <c r="C28" s="180"/>
      <c r="D28" s="15">
        <f t="shared" si="0"/>
        <v>182348</v>
      </c>
      <c r="E28" s="18">
        <f t="shared" si="1"/>
        <v>1892025.4126597033</v>
      </c>
      <c r="F28" s="22">
        <f t="shared" si="2"/>
        <v>10.375904384252657</v>
      </c>
    </row>
    <row r="29" spans="1:6" x14ac:dyDescent="0.2">
      <c r="A29" s="20">
        <v>25</v>
      </c>
      <c r="B29" s="179" t="s">
        <v>22</v>
      </c>
      <c r="C29" s="180"/>
      <c r="D29" s="15">
        <f t="shared" si="0"/>
        <v>676054</v>
      </c>
      <c r="E29" s="18">
        <f t="shared" si="1"/>
        <v>5907642.2358690146</v>
      </c>
      <c r="F29" s="22">
        <f t="shared" si="2"/>
        <v>8.7384176942507761</v>
      </c>
    </row>
    <row r="30" spans="1:6" x14ac:dyDescent="0.2">
      <c r="A30" s="20">
        <v>26</v>
      </c>
      <c r="B30" s="179" t="s">
        <v>23</v>
      </c>
      <c r="C30" s="180"/>
      <c r="D30" s="15">
        <f t="shared" si="0"/>
        <v>297872</v>
      </c>
      <c r="E30" s="18">
        <f t="shared" si="1"/>
        <v>3952886.0383649459</v>
      </c>
      <c r="F30" s="22">
        <f t="shared" si="2"/>
        <v>13.270418294988941</v>
      </c>
    </row>
    <row r="31" spans="1:6" x14ac:dyDescent="0.2">
      <c r="A31" s="20">
        <v>28</v>
      </c>
      <c r="B31" s="179" t="s">
        <v>24</v>
      </c>
      <c r="C31" s="180"/>
      <c r="D31" s="15">
        <f t="shared" si="0"/>
        <v>253472</v>
      </c>
      <c r="E31" s="18">
        <f t="shared" si="1"/>
        <v>2706712.5693601263</v>
      </c>
      <c r="F31" s="22">
        <f t="shared" si="2"/>
        <v>10.678546621954798</v>
      </c>
    </row>
    <row r="32" spans="1:6" ht="15.75" customHeight="1" thickBot="1" x14ac:dyDescent="0.25">
      <c r="A32" s="23">
        <v>29</v>
      </c>
      <c r="B32" s="181" t="s">
        <v>25</v>
      </c>
      <c r="C32" s="182"/>
      <c r="D32" s="24">
        <f t="shared" si="0"/>
        <v>244960</v>
      </c>
      <c r="E32" s="25">
        <f t="shared" si="1"/>
        <v>2561174.3983653281</v>
      </c>
      <c r="F32" s="26">
        <f t="shared" si="2"/>
        <v>10.455480071706925</v>
      </c>
    </row>
    <row r="33" spans="1:6" x14ac:dyDescent="0.2">
      <c r="B33" s="31" t="s">
        <v>35</v>
      </c>
      <c r="C33" s="31"/>
      <c r="D33" s="61">
        <f>SUM(D5:D32)</f>
        <v>5748555</v>
      </c>
      <c r="E33" s="32">
        <f>SUM(E5:E32)</f>
        <v>56476548.999999993</v>
      </c>
      <c r="F33" s="33">
        <f t="shared" si="2"/>
        <v>9.824477455638851</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IF(F3="1",SUMIF(Data!A:A,'15'!$A$2,Data!CU:CU),0)</f>
        <v>330</v>
      </c>
      <c r="E36" s="16">
        <f>IF(F3="1",SUMIF(Data!$A:$A,'15'!$A$2,Data!IO:IO),0)</f>
        <v>144</v>
      </c>
      <c r="F36" s="21">
        <f t="shared" ref="F36:F64" si="3">IFERROR(E36/D36,"")</f>
        <v>0.43636363636363634</v>
      </c>
    </row>
    <row r="37" spans="1:6" x14ac:dyDescent="0.2">
      <c r="A37" s="20">
        <v>2</v>
      </c>
      <c r="B37" s="179" t="s">
        <v>1</v>
      </c>
      <c r="C37" s="180"/>
      <c r="D37" s="15">
        <f>IF(F3="1",SUMIF(Data!A:A,'15'!$A$2,Data!CV:CV),0)</f>
        <v>205815</v>
      </c>
      <c r="E37" s="18">
        <f>IF(F3="1",SUMIF(Data!$A:$A,'15'!$A$2,Data!IP:IP),0)</f>
        <v>210718</v>
      </c>
      <c r="F37" s="22">
        <f t="shared" si="3"/>
        <v>1.023822364745038</v>
      </c>
    </row>
    <row r="38" spans="1:6" ht="14.25" customHeight="1" x14ac:dyDescent="0.2">
      <c r="A38" s="20">
        <v>3</v>
      </c>
      <c r="B38" s="179" t="s">
        <v>2</v>
      </c>
      <c r="C38" s="180"/>
      <c r="D38" s="15">
        <f>IF(F3="1",SUMIF(Data!A:A,'15'!$A$2,Data!CW:CW),0)</f>
        <v>592724</v>
      </c>
      <c r="E38" s="18">
        <f>IF(F3="1",SUMIF(Data!$A:$A,'15'!$A$2,Data!IQ:IQ),0)</f>
        <v>458074</v>
      </c>
      <c r="F38" s="22">
        <f t="shared" si="3"/>
        <v>0.77282850028006289</v>
      </c>
    </row>
    <row r="39" spans="1:6" ht="14.25" customHeight="1" x14ac:dyDescent="0.2">
      <c r="A39" s="20">
        <v>4</v>
      </c>
      <c r="B39" s="179" t="s">
        <v>3</v>
      </c>
      <c r="C39" s="180"/>
      <c r="D39" s="15">
        <f>IF(F3="1",SUMIF(Data!A:A,'15'!$A$2,Data!CX:CX),0)</f>
        <v>348050</v>
      </c>
      <c r="E39" s="18">
        <f>IF(F3="1",SUMIF(Data!$A:$A,'15'!$A$2,Data!IR:IR),0)</f>
        <v>382791</v>
      </c>
      <c r="F39" s="22">
        <f t="shared" si="3"/>
        <v>1.0998161183737969</v>
      </c>
    </row>
    <row r="40" spans="1:6" x14ac:dyDescent="0.2">
      <c r="A40" s="20">
        <v>5</v>
      </c>
      <c r="B40" s="179" t="s">
        <v>4</v>
      </c>
      <c r="C40" s="180"/>
      <c r="D40" s="15">
        <f>IF(F3="1",SUMIF(Data!A:A,'15'!$A$2,Data!CY:CY),0)</f>
        <v>0</v>
      </c>
      <c r="E40" s="18">
        <f>IF(F3="1",SUMIF(Data!$A:$A,'15'!$A$2,Data!IS:IS),0)</f>
        <v>0</v>
      </c>
      <c r="F40" s="22" t="str">
        <f t="shared" si="3"/>
        <v/>
      </c>
    </row>
    <row r="41" spans="1:6" x14ac:dyDescent="0.2">
      <c r="A41" s="20">
        <v>6</v>
      </c>
      <c r="B41" s="179" t="s">
        <v>5</v>
      </c>
      <c r="C41" s="180"/>
      <c r="D41" s="15">
        <f>IF(F3="1",SUMIF(Data!A:A,'15'!$A$2,Data!CZ:CZ),0)</f>
        <v>44671</v>
      </c>
      <c r="E41" s="18">
        <f>IF(F3="1",SUMIF(Data!$A:$A,'15'!$A$2,Data!IT:IT),0)</f>
        <v>60358</v>
      </c>
      <c r="F41" s="22">
        <f t="shared" si="3"/>
        <v>1.3511674240558751</v>
      </c>
    </row>
    <row r="42" spans="1:6" x14ac:dyDescent="0.2">
      <c r="A42" s="20">
        <v>7</v>
      </c>
      <c r="B42" s="179" t="s">
        <v>6</v>
      </c>
      <c r="C42" s="180"/>
      <c r="D42" s="15">
        <f>IF(F3="1",SUMIF(Data!A:A,'15'!$A$2,Data!DA:DA),0)</f>
        <v>204667</v>
      </c>
      <c r="E42" s="18">
        <f>IF(F3="1",SUMIF(Data!$A:$A,'15'!$A$2,Data!IU:IU),0)</f>
        <v>199846</v>
      </c>
      <c r="F42" s="22">
        <f t="shared" si="3"/>
        <v>0.97644466377090589</v>
      </c>
    </row>
    <row r="43" spans="1:6" x14ac:dyDescent="0.2">
      <c r="A43" s="20">
        <v>8</v>
      </c>
      <c r="B43" s="179" t="s">
        <v>7</v>
      </c>
      <c r="C43" s="180"/>
      <c r="D43" s="15">
        <f>IF(F3="1",SUMIF(Data!A:A,'15'!$A$2,Data!DB:DB),0)</f>
        <v>64890</v>
      </c>
      <c r="E43" s="18">
        <f>IF(F3="1",SUMIF(Data!$A:$A,'15'!$A$2,Data!IV:IV),0)</f>
        <v>29033</v>
      </c>
      <c r="F43" s="22">
        <f t="shared" si="3"/>
        <v>0.44741870858375715</v>
      </c>
    </row>
    <row r="44" spans="1:6" x14ac:dyDescent="0.2">
      <c r="A44" s="20">
        <v>9</v>
      </c>
      <c r="B44" s="179" t="s">
        <v>8</v>
      </c>
      <c r="C44" s="180"/>
      <c r="D44" s="15">
        <f>IF(F3="1",SUMIF(Data!A:A,'15'!$A$2,Data!DC:DC),0)</f>
        <v>240009</v>
      </c>
      <c r="E44" s="18">
        <f>IF(F3="1",SUMIF(Data!$A:$A,'15'!$A$2,Data!IW:IW),0)</f>
        <v>334703</v>
      </c>
      <c r="F44" s="22">
        <f t="shared" si="3"/>
        <v>1.3945435379506601</v>
      </c>
    </row>
    <row r="45" spans="1:6" x14ac:dyDescent="0.2">
      <c r="A45" s="20">
        <v>10</v>
      </c>
      <c r="B45" s="179" t="s">
        <v>9</v>
      </c>
      <c r="C45" s="180"/>
      <c r="D45" s="15">
        <f>IF(F3="1",SUMIF(Data!A:A,'15'!$A$2,Data!DD:DD),0)</f>
        <v>3104</v>
      </c>
      <c r="E45" s="18">
        <f>IF(F3="1",SUMIF(Data!$A:$A,'15'!$A$2,Data!IX:IX),0)</f>
        <v>3770</v>
      </c>
      <c r="F45" s="22">
        <f t="shared" si="3"/>
        <v>1.214561855670103</v>
      </c>
    </row>
    <row r="46" spans="1:6" x14ac:dyDescent="0.2">
      <c r="A46" s="20">
        <v>11</v>
      </c>
      <c r="B46" s="179" t="s">
        <v>10</v>
      </c>
      <c r="C46" s="180"/>
      <c r="D46" s="15">
        <f>IF(F3="1",SUMIF(Data!A:A,'15'!$A$2,Data!DE:DE),0)</f>
        <v>185244</v>
      </c>
      <c r="E46" s="18">
        <f>IF(F3="1",SUMIF(Data!$A:$A,'15'!$A$2,Data!IY:IY),0)</f>
        <v>139832</v>
      </c>
      <c r="F46" s="22">
        <f t="shared" si="3"/>
        <v>0.75485305866856689</v>
      </c>
    </row>
    <row r="47" spans="1:6" ht="14.25" customHeight="1" x14ac:dyDescent="0.2">
      <c r="A47" s="20">
        <v>12</v>
      </c>
      <c r="B47" s="179" t="s">
        <v>11</v>
      </c>
      <c r="C47" s="180"/>
      <c r="D47" s="15">
        <f>IF(F3="1",SUMIF(Data!A:A,'15'!$A$2,Data!DF:DF),0)</f>
        <v>579689</v>
      </c>
      <c r="E47" s="18">
        <f>IF(F3="1",SUMIF(Data!$A:$A,'15'!$A$2,Data!IZ:IZ),0)</f>
        <v>587449</v>
      </c>
      <c r="F47" s="22">
        <f t="shared" si="3"/>
        <v>1.0133864882721597</v>
      </c>
    </row>
    <row r="48" spans="1:6" x14ac:dyDescent="0.2">
      <c r="A48" s="20">
        <v>13</v>
      </c>
      <c r="B48" s="179" t="s">
        <v>12</v>
      </c>
      <c r="C48" s="180"/>
      <c r="D48" s="15">
        <f>IF(F3="1",SUMIF(Data!A:A,'15'!$A$2,Data!DG:DG),0)</f>
        <v>104768</v>
      </c>
      <c r="E48" s="18">
        <f>IF(F3="1",SUMIF(Data!$A:$A,'15'!$A$2,Data!JA:JA),0)</f>
        <v>116137</v>
      </c>
      <c r="F48" s="22">
        <f t="shared" si="3"/>
        <v>1.1085159590714722</v>
      </c>
    </row>
    <row r="49" spans="1:6" ht="14.25" customHeight="1" x14ac:dyDescent="0.2">
      <c r="A49" s="20">
        <v>14</v>
      </c>
      <c r="B49" s="179" t="s">
        <v>804</v>
      </c>
      <c r="C49" s="180"/>
      <c r="D49" s="15">
        <f>IF(F3="1",SUMIF(Data!A:A,'15'!$A$2,Data!DH:DH),0)</f>
        <v>315968</v>
      </c>
      <c r="E49" s="18">
        <f>IF(F3="1",SUMIF(Data!$A:$A,'15'!$A$2,Data!JB:JB),0)</f>
        <v>630779</v>
      </c>
      <c r="F49" s="22">
        <f t="shared" si="3"/>
        <v>1.9963382367834717</v>
      </c>
    </row>
    <row r="50" spans="1:6" x14ac:dyDescent="0.2">
      <c r="A50" s="20">
        <v>15</v>
      </c>
      <c r="B50" s="179" t="s">
        <v>13</v>
      </c>
      <c r="C50" s="180"/>
      <c r="D50" s="15">
        <f>IF(F3="1",SUMIF(Data!A:A,'15'!$A$2,Data!DI:DI),0)</f>
        <v>34176</v>
      </c>
      <c r="E50" s="18">
        <f>IF(F3="1",SUMIF(Data!$A:$A,'15'!$A$2,Data!JC:JC),0)</f>
        <v>101584</v>
      </c>
      <c r="F50" s="22">
        <f t="shared" si="3"/>
        <v>2.9723782771535578</v>
      </c>
    </row>
    <row r="51" spans="1:6" x14ac:dyDescent="0.2">
      <c r="A51" s="20">
        <v>16</v>
      </c>
      <c r="B51" s="179" t="s">
        <v>14</v>
      </c>
      <c r="C51" s="180"/>
      <c r="D51" s="15">
        <f>IF(F3="1",SUMIF(Data!A:A,'15'!$A$2,Data!DJ:DJ),0)</f>
        <v>495737</v>
      </c>
      <c r="E51" s="18">
        <f>IF(F3="1",SUMIF(Data!$A:$A,'15'!$A$2,Data!JD:JD),0)</f>
        <v>625009</v>
      </c>
      <c r="F51" s="22">
        <f t="shared" si="3"/>
        <v>1.2607673020169969</v>
      </c>
    </row>
    <row r="52" spans="1:6" x14ac:dyDescent="0.2">
      <c r="A52" s="20">
        <v>17</v>
      </c>
      <c r="B52" s="179" t="s">
        <v>15</v>
      </c>
      <c r="C52" s="180"/>
      <c r="D52" s="15">
        <f>IF(F3="1",SUMIF(Data!A:A,'15'!$A$2,Data!DK:DK),0)</f>
        <v>23648</v>
      </c>
      <c r="E52" s="18">
        <f>IF(F3="1",SUMIF(Data!$A:$A,'15'!$A$2,Data!JE:JE),0)</f>
        <v>41717</v>
      </c>
      <c r="F52" s="22">
        <f t="shared" si="3"/>
        <v>1.7640815290933693</v>
      </c>
    </row>
    <row r="53" spans="1:6" x14ac:dyDescent="0.2">
      <c r="A53" s="20">
        <v>18</v>
      </c>
      <c r="B53" s="179" t="s">
        <v>16</v>
      </c>
      <c r="C53" s="180"/>
      <c r="D53" s="15">
        <f>IF(F3="1",SUMIF(Data!A:A,'15'!$A$2,Data!DL:DL),0)</f>
        <v>336</v>
      </c>
      <c r="E53" s="18">
        <f>IF(F3="1",SUMIF(Data!$A:$A,'15'!$A$2,Data!JF:JF),0)</f>
        <v>438</v>
      </c>
      <c r="F53" s="22">
        <f t="shared" si="3"/>
        <v>1.3035714285714286</v>
      </c>
    </row>
    <row r="54" spans="1:6" x14ac:dyDescent="0.2">
      <c r="A54" s="20">
        <v>19</v>
      </c>
      <c r="B54" s="179" t="s">
        <v>17</v>
      </c>
      <c r="C54" s="180"/>
      <c r="D54" s="15">
        <f>IF(F3="1",SUMIF(Data!A:A,'15'!$A$2,Data!DM:DM),0)</f>
        <v>225760</v>
      </c>
      <c r="E54" s="18">
        <f>IF(F3="1",SUMIF(Data!$A:$A,'15'!$A$2,Data!JG:JG),0)</f>
        <v>203758</v>
      </c>
      <c r="F54" s="22">
        <f t="shared" si="3"/>
        <v>0.90254252303330973</v>
      </c>
    </row>
    <row r="55" spans="1:6" x14ac:dyDescent="0.2">
      <c r="A55" s="20">
        <v>20</v>
      </c>
      <c r="B55" s="179" t="s">
        <v>18</v>
      </c>
      <c r="C55" s="180"/>
      <c r="D55" s="15">
        <f>IF(F3="1",SUMIF(Data!A:A,'15'!$A$2,Data!DN:DN),0)</f>
        <v>84584</v>
      </c>
      <c r="E55" s="18">
        <f>IF(F3="1",SUMIF(Data!$A:$A,'15'!$A$2,Data!JH:JH),0)</f>
        <v>190982</v>
      </c>
      <c r="F55" s="22">
        <f t="shared" si="3"/>
        <v>2.2578974746997069</v>
      </c>
    </row>
    <row r="56" spans="1:6" ht="14.25" customHeight="1" x14ac:dyDescent="0.2">
      <c r="A56" s="20">
        <v>21</v>
      </c>
      <c r="B56" s="179" t="s">
        <v>801</v>
      </c>
      <c r="C56" s="180"/>
      <c r="D56" s="15">
        <f>IF(F3="1",SUMIF(Data!A:A,'15'!$A$2,Data!DO:DO),0)</f>
        <v>173424</v>
      </c>
      <c r="E56" s="18">
        <f>IF(F3="1",SUMIF(Data!$A:$A,'15'!$A$2,Data!JI:JI),0)</f>
        <v>212051</v>
      </c>
      <c r="F56" s="22">
        <f t="shared" si="3"/>
        <v>1.222731571178153</v>
      </c>
    </row>
    <row r="57" spans="1:6" x14ac:dyDescent="0.2">
      <c r="A57" s="20">
        <v>22</v>
      </c>
      <c r="B57" s="179" t="s">
        <v>19</v>
      </c>
      <c r="C57" s="180"/>
      <c r="D57" s="15">
        <f>IF(F3="1",SUMIF(Data!A:A,'15'!$A$2,Data!DP:DP),0)</f>
        <v>31519</v>
      </c>
      <c r="E57" s="18">
        <f>IF(F3="1",SUMIF(Data!$A:$A,'15'!$A$2,Data!JJ:JJ),0)</f>
        <v>38558</v>
      </c>
      <c r="F57" s="22">
        <f t="shared" si="3"/>
        <v>1.2233256131222436</v>
      </c>
    </row>
    <row r="58" spans="1:6" x14ac:dyDescent="0.2">
      <c r="A58" s="20">
        <v>23</v>
      </c>
      <c r="B58" s="179" t="s">
        <v>20</v>
      </c>
      <c r="C58" s="180"/>
      <c r="D58" s="15">
        <f>IF(F3="1",SUMIF(Data!A:A,'15'!$A$2,Data!DQ:DQ),0)</f>
        <v>134736</v>
      </c>
      <c r="E58" s="18">
        <f>IF(F3="1",SUMIF(Data!$A:$A,'15'!$A$2,Data!JK:JK),0)</f>
        <v>116652</v>
      </c>
      <c r="F58" s="22">
        <f t="shared" si="3"/>
        <v>0.86578197363733522</v>
      </c>
    </row>
    <row r="59" spans="1:6" x14ac:dyDescent="0.2">
      <c r="A59" s="20">
        <v>24</v>
      </c>
      <c r="B59" s="179" t="s">
        <v>21</v>
      </c>
      <c r="C59" s="180"/>
      <c r="D59" s="15">
        <f>IF(F3="1",SUMIF(Data!A:A,'15'!$A$2,Data!DR:DR),0)</f>
        <v>182348</v>
      </c>
      <c r="E59" s="18">
        <f>IF(F3="1",SUMIF(Data!$A:$A,'15'!$A$2,Data!JL:JL),0)</f>
        <v>251957</v>
      </c>
      <c r="F59" s="22">
        <f t="shared" si="3"/>
        <v>1.3817371180380371</v>
      </c>
    </row>
    <row r="60" spans="1:6" x14ac:dyDescent="0.2">
      <c r="A60" s="20">
        <v>25</v>
      </c>
      <c r="B60" s="179" t="s">
        <v>22</v>
      </c>
      <c r="C60" s="180"/>
      <c r="D60" s="15">
        <f>IF(F3="1",SUMIF(Data!A:A,'15'!$A$2,Data!DS:DS),0)</f>
        <v>676054</v>
      </c>
      <c r="E60" s="18">
        <f>IF(F3="1",SUMIF(Data!$A:$A,'15'!$A$2,Data!JM:JM),0)</f>
        <v>489450</v>
      </c>
      <c r="F60" s="22">
        <f t="shared" si="3"/>
        <v>0.72398062876634117</v>
      </c>
    </row>
    <row r="61" spans="1:6" x14ac:dyDescent="0.2">
      <c r="A61" s="20">
        <v>26</v>
      </c>
      <c r="B61" s="179" t="s">
        <v>23</v>
      </c>
      <c r="C61" s="180"/>
      <c r="D61" s="15">
        <f>IF(F3="1",SUMIF(Data!A:A,'15'!$A$2,Data!DT:DT),0)</f>
        <v>297872</v>
      </c>
      <c r="E61" s="18">
        <f>IF(F3="1",SUMIF(Data!$A:$A,'15'!$A$2,Data!JN:JN),0)</f>
        <v>553561</v>
      </c>
      <c r="F61" s="22">
        <f t="shared" si="3"/>
        <v>1.8583854810119782</v>
      </c>
    </row>
    <row r="62" spans="1:6" x14ac:dyDescent="0.2">
      <c r="A62" s="20">
        <v>28</v>
      </c>
      <c r="B62" s="179" t="s">
        <v>24</v>
      </c>
      <c r="C62" s="180"/>
      <c r="D62" s="15">
        <f>IF(F3="1",SUMIF(Data!A:A,'15'!$A$2,Data!DV:DV),0)</f>
        <v>253472</v>
      </c>
      <c r="E62" s="18">
        <f>IF(F3="1",SUMIF(Data!$A:$A,'15'!$A$2,Data!JP:JP),0)</f>
        <v>345678</v>
      </c>
      <c r="F62" s="22">
        <f t="shared" si="3"/>
        <v>1.3637719353616968</v>
      </c>
    </row>
    <row r="63" spans="1:6" ht="15.75" customHeight="1" thickBot="1" x14ac:dyDescent="0.25">
      <c r="A63" s="23">
        <v>29</v>
      </c>
      <c r="B63" s="181" t="s">
        <v>25</v>
      </c>
      <c r="C63" s="182"/>
      <c r="D63" s="24">
        <f>IF(F3="1",SUMIF(Data!A:A,'15'!$A$2,Data!DW:DW),0)</f>
        <v>244960</v>
      </c>
      <c r="E63" s="25">
        <f>IF(F3="1",SUMIF(Data!$A:$A,'15'!$A$2,Data!JQ:JQ),0)</f>
        <v>312697</v>
      </c>
      <c r="F63" s="26">
        <f t="shared" si="3"/>
        <v>1.2765226975832789</v>
      </c>
    </row>
    <row r="64" spans="1:6" x14ac:dyDescent="0.2">
      <c r="B64" s="31" t="s">
        <v>35</v>
      </c>
      <c r="C64" s="31"/>
      <c r="D64" s="61">
        <f>SUM(D36:D63)</f>
        <v>5748555</v>
      </c>
      <c r="E64" s="32">
        <f>SUM(E36:E63)</f>
        <v>6637726</v>
      </c>
      <c r="F64" s="33">
        <f t="shared" si="3"/>
        <v>1.1546773058620818</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330</v>
      </c>
      <c r="E67" s="16">
        <f>IF(F3="1",SUMIF(Data!A:A,'15'!$A$2,Data!DY:DY),0)</f>
        <v>114</v>
      </c>
      <c r="F67" s="21">
        <f>IFERROR(E67/D67,"")</f>
        <v>0.34545454545454546</v>
      </c>
    </row>
    <row r="68" spans="1:6" x14ac:dyDescent="0.2">
      <c r="A68" s="20">
        <v>2</v>
      </c>
      <c r="B68" s="179" t="s">
        <v>1</v>
      </c>
      <c r="C68" s="180"/>
      <c r="D68" s="15">
        <f t="shared" ref="D68:D94" si="4">D37</f>
        <v>205815</v>
      </c>
      <c r="E68" s="18">
        <f>IF(F3="1",SUMIF(Data!A:A,'15'!$A$2,Data!DZ:DZ),0)</f>
        <v>484127</v>
      </c>
      <c r="F68" s="22">
        <f t="shared" ref="F68:F95" si="5">IFERROR(E68/D68,"")</f>
        <v>2.3522435196657194</v>
      </c>
    </row>
    <row r="69" spans="1:6" ht="14.25" customHeight="1" x14ac:dyDescent="0.2">
      <c r="A69" s="20">
        <v>3</v>
      </c>
      <c r="B69" s="179" t="s">
        <v>2</v>
      </c>
      <c r="C69" s="180"/>
      <c r="D69" s="15">
        <f t="shared" si="4"/>
        <v>592724</v>
      </c>
      <c r="E69" s="18">
        <f>IF(F3="1",SUMIF(Data!A:A,'15'!$A$2,Data!EA:EA),0)</f>
        <v>1803758</v>
      </c>
      <c r="F69" s="22">
        <f t="shared" si="5"/>
        <v>3.0431668027614878</v>
      </c>
    </row>
    <row r="70" spans="1:6" ht="14.25" customHeight="1" x14ac:dyDescent="0.2">
      <c r="A70" s="20">
        <v>4</v>
      </c>
      <c r="B70" s="179" t="s">
        <v>3</v>
      </c>
      <c r="C70" s="180"/>
      <c r="D70" s="15">
        <f t="shared" si="4"/>
        <v>348050</v>
      </c>
      <c r="E70" s="18">
        <f>IF(F3="1",SUMIF(Data!A:A,'15'!$A$2,Data!EB:EB),0)</f>
        <v>1440982</v>
      </c>
      <c r="F70" s="22">
        <f t="shared" si="5"/>
        <v>4.1401580232725186</v>
      </c>
    </row>
    <row r="71" spans="1:6" x14ac:dyDescent="0.2">
      <c r="A71" s="20">
        <v>5</v>
      </c>
      <c r="B71" s="179" t="s">
        <v>4</v>
      </c>
      <c r="C71" s="180"/>
      <c r="D71" s="15">
        <f t="shared" si="4"/>
        <v>0</v>
      </c>
      <c r="E71" s="18">
        <f>IF(F3="1",SUMIF(Data!A:A,'15'!$A$2,Data!EC:EC),0)</f>
        <v>0</v>
      </c>
      <c r="F71" s="22" t="str">
        <f t="shared" si="5"/>
        <v/>
      </c>
    </row>
    <row r="72" spans="1:6" x14ac:dyDescent="0.2">
      <c r="A72" s="20">
        <v>6</v>
      </c>
      <c r="B72" s="179" t="s">
        <v>5</v>
      </c>
      <c r="C72" s="180"/>
      <c r="D72" s="15">
        <f t="shared" si="4"/>
        <v>44671</v>
      </c>
      <c r="E72" s="18">
        <f>IF(F3="1",SUMIF(Data!A:A,'15'!$A$2,Data!ED:ED),0)</f>
        <v>169573</v>
      </c>
      <c r="F72" s="22">
        <f t="shared" si="5"/>
        <v>3.7960421750128717</v>
      </c>
    </row>
    <row r="73" spans="1:6" x14ac:dyDescent="0.2">
      <c r="A73" s="20">
        <v>7</v>
      </c>
      <c r="B73" s="179" t="s">
        <v>6</v>
      </c>
      <c r="C73" s="180"/>
      <c r="D73" s="15">
        <f t="shared" si="4"/>
        <v>204667</v>
      </c>
      <c r="E73" s="18">
        <f>IF(F3="1",SUMIF(Data!A:A,'15'!$A$2,Data!EE:EE),0)</f>
        <v>884141</v>
      </c>
      <c r="F73" s="22">
        <f t="shared" si="5"/>
        <v>4.3199001304558138</v>
      </c>
    </row>
    <row r="74" spans="1:6" x14ac:dyDescent="0.2">
      <c r="A74" s="20">
        <v>8</v>
      </c>
      <c r="B74" s="179" t="s">
        <v>7</v>
      </c>
      <c r="C74" s="180"/>
      <c r="D74" s="15">
        <f t="shared" si="4"/>
        <v>64890</v>
      </c>
      <c r="E74" s="18">
        <f>IF(F3="1",SUMIF(Data!A:A,'15'!$A$2,Data!EF:EF),0)</f>
        <v>32964</v>
      </c>
      <c r="F74" s="22">
        <f t="shared" si="5"/>
        <v>0.50799815071659726</v>
      </c>
    </row>
    <row r="75" spans="1:6" x14ac:dyDescent="0.2">
      <c r="A75" s="20">
        <v>9</v>
      </c>
      <c r="B75" s="179" t="s">
        <v>8</v>
      </c>
      <c r="C75" s="180"/>
      <c r="D75" s="15">
        <f t="shared" si="4"/>
        <v>240009</v>
      </c>
      <c r="E75" s="18">
        <f>IF(F3="1",SUMIF(Data!A:A,'15'!$A$2,Data!EG:EG),0)</f>
        <v>911901</v>
      </c>
      <c r="F75" s="22">
        <f t="shared" si="5"/>
        <v>3.7994450208117194</v>
      </c>
    </row>
    <row r="76" spans="1:6" x14ac:dyDescent="0.2">
      <c r="A76" s="20">
        <v>10</v>
      </c>
      <c r="B76" s="179" t="s">
        <v>9</v>
      </c>
      <c r="C76" s="180"/>
      <c r="D76" s="15">
        <f t="shared" si="4"/>
        <v>3104</v>
      </c>
      <c r="E76" s="18">
        <f>IF(F3="1",SUMIF(Data!A:A,'15'!$A$2,Data!EH:EH),0)</f>
        <v>15996</v>
      </c>
      <c r="F76" s="22">
        <f t="shared" si="5"/>
        <v>5.1533505154639174</v>
      </c>
    </row>
    <row r="77" spans="1:6" x14ac:dyDescent="0.2">
      <c r="A77" s="20">
        <v>11</v>
      </c>
      <c r="B77" s="179" t="s">
        <v>10</v>
      </c>
      <c r="C77" s="180"/>
      <c r="D77" s="15">
        <f t="shared" si="4"/>
        <v>185244</v>
      </c>
      <c r="E77" s="18">
        <f>IF(F3="1",SUMIF(Data!A:A,'15'!$A$2,Data!EI:EI),0)</f>
        <v>560391</v>
      </c>
      <c r="F77" s="22">
        <f t="shared" si="5"/>
        <v>3.025150612165576</v>
      </c>
    </row>
    <row r="78" spans="1:6" ht="14.25" customHeight="1" x14ac:dyDescent="0.2">
      <c r="A78" s="20">
        <v>12</v>
      </c>
      <c r="B78" s="179" t="s">
        <v>11</v>
      </c>
      <c r="C78" s="180"/>
      <c r="D78" s="15">
        <f t="shared" si="4"/>
        <v>579689</v>
      </c>
      <c r="E78" s="18">
        <f>IF(F3="1",SUMIF(Data!A:A,'15'!$A$2,Data!EJ:EJ),0)</f>
        <v>2506249</v>
      </c>
      <c r="F78" s="22">
        <f t="shared" si="5"/>
        <v>4.3234372223726858</v>
      </c>
    </row>
    <row r="79" spans="1:6" x14ac:dyDescent="0.2">
      <c r="A79" s="20">
        <v>13</v>
      </c>
      <c r="B79" s="179" t="s">
        <v>12</v>
      </c>
      <c r="C79" s="180"/>
      <c r="D79" s="15">
        <f t="shared" si="4"/>
        <v>104768</v>
      </c>
      <c r="E79" s="18">
        <f>IF(F3="1",SUMIF(Data!A:A,'15'!$A$2,Data!EK:EK),0)</f>
        <v>308027</v>
      </c>
      <c r="F79" s="22">
        <f t="shared" si="5"/>
        <v>2.9400866676847892</v>
      </c>
    </row>
    <row r="80" spans="1:6" ht="14.25" customHeight="1" x14ac:dyDescent="0.2">
      <c r="A80" s="20">
        <v>14</v>
      </c>
      <c r="B80" s="179" t="s">
        <v>804</v>
      </c>
      <c r="C80" s="180"/>
      <c r="D80" s="15">
        <f t="shared" si="4"/>
        <v>315968</v>
      </c>
      <c r="E80" s="18">
        <f>IF(F3="1",SUMIF(Data!A:A,'15'!$A$2,Data!EL:EL),0)</f>
        <v>2396971</v>
      </c>
      <c r="F80" s="22">
        <f t="shared" si="5"/>
        <v>7.5861194804537169</v>
      </c>
    </row>
    <row r="81" spans="1:6" x14ac:dyDescent="0.2">
      <c r="A81" s="20">
        <v>15</v>
      </c>
      <c r="B81" s="179" t="s">
        <v>13</v>
      </c>
      <c r="C81" s="180"/>
      <c r="D81" s="15">
        <f t="shared" si="4"/>
        <v>34176</v>
      </c>
      <c r="E81" s="18">
        <f>IF(F3="1",SUMIF(Data!A:A,'15'!$A$2,Data!EM:EM),0)</f>
        <v>374116</v>
      </c>
      <c r="F81" s="22">
        <f t="shared" si="5"/>
        <v>10.946746254681647</v>
      </c>
    </row>
    <row r="82" spans="1:6" x14ac:dyDescent="0.2">
      <c r="A82" s="20">
        <v>16</v>
      </c>
      <c r="B82" s="179" t="s">
        <v>14</v>
      </c>
      <c r="C82" s="180"/>
      <c r="D82" s="15">
        <f t="shared" si="4"/>
        <v>495737</v>
      </c>
      <c r="E82" s="18">
        <f>IF(F3="1",SUMIF(Data!A:A,'15'!$A$2,Data!EN:EN),0)</f>
        <v>2336656</v>
      </c>
      <c r="F82" s="22">
        <f t="shared" si="5"/>
        <v>4.7134992949890773</v>
      </c>
    </row>
    <row r="83" spans="1:6" x14ac:dyDescent="0.2">
      <c r="A83" s="20">
        <v>17</v>
      </c>
      <c r="B83" s="179" t="s">
        <v>15</v>
      </c>
      <c r="C83" s="180"/>
      <c r="D83" s="15">
        <f t="shared" si="4"/>
        <v>23648</v>
      </c>
      <c r="E83" s="18">
        <f>IF(F3="1",SUMIF(Data!A:A,'15'!$A$2,Data!EO:EO),0)</f>
        <v>186403</v>
      </c>
      <c r="F83" s="22">
        <f t="shared" si="5"/>
        <v>7.8824002029769957</v>
      </c>
    </row>
    <row r="84" spans="1:6" x14ac:dyDescent="0.2">
      <c r="A84" s="20">
        <v>18</v>
      </c>
      <c r="B84" s="179" t="s">
        <v>16</v>
      </c>
      <c r="C84" s="180"/>
      <c r="D84" s="15">
        <f t="shared" si="4"/>
        <v>336</v>
      </c>
      <c r="E84" s="18">
        <f>IF(F3="1",SUMIF(Data!A:A,'15'!$A$2,Data!EP:EP),0)</f>
        <v>1720</v>
      </c>
      <c r="F84" s="22">
        <f t="shared" si="5"/>
        <v>5.1190476190476186</v>
      </c>
    </row>
    <row r="85" spans="1:6" x14ac:dyDescent="0.2">
      <c r="A85" s="20">
        <v>19</v>
      </c>
      <c r="B85" s="179" t="s">
        <v>17</v>
      </c>
      <c r="C85" s="180"/>
      <c r="D85" s="15">
        <f t="shared" si="4"/>
        <v>225760</v>
      </c>
      <c r="E85" s="18">
        <f>IF(F3="1",SUMIF(Data!A:A,'15'!$A$2,Data!EQ:EQ),0)</f>
        <v>1053888</v>
      </c>
      <c r="F85" s="22">
        <f t="shared" si="5"/>
        <v>4.6681785967399012</v>
      </c>
    </row>
    <row r="86" spans="1:6" x14ac:dyDescent="0.2">
      <c r="A86" s="20">
        <v>20</v>
      </c>
      <c r="B86" s="179" t="s">
        <v>18</v>
      </c>
      <c r="C86" s="180"/>
      <c r="D86" s="15">
        <f t="shared" si="4"/>
        <v>84584</v>
      </c>
      <c r="E86" s="18">
        <f>IF(F3="1",SUMIF(Data!A:A,'15'!$A$2,Data!ER:ER),0)</f>
        <v>496104</v>
      </c>
      <c r="F86" s="22">
        <f t="shared" si="5"/>
        <v>5.8652227371606926</v>
      </c>
    </row>
    <row r="87" spans="1:6" ht="14.25" customHeight="1" x14ac:dyDescent="0.2">
      <c r="A87" s="20">
        <v>21</v>
      </c>
      <c r="B87" s="179" t="s">
        <v>801</v>
      </c>
      <c r="C87" s="180"/>
      <c r="D87" s="15">
        <f t="shared" si="4"/>
        <v>173424</v>
      </c>
      <c r="E87" s="18">
        <f>IF(F3="1",SUMIF(Data!A:A,'15'!$A$2,Data!ES:ES),0)</f>
        <v>551500</v>
      </c>
      <c r="F87" s="22">
        <f t="shared" si="5"/>
        <v>3.1800673493864746</v>
      </c>
    </row>
    <row r="88" spans="1:6" x14ac:dyDescent="0.2">
      <c r="A88" s="20">
        <v>22</v>
      </c>
      <c r="B88" s="179" t="s">
        <v>19</v>
      </c>
      <c r="C88" s="180"/>
      <c r="D88" s="15">
        <f t="shared" si="4"/>
        <v>31519</v>
      </c>
      <c r="E88" s="18">
        <f>IF(F3="1",SUMIF(Data!A:A,'15'!$A$2,Data!ET:ET),0)</f>
        <v>162864</v>
      </c>
      <c r="F88" s="22">
        <f t="shared" si="5"/>
        <v>5.167169009169073</v>
      </c>
    </row>
    <row r="89" spans="1:6" x14ac:dyDescent="0.2">
      <c r="A89" s="20">
        <v>23</v>
      </c>
      <c r="B89" s="179" t="s">
        <v>20</v>
      </c>
      <c r="C89" s="180"/>
      <c r="D89" s="15">
        <f t="shared" si="4"/>
        <v>134736</v>
      </c>
      <c r="E89" s="18">
        <f>IF(F3="1",SUMIF(Data!A:A,'15'!$A$2,Data!EU:EU),0)</f>
        <v>528412</v>
      </c>
      <c r="F89" s="22">
        <f t="shared" si="5"/>
        <v>3.9218323239520245</v>
      </c>
    </row>
    <row r="90" spans="1:6" x14ac:dyDescent="0.2">
      <c r="A90" s="20">
        <v>24</v>
      </c>
      <c r="B90" s="179" t="s">
        <v>21</v>
      </c>
      <c r="C90" s="180"/>
      <c r="D90" s="15">
        <f t="shared" si="4"/>
        <v>182348</v>
      </c>
      <c r="E90" s="18">
        <f>IF(F3="1",SUMIF(Data!A:A,'15'!$A$2,Data!EV:EV),0)</f>
        <v>857695</v>
      </c>
      <c r="F90" s="22">
        <f t="shared" si="5"/>
        <v>4.7036161625024677</v>
      </c>
    </row>
    <row r="91" spans="1:6" x14ac:dyDescent="0.2">
      <c r="A91" s="20">
        <v>25</v>
      </c>
      <c r="B91" s="179" t="s">
        <v>22</v>
      </c>
      <c r="C91" s="180"/>
      <c r="D91" s="15">
        <f t="shared" si="4"/>
        <v>676054</v>
      </c>
      <c r="E91" s="18">
        <f>IF(F3="1",SUMIF(Data!A:A,'15'!$A$2,Data!EW:EW),0)</f>
        <v>2517548</v>
      </c>
      <c r="F91" s="22">
        <f t="shared" si="5"/>
        <v>3.7238859617722846</v>
      </c>
    </row>
    <row r="92" spans="1:6" x14ac:dyDescent="0.2">
      <c r="A92" s="20">
        <v>26</v>
      </c>
      <c r="B92" s="179" t="s">
        <v>23</v>
      </c>
      <c r="C92" s="180"/>
      <c r="D92" s="15">
        <f t="shared" si="4"/>
        <v>297872</v>
      </c>
      <c r="E92" s="18">
        <f>IF(F3="1",SUMIF(Data!A:A,'15'!$A$2,Data!EX:EX),0)</f>
        <v>2121290</v>
      </c>
      <c r="F92" s="22">
        <f t="shared" si="5"/>
        <v>7.1214817102648116</v>
      </c>
    </row>
    <row r="93" spans="1:6" x14ac:dyDescent="0.2">
      <c r="A93" s="20">
        <v>28</v>
      </c>
      <c r="B93" s="179" t="s">
        <v>24</v>
      </c>
      <c r="C93" s="180"/>
      <c r="D93" s="15">
        <f t="shared" si="4"/>
        <v>253472</v>
      </c>
      <c r="E93" s="18">
        <f>IF(F3="1",SUMIF(Data!A:A,'15'!$A$2,Data!EZ:EZ),0)</f>
        <v>1273500</v>
      </c>
      <c r="F93" s="22">
        <f t="shared" si="5"/>
        <v>5.0242235828809489</v>
      </c>
    </row>
    <row r="94" spans="1:6" ht="15.75" customHeight="1" thickBot="1" x14ac:dyDescent="0.25">
      <c r="A94" s="23">
        <v>29</v>
      </c>
      <c r="B94" s="181" t="s">
        <v>25</v>
      </c>
      <c r="C94" s="182"/>
      <c r="D94" s="24">
        <f t="shared" si="4"/>
        <v>244960</v>
      </c>
      <c r="E94" s="25">
        <f>IF(F3="1",SUMIF(Data!A:A,'15'!$A$2,Data!FA:FA),0)</f>
        <v>1197464</v>
      </c>
      <c r="F94" s="26">
        <f t="shared" si="5"/>
        <v>4.8884062704114957</v>
      </c>
    </row>
    <row r="95" spans="1:6" x14ac:dyDescent="0.2">
      <c r="B95" s="31" t="s">
        <v>35</v>
      </c>
      <c r="C95" s="31"/>
      <c r="D95" s="61">
        <f>SUM(D67:D94)</f>
        <v>5748555</v>
      </c>
      <c r="E95" s="32">
        <f>SUM(E67:E94)</f>
        <v>25174354</v>
      </c>
      <c r="F95" s="33">
        <f t="shared" si="5"/>
        <v>4.3792490460646194</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IF(F3="1",SUMIF(Data!A:A,'15'!$A$2,Data!AH:AH),0)</f>
        <v>12796268</v>
      </c>
      <c r="F98" s="21">
        <f t="shared" ref="F98:F105" si="6">IFERROR(E98/$D$95,0)</f>
        <v>2.2259973158472</v>
      </c>
    </row>
    <row r="99" spans="2:6" x14ac:dyDescent="0.2">
      <c r="B99" s="185" t="s">
        <v>31</v>
      </c>
      <c r="C99" s="186"/>
      <c r="D99" s="37"/>
      <c r="E99" s="18">
        <f>IF(F3="1",SUMIF(Data!A:A,'15'!$A$2,Data!AI:AI),0)</f>
        <v>4163314</v>
      </c>
      <c r="F99" s="22">
        <f t="shared" si="6"/>
        <v>0.72423661250522953</v>
      </c>
    </row>
    <row r="100" spans="2:6" x14ac:dyDescent="0.2">
      <c r="B100" s="185" t="s">
        <v>32</v>
      </c>
      <c r="C100" s="186"/>
      <c r="D100" s="37"/>
      <c r="E100" s="18">
        <f>IF(F3="1",SUMIF(Data!A:A,'15'!$A$2,Data!AJ:AJ),0)</f>
        <v>4412407</v>
      </c>
      <c r="F100" s="22">
        <f t="shared" si="6"/>
        <v>0.76756802361636967</v>
      </c>
    </row>
    <row r="101" spans="2:6" x14ac:dyDescent="0.2">
      <c r="B101" s="185" t="s">
        <v>28</v>
      </c>
      <c r="C101" s="186"/>
      <c r="D101" s="37"/>
      <c r="E101" s="18">
        <f>IF(F3="1",SUMIF(Data!A:A,'15'!$A$2,Data!AK:AK),0)</f>
        <v>0</v>
      </c>
      <c r="F101" s="22">
        <f t="shared" si="6"/>
        <v>0</v>
      </c>
    </row>
    <row r="102" spans="2:6" x14ac:dyDescent="0.2">
      <c r="B102" s="185" t="s">
        <v>33</v>
      </c>
      <c r="C102" s="186"/>
      <c r="D102" s="37"/>
      <c r="E102" s="18">
        <f>IF(F3="1",SUMIF(Data!A:A,'15'!$A$2,Data!AL:AL),0)</f>
        <v>0</v>
      </c>
      <c r="F102" s="22">
        <f t="shared" si="6"/>
        <v>0</v>
      </c>
    </row>
    <row r="103" spans="2:6" x14ac:dyDescent="0.2">
      <c r="B103" s="187" t="s">
        <v>34</v>
      </c>
      <c r="C103" s="188"/>
      <c r="D103" s="37"/>
      <c r="E103" s="18">
        <f>IF(F3="1",SUMIF(Data!A:A,'15'!$A$2,Data!AM:AM),0)</f>
        <v>0</v>
      </c>
      <c r="F103" s="22">
        <f t="shared" si="6"/>
        <v>0</v>
      </c>
    </row>
    <row r="104" spans="2:6" ht="15.75" customHeight="1" thickBot="1" x14ac:dyDescent="0.25">
      <c r="B104" s="177" t="s">
        <v>29</v>
      </c>
      <c r="C104" s="178"/>
      <c r="D104" s="38"/>
      <c r="E104" s="25">
        <f>IF(F3="1",SUMIF(Data!A:A,'15'!$A$2,Data!Q:Q),0)</f>
        <v>3292480</v>
      </c>
      <c r="F104" s="26">
        <f t="shared" si="6"/>
        <v>0.57274915174335117</v>
      </c>
    </row>
    <row r="105" spans="2:6" x14ac:dyDescent="0.2">
      <c r="B105" s="31" t="s">
        <v>35</v>
      </c>
      <c r="C105" s="31"/>
      <c r="D105" s="35">
        <f>D95</f>
        <v>5748555</v>
      </c>
      <c r="E105" s="32">
        <f>SUM(E98:E104)</f>
        <v>24664469</v>
      </c>
      <c r="F105" s="33">
        <f t="shared" si="6"/>
        <v>4.2905511037121506</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25707700</v>
      </c>
      <c r="D109" s="16">
        <f>IF(F3="1",SUMIF(Data!$A:$A,$A$2,Data!HJ:HJ),0)</f>
        <v>4917700</v>
      </c>
      <c r="E109" s="16">
        <f>IF(F3="1",SUMIF(Data!$A:$A,$A$2,Data!IN:IN),0)</f>
        <v>1186678</v>
      </c>
      <c r="F109" s="48">
        <f>SUM(C109:E109)</f>
        <v>31812078</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252880</v>
      </c>
      <c r="D111" s="52"/>
      <c r="E111" s="51">
        <f>IF(F3="1",SUMIF(Data!A:A,$A$2,Data!AX:AX),0)</f>
        <v>107070</v>
      </c>
      <c r="F111" s="49">
        <f t="shared" si="7"/>
        <v>359950</v>
      </c>
    </row>
    <row r="112" spans="2:6" x14ac:dyDescent="0.2">
      <c r="B112" s="43" t="s">
        <v>32</v>
      </c>
      <c r="C112" s="51">
        <f>IF(F3="1",SUMIF(Data!A:A,$A$2,Data!V:V),0)</f>
        <v>3623337</v>
      </c>
      <c r="D112" s="52"/>
      <c r="E112" s="51">
        <f>IF(F3="1",SUMIF(Data!A:A,$A$2,Data!AC:AC),0)</f>
        <v>789070</v>
      </c>
      <c r="F112" s="49">
        <f t="shared" si="7"/>
        <v>4412407</v>
      </c>
    </row>
    <row r="113" spans="1:6" x14ac:dyDescent="0.2">
      <c r="B113" s="43" t="s">
        <v>31</v>
      </c>
      <c r="C113" s="51">
        <f>IF(F3="1",SUMIF(Data!A:A,$A$2,Data!U:U),0)</f>
        <v>3360873</v>
      </c>
      <c r="D113" s="52"/>
      <c r="E113" s="51">
        <f>IF(F3="1",SUMIF(Data!A:A,$A$2,Data!AB:AB),0)</f>
        <v>802441</v>
      </c>
      <c r="F113" s="49">
        <f t="shared" si="7"/>
        <v>4163314</v>
      </c>
    </row>
    <row r="114" spans="1:6" x14ac:dyDescent="0.2">
      <c r="B114" s="43" t="s">
        <v>1363</v>
      </c>
      <c r="C114" s="51">
        <f>IF(F3="1",SUMIF(Data!A:A,$A$2,Data!T:T),0)</f>
        <v>7092710</v>
      </c>
      <c r="D114" s="52"/>
      <c r="E114" s="51">
        <f>IF(F3="1",SUMIF(Data!A:A,$A$2,Data!AA:AA),0)</f>
        <v>5703558</v>
      </c>
      <c r="F114" s="49">
        <f t="shared" si="7"/>
        <v>12796268</v>
      </c>
    </row>
    <row r="115" spans="1:6" x14ac:dyDescent="0.2">
      <c r="B115" s="43" t="s">
        <v>1278</v>
      </c>
      <c r="C115" s="51">
        <f>IF(F3="1",SUMIF(Data!A:A,$A$2,Data!BI:BI),0)</f>
        <v>2079443</v>
      </c>
      <c r="D115" s="51">
        <f>IF(F3="1",SUMIF(Data!A:A,$A$2,Data!BL:BL),0)</f>
        <v>598766</v>
      </c>
      <c r="E115" s="51">
        <f>IF(F3="1",SUMIF(Data!A:A,$A$2,Data!BU:BU),0)</f>
        <v>8893680</v>
      </c>
      <c r="F115" s="49">
        <f t="shared" si="7"/>
        <v>11571889</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3292480</v>
      </c>
      <c r="E117" s="53"/>
      <c r="F117" s="50">
        <f>SUM(C117:E117)</f>
        <v>3292480</v>
      </c>
    </row>
    <row r="118" spans="1:6" x14ac:dyDescent="0.2">
      <c r="B118" s="14" t="s">
        <v>35</v>
      </c>
      <c r="C118" s="5">
        <f>SUM(C109:C116)</f>
        <v>42116943</v>
      </c>
      <c r="D118" s="5">
        <f>SUM(D109:D116)</f>
        <v>5516466</v>
      </c>
      <c r="E118" s="5">
        <f>SUM(E109:E116)</f>
        <v>17482497</v>
      </c>
      <c r="F118" s="5">
        <f>SUM(F109:F116)</f>
        <v>65115906</v>
      </c>
    </row>
    <row r="119" spans="1:6" ht="15" thickBot="1" x14ac:dyDescent="0.25"/>
    <row r="120" spans="1:6" ht="15" thickBot="1" x14ac:dyDescent="0.25">
      <c r="B120" s="57" t="s">
        <v>1283</v>
      </c>
      <c r="C120" s="55"/>
      <c r="D120" s="55"/>
      <c r="E120" s="55">
        <f>IF(F3="1",SUMIF(Data!A:A,'15'!$A$2,Data!AM:AM),0)</f>
        <v>0</v>
      </c>
      <c r="F120" s="56">
        <f>SUM(C120:E120)</f>
        <v>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42578125" style="11" bestFit="1" customWidth="1"/>
    <col min="12" max="12" width="13.5703125" style="11" bestFit="1" customWidth="1"/>
    <col min="13" max="13" width="12.140625" style="11" bestFit="1" customWidth="1"/>
    <col min="14"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702</v>
      </c>
      <c r="B2" s="60" t="str">
        <f>VLOOKUP(A2,Data!A:G,7,0)</f>
        <v>El Paso Community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6192</v>
      </c>
      <c r="E5" s="16">
        <f>E36+E67+IFERROR($E$105/$D$105*D5,0)</f>
        <v>33853.109971787926</v>
      </c>
      <c r="F5" s="21">
        <f>IFERROR(E5/D5,"")</f>
        <v>5.4672335225755697</v>
      </c>
    </row>
    <row r="6" spans="1:6" x14ac:dyDescent="0.2">
      <c r="A6" s="20">
        <v>2</v>
      </c>
      <c r="B6" s="179" t="s">
        <v>1</v>
      </c>
      <c r="C6" s="180"/>
      <c r="D6" s="15">
        <f t="shared" ref="D6:D32" si="0">D37</f>
        <v>91408</v>
      </c>
      <c r="E6" s="18">
        <f t="shared" ref="E6:E32" si="1">E37+E68+IFERROR($E$105/$D$105*D6,0)</f>
        <v>779871.8534078151</v>
      </c>
      <c r="F6" s="22">
        <f t="shared" ref="F6:F33" si="2">IFERROR(E6/D6,"")</f>
        <v>8.53176804445798</v>
      </c>
    </row>
    <row r="7" spans="1:6" ht="14.25" customHeight="1" x14ac:dyDescent="0.2">
      <c r="A7" s="20">
        <v>3</v>
      </c>
      <c r="B7" s="179" t="s">
        <v>2</v>
      </c>
      <c r="C7" s="180"/>
      <c r="D7" s="15">
        <f t="shared" si="0"/>
        <v>1610464</v>
      </c>
      <c r="E7" s="18">
        <f t="shared" si="1"/>
        <v>10350363.669509929</v>
      </c>
      <c r="F7" s="22">
        <f t="shared" si="2"/>
        <v>6.4269450726684534</v>
      </c>
    </row>
    <row r="8" spans="1:6" ht="14.25" customHeight="1" x14ac:dyDescent="0.2">
      <c r="A8" s="20">
        <v>4</v>
      </c>
      <c r="B8" s="179" t="s">
        <v>3</v>
      </c>
      <c r="C8" s="180"/>
      <c r="D8" s="15">
        <f t="shared" si="0"/>
        <v>458477</v>
      </c>
      <c r="E8" s="18">
        <f t="shared" si="1"/>
        <v>4604023.1244404735</v>
      </c>
      <c r="F8" s="22">
        <f t="shared" si="2"/>
        <v>10.04199365385935</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197016</v>
      </c>
      <c r="E10" s="18">
        <f t="shared" si="1"/>
        <v>2445964.0068155313</v>
      </c>
      <c r="F10" s="22">
        <f t="shared" si="2"/>
        <v>12.415052619155455</v>
      </c>
    </row>
    <row r="11" spans="1:6" x14ac:dyDescent="0.2">
      <c r="A11" s="20">
        <v>7</v>
      </c>
      <c r="B11" s="179" t="s">
        <v>6</v>
      </c>
      <c r="C11" s="180"/>
      <c r="D11" s="15">
        <f t="shared" si="0"/>
        <v>364596</v>
      </c>
      <c r="E11" s="18">
        <f t="shared" si="1"/>
        <v>2680119.8261101404</v>
      </c>
      <c r="F11" s="22">
        <f t="shared" si="2"/>
        <v>7.3509304164339166</v>
      </c>
    </row>
    <row r="12" spans="1:6" x14ac:dyDescent="0.2">
      <c r="A12" s="20">
        <v>8</v>
      </c>
      <c r="B12" s="179" t="s">
        <v>7</v>
      </c>
      <c r="C12" s="180"/>
      <c r="D12" s="15">
        <f t="shared" si="0"/>
        <v>59966</v>
      </c>
      <c r="E12" s="18">
        <f t="shared" si="1"/>
        <v>520942.63252070977</v>
      </c>
      <c r="F12" s="22">
        <f t="shared" si="2"/>
        <v>8.6873000120186408</v>
      </c>
    </row>
    <row r="13" spans="1:6" x14ac:dyDescent="0.2">
      <c r="A13" s="20">
        <v>9</v>
      </c>
      <c r="B13" s="179" t="s">
        <v>8</v>
      </c>
      <c r="C13" s="180"/>
      <c r="D13" s="15">
        <f t="shared" si="0"/>
        <v>429418</v>
      </c>
      <c r="E13" s="18">
        <f t="shared" si="1"/>
        <v>3374294.791644901</v>
      </c>
      <c r="F13" s="22">
        <f t="shared" si="2"/>
        <v>7.8578326750273648</v>
      </c>
    </row>
    <row r="14" spans="1:6" x14ac:dyDescent="0.2">
      <c r="A14" s="20">
        <v>10</v>
      </c>
      <c r="B14" s="179" t="s">
        <v>9</v>
      </c>
      <c r="C14" s="180"/>
      <c r="D14" s="15">
        <f t="shared" si="0"/>
        <v>31552</v>
      </c>
      <c r="E14" s="18">
        <f t="shared" si="1"/>
        <v>259593.45701386512</v>
      </c>
      <c r="F14" s="22">
        <f t="shared" si="2"/>
        <v>8.2274802552568804</v>
      </c>
    </row>
    <row r="15" spans="1:6" x14ac:dyDescent="0.2">
      <c r="A15" s="20">
        <v>11</v>
      </c>
      <c r="B15" s="179" t="s">
        <v>10</v>
      </c>
      <c r="C15" s="180"/>
      <c r="D15" s="15">
        <f t="shared" si="0"/>
        <v>186692</v>
      </c>
      <c r="E15" s="18">
        <f t="shared" si="1"/>
        <v>1350288.7543367301</v>
      </c>
      <c r="F15" s="22">
        <f t="shared" si="2"/>
        <v>7.2327081735517869</v>
      </c>
    </row>
    <row r="16" spans="1:6" ht="14.25" customHeight="1" x14ac:dyDescent="0.2">
      <c r="A16" s="20">
        <v>12</v>
      </c>
      <c r="B16" s="179" t="s">
        <v>11</v>
      </c>
      <c r="C16" s="180"/>
      <c r="D16" s="15">
        <f t="shared" si="0"/>
        <v>1436070</v>
      </c>
      <c r="E16" s="18">
        <f t="shared" si="1"/>
        <v>14230294.314144943</v>
      </c>
      <c r="F16" s="22">
        <f t="shared" si="2"/>
        <v>9.9091926675892843</v>
      </c>
    </row>
    <row r="17" spans="1:6" x14ac:dyDescent="0.2">
      <c r="A17" s="20">
        <v>13</v>
      </c>
      <c r="B17" s="179" t="s">
        <v>12</v>
      </c>
      <c r="C17" s="180"/>
      <c r="D17" s="15">
        <f t="shared" si="0"/>
        <v>224408</v>
      </c>
      <c r="E17" s="18">
        <f t="shared" si="1"/>
        <v>1698387.1703082987</v>
      </c>
      <c r="F17" s="22">
        <f t="shared" si="2"/>
        <v>7.5683004630329522</v>
      </c>
    </row>
    <row r="18" spans="1:6" ht="14.25" customHeight="1" x14ac:dyDescent="0.2">
      <c r="A18" s="20">
        <v>14</v>
      </c>
      <c r="B18" s="179" t="s">
        <v>804</v>
      </c>
      <c r="C18" s="180"/>
      <c r="D18" s="15">
        <f t="shared" si="0"/>
        <v>314308</v>
      </c>
      <c r="E18" s="18">
        <f t="shared" si="1"/>
        <v>4000578.6048147157</v>
      </c>
      <c r="F18" s="22">
        <f t="shared" si="2"/>
        <v>12.72821119670742</v>
      </c>
    </row>
    <row r="19" spans="1:6" x14ac:dyDescent="0.2">
      <c r="A19" s="20">
        <v>15</v>
      </c>
      <c r="B19" s="179" t="s">
        <v>13</v>
      </c>
      <c r="C19" s="180"/>
      <c r="D19" s="15">
        <f t="shared" si="0"/>
        <v>23810</v>
      </c>
      <c r="E19" s="18">
        <f t="shared" si="1"/>
        <v>627199.20161955268</v>
      </c>
      <c r="F19" s="22">
        <f t="shared" si="2"/>
        <v>26.341839631228588</v>
      </c>
    </row>
    <row r="20" spans="1:6" x14ac:dyDescent="0.2">
      <c r="A20" s="20">
        <v>16</v>
      </c>
      <c r="B20" s="179" t="s">
        <v>14</v>
      </c>
      <c r="C20" s="180"/>
      <c r="D20" s="15">
        <f t="shared" si="0"/>
        <v>405371</v>
      </c>
      <c r="E20" s="18">
        <f t="shared" si="1"/>
        <v>4281788.4903704207</v>
      </c>
      <c r="F20" s="22">
        <f t="shared" si="2"/>
        <v>10.562641359077045</v>
      </c>
    </row>
    <row r="21" spans="1:6" x14ac:dyDescent="0.2">
      <c r="A21" s="20">
        <v>17</v>
      </c>
      <c r="B21" s="179" t="s">
        <v>15</v>
      </c>
      <c r="C21" s="180"/>
      <c r="D21" s="15">
        <f t="shared" si="0"/>
        <v>24016</v>
      </c>
      <c r="E21" s="18">
        <f t="shared" si="1"/>
        <v>425941.0983660302</v>
      </c>
      <c r="F21" s="22">
        <f t="shared" si="2"/>
        <v>17.735721950617513</v>
      </c>
    </row>
    <row r="22" spans="1:6" x14ac:dyDescent="0.2">
      <c r="A22" s="20">
        <v>18</v>
      </c>
      <c r="B22" s="179" t="s">
        <v>16</v>
      </c>
      <c r="C22" s="180"/>
      <c r="D22" s="15">
        <f t="shared" si="0"/>
        <v>69120</v>
      </c>
      <c r="E22" s="18">
        <f t="shared" si="1"/>
        <v>792820.6461967025</v>
      </c>
      <c r="F22" s="22">
        <f t="shared" si="2"/>
        <v>11.470206108169887</v>
      </c>
    </row>
    <row r="23" spans="1:6" x14ac:dyDescent="0.2">
      <c r="A23" s="20">
        <v>19</v>
      </c>
      <c r="B23" s="179" t="s">
        <v>17</v>
      </c>
      <c r="C23" s="180"/>
      <c r="D23" s="15">
        <f t="shared" si="0"/>
        <v>696928</v>
      </c>
      <c r="E23" s="18">
        <f t="shared" si="1"/>
        <v>4698658.2122768443</v>
      </c>
      <c r="F23" s="22">
        <f t="shared" si="2"/>
        <v>6.7419564320515812</v>
      </c>
    </row>
    <row r="24" spans="1:6" x14ac:dyDescent="0.2">
      <c r="A24" s="20">
        <v>20</v>
      </c>
      <c r="B24" s="179" t="s">
        <v>18</v>
      </c>
      <c r="C24" s="180"/>
      <c r="D24" s="15">
        <f t="shared" si="0"/>
        <v>129146</v>
      </c>
      <c r="E24" s="18">
        <f t="shared" si="1"/>
        <v>1022787.3166047358</v>
      </c>
      <c r="F24" s="22">
        <f t="shared" si="2"/>
        <v>7.9196205581646799</v>
      </c>
    </row>
    <row r="25" spans="1:6" ht="14.25" customHeight="1" x14ac:dyDescent="0.2">
      <c r="A25" s="20">
        <v>21</v>
      </c>
      <c r="B25" s="179" t="s">
        <v>801</v>
      </c>
      <c r="C25" s="180"/>
      <c r="D25" s="15">
        <f t="shared" si="0"/>
        <v>25792</v>
      </c>
      <c r="E25" s="18">
        <f t="shared" si="1"/>
        <v>492179.81983080658</v>
      </c>
      <c r="F25" s="22">
        <f t="shared" si="2"/>
        <v>19.082654304854472</v>
      </c>
    </row>
    <row r="26" spans="1:6" x14ac:dyDescent="0.2">
      <c r="A26" s="20">
        <v>22</v>
      </c>
      <c r="B26" s="179" t="s">
        <v>19</v>
      </c>
      <c r="C26" s="180"/>
      <c r="D26" s="15">
        <f t="shared" si="0"/>
        <v>16518</v>
      </c>
      <c r="E26" s="18">
        <f t="shared" si="1"/>
        <v>179371.73038016682</v>
      </c>
      <c r="F26" s="22">
        <f t="shared" si="2"/>
        <v>10.859167597782227</v>
      </c>
    </row>
    <row r="27" spans="1:6" x14ac:dyDescent="0.2">
      <c r="A27" s="20">
        <v>23</v>
      </c>
      <c r="B27" s="179" t="s">
        <v>20</v>
      </c>
      <c r="C27" s="180"/>
      <c r="D27" s="15">
        <f t="shared" si="0"/>
        <v>33744</v>
      </c>
      <c r="E27" s="18">
        <f t="shared" si="1"/>
        <v>570555.70783075131</v>
      </c>
      <c r="F27" s="22">
        <f t="shared" si="2"/>
        <v>16.908360236805102</v>
      </c>
    </row>
    <row r="28" spans="1:6" x14ac:dyDescent="0.2">
      <c r="A28" s="20">
        <v>24</v>
      </c>
      <c r="B28" s="179" t="s">
        <v>21</v>
      </c>
      <c r="C28" s="180"/>
      <c r="D28" s="15">
        <f t="shared" si="0"/>
        <v>419996</v>
      </c>
      <c r="E28" s="18">
        <f t="shared" si="1"/>
        <v>3117651.4754055301</v>
      </c>
      <c r="F28" s="22">
        <f t="shared" si="2"/>
        <v>7.4230503990645866</v>
      </c>
    </row>
    <row r="29" spans="1:6" x14ac:dyDescent="0.2">
      <c r="A29" s="20">
        <v>25</v>
      </c>
      <c r="B29" s="179" t="s">
        <v>22</v>
      </c>
      <c r="C29" s="180"/>
      <c r="D29" s="15">
        <f t="shared" si="0"/>
        <v>2485344</v>
      </c>
      <c r="E29" s="18">
        <f t="shared" si="1"/>
        <v>15258159.783870041</v>
      </c>
      <c r="F29" s="22">
        <f t="shared" si="2"/>
        <v>6.1392546801851342</v>
      </c>
    </row>
    <row r="30" spans="1:6" x14ac:dyDescent="0.2">
      <c r="A30" s="20">
        <v>26</v>
      </c>
      <c r="B30" s="179" t="s">
        <v>23</v>
      </c>
      <c r="C30" s="180"/>
      <c r="D30" s="15">
        <f t="shared" si="0"/>
        <v>452004</v>
      </c>
      <c r="E30" s="18">
        <f t="shared" si="1"/>
        <v>3757827.8203630541</v>
      </c>
      <c r="F30" s="22">
        <f t="shared" si="2"/>
        <v>8.3137047910263053</v>
      </c>
    </row>
    <row r="31" spans="1:6" x14ac:dyDescent="0.2">
      <c r="A31" s="20">
        <v>28</v>
      </c>
      <c r="B31" s="179" t="s">
        <v>24</v>
      </c>
      <c r="C31" s="180"/>
      <c r="D31" s="15">
        <f t="shared" si="0"/>
        <v>679728</v>
      </c>
      <c r="E31" s="18">
        <f t="shared" si="1"/>
        <v>4188928.0179107664</v>
      </c>
      <c r="F31" s="22">
        <f t="shared" si="2"/>
        <v>6.1626533229626652</v>
      </c>
    </row>
    <row r="32" spans="1:6" ht="15.75" customHeight="1" thickBot="1" x14ac:dyDescent="0.25">
      <c r="A32" s="23">
        <v>29</v>
      </c>
      <c r="B32" s="181" t="s">
        <v>25</v>
      </c>
      <c r="C32" s="182"/>
      <c r="D32" s="24">
        <f t="shared" si="0"/>
        <v>1280160</v>
      </c>
      <c r="E32" s="25">
        <f t="shared" si="1"/>
        <v>5211706.36393476</v>
      </c>
      <c r="F32" s="26">
        <f t="shared" si="2"/>
        <v>4.071136704735939</v>
      </c>
    </row>
    <row r="33" spans="1:6" x14ac:dyDescent="0.2">
      <c r="B33" s="31" t="s">
        <v>35</v>
      </c>
      <c r="C33" s="31"/>
      <c r="D33" s="61">
        <f>SUM(D5:D32)</f>
        <v>12152244</v>
      </c>
      <c r="E33" s="32">
        <f>SUM(E5:E32)</f>
        <v>90954151</v>
      </c>
      <c r="F33" s="33">
        <f t="shared" si="2"/>
        <v>7.4845560210937174</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IF(F3="1",SUMIF(Data!A:A,'16'!$A$2,Data!CU:CU),0)</f>
        <v>6192</v>
      </c>
      <c r="E36" s="16">
        <f>IF(F3="1",SUMIF(Data!$A:$A,'16'!$A$2,Data!IO:IO),0)</f>
        <v>5966</v>
      </c>
      <c r="F36" s="21">
        <f t="shared" ref="F36:F64" si="3">IFERROR(E36/D36,"")</f>
        <v>0.96350129198966405</v>
      </c>
    </row>
    <row r="37" spans="1:6" x14ac:dyDescent="0.2">
      <c r="A37" s="20">
        <v>2</v>
      </c>
      <c r="B37" s="179" t="s">
        <v>1</v>
      </c>
      <c r="C37" s="180"/>
      <c r="D37" s="15">
        <f>IF(F3="1",SUMIF(Data!A:A,'16'!$A$2,Data!CV:CV),0)</f>
        <v>91408</v>
      </c>
      <c r="E37" s="18">
        <f>IF(F3="1",SUMIF(Data!$A:$A,'16'!$A$2,Data!IP:IP),0)</f>
        <v>227716</v>
      </c>
      <c r="F37" s="22">
        <f t="shared" si="3"/>
        <v>2.4912042709609663</v>
      </c>
    </row>
    <row r="38" spans="1:6" ht="14.25" customHeight="1" x14ac:dyDescent="0.2">
      <c r="A38" s="20">
        <v>3</v>
      </c>
      <c r="B38" s="179" t="s">
        <v>2</v>
      </c>
      <c r="C38" s="180"/>
      <c r="D38" s="15">
        <f>IF(F3="1",SUMIF(Data!A:A,'16'!$A$2,Data!CW:CW),0)</f>
        <v>1610464</v>
      </c>
      <c r="E38" s="18">
        <f>IF(F3="1",SUMIF(Data!$A:$A,'16'!$A$2,Data!IQ:IQ),0)</f>
        <v>785600</v>
      </c>
      <c r="F38" s="22">
        <f t="shared" si="3"/>
        <v>0.48780972440240827</v>
      </c>
    </row>
    <row r="39" spans="1:6" ht="14.25" customHeight="1" x14ac:dyDescent="0.2">
      <c r="A39" s="20">
        <v>4</v>
      </c>
      <c r="B39" s="179" t="s">
        <v>3</v>
      </c>
      <c r="C39" s="180"/>
      <c r="D39" s="15">
        <f>IF(F3="1",SUMIF(Data!A:A,'16'!$A$2,Data!CX:CX),0)</f>
        <v>458477</v>
      </c>
      <c r="E39" s="18">
        <f>IF(F3="1",SUMIF(Data!$A:$A,'16'!$A$2,Data!IR:IR),0)</f>
        <v>1104415</v>
      </c>
      <c r="F39" s="22">
        <f t="shared" si="3"/>
        <v>2.4088776536227554</v>
      </c>
    </row>
    <row r="40" spans="1:6" x14ac:dyDescent="0.2">
      <c r="A40" s="20">
        <v>5</v>
      </c>
      <c r="B40" s="179" t="s">
        <v>4</v>
      </c>
      <c r="C40" s="180"/>
      <c r="D40" s="15">
        <f>IF(F3="1",SUMIF(Data!A:A,'16'!$A$2,Data!CY:CY),0)</f>
        <v>0</v>
      </c>
      <c r="E40" s="18">
        <f>IF(F3="1",SUMIF(Data!$A:$A,'16'!$A$2,Data!IS:IS),0)</f>
        <v>0</v>
      </c>
      <c r="F40" s="22" t="str">
        <f t="shared" si="3"/>
        <v/>
      </c>
    </row>
    <row r="41" spans="1:6" x14ac:dyDescent="0.2">
      <c r="A41" s="20">
        <v>6</v>
      </c>
      <c r="B41" s="179" t="s">
        <v>5</v>
      </c>
      <c r="C41" s="180"/>
      <c r="D41" s="15">
        <f>IF(F3="1",SUMIF(Data!A:A,'16'!$A$2,Data!CZ:CZ),0)</f>
        <v>197016</v>
      </c>
      <c r="E41" s="18">
        <f>IF(F3="1",SUMIF(Data!$A:$A,'16'!$A$2,Data!IT:IT),0)</f>
        <v>465757</v>
      </c>
      <c r="F41" s="22">
        <f t="shared" si="3"/>
        <v>2.3640567263572501</v>
      </c>
    </row>
    <row r="42" spans="1:6" x14ac:dyDescent="0.2">
      <c r="A42" s="20">
        <v>7</v>
      </c>
      <c r="B42" s="179" t="s">
        <v>6</v>
      </c>
      <c r="C42" s="180"/>
      <c r="D42" s="15">
        <f>IF(F3="1",SUMIF(Data!A:A,'16'!$A$2,Data!DA:DA),0)</f>
        <v>364596</v>
      </c>
      <c r="E42" s="18">
        <f>IF(F3="1",SUMIF(Data!$A:$A,'16'!$A$2,Data!IU:IU),0)</f>
        <v>237938</v>
      </c>
      <c r="F42" s="22">
        <f t="shared" si="3"/>
        <v>0.6526072694160111</v>
      </c>
    </row>
    <row r="43" spans="1:6" x14ac:dyDescent="0.2">
      <c r="A43" s="20">
        <v>8</v>
      </c>
      <c r="B43" s="179" t="s">
        <v>7</v>
      </c>
      <c r="C43" s="180"/>
      <c r="D43" s="15">
        <f>IF(F3="1",SUMIF(Data!A:A,'16'!$A$2,Data!DB:DB),0)</f>
        <v>59966</v>
      </c>
      <c r="E43" s="18">
        <f>IF(F3="1",SUMIF(Data!$A:$A,'16'!$A$2,Data!IV:IV),0)</f>
        <v>81820</v>
      </c>
      <c r="F43" s="22">
        <f t="shared" si="3"/>
        <v>1.3644398492479071</v>
      </c>
    </row>
    <row r="44" spans="1:6" x14ac:dyDescent="0.2">
      <c r="A44" s="20">
        <v>9</v>
      </c>
      <c r="B44" s="179" t="s">
        <v>8</v>
      </c>
      <c r="C44" s="180"/>
      <c r="D44" s="15">
        <f>IF(F3="1",SUMIF(Data!A:A,'16'!$A$2,Data!DC:DC),0)</f>
        <v>429418</v>
      </c>
      <c r="E44" s="18">
        <f>IF(F3="1",SUMIF(Data!$A:$A,'16'!$A$2,Data!IW:IW),0)</f>
        <v>357727</v>
      </c>
      <c r="F44" s="22">
        <f t="shared" si="3"/>
        <v>0.83305078035853175</v>
      </c>
    </row>
    <row r="45" spans="1:6" x14ac:dyDescent="0.2">
      <c r="A45" s="20">
        <v>10</v>
      </c>
      <c r="B45" s="179" t="s">
        <v>9</v>
      </c>
      <c r="C45" s="180"/>
      <c r="D45" s="15">
        <f>IF(F3="1",SUMIF(Data!A:A,'16'!$A$2,Data!DD:DD),0)</f>
        <v>31552</v>
      </c>
      <c r="E45" s="18">
        <f>IF(F3="1",SUMIF(Data!$A:$A,'16'!$A$2,Data!IX:IX),0)</f>
        <v>11125</v>
      </c>
      <c r="F45" s="22">
        <f t="shared" si="3"/>
        <v>0.35259254563894521</v>
      </c>
    </row>
    <row r="46" spans="1:6" x14ac:dyDescent="0.2">
      <c r="A46" s="20">
        <v>11</v>
      </c>
      <c r="B46" s="179" t="s">
        <v>10</v>
      </c>
      <c r="C46" s="180"/>
      <c r="D46" s="15">
        <f>IF(F3="1",SUMIF(Data!A:A,'16'!$A$2,Data!DE:DE),0)</f>
        <v>186692</v>
      </c>
      <c r="E46" s="18">
        <f>IF(F3="1",SUMIF(Data!$A:$A,'16'!$A$2,Data!IY:IY),0)</f>
        <v>163631</v>
      </c>
      <c r="F46" s="22">
        <f t="shared" si="3"/>
        <v>0.8764756925845778</v>
      </c>
    </row>
    <row r="47" spans="1:6" ht="14.25" customHeight="1" x14ac:dyDescent="0.2">
      <c r="A47" s="20">
        <v>12</v>
      </c>
      <c r="B47" s="179" t="s">
        <v>11</v>
      </c>
      <c r="C47" s="180"/>
      <c r="D47" s="15">
        <f>IF(F3="1",SUMIF(Data!A:A,'16'!$A$2,Data!DF:DF),0)</f>
        <v>1436070</v>
      </c>
      <c r="E47" s="18">
        <f>IF(F3="1",SUMIF(Data!$A:$A,'16'!$A$2,Data!IZ:IZ),0)</f>
        <v>1284404</v>
      </c>
      <c r="F47" s="22">
        <f t="shared" si="3"/>
        <v>0.89438815656618409</v>
      </c>
    </row>
    <row r="48" spans="1:6" x14ac:dyDescent="0.2">
      <c r="A48" s="20">
        <v>13</v>
      </c>
      <c r="B48" s="179" t="s">
        <v>12</v>
      </c>
      <c r="C48" s="180"/>
      <c r="D48" s="15">
        <f>IF(F3="1",SUMIF(Data!A:A,'16'!$A$2,Data!DG:DG),0)</f>
        <v>224408</v>
      </c>
      <c r="E48" s="18">
        <f>IF(F3="1",SUMIF(Data!$A:$A,'16'!$A$2,Data!JA:JA),0)</f>
        <v>101973</v>
      </c>
      <c r="F48" s="22">
        <f t="shared" si="3"/>
        <v>0.45440893372785285</v>
      </c>
    </row>
    <row r="49" spans="1:6" ht="14.25" customHeight="1" x14ac:dyDescent="0.2">
      <c r="A49" s="20">
        <v>14</v>
      </c>
      <c r="B49" s="179" t="s">
        <v>804</v>
      </c>
      <c r="C49" s="180"/>
      <c r="D49" s="15">
        <f>IF(F3="1",SUMIF(Data!A:A,'16'!$A$2,Data!DH:DH),0)</f>
        <v>314308</v>
      </c>
      <c r="E49" s="18">
        <f>IF(F3="1",SUMIF(Data!$A:$A,'16'!$A$2,Data!JB:JB),0)</f>
        <v>360886</v>
      </c>
      <c r="F49" s="22">
        <f t="shared" si="3"/>
        <v>1.1481922190971914</v>
      </c>
    </row>
    <row r="50" spans="1:6" x14ac:dyDescent="0.2">
      <c r="A50" s="20">
        <v>15</v>
      </c>
      <c r="B50" s="179" t="s">
        <v>13</v>
      </c>
      <c r="C50" s="180"/>
      <c r="D50" s="15">
        <f>IF(F3="1",SUMIF(Data!A:A,'16'!$A$2,Data!DI:DI),0)</f>
        <v>23810</v>
      </c>
      <c r="E50" s="18">
        <f>IF(F3="1",SUMIF(Data!$A:$A,'16'!$A$2,Data!JC:JC),0)</f>
        <v>80433</v>
      </c>
      <c r="F50" s="22">
        <f t="shared" si="3"/>
        <v>3.3781184376312474</v>
      </c>
    </row>
    <row r="51" spans="1:6" x14ac:dyDescent="0.2">
      <c r="A51" s="20">
        <v>16</v>
      </c>
      <c r="B51" s="179" t="s">
        <v>14</v>
      </c>
      <c r="C51" s="180"/>
      <c r="D51" s="15">
        <f>IF(F3="1",SUMIF(Data!A:A,'16'!$A$2,Data!DJ:DJ),0)</f>
        <v>405371</v>
      </c>
      <c r="E51" s="18">
        <f>IF(F3="1",SUMIF(Data!$A:$A,'16'!$A$2,Data!JD:JD),0)</f>
        <v>482024</v>
      </c>
      <c r="F51" s="22">
        <f t="shared" si="3"/>
        <v>1.1890934477305974</v>
      </c>
    </row>
    <row r="52" spans="1:6" x14ac:dyDescent="0.2">
      <c r="A52" s="20">
        <v>17</v>
      </c>
      <c r="B52" s="179" t="s">
        <v>15</v>
      </c>
      <c r="C52" s="180"/>
      <c r="D52" s="15">
        <f>IF(F3="1",SUMIF(Data!A:A,'16'!$A$2,Data!DK:DK),0)</f>
        <v>24016</v>
      </c>
      <c r="E52" s="18">
        <f>IF(F3="1",SUMIF(Data!$A:$A,'16'!$A$2,Data!JE:JE),0)</f>
        <v>28433</v>
      </c>
      <c r="F52" s="22">
        <f t="shared" si="3"/>
        <v>1.1839190539640241</v>
      </c>
    </row>
    <row r="53" spans="1:6" x14ac:dyDescent="0.2">
      <c r="A53" s="20">
        <v>18</v>
      </c>
      <c r="B53" s="179" t="s">
        <v>16</v>
      </c>
      <c r="C53" s="180"/>
      <c r="D53" s="15">
        <f>IF(F3="1",SUMIF(Data!A:A,'16'!$A$2,Data!DL:DL),0)</f>
        <v>69120</v>
      </c>
      <c r="E53" s="18">
        <f>IF(F3="1",SUMIF(Data!$A:$A,'16'!$A$2,Data!JF:JF),0)</f>
        <v>74774</v>
      </c>
      <c r="F53" s="22">
        <f t="shared" si="3"/>
        <v>1.0817997685185186</v>
      </c>
    </row>
    <row r="54" spans="1:6" x14ac:dyDescent="0.2">
      <c r="A54" s="20">
        <v>19</v>
      </c>
      <c r="B54" s="179" t="s">
        <v>17</v>
      </c>
      <c r="C54" s="180"/>
      <c r="D54" s="15">
        <f>IF(F3="1",SUMIF(Data!A:A,'16'!$A$2,Data!DM:DM),0)</f>
        <v>696928</v>
      </c>
      <c r="E54" s="18">
        <f>IF(F3="1",SUMIF(Data!$A:$A,'16'!$A$2,Data!JG:JG),0)</f>
        <v>370306</v>
      </c>
      <c r="F54" s="22">
        <f t="shared" si="3"/>
        <v>0.53134039671242939</v>
      </c>
    </row>
    <row r="55" spans="1:6" x14ac:dyDescent="0.2">
      <c r="A55" s="20">
        <v>20</v>
      </c>
      <c r="B55" s="179" t="s">
        <v>18</v>
      </c>
      <c r="C55" s="180"/>
      <c r="D55" s="15">
        <f>IF(F3="1",SUMIF(Data!A:A,'16'!$A$2,Data!DN:DN),0)</f>
        <v>129146</v>
      </c>
      <c r="E55" s="18">
        <f>IF(F3="1",SUMIF(Data!$A:$A,'16'!$A$2,Data!JH:JH),0)</f>
        <v>160502</v>
      </c>
      <c r="F55" s="22">
        <f t="shared" si="3"/>
        <v>1.2427949762284547</v>
      </c>
    </row>
    <row r="56" spans="1:6" ht="14.25" customHeight="1" x14ac:dyDescent="0.2">
      <c r="A56" s="20">
        <v>21</v>
      </c>
      <c r="B56" s="179" t="s">
        <v>801</v>
      </c>
      <c r="C56" s="180"/>
      <c r="D56" s="15">
        <f>IF(F3="1",SUMIF(Data!A:A,'16'!$A$2,Data!DO:DO),0)</f>
        <v>25792</v>
      </c>
      <c r="E56" s="18">
        <f>IF(F3="1",SUMIF(Data!$A:$A,'16'!$A$2,Data!JI:JI),0)</f>
        <v>276662</v>
      </c>
      <c r="F56" s="22">
        <f t="shared" si="3"/>
        <v>10.726659429280398</v>
      </c>
    </row>
    <row r="57" spans="1:6" x14ac:dyDescent="0.2">
      <c r="A57" s="20">
        <v>22</v>
      </c>
      <c r="B57" s="179" t="s">
        <v>19</v>
      </c>
      <c r="C57" s="180"/>
      <c r="D57" s="15">
        <f>IF(F3="1",SUMIF(Data!A:A,'16'!$A$2,Data!DP:DP),0)</f>
        <v>16518</v>
      </c>
      <c r="E57" s="18">
        <f>IF(F3="1",SUMIF(Data!$A:$A,'16'!$A$2,Data!JJ:JJ),0)</f>
        <v>27258</v>
      </c>
      <c r="F57" s="22">
        <f t="shared" si="3"/>
        <v>1.6501997820559389</v>
      </c>
    </row>
    <row r="58" spans="1:6" x14ac:dyDescent="0.2">
      <c r="A58" s="20">
        <v>23</v>
      </c>
      <c r="B58" s="179" t="s">
        <v>20</v>
      </c>
      <c r="C58" s="180"/>
      <c r="D58" s="15">
        <f>IF(F3="1",SUMIF(Data!A:A,'16'!$A$2,Data!DQ:DQ),0)</f>
        <v>33744</v>
      </c>
      <c r="E58" s="18">
        <f>IF(F3="1",SUMIF(Data!$A:$A,'16'!$A$2,Data!JK:JK),0)</f>
        <v>191296</v>
      </c>
      <c r="F58" s="22">
        <f t="shared" si="3"/>
        <v>5.6690374585111432</v>
      </c>
    </row>
    <row r="59" spans="1:6" x14ac:dyDescent="0.2">
      <c r="A59" s="20">
        <v>24</v>
      </c>
      <c r="B59" s="179" t="s">
        <v>21</v>
      </c>
      <c r="C59" s="180"/>
      <c r="D59" s="15">
        <f>IF(F3="1",SUMIF(Data!A:A,'16'!$A$2,Data!DR:DR),0)</f>
        <v>419996</v>
      </c>
      <c r="E59" s="18">
        <f>IF(F3="1",SUMIF(Data!$A:$A,'16'!$A$2,Data!JL:JL),0)</f>
        <v>261586</v>
      </c>
      <c r="F59" s="22">
        <f t="shared" si="3"/>
        <v>0.62282974123563084</v>
      </c>
    </row>
    <row r="60" spans="1:6" x14ac:dyDescent="0.2">
      <c r="A60" s="20">
        <v>25</v>
      </c>
      <c r="B60" s="179" t="s">
        <v>22</v>
      </c>
      <c r="C60" s="180"/>
      <c r="D60" s="15">
        <f>IF(F3="1",SUMIF(Data!A:A,'16'!$A$2,Data!DS:DS),0)</f>
        <v>2485344</v>
      </c>
      <c r="E60" s="18">
        <f>IF(F3="1",SUMIF(Data!$A:$A,'16'!$A$2,Data!JM:JM),0)</f>
        <v>565758</v>
      </c>
      <c r="F60" s="22">
        <f t="shared" si="3"/>
        <v>0.22763770327165977</v>
      </c>
    </row>
    <row r="61" spans="1:6" x14ac:dyDescent="0.2">
      <c r="A61" s="20">
        <v>26</v>
      </c>
      <c r="B61" s="179" t="s">
        <v>23</v>
      </c>
      <c r="C61" s="180"/>
      <c r="D61" s="15">
        <f>IF(F3="1",SUMIF(Data!A:A,'16'!$A$2,Data!DT:DT),0)</f>
        <v>452004</v>
      </c>
      <c r="E61" s="18">
        <f>IF(F3="1",SUMIF(Data!$A:$A,'16'!$A$2,Data!JN:JN),0)</f>
        <v>441888</v>
      </c>
      <c r="F61" s="22">
        <f t="shared" si="3"/>
        <v>0.97761966708259218</v>
      </c>
    </row>
    <row r="62" spans="1:6" x14ac:dyDescent="0.2">
      <c r="A62" s="20">
        <v>28</v>
      </c>
      <c r="B62" s="179" t="s">
        <v>24</v>
      </c>
      <c r="C62" s="180"/>
      <c r="D62" s="15">
        <f>IF(F3="1",SUMIF(Data!A:A,'16'!$A$2,Data!DV:DV),0)</f>
        <v>679728</v>
      </c>
      <c r="E62" s="18">
        <f>IF(F3="1",SUMIF(Data!$A:$A,'16'!$A$2,Data!JP:JP),0)</f>
        <v>208864</v>
      </c>
      <c r="F62" s="22">
        <f t="shared" si="3"/>
        <v>0.30727585151707743</v>
      </c>
    </row>
    <row r="63" spans="1:6" ht="15.75" customHeight="1" thickBot="1" x14ac:dyDescent="0.25">
      <c r="A63" s="23">
        <v>29</v>
      </c>
      <c r="B63" s="181" t="s">
        <v>25</v>
      </c>
      <c r="C63" s="182"/>
      <c r="D63" s="24">
        <f>IF(F3="1",SUMIF(Data!A:A,'16'!$A$2,Data!DW:DW),0)</f>
        <v>1280160</v>
      </c>
      <c r="E63" s="25">
        <f>IF(F3="1",SUMIF(Data!$A:$A,'16'!$A$2,Data!JQ:JQ),0)</f>
        <v>58034</v>
      </c>
      <c r="F63" s="26">
        <f t="shared" si="3"/>
        <v>4.5333395825521809E-2</v>
      </c>
    </row>
    <row r="64" spans="1:6" x14ac:dyDescent="0.2">
      <c r="B64" s="31" t="s">
        <v>35</v>
      </c>
      <c r="C64" s="31"/>
      <c r="D64" s="61">
        <f>SUM(D36:D63)</f>
        <v>12152244</v>
      </c>
      <c r="E64" s="32">
        <f>SUM(E36:E63)</f>
        <v>8416776</v>
      </c>
      <c r="F64" s="33">
        <f t="shared" si="3"/>
        <v>0.69261084619433255</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6192</v>
      </c>
      <c r="E67" s="16">
        <f>IF(F3="1",SUMIF(Data!A:A,'16'!$A$2,Data!DY:DY),0)</f>
        <v>5076</v>
      </c>
      <c r="F67" s="21">
        <f>IFERROR(E67/D67,"")</f>
        <v>0.81976744186046513</v>
      </c>
    </row>
    <row r="68" spans="1:6" x14ac:dyDescent="0.2">
      <c r="A68" s="20">
        <v>2</v>
      </c>
      <c r="B68" s="179" t="s">
        <v>1</v>
      </c>
      <c r="C68" s="180"/>
      <c r="D68" s="15">
        <f t="shared" ref="D68:D94" si="4">D37</f>
        <v>91408</v>
      </c>
      <c r="E68" s="18">
        <f>IF(F3="1",SUMIF(Data!A:A,'16'!$A$2,Data!DZ:DZ),0)</f>
        <v>215412</v>
      </c>
      <c r="F68" s="22">
        <f t="shared" ref="F68:F95" si="5">IFERROR(E68/D68,"")</f>
        <v>2.3565989847715736</v>
      </c>
    </row>
    <row r="69" spans="1:6" ht="14.25" customHeight="1" x14ac:dyDescent="0.2">
      <c r="A69" s="20">
        <v>3</v>
      </c>
      <c r="B69" s="179" t="s">
        <v>2</v>
      </c>
      <c r="C69" s="180"/>
      <c r="D69" s="15">
        <f t="shared" si="4"/>
        <v>1610464</v>
      </c>
      <c r="E69" s="18">
        <f>IF(F3="1",SUMIF(Data!A:A,'16'!$A$2,Data!EA:EA),0)</f>
        <v>3631871</v>
      </c>
      <c r="F69" s="22">
        <f t="shared" si="5"/>
        <v>2.2551705595406046</v>
      </c>
    </row>
    <row r="70" spans="1:6" ht="14.25" customHeight="1" x14ac:dyDescent="0.2">
      <c r="A70" s="20">
        <v>4</v>
      </c>
      <c r="B70" s="179" t="s">
        <v>3</v>
      </c>
      <c r="C70" s="180"/>
      <c r="D70" s="15">
        <f t="shared" si="4"/>
        <v>458477</v>
      </c>
      <c r="E70" s="18">
        <f>IF(F3="1",SUMIF(Data!A:A,'16'!$A$2,Data!EB:EB),0)</f>
        <v>1810595</v>
      </c>
      <c r="F70" s="22">
        <f t="shared" si="5"/>
        <v>3.9491512115111553</v>
      </c>
    </row>
    <row r="71" spans="1:6" x14ac:dyDescent="0.2">
      <c r="A71" s="20">
        <v>5</v>
      </c>
      <c r="B71" s="179" t="s">
        <v>4</v>
      </c>
      <c r="C71" s="180"/>
      <c r="D71" s="15">
        <f t="shared" si="4"/>
        <v>0</v>
      </c>
      <c r="E71" s="18">
        <f>IF(F3="1",SUMIF(Data!A:A,'16'!$A$2,Data!EC:EC),0)</f>
        <v>0</v>
      </c>
      <c r="F71" s="22" t="str">
        <f t="shared" si="5"/>
        <v/>
      </c>
    </row>
    <row r="72" spans="1:6" x14ac:dyDescent="0.2">
      <c r="A72" s="20">
        <v>6</v>
      </c>
      <c r="B72" s="179" t="s">
        <v>5</v>
      </c>
      <c r="C72" s="180"/>
      <c r="D72" s="15">
        <f t="shared" si="4"/>
        <v>197016</v>
      </c>
      <c r="E72" s="18">
        <f>IF(F3="1",SUMIF(Data!A:A,'16'!$A$2,Data!ED:ED),0)</f>
        <v>1254407</v>
      </c>
      <c r="F72" s="22">
        <f t="shared" si="5"/>
        <v>6.3670311040727654</v>
      </c>
    </row>
    <row r="73" spans="1:6" x14ac:dyDescent="0.2">
      <c r="A73" s="20">
        <v>7</v>
      </c>
      <c r="B73" s="179" t="s">
        <v>6</v>
      </c>
      <c r="C73" s="180"/>
      <c r="D73" s="15">
        <f t="shared" si="4"/>
        <v>364596</v>
      </c>
      <c r="E73" s="18">
        <f>IF(F3="1",SUMIF(Data!A:A,'16'!$A$2,Data!EE:EE),0)</f>
        <v>1099023</v>
      </c>
      <c r="F73" s="22">
        <f t="shared" si="5"/>
        <v>3.014358358292466</v>
      </c>
    </row>
    <row r="74" spans="1:6" x14ac:dyDescent="0.2">
      <c r="A74" s="20">
        <v>8</v>
      </c>
      <c r="B74" s="179" t="s">
        <v>7</v>
      </c>
      <c r="C74" s="180"/>
      <c r="D74" s="15">
        <f t="shared" si="4"/>
        <v>59966</v>
      </c>
      <c r="E74" s="18">
        <f>IF(F3="1",SUMIF(Data!A:A,'16'!$A$2,Data!EF:EF),0)</f>
        <v>218210</v>
      </c>
      <c r="F74" s="22">
        <f t="shared" si="5"/>
        <v>3.6388953740452923</v>
      </c>
    </row>
    <row r="75" spans="1:6" x14ac:dyDescent="0.2">
      <c r="A75" s="20">
        <v>9</v>
      </c>
      <c r="B75" s="179" t="s">
        <v>8</v>
      </c>
      <c r="C75" s="180"/>
      <c r="D75" s="15">
        <f t="shared" si="4"/>
        <v>429418</v>
      </c>
      <c r="E75" s="18">
        <f>IF(F3="1",SUMIF(Data!A:A,'16'!$A$2,Data!EG:EG),0)</f>
        <v>1434607</v>
      </c>
      <c r="F75" s="22">
        <f t="shared" si="5"/>
        <v>3.3408171059433931</v>
      </c>
    </row>
    <row r="76" spans="1:6" x14ac:dyDescent="0.2">
      <c r="A76" s="20">
        <v>10</v>
      </c>
      <c r="B76" s="179" t="s">
        <v>9</v>
      </c>
      <c r="C76" s="180"/>
      <c r="D76" s="15">
        <f t="shared" si="4"/>
        <v>31552</v>
      </c>
      <c r="E76" s="18">
        <f>IF(F3="1",SUMIF(Data!A:A,'16'!$A$2,Data!EH:EH),0)</f>
        <v>132232</v>
      </c>
      <c r="F76" s="22">
        <f t="shared" si="5"/>
        <v>4.1909229208924952</v>
      </c>
    </row>
    <row r="77" spans="1:6" x14ac:dyDescent="0.2">
      <c r="A77" s="20">
        <v>11</v>
      </c>
      <c r="B77" s="179" t="s">
        <v>10</v>
      </c>
      <c r="C77" s="180"/>
      <c r="D77" s="15">
        <f t="shared" si="4"/>
        <v>186692</v>
      </c>
      <c r="E77" s="18">
        <f>IF(F3="1",SUMIF(Data!A:A,'16'!$A$2,Data!EI:EI),0)</f>
        <v>498891</v>
      </c>
      <c r="F77" s="22">
        <f t="shared" si="5"/>
        <v>2.6722676922417672</v>
      </c>
    </row>
    <row r="78" spans="1:6" ht="14.25" customHeight="1" x14ac:dyDescent="0.2">
      <c r="A78" s="20">
        <v>12</v>
      </c>
      <c r="B78" s="179" t="s">
        <v>11</v>
      </c>
      <c r="C78" s="180"/>
      <c r="D78" s="15">
        <f t="shared" si="4"/>
        <v>1436070</v>
      </c>
      <c r="E78" s="18">
        <f>IF(F3="1",SUMIF(Data!A:A,'16'!$A$2,Data!EJ:EJ),0)</f>
        <v>7655459</v>
      </c>
      <c r="F78" s="22">
        <f t="shared" si="5"/>
        <v>5.33083972229766</v>
      </c>
    </row>
    <row r="79" spans="1:6" x14ac:dyDescent="0.2">
      <c r="A79" s="20">
        <v>13</v>
      </c>
      <c r="B79" s="179" t="s">
        <v>12</v>
      </c>
      <c r="C79" s="180"/>
      <c r="D79" s="15">
        <f t="shared" si="4"/>
        <v>224408</v>
      </c>
      <c r="E79" s="18">
        <f>IF(F3="1",SUMIF(Data!A:A,'16'!$A$2,Data!EK:EK),0)</f>
        <v>769703</v>
      </c>
      <c r="F79" s="22">
        <f t="shared" si="5"/>
        <v>3.4299267405796585</v>
      </c>
    </row>
    <row r="80" spans="1:6" ht="14.25" customHeight="1" x14ac:dyDescent="0.2">
      <c r="A80" s="20">
        <v>14</v>
      </c>
      <c r="B80" s="179" t="s">
        <v>804</v>
      </c>
      <c r="C80" s="180"/>
      <c r="D80" s="15">
        <f t="shared" si="4"/>
        <v>314308</v>
      </c>
      <c r="E80" s="18">
        <f>IF(F3="1",SUMIF(Data!A:A,'16'!$A$2,Data!EL:EL),0)</f>
        <v>2481793</v>
      </c>
      <c r="F80" s="22">
        <f t="shared" si="5"/>
        <v>7.8960541888847882</v>
      </c>
    </row>
    <row r="81" spans="1:6" x14ac:dyDescent="0.2">
      <c r="A81" s="20">
        <v>15</v>
      </c>
      <c r="B81" s="179" t="s">
        <v>13</v>
      </c>
      <c r="C81" s="180"/>
      <c r="D81" s="15">
        <f t="shared" si="4"/>
        <v>23810</v>
      </c>
      <c r="E81" s="18">
        <f>IF(F3="1",SUMIF(Data!A:A,'16'!$A$2,Data!EM:EM),0)</f>
        <v>459051</v>
      </c>
      <c r="F81" s="22">
        <f t="shared" si="5"/>
        <v>19.279756404871904</v>
      </c>
    </row>
    <row r="82" spans="1:6" x14ac:dyDescent="0.2">
      <c r="A82" s="20">
        <v>16</v>
      </c>
      <c r="B82" s="179" t="s">
        <v>14</v>
      </c>
      <c r="C82" s="180"/>
      <c r="D82" s="15">
        <f t="shared" si="4"/>
        <v>405371</v>
      </c>
      <c r="E82" s="18">
        <f>IF(F3="1",SUMIF(Data!A:A,'16'!$A$2,Data!EN:EN),0)</f>
        <v>2306392</v>
      </c>
      <c r="F82" s="22">
        <f t="shared" si="5"/>
        <v>5.6895831226210065</v>
      </c>
    </row>
    <row r="83" spans="1:6" x14ac:dyDescent="0.2">
      <c r="A83" s="20">
        <v>17</v>
      </c>
      <c r="B83" s="179" t="s">
        <v>15</v>
      </c>
      <c r="C83" s="180"/>
      <c r="D83" s="15">
        <f t="shared" si="4"/>
        <v>24016</v>
      </c>
      <c r="E83" s="18">
        <f>IF(F3="1",SUMIF(Data!A:A,'16'!$A$2,Data!EO:EO),0)</f>
        <v>309034</v>
      </c>
      <c r="F83" s="22">
        <f t="shared" si="5"/>
        <v>12.867838107928048</v>
      </c>
    </row>
    <row r="84" spans="1:6" x14ac:dyDescent="0.2">
      <c r="A84" s="20">
        <v>18</v>
      </c>
      <c r="B84" s="179" t="s">
        <v>16</v>
      </c>
      <c r="C84" s="180"/>
      <c r="D84" s="15">
        <f t="shared" si="4"/>
        <v>69120</v>
      </c>
      <c r="E84" s="18">
        <f>IF(F3="1",SUMIF(Data!A:A,'16'!$A$2,Data!EP:EP),0)</f>
        <v>463411</v>
      </c>
      <c r="F84" s="22">
        <f t="shared" si="5"/>
        <v>6.7044415509259263</v>
      </c>
    </row>
    <row r="85" spans="1:6" x14ac:dyDescent="0.2">
      <c r="A85" s="20">
        <v>19</v>
      </c>
      <c r="B85" s="179" t="s">
        <v>17</v>
      </c>
      <c r="C85" s="180"/>
      <c r="D85" s="15">
        <f t="shared" si="4"/>
        <v>696928</v>
      </c>
      <c r="E85" s="18">
        <f>IF(F3="1",SUMIF(Data!A:A,'16'!$A$2,Data!EQ:EQ),0)</f>
        <v>1760894</v>
      </c>
      <c r="F85" s="22">
        <f t="shared" si="5"/>
        <v>2.5266512466137105</v>
      </c>
    </row>
    <row r="86" spans="1:6" x14ac:dyDescent="0.2">
      <c r="A86" s="20">
        <v>20</v>
      </c>
      <c r="B86" s="179" t="s">
        <v>18</v>
      </c>
      <c r="C86" s="180"/>
      <c r="D86" s="15">
        <f t="shared" si="4"/>
        <v>129146</v>
      </c>
      <c r="E86" s="18">
        <f>IF(F3="1",SUMIF(Data!A:A,'16'!$A$2,Data!ER:ER),0)</f>
        <v>386516</v>
      </c>
      <c r="F86" s="22">
        <f t="shared" si="5"/>
        <v>2.9928607932107849</v>
      </c>
    </row>
    <row r="87" spans="1:6" ht="14.25" customHeight="1" x14ac:dyDescent="0.2">
      <c r="A87" s="20">
        <v>21</v>
      </c>
      <c r="B87" s="179" t="s">
        <v>801</v>
      </c>
      <c r="C87" s="180"/>
      <c r="D87" s="15">
        <f t="shared" si="4"/>
        <v>25792</v>
      </c>
      <c r="E87" s="18">
        <f>IF(F3="1",SUMIF(Data!A:A,'16'!$A$2,Data!ES:ES),0)</f>
        <v>120501</v>
      </c>
      <c r="F87" s="22">
        <f t="shared" si="5"/>
        <v>4.6720300868486353</v>
      </c>
    </row>
    <row r="88" spans="1:6" x14ac:dyDescent="0.2">
      <c r="A88" s="20">
        <v>22</v>
      </c>
      <c r="B88" s="179" t="s">
        <v>19</v>
      </c>
      <c r="C88" s="180"/>
      <c r="D88" s="15">
        <f t="shared" si="4"/>
        <v>16518</v>
      </c>
      <c r="E88" s="18">
        <f>IF(F3="1",SUMIF(Data!A:A,'16'!$A$2,Data!ET:ET),0)</f>
        <v>91262</v>
      </c>
      <c r="F88" s="22">
        <f t="shared" si="5"/>
        <v>5.5250030270008477</v>
      </c>
    </row>
    <row r="89" spans="1:6" x14ac:dyDescent="0.2">
      <c r="A89" s="20">
        <v>23</v>
      </c>
      <c r="B89" s="179" t="s">
        <v>20</v>
      </c>
      <c r="C89" s="180"/>
      <c r="D89" s="15">
        <f t="shared" si="4"/>
        <v>33744</v>
      </c>
      <c r="E89" s="18">
        <f>IF(F3="1",SUMIF(Data!A:A,'16'!$A$2,Data!EU:EU),0)</f>
        <v>254948</v>
      </c>
      <c r="F89" s="22">
        <f t="shared" si="5"/>
        <v>7.5553579895685159</v>
      </c>
    </row>
    <row r="90" spans="1:6" x14ac:dyDescent="0.2">
      <c r="A90" s="20">
        <v>24</v>
      </c>
      <c r="B90" s="179" t="s">
        <v>21</v>
      </c>
      <c r="C90" s="180"/>
      <c r="D90" s="15">
        <f t="shared" si="4"/>
        <v>419996</v>
      </c>
      <c r="E90" s="18">
        <f>IF(F3="1",SUMIF(Data!A:A,'16'!$A$2,Data!EV:EV),0)</f>
        <v>1308815</v>
      </c>
      <c r="F90" s="22">
        <f t="shared" si="5"/>
        <v>3.1162558691035152</v>
      </c>
    </row>
    <row r="91" spans="1:6" x14ac:dyDescent="0.2">
      <c r="A91" s="20">
        <v>25</v>
      </c>
      <c r="B91" s="179" t="s">
        <v>22</v>
      </c>
      <c r="C91" s="180"/>
      <c r="D91" s="15">
        <f t="shared" si="4"/>
        <v>2485344</v>
      </c>
      <c r="E91" s="18">
        <f>IF(F3="1",SUMIF(Data!A:A,'16'!$A$2,Data!EW:EW),0)</f>
        <v>5536482</v>
      </c>
      <c r="F91" s="22">
        <f t="shared" si="5"/>
        <v>2.2276521881880336</v>
      </c>
    </row>
    <row r="92" spans="1:6" x14ac:dyDescent="0.2">
      <c r="A92" s="20">
        <v>26</v>
      </c>
      <c r="B92" s="179" t="s">
        <v>23</v>
      </c>
      <c r="C92" s="180"/>
      <c r="D92" s="15">
        <f t="shared" si="4"/>
        <v>452004</v>
      </c>
      <c r="E92" s="18">
        <f>IF(F3="1",SUMIF(Data!A:A,'16'!$A$2,Data!EX:EX),0)</f>
        <v>1650773</v>
      </c>
      <c r="F92" s="22">
        <f t="shared" si="5"/>
        <v>3.6521203352182723</v>
      </c>
    </row>
    <row r="93" spans="1:6" x14ac:dyDescent="0.2">
      <c r="A93" s="20">
        <v>28</v>
      </c>
      <c r="B93" s="179" t="s">
        <v>24</v>
      </c>
      <c r="C93" s="180"/>
      <c r="D93" s="15">
        <f t="shared" si="4"/>
        <v>679728</v>
      </c>
      <c r="E93" s="18">
        <f>IF(F3="1",SUMIF(Data!A:A,'16'!$A$2,Data!EZ:EZ),0)</f>
        <v>1475970</v>
      </c>
      <c r="F93" s="22">
        <f t="shared" si="5"/>
        <v>2.1714126827201468</v>
      </c>
    </row>
    <row r="94" spans="1:6" ht="15.75" customHeight="1" thickBot="1" x14ac:dyDescent="0.25">
      <c r="A94" s="23">
        <v>29</v>
      </c>
      <c r="B94" s="181" t="s">
        <v>25</v>
      </c>
      <c r="C94" s="182"/>
      <c r="D94" s="24">
        <f t="shared" si="4"/>
        <v>1280160</v>
      </c>
      <c r="E94" s="25">
        <f>IF(F3="1",SUMIF(Data!A:A,'16'!$A$2,Data!FA:FA),0)</f>
        <v>437608</v>
      </c>
      <c r="F94" s="26">
        <f t="shared" si="5"/>
        <v>0.3418385201849769</v>
      </c>
    </row>
    <row r="95" spans="1:6" x14ac:dyDescent="0.2">
      <c r="B95" s="31" t="s">
        <v>35</v>
      </c>
      <c r="C95" s="31"/>
      <c r="D95" s="61">
        <f>SUM(D67:D94)</f>
        <v>12152244</v>
      </c>
      <c r="E95" s="32">
        <f>SUM(E67:E94)</f>
        <v>37768936</v>
      </c>
      <c r="F95" s="33">
        <f t="shared" si="5"/>
        <v>3.1079803861739443</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IF(F3="1",SUMIF(Data!A:A,'16'!$A$2,Data!AH:AH),0)</f>
        <v>17649572</v>
      </c>
      <c r="F98" s="21">
        <f t="shared" ref="F98:F105" si="6">IFERROR(E98/$D$95,0)</f>
        <v>1.452371430330069</v>
      </c>
    </row>
    <row r="99" spans="2:6" x14ac:dyDescent="0.2">
      <c r="B99" s="185" t="s">
        <v>31</v>
      </c>
      <c r="C99" s="186"/>
      <c r="D99" s="37"/>
      <c r="E99" s="18">
        <f>IF(F3="1",SUMIF(Data!A:A,'16'!$A$2,Data!AI:AI),0)</f>
        <v>7806596</v>
      </c>
      <c r="F99" s="22">
        <f t="shared" si="6"/>
        <v>0.64239954365629914</v>
      </c>
    </row>
    <row r="100" spans="2:6" x14ac:dyDescent="0.2">
      <c r="B100" s="185" t="s">
        <v>32</v>
      </c>
      <c r="C100" s="186"/>
      <c r="D100" s="37"/>
      <c r="E100" s="18">
        <f>IF(F3="1",SUMIF(Data!A:A,'16'!$A$2,Data!AJ:AJ),0)</f>
        <v>14210940</v>
      </c>
      <c r="F100" s="22">
        <f t="shared" si="6"/>
        <v>1.1694087116749796</v>
      </c>
    </row>
    <row r="101" spans="2:6" x14ac:dyDescent="0.2">
      <c r="B101" s="185" t="s">
        <v>28</v>
      </c>
      <c r="C101" s="186"/>
      <c r="D101" s="37"/>
      <c r="E101" s="18">
        <f>IF(F3="1",SUMIF(Data!A:A,'16'!$A$2,Data!AK:AK),0)</f>
        <v>44261</v>
      </c>
      <c r="F101" s="22">
        <f t="shared" si="6"/>
        <v>3.6422079740992693E-3</v>
      </c>
    </row>
    <row r="102" spans="2:6" x14ac:dyDescent="0.2">
      <c r="B102" s="185" t="s">
        <v>33</v>
      </c>
      <c r="C102" s="186"/>
      <c r="D102" s="37"/>
      <c r="E102" s="18">
        <f>IF(F3="1",SUMIF(Data!A:A,'16'!$A$2,Data!AL:AL),0)</f>
        <v>1899985</v>
      </c>
      <c r="F102" s="22">
        <f t="shared" si="6"/>
        <v>0.15634849004019341</v>
      </c>
    </row>
    <row r="103" spans="2:6" x14ac:dyDescent="0.2">
      <c r="B103" s="187" t="s">
        <v>34</v>
      </c>
      <c r="C103" s="188"/>
      <c r="D103" s="37"/>
      <c r="E103" s="18">
        <f>IF(F3="1",SUMIF(Data!A:A,'16'!$A$2,Data!AM:AM),0)</f>
        <v>798208</v>
      </c>
      <c r="F103" s="22">
        <f t="shared" si="6"/>
        <v>6.5684000420004732E-2</v>
      </c>
    </row>
    <row r="104" spans="2:6" ht="15.75" customHeight="1" thickBot="1" x14ac:dyDescent="0.25">
      <c r="B104" s="177" t="s">
        <v>29</v>
      </c>
      <c r="C104" s="178"/>
      <c r="D104" s="38"/>
      <c r="E104" s="25">
        <f>IF(F3="1",SUMIF(Data!A:A,'16'!$A$2,Data!Q:Q),0)</f>
        <v>2358877</v>
      </c>
      <c r="F104" s="26">
        <f t="shared" si="6"/>
        <v>0.19411040462979512</v>
      </c>
    </row>
    <row r="105" spans="2:6" x14ac:dyDescent="0.2">
      <c r="B105" s="31" t="s">
        <v>35</v>
      </c>
      <c r="C105" s="31"/>
      <c r="D105" s="35">
        <f>D95</f>
        <v>12152244</v>
      </c>
      <c r="E105" s="32">
        <f>SUM(E98:E104)</f>
        <v>44768439</v>
      </c>
      <c r="F105" s="33">
        <f t="shared" si="6"/>
        <v>3.6839647887254405</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40515911</v>
      </c>
      <c r="D109" s="16">
        <f>IF(F3="1",SUMIF(Data!$A:$A,$A$2,Data!HJ:HJ),0)</f>
        <v>3060452</v>
      </c>
      <c r="E109" s="16">
        <f>IF(F3="1",SUMIF(Data!$A:$A,$A$2,Data!IN:IN),0)</f>
        <v>2642757</v>
      </c>
      <c r="F109" s="48">
        <f>SUM(C109:E109)</f>
        <v>46219120</v>
      </c>
    </row>
    <row r="110" spans="2:6" x14ac:dyDescent="0.2">
      <c r="B110" s="43" t="s">
        <v>28</v>
      </c>
      <c r="C110" s="51">
        <f>IF(F3="1",SUMIF(Data!A:A,$A$2,Data!W:W),0)</f>
        <v>32242</v>
      </c>
      <c r="D110" s="52"/>
      <c r="E110" s="51">
        <f>IF(F3="1",SUMIF(Data!A:A,$A$2,Data!W:W),0)</f>
        <v>32242</v>
      </c>
      <c r="F110" s="49">
        <f t="shared" ref="F110:F116" si="7">SUM(C110:E110)</f>
        <v>64484</v>
      </c>
    </row>
    <row r="111" spans="2:6" x14ac:dyDescent="0.2">
      <c r="B111" s="43" t="s">
        <v>1277</v>
      </c>
      <c r="C111" s="51">
        <f>IF(F3="1",SUMIF(Data!A:A,$A$2,Data!AS:AS),0)</f>
        <v>3128879</v>
      </c>
      <c r="D111" s="52"/>
      <c r="E111" s="51">
        <f>IF(F3="1",SUMIF(Data!A:A,$A$2,Data!AX:AX),0)</f>
        <v>1458898</v>
      </c>
      <c r="F111" s="49">
        <f t="shared" si="7"/>
        <v>4587777</v>
      </c>
    </row>
    <row r="112" spans="2:6" x14ac:dyDescent="0.2">
      <c r="B112" s="43" t="s">
        <v>32</v>
      </c>
      <c r="C112" s="51">
        <f>IF(F3="1",SUMIF(Data!A:A,$A$2,Data!V:V),0)</f>
        <v>12094650</v>
      </c>
      <c r="D112" s="52"/>
      <c r="E112" s="51">
        <f>IF(F3="1",SUMIF(Data!A:A,$A$2,Data!AC:AC),0)</f>
        <v>2116290</v>
      </c>
      <c r="F112" s="49">
        <f t="shared" si="7"/>
        <v>14210940</v>
      </c>
    </row>
    <row r="113" spans="1:6" x14ac:dyDescent="0.2">
      <c r="B113" s="43" t="s">
        <v>31</v>
      </c>
      <c r="C113" s="51">
        <f>IF(F3="1",SUMIF(Data!A:A,$A$2,Data!U:U),0)</f>
        <v>7101886</v>
      </c>
      <c r="D113" s="52"/>
      <c r="E113" s="51">
        <f>IF(F3="1",SUMIF(Data!A:A,$A$2,Data!AB:AB),0)</f>
        <v>704710</v>
      </c>
      <c r="F113" s="49">
        <f t="shared" si="7"/>
        <v>7806596</v>
      </c>
    </row>
    <row r="114" spans="1:6" x14ac:dyDescent="0.2">
      <c r="B114" s="43" t="s">
        <v>1363</v>
      </c>
      <c r="C114" s="51">
        <f>IF(F3="1",SUMIF(Data!A:A,$A$2,Data!T:T),0)</f>
        <v>11997478</v>
      </c>
      <c r="D114" s="52"/>
      <c r="E114" s="51">
        <f>IF(F3="1",SUMIF(Data!A:A,$A$2,Data!AA:AA),0)</f>
        <v>5652094</v>
      </c>
      <c r="F114" s="49">
        <f t="shared" si="7"/>
        <v>17649572</v>
      </c>
    </row>
    <row r="115" spans="1:6" x14ac:dyDescent="0.2">
      <c r="B115" s="43" t="s">
        <v>1278</v>
      </c>
      <c r="C115" s="51">
        <f>IF(F3="1",SUMIF(Data!A:A,$A$2,Data!BI:BI),0)</f>
        <v>2237612</v>
      </c>
      <c r="D115" s="51">
        <f>IF(F3="1",SUMIF(Data!A:A,$A$2,Data!BL:BL),0)</f>
        <v>463213</v>
      </c>
      <c r="E115" s="51">
        <f>IF(F3="1",SUMIF(Data!A:A,$A$2,Data!BU:BU),0)</f>
        <v>9442201</v>
      </c>
      <c r="F115" s="49">
        <f t="shared" si="7"/>
        <v>12143026</v>
      </c>
    </row>
    <row r="116" spans="1:6" x14ac:dyDescent="0.2">
      <c r="B116" s="43" t="s">
        <v>33</v>
      </c>
      <c r="C116" s="51">
        <f>IF(F3="1",SUMIF(Data!A:A,$A$2,Data!X:X),0)</f>
        <v>0</v>
      </c>
      <c r="D116" s="51"/>
      <c r="E116" s="51">
        <f>E102</f>
        <v>1899985</v>
      </c>
      <c r="F116" s="49">
        <f t="shared" si="7"/>
        <v>1899985</v>
      </c>
    </row>
    <row r="117" spans="1:6" ht="15" thickBot="1" x14ac:dyDescent="0.25">
      <c r="B117" s="44" t="s">
        <v>1282</v>
      </c>
      <c r="C117" s="53"/>
      <c r="D117" s="53">
        <f>IF(F3="1",SUMIF(Data!A:A,$A$2,Data!Q:Q),0)</f>
        <v>2358877</v>
      </c>
      <c r="E117" s="53"/>
      <c r="F117" s="50">
        <f>SUM(C117:E117)</f>
        <v>2358877</v>
      </c>
    </row>
    <row r="118" spans="1:6" x14ac:dyDescent="0.2">
      <c r="B118" s="14" t="s">
        <v>35</v>
      </c>
      <c r="C118" s="5">
        <f>SUM(C109:C116)</f>
        <v>77108658</v>
      </c>
      <c r="D118" s="5">
        <f>SUM(D109:D116)</f>
        <v>3523665</v>
      </c>
      <c r="E118" s="5">
        <f>SUM(E109:E116)</f>
        <v>23949177</v>
      </c>
      <c r="F118" s="5">
        <f>SUM(F109:F116)</f>
        <v>104581500</v>
      </c>
    </row>
    <row r="119" spans="1:6" ht="15" thickBot="1" x14ac:dyDescent="0.25"/>
    <row r="120" spans="1:6" ht="15" thickBot="1" x14ac:dyDescent="0.25">
      <c r="B120" s="57" t="s">
        <v>1283</v>
      </c>
      <c r="C120" s="55"/>
      <c r="D120" s="55"/>
      <c r="E120" s="55">
        <f>IF(F3="1",SUMIF(Data!A:A,'16'!$A$2,Data!AM:AM),0)</f>
        <v>798208</v>
      </c>
      <c r="F120" s="56">
        <f>SUM(C120:E120)</f>
        <v>798208</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415</v>
      </c>
      <c r="B2" s="60" t="str">
        <f>VLOOKUP(A2,Data!A:G,7,0)</f>
        <v>Frank Phillips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13592</v>
      </c>
      <c r="E5" s="16">
        <f>E36+E67+IFERROR($E$105/$D$105*D5,0)</f>
        <v>332414.86871317244</v>
      </c>
      <c r="F5" s="21">
        <f>IFERROR(E5/D5,"")</f>
        <v>24.456656026572428</v>
      </c>
    </row>
    <row r="6" spans="1:6" x14ac:dyDescent="0.2">
      <c r="A6" s="20">
        <v>2</v>
      </c>
      <c r="B6" s="179" t="s">
        <v>1</v>
      </c>
      <c r="C6" s="180"/>
      <c r="D6" s="15">
        <f t="shared" ref="D6:D32" si="0">D37</f>
        <v>84648</v>
      </c>
      <c r="E6" s="18">
        <f t="shared" ref="E6:E32" si="1">E37+E68+IFERROR($E$105/$D$105*D6,0)</f>
        <v>551223.05818368308</v>
      </c>
      <c r="F6" s="22">
        <f t="shared" ref="F6:F33" si="2">IFERROR(E6/D6,"")</f>
        <v>6.5119442654721089</v>
      </c>
    </row>
    <row r="7" spans="1:6" ht="14.25" customHeight="1" x14ac:dyDescent="0.2">
      <c r="A7" s="20">
        <v>3</v>
      </c>
      <c r="B7" s="179" t="s">
        <v>2</v>
      </c>
      <c r="C7" s="180"/>
      <c r="D7" s="15">
        <f t="shared" si="0"/>
        <v>47424</v>
      </c>
      <c r="E7" s="18">
        <f t="shared" si="1"/>
        <v>501590.096958026</v>
      </c>
      <c r="F7" s="22">
        <f t="shared" si="2"/>
        <v>10.576714257718159</v>
      </c>
    </row>
    <row r="8" spans="1:6" ht="14.25" customHeight="1" x14ac:dyDescent="0.2">
      <c r="A8" s="20">
        <v>4</v>
      </c>
      <c r="B8" s="179" t="s">
        <v>3</v>
      </c>
      <c r="C8" s="180"/>
      <c r="D8" s="15">
        <f t="shared" si="0"/>
        <v>24213</v>
      </c>
      <c r="E8" s="18">
        <f t="shared" si="1"/>
        <v>237477.97896939699</v>
      </c>
      <c r="F8" s="22">
        <f t="shared" si="2"/>
        <v>9.8078709358359966</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112</v>
      </c>
      <c r="E10" s="18">
        <f t="shared" si="1"/>
        <v>38030.038353139738</v>
      </c>
      <c r="F10" s="22">
        <f t="shared" si="2"/>
        <v>339.55391386731907</v>
      </c>
    </row>
    <row r="11" spans="1:6" x14ac:dyDescent="0.2">
      <c r="A11" s="20">
        <v>7</v>
      </c>
      <c r="B11" s="179" t="s">
        <v>6</v>
      </c>
      <c r="C11" s="180"/>
      <c r="D11" s="15">
        <f t="shared" si="0"/>
        <v>4253</v>
      </c>
      <c r="E11" s="18">
        <f t="shared" si="1"/>
        <v>184037.21532056521</v>
      </c>
      <c r="F11" s="22">
        <f t="shared" si="2"/>
        <v>43.272329019648531</v>
      </c>
    </row>
    <row r="12" spans="1:6" x14ac:dyDescent="0.2">
      <c r="A12" s="20">
        <v>8</v>
      </c>
      <c r="B12" s="179" t="s">
        <v>7</v>
      </c>
      <c r="C12" s="180"/>
      <c r="D12" s="15">
        <f t="shared" si="0"/>
        <v>2776</v>
      </c>
      <c r="E12" s="18">
        <f t="shared" si="1"/>
        <v>138044.02203853492</v>
      </c>
      <c r="F12" s="22">
        <f t="shared" si="2"/>
        <v>49.727673645005375</v>
      </c>
    </row>
    <row r="13" spans="1:6" x14ac:dyDescent="0.2">
      <c r="A13" s="20">
        <v>9</v>
      </c>
      <c r="B13" s="179" t="s">
        <v>8</v>
      </c>
      <c r="C13" s="180"/>
      <c r="D13" s="15">
        <f t="shared" si="0"/>
        <v>74928</v>
      </c>
      <c r="E13" s="18">
        <f t="shared" si="1"/>
        <v>513609.65825048438</v>
      </c>
      <c r="F13" s="22">
        <f t="shared" si="2"/>
        <v>6.85470929759882</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55025</v>
      </c>
      <c r="E15" s="18">
        <f t="shared" si="1"/>
        <v>411058.49447780405</v>
      </c>
      <c r="F15" s="22">
        <f t="shared" si="2"/>
        <v>7.4703951745171118</v>
      </c>
    </row>
    <row r="16" spans="1:6" ht="14.25" customHeight="1" x14ac:dyDescent="0.2">
      <c r="A16" s="20">
        <v>12</v>
      </c>
      <c r="B16" s="179" t="s">
        <v>11</v>
      </c>
      <c r="C16" s="180"/>
      <c r="D16" s="15">
        <f t="shared" si="0"/>
        <v>55856</v>
      </c>
      <c r="E16" s="18">
        <f t="shared" si="1"/>
        <v>568110.55583011766</v>
      </c>
      <c r="F16" s="22">
        <f t="shared" si="2"/>
        <v>10.17098531635129</v>
      </c>
    </row>
    <row r="17" spans="1:6" x14ac:dyDescent="0.2">
      <c r="A17" s="20">
        <v>13</v>
      </c>
      <c r="B17" s="179" t="s">
        <v>12</v>
      </c>
      <c r="C17" s="180"/>
      <c r="D17" s="15">
        <f t="shared" si="0"/>
        <v>12126</v>
      </c>
      <c r="E17" s="18">
        <f t="shared" si="1"/>
        <v>103518.5631265398</v>
      </c>
      <c r="F17" s="22">
        <f t="shared" si="2"/>
        <v>8.5369093787349328</v>
      </c>
    </row>
    <row r="18" spans="1:6" ht="14.25" customHeight="1" x14ac:dyDescent="0.2">
      <c r="A18" s="20">
        <v>14</v>
      </c>
      <c r="B18" s="179" t="s">
        <v>804</v>
      </c>
      <c r="C18" s="180"/>
      <c r="D18" s="15">
        <f t="shared" si="0"/>
        <v>880</v>
      </c>
      <c r="E18" s="18">
        <f t="shared" si="1"/>
        <v>34953.015631812224</v>
      </c>
      <c r="F18" s="22">
        <f t="shared" si="2"/>
        <v>39.719335945241163</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15771</v>
      </c>
      <c r="E20" s="18">
        <f t="shared" si="1"/>
        <v>118426.71310148929</v>
      </c>
      <c r="F20" s="22">
        <f t="shared" si="2"/>
        <v>7.5091441951359643</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38872</v>
      </c>
      <c r="E22" s="18">
        <f t="shared" si="1"/>
        <v>451300.95413614175</v>
      </c>
      <c r="F22" s="22">
        <f t="shared" si="2"/>
        <v>11.609923701794138</v>
      </c>
    </row>
    <row r="23" spans="1:6" x14ac:dyDescent="0.2">
      <c r="A23" s="20">
        <v>19</v>
      </c>
      <c r="B23" s="179" t="s">
        <v>17</v>
      </c>
      <c r="C23" s="180"/>
      <c r="D23" s="15">
        <f t="shared" si="0"/>
        <v>39208</v>
      </c>
      <c r="E23" s="18">
        <f t="shared" si="1"/>
        <v>265742.06919556099</v>
      </c>
      <c r="F23" s="22">
        <f t="shared" si="2"/>
        <v>6.777751203722735</v>
      </c>
    </row>
    <row r="24" spans="1:6" x14ac:dyDescent="0.2">
      <c r="A24" s="20">
        <v>20</v>
      </c>
      <c r="B24" s="179" t="s">
        <v>18</v>
      </c>
      <c r="C24" s="180"/>
      <c r="D24" s="15">
        <f t="shared" si="0"/>
        <v>0</v>
      </c>
      <c r="E24" s="18">
        <f t="shared" si="1"/>
        <v>0</v>
      </c>
      <c r="F24" s="22" t="str">
        <f t="shared" si="2"/>
        <v/>
      </c>
    </row>
    <row r="25" spans="1:6" ht="14.25" customHeight="1" x14ac:dyDescent="0.2">
      <c r="A25" s="20">
        <v>21</v>
      </c>
      <c r="B25" s="179" t="s">
        <v>801</v>
      </c>
      <c r="C25" s="180"/>
      <c r="D25" s="15">
        <f t="shared" si="0"/>
        <v>1682</v>
      </c>
      <c r="E25" s="18">
        <f t="shared" si="1"/>
        <v>33730.736696259271</v>
      </c>
      <c r="F25" s="22">
        <f t="shared" si="2"/>
        <v>20.053945717157713</v>
      </c>
    </row>
    <row r="26" spans="1:6" x14ac:dyDescent="0.2">
      <c r="A26" s="20">
        <v>22</v>
      </c>
      <c r="B26" s="179" t="s">
        <v>19</v>
      </c>
      <c r="C26" s="180"/>
      <c r="D26" s="15">
        <f t="shared" si="0"/>
        <v>0</v>
      </c>
      <c r="E26" s="18">
        <f t="shared" si="1"/>
        <v>0</v>
      </c>
      <c r="F26" s="22" t="str">
        <f t="shared" si="2"/>
        <v/>
      </c>
    </row>
    <row r="27" spans="1:6" x14ac:dyDescent="0.2">
      <c r="A27" s="20">
        <v>23</v>
      </c>
      <c r="B27" s="179" t="s">
        <v>20</v>
      </c>
      <c r="C27" s="180"/>
      <c r="D27" s="15">
        <f t="shared" si="0"/>
        <v>17902</v>
      </c>
      <c r="E27" s="18">
        <f t="shared" si="1"/>
        <v>335294.68390988908</v>
      </c>
      <c r="F27" s="22">
        <f t="shared" si="2"/>
        <v>18.729453910730033</v>
      </c>
    </row>
    <row r="28" spans="1:6" x14ac:dyDescent="0.2">
      <c r="A28" s="20">
        <v>24</v>
      </c>
      <c r="B28" s="179" t="s">
        <v>21</v>
      </c>
      <c r="C28" s="180"/>
      <c r="D28" s="15">
        <f t="shared" si="0"/>
        <v>8629</v>
      </c>
      <c r="E28" s="18">
        <f t="shared" si="1"/>
        <v>67332.356689667809</v>
      </c>
      <c r="F28" s="22">
        <f t="shared" si="2"/>
        <v>7.8030312538727324</v>
      </c>
    </row>
    <row r="29" spans="1:6" x14ac:dyDescent="0.2">
      <c r="A29" s="20">
        <v>25</v>
      </c>
      <c r="B29" s="179" t="s">
        <v>22</v>
      </c>
      <c r="C29" s="180"/>
      <c r="D29" s="15">
        <f t="shared" si="0"/>
        <v>87600</v>
      </c>
      <c r="E29" s="18">
        <f t="shared" si="1"/>
        <v>538776.28334858036</v>
      </c>
      <c r="F29" s="22">
        <f t="shared" si="2"/>
        <v>6.1504141934769443</v>
      </c>
    </row>
    <row r="30" spans="1:6" x14ac:dyDescent="0.2">
      <c r="A30" s="20">
        <v>26</v>
      </c>
      <c r="B30" s="179" t="s">
        <v>23</v>
      </c>
      <c r="C30" s="180"/>
      <c r="D30" s="15">
        <f t="shared" si="0"/>
        <v>13376</v>
      </c>
      <c r="E30" s="18">
        <f t="shared" si="1"/>
        <v>113949.43760354578</v>
      </c>
      <c r="F30" s="22">
        <f t="shared" si="2"/>
        <v>8.5189471892603006</v>
      </c>
    </row>
    <row r="31" spans="1:6" x14ac:dyDescent="0.2">
      <c r="A31" s="20">
        <v>28</v>
      </c>
      <c r="B31" s="179" t="s">
        <v>24</v>
      </c>
      <c r="C31" s="180"/>
      <c r="D31" s="15">
        <f t="shared" si="0"/>
        <v>30640</v>
      </c>
      <c r="E31" s="18">
        <f t="shared" si="1"/>
        <v>208689.63518037106</v>
      </c>
      <c r="F31" s="22">
        <f t="shared" si="2"/>
        <v>6.8110194249468359</v>
      </c>
    </row>
    <row r="32" spans="1:6" ht="15.75" customHeight="1" thickBot="1" x14ac:dyDescent="0.25">
      <c r="A32" s="23">
        <v>29</v>
      </c>
      <c r="B32" s="181" t="s">
        <v>25</v>
      </c>
      <c r="C32" s="182"/>
      <c r="D32" s="24">
        <f t="shared" si="0"/>
        <v>47120</v>
      </c>
      <c r="E32" s="25">
        <f t="shared" si="1"/>
        <v>283379.56428521813</v>
      </c>
      <c r="F32" s="26">
        <f t="shared" si="2"/>
        <v>6.013997544253356</v>
      </c>
    </row>
    <row r="33" spans="1:6" x14ac:dyDescent="0.2">
      <c r="B33" s="31" t="s">
        <v>35</v>
      </c>
      <c r="C33" s="31"/>
      <c r="D33" s="61">
        <f>SUM(D5:D32)</f>
        <v>676633</v>
      </c>
      <c r="E33" s="32">
        <f>SUM(E5:E32)</f>
        <v>6030690</v>
      </c>
      <c r="F33" s="33">
        <f t="shared" si="2"/>
        <v>8.9127931980852253</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IF(F3="1",SUMIF(Data!A:A,'17'!$A$2,Data!CU:CU),0)</f>
        <v>13592</v>
      </c>
      <c r="E36" s="16">
        <f>IF(F3="1",SUMIF(Data!$A:$A,'17'!$A$2,Data!IO:IO),0)</f>
        <v>96950</v>
      </c>
      <c r="F36" s="21">
        <f t="shared" ref="F36:F64" si="3">IFERROR(E36/D36,"")</f>
        <v>7.1328722778104767</v>
      </c>
    </row>
    <row r="37" spans="1:6" x14ac:dyDescent="0.2">
      <c r="A37" s="20">
        <v>2</v>
      </c>
      <c r="B37" s="179" t="s">
        <v>1</v>
      </c>
      <c r="C37" s="180"/>
      <c r="D37" s="15">
        <f>IF(F3="1",SUMIF(Data!A:A,'17'!$A$2,Data!CV:CV),0)</f>
        <v>84648</v>
      </c>
      <c r="E37" s="18">
        <f>IF(F3="1",SUMIF(Data!$A:$A,'17'!$A$2,Data!IP:IP),0)</f>
        <v>146766</v>
      </c>
      <c r="F37" s="22">
        <f t="shared" si="3"/>
        <v>1.7338389566203571</v>
      </c>
    </row>
    <row r="38" spans="1:6" ht="14.25" customHeight="1" x14ac:dyDescent="0.2">
      <c r="A38" s="20">
        <v>3</v>
      </c>
      <c r="B38" s="179" t="s">
        <v>2</v>
      </c>
      <c r="C38" s="180"/>
      <c r="D38" s="15">
        <f>IF(F3="1",SUMIF(Data!A:A,'17'!$A$2,Data!CW:CW),0)</f>
        <v>47424</v>
      </c>
      <c r="E38" s="18">
        <f>IF(F3="1",SUMIF(Data!$A:$A,'17'!$A$2,Data!IQ:IQ),0)</f>
        <v>125467</v>
      </c>
      <c r="F38" s="22">
        <f t="shared" si="3"/>
        <v>2.6456435560053979</v>
      </c>
    </row>
    <row r="39" spans="1:6" ht="14.25" customHeight="1" x14ac:dyDescent="0.2">
      <c r="A39" s="20">
        <v>4</v>
      </c>
      <c r="B39" s="179" t="s">
        <v>3</v>
      </c>
      <c r="C39" s="180"/>
      <c r="D39" s="15">
        <f>IF(F3="1",SUMIF(Data!A:A,'17'!$A$2,Data!CX:CX),0)</f>
        <v>24213</v>
      </c>
      <c r="E39" s="18">
        <f>IF(F3="1",SUMIF(Data!$A:$A,'17'!$A$2,Data!IR:IR),0)</f>
        <v>59638</v>
      </c>
      <c r="F39" s="22">
        <f t="shared" si="3"/>
        <v>2.46305703547681</v>
      </c>
    </row>
    <row r="40" spans="1:6" x14ac:dyDescent="0.2">
      <c r="A40" s="20">
        <v>5</v>
      </c>
      <c r="B40" s="179" t="s">
        <v>4</v>
      </c>
      <c r="C40" s="180"/>
      <c r="D40" s="15">
        <f>IF(F3="1",SUMIF(Data!A:A,'17'!$A$2,Data!CY:CY),0)</f>
        <v>0</v>
      </c>
      <c r="E40" s="18">
        <f>IF(F3="1",SUMIF(Data!$A:$A,'17'!$A$2,Data!IS:IS),0)</f>
        <v>0</v>
      </c>
      <c r="F40" s="22" t="str">
        <f t="shared" si="3"/>
        <v/>
      </c>
    </row>
    <row r="41" spans="1:6" x14ac:dyDescent="0.2">
      <c r="A41" s="20">
        <v>6</v>
      </c>
      <c r="B41" s="179" t="s">
        <v>5</v>
      </c>
      <c r="C41" s="180"/>
      <c r="D41" s="15">
        <f>IF(F3="1",SUMIF(Data!A:A,'17'!$A$2,Data!CZ:CZ),0)</f>
        <v>112</v>
      </c>
      <c r="E41" s="18">
        <f>IF(F3="1",SUMIF(Data!$A:$A,'17'!$A$2,Data!IT:IT),0)</f>
        <v>8540</v>
      </c>
      <c r="F41" s="22">
        <f t="shared" si="3"/>
        <v>76.25</v>
      </c>
    </row>
    <row r="42" spans="1:6" x14ac:dyDescent="0.2">
      <c r="A42" s="20">
        <v>7</v>
      </c>
      <c r="B42" s="179" t="s">
        <v>6</v>
      </c>
      <c r="C42" s="180"/>
      <c r="D42" s="15">
        <f>IF(F3="1",SUMIF(Data!A:A,'17'!$A$2,Data!DA:DA),0)</f>
        <v>4253</v>
      </c>
      <c r="E42" s="18">
        <f>IF(F3="1",SUMIF(Data!$A:$A,'17'!$A$2,Data!IU:IU),0)</f>
        <v>62682</v>
      </c>
      <c r="F42" s="22">
        <f t="shared" si="3"/>
        <v>14.738302374794262</v>
      </c>
    </row>
    <row r="43" spans="1:6" x14ac:dyDescent="0.2">
      <c r="A43" s="20">
        <v>8</v>
      </c>
      <c r="B43" s="179" t="s">
        <v>7</v>
      </c>
      <c r="C43" s="180"/>
      <c r="D43" s="15">
        <f>IF(F3="1",SUMIF(Data!A:A,'17'!$A$2,Data!DB:DB),0)</f>
        <v>2776</v>
      </c>
      <c r="E43" s="18">
        <f>IF(F3="1",SUMIF(Data!$A:$A,'17'!$A$2,Data!IV:IV),0)</f>
        <v>46686</v>
      </c>
      <c r="F43" s="22">
        <f t="shared" si="3"/>
        <v>16.81772334293948</v>
      </c>
    </row>
    <row r="44" spans="1:6" x14ac:dyDescent="0.2">
      <c r="A44" s="20">
        <v>9</v>
      </c>
      <c r="B44" s="179" t="s">
        <v>8</v>
      </c>
      <c r="C44" s="180"/>
      <c r="D44" s="15">
        <f>IF(F3="1",SUMIF(Data!A:A,'17'!$A$2,Data!DC:DC),0)</f>
        <v>74928</v>
      </c>
      <c r="E44" s="18">
        <f>IF(F3="1",SUMIF(Data!$A:$A,'17'!$A$2,Data!IW:IW),0)</f>
        <v>127851</v>
      </c>
      <c r="F44" s="22">
        <f t="shared" si="3"/>
        <v>1.706318065342729</v>
      </c>
    </row>
    <row r="45" spans="1:6" x14ac:dyDescent="0.2">
      <c r="A45" s="20">
        <v>10</v>
      </c>
      <c r="B45" s="179" t="s">
        <v>9</v>
      </c>
      <c r="C45" s="180"/>
      <c r="D45" s="15">
        <f>IF(F3="1",SUMIF(Data!A:A,'17'!$A$2,Data!DD:DD),0)</f>
        <v>0</v>
      </c>
      <c r="E45" s="18">
        <f>IF(F3="1",SUMIF(Data!$A:$A,'17'!$A$2,Data!IX:IX),0)</f>
        <v>0</v>
      </c>
      <c r="F45" s="22" t="str">
        <f t="shared" si="3"/>
        <v/>
      </c>
    </row>
    <row r="46" spans="1:6" x14ac:dyDescent="0.2">
      <c r="A46" s="20">
        <v>11</v>
      </c>
      <c r="B46" s="179" t="s">
        <v>10</v>
      </c>
      <c r="C46" s="180"/>
      <c r="D46" s="15">
        <f>IF(F3="1",SUMIF(Data!A:A,'17'!$A$2,Data!DE:DE),0)</f>
        <v>55025</v>
      </c>
      <c r="E46" s="18">
        <f>IF(F3="1",SUMIF(Data!$A:$A,'17'!$A$2,Data!IY:IY),0)</f>
        <v>96825</v>
      </c>
      <c r="F46" s="22">
        <f t="shared" si="3"/>
        <v>1.7596547024079963</v>
      </c>
    </row>
    <row r="47" spans="1:6" ht="14.25" customHeight="1" x14ac:dyDescent="0.2">
      <c r="A47" s="20">
        <v>12</v>
      </c>
      <c r="B47" s="179" t="s">
        <v>11</v>
      </c>
      <c r="C47" s="180"/>
      <c r="D47" s="15">
        <f>IF(F3="1",SUMIF(Data!A:A,'17'!$A$2,Data!DF:DF),0)</f>
        <v>55856</v>
      </c>
      <c r="E47" s="18">
        <f>IF(F3="1",SUMIF(Data!$A:$A,'17'!$A$2,Data!IZ:IZ),0)</f>
        <v>152735</v>
      </c>
      <c r="F47" s="22">
        <f t="shared" si="3"/>
        <v>2.7344421369235175</v>
      </c>
    </row>
    <row r="48" spans="1:6" x14ac:dyDescent="0.2">
      <c r="A48" s="20">
        <v>13</v>
      </c>
      <c r="B48" s="179" t="s">
        <v>12</v>
      </c>
      <c r="C48" s="180"/>
      <c r="D48" s="15">
        <f>IF(F3="1",SUMIF(Data!A:A,'17'!$A$2,Data!DG:DG),0)</f>
        <v>12126</v>
      </c>
      <c r="E48" s="18">
        <f>IF(F3="1",SUMIF(Data!$A:$A,'17'!$A$2,Data!JA:JA),0)</f>
        <v>25011</v>
      </c>
      <c r="F48" s="22">
        <f t="shared" si="3"/>
        <v>2.0625927758535378</v>
      </c>
    </row>
    <row r="49" spans="1:6" ht="14.25" customHeight="1" x14ac:dyDescent="0.2">
      <c r="A49" s="20">
        <v>14</v>
      </c>
      <c r="B49" s="179" t="s">
        <v>804</v>
      </c>
      <c r="C49" s="180"/>
      <c r="D49" s="15">
        <f>IF(F3="1",SUMIF(Data!A:A,'17'!$A$2,Data!DH:DH),0)</f>
        <v>880</v>
      </c>
      <c r="E49" s="18">
        <f>IF(F3="1",SUMIF(Data!$A:$A,'17'!$A$2,Data!JB:JB),0)</f>
        <v>12322</v>
      </c>
      <c r="F49" s="22">
        <f t="shared" si="3"/>
        <v>14.002272727272727</v>
      </c>
    </row>
    <row r="50" spans="1:6" x14ac:dyDescent="0.2">
      <c r="A50" s="20">
        <v>15</v>
      </c>
      <c r="B50" s="179" t="s">
        <v>13</v>
      </c>
      <c r="C50" s="180"/>
      <c r="D50" s="15">
        <f>IF(F3="1",SUMIF(Data!A:A,'17'!$A$2,Data!DI:DI),0)</f>
        <v>0</v>
      </c>
      <c r="E50" s="18">
        <f>IF(F3="1",SUMIF(Data!$A:$A,'17'!$A$2,Data!JC:JC),0)</f>
        <v>0</v>
      </c>
      <c r="F50" s="22" t="str">
        <f t="shared" si="3"/>
        <v/>
      </c>
    </row>
    <row r="51" spans="1:6" x14ac:dyDescent="0.2">
      <c r="A51" s="20">
        <v>16</v>
      </c>
      <c r="B51" s="179" t="s">
        <v>14</v>
      </c>
      <c r="C51" s="180"/>
      <c r="D51" s="15">
        <f>IF(F3="1",SUMIF(Data!A:A,'17'!$A$2,Data!DJ:DJ),0)</f>
        <v>15771</v>
      </c>
      <c r="E51" s="18">
        <f>IF(F3="1",SUMIF(Data!$A:$A,'17'!$A$2,Data!JD:JD),0)</f>
        <v>25015</v>
      </c>
      <c r="F51" s="22">
        <f t="shared" si="3"/>
        <v>1.5861391160991694</v>
      </c>
    </row>
    <row r="52" spans="1:6" x14ac:dyDescent="0.2">
      <c r="A52" s="20">
        <v>17</v>
      </c>
      <c r="B52" s="179" t="s">
        <v>15</v>
      </c>
      <c r="C52" s="180"/>
      <c r="D52" s="15">
        <f>IF(F3="1",SUMIF(Data!A:A,'17'!$A$2,Data!DK:DK),0)</f>
        <v>0</v>
      </c>
      <c r="E52" s="18">
        <f>IF(F3="1",SUMIF(Data!$A:$A,'17'!$A$2,Data!JE:JE),0)</f>
        <v>0</v>
      </c>
      <c r="F52" s="22" t="str">
        <f t="shared" si="3"/>
        <v/>
      </c>
    </row>
    <row r="53" spans="1:6" x14ac:dyDescent="0.2">
      <c r="A53" s="20">
        <v>18</v>
      </c>
      <c r="B53" s="179" t="s">
        <v>16</v>
      </c>
      <c r="C53" s="180"/>
      <c r="D53" s="15">
        <f>IF(F3="1",SUMIF(Data!A:A,'17'!$A$2,Data!DL:DL),0)</f>
        <v>38872</v>
      </c>
      <c r="E53" s="18">
        <f>IF(F3="1",SUMIF(Data!$A:$A,'17'!$A$2,Data!JF:JF),0)</f>
        <v>145942</v>
      </c>
      <c r="F53" s="22">
        <f t="shared" si="3"/>
        <v>3.7544247787610621</v>
      </c>
    </row>
    <row r="54" spans="1:6" x14ac:dyDescent="0.2">
      <c r="A54" s="20">
        <v>19</v>
      </c>
      <c r="B54" s="179" t="s">
        <v>17</v>
      </c>
      <c r="C54" s="180"/>
      <c r="D54" s="15">
        <f>IF(F3="1",SUMIF(Data!A:A,'17'!$A$2,Data!DM:DM),0)</f>
        <v>39208</v>
      </c>
      <c r="E54" s="18">
        <f>IF(F3="1",SUMIF(Data!$A:$A,'17'!$A$2,Data!JG:JG),0)</f>
        <v>24863</v>
      </c>
      <c r="F54" s="22">
        <f t="shared" si="3"/>
        <v>0.63413078963476843</v>
      </c>
    </row>
    <row r="55" spans="1:6" x14ac:dyDescent="0.2">
      <c r="A55" s="20">
        <v>20</v>
      </c>
      <c r="B55" s="179" t="s">
        <v>18</v>
      </c>
      <c r="C55" s="180"/>
      <c r="D55" s="15">
        <f>IF(F3="1",SUMIF(Data!A:A,'17'!$A$2,Data!DN:DN),0)</f>
        <v>0</v>
      </c>
      <c r="E55" s="18">
        <f>IF(F3="1",SUMIF(Data!$A:$A,'17'!$A$2,Data!JH:JH),0)</f>
        <v>0</v>
      </c>
      <c r="F55" s="22" t="str">
        <f t="shared" si="3"/>
        <v/>
      </c>
    </row>
    <row r="56" spans="1:6" ht="14.25" customHeight="1" x14ac:dyDescent="0.2">
      <c r="A56" s="20">
        <v>21</v>
      </c>
      <c r="B56" s="179" t="s">
        <v>801</v>
      </c>
      <c r="C56" s="180"/>
      <c r="D56" s="15">
        <f>IF(F3="1",SUMIF(Data!A:A,'17'!$A$2,Data!DO:DO),0)</f>
        <v>1682</v>
      </c>
      <c r="E56" s="18">
        <f>IF(F3="1",SUMIF(Data!$A:$A,'17'!$A$2,Data!JI:JI),0)</f>
        <v>11833</v>
      </c>
      <c r="F56" s="22">
        <f t="shared" si="3"/>
        <v>7.0350772889417357</v>
      </c>
    </row>
    <row r="57" spans="1:6" x14ac:dyDescent="0.2">
      <c r="A57" s="20">
        <v>22</v>
      </c>
      <c r="B57" s="179" t="s">
        <v>19</v>
      </c>
      <c r="C57" s="180"/>
      <c r="D57" s="15">
        <f>IF(F3="1",SUMIF(Data!A:A,'17'!$A$2,Data!DP:DP),0)</f>
        <v>0</v>
      </c>
      <c r="E57" s="18">
        <f>IF(F3="1",SUMIF(Data!$A:$A,'17'!$A$2,Data!JJ:JJ),0)</f>
        <v>0</v>
      </c>
      <c r="F57" s="22" t="str">
        <f t="shared" si="3"/>
        <v/>
      </c>
    </row>
    <row r="58" spans="1:6" x14ac:dyDescent="0.2">
      <c r="A58" s="20">
        <v>23</v>
      </c>
      <c r="B58" s="179" t="s">
        <v>20</v>
      </c>
      <c r="C58" s="180"/>
      <c r="D58" s="15">
        <f>IF(F3="1",SUMIF(Data!A:A,'17'!$A$2,Data!DQ:DQ),0)</f>
        <v>17902</v>
      </c>
      <c r="E58" s="18">
        <f>IF(F3="1",SUMIF(Data!$A:$A,'17'!$A$2,Data!JK:JK),0)</f>
        <v>57210</v>
      </c>
      <c r="F58" s="22">
        <f t="shared" si="3"/>
        <v>3.1957323204111274</v>
      </c>
    </row>
    <row r="59" spans="1:6" x14ac:dyDescent="0.2">
      <c r="A59" s="20">
        <v>24</v>
      </c>
      <c r="B59" s="179" t="s">
        <v>21</v>
      </c>
      <c r="C59" s="180"/>
      <c r="D59" s="15">
        <f>IF(F3="1",SUMIF(Data!A:A,'17'!$A$2,Data!DR:DR),0)</f>
        <v>8629</v>
      </c>
      <c r="E59" s="18">
        <f>IF(F3="1",SUMIF(Data!$A:$A,'17'!$A$2,Data!JL:JL),0)</f>
        <v>13060</v>
      </c>
      <c r="F59" s="22">
        <f t="shared" si="3"/>
        <v>1.5135009850504113</v>
      </c>
    </row>
    <row r="60" spans="1:6" x14ac:dyDescent="0.2">
      <c r="A60" s="20">
        <v>25</v>
      </c>
      <c r="B60" s="179" t="s">
        <v>22</v>
      </c>
      <c r="C60" s="180"/>
      <c r="D60" s="15">
        <f>IF(F3="1",SUMIF(Data!A:A,'17'!$A$2,Data!DS:DS),0)</f>
        <v>87600</v>
      </c>
      <c r="E60" s="18">
        <f>IF(F3="1",SUMIF(Data!$A:$A,'17'!$A$2,Data!JM:JM),0)</f>
        <v>94579</v>
      </c>
      <c r="F60" s="22">
        <f t="shared" si="3"/>
        <v>1.0796689497716896</v>
      </c>
    </row>
    <row r="61" spans="1:6" x14ac:dyDescent="0.2">
      <c r="A61" s="20">
        <v>26</v>
      </c>
      <c r="B61" s="179" t="s">
        <v>23</v>
      </c>
      <c r="C61" s="180"/>
      <c r="D61" s="15">
        <f>IF(F3="1",SUMIF(Data!A:A,'17'!$A$2,Data!DT:DT),0)</f>
        <v>13376</v>
      </c>
      <c r="E61" s="18">
        <f>IF(F3="1",SUMIF(Data!$A:$A,'17'!$A$2,Data!JN:JN),0)</f>
        <v>15366</v>
      </c>
      <c r="F61" s="22">
        <f t="shared" si="3"/>
        <v>1.1487739234449761</v>
      </c>
    </row>
    <row r="62" spans="1:6" x14ac:dyDescent="0.2">
      <c r="A62" s="20">
        <v>28</v>
      </c>
      <c r="B62" s="179" t="s">
        <v>24</v>
      </c>
      <c r="C62" s="180"/>
      <c r="D62" s="15">
        <f>IF(F3="1",SUMIF(Data!A:A,'17'!$A$2,Data!DV:DV),0)</f>
        <v>30640</v>
      </c>
      <c r="E62" s="18">
        <f>IF(F3="1",SUMIF(Data!$A:$A,'17'!$A$2,Data!JP:JP),0)</f>
        <v>35832</v>
      </c>
      <c r="F62" s="22">
        <f t="shared" si="3"/>
        <v>1.1694516971279374</v>
      </c>
    </row>
    <row r="63" spans="1:6" ht="15.75" customHeight="1" thickBot="1" x14ac:dyDescent="0.25">
      <c r="A63" s="23">
        <v>29</v>
      </c>
      <c r="B63" s="181" t="s">
        <v>25</v>
      </c>
      <c r="C63" s="182"/>
      <c r="D63" s="24">
        <f>IF(F3="1",SUMIF(Data!A:A,'17'!$A$2,Data!DW:DW),0)</f>
        <v>47120</v>
      </c>
      <c r="E63" s="25">
        <f>IF(F3="1",SUMIF(Data!$A:$A,'17'!$A$2,Data!JQ:JQ),0)</f>
        <v>41097</v>
      </c>
      <c r="F63" s="26">
        <f t="shared" si="3"/>
        <v>0.87217741935483872</v>
      </c>
    </row>
    <row r="64" spans="1:6" x14ac:dyDescent="0.2">
      <c r="B64" s="31" t="s">
        <v>35</v>
      </c>
      <c r="C64" s="31"/>
      <c r="D64" s="61">
        <f>SUM(D36:D63)</f>
        <v>676633</v>
      </c>
      <c r="E64" s="32">
        <f>SUM(E36:E63)</f>
        <v>1426270</v>
      </c>
      <c r="F64" s="33">
        <f t="shared" si="3"/>
        <v>2.1078930528070607</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13592</v>
      </c>
      <c r="E67" s="16">
        <f>IF(F3="1",SUMIF(Data!A:A,'17'!$A$2,Data!DY:DY),0)</f>
        <v>180000</v>
      </c>
      <c r="F67" s="21">
        <f>IFERROR(E67/D67,"")</f>
        <v>13.243084167157152</v>
      </c>
    </row>
    <row r="68" spans="1:6" x14ac:dyDescent="0.2">
      <c r="A68" s="20">
        <v>2</v>
      </c>
      <c r="B68" s="179" t="s">
        <v>1</v>
      </c>
      <c r="C68" s="180"/>
      <c r="D68" s="15">
        <f t="shared" ref="D68:D94" si="4">D37</f>
        <v>84648</v>
      </c>
      <c r="E68" s="18">
        <f>IF(F3="1",SUMIF(Data!A:A,'17'!$A$2,Data!DZ:DZ),0)</f>
        <v>59034</v>
      </c>
      <c r="F68" s="22">
        <f t="shared" ref="F68:F95" si="5">IFERROR(E68/D68,"")</f>
        <v>0.69740572724695205</v>
      </c>
    </row>
    <row r="69" spans="1:6" ht="14.25" customHeight="1" x14ac:dyDescent="0.2">
      <c r="A69" s="20">
        <v>3</v>
      </c>
      <c r="B69" s="179" t="s">
        <v>2</v>
      </c>
      <c r="C69" s="180"/>
      <c r="D69" s="15">
        <f t="shared" si="4"/>
        <v>47424</v>
      </c>
      <c r="E69" s="18">
        <f>IF(F3="1",SUMIF(Data!A:A,'17'!$A$2,Data!EA:EA),0)</f>
        <v>182600</v>
      </c>
      <c r="F69" s="22">
        <f t="shared" si="5"/>
        <v>3.8503711201079622</v>
      </c>
    </row>
    <row r="70" spans="1:6" ht="14.25" customHeight="1" x14ac:dyDescent="0.2">
      <c r="A70" s="20">
        <v>4</v>
      </c>
      <c r="B70" s="179" t="s">
        <v>3</v>
      </c>
      <c r="C70" s="180"/>
      <c r="D70" s="15">
        <f t="shared" si="4"/>
        <v>24213</v>
      </c>
      <c r="E70" s="18">
        <f>IF(F3="1",SUMIF(Data!A:A,'17'!$A$2,Data!EB:EB),0)</f>
        <v>79034</v>
      </c>
      <c r="F70" s="22">
        <f t="shared" si="5"/>
        <v>3.264114318754388</v>
      </c>
    </row>
    <row r="71" spans="1:6" x14ac:dyDescent="0.2">
      <c r="A71" s="20">
        <v>5</v>
      </c>
      <c r="B71" s="179" t="s">
        <v>4</v>
      </c>
      <c r="C71" s="180"/>
      <c r="D71" s="15">
        <f t="shared" si="4"/>
        <v>0</v>
      </c>
      <c r="E71" s="18">
        <f>IF(F3="1",SUMIF(Data!A:A,'17'!$A$2,Data!EC:EC),0)</f>
        <v>0</v>
      </c>
      <c r="F71" s="22" t="str">
        <f t="shared" si="5"/>
        <v/>
      </c>
    </row>
    <row r="72" spans="1:6" x14ac:dyDescent="0.2">
      <c r="A72" s="20">
        <v>6</v>
      </c>
      <c r="B72" s="179" t="s">
        <v>5</v>
      </c>
      <c r="C72" s="180"/>
      <c r="D72" s="15">
        <f t="shared" si="4"/>
        <v>112</v>
      </c>
      <c r="E72" s="18">
        <f>IF(F3="1",SUMIF(Data!A:A,'17'!$A$2,Data!ED:ED),0)</f>
        <v>29033</v>
      </c>
      <c r="F72" s="22">
        <f t="shared" si="5"/>
        <v>259.22321428571428</v>
      </c>
    </row>
    <row r="73" spans="1:6" x14ac:dyDescent="0.2">
      <c r="A73" s="20">
        <v>7</v>
      </c>
      <c r="B73" s="179" t="s">
        <v>6</v>
      </c>
      <c r="C73" s="180"/>
      <c r="D73" s="15">
        <f t="shared" si="4"/>
        <v>4253</v>
      </c>
      <c r="E73" s="18">
        <f>IF(F3="1",SUMIF(Data!A:A,'17'!$A$2,Data!EE:EE),0)</f>
        <v>104000</v>
      </c>
      <c r="F73" s="22">
        <f t="shared" si="5"/>
        <v>24.453327063249471</v>
      </c>
    </row>
    <row r="74" spans="1:6" x14ac:dyDescent="0.2">
      <c r="A74" s="20">
        <v>8</v>
      </c>
      <c r="B74" s="179" t="s">
        <v>7</v>
      </c>
      <c r="C74" s="180"/>
      <c r="D74" s="15">
        <f t="shared" si="4"/>
        <v>2776</v>
      </c>
      <c r="E74" s="18">
        <f>IF(F3="1",SUMIF(Data!A:A,'17'!$A$2,Data!EF:EF),0)</f>
        <v>80030</v>
      </c>
      <c r="F74" s="22">
        <f t="shared" si="5"/>
        <v>28.829250720461093</v>
      </c>
    </row>
    <row r="75" spans="1:6" x14ac:dyDescent="0.2">
      <c r="A75" s="20">
        <v>9</v>
      </c>
      <c r="B75" s="179" t="s">
        <v>8</v>
      </c>
      <c r="C75" s="180"/>
      <c r="D75" s="15">
        <f t="shared" si="4"/>
        <v>74928</v>
      </c>
      <c r="E75" s="18">
        <f>IF(F3="1",SUMIF(Data!A:A,'17'!$A$2,Data!EG:EG),0)</f>
        <v>80000</v>
      </c>
      <c r="F75" s="22">
        <f t="shared" si="5"/>
        <v>1.0676916506512919</v>
      </c>
    </row>
    <row r="76" spans="1:6" x14ac:dyDescent="0.2">
      <c r="A76" s="20">
        <v>10</v>
      </c>
      <c r="B76" s="179" t="s">
        <v>9</v>
      </c>
      <c r="C76" s="180"/>
      <c r="D76" s="15">
        <f t="shared" si="4"/>
        <v>0</v>
      </c>
      <c r="E76" s="18">
        <f>IF(F3="1",SUMIF(Data!A:A,'17'!$A$2,Data!EH:EH),0)</f>
        <v>0</v>
      </c>
      <c r="F76" s="22" t="str">
        <f t="shared" si="5"/>
        <v/>
      </c>
    </row>
    <row r="77" spans="1:6" x14ac:dyDescent="0.2">
      <c r="A77" s="20">
        <v>11</v>
      </c>
      <c r="B77" s="179" t="s">
        <v>10</v>
      </c>
      <c r="C77" s="180"/>
      <c r="D77" s="15">
        <f t="shared" si="4"/>
        <v>55025</v>
      </c>
      <c r="E77" s="18">
        <f>IF(F3="1",SUMIF(Data!A:A,'17'!$A$2,Data!EI:EI),0)</f>
        <v>89693</v>
      </c>
      <c r="F77" s="22">
        <f t="shared" si="5"/>
        <v>1.6300408905043162</v>
      </c>
    </row>
    <row r="78" spans="1:6" ht="14.25" customHeight="1" x14ac:dyDescent="0.2">
      <c r="A78" s="20">
        <v>12</v>
      </c>
      <c r="B78" s="179" t="s">
        <v>11</v>
      </c>
      <c r="C78" s="180"/>
      <c r="D78" s="15">
        <f t="shared" si="4"/>
        <v>55856</v>
      </c>
      <c r="E78" s="18">
        <f>IF(F3="1",SUMIF(Data!A:A,'17'!$A$2,Data!EJ:EJ),0)</f>
        <v>187444</v>
      </c>
      <c r="F78" s="22">
        <f t="shared" si="5"/>
        <v>3.3558435978229735</v>
      </c>
    </row>
    <row r="79" spans="1:6" x14ac:dyDescent="0.2">
      <c r="A79" s="20">
        <v>13</v>
      </c>
      <c r="B79" s="179" t="s">
        <v>12</v>
      </c>
      <c r="C79" s="180"/>
      <c r="D79" s="15">
        <f t="shared" si="4"/>
        <v>12126</v>
      </c>
      <c r="E79" s="18">
        <f>IF(F3="1",SUMIF(Data!A:A,'17'!$A$2,Data!EK:EK),0)</f>
        <v>29025</v>
      </c>
      <c r="F79" s="22">
        <f t="shared" si="5"/>
        <v>2.3936170212765959</v>
      </c>
    </row>
    <row r="80" spans="1:6" ht="14.25" customHeight="1" x14ac:dyDescent="0.2">
      <c r="A80" s="20">
        <v>14</v>
      </c>
      <c r="B80" s="179" t="s">
        <v>804</v>
      </c>
      <c r="C80" s="180"/>
      <c r="D80" s="15">
        <f t="shared" si="4"/>
        <v>880</v>
      </c>
      <c r="E80" s="18">
        <f>IF(F3="1",SUMIF(Data!A:A,'17'!$A$2,Data!EL:EL),0)</f>
        <v>19040</v>
      </c>
      <c r="F80" s="22">
        <f t="shared" si="5"/>
        <v>21.636363636363637</v>
      </c>
    </row>
    <row r="81" spans="1:6" x14ac:dyDescent="0.2">
      <c r="A81" s="20">
        <v>15</v>
      </c>
      <c r="B81" s="179" t="s">
        <v>13</v>
      </c>
      <c r="C81" s="180"/>
      <c r="D81" s="15">
        <f t="shared" si="4"/>
        <v>0</v>
      </c>
      <c r="E81" s="18">
        <f>IF(F3="1",SUMIF(Data!A:A,'17'!$A$2,Data!EM:EM),0)</f>
        <v>0</v>
      </c>
      <c r="F81" s="22" t="str">
        <f t="shared" si="5"/>
        <v/>
      </c>
    </row>
    <row r="82" spans="1:6" x14ac:dyDescent="0.2">
      <c r="A82" s="20">
        <v>16</v>
      </c>
      <c r="B82" s="179" t="s">
        <v>14</v>
      </c>
      <c r="C82" s="180"/>
      <c r="D82" s="15">
        <f t="shared" si="4"/>
        <v>15771</v>
      </c>
      <c r="E82" s="18">
        <f>IF(F3="1",SUMIF(Data!A:A,'17'!$A$2,Data!EN:EN),0)</f>
        <v>29055</v>
      </c>
      <c r="F82" s="22">
        <f t="shared" si="5"/>
        <v>1.8423054974319955</v>
      </c>
    </row>
    <row r="83" spans="1:6" x14ac:dyDescent="0.2">
      <c r="A83" s="20">
        <v>17</v>
      </c>
      <c r="B83" s="179" t="s">
        <v>15</v>
      </c>
      <c r="C83" s="180"/>
      <c r="D83" s="15">
        <f t="shared" si="4"/>
        <v>0</v>
      </c>
      <c r="E83" s="18">
        <f>IF(F3="1",SUMIF(Data!A:A,'17'!$A$2,Data!EO:EO),0)</f>
        <v>0</v>
      </c>
      <c r="F83" s="22" t="str">
        <f t="shared" si="5"/>
        <v/>
      </c>
    </row>
    <row r="84" spans="1:6" x14ac:dyDescent="0.2">
      <c r="A84" s="20">
        <v>18</v>
      </c>
      <c r="B84" s="179" t="s">
        <v>16</v>
      </c>
      <c r="C84" s="180"/>
      <c r="D84" s="15">
        <f t="shared" si="4"/>
        <v>38872</v>
      </c>
      <c r="E84" s="18">
        <f>IF(F3="1",SUMIF(Data!A:A,'17'!$A$2,Data!EP:EP),0)</f>
        <v>146734</v>
      </c>
      <c r="F84" s="22">
        <f t="shared" si="5"/>
        <v>3.7747993414282774</v>
      </c>
    </row>
    <row r="85" spans="1:6" x14ac:dyDescent="0.2">
      <c r="A85" s="20">
        <v>19</v>
      </c>
      <c r="B85" s="179" t="s">
        <v>17</v>
      </c>
      <c r="C85" s="180"/>
      <c r="D85" s="15">
        <f t="shared" si="4"/>
        <v>39208</v>
      </c>
      <c r="E85" s="18">
        <f>IF(F3="1",SUMIF(Data!A:A,'17'!$A$2,Data!EQ:EQ),0)</f>
        <v>80883</v>
      </c>
      <c r="F85" s="22">
        <f t="shared" si="5"/>
        <v>2.0629208324831665</v>
      </c>
    </row>
    <row r="86" spans="1:6" x14ac:dyDescent="0.2">
      <c r="A86" s="20">
        <v>20</v>
      </c>
      <c r="B86" s="179" t="s">
        <v>18</v>
      </c>
      <c r="C86" s="180"/>
      <c r="D86" s="15">
        <f t="shared" si="4"/>
        <v>0</v>
      </c>
      <c r="E86" s="18">
        <f>IF(F3="1",SUMIF(Data!A:A,'17'!$A$2,Data!ER:ER),0)</f>
        <v>0</v>
      </c>
      <c r="F86" s="22" t="str">
        <f t="shared" si="5"/>
        <v/>
      </c>
    </row>
    <row r="87" spans="1:6" ht="14.25" customHeight="1" x14ac:dyDescent="0.2">
      <c r="A87" s="20">
        <v>21</v>
      </c>
      <c r="B87" s="179" t="s">
        <v>801</v>
      </c>
      <c r="C87" s="180"/>
      <c r="D87" s="15">
        <f t="shared" si="4"/>
        <v>1682</v>
      </c>
      <c r="E87" s="18">
        <f>IF(F3="1",SUMIF(Data!A:A,'17'!$A$2,Data!ES:ES),0)</f>
        <v>15034</v>
      </c>
      <c r="F87" s="22">
        <f t="shared" si="5"/>
        <v>8.9381688466111768</v>
      </c>
    </row>
    <row r="88" spans="1:6" x14ac:dyDescent="0.2">
      <c r="A88" s="20">
        <v>22</v>
      </c>
      <c r="B88" s="179" t="s">
        <v>19</v>
      </c>
      <c r="C88" s="180"/>
      <c r="D88" s="15">
        <f t="shared" si="4"/>
        <v>0</v>
      </c>
      <c r="E88" s="18">
        <f>IF(F3="1",SUMIF(Data!A:A,'17'!$A$2,Data!ET:ET),0)</f>
        <v>0</v>
      </c>
      <c r="F88" s="22" t="str">
        <f t="shared" si="5"/>
        <v/>
      </c>
    </row>
    <row r="89" spans="1:6" x14ac:dyDescent="0.2">
      <c r="A89" s="20">
        <v>23</v>
      </c>
      <c r="B89" s="179" t="s">
        <v>20</v>
      </c>
      <c r="C89" s="180"/>
      <c r="D89" s="15">
        <f t="shared" si="4"/>
        <v>17902</v>
      </c>
      <c r="E89" s="18">
        <f>IF(F3="1",SUMIF(Data!A:A,'17'!$A$2,Data!EU:EU),0)</f>
        <v>205032</v>
      </c>
      <c r="F89" s="22">
        <f t="shared" si="5"/>
        <v>11.453022008714111</v>
      </c>
    </row>
    <row r="90" spans="1:6" x14ac:dyDescent="0.2">
      <c r="A90" s="20">
        <v>24</v>
      </c>
      <c r="B90" s="179" t="s">
        <v>21</v>
      </c>
      <c r="C90" s="180"/>
      <c r="D90" s="15">
        <f t="shared" si="4"/>
        <v>8629</v>
      </c>
      <c r="E90" s="18">
        <f>IF(F3="1",SUMIF(Data!A:A,'17'!$A$2,Data!EV:EV),0)</f>
        <v>19060</v>
      </c>
      <c r="F90" s="22">
        <f t="shared" si="5"/>
        <v>2.2088306872175223</v>
      </c>
    </row>
    <row r="91" spans="1:6" x14ac:dyDescent="0.2">
      <c r="A91" s="20">
        <v>25</v>
      </c>
      <c r="B91" s="179" t="s">
        <v>22</v>
      </c>
      <c r="C91" s="180"/>
      <c r="D91" s="15">
        <f t="shared" si="4"/>
        <v>87600</v>
      </c>
      <c r="E91" s="18">
        <f>IF(F3="1",SUMIF(Data!A:A,'17'!$A$2,Data!EW:EW),0)</f>
        <v>86728</v>
      </c>
      <c r="F91" s="22">
        <f t="shared" si="5"/>
        <v>0.99004566210045664</v>
      </c>
    </row>
    <row r="92" spans="1:6" x14ac:dyDescent="0.2">
      <c r="A92" s="20">
        <v>26</v>
      </c>
      <c r="B92" s="179" t="s">
        <v>23</v>
      </c>
      <c r="C92" s="180"/>
      <c r="D92" s="15">
        <f t="shared" si="4"/>
        <v>13376</v>
      </c>
      <c r="E92" s="18">
        <f>IF(F3="1",SUMIF(Data!A:A,'17'!$A$2,Data!EX:EX),0)</f>
        <v>44000</v>
      </c>
      <c r="F92" s="22">
        <f t="shared" si="5"/>
        <v>3.2894736842105261</v>
      </c>
    </row>
    <row r="93" spans="1:6" x14ac:dyDescent="0.2">
      <c r="A93" s="20">
        <v>28</v>
      </c>
      <c r="B93" s="179" t="s">
        <v>24</v>
      </c>
      <c r="C93" s="180"/>
      <c r="D93" s="15">
        <f t="shared" si="4"/>
        <v>30640</v>
      </c>
      <c r="E93" s="18">
        <f>IF(F3="1",SUMIF(Data!A:A,'17'!$A$2,Data!EZ:EZ),0)</f>
        <v>47825</v>
      </c>
      <c r="F93" s="22">
        <f t="shared" si="5"/>
        <v>1.5608681462140992</v>
      </c>
    </row>
    <row r="94" spans="1:6" ht="15.75" customHeight="1" thickBot="1" x14ac:dyDescent="0.25">
      <c r="A94" s="23">
        <v>29</v>
      </c>
      <c r="B94" s="181" t="s">
        <v>25</v>
      </c>
      <c r="C94" s="182"/>
      <c r="D94" s="24">
        <f t="shared" si="4"/>
        <v>47120</v>
      </c>
      <c r="E94" s="25">
        <f>IF(F3="1",SUMIF(Data!A:A,'17'!$A$2,Data!FA:FA),0)</f>
        <v>50000</v>
      </c>
      <c r="F94" s="26">
        <f t="shared" si="5"/>
        <v>1.0611205432937181</v>
      </c>
    </row>
    <row r="95" spans="1:6" x14ac:dyDescent="0.2">
      <c r="B95" s="31" t="s">
        <v>35</v>
      </c>
      <c r="C95" s="31"/>
      <c r="D95" s="61">
        <f>SUM(D67:D94)</f>
        <v>676633</v>
      </c>
      <c r="E95" s="32">
        <f>SUM(E67:E94)</f>
        <v>1843284</v>
      </c>
      <c r="F95" s="33">
        <f t="shared" si="5"/>
        <v>2.724200563673365</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IF(F3="1",SUMIF(Data!A:A,'17'!$A$2,Data!AH:AH),0)</f>
        <v>1515778</v>
      </c>
      <c r="F98" s="21">
        <f t="shared" ref="F98:F105" si="6">IFERROR(E98/$D$95,0)</f>
        <v>2.2401774669577157</v>
      </c>
    </row>
    <row r="99" spans="2:6" x14ac:dyDescent="0.2">
      <c r="B99" s="185" t="s">
        <v>31</v>
      </c>
      <c r="C99" s="186"/>
      <c r="D99" s="37"/>
      <c r="E99" s="18">
        <f>IF(F3="1",SUMIF(Data!A:A,'17'!$A$2,Data!AI:AI),0)</f>
        <v>539724</v>
      </c>
      <c r="F99" s="22">
        <f t="shared" si="6"/>
        <v>0.79766136147660549</v>
      </c>
    </row>
    <row r="100" spans="2:6" x14ac:dyDescent="0.2">
      <c r="B100" s="185" t="s">
        <v>32</v>
      </c>
      <c r="C100" s="186"/>
      <c r="D100" s="37"/>
      <c r="E100" s="18">
        <f>IF(F3="1",SUMIF(Data!A:A,'17'!$A$2,Data!AJ:AJ),0)</f>
        <v>152439</v>
      </c>
      <c r="F100" s="22">
        <f t="shared" si="6"/>
        <v>0.22529051938052091</v>
      </c>
    </row>
    <row r="101" spans="2:6" x14ac:dyDescent="0.2">
      <c r="B101" s="185" t="s">
        <v>28</v>
      </c>
      <c r="C101" s="186"/>
      <c r="D101" s="37"/>
      <c r="E101" s="18">
        <f>IF(F3="1",SUMIF(Data!A:A,'17'!$A$2,Data!AK:AK),0)</f>
        <v>0</v>
      </c>
      <c r="F101" s="22">
        <f t="shared" si="6"/>
        <v>0</v>
      </c>
    </row>
    <row r="102" spans="2:6" x14ac:dyDescent="0.2">
      <c r="B102" s="185" t="s">
        <v>33</v>
      </c>
      <c r="C102" s="186"/>
      <c r="D102" s="37"/>
      <c r="E102" s="18">
        <f>IF(F3="1",SUMIF(Data!A:A,'17'!$A$2,Data!AL:AL),0)</f>
        <v>78312</v>
      </c>
      <c r="F102" s="22">
        <f t="shared" si="6"/>
        <v>0.11573777808649593</v>
      </c>
    </row>
    <row r="103" spans="2:6" x14ac:dyDescent="0.2">
      <c r="B103" s="187" t="s">
        <v>34</v>
      </c>
      <c r="C103" s="188"/>
      <c r="D103" s="37"/>
      <c r="E103" s="18">
        <f>IF(F3="1",SUMIF(Data!A:A,'17'!$A$2,Data!AM:AM),0)</f>
        <v>291994</v>
      </c>
      <c r="F103" s="22">
        <f t="shared" si="6"/>
        <v>0.43153969729528413</v>
      </c>
    </row>
    <row r="104" spans="2:6" ht="15.75" customHeight="1" thickBot="1" x14ac:dyDescent="0.25">
      <c r="B104" s="177" t="s">
        <v>29</v>
      </c>
      <c r="C104" s="178"/>
      <c r="D104" s="38"/>
      <c r="E104" s="25">
        <f>IF(F3="1",SUMIF(Data!A:A,'17'!$A$2,Data!Q:Q),0)</f>
        <v>182889</v>
      </c>
      <c r="F104" s="26">
        <f t="shared" si="6"/>
        <v>0.27029275840817696</v>
      </c>
    </row>
    <row r="105" spans="2:6" x14ac:dyDescent="0.2">
      <c r="B105" s="31" t="s">
        <v>35</v>
      </c>
      <c r="C105" s="31"/>
      <c r="D105" s="35">
        <f>D95</f>
        <v>676633</v>
      </c>
      <c r="E105" s="32">
        <f>SUM(E98:E104)</f>
        <v>2761136</v>
      </c>
      <c r="F105" s="33">
        <f t="shared" si="6"/>
        <v>4.0806995816047991</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1957284</v>
      </c>
      <c r="D109" s="16">
        <f>IF(F3="1",SUMIF(Data!$A:$A,$A$2,Data!HJ:HJ),0)</f>
        <v>238679</v>
      </c>
      <c r="E109" s="16">
        <f>IF(F3="1",SUMIF(Data!$A:$A,$A$2,Data!IN:IN),0)</f>
        <v>1073591</v>
      </c>
      <c r="F109" s="48">
        <f>SUM(C109:E109)</f>
        <v>3269554</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0</v>
      </c>
      <c r="D111" s="52"/>
      <c r="E111" s="51">
        <f>IF(F3="1",SUMIF(Data!A:A,$A$2,Data!AX:AX),0)</f>
        <v>0</v>
      </c>
      <c r="F111" s="49">
        <f t="shared" si="7"/>
        <v>0</v>
      </c>
    </row>
    <row r="112" spans="2:6" x14ac:dyDescent="0.2">
      <c r="B112" s="43" t="s">
        <v>32</v>
      </c>
      <c r="C112" s="51">
        <f>IF(F3="1",SUMIF(Data!A:A,$A$2,Data!V:V),0)</f>
        <v>63905</v>
      </c>
      <c r="D112" s="52"/>
      <c r="E112" s="51">
        <f>IF(F3="1",SUMIF(Data!A:A,$A$2,Data!AC:AC),0)</f>
        <v>88534</v>
      </c>
      <c r="F112" s="49">
        <f t="shared" si="7"/>
        <v>152439</v>
      </c>
    </row>
    <row r="113" spans="1:6" x14ac:dyDescent="0.2">
      <c r="B113" s="43" t="s">
        <v>31</v>
      </c>
      <c r="C113" s="51">
        <f>IF(F3="1",SUMIF(Data!A:A,$A$2,Data!U:U),0)</f>
        <v>291371</v>
      </c>
      <c r="D113" s="52"/>
      <c r="E113" s="51">
        <f>IF(F3="1",SUMIF(Data!A:A,$A$2,Data!AB:AB),0)</f>
        <v>248353</v>
      </c>
      <c r="F113" s="49">
        <f t="shared" si="7"/>
        <v>539724</v>
      </c>
    </row>
    <row r="114" spans="1:6" x14ac:dyDescent="0.2">
      <c r="B114" s="43" t="s">
        <v>1363</v>
      </c>
      <c r="C114" s="51">
        <f>IF(F3="1",SUMIF(Data!A:A,$A$2,Data!T:T),0)</f>
        <v>807454</v>
      </c>
      <c r="D114" s="52"/>
      <c r="E114" s="51">
        <f>IF(F3="1",SUMIF(Data!A:A,$A$2,Data!AA:AA),0)</f>
        <v>708324</v>
      </c>
      <c r="F114" s="49">
        <f t="shared" si="7"/>
        <v>1515778</v>
      </c>
    </row>
    <row r="115" spans="1:6" x14ac:dyDescent="0.2">
      <c r="B115" s="43" t="s">
        <v>1278</v>
      </c>
      <c r="C115" s="51">
        <f>IF(F3="1",SUMIF(Data!A:A,$A$2,Data!BI:BI),0)</f>
        <v>320735</v>
      </c>
      <c r="D115" s="51">
        <f>IF(F3="1",SUMIF(Data!A:A,$A$2,Data!BL:BL),0)</f>
        <v>34541</v>
      </c>
      <c r="E115" s="51">
        <f>IF(F3="1",SUMIF(Data!A:A,$A$2,Data!BU:BU),0)</f>
        <v>471415</v>
      </c>
      <c r="F115" s="49">
        <f t="shared" si="7"/>
        <v>826691</v>
      </c>
    </row>
    <row r="116" spans="1:6" x14ac:dyDescent="0.2">
      <c r="B116" s="43" t="s">
        <v>33</v>
      </c>
      <c r="C116" s="51">
        <f>IF(F3="1",SUMIF(Data!A:A,$A$2,Data!X:X),0)</f>
        <v>0</v>
      </c>
      <c r="D116" s="51"/>
      <c r="E116" s="51">
        <f>E102</f>
        <v>78312</v>
      </c>
      <c r="F116" s="49">
        <f t="shared" si="7"/>
        <v>78312</v>
      </c>
    </row>
    <row r="117" spans="1:6" ht="15" thickBot="1" x14ac:dyDescent="0.25">
      <c r="B117" s="44" t="s">
        <v>1282</v>
      </c>
      <c r="C117" s="53"/>
      <c r="D117" s="53">
        <f>IF(F3="1",SUMIF(Data!A:A,$A$2,Data!Q:Q),0)</f>
        <v>182889</v>
      </c>
      <c r="E117" s="53"/>
      <c r="F117" s="50">
        <f>SUM(C117:E117)</f>
        <v>182889</v>
      </c>
    </row>
    <row r="118" spans="1:6" x14ac:dyDescent="0.2">
      <c r="B118" s="14" t="s">
        <v>35</v>
      </c>
      <c r="C118" s="5">
        <f>SUM(C109:C116)</f>
        <v>3440749</v>
      </c>
      <c r="D118" s="5">
        <f>SUM(D109:D116)</f>
        <v>273220</v>
      </c>
      <c r="E118" s="5">
        <f>SUM(E109:E116)</f>
        <v>2668529</v>
      </c>
      <c r="F118" s="5">
        <f>SUM(F109:F116)</f>
        <v>6382498</v>
      </c>
    </row>
    <row r="119" spans="1:6" ht="15" thickBot="1" x14ac:dyDescent="0.25"/>
    <row r="120" spans="1:6" ht="15" thickBot="1" x14ac:dyDescent="0.25">
      <c r="B120" s="57" t="s">
        <v>1283</v>
      </c>
      <c r="C120" s="55"/>
      <c r="D120" s="55"/>
      <c r="E120" s="55">
        <f>IF(F3="1",SUMIF(Data!A:A,'17'!$A$2,Data!AM:AM),0)</f>
        <v>291994</v>
      </c>
      <c r="F120" s="56">
        <f>SUM(C120:E120)</f>
        <v>291994</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642</v>
      </c>
      <c r="B2" s="60" t="str">
        <f>VLOOKUP(A2,Data!A:G,7,0)</f>
        <v>Galveston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18240</v>
      </c>
      <c r="E5" s="16">
        <f>E36+E67+IFERROR($E$105/$D$105*D5,0)</f>
        <v>167874.52680837229</v>
      </c>
      <c r="F5" s="21">
        <f>IFERROR(E5/D5,"")</f>
        <v>9.2036473030905857</v>
      </c>
    </row>
    <row r="6" spans="1:6" x14ac:dyDescent="0.2">
      <c r="A6" s="20">
        <v>2</v>
      </c>
      <c r="B6" s="179" t="s">
        <v>1</v>
      </c>
      <c r="C6" s="180"/>
      <c r="D6" s="15">
        <f t="shared" ref="D6:D32" si="0">D37</f>
        <v>29184</v>
      </c>
      <c r="E6" s="18">
        <f t="shared" ref="E6:E32" si="1">E37+E68+IFERROR($E$105/$D$105*D6,0)</f>
        <v>340123.04289339564</v>
      </c>
      <c r="F6" s="22">
        <f t="shared" ref="F6:F33" si="2">IFERROR(E6/D6,"")</f>
        <v>11.654435406160761</v>
      </c>
    </row>
    <row r="7" spans="1:6" ht="14.25" customHeight="1" x14ac:dyDescent="0.2">
      <c r="A7" s="20">
        <v>3</v>
      </c>
      <c r="B7" s="179" t="s">
        <v>2</v>
      </c>
      <c r="C7" s="180"/>
      <c r="D7" s="15">
        <f t="shared" si="0"/>
        <v>137040</v>
      </c>
      <c r="E7" s="18">
        <f t="shared" si="1"/>
        <v>1384872.6158892179</v>
      </c>
      <c r="F7" s="22">
        <f t="shared" si="2"/>
        <v>10.105608697381918</v>
      </c>
    </row>
    <row r="8" spans="1:6" ht="14.25" customHeight="1" x14ac:dyDescent="0.2">
      <c r="A8" s="20">
        <v>4</v>
      </c>
      <c r="B8" s="179" t="s">
        <v>3</v>
      </c>
      <c r="C8" s="180"/>
      <c r="D8" s="15">
        <f t="shared" si="0"/>
        <v>43096</v>
      </c>
      <c r="E8" s="18">
        <f t="shared" si="1"/>
        <v>442168.34733188659</v>
      </c>
      <c r="F8" s="22">
        <f t="shared" si="2"/>
        <v>10.260078599681794</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0</v>
      </c>
      <c r="E10" s="18">
        <f t="shared" si="1"/>
        <v>0</v>
      </c>
      <c r="F10" s="22" t="str">
        <f t="shared" si="2"/>
        <v/>
      </c>
    </row>
    <row r="11" spans="1:6" x14ac:dyDescent="0.2">
      <c r="A11" s="20">
        <v>7</v>
      </c>
      <c r="B11" s="179" t="s">
        <v>6</v>
      </c>
      <c r="C11" s="180"/>
      <c r="D11" s="15">
        <f t="shared" si="0"/>
        <v>14449</v>
      </c>
      <c r="E11" s="18">
        <f t="shared" si="1"/>
        <v>192070.32948761902</v>
      </c>
      <c r="F11" s="22">
        <f t="shared" si="2"/>
        <v>13.292984254108868</v>
      </c>
    </row>
    <row r="12" spans="1:6" x14ac:dyDescent="0.2">
      <c r="A12" s="20">
        <v>8</v>
      </c>
      <c r="B12" s="179" t="s">
        <v>7</v>
      </c>
      <c r="C12" s="180"/>
      <c r="D12" s="15">
        <f t="shared" si="0"/>
        <v>1344</v>
      </c>
      <c r="E12" s="18">
        <f t="shared" si="1"/>
        <v>31817.923027985325</v>
      </c>
      <c r="F12" s="22">
        <f t="shared" si="2"/>
        <v>23.67404987201289</v>
      </c>
    </row>
    <row r="13" spans="1:6" x14ac:dyDescent="0.2">
      <c r="A13" s="20">
        <v>9</v>
      </c>
      <c r="B13" s="179" t="s">
        <v>8</v>
      </c>
      <c r="C13" s="180"/>
      <c r="D13" s="15">
        <f t="shared" si="0"/>
        <v>31616</v>
      </c>
      <c r="E13" s="18">
        <f t="shared" si="1"/>
        <v>298359.71313451196</v>
      </c>
      <c r="F13" s="22">
        <f t="shared" si="2"/>
        <v>9.436984853697874</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33216</v>
      </c>
      <c r="E15" s="18">
        <f t="shared" si="1"/>
        <v>296480.81197735161</v>
      </c>
      <c r="F15" s="22">
        <f t="shared" si="2"/>
        <v>8.9258433278345262</v>
      </c>
    </row>
    <row r="16" spans="1:6" ht="14.25" customHeight="1" x14ac:dyDescent="0.2">
      <c r="A16" s="20">
        <v>12</v>
      </c>
      <c r="B16" s="179" t="s">
        <v>11</v>
      </c>
      <c r="C16" s="180"/>
      <c r="D16" s="15">
        <f t="shared" si="0"/>
        <v>115632</v>
      </c>
      <c r="E16" s="18">
        <f t="shared" si="1"/>
        <v>1078327.913372023</v>
      </c>
      <c r="F16" s="22">
        <f t="shared" si="2"/>
        <v>9.3255146790855736</v>
      </c>
    </row>
    <row r="17" spans="1:6" x14ac:dyDescent="0.2">
      <c r="A17" s="20">
        <v>13</v>
      </c>
      <c r="B17" s="179" t="s">
        <v>12</v>
      </c>
      <c r="C17" s="180"/>
      <c r="D17" s="15">
        <f t="shared" si="0"/>
        <v>8192</v>
      </c>
      <c r="E17" s="18">
        <f t="shared" si="1"/>
        <v>58782.626075339125</v>
      </c>
      <c r="F17" s="22">
        <f t="shared" si="2"/>
        <v>7.1756135345872956</v>
      </c>
    </row>
    <row r="18" spans="1:6" ht="14.25" customHeight="1" x14ac:dyDescent="0.2">
      <c r="A18" s="20">
        <v>14</v>
      </c>
      <c r="B18" s="179" t="s">
        <v>804</v>
      </c>
      <c r="C18" s="180"/>
      <c r="D18" s="15">
        <f t="shared" si="0"/>
        <v>82644</v>
      </c>
      <c r="E18" s="18">
        <f t="shared" si="1"/>
        <v>1390182.8829797762</v>
      </c>
      <c r="F18" s="22">
        <f t="shared" si="2"/>
        <v>16.821340726244813</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167399</v>
      </c>
      <c r="E20" s="18">
        <f t="shared" si="1"/>
        <v>1916966.309495324</v>
      </c>
      <c r="F20" s="22">
        <f t="shared" si="2"/>
        <v>11.451480053616354</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37552</v>
      </c>
      <c r="E22" s="18">
        <f t="shared" si="1"/>
        <v>447011.28984144714</v>
      </c>
      <c r="F22" s="22">
        <f t="shared" si="2"/>
        <v>11.903794467443735</v>
      </c>
    </row>
    <row r="23" spans="1:6" x14ac:dyDescent="0.2">
      <c r="A23" s="20">
        <v>19</v>
      </c>
      <c r="B23" s="179" t="s">
        <v>17</v>
      </c>
      <c r="C23" s="180"/>
      <c r="D23" s="15">
        <f t="shared" si="0"/>
        <v>44720</v>
      </c>
      <c r="E23" s="18">
        <f t="shared" si="1"/>
        <v>487436.21265736886</v>
      </c>
      <c r="F23" s="22">
        <f t="shared" si="2"/>
        <v>10.899736418993042</v>
      </c>
    </row>
    <row r="24" spans="1:6" x14ac:dyDescent="0.2">
      <c r="A24" s="20">
        <v>20</v>
      </c>
      <c r="B24" s="179" t="s">
        <v>18</v>
      </c>
      <c r="C24" s="180"/>
      <c r="D24" s="15">
        <f t="shared" si="0"/>
        <v>40</v>
      </c>
      <c r="E24" s="18">
        <f t="shared" si="1"/>
        <v>1246.2774710709919</v>
      </c>
      <c r="F24" s="22">
        <f t="shared" si="2"/>
        <v>31.156936776774796</v>
      </c>
    </row>
    <row r="25" spans="1:6" ht="14.25" customHeight="1" x14ac:dyDescent="0.2">
      <c r="A25" s="20">
        <v>21</v>
      </c>
      <c r="B25" s="179" t="s">
        <v>801</v>
      </c>
      <c r="C25" s="180"/>
      <c r="D25" s="15">
        <f t="shared" si="0"/>
        <v>700</v>
      </c>
      <c r="E25" s="18">
        <f t="shared" si="1"/>
        <v>6597.8557437423569</v>
      </c>
      <c r="F25" s="22">
        <f t="shared" si="2"/>
        <v>9.4255082053462242</v>
      </c>
    </row>
    <row r="26" spans="1:6" x14ac:dyDescent="0.2">
      <c r="A26" s="20">
        <v>22</v>
      </c>
      <c r="B26" s="179" t="s">
        <v>19</v>
      </c>
      <c r="C26" s="180"/>
      <c r="D26" s="15">
        <f t="shared" si="0"/>
        <v>0</v>
      </c>
      <c r="E26" s="18">
        <f t="shared" si="1"/>
        <v>0</v>
      </c>
      <c r="F26" s="22" t="str">
        <f t="shared" si="2"/>
        <v/>
      </c>
    </row>
    <row r="27" spans="1:6" x14ac:dyDescent="0.2">
      <c r="A27" s="20">
        <v>23</v>
      </c>
      <c r="B27" s="179" t="s">
        <v>20</v>
      </c>
      <c r="C27" s="180"/>
      <c r="D27" s="15">
        <f t="shared" si="0"/>
        <v>28208</v>
      </c>
      <c r="E27" s="18">
        <f t="shared" si="1"/>
        <v>384211.87259926344</v>
      </c>
      <c r="F27" s="22">
        <f t="shared" si="2"/>
        <v>13.620670469344279</v>
      </c>
    </row>
    <row r="28" spans="1:6" x14ac:dyDescent="0.2">
      <c r="A28" s="20">
        <v>24</v>
      </c>
      <c r="B28" s="179" t="s">
        <v>21</v>
      </c>
      <c r="C28" s="180"/>
      <c r="D28" s="15">
        <f t="shared" si="0"/>
        <v>23760</v>
      </c>
      <c r="E28" s="18">
        <f t="shared" si="1"/>
        <v>254450.81781616915</v>
      </c>
      <c r="F28" s="22">
        <f t="shared" si="2"/>
        <v>10.709209504047523</v>
      </c>
    </row>
    <row r="29" spans="1:6" x14ac:dyDescent="0.2">
      <c r="A29" s="20">
        <v>25</v>
      </c>
      <c r="B29" s="179" t="s">
        <v>22</v>
      </c>
      <c r="C29" s="180"/>
      <c r="D29" s="15">
        <f t="shared" si="0"/>
        <v>145056</v>
      </c>
      <c r="E29" s="18">
        <f t="shared" si="1"/>
        <v>1349908.6210918447</v>
      </c>
      <c r="F29" s="22">
        <f t="shared" si="2"/>
        <v>9.3061205402868179</v>
      </c>
    </row>
    <row r="30" spans="1:6" x14ac:dyDescent="0.2">
      <c r="A30" s="20">
        <v>26</v>
      </c>
      <c r="B30" s="179" t="s">
        <v>23</v>
      </c>
      <c r="C30" s="180"/>
      <c r="D30" s="15">
        <f t="shared" si="0"/>
        <v>49040</v>
      </c>
      <c r="E30" s="18">
        <f t="shared" si="1"/>
        <v>530158.17953303596</v>
      </c>
      <c r="F30" s="22">
        <f t="shared" si="2"/>
        <v>10.810729598960766</v>
      </c>
    </row>
    <row r="31" spans="1:6" x14ac:dyDescent="0.2">
      <c r="A31" s="20">
        <v>28</v>
      </c>
      <c r="B31" s="179" t="s">
        <v>24</v>
      </c>
      <c r="C31" s="180"/>
      <c r="D31" s="15">
        <f t="shared" si="0"/>
        <v>85216</v>
      </c>
      <c r="E31" s="18">
        <f t="shared" si="1"/>
        <v>687541.52436964097</v>
      </c>
      <c r="F31" s="22">
        <f t="shared" si="2"/>
        <v>8.06822104264036</v>
      </c>
    </row>
    <row r="32" spans="1:6" ht="15.75" customHeight="1" thickBot="1" x14ac:dyDescent="0.25">
      <c r="A32" s="23">
        <v>29</v>
      </c>
      <c r="B32" s="181" t="s">
        <v>25</v>
      </c>
      <c r="C32" s="182"/>
      <c r="D32" s="24">
        <f t="shared" si="0"/>
        <v>35392</v>
      </c>
      <c r="E32" s="25">
        <f t="shared" si="1"/>
        <v>427422.30640361353</v>
      </c>
      <c r="F32" s="26">
        <f t="shared" si="2"/>
        <v>12.076805673700653</v>
      </c>
    </row>
    <row r="33" spans="1:6" x14ac:dyDescent="0.2">
      <c r="B33" s="31" t="s">
        <v>35</v>
      </c>
      <c r="C33" s="31"/>
      <c r="D33" s="61">
        <f>SUM(D5:D32)</f>
        <v>1131736</v>
      </c>
      <c r="E33" s="32">
        <f>SUM(E5:E32)</f>
        <v>12174011.999999998</v>
      </c>
      <c r="F33" s="33">
        <f t="shared" si="2"/>
        <v>10.756936246615817</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IF(F3="1",SUMIF(Data!A:A,'18'!$A$2,Data!CU:CU),0)</f>
        <v>18240</v>
      </c>
      <c r="E36" s="16">
        <f>IF(F3="1",SUMIF(Data!$A:$A,'18'!$A$2,Data!IO:IO),0)</f>
        <v>19229</v>
      </c>
      <c r="F36" s="21">
        <f t="shared" ref="F36:F64" si="3">IFERROR(E36/D36,"")</f>
        <v>1.0542214912280701</v>
      </c>
    </row>
    <row r="37" spans="1:6" x14ac:dyDescent="0.2">
      <c r="A37" s="20">
        <v>2</v>
      </c>
      <c r="B37" s="179" t="s">
        <v>1</v>
      </c>
      <c r="C37" s="180"/>
      <c r="D37" s="15">
        <f>IF(F3="1",SUMIF(Data!A:A,'18'!$A$2,Data!CV:CV),0)</f>
        <v>29184</v>
      </c>
      <c r="E37" s="18">
        <f>IF(F3="1",SUMIF(Data!$A:$A,'18'!$A$2,Data!IP:IP),0)</f>
        <v>72323</v>
      </c>
      <c r="F37" s="22">
        <f t="shared" si="3"/>
        <v>2.4781729714912282</v>
      </c>
    </row>
    <row r="38" spans="1:6" ht="14.25" customHeight="1" x14ac:dyDescent="0.2">
      <c r="A38" s="20">
        <v>3</v>
      </c>
      <c r="B38" s="179" t="s">
        <v>2</v>
      </c>
      <c r="C38" s="180"/>
      <c r="D38" s="15">
        <f>IF(F3="1",SUMIF(Data!A:A,'18'!$A$2,Data!CW:CW),0)</f>
        <v>137040</v>
      </c>
      <c r="E38" s="18">
        <f>IF(F3="1",SUMIF(Data!$A:$A,'18'!$A$2,Data!IQ:IQ),0)</f>
        <v>87309</v>
      </c>
      <c r="F38" s="22">
        <f t="shared" si="3"/>
        <v>0.63710595446584939</v>
      </c>
    </row>
    <row r="39" spans="1:6" ht="14.25" customHeight="1" x14ac:dyDescent="0.2">
      <c r="A39" s="20">
        <v>4</v>
      </c>
      <c r="B39" s="179" t="s">
        <v>3</v>
      </c>
      <c r="C39" s="180"/>
      <c r="D39" s="15">
        <f>IF(F3="1",SUMIF(Data!A:A,'18'!$A$2,Data!CX:CX),0)</f>
        <v>43096</v>
      </c>
      <c r="E39" s="18">
        <f>IF(F3="1",SUMIF(Data!$A:$A,'18'!$A$2,Data!IR:IR),0)</f>
        <v>23274</v>
      </c>
      <c r="F39" s="22">
        <f t="shared" si="3"/>
        <v>0.54005012066085023</v>
      </c>
    </row>
    <row r="40" spans="1:6" x14ac:dyDescent="0.2">
      <c r="A40" s="20">
        <v>5</v>
      </c>
      <c r="B40" s="179" t="s">
        <v>4</v>
      </c>
      <c r="C40" s="180"/>
      <c r="D40" s="15">
        <f>IF(F3="1",SUMIF(Data!A:A,'18'!$A$2,Data!CY:CY),0)</f>
        <v>0</v>
      </c>
      <c r="E40" s="18">
        <f>IF(F3="1",SUMIF(Data!$A:$A,'18'!$A$2,Data!IS:IS),0)</f>
        <v>0</v>
      </c>
      <c r="F40" s="22" t="str">
        <f t="shared" si="3"/>
        <v/>
      </c>
    </row>
    <row r="41" spans="1:6" x14ac:dyDescent="0.2">
      <c r="A41" s="20">
        <v>6</v>
      </c>
      <c r="B41" s="179" t="s">
        <v>5</v>
      </c>
      <c r="C41" s="180"/>
      <c r="D41" s="15">
        <f>IF(F3="1",SUMIF(Data!A:A,'18'!$A$2,Data!CZ:CZ),0)</f>
        <v>0</v>
      </c>
      <c r="E41" s="18">
        <f>IF(F3="1",SUMIF(Data!$A:$A,'18'!$A$2,Data!IT:IT),0)</f>
        <v>0</v>
      </c>
      <c r="F41" s="22" t="str">
        <f t="shared" si="3"/>
        <v/>
      </c>
    </row>
    <row r="42" spans="1:6" x14ac:dyDescent="0.2">
      <c r="A42" s="20">
        <v>7</v>
      </c>
      <c r="B42" s="179" t="s">
        <v>6</v>
      </c>
      <c r="C42" s="180"/>
      <c r="D42" s="15">
        <f>IF(F3="1",SUMIF(Data!A:A,'18'!$A$2,Data!DA:DA),0)</f>
        <v>14449</v>
      </c>
      <c r="E42" s="18">
        <f>IF(F3="1",SUMIF(Data!$A:$A,'18'!$A$2,Data!IU:IU),0)</f>
        <v>43729</v>
      </c>
      <c r="F42" s="22">
        <f t="shared" si="3"/>
        <v>3.0264378157657967</v>
      </c>
    </row>
    <row r="43" spans="1:6" x14ac:dyDescent="0.2">
      <c r="A43" s="20">
        <v>8</v>
      </c>
      <c r="B43" s="179" t="s">
        <v>7</v>
      </c>
      <c r="C43" s="180"/>
      <c r="D43" s="15">
        <f>IF(F3="1",SUMIF(Data!A:A,'18'!$A$2,Data!DB:DB),0)</f>
        <v>1344</v>
      </c>
      <c r="E43" s="18">
        <f>IF(F3="1",SUMIF(Data!$A:$A,'18'!$A$2,Data!IV:IV),0)</f>
        <v>16004</v>
      </c>
      <c r="F43" s="22">
        <f t="shared" si="3"/>
        <v>11.907738095238095</v>
      </c>
    </row>
    <row r="44" spans="1:6" x14ac:dyDescent="0.2">
      <c r="A44" s="20">
        <v>9</v>
      </c>
      <c r="B44" s="179" t="s">
        <v>8</v>
      </c>
      <c r="C44" s="180"/>
      <c r="D44" s="15">
        <f>IF(F3="1",SUMIF(Data!A:A,'18'!$A$2,Data!DC:DC),0)</f>
        <v>31616</v>
      </c>
      <c r="E44" s="18">
        <f>IF(F3="1",SUMIF(Data!$A:$A,'18'!$A$2,Data!IW:IW),0)</f>
        <v>40328</v>
      </c>
      <c r="F44" s="22">
        <f t="shared" si="3"/>
        <v>1.2755566801619433</v>
      </c>
    </row>
    <row r="45" spans="1:6" x14ac:dyDescent="0.2">
      <c r="A45" s="20">
        <v>10</v>
      </c>
      <c r="B45" s="179" t="s">
        <v>9</v>
      </c>
      <c r="C45" s="180"/>
      <c r="D45" s="15">
        <f>IF(F3="1",SUMIF(Data!A:A,'18'!$A$2,Data!DD:DD),0)</f>
        <v>0</v>
      </c>
      <c r="E45" s="18">
        <f>IF(F3="1",SUMIF(Data!$A:$A,'18'!$A$2,Data!IX:IX),0)</f>
        <v>0</v>
      </c>
      <c r="F45" s="22" t="str">
        <f t="shared" si="3"/>
        <v/>
      </c>
    </row>
    <row r="46" spans="1:6" x14ac:dyDescent="0.2">
      <c r="A46" s="20">
        <v>11</v>
      </c>
      <c r="B46" s="179" t="s">
        <v>10</v>
      </c>
      <c r="C46" s="180"/>
      <c r="D46" s="15">
        <f>IF(F3="1",SUMIF(Data!A:A,'18'!$A$2,Data!DE:DE),0)</f>
        <v>33216</v>
      </c>
      <c r="E46" s="18">
        <f>IF(F3="1",SUMIF(Data!$A:$A,'18'!$A$2,Data!IY:IY),0)</f>
        <v>51887</v>
      </c>
      <c r="F46" s="22">
        <f t="shared" si="3"/>
        <v>1.5621086223506744</v>
      </c>
    </row>
    <row r="47" spans="1:6" ht="14.25" customHeight="1" x14ac:dyDescent="0.2">
      <c r="A47" s="20">
        <v>12</v>
      </c>
      <c r="B47" s="179" t="s">
        <v>11</v>
      </c>
      <c r="C47" s="180"/>
      <c r="D47" s="15">
        <f>IF(F3="1",SUMIF(Data!A:A,'18'!$A$2,Data!DF:DF),0)</f>
        <v>115632</v>
      </c>
      <c r="E47" s="18">
        <f>IF(F3="1",SUMIF(Data!$A:$A,'18'!$A$2,Data!IZ:IZ),0)</f>
        <v>80490</v>
      </c>
      <c r="F47" s="22">
        <f t="shared" si="3"/>
        <v>0.69608758821087591</v>
      </c>
    </row>
    <row r="48" spans="1:6" x14ac:dyDescent="0.2">
      <c r="A48" s="20">
        <v>13</v>
      </c>
      <c r="B48" s="179" t="s">
        <v>12</v>
      </c>
      <c r="C48" s="180"/>
      <c r="D48" s="15">
        <f>IF(F3="1",SUMIF(Data!A:A,'18'!$A$2,Data!DG:DG),0)</f>
        <v>8192</v>
      </c>
      <c r="E48" s="18">
        <f>IF(F3="1",SUMIF(Data!$A:$A,'18'!$A$2,Data!JA:JA),0)</f>
        <v>1699</v>
      </c>
      <c r="F48" s="22">
        <f t="shared" si="3"/>
        <v>0.2073974609375</v>
      </c>
    </row>
    <row r="49" spans="1:6" ht="14.25" customHeight="1" x14ac:dyDescent="0.2">
      <c r="A49" s="20">
        <v>14</v>
      </c>
      <c r="B49" s="179" t="s">
        <v>804</v>
      </c>
      <c r="C49" s="180"/>
      <c r="D49" s="15">
        <f>IF(F3="1",SUMIF(Data!A:A,'18'!$A$2,Data!DH:DH),0)</f>
        <v>82644</v>
      </c>
      <c r="E49" s="18">
        <f>IF(F3="1",SUMIF(Data!$A:$A,'18'!$A$2,Data!JB:JB),0)</f>
        <v>286336</v>
      </c>
      <c r="F49" s="22">
        <f t="shared" si="3"/>
        <v>3.4646919316586806</v>
      </c>
    </row>
    <row r="50" spans="1:6" x14ac:dyDescent="0.2">
      <c r="A50" s="20">
        <v>15</v>
      </c>
      <c r="B50" s="179" t="s">
        <v>13</v>
      </c>
      <c r="C50" s="180"/>
      <c r="D50" s="15">
        <f>IF(F3="1",SUMIF(Data!A:A,'18'!$A$2,Data!DI:DI),0)</f>
        <v>0</v>
      </c>
      <c r="E50" s="18">
        <f>IF(F3="1",SUMIF(Data!$A:$A,'18'!$A$2,Data!JC:JC),0)</f>
        <v>0</v>
      </c>
      <c r="F50" s="22" t="str">
        <f t="shared" si="3"/>
        <v/>
      </c>
    </row>
    <row r="51" spans="1:6" x14ac:dyDescent="0.2">
      <c r="A51" s="20">
        <v>16</v>
      </c>
      <c r="B51" s="179" t="s">
        <v>14</v>
      </c>
      <c r="C51" s="180"/>
      <c r="D51" s="15">
        <f>IF(F3="1",SUMIF(Data!A:A,'18'!$A$2,Data!DJ:DJ),0)</f>
        <v>167399</v>
      </c>
      <c r="E51" s="18">
        <f>IF(F3="1",SUMIF(Data!$A:$A,'18'!$A$2,Data!JD:JD),0)</f>
        <v>200693</v>
      </c>
      <c r="F51" s="22">
        <f t="shared" si="3"/>
        <v>1.1988900770016546</v>
      </c>
    </row>
    <row r="52" spans="1:6" x14ac:dyDescent="0.2">
      <c r="A52" s="20">
        <v>17</v>
      </c>
      <c r="B52" s="179" t="s">
        <v>15</v>
      </c>
      <c r="C52" s="180"/>
      <c r="D52" s="15">
        <f>IF(F3="1",SUMIF(Data!A:A,'18'!$A$2,Data!DK:DK),0)</f>
        <v>0</v>
      </c>
      <c r="E52" s="18">
        <f>IF(F3="1",SUMIF(Data!$A:$A,'18'!$A$2,Data!JE:JE),0)</f>
        <v>0</v>
      </c>
      <c r="F52" s="22" t="str">
        <f t="shared" si="3"/>
        <v/>
      </c>
    </row>
    <row r="53" spans="1:6" x14ac:dyDescent="0.2">
      <c r="A53" s="20">
        <v>18</v>
      </c>
      <c r="B53" s="179" t="s">
        <v>16</v>
      </c>
      <c r="C53" s="180"/>
      <c r="D53" s="15">
        <f>IF(F3="1",SUMIF(Data!A:A,'18'!$A$2,Data!DL:DL),0)</f>
        <v>37552</v>
      </c>
      <c r="E53" s="18">
        <f>IF(F3="1",SUMIF(Data!$A:$A,'18'!$A$2,Data!JF:JF),0)</f>
        <v>40790</v>
      </c>
      <c r="F53" s="22">
        <f t="shared" si="3"/>
        <v>1.0862270984235194</v>
      </c>
    </row>
    <row r="54" spans="1:6" x14ac:dyDescent="0.2">
      <c r="A54" s="20">
        <v>19</v>
      </c>
      <c r="B54" s="179" t="s">
        <v>17</v>
      </c>
      <c r="C54" s="180"/>
      <c r="D54" s="15">
        <f>IF(F3="1",SUMIF(Data!A:A,'18'!$A$2,Data!DM:DM),0)</f>
        <v>44720</v>
      </c>
      <c r="E54" s="18">
        <f>IF(F3="1",SUMIF(Data!$A:$A,'18'!$A$2,Data!JG:JG),0)</f>
        <v>59582</v>
      </c>
      <c r="F54" s="22">
        <f t="shared" si="3"/>
        <v>1.332334525939177</v>
      </c>
    </row>
    <row r="55" spans="1:6" x14ac:dyDescent="0.2">
      <c r="A55" s="20">
        <v>20</v>
      </c>
      <c r="B55" s="179" t="s">
        <v>18</v>
      </c>
      <c r="C55" s="180"/>
      <c r="D55" s="15">
        <f>IF(F3="1",SUMIF(Data!A:A,'18'!$A$2,Data!DN:DN),0)</f>
        <v>40</v>
      </c>
      <c r="E55" s="18">
        <f>IF(F3="1",SUMIF(Data!$A:$A,'18'!$A$2,Data!JH:JH),0)</f>
        <v>510</v>
      </c>
      <c r="F55" s="22">
        <f t="shared" si="3"/>
        <v>12.75</v>
      </c>
    </row>
    <row r="56" spans="1:6" ht="14.25" customHeight="1" x14ac:dyDescent="0.2">
      <c r="A56" s="20">
        <v>21</v>
      </c>
      <c r="B56" s="179" t="s">
        <v>801</v>
      </c>
      <c r="C56" s="180"/>
      <c r="D56" s="15">
        <f>IF(F3="1",SUMIF(Data!A:A,'18'!$A$2,Data!DO:DO),0)</f>
        <v>700</v>
      </c>
      <c r="E56" s="18">
        <f>IF(F3="1",SUMIF(Data!$A:$A,'18'!$A$2,Data!JI:JI),0)</f>
        <v>1463</v>
      </c>
      <c r="F56" s="22">
        <f t="shared" si="3"/>
        <v>2.09</v>
      </c>
    </row>
    <row r="57" spans="1:6" x14ac:dyDescent="0.2">
      <c r="A57" s="20">
        <v>22</v>
      </c>
      <c r="B57" s="179" t="s">
        <v>19</v>
      </c>
      <c r="C57" s="180"/>
      <c r="D57" s="15">
        <f>IF(F3="1",SUMIF(Data!A:A,'18'!$A$2,Data!DP:DP),0)</f>
        <v>0</v>
      </c>
      <c r="E57" s="18">
        <f>IF(F3="1",SUMIF(Data!$A:$A,'18'!$A$2,Data!JJ:JJ),0)</f>
        <v>0</v>
      </c>
      <c r="F57" s="22" t="str">
        <f t="shared" si="3"/>
        <v/>
      </c>
    </row>
    <row r="58" spans="1:6" x14ac:dyDescent="0.2">
      <c r="A58" s="20">
        <v>23</v>
      </c>
      <c r="B58" s="179" t="s">
        <v>20</v>
      </c>
      <c r="C58" s="180"/>
      <c r="D58" s="15">
        <f>IF(F3="1",SUMIF(Data!A:A,'18'!$A$2,Data!DQ:DQ),0)</f>
        <v>28208</v>
      </c>
      <c r="E58" s="18">
        <f>IF(F3="1",SUMIF(Data!$A:$A,'18'!$A$2,Data!JK:JK),0)</f>
        <v>128008</v>
      </c>
      <c r="F58" s="22">
        <f t="shared" si="3"/>
        <v>4.5380034032898466</v>
      </c>
    </row>
    <row r="59" spans="1:6" x14ac:dyDescent="0.2">
      <c r="A59" s="20">
        <v>24</v>
      </c>
      <c r="B59" s="179" t="s">
        <v>21</v>
      </c>
      <c r="C59" s="180"/>
      <c r="D59" s="15">
        <f>IF(F3="1",SUMIF(Data!A:A,'18'!$A$2,Data!DR:DR),0)</f>
        <v>23760</v>
      </c>
      <c r="E59" s="18">
        <f>IF(F3="1",SUMIF(Data!$A:$A,'18'!$A$2,Data!JL:JL),0)</f>
        <v>44069</v>
      </c>
      <c r="F59" s="22">
        <f t="shared" si="3"/>
        <v>1.8547558922558922</v>
      </c>
    </row>
    <row r="60" spans="1:6" x14ac:dyDescent="0.2">
      <c r="A60" s="20">
        <v>25</v>
      </c>
      <c r="B60" s="179" t="s">
        <v>22</v>
      </c>
      <c r="C60" s="180"/>
      <c r="D60" s="15">
        <f>IF(F3="1",SUMIF(Data!A:A,'18'!$A$2,Data!DS:DS),0)</f>
        <v>145056</v>
      </c>
      <c r="E60" s="18">
        <f>IF(F3="1",SUMIF(Data!$A:$A,'18'!$A$2,Data!JM:JM),0)</f>
        <v>63162</v>
      </c>
      <c r="F60" s="22">
        <f t="shared" si="3"/>
        <v>0.43543183322303108</v>
      </c>
    </row>
    <row r="61" spans="1:6" x14ac:dyDescent="0.2">
      <c r="A61" s="20">
        <v>26</v>
      </c>
      <c r="B61" s="179" t="s">
        <v>23</v>
      </c>
      <c r="C61" s="180"/>
      <c r="D61" s="15">
        <f>IF(F3="1",SUMIF(Data!A:A,'18'!$A$2,Data!DT:DT),0)</f>
        <v>49040</v>
      </c>
      <c r="E61" s="18">
        <f>IF(F3="1",SUMIF(Data!$A:$A,'18'!$A$2,Data!JN:JN),0)</f>
        <v>42245</v>
      </c>
      <c r="F61" s="22">
        <f t="shared" si="3"/>
        <v>0.86143964110929849</v>
      </c>
    </row>
    <row r="62" spans="1:6" x14ac:dyDescent="0.2">
      <c r="A62" s="20">
        <v>28</v>
      </c>
      <c r="B62" s="179" t="s">
        <v>24</v>
      </c>
      <c r="C62" s="180"/>
      <c r="D62" s="15">
        <f>IF(F3="1",SUMIF(Data!A:A,'18'!$A$2,Data!DV:DV),0)</f>
        <v>85216</v>
      </c>
      <c r="E62" s="18">
        <f>IF(F3="1",SUMIF(Data!$A:$A,'18'!$A$2,Data!JP:JP),0)</f>
        <v>21877</v>
      </c>
      <c r="F62" s="22">
        <f t="shared" si="3"/>
        <v>0.25672408937288771</v>
      </c>
    </row>
    <row r="63" spans="1:6" ht="15.75" customHeight="1" thickBot="1" x14ac:dyDescent="0.25">
      <c r="A63" s="23">
        <v>29</v>
      </c>
      <c r="B63" s="181" t="s">
        <v>25</v>
      </c>
      <c r="C63" s="182"/>
      <c r="D63" s="24">
        <f>IF(F3="1",SUMIF(Data!A:A,'18'!$A$2,Data!DW:DW),0)</f>
        <v>35392</v>
      </c>
      <c r="E63" s="25">
        <f>IF(F3="1",SUMIF(Data!$A:$A,'18'!$A$2,Data!JQ:JQ),0)</f>
        <v>36042</v>
      </c>
      <c r="F63" s="26">
        <f t="shared" si="3"/>
        <v>1.0183657323688968</v>
      </c>
    </row>
    <row r="64" spans="1:6" x14ac:dyDescent="0.2">
      <c r="B64" s="31" t="s">
        <v>35</v>
      </c>
      <c r="C64" s="31"/>
      <c r="D64" s="61">
        <f>SUM(D36:D63)</f>
        <v>1131736</v>
      </c>
      <c r="E64" s="32">
        <f>SUM(E36:E63)</f>
        <v>1361049</v>
      </c>
      <c r="F64" s="33">
        <f t="shared" si="3"/>
        <v>1.2026205758233368</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18240</v>
      </c>
      <c r="E67" s="16">
        <f>IF(F3="1",SUMIF(Data!A:A,'18'!$A$2,Data!DY:DY),0)</f>
        <v>40903</v>
      </c>
      <c r="F67" s="21">
        <f>IFERROR(E67/D67,"")</f>
        <v>2.2424890350877194</v>
      </c>
    </row>
    <row r="68" spans="1:6" x14ac:dyDescent="0.2">
      <c r="A68" s="20">
        <v>2</v>
      </c>
      <c r="B68" s="179" t="s">
        <v>1</v>
      </c>
      <c r="C68" s="180"/>
      <c r="D68" s="15">
        <f t="shared" ref="D68:D94" si="4">D37</f>
        <v>29184</v>
      </c>
      <c r="E68" s="18">
        <f>IF(F3="1",SUMIF(Data!A:A,'18'!$A$2,Data!DZ:DZ),0)</f>
        <v>95412</v>
      </c>
      <c r="F68" s="22">
        <f t="shared" ref="F68:F95" si="5">IFERROR(E68/D68,"")</f>
        <v>3.2693256578947367</v>
      </c>
    </row>
    <row r="69" spans="1:6" ht="14.25" customHeight="1" x14ac:dyDescent="0.2">
      <c r="A69" s="20">
        <v>3</v>
      </c>
      <c r="B69" s="179" t="s">
        <v>2</v>
      </c>
      <c r="C69" s="180"/>
      <c r="D69" s="15">
        <f t="shared" si="4"/>
        <v>137040</v>
      </c>
      <c r="E69" s="18">
        <f>IF(F3="1",SUMIF(Data!A:A,'18'!$A$2,Data!EA:EA),0)</f>
        <v>488077</v>
      </c>
      <c r="F69" s="22">
        <f t="shared" si="5"/>
        <v>3.5615659661412726</v>
      </c>
    </row>
    <row r="70" spans="1:6" ht="14.25" customHeight="1" x14ac:dyDescent="0.2">
      <c r="A70" s="20">
        <v>4</v>
      </c>
      <c r="B70" s="179" t="s">
        <v>3</v>
      </c>
      <c r="C70" s="180"/>
      <c r="D70" s="15">
        <f t="shared" si="4"/>
        <v>43096</v>
      </c>
      <c r="E70" s="18">
        <f>IF(F3="1",SUMIF(Data!A:A,'18'!$A$2,Data!EB:EB),0)</f>
        <v>164329</v>
      </c>
      <c r="F70" s="22">
        <f t="shared" si="5"/>
        <v>3.8130917022461484</v>
      </c>
    </row>
    <row r="71" spans="1:6" x14ac:dyDescent="0.2">
      <c r="A71" s="20">
        <v>5</v>
      </c>
      <c r="B71" s="179" t="s">
        <v>4</v>
      </c>
      <c r="C71" s="180"/>
      <c r="D71" s="15">
        <f t="shared" si="4"/>
        <v>0</v>
      </c>
      <c r="E71" s="18">
        <f>IF(F3="1",SUMIF(Data!A:A,'18'!$A$2,Data!EC:EC),0)</f>
        <v>0</v>
      </c>
      <c r="F71" s="22" t="str">
        <f t="shared" si="5"/>
        <v/>
      </c>
    </row>
    <row r="72" spans="1:6" x14ac:dyDescent="0.2">
      <c r="A72" s="20">
        <v>6</v>
      </c>
      <c r="B72" s="179" t="s">
        <v>5</v>
      </c>
      <c r="C72" s="180"/>
      <c r="D72" s="15">
        <f t="shared" si="4"/>
        <v>0</v>
      </c>
      <c r="E72" s="18">
        <f>IF(F3="1",SUMIF(Data!A:A,'18'!$A$2,Data!ED:ED),0)</f>
        <v>0</v>
      </c>
      <c r="F72" s="22" t="str">
        <f t="shared" si="5"/>
        <v/>
      </c>
    </row>
    <row r="73" spans="1:6" x14ac:dyDescent="0.2">
      <c r="A73" s="20">
        <v>7</v>
      </c>
      <c r="B73" s="179" t="s">
        <v>6</v>
      </c>
      <c r="C73" s="180"/>
      <c r="D73" s="15">
        <f t="shared" si="4"/>
        <v>14449</v>
      </c>
      <c r="E73" s="18">
        <f>IF(F3="1",SUMIF(Data!A:A,'18'!$A$2,Data!EE:EE),0)</f>
        <v>62992</v>
      </c>
      <c r="F73" s="22">
        <f t="shared" si="5"/>
        <v>4.3596096615682747</v>
      </c>
    </row>
    <row r="74" spans="1:6" x14ac:dyDescent="0.2">
      <c r="A74" s="20">
        <v>8</v>
      </c>
      <c r="B74" s="179" t="s">
        <v>7</v>
      </c>
      <c r="C74" s="180"/>
      <c r="D74" s="15">
        <f t="shared" si="4"/>
        <v>1344</v>
      </c>
      <c r="E74" s="18">
        <f>IF(F3="1",SUMIF(Data!A:A,'18'!$A$2,Data!EF:EF),0)</f>
        <v>7875</v>
      </c>
      <c r="F74" s="22">
        <f t="shared" si="5"/>
        <v>5.859375</v>
      </c>
    </row>
    <row r="75" spans="1:6" x14ac:dyDescent="0.2">
      <c r="A75" s="20">
        <v>9</v>
      </c>
      <c r="B75" s="179" t="s">
        <v>8</v>
      </c>
      <c r="C75" s="180"/>
      <c r="D75" s="15">
        <f t="shared" si="4"/>
        <v>31616</v>
      </c>
      <c r="E75" s="18">
        <f>IF(F3="1",SUMIF(Data!A:A,'18'!$A$2,Data!EG:EG),0)</f>
        <v>71278</v>
      </c>
      <c r="F75" s="22">
        <f t="shared" si="5"/>
        <v>2.2544913967611335</v>
      </c>
    </row>
    <row r="76" spans="1:6" x14ac:dyDescent="0.2">
      <c r="A76" s="20">
        <v>10</v>
      </c>
      <c r="B76" s="179" t="s">
        <v>9</v>
      </c>
      <c r="C76" s="180"/>
      <c r="D76" s="15">
        <f t="shared" si="4"/>
        <v>0</v>
      </c>
      <c r="E76" s="18">
        <f>IF(F3="1",SUMIF(Data!A:A,'18'!$A$2,Data!EH:EH),0)</f>
        <v>0</v>
      </c>
      <c r="F76" s="22" t="str">
        <f t="shared" si="5"/>
        <v/>
      </c>
    </row>
    <row r="77" spans="1:6" x14ac:dyDescent="0.2">
      <c r="A77" s="20">
        <v>11</v>
      </c>
      <c r="B77" s="179" t="s">
        <v>10</v>
      </c>
      <c r="C77" s="180"/>
      <c r="D77" s="15">
        <f t="shared" si="4"/>
        <v>33216</v>
      </c>
      <c r="E77" s="18">
        <f>IF(F3="1",SUMIF(Data!A:A,'18'!$A$2,Data!EI:EI),0)</f>
        <v>48389</v>
      </c>
      <c r="F77" s="22">
        <f t="shared" si="5"/>
        <v>1.4567979287090558</v>
      </c>
    </row>
    <row r="78" spans="1:6" ht="14.25" customHeight="1" x14ac:dyDescent="0.2">
      <c r="A78" s="20">
        <v>12</v>
      </c>
      <c r="B78" s="179" t="s">
        <v>11</v>
      </c>
      <c r="C78" s="180"/>
      <c r="D78" s="15">
        <f t="shared" si="4"/>
        <v>115632</v>
      </c>
      <c r="E78" s="18">
        <f>IF(F3="1",SUMIF(Data!A:A,'18'!$A$2,Data!EJ:EJ),0)</f>
        <v>314807</v>
      </c>
      <c r="F78" s="22">
        <f t="shared" si="5"/>
        <v>2.7224903140999031</v>
      </c>
    </row>
    <row r="79" spans="1:6" x14ac:dyDescent="0.2">
      <c r="A79" s="20">
        <v>13</v>
      </c>
      <c r="B79" s="179" t="s">
        <v>12</v>
      </c>
      <c r="C79" s="180"/>
      <c r="D79" s="15">
        <f t="shared" si="4"/>
        <v>8192</v>
      </c>
      <c r="E79" s="18">
        <f>IF(F3="1",SUMIF(Data!A:A,'18'!$A$2,Data!EK:EK),0)</f>
        <v>8694</v>
      </c>
      <c r="F79" s="22">
        <f t="shared" si="5"/>
        <v>1.061279296875</v>
      </c>
    </row>
    <row r="80" spans="1:6" ht="14.25" customHeight="1" x14ac:dyDescent="0.2">
      <c r="A80" s="20">
        <v>14</v>
      </c>
      <c r="B80" s="179" t="s">
        <v>804</v>
      </c>
      <c r="C80" s="180"/>
      <c r="D80" s="15">
        <f t="shared" si="4"/>
        <v>82644</v>
      </c>
      <c r="E80" s="18">
        <f>IF(F3="1",SUMIF(Data!A:A,'18'!$A$2,Data!EL:EL),0)</f>
        <v>615674</v>
      </c>
      <c r="F80" s="22">
        <f t="shared" si="5"/>
        <v>7.4497120178113354</v>
      </c>
    </row>
    <row r="81" spans="1:6" x14ac:dyDescent="0.2">
      <c r="A81" s="20">
        <v>15</v>
      </c>
      <c r="B81" s="179" t="s">
        <v>13</v>
      </c>
      <c r="C81" s="180"/>
      <c r="D81" s="15">
        <f t="shared" si="4"/>
        <v>0</v>
      </c>
      <c r="E81" s="18">
        <f>IF(F3="1",SUMIF(Data!A:A,'18'!$A$2,Data!EM:EM),0)</f>
        <v>0</v>
      </c>
      <c r="F81" s="22" t="str">
        <f t="shared" si="5"/>
        <v/>
      </c>
    </row>
    <row r="82" spans="1:6" x14ac:dyDescent="0.2">
      <c r="A82" s="20">
        <v>16</v>
      </c>
      <c r="B82" s="179" t="s">
        <v>14</v>
      </c>
      <c r="C82" s="180"/>
      <c r="D82" s="15">
        <f t="shared" si="4"/>
        <v>167399</v>
      </c>
      <c r="E82" s="18">
        <f>IF(F3="1",SUMIF(Data!A:A,'18'!$A$2,Data!EN:EN),0)</f>
        <v>727458</v>
      </c>
      <c r="F82" s="22">
        <f t="shared" si="5"/>
        <v>4.3456531998399033</v>
      </c>
    </row>
    <row r="83" spans="1:6" x14ac:dyDescent="0.2">
      <c r="A83" s="20">
        <v>17</v>
      </c>
      <c r="B83" s="179" t="s">
        <v>15</v>
      </c>
      <c r="C83" s="180"/>
      <c r="D83" s="15">
        <f t="shared" si="4"/>
        <v>0</v>
      </c>
      <c r="E83" s="18">
        <f>IF(F3="1",SUMIF(Data!A:A,'18'!$A$2,Data!EO:EO),0)</f>
        <v>0</v>
      </c>
      <c r="F83" s="22" t="str">
        <f t="shared" si="5"/>
        <v/>
      </c>
    </row>
    <row r="84" spans="1:6" x14ac:dyDescent="0.2">
      <c r="A84" s="20">
        <v>18</v>
      </c>
      <c r="B84" s="179" t="s">
        <v>16</v>
      </c>
      <c r="C84" s="180"/>
      <c r="D84" s="15">
        <f t="shared" si="4"/>
        <v>37552</v>
      </c>
      <c r="E84" s="18">
        <f>IF(F3="1",SUMIF(Data!A:A,'18'!$A$2,Data!EP:EP),0)</f>
        <v>184404</v>
      </c>
      <c r="F84" s="22">
        <f t="shared" si="5"/>
        <v>4.9106305922454201</v>
      </c>
    </row>
    <row r="85" spans="1:6" x14ac:dyDescent="0.2">
      <c r="A85" s="20">
        <v>19</v>
      </c>
      <c r="B85" s="179" t="s">
        <v>17</v>
      </c>
      <c r="C85" s="180"/>
      <c r="D85" s="15">
        <f t="shared" si="4"/>
        <v>44720</v>
      </c>
      <c r="E85" s="18">
        <f>IF(F3="1",SUMIF(Data!A:A,'18'!$A$2,Data!EQ:EQ),0)</f>
        <v>163696</v>
      </c>
      <c r="F85" s="22">
        <f t="shared" si="5"/>
        <v>3.6604651162790698</v>
      </c>
    </row>
    <row r="86" spans="1:6" x14ac:dyDescent="0.2">
      <c r="A86" s="20">
        <v>20</v>
      </c>
      <c r="B86" s="179" t="s">
        <v>18</v>
      </c>
      <c r="C86" s="180"/>
      <c r="D86" s="15">
        <f t="shared" si="4"/>
        <v>40</v>
      </c>
      <c r="E86" s="18">
        <f>IF(F3="1",SUMIF(Data!A:A,'18'!$A$2,Data!ER:ER),0)</f>
        <v>500</v>
      </c>
      <c r="F86" s="22">
        <f t="shared" si="5"/>
        <v>12.5</v>
      </c>
    </row>
    <row r="87" spans="1:6" ht="14.25" customHeight="1" x14ac:dyDescent="0.2">
      <c r="A87" s="20">
        <v>21</v>
      </c>
      <c r="B87" s="179" t="s">
        <v>801</v>
      </c>
      <c r="C87" s="180"/>
      <c r="D87" s="15">
        <f t="shared" si="4"/>
        <v>700</v>
      </c>
      <c r="E87" s="18">
        <f>IF(F3="1",SUMIF(Data!A:A,'18'!$A$2,Data!ES:ES),0)</f>
        <v>1000</v>
      </c>
      <c r="F87" s="22">
        <f t="shared" si="5"/>
        <v>1.4285714285714286</v>
      </c>
    </row>
    <row r="88" spans="1:6" x14ac:dyDescent="0.2">
      <c r="A88" s="20">
        <v>22</v>
      </c>
      <c r="B88" s="179" t="s">
        <v>19</v>
      </c>
      <c r="C88" s="180"/>
      <c r="D88" s="15">
        <f t="shared" si="4"/>
        <v>0</v>
      </c>
      <c r="E88" s="18">
        <f>IF(F3="1",SUMIF(Data!A:A,'18'!$A$2,Data!ET:ET),0)</f>
        <v>0</v>
      </c>
      <c r="F88" s="22" t="str">
        <f t="shared" si="5"/>
        <v/>
      </c>
    </row>
    <row r="89" spans="1:6" x14ac:dyDescent="0.2">
      <c r="A89" s="20">
        <v>23</v>
      </c>
      <c r="B89" s="179" t="s">
        <v>20</v>
      </c>
      <c r="C89" s="180"/>
      <c r="D89" s="15">
        <f t="shared" si="4"/>
        <v>28208</v>
      </c>
      <c r="E89" s="18">
        <f>IF(F3="1",SUMIF(Data!A:A,'18'!$A$2,Data!EU:EU),0)</f>
        <v>89581</v>
      </c>
      <c r="F89" s="22">
        <f t="shared" si="5"/>
        <v>3.1757302892796369</v>
      </c>
    </row>
    <row r="90" spans="1:6" x14ac:dyDescent="0.2">
      <c r="A90" s="20">
        <v>24</v>
      </c>
      <c r="B90" s="179" t="s">
        <v>21</v>
      </c>
      <c r="C90" s="180"/>
      <c r="D90" s="15">
        <f t="shared" si="4"/>
        <v>23760</v>
      </c>
      <c r="E90" s="18">
        <f>IF(F3="1",SUMIF(Data!A:A,'18'!$A$2,Data!EV:EV),0)</f>
        <v>70033</v>
      </c>
      <c r="F90" s="22">
        <f t="shared" si="5"/>
        <v>2.947516835016835</v>
      </c>
    </row>
    <row r="91" spans="1:6" x14ac:dyDescent="0.2">
      <c r="A91" s="20">
        <v>25</v>
      </c>
      <c r="B91" s="179" t="s">
        <v>22</v>
      </c>
      <c r="C91" s="180"/>
      <c r="D91" s="15">
        <f t="shared" si="4"/>
        <v>145056</v>
      </c>
      <c r="E91" s="18">
        <f>IF(F3="1",SUMIF(Data!A:A,'18'!$A$2,Data!EW:EW),0)</f>
        <v>429910</v>
      </c>
      <c r="F91" s="22">
        <f t="shared" si="5"/>
        <v>2.9637519302889919</v>
      </c>
    </row>
    <row r="92" spans="1:6" x14ac:dyDescent="0.2">
      <c r="A92" s="20">
        <v>26</v>
      </c>
      <c r="B92" s="179" t="s">
        <v>23</v>
      </c>
      <c r="C92" s="180"/>
      <c r="D92" s="15">
        <f t="shared" si="4"/>
        <v>49040</v>
      </c>
      <c r="E92" s="18">
        <f>IF(F3="1",SUMIF(Data!A:A,'18'!$A$2,Data!EX:EX),0)</f>
        <v>198237</v>
      </c>
      <c r="F92" s="22">
        <f t="shared" si="5"/>
        <v>4.0423531810766722</v>
      </c>
    </row>
    <row r="93" spans="1:6" x14ac:dyDescent="0.2">
      <c r="A93" s="20">
        <v>28</v>
      </c>
      <c r="B93" s="179" t="s">
        <v>24</v>
      </c>
      <c r="C93" s="180"/>
      <c r="D93" s="15">
        <f t="shared" si="4"/>
        <v>85216</v>
      </c>
      <c r="E93" s="18">
        <f>IF(F3="1",SUMIF(Data!A:A,'18'!$A$2,Data!EZ:EZ),0)</f>
        <v>162299</v>
      </c>
      <c r="F93" s="22">
        <f t="shared" si="5"/>
        <v>1.9045601764926774</v>
      </c>
    </row>
    <row r="94" spans="1:6" ht="15.75" customHeight="1" thickBot="1" x14ac:dyDescent="0.25">
      <c r="A94" s="23">
        <v>29</v>
      </c>
      <c r="B94" s="181" t="s">
        <v>25</v>
      </c>
      <c r="C94" s="182"/>
      <c r="D94" s="24">
        <f t="shared" si="4"/>
        <v>35392</v>
      </c>
      <c r="E94" s="25">
        <f>IF(F3="1",SUMIF(Data!A:A,'18'!$A$2,Data!FA:FA),0)</f>
        <v>182322</v>
      </c>
      <c r="F94" s="26">
        <f t="shared" si="5"/>
        <v>5.1515031645569618</v>
      </c>
    </row>
    <row r="95" spans="1:6" x14ac:dyDescent="0.2">
      <c r="B95" s="31" t="s">
        <v>35</v>
      </c>
      <c r="C95" s="31"/>
      <c r="D95" s="61">
        <f>SUM(D67:D94)</f>
        <v>1131736</v>
      </c>
      <c r="E95" s="32">
        <f>SUM(E67:E94)</f>
        <v>4127870</v>
      </c>
      <c r="F95" s="33">
        <f t="shared" si="5"/>
        <v>3.6473788940176859</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IF(F3="1",SUMIF(Data!A:A,'18'!$A$2,Data!AH:AH),0)</f>
        <v>3342741</v>
      </c>
      <c r="F98" s="21">
        <f t="shared" ref="F98:F105" si="6">IFERROR(E98/$D$95,0)</f>
        <v>2.9536402482557769</v>
      </c>
    </row>
    <row r="99" spans="2:6" x14ac:dyDescent="0.2">
      <c r="B99" s="185" t="s">
        <v>31</v>
      </c>
      <c r="C99" s="186"/>
      <c r="D99" s="37"/>
      <c r="E99" s="18">
        <f>IF(F3="1",SUMIF(Data!A:A,'18'!$A$2,Data!AI:AI),0)</f>
        <v>1376999</v>
      </c>
      <c r="F99" s="22">
        <f t="shared" si="6"/>
        <v>1.2167139686287261</v>
      </c>
    </row>
    <row r="100" spans="2:6" x14ac:dyDescent="0.2">
      <c r="B100" s="185" t="s">
        <v>32</v>
      </c>
      <c r="C100" s="186"/>
      <c r="D100" s="37"/>
      <c r="E100" s="18">
        <f>IF(F3="1",SUMIF(Data!A:A,'18'!$A$2,Data!AJ:AJ),0)</f>
        <v>1092349</v>
      </c>
      <c r="F100" s="22">
        <f t="shared" si="6"/>
        <v>0.96519771395449117</v>
      </c>
    </row>
    <row r="101" spans="2:6" x14ac:dyDescent="0.2">
      <c r="B101" s="185" t="s">
        <v>28</v>
      </c>
      <c r="C101" s="186"/>
      <c r="D101" s="37"/>
      <c r="E101" s="18">
        <f>IF(F3="1",SUMIF(Data!A:A,'18'!$A$2,Data!AK:AK),0)</f>
        <v>0</v>
      </c>
      <c r="F101" s="22">
        <f t="shared" si="6"/>
        <v>0</v>
      </c>
    </row>
    <row r="102" spans="2:6" x14ac:dyDescent="0.2">
      <c r="B102" s="185" t="s">
        <v>33</v>
      </c>
      <c r="C102" s="186"/>
      <c r="D102" s="37"/>
      <c r="E102" s="18">
        <f>IF(F3="1",SUMIF(Data!A:A,'18'!$A$2,Data!AL:AL),0)</f>
        <v>0</v>
      </c>
      <c r="F102" s="22">
        <f t="shared" si="6"/>
        <v>0</v>
      </c>
    </row>
    <row r="103" spans="2:6" x14ac:dyDescent="0.2">
      <c r="B103" s="187" t="s">
        <v>34</v>
      </c>
      <c r="C103" s="188"/>
      <c r="D103" s="37"/>
      <c r="E103" s="18">
        <f>IF(F3="1",SUMIF(Data!A:A,'18'!$A$2,Data!AM:AM),0)</f>
        <v>336012</v>
      </c>
      <c r="F103" s="22">
        <f t="shared" si="6"/>
        <v>0.29689963030247335</v>
      </c>
    </row>
    <row r="104" spans="2:6" ht="15.75" customHeight="1" thickBot="1" x14ac:dyDescent="0.25">
      <c r="B104" s="177" t="s">
        <v>29</v>
      </c>
      <c r="C104" s="178"/>
      <c r="D104" s="38"/>
      <c r="E104" s="25">
        <f>IF(F3="1",SUMIF(Data!A:A,'18'!$A$2,Data!Q:Q),0)</f>
        <v>536992</v>
      </c>
      <c r="F104" s="26">
        <f t="shared" si="6"/>
        <v>0.47448521563332791</v>
      </c>
    </row>
    <row r="105" spans="2:6" x14ac:dyDescent="0.2">
      <c r="B105" s="31" t="s">
        <v>35</v>
      </c>
      <c r="C105" s="31"/>
      <c r="D105" s="35">
        <f>D95</f>
        <v>1131736</v>
      </c>
      <c r="E105" s="32">
        <f>SUM(E98:E104)</f>
        <v>6685093</v>
      </c>
      <c r="F105" s="33">
        <f t="shared" si="6"/>
        <v>5.9069367767747956</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4454909</v>
      </c>
      <c r="D109" s="16">
        <f>IF(F3="1",SUMIF(Data!$A:$A,$A$2,Data!HJ:HJ),0)</f>
        <v>457450</v>
      </c>
      <c r="E109" s="16">
        <f>IF(F3="1",SUMIF(Data!$A:$A,$A$2,Data!IN:IN),0)</f>
        <v>576562</v>
      </c>
      <c r="F109" s="48">
        <f>SUM(C109:E109)</f>
        <v>5488921</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18390</v>
      </c>
      <c r="D111" s="52"/>
      <c r="E111" s="51">
        <f>IF(F3="1",SUMIF(Data!A:A,$A$2,Data!AX:AX),0)</f>
        <v>55749</v>
      </c>
      <c r="F111" s="49">
        <f t="shared" si="7"/>
        <v>74139</v>
      </c>
    </row>
    <row r="112" spans="2:6" x14ac:dyDescent="0.2">
      <c r="B112" s="43" t="s">
        <v>32</v>
      </c>
      <c r="C112" s="51">
        <f>IF(F3="1",SUMIF(Data!A:A,$A$2,Data!V:V),0)</f>
        <v>949505</v>
      </c>
      <c r="D112" s="52"/>
      <c r="E112" s="51">
        <f>IF(F3="1",SUMIF(Data!A:A,$A$2,Data!AC:AC),0)</f>
        <v>142844</v>
      </c>
      <c r="F112" s="49">
        <f t="shared" si="7"/>
        <v>1092349</v>
      </c>
    </row>
    <row r="113" spans="1:6" x14ac:dyDescent="0.2">
      <c r="B113" s="43" t="s">
        <v>31</v>
      </c>
      <c r="C113" s="51">
        <f>IF(F3="1",SUMIF(Data!A:A,$A$2,Data!U:U),0)</f>
        <v>1172335</v>
      </c>
      <c r="D113" s="52"/>
      <c r="E113" s="51">
        <f>IF(F3="1",SUMIF(Data!A:A,$A$2,Data!AB:AB),0)</f>
        <v>204664</v>
      </c>
      <c r="F113" s="49">
        <f t="shared" si="7"/>
        <v>1376999</v>
      </c>
    </row>
    <row r="114" spans="1:6" x14ac:dyDescent="0.2">
      <c r="B114" s="43" t="s">
        <v>1363</v>
      </c>
      <c r="C114" s="51">
        <f>IF(F3="1",SUMIF(Data!A:A,$A$2,Data!T:T),0)</f>
        <v>1517089</v>
      </c>
      <c r="D114" s="52"/>
      <c r="E114" s="51">
        <f>IF(F3="1",SUMIF(Data!A:A,$A$2,Data!AA:AA),0)</f>
        <v>1825652</v>
      </c>
      <c r="F114" s="49">
        <f t="shared" si="7"/>
        <v>3342741</v>
      </c>
    </row>
    <row r="115" spans="1:6" x14ac:dyDescent="0.2">
      <c r="B115" s="43" t="s">
        <v>1278</v>
      </c>
      <c r="C115" s="51">
        <f>IF(F3="1",SUMIF(Data!A:A,$A$2,Data!BI:BI),0)</f>
        <v>412864</v>
      </c>
      <c r="D115" s="51">
        <f>IF(F3="1",SUMIF(Data!A:A,$A$2,Data!BL:BL),0)</f>
        <v>175145</v>
      </c>
      <c r="E115" s="51">
        <f>IF(F3="1",SUMIF(Data!A:A,$A$2,Data!BU:BU),0)</f>
        <v>1806073</v>
      </c>
      <c r="F115" s="49">
        <f t="shared" si="7"/>
        <v>2394082</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536992</v>
      </c>
      <c r="E117" s="53"/>
      <c r="F117" s="50">
        <f>SUM(C117:E117)</f>
        <v>536992</v>
      </c>
    </row>
    <row r="118" spans="1:6" x14ac:dyDescent="0.2">
      <c r="B118" s="14" t="s">
        <v>35</v>
      </c>
      <c r="C118" s="5">
        <f>SUM(C109:C116)</f>
        <v>8525092</v>
      </c>
      <c r="D118" s="5">
        <f>SUM(D109:D116)</f>
        <v>632595</v>
      </c>
      <c r="E118" s="5">
        <f>SUM(E109:E116)</f>
        <v>4611544</v>
      </c>
      <c r="F118" s="5">
        <f>SUM(F109:F116)</f>
        <v>13769231</v>
      </c>
    </row>
    <row r="119" spans="1:6" ht="15" thickBot="1" x14ac:dyDescent="0.25"/>
    <row r="120" spans="1:6" ht="15" thickBot="1" x14ac:dyDescent="0.25">
      <c r="B120" s="57" t="s">
        <v>1283</v>
      </c>
      <c r="C120" s="55"/>
      <c r="D120" s="55"/>
      <c r="E120" s="55">
        <f>IF(F3="1",SUMIF(Data!A:A,'18'!$A$2,Data!AM:AM),0)</f>
        <v>336012</v>
      </c>
      <c r="F120" s="56">
        <f>SUM(C120:E120)</f>
        <v>336012</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3" width="12.425781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422</v>
      </c>
      <c r="B2" s="60" t="str">
        <f>VLOOKUP(A2,Data!A:G,7,0)</f>
        <v>Grayson County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13489</v>
      </c>
      <c r="E5" s="16">
        <f>E36+E67+IFERROR($E$105/$D$105*D5,0)</f>
        <v>68131.501436139035</v>
      </c>
      <c r="F5" s="21">
        <f>IFERROR(E5/D5,"")</f>
        <v>5.0508934269507773</v>
      </c>
    </row>
    <row r="6" spans="1:6" x14ac:dyDescent="0.2">
      <c r="A6" s="20">
        <v>2</v>
      </c>
      <c r="B6" s="179" t="s">
        <v>1</v>
      </c>
      <c r="C6" s="180"/>
      <c r="D6" s="15">
        <f t="shared" ref="D6:D32" si="0">D37</f>
        <v>61744</v>
      </c>
      <c r="E6" s="18">
        <f t="shared" ref="E6:E32" si="1">E37+E68+IFERROR($E$105/$D$105*D6,0)</f>
        <v>381560.1932443449</v>
      </c>
      <c r="F6" s="22">
        <f t="shared" ref="F6:F33" si="2">IFERROR(E6/D6,"")</f>
        <v>6.1797128991374857</v>
      </c>
    </row>
    <row r="7" spans="1:6" ht="14.25" customHeight="1" x14ac:dyDescent="0.2">
      <c r="A7" s="20">
        <v>3</v>
      </c>
      <c r="B7" s="179" t="s">
        <v>2</v>
      </c>
      <c r="C7" s="180"/>
      <c r="D7" s="15">
        <f t="shared" si="0"/>
        <v>309264</v>
      </c>
      <c r="E7" s="18">
        <f t="shared" si="1"/>
        <v>1908457.7784970051</v>
      </c>
      <c r="F7" s="22">
        <f t="shared" si="2"/>
        <v>6.1709664833184759</v>
      </c>
    </row>
    <row r="8" spans="1:6" ht="14.25" customHeight="1" x14ac:dyDescent="0.2">
      <c r="A8" s="20">
        <v>4</v>
      </c>
      <c r="B8" s="179" t="s">
        <v>3</v>
      </c>
      <c r="C8" s="180"/>
      <c r="D8" s="15">
        <f t="shared" si="0"/>
        <v>116949</v>
      </c>
      <c r="E8" s="18">
        <f t="shared" si="1"/>
        <v>809414.42423122725</v>
      </c>
      <c r="F8" s="22">
        <f t="shared" si="2"/>
        <v>6.921088886875709</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0</v>
      </c>
      <c r="E10" s="18">
        <f t="shared" si="1"/>
        <v>0</v>
      </c>
      <c r="F10" s="22" t="str">
        <f t="shared" si="2"/>
        <v/>
      </c>
    </row>
    <row r="11" spans="1:6" x14ac:dyDescent="0.2">
      <c r="A11" s="20">
        <v>7</v>
      </c>
      <c r="B11" s="179" t="s">
        <v>6</v>
      </c>
      <c r="C11" s="180"/>
      <c r="D11" s="15">
        <f t="shared" si="0"/>
        <v>78072</v>
      </c>
      <c r="E11" s="18">
        <f t="shared" si="1"/>
        <v>589197.80874210445</v>
      </c>
      <c r="F11" s="22">
        <f t="shared" si="2"/>
        <v>7.5468517361167189</v>
      </c>
    </row>
    <row r="12" spans="1:6" x14ac:dyDescent="0.2">
      <c r="A12" s="20">
        <v>8</v>
      </c>
      <c r="B12" s="179" t="s">
        <v>7</v>
      </c>
      <c r="C12" s="180"/>
      <c r="D12" s="15">
        <f t="shared" si="0"/>
        <v>484</v>
      </c>
      <c r="E12" s="18">
        <f t="shared" si="1"/>
        <v>1285.4579802128617</v>
      </c>
      <c r="F12" s="22">
        <f t="shared" si="2"/>
        <v>2.6559049177951688</v>
      </c>
    </row>
    <row r="13" spans="1:6" x14ac:dyDescent="0.2">
      <c r="A13" s="20">
        <v>9</v>
      </c>
      <c r="B13" s="179" t="s">
        <v>8</v>
      </c>
      <c r="C13" s="180"/>
      <c r="D13" s="15">
        <f t="shared" si="0"/>
        <v>183008</v>
      </c>
      <c r="E13" s="18">
        <f t="shared" si="1"/>
        <v>1292967.8471958581</v>
      </c>
      <c r="F13" s="22">
        <f t="shared" si="2"/>
        <v>7.0650892157493557</v>
      </c>
    </row>
    <row r="14" spans="1:6" x14ac:dyDescent="0.2">
      <c r="A14" s="20">
        <v>10</v>
      </c>
      <c r="B14" s="179" t="s">
        <v>9</v>
      </c>
      <c r="C14" s="180"/>
      <c r="D14" s="15">
        <f t="shared" si="0"/>
        <v>1152</v>
      </c>
      <c r="E14" s="18">
        <f t="shared" si="1"/>
        <v>8909.602465300035</v>
      </c>
      <c r="F14" s="22">
        <f t="shared" si="2"/>
        <v>7.7340299177951692</v>
      </c>
    </row>
    <row r="15" spans="1:6" x14ac:dyDescent="0.2">
      <c r="A15" s="20">
        <v>11</v>
      </c>
      <c r="B15" s="179" t="s">
        <v>10</v>
      </c>
      <c r="C15" s="180"/>
      <c r="D15" s="15">
        <f t="shared" si="0"/>
        <v>61363</v>
      </c>
      <c r="E15" s="18">
        <f t="shared" si="1"/>
        <v>590349.29347066488</v>
      </c>
      <c r="F15" s="22">
        <f t="shared" si="2"/>
        <v>9.6206067739625656</v>
      </c>
    </row>
    <row r="16" spans="1:6" ht="14.25" customHeight="1" x14ac:dyDescent="0.2">
      <c r="A16" s="20">
        <v>12</v>
      </c>
      <c r="B16" s="179" t="s">
        <v>11</v>
      </c>
      <c r="C16" s="180"/>
      <c r="D16" s="15">
        <f t="shared" si="0"/>
        <v>285408</v>
      </c>
      <c r="E16" s="18">
        <f t="shared" si="1"/>
        <v>1509545.5107780835</v>
      </c>
      <c r="F16" s="22">
        <f t="shared" si="2"/>
        <v>5.2890791806049009</v>
      </c>
    </row>
    <row r="17" spans="1:6" x14ac:dyDescent="0.2">
      <c r="A17" s="20">
        <v>13</v>
      </c>
      <c r="B17" s="179" t="s">
        <v>12</v>
      </c>
      <c r="C17" s="180"/>
      <c r="D17" s="15">
        <f t="shared" si="0"/>
        <v>17024</v>
      </c>
      <c r="E17" s="18">
        <f t="shared" si="1"/>
        <v>122706.12532054496</v>
      </c>
      <c r="F17" s="22">
        <f t="shared" si="2"/>
        <v>7.2078316095244928</v>
      </c>
    </row>
    <row r="18" spans="1:6" ht="14.25" customHeight="1" x14ac:dyDescent="0.2">
      <c r="A18" s="20">
        <v>14</v>
      </c>
      <c r="B18" s="179" t="s">
        <v>804</v>
      </c>
      <c r="C18" s="180"/>
      <c r="D18" s="15">
        <f t="shared" si="0"/>
        <v>242597</v>
      </c>
      <c r="E18" s="18">
        <f t="shared" si="1"/>
        <v>2270907.5653423546</v>
      </c>
      <c r="F18" s="22">
        <f t="shared" si="2"/>
        <v>9.3608229505820546</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157770</v>
      </c>
      <c r="E20" s="18">
        <f t="shared" si="1"/>
        <v>1022748.1188805439</v>
      </c>
      <c r="F20" s="22">
        <f t="shared" si="2"/>
        <v>6.4825259484093545</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97152</v>
      </c>
      <c r="E22" s="18">
        <f t="shared" si="1"/>
        <v>685244.47457363619</v>
      </c>
      <c r="F22" s="22">
        <f t="shared" si="2"/>
        <v>7.0533233960560375</v>
      </c>
    </row>
    <row r="23" spans="1:6" x14ac:dyDescent="0.2">
      <c r="A23" s="20">
        <v>19</v>
      </c>
      <c r="B23" s="179" t="s">
        <v>17</v>
      </c>
      <c r="C23" s="180"/>
      <c r="D23" s="15">
        <f t="shared" si="0"/>
        <v>125552</v>
      </c>
      <c r="E23" s="18">
        <f t="shared" si="1"/>
        <v>723070.17423901905</v>
      </c>
      <c r="F23" s="22">
        <f t="shared" si="2"/>
        <v>5.7591290798953345</v>
      </c>
    </row>
    <row r="24" spans="1:6" x14ac:dyDescent="0.2">
      <c r="A24" s="20">
        <v>20</v>
      </c>
      <c r="B24" s="179" t="s">
        <v>18</v>
      </c>
      <c r="C24" s="180"/>
      <c r="D24" s="15">
        <f t="shared" si="0"/>
        <v>26216</v>
      </c>
      <c r="E24" s="18">
        <f t="shared" si="1"/>
        <v>173481.20332491814</v>
      </c>
      <c r="F24" s="22">
        <f t="shared" si="2"/>
        <v>6.617378826858336</v>
      </c>
    </row>
    <row r="25" spans="1:6" ht="14.25" customHeight="1" x14ac:dyDescent="0.2">
      <c r="A25" s="20">
        <v>21</v>
      </c>
      <c r="B25" s="179" t="s">
        <v>801</v>
      </c>
      <c r="C25" s="180"/>
      <c r="D25" s="15">
        <f t="shared" si="0"/>
        <v>12236</v>
      </c>
      <c r="E25" s="18">
        <f t="shared" si="1"/>
        <v>32497.652574141684</v>
      </c>
      <c r="F25" s="22">
        <f t="shared" si="2"/>
        <v>2.6559049177951688</v>
      </c>
    </row>
    <row r="26" spans="1:6" x14ac:dyDescent="0.2">
      <c r="A26" s="20">
        <v>22</v>
      </c>
      <c r="B26" s="179" t="s">
        <v>19</v>
      </c>
      <c r="C26" s="180"/>
      <c r="D26" s="15">
        <f t="shared" si="0"/>
        <v>17685</v>
      </c>
      <c r="E26" s="18">
        <f t="shared" si="1"/>
        <v>180096.67847120756</v>
      </c>
      <c r="F26" s="22">
        <f t="shared" si="2"/>
        <v>10.183583741657198</v>
      </c>
    </row>
    <row r="27" spans="1:6" x14ac:dyDescent="0.2">
      <c r="A27" s="20">
        <v>23</v>
      </c>
      <c r="B27" s="179" t="s">
        <v>20</v>
      </c>
      <c r="C27" s="180"/>
      <c r="D27" s="15">
        <f t="shared" si="0"/>
        <v>20304</v>
      </c>
      <c r="E27" s="18">
        <f t="shared" si="1"/>
        <v>54025.493450913105</v>
      </c>
      <c r="F27" s="22">
        <f t="shared" si="2"/>
        <v>2.6608300556990301</v>
      </c>
    </row>
    <row r="28" spans="1:6" x14ac:dyDescent="0.2">
      <c r="A28" s="20">
        <v>24</v>
      </c>
      <c r="B28" s="179" t="s">
        <v>21</v>
      </c>
      <c r="C28" s="180"/>
      <c r="D28" s="15">
        <f t="shared" si="0"/>
        <v>85222</v>
      </c>
      <c r="E28" s="18">
        <f t="shared" si="1"/>
        <v>564308.52890433988</v>
      </c>
      <c r="F28" s="22">
        <f t="shared" si="2"/>
        <v>6.621629730636923</v>
      </c>
    </row>
    <row r="29" spans="1:6" x14ac:dyDescent="0.2">
      <c r="A29" s="20">
        <v>25</v>
      </c>
      <c r="B29" s="179" t="s">
        <v>22</v>
      </c>
      <c r="C29" s="180"/>
      <c r="D29" s="15">
        <f t="shared" si="0"/>
        <v>437056</v>
      </c>
      <c r="E29" s="18">
        <f t="shared" si="1"/>
        <v>2312594.1797518851</v>
      </c>
      <c r="F29" s="22">
        <f t="shared" si="2"/>
        <v>5.29129946677745</v>
      </c>
    </row>
    <row r="30" spans="1:6" x14ac:dyDescent="0.2">
      <c r="A30" s="20">
        <v>26</v>
      </c>
      <c r="B30" s="179" t="s">
        <v>23</v>
      </c>
      <c r="C30" s="180"/>
      <c r="D30" s="15">
        <f t="shared" si="0"/>
        <v>112640</v>
      </c>
      <c r="E30" s="18">
        <f t="shared" si="1"/>
        <v>701481.12994044786</v>
      </c>
      <c r="F30" s="22">
        <f t="shared" si="2"/>
        <v>6.2276378723406234</v>
      </c>
    </row>
    <row r="31" spans="1:6" x14ac:dyDescent="0.2">
      <c r="A31" s="20">
        <v>28</v>
      </c>
      <c r="B31" s="179" t="s">
        <v>24</v>
      </c>
      <c r="C31" s="180"/>
      <c r="D31" s="15">
        <f t="shared" si="0"/>
        <v>132928</v>
      </c>
      <c r="E31" s="18">
        <f t="shared" si="1"/>
        <v>629317.12891267613</v>
      </c>
      <c r="F31" s="22">
        <f t="shared" si="2"/>
        <v>4.7342706496199156</v>
      </c>
    </row>
    <row r="32" spans="1:6" ht="15.75" customHeight="1" thickBot="1" x14ac:dyDescent="0.25">
      <c r="A32" s="23">
        <v>29</v>
      </c>
      <c r="B32" s="181" t="s">
        <v>25</v>
      </c>
      <c r="C32" s="182"/>
      <c r="D32" s="24">
        <f t="shared" si="0"/>
        <v>67728</v>
      </c>
      <c r="E32" s="25">
        <f t="shared" si="1"/>
        <v>409793.1282724312</v>
      </c>
      <c r="F32" s="26">
        <f t="shared" si="2"/>
        <v>6.0505718207009096</v>
      </c>
    </row>
    <row r="33" spans="1:6" x14ac:dyDescent="0.2">
      <c r="B33" s="31" t="s">
        <v>35</v>
      </c>
      <c r="C33" s="31"/>
      <c r="D33" s="61">
        <f>SUM(D5:D32)</f>
        <v>2663043</v>
      </c>
      <c r="E33" s="32">
        <f>SUM(E5:E32)</f>
        <v>17042091</v>
      </c>
      <c r="F33" s="33">
        <f t="shared" si="2"/>
        <v>6.3994802186821618</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IF(F3="1",SUMIF(Data!A:A,'19'!$A$2,Data!CU:CU),0)</f>
        <v>13489</v>
      </c>
      <c r="E36" s="16">
        <f>IF(F3="1",SUMIF(Data!$A:$A,'19'!$A$2,Data!IO:IO),0)</f>
        <v>23410</v>
      </c>
      <c r="F36" s="21">
        <f t="shared" ref="F36:F64" si="3">IFERROR(E36/D36,"")</f>
        <v>1.7354881755504485</v>
      </c>
    </row>
    <row r="37" spans="1:6" x14ac:dyDescent="0.2">
      <c r="A37" s="20">
        <v>2</v>
      </c>
      <c r="B37" s="179" t="s">
        <v>1</v>
      </c>
      <c r="C37" s="180"/>
      <c r="D37" s="15">
        <f>IF(F3="1",SUMIF(Data!A:A,'19'!$A$2,Data!CV:CV),0)</f>
        <v>61744</v>
      </c>
      <c r="E37" s="18">
        <f>IF(F3="1",SUMIF(Data!$A:$A,'19'!$A$2,Data!IP:IP),0)</f>
        <v>102312</v>
      </c>
      <c r="F37" s="22">
        <f t="shared" si="3"/>
        <v>1.6570355014252398</v>
      </c>
    </row>
    <row r="38" spans="1:6" ht="14.25" customHeight="1" x14ac:dyDescent="0.2">
      <c r="A38" s="20">
        <v>3</v>
      </c>
      <c r="B38" s="179" t="s">
        <v>2</v>
      </c>
      <c r="C38" s="180"/>
      <c r="D38" s="15">
        <f>IF(F3="1",SUMIF(Data!A:A,'19'!$A$2,Data!CW:CW),0)</f>
        <v>309264</v>
      </c>
      <c r="E38" s="18">
        <f>IF(F3="1",SUMIF(Data!$A:$A,'19'!$A$2,Data!IQ:IQ),0)</f>
        <v>310838</v>
      </c>
      <c r="F38" s="22">
        <f t="shared" si="3"/>
        <v>1.0050895028195974</v>
      </c>
    </row>
    <row r="39" spans="1:6" ht="14.25" customHeight="1" x14ac:dyDescent="0.2">
      <c r="A39" s="20">
        <v>4</v>
      </c>
      <c r="B39" s="179" t="s">
        <v>3</v>
      </c>
      <c r="C39" s="180"/>
      <c r="D39" s="15">
        <f>IF(F3="1",SUMIF(Data!A:A,'19'!$A$2,Data!CX:CX),0)</f>
        <v>116949</v>
      </c>
      <c r="E39" s="18">
        <f>IF(F3="1",SUMIF(Data!$A:$A,'19'!$A$2,Data!IR:IR),0)</f>
        <v>212434</v>
      </c>
      <c r="F39" s="22">
        <f t="shared" si="3"/>
        <v>1.8164670069859512</v>
      </c>
    </row>
    <row r="40" spans="1:6" x14ac:dyDescent="0.2">
      <c r="A40" s="20">
        <v>5</v>
      </c>
      <c r="B40" s="179" t="s">
        <v>4</v>
      </c>
      <c r="C40" s="180"/>
      <c r="D40" s="15">
        <f>IF(F3="1",SUMIF(Data!A:A,'19'!$A$2,Data!CY:CY),0)</f>
        <v>0</v>
      </c>
      <c r="E40" s="18">
        <f>IF(F3="1",SUMIF(Data!$A:$A,'19'!$A$2,Data!IS:IS),0)</f>
        <v>0</v>
      </c>
      <c r="F40" s="22" t="str">
        <f t="shared" si="3"/>
        <v/>
      </c>
    </row>
    <row r="41" spans="1:6" x14ac:dyDescent="0.2">
      <c r="A41" s="20">
        <v>6</v>
      </c>
      <c r="B41" s="179" t="s">
        <v>5</v>
      </c>
      <c r="C41" s="180"/>
      <c r="D41" s="15">
        <f>IF(F3="1",SUMIF(Data!A:A,'19'!$A$2,Data!CZ:CZ),0)</f>
        <v>0</v>
      </c>
      <c r="E41" s="18">
        <f>IF(F3="1",SUMIF(Data!$A:$A,'19'!$A$2,Data!IT:IT),0)</f>
        <v>0</v>
      </c>
      <c r="F41" s="22" t="str">
        <f t="shared" si="3"/>
        <v/>
      </c>
    </row>
    <row r="42" spans="1:6" x14ac:dyDescent="0.2">
      <c r="A42" s="20">
        <v>7</v>
      </c>
      <c r="B42" s="179" t="s">
        <v>6</v>
      </c>
      <c r="C42" s="180"/>
      <c r="D42" s="15">
        <f>IF(F3="1",SUMIF(Data!A:A,'19'!$A$2,Data!DA:DA),0)</f>
        <v>78072</v>
      </c>
      <c r="E42" s="18">
        <f>IF(F3="1",SUMIF(Data!$A:$A,'19'!$A$2,Data!IU:IU),0)</f>
        <v>147339</v>
      </c>
      <c r="F42" s="22">
        <f t="shared" si="3"/>
        <v>1.8872194897018137</v>
      </c>
    </row>
    <row r="43" spans="1:6" x14ac:dyDescent="0.2">
      <c r="A43" s="20">
        <v>8</v>
      </c>
      <c r="B43" s="179" t="s">
        <v>7</v>
      </c>
      <c r="C43" s="180"/>
      <c r="D43" s="15">
        <f>IF(F3="1",SUMIF(Data!A:A,'19'!$A$2,Data!DB:DB),0)</f>
        <v>484</v>
      </c>
      <c r="E43" s="18">
        <f>IF(F3="1",SUMIF(Data!$A:$A,'19'!$A$2,Data!IV:IV),0)</f>
        <v>0</v>
      </c>
      <c r="F43" s="22">
        <f t="shared" si="3"/>
        <v>0</v>
      </c>
    </row>
    <row r="44" spans="1:6" x14ac:dyDescent="0.2">
      <c r="A44" s="20">
        <v>9</v>
      </c>
      <c r="B44" s="179" t="s">
        <v>8</v>
      </c>
      <c r="C44" s="180"/>
      <c r="D44" s="15">
        <f>IF(F3="1",SUMIF(Data!A:A,'19'!$A$2,Data!DC:DC),0)</f>
        <v>183008</v>
      </c>
      <c r="E44" s="18">
        <f>IF(F3="1",SUMIF(Data!$A:$A,'19'!$A$2,Data!IW:IW),0)</f>
        <v>155168</v>
      </c>
      <c r="F44" s="22">
        <f t="shared" si="3"/>
        <v>0.84787550271026402</v>
      </c>
    </row>
    <row r="45" spans="1:6" x14ac:dyDescent="0.2">
      <c r="A45" s="20">
        <v>10</v>
      </c>
      <c r="B45" s="179" t="s">
        <v>9</v>
      </c>
      <c r="C45" s="180"/>
      <c r="D45" s="15">
        <f>IF(F3="1",SUMIF(Data!A:A,'19'!$A$2,Data!DD:DD),0)</f>
        <v>1152</v>
      </c>
      <c r="E45" s="18">
        <f>IF(F3="1",SUMIF(Data!$A:$A,'19'!$A$2,Data!IX:IX),0)</f>
        <v>2841</v>
      </c>
      <c r="F45" s="22">
        <f t="shared" si="3"/>
        <v>2.4661458333333335</v>
      </c>
    </row>
    <row r="46" spans="1:6" x14ac:dyDescent="0.2">
      <c r="A46" s="20">
        <v>11</v>
      </c>
      <c r="B46" s="179" t="s">
        <v>10</v>
      </c>
      <c r="C46" s="180"/>
      <c r="D46" s="15">
        <f>IF(F3="1",SUMIF(Data!A:A,'19'!$A$2,Data!DE:DE),0)</f>
        <v>61363</v>
      </c>
      <c r="E46" s="18">
        <f>IF(F3="1",SUMIF(Data!$A:$A,'19'!$A$2,Data!IY:IY),0)</f>
        <v>184715</v>
      </c>
      <c r="F46" s="22">
        <f t="shared" si="3"/>
        <v>3.01020158727572</v>
      </c>
    </row>
    <row r="47" spans="1:6" ht="14.25" customHeight="1" x14ac:dyDescent="0.2">
      <c r="A47" s="20">
        <v>12</v>
      </c>
      <c r="B47" s="179" t="s">
        <v>11</v>
      </c>
      <c r="C47" s="180"/>
      <c r="D47" s="15">
        <f>IF(F3="1",SUMIF(Data!A:A,'19'!$A$2,Data!DF:DF),0)</f>
        <v>285408</v>
      </c>
      <c r="E47" s="18">
        <f>IF(F3="1",SUMIF(Data!$A:$A,'19'!$A$2,Data!IZ:IZ),0)</f>
        <v>132892</v>
      </c>
      <c r="F47" s="22">
        <f t="shared" si="3"/>
        <v>0.46562114586837089</v>
      </c>
    </row>
    <row r="48" spans="1:6" x14ac:dyDescent="0.2">
      <c r="A48" s="20">
        <v>13</v>
      </c>
      <c r="B48" s="179" t="s">
        <v>12</v>
      </c>
      <c r="C48" s="180"/>
      <c r="D48" s="15">
        <f>IF(F3="1",SUMIF(Data!A:A,'19'!$A$2,Data!DG:DG),0)</f>
        <v>17024</v>
      </c>
      <c r="E48" s="18">
        <f>IF(F3="1",SUMIF(Data!$A:$A,'19'!$A$2,Data!JA:JA),0)</f>
        <v>11209</v>
      </c>
      <c r="F48" s="22">
        <f t="shared" si="3"/>
        <v>0.65842340225563911</v>
      </c>
    </row>
    <row r="49" spans="1:6" ht="14.25" customHeight="1" x14ac:dyDescent="0.2">
      <c r="A49" s="20">
        <v>14</v>
      </c>
      <c r="B49" s="179" t="s">
        <v>804</v>
      </c>
      <c r="C49" s="180"/>
      <c r="D49" s="15">
        <f>IF(F3="1",SUMIF(Data!A:A,'19'!$A$2,Data!DH:DH),0)</f>
        <v>242597</v>
      </c>
      <c r="E49" s="18">
        <f>IF(F3="1",SUMIF(Data!$A:$A,'19'!$A$2,Data!JB:JB),0)</f>
        <v>274973</v>
      </c>
      <c r="F49" s="22">
        <f t="shared" si="3"/>
        <v>1.1334558959921186</v>
      </c>
    </row>
    <row r="50" spans="1:6" x14ac:dyDescent="0.2">
      <c r="A50" s="20">
        <v>15</v>
      </c>
      <c r="B50" s="179" t="s">
        <v>13</v>
      </c>
      <c r="C50" s="180"/>
      <c r="D50" s="15">
        <f>IF(F3="1",SUMIF(Data!A:A,'19'!$A$2,Data!DI:DI),0)</f>
        <v>0</v>
      </c>
      <c r="E50" s="18">
        <f>IF(F3="1",SUMIF(Data!$A:$A,'19'!$A$2,Data!JC:JC),0)</f>
        <v>0</v>
      </c>
      <c r="F50" s="22" t="str">
        <f t="shared" si="3"/>
        <v/>
      </c>
    </row>
    <row r="51" spans="1:6" x14ac:dyDescent="0.2">
      <c r="A51" s="20">
        <v>16</v>
      </c>
      <c r="B51" s="179" t="s">
        <v>14</v>
      </c>
      <c r="C51" s="180"/>
      <c r="D51" s="15">
        <f>IF(F3="1",SUMIF(Data!A:A,'19'!$A$2,Data!DJ:DJ),0)</f>
        <v>157770</v>
      </c>
      <c r="E51" s="18">
        <f>IF(F3="1",SUMIF(Data!$A:$A,'19'!$A$2,Data!JD:JD),0)</f>
        <v>230647</v>
      </c>
      <c r="F51" s="22">
        <f t="shared" si="3"/>
        <v>1.4619192495404703</v>
      </c>
    </row>
    <row r="52" spans="1:6" x14ac:dyDescent="0.2">
      <c r="A52" s="20">
        <v>17</v>
      </c>
      <c r="B52" s="179" t="s">
        <v>15</v>
      </c>
      <c r="C52" s="180"/>
      <c r="D52" s="15">
        <f>IF(F3="1",SUMIF(Data!A:A,'19'!$A$2,Data!DK:DK),0)</f>
        <v>0</v>
      </c>
      <c r="E52" s="18">
        <f>IF(F3="1",SUMIF(Data!$A:$A,'19'!$A$2,Data!JE:JE),0)</f>
        <v>0</v>
      </c>
      <c r="F52" s="22" t="str">
        <f t="shared" si="3"/>
        <v/>
      </c>
    </row>
    <row r="53" spans="1:6" x14ac:dyDescent="0.2">
      <c r="A53" s="20">
        <v>18</v>
      </c>
      <c r="B53" s="179" t="s">
        <v>16</v>
      </c>
      <c r="C53" s="180"/>
      <c r="D53" s="15">
        <f>IF(F3="1",SUMIF(Data!A:A,'19'!$A$2,Data!DL:DL),0)</f>
        <v>97152</v>
      </c>
      <c r="E53" s="18">
        <f>IF(F3="1",SUMIF(Data!$A:$A,'19'!$A$2,Data!JF:JF),0)</f>
        <v>75887</v>
      </c>
      <c r="F53" s="22">
        <f t="shared" si="3"/>
        <v>0.7811161890645586</v>
      </c>
    </row>
    <row r="54" spans="1:6" x14ac:dyDescent="0.2">
      <c r="A54" s="20">
        <v>19</v>
      </c>
      <c r="B54" s="179" t="s">
        <v>17</v>
      </c>
      <c r="C54" s="180"/>
      <c r="D54" s="15">
        <f>IF(F3="1",SUMIF(Data!A:A,'19'!$A$2,Data!DM:DM),0)</f>
        <v>125552</v>
      </c>
      <c r="E54" s="18">
        <f>IF(F3="1",SUMIF(Data!$A:$A,'19'!$A$2,Data!JG:JG),0)</f>
        <v>49820</v>
      </c>
      <c r="F54" s="22">
        <f t="shared" si="3"/>
        <v>0.39680769720912451</v>
      </c>
    </row>
    <row r="55" spans="1:6" x14ac:dyDescent="0.2">
      <c r="A55" s="20">
        <v>20</v>
      </c>
      <c r="B55" s="179" t="s">
        <v>18</v>
      </c>
      <c r="C55" s="180"/>
      <c r="D55" s="15">
        <f>IF(F3="1",SUMIF(Data!A:A,'19'!$A$2,Data!DN:DN),0)</f>
        <v>26216</v>
      </c>
      <c r="E55" s="18">
        <f>IF(F3="1",SUMIF(Data!$A:$A,'19'!$A$2,Data!JH:JH),0)</f>
        <v>30678</v>
      </c>
      <c r="F55" s="22">
        <f t="shared" si="3"/>
        <v>1.1702014037229174</v>
      </c>
    </row>
    <row r="56" spans="1:6" ht="14.25" customHeight="1" x14ac:dyDescent="0.2">
      <c r="A56" s="20">
        <v>21</v>
      </c>
      <c r="B56" s="179" t="s">
        <v>801</v>
      </c>
      <c r="C56" s="180"/>
      <c r="D56" s="15">
        <f>IF(F3="1",SUMIF(Data!A:A,'19'!$A$2,Data!DO:DO),0)</f>
        <v>12236</v>
      </c>
      <c r="E56" s="18">
        <f>IF(F3="1",SUMIF(Data!$A:$A,'19'!$A$2,Data!JI:JI),0)</f>
        <v>0</v>
      </c>
      <c r="F56" s="22">
        <f t="shared" si="3"/>
        <v>0</v>
      </c>
    </row>
    <row r="57" spans="1:6" x14ac:dyDescent="0.2">
      <c r="A57" s="20">
        <v>22</v>
      </c>
      <c r="B57" s="179" t="s">
        <v>19</v>
      </c>
      <c r="C57" s="180"/>
      <c r="D57" s="15">
        <f>IF(F3="1",SUMIF(Data!A:A,'19'!$A$2,Data!DP:DP),0)</f>
        <v>17685</v>
      </c>
      <c r="E57" s="18">
        <f>IF(F3="1",SUMIF(Data!$A:$A,'19'!$A$2,Data!JJ:JJ),0)</f>
        <v>24366</v>
      </c>
      <c r="F57" s="22">
        <f t="shared" si="3"/>
        <v>1.3777777777777778</v>
      </c>
    </row>
    <row r="58" spans="1:6" x14ac:dyDescent="0.2">
      <c r="A58" s="20">
        <v>23</v>
      </c>
      <c r="B58" s="179" t="s">
        <v>20</v>
      </c>
      <c r="C58" s="180"/>
      <c r="D58" s="15">
        <f>IF(F3="1",SUMIF(Data!A:A,'19'!$A$2,Data!DQ:DQ),0)</f>
        <v>20304</v>
      </c>
      <c r="E58" s="18">
        <f>IF(F3="1",SUMIF(Data!$A:$A,'19'!$A$2,Data!JK:JK),0)</f>
        <v>100</v>
      </c>
      <c r="F58" s="22">
        <f t="shared" si="3"/>
        <v>4.9251379038613083E-3</v>
      </c>
    </row>
    <row r="59" spans="1:6" x14ac:dyDescent="0.2">
      <c r="A59" s="20">
        <v>24</v>
      </c>
      <c r="B59" s="179" t="s">
        <v>21</v>
      </c>
      <c r="C59" s="180"/>
      <c r="D59" s="15">
        <f>IF(F3="1",SUMIF(Data!A:A,'19'!$A$2,Data!DR:DR),0)</f>
        <v>85222</v>
      </c>
      <c r="E59" s="18">
        <f>IF(F3="1",SUMIF(Data!$A:$A,'19'!$A$2,Data!JL:JL),0)</f>
        <v>112765</v>
      </c>
      <c r="F59" s="22">
        <f t="shared" si="3"/>
        <v>1.3231911947619159</v>
      </c>
    </row>
    <row r="60" spans="1:6" x14ac:dyDescent="0.2">
      <c r="A60" s="20">
        <v>25</v>
      </c>
      <c r="B60" s="179" t="s">
        <v>22</v>
      </c>
      <c r="C60" s="180"/>
      <c r="D60" s="15">
        <f>IF(F3="1",SUMIF(Data!A:A,'19'!$A$2,Data!DS:DS),0)</f>
        <v>437056</v>
      </c>
      <c r="E60" s="18">
        <f>IF(F3="1",SUMIF(Data!$A:$A,'19'!$A$2,Data!JM:JM),0)</f>
        <v>158074</v>
      </c>
      <c r="F60" s="22">
        <f t="shared" si="3"/>
        <v>0.36167905256992239</v>
      </c>
    </row>
    <row r="61" spans="1:6" x14ac:dyDescent="0.2">
      <c r="A61" s="20">
        <v>26</v>
      </c>
      <c r="B61" s="179" t="s">
        <v>23</v>
      </c>
      <c r="C61" s="180"/>
      <c r="D61" s="15">
        <f>IF(F3="1",SUMIF(Data!A:A,'19'!$A$2,Data!DT:DT),0)</f>
        <v>112640</v>
      </c>
      <c r="E61" s="18">
        <f>IF(F3="1",SUMIF(Data!$A:$A,'19'!$A$2,Data!JN:JN),0)</f>
        <v>84559</v>
      </c>
      <c r="F61" s="22">
        <f t="shared" si="3"/>
        <v>0.75070134943181821</v>
      </c>
    </row>
    <row r="62" spans="1:6" x14ac:dyDescent="0.2">
      <c r="A62" s="20">
        <v>28</v>
      </c>
      <c r="B62" s="179" t="s">
        <v>24</v>
      </c>
      <c r="C62" s="180"/>
      <c r="D62" s="15">
        <f>IF(F3="1",SUMIF(Data!A:A,'19'!$A$2,Data!DV:DV),0)</f>
        <v>132928</v>
      </c>
      <c r="E62" s="18">
        <f>IF(F3="1",SUMIF(Data!$A:$A,'19'!$A$2,Data!JP:JP),0)</f>
        <v>63358</v>
      </c>
      <c r="F62" s="22">
        <f t="shared" si="3"/>
        <v>0.47663396726047186</v>
      </c>
    </row>
    <row r="63" spans="1:6" ht="15.75" customHeight="1" thickBot="1" x14ac:dyDescent="0.25">
      <c r="A63" s="23">
        <v>29</v>
      </c>
      <c r="B63" s="181" t="s">
        <v>25</v>
      </c>
      <c r="C63" s="182"/>
      <c r="D63" s="24">
        <f>IF(F3="1",SUMIF(Data!A:A,'19'!$A$2,Data!DW:DW),0)</f>
        <v>67728</v>
      </c>
      <c r="E63" s="25">
        <f>IF(F3="1",SUMIF(Data!$A:$A,'19'!$A$2,Data!JQ:JQ),0)</f>
        <v>139624</v>
      </c>
      <c r="F63" s="26">
        <f t="shared" si="3"/>
        <v>2.0615402787621071</v>
      </c>
    </row>
    <row r="64" spans="1:6" x14ac:dyDescent="0.2">
      <c r="B64" s="31" t="s">
        <v>35</v>
      </c>
      <c r="C64" s="31"/>
      <c r="D64" s="61">
        <f>SUM(D36:D63)</f>
        <v>2663043</v>
      </c>
      <c r="E64" s="32">
        <f>SUM(E36:E63)</f>
        <v>2528009</v>
      </c>
      <c r="F64" s="33">
        <f t="shared" si="3"/>
        <v>0.94929334599553972</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13489</v>
      </c>
      <c r="E67" s="16">
        <f>IF(F3="1",SUMIF(Data!A:A,'19'!$A$2,Data!DY:DY),0)</f>
        <v>8896</v>
      </c>
      <c r="F67" s="21">
        <f>IFERROR(E67/D67,"")</f>
        <v>0.65950033360515981</v>
      </c>
    </row>
    <row r="68" spans="1:6" x14ac:dyDescent="0.2">
      <c r="A68" s="20">
        <v>2</v>
      </c>
      <c r="B68" s="179" t="s">
        <v>1</v>
      </c>
      <c r="C68" s="180"/>
      <c r="D68" s="15">
        <f t="shared" ref="D68:D94" si="4">D37</f>
        <v>61744</v>
      </c>
      <c r="E68" s="18">
        <f>IF(F3="1",SUMIF(Data!A:A,'19'!$A$2,Data!DZ:DZ),0)</f>
        <v>115262</v>
      </c>
      <c r="F68" s="22">
        <f t="shared" ref="F68:F95" si="5">IFERROR(E68/D68,"")</f>
        <v>1.8667724799170771</v>
      </c>
    </row>
    <row r="69" spans="1:6" ht="14.25" customHeight="1" x14ac:dyDescent="0.2">
      <c r="A69" s="20">
        <v>3</v>
      </c>
      <c r="B69" s="179" t="s">
        <v>2</v>
      </c>
      <c r="C69" s="180"/>
      <c r="D69" s="15">
        <f t="shared" si="4"/>
        <v>309264</v>
      </c>
      <c r="E69" s="18">
        <f>IF(F3="1",SUMIF(Data!A:A,'19'!$A$2,Data!EA:EA),0)</f>
        <v>776244</v>
      </c>
      <c r="F69" s="22">
        <f t="shared" si="5"/>
        <v>2.5099720627037096</v>
      </c>
    </row>
    <row r="70" spans="1:6" ht="14.25" customHeight="1" x14ac:dyDescent="0.2">
      <c r="A70" s="20">
        <v>4</v>
      </c>
      <c r="B70" s="179" t="s">
        <v>3</v>
      </c>
      <c r="C70" s="180"/>
      <c r="D70" s="15">
        <f t="shared" si="4"/>
        <v>116949</v>
      </c>
      <c r="E70" s="18">
        <f>IF(F3="1",SUMIF(Data!A:A,'19'!$A$2,Data!EB:EB),0)</f>
        <v>286375</v>
      </c>
      <c r="F70" s="22">
        <f t="shared" si="5"/>
        <v>2.4487169620945881</v>
      </c>
    </row>
    <row r="71" spans="1:6" x14ac:dyDescent="0.2">
      <c r="A71" s="20">
        <v>5</v>
      </c>
      <c r="B71" s="179" t="s">
        <v>4</v>
      </c>
      <c r="C71" s="180"/>
      <c r="D71" s="15">
        <f t="shared" si="4"/>
        <v>0</v>
      </c>
      <c r="E71" s="18">
        <f>IF(F3="1",SUMIF(Data!A:A,'19'!$A$2,Data!EC:EC),0)</f>
        <v>0</v>
      </c>
      <c r="F71" s="22" t="str">
        <f t="shared" si="5"/>
        <v/>
      </c>
    </row>
    <row r="72" spans="1:6" x14ac:dyDescent="0.2">
      <c r="A72" s="20">
        <v>6</v>
      </c>
      <c r="B72" s="179" t="s">
        <v>5</v>
      </c>
      <c r="C72" s="180"/>
      <c r="D72" s="15">
        <f t="shared" si="4"/>
        <v>0</v>
      </c>
      <c r="E72" s="18">
        <f>IF(F3="1",SUMIF(Data!A:A,'19'!$A$2,Data!ED:ED),0)</f>
        <v>0</v>
      </c>
      <c r="F72" s="22" t="str">
        <f t="shared" si="5"/>
        <v/>
      </c>
    </row>
    <row r="73" spans="1:6" x14ac:dyDescent="0.2">
      <c r="A73" s="20">
        <v>7</v>
      </c>
      <c r="B73" s="179" t="s">
        <v>6</v>
      </c>
      <c r="C73" s="180"/>
      <c r="D73" s="15">
        <f t="shared" si="4"/>
        <v>78072</v>
      </c>
      <c r="E73" s="18">
        <f>IF(F3="1",SUMIF(Data!A:A,'19'!$A$2,Data!EE:EE),0)</f>
        <v>234507</v>
      </c>
      <c r="F73" s="22">
        <f t="shared" si="5"/>
        <v>3.0037273286197355</v>
      </c>
    </row>
    <row r="74" spans="1:6" x14ac:dyDescent="0.2">
      <c r="A74" s="20">
        <v>8</v>
      </c>
      <c r="B74" s="179" t="s">
        <v>7</v>
      </c>
      <c r="C74" s="180"/>
      <c r="D74" s="15">
        <f t="shared" si="4"/>
        <v>484</v>
      </c>
      <c r="E74" s="18">
        <f>IF(F3="1",SUMIF(Data!A:A,'19'!$A$2,Data!EF:EF),0)</f>
        <v>0</v>
      </c>
      <c r="F74" s="22">
        <f t="shared" si="5"/>
        <v>0</v>
      </c>
    </row>
    <row r="75" spans="1:6" x14ac:dyDescent="0.2">
      <c r="A75" s="20">
        <v>9</v>
      </c>
      <c r="B75" s="179" t="s">
        <v>8</v>
      </c>
      <c r="C75" s="180"/>
      <c r="D75" s="15">
        <f t="shared" si="4"/>
        <v>183008</v>
      </c>
      <c r="E75" s="18">
        <f>IF(F3="1",SUMIF(Data!A:A,'19'!$A$2,Data!EG:EG),0)</f>
        <v>651748</v>
      </c>
      <c r="F75" s="22">
        <f t="shared" si="5"/>
        <v>3.561308795243924</v>
      </c>
    </row>
    <row r="76" spans="1:6" x14ac:dyDescent="0.2">
      <c r="A76" s="20">
        <v>10</v>
      </c>
      <c r="B76" s="179" t="s">
        <v>9</v>
      </c>
      <c r="C76" s="180"/>
      <c r="D76" s="15">
        <f t="shared" si="4"/>
        <v>1152</v>
      </c>
      <c r="E76" s="18">
        <f>IF(F3="1",SUMIF(Data!A:A,'19'!$A$2,Data!EH:EH),0)</f>
        <v>3009</v>
      </c>
      <c r="F76" s="22">
        <f t="shared" si="5"/>
        <v>2.6119791666666665</v>
      </c>
    </row>
    <row r="77" spans="1:6" x14ac:dyDescent="0.2">
      <c r="A77" s="20">
        <v>11</v>
      </c>
      <c r="B77" s="179" t="s">
        <v>10</v>
      </c>
      <c r="C77" s="180"/>
      <c r="D77" s="15">
        <f t="shared" si="4"/>
        <v>61363</v>
      </c>
      <c r="E77" s="18">
        <f>IF(F3="1",SUMIF(Data!A:A,'19'!$A$2,Data!EI:EI),0)</f>
        <v>242660</v>
      </c>
      <c r="F77" s="22">
        <f t="shared" si="5"/>
        <v>3.9545002688916773</v>
      </c>
    </row>
    <row r="78" spans="1:6" ht="14.25" customHeight="1" x14ac:dyDescent="0.2">
      <c r="A78" s="20">
        <v>12</v>
      </c>
      <c r="B78" s="179" t="s">
        <v>11</v>
      </c>
      <c r="C78" s="180"/>
      <c r="D78" s="15">
        <f t="shared" si="4"/>
        <v>285408</v>
      </c>
      <c r="E78" s="18">
        <f>IF(F3="1",SUMIF(Data!A:A,'19'!$A$2,Data!EJ:EJ),0)</f>
        <v>618637</v>
      </c>
      <c r="F78" s="22">
        <f t="shared" si="5"/>
        <v>2.1675531169413613</v>
      </c>
    </row>
    <row r="79" spans="1:6" x14ac:dyDescent="0.2">
      <c r="A79" s="20">
        <v>13</v>
      </c>
      <c r="B79" s="179" t="s">
        <v>12</v>
      </c>
      <c r="C79" s="180"/>
      <c r="D79" s="15">
        <f t="shared" si="4"/>
        <v>17024</v>
      </c>
      <c r="E79" s="18">
        <f>IF(F3="1",SUMIF(Data!A:A,'19'!$A$2,Data!EK:EK),0)</f>
        <v>66283</v>
      </c>
      <c r="F79" s="22">
        <f t="shared" si="5"/>
        <v>3.8935032894736841</v>
      </c>
    </row>
    <row r="80" spans="1:6" ht="14.25" customHeight="1" x14ac:dyDescent="0.2">
      <c r="A80" s="20">
        <v>14</v>
      </c>
      <c r="B80" s="179" t="s">
        <v>804</v>
      </c>
      <c r="C80" s="180"/>
      <c r="D80" s="15">
        <f t="shared" si="4"/>
        <v>242597</v>
      </c>
      <c r="E80" s="18">
        <f>IF(F3="1",SUMIF(Data!A:A,'19'!$A$2,Data!EL:EL),0)</f>
        <v>1351620</v>
      </c>
      <c r="F80" s="22">
        <f t="shared" si="5"/>
        <v>5.571462136794767</v>
      </c>
    </row>
    <row r="81" spans="1:6" x14ac:dyDescent="0.2">
      <c r="A81" s="20">
        <v>15</v>
      </c>
      <c r="B81" s="179" t="s">
        <v>13</v>
      </c>
      <c r="C81" s="180"/>
      <c r="D81" s="15">
        <f t="shared" si="4"/>
        <v>0</v>
      </c>
      <c r="E81" s="18">
        <f>IF(F3="1",SUMIF(Data!A:A,'19'!$A$2,Data!EM:EM),0)</f>
        <v>0</v>
      </c>
      <c r="F81" s="22" t="str">
        <f t="shared" si="5"/>
        <v/>
      </c>
    </row>
    <row r="82" spans="1:6" x14ac:dyDescent="0.2">
      <c r="A82" s="20">
        <v>16</v>
      </c>
      <c r="B82" s="179" t="s">
        <v>14</v>
      </c>
      <c r="C82" s="180"/>
      <c r="D82" s="15">
        <f t="shared" si="4"/>
        <v>157770</v>
      </c>
      <c r="E82" s="18">
        <f>IF(F3="1",SUMIF(Data!A:A,'19'!$A$2,Data!EN:EN),0)</f>
        <v>373079</v>
      </c>
      <c r="F82" s="22">
        <f t="shared" si="5"/>
        <v>2.3647017810737148</v>
      </c>
    </row>
    <row r="83" spans="1:6" x14ac:dyDescent="0.2">
      <c r="A83" s="20">
        <v>17</v>
      </c>
      <c r="B83" s="179" t="s">
        <v>15</v>
      </c>
      <c r="C83" s="180"/>
      <c r="D83" s="15">
        <f t="shared" si="4"/>
        <v>0</v>
      </c>
      <c r="E83" s="18">
        <f>IF(F3="1",SUMIF(Data!A:A,'19'!$A$2,Data!EO:EO),0)</f>
        <v>0</v>
      </c>
      <c r="F83" s="22" t="str">
        <f t="shared" si="5"/>
        <v/>
      </c>
    </row>
    <row r="84" spans="1:6" x14ac:dyDescent="0.2">
      <c r="A84" s="20">
        <v>18</v>
      </c>
      <c r="B84" s="179" t="s">
        <v>16</v>
      </c>
      <c r="C84" s="180"/>
      <c r="D84" s="15">
        <f t="shared" si="4"/>
        <v>97152</v>
      </c>
      <c r="E84" s="18">
        <f>IF(F3="1",SUMIF(Data!A:A,'19'!$A$2,Data!EP:EP),0)</f>
        <v>351331</v>
      </c>
      <c r="F84" s="22">
        <f t="shared" si="5"/>
        <v>3.616302289196311</v>
      </c>
    </row>
    <row r="85" spans="1:6" x14ac:dyDescent="0.2">
      <c r="A85" s="20">
        <v>19</v>
      </c>
      <c r="B85" s="179" t="s">
        <v>17</v>
      </c>
      <c r="C85" s="180"/>
      <c r="D85" s="15">
        <f t="shared" si="4"/>
        <v>125552</v>
      </c>
      <c r="E85" s="18">
        <f>IF(F3="1",SUMIF(Data!A:A,'19'!$A$2,Data!EQ:EQ),0)</f>
        <v>339796</v>
      </c>
      <c r="F85" s="22">
        <f t="shared" si="5"/>
        <v>2.7064164648910412</v>
      </c>
    </row>
    <row r="86" spans="1:6" x14ac:dyDescent="0.2">
      <c r="A86" s="20">
        <v>20</v>
      </c>
      <c r="B86" s="179" t="s">
        <v>18</v>
      </c>
      <c r="C86" s="180"/>
      <c r="D86" s="15">
        <f t="shared" si="4"/>
        <v>26216</v>
      </c>
      <c r="E86" s="18">
        <f>IF(F3="1",SUMIF(Data!A:A,'19'!$A$2,Data!ER:ER),0)</f>
        <v>73176</v>
      </c>
      <c r="F86" s="22">
        <f t="shared" si="5"/>
        <v>2.7912725053402503</v>
      </c>
    </row>
    <row r="87" spans="1:6" ht="14.25" customHeight="1" x14ac:dyDescent="0.2">
      <c r="A87" s="20">
        <v>21</v>
      </c>
      <c r="B87" s="179" t="s">
        <v>801</v>
      </c>
      <c r="C87" s="180"/>
      <c r="D87" s="15">
        <f t="shared" si="4"/>
        <v>12236</v>
      </c>
      <c r="E87" s="18">
        <f>IF(F3="1",SUMIF(Data!A:A,'19'!$A$2,Data!ES:ES),0)</f>
        <v>0</v>
      </c>
      <c r="F87" s="22">
        <f t="shared" si="5"/>
        <v>0</v>
      </c>
    </row>
    <row r="88" spans="1:6" x14ac:dyDescent="0.2">
      <c r="A88" s="20">
        <v>22</v>
      </c>
      <c r="B88" s="179" t="s">
        <v>19</v>
      </c>
      <c r="C88" s="180"/>
      <c r="D88" s="15">
        <f t="shared" si="4"/>
        <v>17685</v>
      </c>
      <c r="E88" s="18">
        <f>IF(F3="1",SUMIF(Data!A:A,'19'!$A$2,Data!ET:ET),0)</f>
        <v>108761</v>
      </c>
      <c r="F88" s="22">
        <f t="shared" si="5"/>
        <v>6.1499010460842518</v>
      </c>
    </row>
    <row r="89" spans="1:6" x14ac:dyDescent="0.2">
      <c r="A89" s="20">
        <v>23</v>
      </c>
      <c r="B89" s="179" t="s">
        <v>20</v>
      </c>
      <c r="C89" s="180"/>
      <c r="D89" s="15">
        <f t="shared" si="4"/>
        <v>20304</v>
      </c>
      <c r="E89" s="18">
        <f>IF(F3="1",SUMIF(Data!A:A,'19'!$A$2,Data!EU:EU),0)</f>
        <v>0</v>
      </c>
      <c r="F89" s="22">
        <f t="shared" si="5"/>
        <v>0</v>
      </c>
    </row>
    <row r="90" spans="1:6" x14ac:dyDescent="0.2">
      <c r="A90" s="20">
        <v>24</v>
      </c>
      <c r="B90" s="179" t="s">
        <v>21</v>
      </c>
      <c r="C90" s="180"/>
      <c r="D90" s="15">
        <f t="shared" si="4"/>
        <v>85222</v>
      </c>
      <c r="E90" s="18">
        <f>IF(F3="1",SUMIF(Data!A:A,'19'!$A$2,Data!EV:EV),0)</f>
        <v>225202</v>
      </c>
      <c r="F90" s="22">
        <f t="shared" si="5"/>
        <v>2.6425336180798387</v>
      </c>
    </row>
    <row r="91" spans="1:6" x14ac:dyDescent="0.2">
      <c r="A91" s="20">
        <v>25</v>
      </c>
      <c r="B91" s="179" t="s">
        <v>22</v>
      </c>
      <c r="C91" s="180"/>
      <c r="D91" s="15">
        <f t="shared" si="4"/>
        <v>437056</v>
      </c>
      <c r="E91" s="18">
        <f>IF(F3="1",SUMIF(Data!A:A,'19'!$A$2,Data!EW:EW),0)</f>
        <v>993741</v>
      </c>
      <c r="F91" s="22">
        <f t="shared" si="5"/>
        <v>2.2737154964123589</v>
      </c>
    </row>
    <row r="92" spans="1:6" x14ac:dyDescent="0.2">
      <c r="A92" s="20">
        <v>26</v>
      </c>
      <c r="B92" s="179" t="s">
        <v>23</v>
      </c>
      <c r="C92" s="180"/>
      <c r="D92" s="15">
        <f t="shared" si="4"/>
        <v>112640</v>
      </c>
      <c r="E92" s="18">
        <f>IF(F3="1",SUMIF(Data!A:A,'19'!$A$2,Data!EX:EX),0)</f>
        <v>317761</v>
      </c>
      <c r="F92" s="22">
        <f t="shared" si="5"/>
        <v>2.8210316051136362</v>
      </c>
    </row>
    <row r="93" spans="1:6" x14ac:dyDescent="0.2">
      <c r="A93" s="20">
        <v>28</v>
      </c>
      <c r="B93" s="179" t="s">
        <v>24</v>
      </c>
      <c r="C93" s="180"/>
      <c r="D93" s="15">
        <f t="shared" si="4"/>
        <v>132928</v>
      </c>
      <c r="E93" s="18">
        <f>IF(F3="1",SUMIF(Data!A:A,'19'!$A$2,Data!EZ:EZ),0)</f>
        <v>212915</v>
      </c>
      <c r="F93" s="22">
        <f t="shared" si="5"/>
        <v>1.6017317645642755</v>
      </c>
    </row>
    <row r="94" spans="1:6" ht="15.75" customHeight="1" thickBot="1" x14ac:dyDescent="0.25">
      <c r="A94" s="23">
        <v>29</v>
      </c>
      <c r="B94" s="181" t="s">
        <v>25</v>
      </c>
      <c r="C94" s="182"/>
      <c r="D94" s="24">
        <f t="shared" si="4"/>
        <v>67728</v>
      </c>
      <c r="E94" s="25">
        <f>IF(F3="1",SUMIF(Data!A:A,'19'!$A$2,Data!FA:FA),0)</f>
        <v>90290</v>
      </c>
      <c r="F94" s="26">
        <f t="shared" si="5"/>
        <v>1.3331266241436333</v>
      </c>
    </row>
    <row r="95" spans="1:6" x14ac:dyDescent="0.2">
      <c r="B95" s="31" t="s">
        <v>35</v>
      </c>
      <c r="C95" s="31"/>
      <c r="D95" s="61">
        <f>SUM(D67:D94)</f>
        <v>2663043</v>
      </c>
      <c r="E95" s="32">
        <f>SUM(E67:E94)</f>
        <v>7441293</v>
      </c>
      <c r="F95" s="33">
        <f t="shared" si="5"/>
        <v>2.7942819548914533</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IF(F3="1",SUMIF(Data!A:A,'19'!$A$2,Data!AH:AH),0)</f>
        <v>3270596</v>
      </c>
      <c r="F98" s="21">
        <f t="shared" ref="F98:F105" si="6">IFERROR(E98/$D$95,0)</f>
        <v>1.2281423919929193</v>
      </c>
    </row>
    <row r="99" spans="2:6" x14ac:dyDescent="0.2">
      <c r="B99" s="185" t="s">
        <v>31</v>
      </c>
      <c r="C99" s="186"/>
      <c r="D99" s="37"/>
      <c r="E99" s="18">
        <f>IF(F3="1",SUMIF(Data!A:A,'19'!$A$2,Data!AI:AI),0)</f>
        <v>1615778</v>
      </c>
      <c r="F99" s="22">
        <f t="shared" si="6"/>
        <v>0.60674123549638515</v>
      </c>
    </row>
    <row r="100" spans="2:6" x14ac:dyDescent="0.2">
      <c r="B100" s="185" t="s">
        <v>32</v>
      </c>
      <c r="C100" s="186"/>
      <c r="D100" s="37"/>
      <c r="E100" s="18">
        <f>IF(F3="1",SUMIF(Data!A:A,'19'!$A$2,Data!AJ:AJ),0)</f>
        <v>1252935</v>
      </c>
      <c r="F100" s="22">
        <f t="shared" si="6"/>
        <v>0.47048996204717686</v>
      </c>
    </row>
    <row r="101" spans="2:6" x14ac:dyDescent="0.2">
      <c r="B101" s="185" t="s">
        <v>28</v>
      </c>
      <c r="C101" s="186"/>
      <c r="D101" s="37"/>
      <c r="E101" s="18">
        <f>IF(F3="1",SUMIF(Data!A:A,'19'!$A$2,Data!AK:AK),0)</f>
        <v>0</v>
      </c>
      <c r="F101" s="22">
        <f t="shared" si="6"/>
        <v>0</v>
      </c>
    </row>
    <row r="102" spans="2:6" x14ac:dyDescent="0.2">
      <c r="B102" s="185" t="s">
        <v>33</v>
      </c>
      <c r="C102" s="186"/>
      <c r="D102" s="37"/>
      <c r="E102" s="18">
        <f>IF(F3="1",SUMIF(Data!A:A,'19'!$A$2,Data!AL:AL),0)</f>
        <v>0</v>
      </c>
      <c r="F102" s="22">
        <f t="shared" si="6"/>
        <v>0</v>
      </c>
    </row>
    <row r="103" spans="2:6" x14ac:dyDescent="0.2">
      <c r="B103" s="187" t="s">
        <v>34</v>
      </c>
      <c r="C103" s="188"/>
      <c r="D103" s="37"/>
      <c r="E103" s="18">
        <f>IF(F3="1",SUMIF(Data!A:A,'19'!$A$2,Data!AM:AM),0)</f>
        <v>403530</v>
      </c>
      <c r="F103" s="22">
        <f t="shared" si="6"/>
        <v>0.15152965986655115</v>
      </c>
    </row>
    <row r="104" spans="2:6" ht="15.75" customHeight="1" thickBot="1" x14ac:dyDescent="0.25">
      <c r="B104" s="177" t="s">
        <v>29</v>
      </c>
      <c r="C104" s="178"/>
      <c r="D104" s="38"/>
      <c r="E104" s="25">
        <f>IF(F3="1",SUMIF(Data!A:A,'19'!$A$2,Data!Q:Q),0)</f>
        <v>529950</v>
      </c>
      <c r="F104" s="26">
        <f t="shared" si="6"/>
        <v>0.19900166839213637</v>
      </c>
    </row>
    <row r="105" spans="2:6" x14ac:dyDescent="0.2">
      <c r="B105" s="31" t="s">
        <v>35</v>
      </c>
      <c r="C105" s="31"/>
      <c r="D105" s="35">
        <f>D95</f>
        <v>2663043</v>
      </c>
      <c r="E105" s="32">
        <f>SUM(E98:E104)</f>
        <v>7072789</v>
      </c>
      <c r="F105" s="33">
        <f t="shared" si="6"/>
        <v>2.6559049177951688</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7857835</v>
      </c>
      <c r="D109" s="16">
        <f>IF(F3="1",SUMIF(Data!$A:$A,$A$2,Data!HJ:HJ),0)</f>
        <v>1066500</v>
      </c>
      <c r="E109" s="16">
        <f>IF(F3="1",SUMIF(Data!$A:$A,$A$2,Data!IN:IN),0)</f>
        <v>1044966</v>
      </c>
      <c r="F109" s="48">
        <f>SUM(C109:E109)</f>
        <v>9969301</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293814</v>
      </c>
      <c r="D111" s="52"/>
      <c r="E111" s="51">
        <f>IF(F3="1",SUMIF(Data!A:A,$A$2,Data!AX:AX),0)</f>
        <v>141521</v>
      </c>
      <c r="F111" s="49">
        <f t="shared" si="7"/>
        <v>435335</v>
      </c>
    </row>
    <row r="112" spans="2:6" x14ac:dyDescent="0.2">
      <c r="B112" s="43" t="s">
        <v>32</v>
      </c>
      <c r="C112" s="51">
        <f>IF(F3="1",SUMIF(Data!A:A,$A$2,Data!V:V),0)</f>
        <v>817019</v>
      </c>
      <c r="D112" s="52"/>
      <c r="E112" s="51">
        <f>IF(F3="1",SUMIF(Data!A:A,$A$2,Data!AC:AC),0)</f>
        <v>435916</v>
      </c>
      <c r="F112" s="49">
        <f t="shared" si="7"/>
        <v>1252935</v>
      </c>
    </row>
    <row r="113" spans="1:6" x14ac:dyDescent="0.2">
      <c r="B113" s="43" t="s">
        <v>31</v>
      </c>
      <c r="C113" s="51">
        <f>IF(F3="1",SUMIF(Data!A:A,$A$2,Data!U:U),0)</f>
        <v>1316239</v>
      </c>
      <c r="D113" s="52"/>
      <c r="E113" s="51">
        <f>IF(F3="1",SUMIF(Data!A:A,$A$2,Data!AB:AB),0)</f>
        <v>299539</v>
      </c>
      <c r="F113" s="49">
        <f t="shared" si="7"/>
        <v>1615778</v>
      </c>
    </row>
    <row r="114" spans="1:6" x14ac:dyDescent="0.2">
      <c r="B114" s="43" t="s">
        <v>1363</v>
      </c>
      <c r="C114" s="51">
        <f>IF(F3="1",SUMIF(Data!A:A,$A$2,Data!T:T),0)</f>
        <v>1642418</v>
      </c>
      <c r="D114" s="52"/>
      <c r="E114" s="51">
        <f>IF(F3="1",SUMIF(Data!A:A,$A$2,Data!AA:AA),0)</f>
        <v>1628178</v>
      </c>
      <c r="F114" s="49">
        <f t="shared" si="7"/>
        <v>3270596</v>
      </c>
    </row>
    <row r="115" spans="1:6" x14ac:dyDescent="0.2">
      <c r="B115" s="43" t="s">
        <v>1278</v>
      </c>
      <c r="C115" s="51">
        <f>IF(F3="1",SUMIF(Data!A:A,$A$2,Data!BI:BI),0)</f>
        <v>563235</v>
      </c>
      <c r="D115" s="51">
        <f>IF(F3="1",SUMIF(Data!A:A,$A$2,Data!BL:BL),0)</f>
        <v>167758</v>
      </c>
      <c r="E115" s="51">
        <f>IF(F3="1",SUMIF(Data!A:A,$A$2,Data!BU:BU),0)</f>
        <v>3743070</v>
      </c>
      <c r="F115" s="49">
        <f t="shared" si="7"/>
        <v>4474063</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529950</v>
      </c>
      <c r="E117" s="53"/>
      <c r="F117" s="50">
        <f>SUM(C117:E117)</f>
        <v>529950</v>
      </c>
    </row>
    <row r="118" spans="1:6" x14ac:dyDescent="0.2">
      <c r="B118" s="14" t="s">
        <v>35</v>
      </c>
      <c r="C118" s="5">
        <f>SUM(C109:C116)</f>
        <v>12490560</v>
      </c>
      <c r="D118" s="5">
        <f>SUM(D109:D116)</f>
        <v>1234258</v>
      </c>
      <c r="E118" s="5">
        <f>SUM(E109:E116)</f>
        <v>7293190</v>
      </c>
      <c r="F118" s="5">
        <f>SUM(F109:F116)</f>
        <v>21018008</v>
      </c>
    </row>
    <row r="119" spans="1:6" ht="15" thickBot="1" x14ac:dyDescent="0.25"/>
    <row r="120" spans="1:6" ht="15" thickBot="1" x14ac:dyDescent="0.25">
      <c r="B120" s="57" t="s">
        <v>1283</v>
      </c>
      <c r="C120" s="55"/>
      <c r="D120" s="55"/>
      <c r="E120" s="55">
        <f>IF(F3="1",SUMIF(Data!A:A,'19'!$A$2,Data!AM:AM),0)</f>
        <v>403530</v>
      </c>
      <c r="F120" s="56">
        <f>SUM(C120:E120)</f>
        <v>403530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3" width="10.57031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439</v>
      </c>
      <c r="B2" s="60" t="str">
        <f>VLOOKUP(A2,Data!A:G,7,0)</f>
        <v>Hill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10960</v>
      </c>
      <c r="E5" s="16">
        <f>E36+E67+IFERROR($E$105/$D$105*D5,0)</f>
        <v>105155.09952355037</v>
      </c>
      <c r="F5" s="21">
        <f>IFERROR(E5/D5,"")</f>
        <v>9.5944433871852528</v>
      </c>
    </row>
    <row r="6" spans="1:6" x14ac:dyDescent="0.2">
      <c r="A6" s="20">
        <v>2</v>
      </c>
      <c r="B6" s="179" t="s">
        <v>1</v>
      </c>
      <c r="C6" s="180"/>
      <c r="D6" s="15">
        <f t="shared" ref="D6:D32" si="0">D37</f>
        <v>61075</v>
      </c>
      <c r="E6" s="18">
        <f t="shared" ref="E6:E32" si="1">E37+E68+IFERROR($E$105/$D$105*D6,0)</f>
        <v>378678.70788328821</v>
      </c>
      <c r="F6" s="22">
        <f t="shared" ref="F6:F33" si="2">IFERROR(E6/D6,"")</f>
        <v>6.2002244434431146</v>
      </c>
    </row>
    <row r="7" spans="1:6" ht="14.25" customHeight="1" x14ac:dyDescent="0.2">
      <c r="A7" s="20">
        <v>3</v>
      </c>
      <c r="B7" s="179" t="s">
        <v>2</v>
      </c>
      <c r="C7" s="180"/>
      <c r="D7" s="15">
        <f t="shared" si="0"/>
        <v>254560</v>
      </c>
      <c r="E7" s="18">
        <f t="shared" si="1"/>
        <v>1319051.6765250897</v>
      </c>
      <c r="F7" s="22">
        <f t="shared" si="2"/>
        <v>5.1816926324838528</v>
      </c>
    </row>
    <row r="8" spans="1:6" ht="14.25" customHeight="1" x14ac:dyDescent="0.2">
      <c r="A8" s="20">
        <v>4</v>
      </c>
      <c r="B8" s="179" t="s">
        <v>3</v>
      </c>
      <c r="C8" s="180"/>
      <c r="D8" s="15">
        <f t="shared" si="0"/>
        <v>179210</v>
      </c>
      <c r="E8" s="18">
        <f t="shared" si="1"/>
        <v>544998.99230068084</v>
      </c>
      <c r="F8" s="22">
        <f t="shared" si="2"/>
        <v>3.0411193142161759</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11520</v>
      </c>
      <c r="E10" s="18">
        <f t="shared" si="1"/>
        <v>132513.70314884128</v>
      </c>
      <c r="F10" s="22">
        <f t="shared" si="2"/>
        <v>11.502925620559138</v>
      </c>
    </row>
    <row r="11" spans="1:6" x14ac:dyDescent="0.2">
      <c r="A11" s="20">
        <v>7</v>
      </c>
      <c r="B11" s="179" t="s">
        <v>6</v>
      </c>
      <c r="C11" s="180"/>
      <c r="D11" s="15">
        <f t="shared" si="0"/>
        <v>31922</v>
      </c>
      <c r="E11" s="18">
        <f t="shared" si="1"/>
        <v>392793.3730830999</v>
      </c>
      <c r="F11" s="22">
        <f t="shared" si="2"/>
        <v>12.304785824293587</v>
      </c>
    </row>
    <row r="12" spans="1:6" x14ac:dyDescent="0.2">
      <c r="A12" s="20">
        <v>8</v>
      </c>
      <c r="B12" s="179" t="s">
        <v>7</v>
      </c>
      <c r="C12" s="180"/>
      <c r="D12" s="15">
        <f t="shared" si="0"/>
        <v>440</v>
      </c>
      <c r="E12" s="18">
        <f t="shared" si="1"/>
        <v>11929.617134157132</v>
      </c>
      <c r="F12" s="22">
        <f t="shared" si="2"/>
        <v>27.112766213993481</v>
      </c>
    </row>
    <row r="13" spans="1:6" x14ac:dyDescent="0.2">
      <c r="A13" s="20">
        <v>9</v>
      </c>
      <c r="B13" s="179" t="s">
        <v>8</v>
      </c>
      <c r="C13" s="180"/>
      <c r="D13" s="15">
        <f t="shared" si="0"/>
        <v>249014</v>
      </c>
      <c r="E13" s="18">
        <f t="shared" si="1"/>
        <v>1267371.7341931909</v>
      </c>
      <c r="F13" s="22">
        <f t="shared" si="2"/>
        <v>5.089560162051896</v>
      </c>
    </row>
    <row r="14" spans="1:6" x14ac:dyDescent="0.2">
      <c r="A14" s="20">
        <v>10</v>
      </c>
      <c r="B14" s="179" t="s">
        <v>9</v>
      </c>
      <c r="C14" s="180"/>
      <c r="D14" s="15">
        <f t="shared" si="0"/>
        <v>64</v>
      </c>
      <c r="E14" s="18">
        <f t="shared" si="1"/>
        <v>258.92612860467369</v>
      </c>
      <c r="F14" s="22">
        <f t="shared" si="2"/>
        <v>4.0457207594480264</v>
      </c>
    </row>
    <row r="15" spans="1:6" x14ac:dyDescent="0.2">
      <c r="A15" s="20">
        <v>11</v>
      </c>
      <c r="B15" s="179" t="s">
        <v>10</v>
      </c>
      <c r="C15" s="180"/>
      <c r="D15" s="15">
        <f t="shared" si="0"/>
        <v>8576</v>
      </c>
      <c r="E15" s="18">
        <f t="shared" si="1"/>
        <v>34854.101233026275</v>
      </c>
      <c r="F15" s="22">
        <f t="shared" si="2"/>
        <v>4.0641442669107128</v>
      </c>
    </row>
    <row r="16" spans="1:6" ht="14.25" customHeight="1" x14ac:dyDescent="0.2">
      <c r="A16" s="20">
        <v>12</v>
      </c>
      <c r="B16" s="179" t="s">
        <v>11</v>
      </c>
      <c r="C16" s="180"/>
      <c r="D16" s="15">
        <f t="shared" si="0"/>
        <v>250288</v>
      </c>
      <c r="E16" s="18">
        <f t="shared" si="1"/>
        <v>1138675.3574407278</v>
      </c>
      <c r="F16" s="22">
        <f t="shared" si="2"/>
        <v>4.5494604513229868</v>
      </c>
    </row>
    <row r="17" spans="1:6" x14ac:dyDescent="0.2">
      <c r="A17" s="20">
        <v>13</v>
      </c>
      <c r="B17" s="179" t="s">
        <v>12</v>
      </c>
      <c r="C17" s="180"/>
      <c r="D17" s="15">
        <f t="shared" si="0"/>
        <v>40704</v>
      </c>
      <c r="E17" s="18">
        <f t="shared" si="1"/>
        <v>167505.01779257247</v>
      </c>
      <c r="F17" s="22">
        <f t="shared" si="2"/>
        <v>4.1151979607058884</v>
      </c>
    </row>
    <row r="18" spans="1:6" ht="14.25" customHeight="1" x14ac:dyDescent="0.2">
      <c r="A18" s="20">
        <v>14</v>
      </c>
      <c r="B18" s="179" t="s">
        <v>804</v>
      </c>
      <c r="C18" s="180"/>
      <c r="D18" s="15">
        <f t="shared" si="0"/>
        <v>34664</v>
      </c>
      <c r="E18" s="18">
        <f t="shared" si="1"/>
        <v>390044.36440550641</v>
      </c>
      <c r="F18" s="22">
        <f t="shared" si="2"/>
        <v>11.252145292104386</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135139</v>
      </c>
      <c r="E20" s="18">
        <f t="shared" si="1"/>
        <v>745606.97021104686</v>
      </c>
      <c r="F20" s="22">
        <f t="shared" si="2"/>
        <v>5.5173337838155296</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136304</v>
      </c>
      <c r="E22" s="18">
        <f t="shared" si="1"/>
        <v>1091583.9223958037</v>
      </c>
      <c r="F22" s="22">
        <f t="shared" si="2"/>
        <v>8.0084511268620417</v>
      </c>
    </row>
    <row r="23" spans="1:6" x14ac:dyDescent="0.2">
      <c r="A23" s="20">
        <v>19</v>
      </c>
      <c r="B23" s="179" t="s">
        <v>17</v>
      </c>
      <c r="C23" s="180"/>
      <c r="D23" s="15">
        <f t="shared" si="0"/>
        <v>131184</v>
      </c>
      <c r="E23" s="18">
        <f t="shared" si="1"/>
        <v>572120.83210742986</v>
      </c>
      <c r="F23" s="22">
        <f t="shared" si="2"/>
        <v>4.3612089287369642</v>
      </c>
    </row>
    <row r="24" spans="1:6" x14ac:dyDescent="0.2">
      <c r="A24" s="20">
        <v>20</v>
      </c>
      <c r="B24" s="179" t="s">
        <v>18</v>
      </c>
      <c r="C24" s="180"/>
      <c r="D24" s="15">
        <f t="shared" si="0"/>
        <v>31424</v>
      </c>
      <c r="E24" s="18">
        <f t="shared" si="1"/>
        <v>230986.72914489478</v>
      </c>
      <c r="F24" s="22">
        <f t="shared" si="2"/>
        <v>7.3506469305274562</v>
      </c>
    </row>
    <row r="25" spans="1:6" ht="14.25" customHeight="1" x14ac:dyDescent="0.2">
      <c r="A25" s="20">
        <v>21</v>
      </c>
      <c r="B25" s="179" t="s">
        <v>801</v>
      </c>
      <c r="C25" s="180"/>
      <c r="D25" s="15">
        <f t="shared" si="0"/>
        <v>0</v>
      </c>
      <c r="E25" s="18">
        <f t="shared" si="1"/>
        <v>0</v>
      </c>
      <c r="F25" s="22" t="str">
        <f t="shared" si="2"/>
        <v/>
      </c>
    </row>
    <row r="26" spans="1:6" x14ac:dyDescent="0.2">
      <c r="A26" s="20">
        <v>22</v>
      </c>
      <c r="B26" s="179" t="s">
        <v>19</v>
      </c>
      <c r="C26" s="180"/>
      <c r="D26" s="15">
        <f t="shared" si="0"/>
        <v>960</v>
      </c>
      <c r="E26" s="18">
        <f t="shared" si="1"/>
        <v>4983.8919290701051</v>
      </c>
      <c r="F26" s="22">
        <f t="shared" si="2"/>
        <v>5.1915540927813595</v>
      </c>
    </row>
    <row r="27" spans="1:6" x14ac:dyDescent="0.2">
      <c r="A27" s="20">
        <v>23</v>
      </c>
      <c r="B27" s="179" t="s">
        <v>20</v>
      </c>
      <c r="C27" s="180"/>
      <c r="D27" s="15">
        <f t="shared" si="0"/>
        <v>80512</v>
      </c>
      <c r="E27" s="18">
        <f t="shared" si="1"/>
        <v>785673.06978467945</v>
      </c>
      <c r="F27" s="22">
        <f t="shared" si="2"/>
        <v>9.7584592332159108</v>
      </c>
    </row>
    <row r="28" spans="1:6" x14ac:dyDescent="0.2">
      <c r="A28" s="20">
        <v>24</v>
      </c>
      <c r="B28" s="179" t="s">
        <v>21</v>
      </c>
      <c r="C28" s="180"/>
      <c r="D28" s="15">
        <f t="shared" si="0"/>
        <v>124944</v>
      </c>
      <c r="E28" s="18">
        <f t="shared" si="1"/>
        <v>583684.53456847416</v>
      </c>
      <c r="F28" s="22">
        <f t="shared" si="2"/>
        <v>4.6715691395222994</v>
      </c>
    </row>
    <row r="29" spans="1:6" x14ac:dyDescent="0.2">
      <c r="A29" s="20">
        <v>25</v>
      </c>
      <c r="B29" s="179" t="s">
        <v>22</v>
      </c>
      <c r="C29" s="180"/>
      <c r="D29" s="15">
        <f t="shared" si="0"/>
        <v>298480</v>
      </c>
      <c r="E29" s="18">
        <f t="shared" si="1"/>
        <v>1332805.7322800469</v>
      </c>
      <c r="F29" s="22">
        <f t="shared" si="2"/>
        <v>4.4653100116592297</v>
      </c>
    </row>
    <row r="30" spans="1:6" x14ac:dyDescent="0.2">
      <c r="A30" s="20">
        <v>26</v>
      </c>
      <c r="B30" s="179" t="s">
        <v>23</v>
      </c>
      <c r="C30" s="180"/>
      <c r="D30" s="15">
        <f t="shared" si="0"/>
        <v>117552</v>
      </c>
      <c r="E30" s="18">
        <f t="shared" si="1"/>
        <v>662690.56671463442</v>
      </c>
      <c r="F30" s="22">
        <f t="shared" si="2"/>
        <v>5.6374248563583302</v>
      </c>
    </row>
    <row r="31" spans="1:6" x14ac:dyDescent="0.2">
      <c r="A31" s="20">
        <v>28</v>
      </c>
      <c r="B31" s="179" t="s">
        <v>24</v>
      </c>
      <c r="C31" s="180"/>
      <c r="D31" s="15">
        <f t="shared" si="0"/>
        <v>126016</v>
      </c>
      <c r="E31" s="18">
        <f t="shared" si="1"/>
        <v>514642.54722260247</v>
      </c>
      <c r="F31" s="22">
        <f t="shared" si="2"/>
        <v>4.0839460641712364</v>
      </c>
    </row>
    <row r="32" spans="1:6" ht="15.75" customHeight="1" thickBot="1" x14ac:dyDescent="0.25">
      <c r="A32" s="23">
        <v>29</v>
      </c>
      <c r="B32" s="181" t="s">
        <v>25</v>
      </c>
      <c r="C32" s="182"/>
      <c r="D32" s="24">
        <f t="shared" si="0"/>
        <v>80544</v>
      </c>
      <c r="E32" s="25">
        <f t="shared" si="1"/>
        <v>350748.53284898185</v>
      </c>
      <c r="F32" s="26">
        <f t="shared" si="2"/>
        <v>4.3547443987011052</v>
      </c>
    </row>
    <row r="33" spans="1:6" x14ac:dyDescent="0.2">
      <c r="B33" s="31" t="s">
        <v>35</v>
      </c>
      <c r="C33" s="31"/>
      <c r="D33" s="61">
        <f>SUM(D5:D32)</f>
        <v>2396056</v>
      </c>
      <c r="E33" s="32">
        <f>SUM(E5:E32)</f>
        <v>12759358.000000002</v>
      </c>
      <c r="F33" s="33">
        <f t="shared" si="2"/>
        <v>5.3251501634352456</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IF(F3="1",SUMIF(Data!A:A,'20'!$A$2,Data!CU:CU),0)</f>
        <v>10960</v>
      </c>
      <c r="E36" s="16">
        <f>IF(F3="1",SUMIF(Data!$A:$A,'20'!$A$2,Data!IO:IO),0)</f>
        <v>10551</v>
      </c>
      <c r="F36" s="21">
        <f t="shared" ref="F36:F64" si="3">IFERROR(E36/D36,"")</f>
        <v>0.9626824817518248</v>
      </c>
    </row>
    <row r="37" spans="1:6" x14ac:dyDescent="0.2">
      <c r="A37" s="20">
        <v>2</v>
      </c>
      <c r="B37" s="179" t="s">
        <v>1</v>
      </c>
      <c r="C37" s="180"/>
      <c r="D37" s="15">
        <f>IF(F3="1",SUMIF(Data!A:A,'20'!$A$2,Data!CV:CV),0)</f>
        <v>61075</v>
      </c>
      <c r="E37" s="18">
        <f>IF(F3="1",SUMIF(Data!$A:$A,'20'!$A$2,Data!IP:IP),0)</f>
        <v>39177</v>
      </c>
      <c r="F37" s="22">
        <f t="shared" si="3"/>
        <v>0.64145722472370037</v>
      </c>
    </row>
    <row r="38" spans="1:6" ht="14.25" customHeight="1" x14ac:dyDescent="0.2">
      <c r="A38" s="20">
        <v>3</v>
      </c>
      <c r="B38" s="179" t="s">
        <v>2</v>
      </c>
      <c r="C38" s="180"/>
      <c r="D38" s="15">
        <f>IF(F3="1",SUMIF(Data!A:A,'20'!$A$2,Data!CW:CW),0)</f>
        <v>254560</v>
      </c>
      <c r="E38" s="18">
        <f>IF(F3="1",SUMIF(Data!$A:$A,'20'!$A$2,Data!IQ:IQ),0)</f>
        <v>54221</v>
      </c>
      <c r="F38" s="22">
        <f t="shared" si="3"/>
        <v>0.21299890006285355</v>
      </c>
    </row>
    <row r="39" spans="1:6" ht="14.25" customHeight="1" x14ac:dyDescent="0.2">
      <c r="A39" s="20">
        <v>4</v>
      </c>
      <c r="B39" s="179" t="s">
        <v>3</v>
      </c>
      <c r="C39" s="180"/>
      <c r="D39" s="15">
        <f>IF(F3="1",SUMIF(Data!A:A,'20'!$A$2,Data!CX:CX),0)</f>
        <v>179210</v>
      </c>
      <c r="E39" s="18">
        <f>IF(F3="1",SUMIF(Data!$A:$A,'20'!$A$2,Data!IR:IR),0)</f>
        <v>3405</v>
      </c>
      <c r="F39" s="22">
        <f t="shared" si="3"/>
        <v>1.9000055800457563E-2</v>
      </c>
    </row>
    <row r="40" spans="1:6" x14ac:dyDescent="0.2">
      <c r="A40" s="20">
        <v>5</v>
      </c>
      <c r="B40" s="179" t="s">
        <v>4</v>
      </c>
      <c r="C40" s="180"/>
      <c r="D40" s="15">
        <f>IF(F3="1",SUMIF(Data!A:A,'20'!$A$2,Data!CY:CY),0)</f>
        <v>0</v>
      </c>
      <c r="E40" s="18">
        <f>IF(F3="1",SUMIF(Data!$A:$A,'20'!$A$2,Data!IS:IS),0)</f>
        <v>0</v>
      </c>
      <c r="F40" s="22" t="str">
        <f t="shared" si="3"/>
        <v/>
      </c>
    </row>
    <row r="41" spans="1:6" x14ac:dyDescent="0.2">
      <c r="A41" s="20">
        <v>6</v>
      </c>
      <c r="B41" s="179" t="s">
        <v>5</v>
      </c>
      <c r="C41" s="180"/>
      <c r="D41" s="15">
        <f>IF(F3="1",SUMIF(Data!A:A,'20'!$A$2,Data!CZ:CZ),0)</f>
        <v>11520</v>
      </c>
      <c r="E41" s="18">
        <f>IF(F3="1",SUMIF(Data!$A:$A,'20'!$A$2,Data!IT:IT),0)</f>
        <v>1496</v>
      </c>
      <c r="F41" s="22">
        <f t="shared" si="3"/>
        <v>0.12986111111111112</v>
      </c>
    </row>
    <row r="42" spans="1:6" x14ac:dyDescent="0.2">
      <c r="A42" s="20">
        <v>7</v>
      </c>
      <c r="B42" s="179" t="s">
        <v>6</v>
      </c>
      <c r="C42" s="180"/>
      <c r="D42" s="15">
        <f>IF(F3="1",SUMIF(Data!A:A,'20'!$A$2,Data!DA:DA),0)</f>
        <v>31922</v>
      </c>
      <c r="E42" s="18">
        <f>IF(F3="1",SUMIF(Data!$A:$A,'20'!$A$2,Data!IU:IU),0)</f>
        <v>7413</v>
      </c>
      <c r="F42" s="22">
        <f t="shared" si="3"/>
        <v>0.2322222918363511</v>
      </c>
    </row>
    <row r="43" spans="1:6" x14ac:dyDescent="0.2">
      <c r="A43" s="20">
        <v>8</v>
      </c>
      <c r="B43" s="179" t="s">
        <v>7</v>
      </c>
      <c r="C43" s="180"/>
      <c r="D43" s="15">
        <f>IF(F3="1",SUMIF(Data!A:A,'20'!$A$2,Data!DB:DB),0)</f>
        <v>440</v>
      </c>
      <c r="E43" s="18">
        <f>IF(F3="1",SUMIF(Data!$A:$A,'20'!$A$2,Data!IV:IV),0)</f>
        <v>4984</v>
      </c>
      <c r="F43" s="22">
        <f t="shared" si="3"/>
        <v>11.327272727272728</v>
      </c>
    </row>
    <row r="44" spans="1:6" x14ac:dyDescent="0.2">
      <c r="A44" s="20">
        <v>9</v>
      </c>
      <c r="B44" s="179" t="s">
        <v>8</v>
      </c>
      <c r="C44" s="180"/>
      <c r="D44" s="15">
        <f>IF(F3="1",SUMIF(Data!A:A,'20'!$A$2,Data!DC:DC),0)</f>
        <v>249014</v>
      </c>
      <c r="E44" s="18">
        <f>IF(F3="1",SUMIF(Data!$A:$A,'20'!$A$2,Data!IW:IW),0)</f>
        <v>59658</v>
      </c>
      <c r="F44" s="22">
        <f t="shared" si="3"/>
        <v>0.23957689125912598</v>
      </c>
    </row>
    <row r="45" spans="1:6" x14ac:dyDescent="0.2">
      <c r="A45" s="20">
        <v>10</v>
      </c>
      <c r="B45" s="179" t="s">
        <v>9</v>
      </c>
      <c r="C45" s="180"/>
      <c r="D45" s="15">
        <f>IF(F3="1",SUMIF(Data!A:A,'20'!$A$2,Data!DD:DD),0)</f>
        <v>64</v>
      </c>
      <c r="E45" s="18">
        <f>IF(F3="1",SUMIF(Data!$A:$A,'20'!$A$2,Data!IX:IX),0)</f>
        <v>0</v>
      </c>
      <c r="F45" s="22">
        <f t="shared" si="3"/>
        <v>0</v>
      </c>
    </row>
    <row r="46" spans="1:6" x14ac:dyDescent="0.2">
      <c r="A46" s="20">
        <v>11</v>
      </c>
      <c r="B46" s="179" t="s">
        <v>10</v>
      </c>
      <c r="C46" s="180"/>
      <c r="D46" s="15">
        <f>IF(F3="1",SUMIF(Data!A:A,'20'!$A$2,Data!DE:DE),0)</f>
        <v>8576</v>
      </c>
      <c r="E46" s="18">
        <f>IF(F3="1",SUMIF(Data!$A:$A,'20'!$A$2,Data!IY:IY),0)</f>
        <v>631</v>
      </c>
      <c r="F46" s="22">
        <f t="shared" si="3"/>
        <v>7.3577425373134331E-2</v>
      </c>
    </row>
    <row r="47" spans="1:6" ht="14.25" customHeight="1" x14ac:dyDescent="0.2">
      <c r="A47" s="20">
        <v>12</v>
      </c>
      <c r="B47" s="179" t="s">
        <v>11</v>
      </c>
      <c r="C47" s="180"/>
      <c r="D47" s="15">
        <f>IF(F3="1",SUMIF(Data!A:A,'20'!$A$2,Data!DF:DF),0)</f>
        <v>250288</v>
      </c>
      <c r="E47" s="18">
        <f>IF(F3="1",SUMIF(Data!$A:$A,'20'!$A$2,Data!IZ:IZ),0)</f>
        <v>6349</v>
      </c>
      <c r="F47" s="22">
        <f t="shared" si="3"/>
        <v>2.5366777472351852E-2</v>
      </c>
    </row>
    <row r="48" spans="1:6" x14ac:dyDescent="0.2">
      <c r="A48" s="20">
        <v>13</v>
      </c>
      <c r="B48" s="179" t="s">
        <v>12</v>
      </c>
      <c r="C48" s="180"/>
      <c r="D48" s="15">
        <f>IF(F3="1",SUMIF(Data!A:A,'20'!$A$2,Data!DG:DG),0)</f>
        <v>40704</v>
      </c>
      <c r="E48" s="18">
        <f>IF(F3="1",SUMIF(Data!$A:$A,'20'!$A$2,Data!JA:JA),0)</f>
        <v>498</v>
      </c>
      <c r="F48" s="22">
        <f t="shared" si="3"/>
        <v>1.2234669811320755E-2</v>
      </c>
    </row>
    <row r="49" spans="1:6" ht="14.25" customHeight="1" x14ac:dyDescent="0.2">
      <c r="A49" s="20">
        <v>14</v>
      </c>
      <c r="B49" s="179" t="s">
        <v>804</v>
      </c>
      <c r="C49" s="180"/>
      <c r="D49" s="15">
        <f>IF(F3="1",SUMIF(Data!A:A,'20'!$A$2,Data!DH:DH),0)</f>
        <v>34664</v>
      </c>
      <c r="E49" s="18">
        <f>IF(F3="1",SUMIF(Data!$A:$A,'20'!$A$2,Data!JB:JB),0)</f>
        <v>17608</v>
      </c>
      <c r="F49" s="22">
        <f t="shared" si="3"/>
        <v>0.50796215093468733</v>
      </c>
    </row>
    <row r="50" spans="1:6" x14ac:dyDescent="0.2">
      <c r="A50" s="20">
        <v>15</v>
      </c>
      <c r="B50" s="179" t="s">
        <v>13</v>
      </c>
      <c r="C50" s="180"/>
      <c r="D50" s="15">
        <f>IF(F3="1",SUMIF(Data!A:A,'20'!$A$2,Data!DI:DI),0)</f>
        <v>0</v>
      </c>
      <c r="E50" s="18">
        <f>IF(F3="1",SUMIF(Data!$A:$A,'20'!$A$2,Data!JC:JC),0)</f>
        <v>0</v>
      </c>
      <c r="F50" s="22" t="str">
        <f t="shared" si="3"/>
        <v/>
      </c>
    </row>
    <row r="51" spans="1:6" x14ac:dyDescent="0.2">
      <c r="A51" s="20">
        <v>16</v>
      </c>
      <c r="B51" s="179" t="s">
        <v>14</v>
      </c>
      <c r="C51" s="180"/>
      <c r="D51" s="15">
        <f>IF(F3="1",SUMIF(Data!A:A,'20'!$A$2,Data!DJ:DJ),0)</f>
        <v>135139</v>
      </c>
      <c r="E51" s="18">
        <f>IF(F3="1",SUMIF(Data!$A:$A,'20'!$A$2,Data!JD:JD),0)</f>
        <v>66273</v>
      </c>
      <c r="F51" s="22">
        <f t="shared" si="3"/>
        <v>0.49040617438341261</v>
      </c>
    </row>
    <row r="52" spans="1:6" x14ac:dyDescent="0.2">
      <c r="A52" s="20">
        <v>17</v>
      </c>
      <c r="B52" s="179" t="s">
        <v>15</v>
      </c>
      <c r="C52" s="180"/>
      <c r="D52" s="15">
        <f>IF(F3="1",SUMIF(Data!A:A,'20'!$A$2,Data!DK:DK),0)</f>
        <v>0</v>
      </c>
      <c r="E52" s="18">
        <f>IF(F3="1",SUMIF(Data!$A:$A,'20'!$A$2,Data!JE:JE),0)</f>
        <v>0</v>
      </c>
      <c r="F52" s="22" t="str">
        <f t="shared" si="3"/>
        <v/>
      </c>
    </row>
    <row r="53" spans="1:6" x14ac:dyDescent="0.2">
      <c r="A53" s="20">
        <v>18</v>
      </c>
      <c r="B53" s="179" t="s">
        <v>16</v>
      </c>
      <c r="C53" s="180"/>
      <c r="D53" s="15">
        <f>IF(F3="1",SUMIF(Data!A:A,'20'!$A$2,Data!DL:DL),0)</f>
        <v>136304</v>
      </c>
      <c r="E53" s="18">
        <f>IF(F3="1",SUMIF(Data!$A:$A,'20'!$A$2,Data!JF:JF),0)</f>
        <v>67850</v>
      </c>
      <c r="F53" s="22">
        <f t="shared" si="3"/>
        <v>0.49778436436201434</v>
      </c>
    </row>
    <row r="54" spans="1:6" x14ac:dyDescent="0.2">
      <c r="A54" s="20">
        <v>19</v>
      </c>
      <c r="B54" s="179" t="s">
        <v>17</v>
      </c>
      <c r="C54" s="180"/>
      <c r="D54" s="15">
        <f>IF(F3="1",SUMIF(Data!A:A,'20'!$A$2,Data!DM:DM),0)</f>
        <v>131184</v>
      </c>
      <c r="E54" s="18">
        <f>IF(F3="1",SUMIF(Data!$A:$A,'20'!$A$2,Data!JG:JG),0)</f>
        <v>2228</v>
      </c>
      <c r="F54" s="22">
        <f t="shared" si="3"/>
        <v>1.6983778509574339E-2</v>
      </c>
    </row>
    <row r="55" spans="1:6" x14ac:dyDescent="0.2">
      <c r="A55" s="20">
        <v>20</v>
      </c>
      <c r="B55" s="179" t="s">
        <v>18</v>
      </c>
      <c r="C55" s="180"/>
      <c r="D55" s="15">
        <f>IF(F3="1",SUMIF(Data!A:A,'20'!$A$2,Data!DN:DN),0)</f>
        <v>31424</v>
      </c>
      <c r="E55" s="18">
        <f>IF(F3="1",SUMIF(Data!$A:$A,'20'!$A$2,Data!JH:JH),0)</f>
        <v>75856</v>
      </c>
      <c r="F55" s="22">
        <f t="shared" si="3"/>
        <v>2.4139511201629329</v>
      </c>
    </row>
    <row r="56" spans="1:6" ht="14.25" customHeight="1" x14ac:dyDescent="0.2">
      <c r="A56" s="20">
        <v>21</v>
      </c>
      <c r="B56" s="179" t="s">
        <v>801</v>
      </c>
      <c r="C56" s="180"/>
      <c r="D56" s="15">
        <f>IF(F3="1",SUMIF(Data!A:A,'20'!$A$2,Data!DO:DO),0)</f>
        <v>0</v>
      </c>
      <c r="E56" s="18">
        <f>IF(F3="1",SUMIF(Data!$A:$A,'20'!$A$2,Data!JI:JI),0)</f>
        <v>0</v>
      </c>
      <c r="F56" s="22" t="str">
        <f t="shared" si="3"/>
        <v/>
      </c>
    </row>
    <row r="57" spans="1:6" x14ac:dyDescent="0.2">
      <c r="A57" s="20">
        <v>22</v>
      </c>
      <c r="B57" s="179" t="s">
        <v>19</v>
      </c>
      <c r="C57" s="180"/>
      <c r="D57" s="15">
        <f>IF(F3="1",SUMIF(Data!A:A,'20'!$A$2,Data!DP:DP),0)</f>
        <v>960</v>
      </c>
      <c r="E57" s="18">
        <f>IF(F3="1",SUMIF(Data!$A:$A,'20'!$A$2,Data!JJ:JJ),0)</f>
        <v>100</v>
      </c>
      <c r="F57" s="22">
        <f t="shared" si="3"/>
        <v>0.10416666666666667</v>
      </c>
    </row>
    <row r="58" spans="1:6" x14ac:dyDescent="0.2">
      <c r="A58" s="20">
        <v>23</v>
      </c>
      <c r="B58" s="179" t="s">
        <v>20</v>
      </c>
      <c r="C58" s="180"/>
      <c r="D58" s="15">
        <f>IF(F3="1",SUMIF(Data!A:A,'20'!$A$2,Data!DQ:DQ),0)</f>
        <v>80512</v>
      </c>
      <c r="E58" s="18">
        <f>IF(F3="1",SUMIF(Data!$A:$A,'20'!$A$2,Data!JK:JK),0)</f>
        <v>27284</v>
      </c>
      <c r="F58" s="22">
        <f t="shared" si="3"/>
        <v>0.33888116057233703</v>
      </c>
    </row>
    <row r="59" spans="1:6" x14ac:dyDescent="0.2">
      <c r="A59" s="20">
        <v>24</v>
      </c>
      <c r="B59" s="179" t="s">
        <v>21</v>
      </c>
      <c r="C59" s="180"/>
      <c r="D59" s="15">
        <f>IF(F3="1",SUMIF(Data!A:A,'20'!$A$2,Data!DR:DR),0)</f>
        <v>124944</v>
      </c>
      <c r="E59" s="18">
        <f>IF(F3="1",SUMIF(Data!$A:$A,'20'!$A$2,Data!JL:JL),0)</f>
        <v>44303</v>
      </c>
      <c r="F59" s="22">
        <f t="shared" si="3"/>
        <v>0.35458285311819693</v>
      </c>
    </row>
    <row r="60" spans="1:6" x14ac:dyDescent="0.2">
      <c r="A60" s="20">
        <v>25</v>
      </c>
      <c r="B60" s="179" t="s">
        <v>22</v>
      </c>
      <c r="C60" s="180"/>
      <c r="D60" s="15">
        <f>IF(F3="1",SUMIF(Data!A:A,'20'!$A$2,Data!DS:DS),0)</f>
        <v>298480</v>
      </c>
      <c r="E60" s="18">
        <f>IF(F3="1",SUMIF(Data!$A:$A,'20'!$A$2,Data!JM:JM),0)</f>
        <v>14022</v>
      </c>
      <c r="F60" s="22">
        <f t="shared" si="3"/>
        <v>4.6978021978021978E-2</v>
      </c>
    </row>
    <row r="61" spans="1:6" x14ac:dyDescent="0.2">
      <c r="A61" s="20">
        <v>26</v>
      </c>
      <c r="B61" s="179" t="s">
        <v>23</v>
      </c>
      <c r="C61" s="180"/>
      <c r="D61" s="15">
        <f>IF(F3="1",SUMIF(Data!A:A,'20'!$A$2,Data!DT:DT),0)</f>
        <v>117552</v>
      </c>
      <c r="E61" s="18">
        <f>IF(F3="1",SUMIF(Data!$A:$A,'20'!$A$2,Data!JN:JN),0)</f>
        <v>22725</v>
      </c>
      <c r="F61" s="22">
        <f t="shared" si="3"/>
        <v>0.19331870151082076</v>
      </c>
    </row>
    <row r="62" spans="1:6" x14ac:dyDescent="0.2">
      <c r="A62" s="20">
        <v>28</v>
      </c>
      <c r="B62" s="179" t="s">
        <v>24</v>
      </c>
      <c r="C62" s="180"/>
      <c r="D62" s="15">
        <f>IF(F3="1",SUMIF(Data!A:A,'20'!$A$2,Data!DV:DV),0)</f>
        <v>126016</v>
      </c>
      <c r="E62" s="18">
        <f>IF(F3="1",SUMIF(Data!$A:$A,'20'!$A$2,Data!JP:JP),0)</f>
        <v>888</v>
      </c>
      <c r="F62" s="22">
        <f t="shared" si="3"/>
        <v>7.0467242254951754E-3</v>
      </c>
    </row>
    <row r="63" spans="1:6" ht="15.75" customHeight="1" thickBot="1" x14ac:dyDescent="0.25">
      <c r="A63" s="23">
        <v>29</v>
      </c>
      <c r="B63" s="181" t="s">
        <v>25</v>
      </c>
      <c r="C63" s="182"/>
      <c r="D63" s="24">
        <f>IF(F3="1",SUMIF(Data!A:A,'20'!$A$2,Data!DW:DW),0)</f>
        <v>80544</v>
      </c>
      <c r="E63" s="25">
        <f>IF(F3="1",SUMIF(Data!$A:$A,'20'!$A$2,Data!JQ:JQ),0)</f>
        <v>1566</v>
      </c>
      <c r="F63" s="26">
        <f t="shared" si="3"/>
        <v>1.9442789034564957E-2</v>
      </c>
    </row>
    <row r="64" spans="1:6" x14ac:dyDescent="0.2">
      <c r="B64" s="31" t="s">
        <v>35</v>
      </c>
      <c r="C64" s="31"/>
      <c r="D64" s="61">
        <f>SUM(D36:D63)</f>
        <v>2396056</v>
      </c>
      <c r="E64" s="32">
        <f>SUM(E36:E63)</f>
        <v>529086</v>
      </c>
      <c r="F64" s="33">
        <f t="shared" si="3"/>
        <v>0.22081537326339618</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10960</v>
      </c>
      <c r="E67" s="16">
        <f>IF(F3="1",SUMIF(Data!A:A,'20'!$A$2,Data!DY:DY),0)</f>
        <v>67388</v>
      </c>
      <c r="F67" s="21">
        <f>IFERROR(E67/D67,"")</f>
        <v>6.1485401459854012</v>
      </c>
    </row>
    <row r="68" spans="1:6" x14ac:dyDescent="0.2">
      <c r="A68" s="20">
        <v>2</v>
      </c>
      <c r="B68" s="179" t="s">
        <v>1</v>
      </c>
      <c r="C68" s="180"/>
      <c r="D68" s="15">
        <f t="shared" ref="D68:D94" si="4">D37</f>
        <v>61075</v>
      </c>
      <c r="E68" s="18">
        <f>IF(F3="1",SUMIF(Data!A:A,'20'!$A$2,Data!DZ:DZ),0)</f>
        <v>187839</v>
      </c>
      <c r="F68" s="22">
        <f t="shared" ref="F68:F95" si="5">IFERROR(E68/D68,"")</f>
        <v>3.0755464592713877</v>
      </c>
    </row>
    <row r="69" spans="1:6" ht="14.25" customHeight="1" x14ac:dyDescent="0.2">
      <c r="A69" s="20">
        <v>3</v>
      </c>
      <c r="B69" s="179" t="s">
        <v>2</v>
      </c>
      <c r="C69" s="180"/>
      <c r="D69" s="15">
        <f t="shared" si="4"/>
        <v>254560</v>
      </c>
      <c r="E69" s="18">
        <f>IF(F3="1",SUMIF(Data!A:A,'20'!$A$2,Data!EA:EA),0)</f>
        <v>632702</v>
      </c>
      <c r="F69" s="22">
        <f t="shared" si="5"/>
        <v>2.485472972972973</v>
      </c>
    </row>
    <row r="70" spans="1:6" ht="14.25" customHeight="1" x14ac:dyDescent="0.2">
      <c r="A70" s="20">
        <v>4</v>
      </c>
      <c r="B70" s="179" t="s">
        <v>3</v>
      </c>
      <c r="C70" s="180"/>
      <c r="D70" s="15">
        <f t="shared" si="4"/>
        <v>179210</v>
      </c>
      <c r="E70" s="18">
        <f>IF(F3="1",SUMIF(Data!A:A,'20'!$A$2,Data!EB:EB),0)</f>
        <v>96576</v>
      </c>
      <c r="F70" s="22">
        <f t="shared" si="5"/>
        <v>0.53889849896769149</v>
      </c>
    </row>
    <row r="71" spans="1:6" x14ac:dyDescent="0.2">
      <c r="A71" s="20">
        <v>5</v>
      </c>
      <c r="B71" s="179" t="s">
        <v>4</v>
      </c>
      <c r="C71" s="180"/>
      <c r="D71" s="15">
        <f t="shared" si="4"/>
        <v>0</v>
      </c>
      <c r="E71" s="18">
        <f>IF(F3="1",SUMIF(Data!A:A,'20'!$A$2,Data!EC:EC),0)</f>
        <v>0</v>
      </c>
      <c r="F71" s="22" t="str">
        <f t="shared" si="5"/>
        <v/>
      </c>
    </row>
    <row r="72" spans="1:6" x14ac:dyDescent="0.2">
      <c r="A72" s="20">
        <v>6</v>
      </c>
      <c r="B72" s="179" t="s">
        <v>5</v>
      </c>
      <c r="C72" s="180"/>
      <c r="D72" s="15">
        <f t="shared" si="4"/>
        <v>11520</v>
      </c>
      <c r="E72" s="18">
        <f>IF(F3="1",SUMIF(Data!A:A,'20'!$A$2,Data!ED:ED),0)</f>
        <v>102411</v>
      </c>
      <c r="F72" s="22">
        <f t="shared" si="5"/>
        <v>8.8898437500000007</v>
      </c>
    </row>
    <row r="73" spans="1:6" x14ac:dyDescent="0.2">
      <c r="A73" s="20">
        <v>7</v>
      </c>
      <c r="B73" s="179" t="s">
        <v>6</v>
      </c>
      <c r="C73" s="180"/>
      <c r="D73" s="15">
        <f t="shared" si="4"/>
        <v>31922</v>
      </c>
      <c r="E73" s="18">
        <f>IF(F3="1",SUMIF(Data!A:A,'20'!$A$2,Data!EE:EE),0)</f>
        <v>306111</v>
      </c>
      <c r="F73" s="22">
        <f t="shared" si="5"/>
        <v>9.5893427730092107</v>
      </c>
    </row>
    <row r="74" spans="1:6" x14ac:dyDescent="0.2">
      <c r="A74" s="20">
        <v>8</v>
      </c>
      <c r="B74" s="179" t="s">
        <v>7</v>
      </c>
      <c r="C74" s="180"/>
      <c r="D74" s="15">
        <f t="shared" si="4"/>
        <v>440</v>
      </c>
      <c r="E74" s="18">
        <f>IF(F3="1",SUMIF(Data!A:A,'20'!$A$2,Data!EF:EF),0)</f>
        <v>5853</v>
      </c>
      <c r="F74" s="22">
        <f t="shared" si="5"/>
        <v>13.302272727272728</v>
      </c>
    </row>
    <row r="75" spans="1:6" x14ac:dyDescent="0.2">
      <c r="A75" s="20">
        <v>9</v>
      </c>
      <c r="B75" s="179" t="s">
        <v>8</v>
      </c>
      <c r="C75" s="180"/>
      <c r="D75" s="15">
        <f t="shared" si="4"/>
        <v>249014</v>
      </c>
      <c r="E75" s="18">
        <f>IF(F3="1",SUMIF(Data!A:A,'20'!$A$2,Data!EG:EG),0)</f>
        <v>589357</v>
      </c>
      <c r="F75" s="22">
        <f t="shared" si="5"/>
        <v>2.3667625113447435</v>
      </c>
    </row>
    <row r="76" spans="1:6" x14ac:dyDescent="0.2">
      <c r="A76" s="20">
        <v>10</v>
      </c>
      <c r="B76" s="179" t="s">
        <v>9</v>
      </c>
      <c r="C76" s="180"/>
      <c r="D76" s="15">
        <f t="shared" si="4"/>
        <v>64</v>
      </c>
      <c r="E76" s="18">
        <f>IF(F3="1",SUMIF(Data!A:A,'20'!$A$2,Data!EH:EH),0)</f>
        <v>100</v>
      </c>
      <c r="F76" s="22">
        <f t="shared" si="5"/>
        <v>1.5625</v>
      </c>
    </row>
    <row r="77" spans="1:6" x14ac:dyDescent="0.2">
      <c r="A77" s="20">
        <v>11</v>
      </c>
      <c r="B77" s="179" t="s">
        <v>10</v>
      </c>
      <c r="C77" s="180"/>
      <c r="D77" s="15">
        <f t="shared" si="4"/>
        <v>8576</v>
      </c>
      <c r="E77" s="18">
        <f>IF(F3="1",SUMIF(Data!A:A,'20'!$A$2,Data!EI:EI),0)</f>
        <v>12927</v>
      </c>
      <c r="F77" s="22">
        <f t="shared" si="5"/>
        <v>1.5073460820895523</v>
      </c>
    </row>
    <row r="78" spans="1:6" ht="14.25" customHeight="1" x14ac:dyDescent="0.2">
      <c r="A78" s="20">
        <v>12</v>
      </c>
      <c r="B78" s="179" t="s">
        <v>11</v>
      </c>
      <c r="C78" s="180"/>
      <c r="D78" s="15">
        <f t="shared" si="4"/>
        <v>250288</v>
      </c>
      <c r="E78" s="18">
        <f>IF(F3="1",SUMIF(Data!A:A,'20'!$A$2,Data!EJ:EJ),0)</f>
        <v>510806</v>
      </c>
      <c r="F78" s="22">
        <f t="shared" si="5"/>
        <v>2.0408729144026081</v>
      </c>
    </row>
    <row r="79" spans="1:6" x14ac:dyDescent="0.2">
      <c r="A79" s="20">
        <v>13</v>
      </c>
      <c r="B79" s="179" t="s">
        <v>12</v>
      </c>
      <c r="C79" s="180"/>
      <c r="D79" s="15">
        <f t="shared" si="4"/>
        <v>40704</v>
      </c>
      <c r="E79" s="18">
        <f>IF(F3="1",SUMIF(Data!A:A,'20'!$A$2,Data!EK:EK),0)</f>
        <v>65930</v>
      </c>
      <c r="F79" s="22">
        <f t="shared" si="5"/>
        <v>1.6197425314465408</v>
      </c>
    </row>
    <row r="80" spans="1:6" ht="14.25" customHeight="1" x14ac:dyDescent="0.2">
      <c r="A80" s="20">
        <v>14</v>
      </c>
      <c r="B80" s="179" t="s">
        <v>804</v>
      </c>
      <c r="C80" s="180"/>
      <c r="D80" s="15">
        <f t="shared" si="4"/>
        <v>34664</v>
      </c>
      <c r="E80" s="18">
        <f>IF(F3="1",SUMIF(Data!A:A,'20'!$A$2,Data!EL:EL),0)</f>
        <v>286358</v>
      </c>
      <c r="F80" s="22">
        <f t="shared" si="5"/>
        <v>8.2609623817216704</v>
      </c>
    </row>
    <row r="81" spans="1:6" x14ac:dyDescent="0.2">
      <c r="A81" s="20">
        <v>15</v>
      </c>
      <c r="B81" s="179" t="s">
        <v>13</v>
      </c>
      <c r="C81" s="180"/>
      <c r="D81" s="15">
        <f t="shared" si="4"/>
        <v>0</v>
      </c>
      <c r="E81" s="18">
        <f>IF(F3="1",SUMIF(Data!A:A,'20'!$A$2,Data!EM:EM),0)</f>
        <v>0</v>
      </c>
      <c r="F81" s="22" t="str">
        <f t="shared" si="5"/>
        <v/>
      </c>
    </row>
    <row r="82" spans="1:6" x14ac:dyDescent="0.2">
      <c r="A82" s="20">
        <v>16</v>
      </c>
      <c r="B82" s="179" t="s">
        <v>14</v>
      </c>
      <c r="C82" s="180"/>
      <c r="D82" s="15">
        <f t="shared" si="4"/>
        <v>135139</v>
      </c>
      <c r="E82" s="18">
        <f>IF(F3="1",SUMIF(Data!A:A,'20'!$A$2,Data!EN:EN),0)</f>
        <v>343754</v>
      </c>
      <c r="F82" s="22">
        <f t="shared" si="5"/>
        <v>2.5437068499840905</v>
      </c>
    </row>
    <row r="83" spans="1:6" x14ac:dyDescent="0.2">
      <c r="A83" s="20">
        <v>17</v>
      </c>
      <c r="B83" s="179" t="s">
        <v>15</v>
      </c>
      <c r="C83" s="180"/>
      <c r="D83" s="15">
        <f t="shared" si="4"/>
        <v>0</v>
      </c>
      <c r="E83" s="18">
        <f>IF(F3="1",SUMIF(Data!A:A,'20'!$A$2,Data!EO:EO),0)</f>
        <v>0</v>
      </c>
      <c r="F83" s="22" t="str">
        <f t="shared" si="5"/>
        <v/>
      </c>
    </row>
    <row r="84" spans="1:6" x14ac:dyDescent="0.2">
      <c r="A84" s="20">
        <v>18</v>
      </c>
      <c r="B84" s="179" t="s">
        <v>16</v>
      </c>
      <c r="C84" s="180"/>
      <c r="D84" s="15">
        <f t="shared" si="4"/>
        <v>136304</v>
      </c>
      <c r="E84" s="18">
        <f>IF(F3="1",SUMIF(Data!A:A,'20'!$A$2,Data!EP:EP),0)</f>
        <v>685261</v>
      </c>
      <c r="F84" s="22">
        <f t="shared" si="5"/>
        <v>5.0274460030520016</v>
      </c>
    </row>
    <row r="85" spans="1:6" x14ac:dyDescent="0.2">
      <c r="A85" s="20">
        <v>19</v>
      </c>
      <c r="B85" s="179" t="s">
        <v>17</v>
      </c>
      <c r="C85" s="180"/>
      <c r="D85" s="15">
        <f t="shared" si="4"/>
        <v>131184</v>
      </c>
      <c r="E85" s="18">
        <f>IF(F3="1",SUMIF(Data!A:A,'20'!$A$2,Data!EQ:EQ),0)</f>
        <v>244134</v>
      </c>
      <c r="F85" s="22">
        <f t="shared" si="5"/>
        <v>1.8610043907793634</v>
      </c>
    </row>
    <row r="86" spans="1:6" x14ac:dyDescent="0.2">
      <c r="A86" s="20">
        <v>20</v>
      </c>
      <c r="B86" s="179" t="s">
        <v>18</v>
      </c>
      <c r="C86" s="180"/>
      <c r="D86" s="15">
        <f t="shared" si="4"/>
        <v>31424</v>
      </c>
      <c r="E86" s="18">
        <f>IF(F3="1",SUMIF(Data!A:A,'20'!$A$2,Data!ER:ER),0)</f>
        <v>77098</v>
      </c>
      <c r="F86" s="22">
        <f t="shared" si="5"/>
        <v>2.4534750509164969</v>
      </c>
    </row>
    <row r="87" spans="1:6" ht="14.25" customHeight="1" x14ac:dyDescent="0.2">
      <c r="A87" s="20">
        <v>21</v>
      </c>
      <c r="B87" s="179" t="s">
        <v>801</v>
      </c>
      <c r="C87" s="180"/>
      <c r="D87" s="15">
        <f t="shared" si="4"/>
        <v>0</v>
      </c>
      <c r="E87" s="18">
        <f>IF(F3="1",SUMIF(Data!A:A,'20'!$A$2,Data!ES:ES),0)</f>
        <v>0</v>
      </c>
      <c r="F87" s="22" t="str">
        <f t="shared" si="5"/>
        <v/>
      </c>
    </row>
    <row r="88" spans="1:6" x14ac:dyDescent="0.2">
      <c r="A88" s="20">
        <v>22</v>
      </c>
      <c r="B88" s="179" t="s">
        <v>19</v>
      </c>
      <c r="C88" s="180"/>
      <c r="D88" s="15">
        <f t="shared" si="4"/>
        <v>960</v>
      </c>
      <c r="E88" s="18">
        <f>IF(F3="1",SUMIF(Data!A:A,'20'!$A$2,Data!ET:ET),0)</f>
        <v>2500</v>
      </c>
      <c r="F88" s="22">
        <f t="shared" si="5"/>
        <v>2.6041666666666665</v>
      </c>
    </row>
    <row r="89" spans="1:6" x14ac:dyDescent="0.2">
      <c r="A89" s="20">
        <v>23</v>
      </c>
      <c r="B89" s="179" t="s">
        <v>20</v>
      </c>
      <c r="C89" s="180"/>
      <c r="D89" s="15">
        <f t="shared" si="4"/>
        <v>80512</v>
      </c>
      <c r="E89" s="18">
        <f>IF(F3="1",SUMIF(Data!A:A,'20'!$A$2,Data!EU:EU),0)</f>
        <v>558460</v>
      </c>
      <c r="F89" s="22">
        <f t="shared" si="5"/>
        <v>6.9363573131955487</v>
      </c>
    </row>
    <row r="90" spans="1:6" x14ac:dyDescent="0.2">
      <c r="A90" s="20">
        <v>24</v>
      </c>
      <c r="B90" s="179" t="s">
        <v>21</v>
      </c>
      <c r="C90" s="180"/>
      <c r="D90" s="15">
        <f t="shared" si="4"/>
        <v>124944</v>
      </c>
      <c r="E90" s="18">
        <f>IF(F3="1",SUMIF(Data!A:A,'20'!$A$2,Data!EV:EV),0)</f>
        <v>229118</v>
      </c>
      <c r="F90" s="22">
        <f t="shared" si="5"/>
        <v>1.8337655269560764</v>
      </c>
    </row>
    <row r="91" spans="1:6" x14ac:dyDescent="0.2">
      <c r="A91" s="20">
        <v>25</v>
      </c>
      <c r="B91" s="179" t="s">
        <v>22</v>
      </c>
      <c r="C91" s="180"/>
      <c r="D91" s="15">
        <f t="shared" si="4"/>
        <v>298480</v>
      </c>
      <c r="E91" s="18">
        <f>IF(F3="1",SUMIF(Data!A:A,'20'!$A$2,Data!EW:EW),0)</f>
        <v>577592</v>
      </c>
      <c r="F91" s="22">
        <f t="shared" si="5"/>
        <v>1.9351112302331814</v>
      </c>
    </row>
    <row r="92" spans="1:6" x14ac:dyDescent="0.2">
      <c r="A92" s="20">
        <v>26</v>
      </c>
      <c r="B92" s="179" t="s">
        <v>23</v>
      </c>
      <c r="C92" s="180"/>
      <c r="D92" s="15">
        <f t="shared" si="4"/>
        <v>117552</v>
      </c>
      <c r="E92" s="18">
        <f>IF(F3="1",SUMIF(Data!A:A,'20'!$A$2,Data!EX:EX),0)</f>
        <v>348058</v>
      </c>
      <c r="F92" s="22">
        <f t="shared" si="5"/>
        <v>2.9608853953994827</v>
      </c>
    </row>
    <row r="93" spans="1:6" x14ac:dyDescent="0.2">
      <c r="A93" s="20">
        <v>28</v>
      </c>
      <c r="B93" s="179" t="s">
        <v>24</v>
      </c>
      <c r="C93" s="180"/>
      <c r="D93" s="15">
        <f t="shared" si="4"/>
        <v>126016</v>
      </c>
      <c r="E93" s="18">
        <f>IF(F3="1",SUMIF(Data!A:A,'20'!$A$2,Data!EZ:EZ),0)</f>
        <v>200829</v>
      </c>
      <c r="F93" s="22">
        <f t="shared" si="5"/>
        <v>1.5936785804977145</v>
      </c>
    </row>
    <row r="94" spans="1:6" ht="15.75" customHeight="1" thickBot="1" x14ac:dyDescent="0.25">
      <c r="A94" s="23">
        <v>29</v>
      </c>
      <c r="B94" s="181" t="s">
        <v>25</v>
      </c>
      <c r="C94" s="182"/>
      <c r="D94" s="24">
        <f t="shared" si="4"/>
        <v>80544</v>
      </c>
      <c r="E94" s="25">
        <f>IF(F3="1",SUMIF(Data!A:A,'20'!$A$2,Data!FA:FA),0)</f>
        <v>149174</v>
      </c>
      <c r="F94" s="26">
        <f t="shared" si="5"/>
        <v>1.8520808502185142</v>
      </c>
    </row>
    <row r="95" spans="1:6" x14ac:dyDescent="0.2">
      <c r="B95" s="31" t="s">
        <v>35</v>
      </c>
      <c r="C95" s="31"/>
      <c r="D95" s="61">
        <f>SUM(D67:D94)</f>
        <v>2396056</v>
      </c>
      <c r="E95" s="32">
        <f>SUM(E67:E94)</f>
        <v>6280336</v>
      </c>
      <c r="F95" s="33">
        <f t="shared" si="5"/>
        <v>2.621114030723823</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IF(F3="1",SUMIF(Data!A:A,'20'!$A$2,Data!AH:AH),0)</f>
        <v>2674770</v>
      </c>
      <c r="F98" s="21">
        <f t="shared" ref="F98:F105" si="6">IFERROR(E98/$D$95,0)</f>
        <v>1.1163219891354792</v>
      </c>
    </row>
    <row r="99" spans="2:6" x14ac:dyDescent="0.2">
      <c r="B99" s="185" t="s">
        <v>31</v>
      </c>
      <c r="C99" s="186"/>
      <c r="D99" s="37"/>
      <c r="E99" s="18">
        <f>IF(F3="1",SUMIF(Data!A:A,'20'!$A$2,Data!AI:AI),0)</f>
        <v>1357008</v>
      </c>
      <c r="F99" s="22">
        <f t="shared" si="6"/>
        <v>0.56635070298857793</v>
      </c>
    </row>
    <row r="100" spans="2:6" x14ac:dyDescent="0.2">
      <c r="B100" s="185" t="s">
        <v>32</v>
      </c>
      <c r="C100" s="186"/>
      <c r="D100" s="37"/>
      <c r="E100" s="18">
        <f>IF(F3="1",SUMIF(Data!A:A,'20'!$A$2,Data!AJ:AJ),0)</f>
        <v>1045815</v>
      </c>
      <c r="F100" s="22">
        <f t="shared" si="6"/>
        <v>0.43647352148697693</v>
      </c>
    </row>
    <row r="101" spans="2:6" x14ac:dyDescent="0.2">
      <c r="B101" s="185" t="s">
        <v>28</v>
      </c>
      <c r="C101" s="186"/>
      <c r="D101" s="37"/>
      <c r="E101" s="18">
        <f>IF(F3="1",SUMIF(Data!A:A,'20'!$A$2,Data!AK:AK),0)</f>
        <v>0</v>
      </c>
      <c r="F101" s="22">
        <f t="shared" si="6"/>
        <v>0</v>
      </c>
    </row>
    <row r="102" spans="2:6" x14ac:dyDescent="0.2">
      <c r="B102" s="185" t="s">
        <v>33</v>
      </c>
      <c r="C102" s="186"/>
      <c r="D102" s="37"/>
      <c r="E102" s="18">
        <f>IF(F3="1",SUMIF(Data!A:A,'20'!$A$2,Data!AL:AL),0)</f>
        <v>0</v>
      </c>
      <c r="F102" s="22">
        <f t="shared" si="6"/>
        <v>0</v>
      </c>
    </row>
    <row r="103" spans="2:6" x14ac:dyDescent="0.2">
      <c r="B103" s="187" t="s">
        <v>34</v>
      </c>
      <c r="C103" s="188"/>
      <c r="D103" s="37"/>
      <c r="E103" s="18">
        <f>IF(F3="1",SUMIF(Data!A:A,'20'!$A$2,Data!AM:AM),0)</f>
        <v>295994</v>
      </c>
      <c r="F103" s="22">
        <f t="shared" si="6"/>
        <v>0.12353384061140474</v>
      </c>
    </row>
    <row r="104" spans="2:6" ht="15.75" customHeight="1" thickBot="1" x14ac:dyDescent="0.25">
      <c r="B104" s="177" t="s">
        <v>29</v>
      </c>
      <c r="C104" s="178"/>
      <c r="D104" s="38"/>
      <c r="E104" s="25">
        <f>IF(F3="1",SUMIF(Data!A:A,'20'!$A$2,Data!Q:Q),0)</f>
        <v>576349</v>
      </c>
      <c r="F104" s="26">
        <f t="shared" si="6"/>
        <v>0.24054070522558738</v>
      </c>
    </row>
    <row r="105" spans="2:6" x14ac:dyDescent="0.2">
      <c r="B105" s="31" t="s">
        <v>35</v>
      </c>
      <c r="C105" s="31"/>
      <c r="D105" s="35">
        <f>D95</f>
        <v>2396056</v>
      </c>
      <c r="E105" s="32">
        <f>SUM(E98:E104)</f>
        <v>5949936</v>
      </c>
      <c r="F105" s="33">
        <f t="shared" si="6"/>
        <v>2.4832207594480264</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6280336</v>
      </c>
      <c r="D109" s="16">
        <f>IF(F3="1",SUMIF(Data!$A:$A,$A$2,Data!HJ:HJ),0)</f>
        <v>121033</v>
      </c>
      <c r="E109" s="16">
        <f>IF(F3="1",SUMIF(Data!$A:$A,$A$2,Data!IN:IN),0)</f>
        <v>529086</v>
      </c>
      <c r="F109" s="48">
        <f>SUM(C109:E109)</f>
        <v>6930455</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217812</v>
      </c>
      <c r="D111" s="52"/>
      <c r="E111" s="51">
        <f>IF(F3="1",SUMIF(Data!A:A,$A$2,Data!AX:AX),0)</f>
        <v>88712</v>
      </c>
      <c r="F111" s="49">
        <f t="shared" si="7"/>
        <v>306524</v>
      </c>
    </row>
    <row r="112" spans="2:6" x14ac:dyDescent="0.2">
      <c r="B112" s="43" t="s">
        <v>32</v>
      </c>
      <c r="C112" s="51">
        <f>IF(F3="1",SUMIF(Data!A:A,$A$2,Data!V:V),0)</f>
        <v>814634</v>
      </c>
      <c r="D112" s="52"/>
      <c r="E112" s="51">
        <f>IF(F3="1",SUMIF(Data!A:A,$A$2,Data!AC:AC),0)</f>
        <v>231181</v>
      </c>
      <c r="F112" s="49">
        <f t="shared" si="7"/>
        <v>1045815</v>
      </c>
    </row>
    <row r="113" spans="1:6" x14ac:dyDescent="0.2">
      <c r="B113" s="43" t="s">
        <v>31</v>
      </c>
      <c r="C113" s="51">
        <f>IF(F3="1",SUMIF(Data!A:A,$A$2,Data!U:U),0)</f>
        <v>1134344</v>
      </c>
      <c r="D113" s="52"/>
      <c r="E113" s="51">
        <f>IF(F3="1",SUMIF(Data!A:A,$A$2,Data!AB:AB),0)</f>
        <v>222664</v>
      </c>
      <c r="F113" s="49">
        <f t="shared" si="7"/>
        <v>1357008</v>
      </c>
    </row>
    <row r="114" spans="1:6" x14ac:dyDescent="0.2">
      <c r="B114" s="43" t="s">
        <v>1363</v>
      </c>
      <c r="C114" s="51">
        <f>IF(F3="1",SUMIF(Data!A:A,$A$2,Data!T:T),0)</f>
        <v>1397270</v>
      </c>
      <c r="D114" s="52"/>
      <c r="E114" s="51">
        <f>IF(F3="1",SUMIF(Data!A:A,$A$2,Data!AA:AA),0)</f>
        <v>1277500</v>
      </c>
      <c r="F114" s="49">
        <f t="shared" si="7"/>
        <v>2674770</v>
      </c>
    </row>
    <row r="115" spans="1:6" x14ac:dyDescent="0.2">
      <c r="B115" s="43" t="s">
        <v>1278</v>
      </c>
      <c r="C115" s="51">
        <f>IF(F3="1",SUMIF(Data!A:A,$A$2,Data!BI:BI),0)</f>
        <v>305163</v>
      </c>
      <c r="D115" s="51">
        <f>IF(F3="1",SUMIF(Data!A:A,$A$2,Data!BL:BL),0)</f>
        <v>35270</v>
      </c>
      <c r="E115" s="51">
        <f>IF(F3="1",SUMIF(Data!A:A,$A$2,Data!BU:BU),0)</f>
        <v>2135457</v>
      </c>
      <c r="F115" s="49">
        <f t="shared" si="7"/>
        <v>2475890</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576349</v>
      </c>
      <c r="E117" s="53"/>
      <c r="F117" s="50">
        <f>SUM(C117:E117)</f>
        <v>576349</v>
      </c>
    </row>
    <row r="118" spans="1:6" x14ac:dyDescent="0.2">
      <c r="B118" s="14" t="s">
        <v>35</v>
      </c>
      <c r="C118" s="5">
        <f>SUM(C109:C116)</f>
        <v>10149559</v>
      </c>
      <c r="D118" s="5">
        <f>SUM(D109:D116)</f>
        <v>156303</v>
      </c>
      <c r="E118" s="5">
        <f>SUM(E109:E116)</f>
        <v>4484600</v>
      </c>
      <c r="F118" s="5">
        <f>SUM(F109:F116)</f>
        <v>14790462</v>
      </c>
    </row>
    <row r="119" spans="1:6" ht="15" thickBot="1" x14ac:dyDescent="0.25"/>
    <row r="120" spans="1:6" ht="15" thickBot="1" x14ac:dyDescent="0.25">
      <c r="B120" s="57" t="s">
        <v>1283</v>
      </c>
      <c r="C120" s="55"/>
      <c r="D120" s="55"/>
      <c r="E120" s="55">
        <f>IF(F3="1",SUMIF(Data!A:A,'20'!$A$2,Data!AM:AM),0)</f>
        <v>295994</v>
      </c>
      <c r="F120" s="56">
        <f>SUM(C120:E120)</f>
        <v>295994</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5703125" style="11" bestFit="1" customWidth="1"/>
    <col min="13"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710</v>
      </c>
      <c r="B2" s="60" t="str">
        <f>VLOOKUP(A2,Data!A:G,7,0)</f>
        <v>Houston Community College System</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99168</v>
      </c>
      <c r="E5" s="16">
        <f>E36+E67+IFERROR($E$105/$D$105*D5,0)</f>
        <v>696572.66969945852</v>
      </c>
      <c r="F5" s="21">
        <f>IFERROR(E5/D5,"")</f>
        <v>7.0241677728648204</v>
      </c>
    </row>
    <row r="6" spans="1:6" x14ac:dyDescent="0.2">
      <c r="A6" s="20">
        <v>2</v>
      </c>
      <c r="B6" s="179" t="s">
        <v>1</v>
      </c>
      <c r="C6" s="180"/>
      <c r="D6" s="15">
        <f t="shared" ref="D6:D32" si="0">D37</f>
        <v>240388</v>
      </c>
      <c r="E6" s="18">
        <f t="shared" ref="E6:E32" si="1">E37+E68+IFERROR($E$105/$D$105*D6,0)</f>
        <v>2641366.9286837834</v>
      </c>
      <c r="F6" s="22">
        <f t="shared" ref="F6:F33" si="2">IFERROR(E6/D6,"")</f>
        <v>10.987931713246017</v>
      </c>
    </row>
    <row r="7" spans="1:6" ht="14.25" customHeight="1" x14ac:dyDescent="0.2">
      <c r="A7" s="20">
        <v>3</v>
      </c>
      <c r="B7" s="179" t="s">
        <v>2</v>
      </c>
      <c r="C7" s="180"/>
      <c r="D7" s="15">
        <f t="shared" si="0"/>
        <v>3363120</v>
      </c>
      <c r="E7" s="18">
        <f t="shared" si="1"/>
        <v>23940529.308563679</v>
      </c>
      <c r="F7" s="22">
        <f t="shared" si="2"/>
        <v>7.1185474525332664</v>
      </c>
    </row>
    <row r="8" spans="1:6" ht="14.25" customHeight="1" x14ac:dyDescent="0.2">
      <c r="A8" s="20">
        <v>4</v>
      </c>
      <c r="B8" s="179" t="s">
        <v>3</v>
      </c>
      <c r="C8" s="180"/>
      <c r="D8" s="15">
        <f t="shared" si="0"/>
        <v>2575331</v>
      </c>
      <c r="E8" s="18">
        <f t="shared" si="1"/>
        <v>17219430.892432801</v>
      </c>
      <c r="F8" s="22">
        <f t="shared" si="2"/>
        <v>6.6862981466975704</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578584</v>
      </c>
      <c r="E10" s="18">
        <f t="shared" si="1"/>
        <v>3585336.5900027379</v>
      </c>
      <c r="F10" s="22">
        <f t="shared" si="2"/>
        <v>6.1967434115059143</v>
      </c>
    </row>
    <row r="11" spans="1:6" x14ac:dyDescent="0.2">
      <c r="A11" s="20">
        <v>7</v>
      </c>
      <c r="B11" s="179" t="s">
        <v>6</v>
      </c>
      <c r="C11" s="180"/>
      <c r="D11" s="15">
        <f t="shared" si="0"/>
        <v>393468</v>
      </c>
      <c r="E11" s="18">
        <f t="shared" si="1"/>
        <v>6154453.3741257917</v>
      </c>
      <c r="F11" s="22">
        <f t="shared" si="2"/>
        <v>15.6415601119425</v>
      </c>
    </row>
    <row r="12" spans="1:6" x14ac:dyDescent="0.2">
      <c r="A12" s="20">
        <v>8</v>
      </c>
      <c r="B12" s="179" t="s">
        <v>7</v>
      </c>
      <c r="C12" s="180"/>
      <c r="D12" s="15">
        <f t="shared" si="0"/>
        <v>364904</v>
      </c>
      <c r="E12" s="18">
        <f t="shared" si="1"/>
        <v>3104793.4194902712</v>
      </c>
      <c r="F12" s="22">
        <f t="shared" si="2"/>
        <v>8.5085211986995795</v>
      </c>
    </row>
    <row r="13" spans="1:6" x14ac:dyDescent="0.2">
      <c r="A13" s="20">
        <v>9</v>
      </c>
      <c r="B13" s="179" t="s">
        <v>8</v>
      </c>
      <c r="C13" s="180"/>
      <c r="D13" s="15">
        <f t="shared" si="0"/>
        <v>1018096</v>
      </c>
      <c r="E13" s="18">
        <f t="shared" si="1"/>
        <v>7189778.2863256279</v>
      </c>
      <c r="F13" s="22">
        <f t="shared" si="2"/>
        <v>7.06198461277289</v>
      </c>
    </row>
    <row r="14" spans="1:6" x14ac:dyDescent="0.2">
      <c r="A14" s="20">
        <v>10</v>
      </c>
      <c r="B14" s="179" t="s">
        <v>9</v>
      </c>
      <c r="C14" s="180"/>
      <c r="D14" s="15">
        <f t="shared" si="0"/>
        <v>44928</v>
      </c>
      <c r="E14" s="18">
        <f t="shared" si="1"/>
        <v>298262.23854728614</v>
      </c>
      <c r="F14" s="22">
        <f t="shared" si="2"/>
        <v>6.6386716200873872</v>
      </c>
    </row>
    <row r="15" spans="1:6" x14ac:dyDescent="0.2">
      <c r="A15" s="20">
        <v>11</v>
      </c>
      <c r="B15" s="179" t="s">
        <v>10</v>
      </c>
      <c r="C15" s="180"/>
      <c r="D15" s="15">
        <f t="shared" si="0"/>
        <v>582083</v>
      </c>
      <c r="E15" s="18">
        <f t="shared" si="1"/>
        <v>3864252.520729166</v>
      </c>
      <c r="F15" s="22">
        <f t="shared" si="2"/>
        <v>6.6386623913242033</v>
      </c>
    </row>
    <row r="16" spans="1:6" ht="14.25" customHeight="1" x14ac:dyDescent="0.2">
      <c r="A16" s="20">
        <v>12</v>
      </c>
      <c r="B16" s="179" t="s">
        <v>11</v>
      </c>
      <c r="C16" s="180"/>
      <c r="D16" s="15">
        <f t="shared" si="0"/>
        <v>2224952</v>
      </c>
      <c r="E16" s="18">
        <f t="shared" si="1"/>
        <v>17255125.484603398</v>
      </c>
      <c r="F16" s="22">
        <f t="shared" si="2"/>
        <v>7.7552798822641558</v>
      </c>
    </row>
    <row r="17" spans="1:6" x14ac:dyDescent="0.2">
      <c r="A17" s="20">
        <v>13</v>
      </c>
      <c r="B17" s="179" t="s">
        <v>12</v>
      </c>
      <c r="C17" s="180"/>
      <c r="D17" s="15">
        <f t="shared" si="0"/>
        <v>515312</v>
      </c>
      <c r="E17" s="18">
        <f t="shared" si="1"/>
        <v>3773655.3062295029</v>
      </c>
      <c r="F17" s="22">
        <f t="shared" si="2"/>
        <v>7.3230495432466212</v>
      </c>
    </row>
    <row r="18" spans="1:6" ht="14.25" customHeight="1" x14ac:dyDescent="0.2">
      <c r="A18" s="20">
        <v>14</v>
      </c>
      <c r="B18" s="179" t="s">
        <v>804</v>
      </c>
      <c r="C18" s="180"/>
      <c r="D18" s="15">
        <f t="shared" si="0"/>
        <v>355139</v>
      </c>
      <c r="E18" s="18">
        <f t="shared" si="1"/>
        <v>3922663.1875544125</v>
      </c>
      <c r="F18" s="22">
        <f t="shared" si="2"/>
        <v>11.045430627316101</v>
      </c>
    </row>
    <row r="19" spans="1:6" x14ac:dyDescent="0.2">
      <c r="A19" s="20">
        <v>15</v>
      </c>
      <c r="B19" s="179" t="s">
        <v>13</v>
      </c>
      <c r="C19" s="180"/>
      <c r="D19" s="15">
        <f t="shared" si="0"/>
        <v>12224</v>
      </c>
      <c r="E19" s="18">
        <f t="shared" si="1"/>
        <v>254043.32843665476</v>
      </c>
      <c r="F19" s="22">
        <f t="shared" si="2"/>
        <v>20.782340349857229</v>
      </c>
    </row>
    <row r="20" spans="1:6" x14ac:dyDescent="0.2">
      <c r="A20" s="20">
        <v>16</v>
      </c>
      <c r="B20" s="179" t="s">
        <v>14</v>
      </c>
      <c r="C20" s="180"/>
      <c r="D20" s="15">
        <f t="shared" si="0"/>
        <v>964886</v>
      </c>
      <c r="E20" s="18">
        <f t="shared" si="1"/>
        <v>9607263.4986853786</v>
      </c>
      <c r="F20" s="22">
        <f t="shared" si="2"/>
        <v>9.9568897244704342</v>
      </c>
    </row>
    <row r="21" spans="1:6" x14ac:dyDescent="0.2">
      <c r="A21" s="20">
        <v>17</v>
      </c>
      <c r="B21" s="179" t="s">
        <v>15</v>
      </c>
      <c r="C21" s="180"/>
      <c r="D21" s="15">
        <f t="shared" si="0"/>
        <v>51632</v>
      </c>
      <c r="E21" s="18">
        <f t="shared" si="1"/>
        <v>830096.29301712685</v>
      </c>
      <c r="F21" s="22">
        <f t="shared" si="2"/>
        <v>16.077167125370444</v>
      </c>
    </row>
    <row r="22" spans="1:6" x14ac:dyDescent="0.2">
      <c r="A22" s="20">
        <v>18</v>
      </c>
      <c r="B22" s="179" t="s">
        <v>16</v>
      </c>
      <c r="C22" s="180"/>
      <c r="D22" s="15">
        <f t="shared" si="0"/>
        <v>179936</v>
      </c>
      <c r="E22" s="18">
        <f t="shared" si="1"/>
        <v>1947249.4261762036</v>
      </c>
      <c r="F22" s="22">
        <f t="shared" si="2"/>
        <v>10.821900154367128</v>
      </c>
    </row>
    <row r="23" spans="1:6" x14ac:dyDescent="0.2">
      <c r="A23" s="20">
        <v>19</v>
      </c>
      <c r="B23" s="179" t="s">
        <v>17</v>
      </c>
      <c r="C23" s="180"/>
      <c r="D23" s="15">
        <f t="shared" si="0"/>
        <v>1308680</v>
      </c>
      <c r="E23" s="18">
        <f t="shared" si="1"/>
        <v>8961702.3215380702</v>
      </c>
      <c r="F23" s="22">
        <f t="shared" si="2"/>
        <v>6.8478943068879099</v>
      </c>
    </row>
    <row r="24" spans="1:6" x14ac:dyDescent="0.2">
      <c r="A24" s="20">
        <v>20</v>
      </c>
      <c r="B24" s="179" t="s">
        <v>18</v>
      </c>
      <c r="C24" s="180"/>
      <c r="D24" s="15">
        <f t="shared" si="0"/>
        <v>271752</v>
      </c>
      <c r="E24" s="18">
        <f t="shared" si="1"/>
        <v>2550411.2831575433</v>
      </c>
      <c r="F24" s="22">
        <f t="shared" si="2"/>
        <v>9.3850690451497805</v>
      </c>
    </row>
    <row r="25" spans="1:6" ht="14.25" customHeight="1" x14ac:dyDescent="0.2">
      <c r="A25" s="20">
        <v>21</v>
      </c>
      <c r="B25" s="179" t="s">
        <v>801</v>
      </c>
      <c r="C25" s="180"/>
      <c r="D25" s="15">
        <f t="shared" si="0"/>
        <v>162461</v>
      </c>
      <c r="E25" s="18">
        <f t="shared" si="1"/>
        <v>2024108.15397148</v>
      </c>
      <c r="F25" s="22">
        <f t="shared" si="2"/>
        <v>12.459040347969543</v>
      </c>
    </row>
    <row r="26" spans="1:6" x14ac:dyDescent="0.2">
      <c r="A26" s="20">
        <v>22</v>
      </c>
      <c r="B26" s="179" t="s">
        <v>19</v>
      </c>
      <c r="C26" s="180"/>
      <c r="D26" s="15">
        <f t="shared" si="0"/>
        <v>115457</v>
      </c>
      <c r="E26" s="18">
        <f t="shared" si="1"/>
        <v>996713.52325841389</v>
      </c>
      <c r="F26" s="22">
        <f t="shared" si="2"/>
        <v>8.632768244960582</v>
      </c>
    </row>
    <row r="27" spans="1:6" x14ac:dyDescent="0.2">
      <c r="A27" s="20">
        <v>23</v>
      </c>
      <c r="B27" s="179" t="s">
        <v>20</v>
      </c>
      <c r="C27" s="180"/>
      <c r="D27" s="15">
        <f t="shared" si="0"/>
        <v>71040</v>
      </c>
      <c r="E27" s="18">
        <f t="shared" si="1"/>
        <v>678657.83018160635</v>
      </c>
      <c r="F27" s="22">
        <f t="shared" si="2"/>
        <v>9.5531789158446845</v>
      </c>
    </row>
    <row r="28" spans="1:6" x14ac:dyDescent="0.2">
      <c r="A28" s="20">
        <v>24</v>
      </c>
      <c r="B28" s="179" t="s">
        <v>21</v>
      </c>
      <c r="C28" s="180"/>
      <c r="D28" s="15">
        <f t="shared" si="0"/>
        <v>504156</v>
      </c>
      <c r="E28" s="18">
        <f t="shared" si="1"/>
        <v>4288054.7460168619</v>
      </c>
      <c r="F28" s="22">
        <f t="shared" si="2"/>
        <v>8.5054125033062427</v>
      </c>
    </row>
    <row r="29" spans="1:6" x14ac:dyDescent="0.2">
      <c r="A29" s="20">
        <v>25</v>
      </c>
      <c r="B29" s="179" t="s">
        <v>22</v>
      </c>
      <c r="C29" s="180"/>
      <c r="D29" s="15">
        <f t="shared" si="0"/>
        <v>4383088</v>
      </c>
      <c r="E29" s="18">
        <f t="shared" si="1"/>
        <v>29860087.896495447</v>
      </c>
      <c r="F29" s="22">
        <f t="shared" si="2"/>
        <v>6.8125686494305944</v>
      </c>
    </row>
    <row r="30" spans="1:6" x14ac:dyDescent="0.2">
      <c r="A30" s="20">
        <v>26</v>
      </c>
      <c r="B30" s="179" t="s">
        <v>23</v>
      </c>
      <c r="C30" s="180"/>
      <c r="D30" s="15">
        <f t="shared" si="0"/>
        <v>1358028</v>
      </c>
      <c r="E30" s="18">
        <f t="shared" si="1"/>
        <v>11557034.855544291</v>
      </c>
      <c r="F30" s="22">
        <f t="shared" si="2"/>
        <v>8.5101594779667948</v>
      </c>
    </row>
    <row r="31" spans="1:6" x14ac:dyDescent="0.2">
      <c r="A31" s="20">
        <v>28</v>
      </c>
      <c r="B31" s="179" t="s">
        <v>24</v>
      </c>
      <c r="C31" s="180"/>
      <c r="D31" s="15">
        <f t="shared" si="0"/>
        <v>1594464</v>
      </c>
      <c r="E31" s="18">
        <f t="shared" si="1"/>
        <v>10918721.814170673</v>
      </c>
      <c r="F31" s="22">
        <f t="shared" si="2"/>
        <v>6.8478948500378021</v>
      </c>
    </row>
    <row r="32" spans="1:6" ht="15.75" customHeight="1" thickBot="1" x14ac:dyDescent="0.25">
      <c r="A32" s="23">
        <v>29</v>
      </c>
      <c r="B32" s="181" t="s">
        <v>25</v>
      </c>
      <c r="C32" s="182"/>
      <c r="D32" s="24">
        <f t="shared" si="0"/>
        <v>2718736</v>
      </c>
      <c r="E32" s="25">
        <f t="shared" si="1"/>
        <v>21084561.822362326</v>
      </c>
      <c r="F32" s="26">
        <f t="shared" si="2"/>
        <v>7.7552810653047324</v>
      </c>
    </row>
    <row r="33" spans="1:6" x14ac:dyDescent="0.2">
      <c r="B33" s="31" t="s">
        <v>35</v>
      </c>
      <c r="C33" s="31"/>
      <c r="D33" s="61">
        <f>SUM(D5:D32)</f>
        <v>26052013</v>
      </c>
      <c r="E33" s="32">
        <f>SUM(E5:E32)</f>
        <v>199204927.00000003</v>
      </c>
      <c r="F33" s="33">
        <f t="shared" si="2"/>
        <v>7.646431275771282</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IF(F3="1",SUMIF(Data!A:A,'21'!$A$2,Data!CU:CU),0)</f>
        <v>99168</v>
      </c>
      <c r="E36" s="16">
        <f>IF(F3="1",SUMIF(Data!$A:$A,'21'!$A$2,Data!IO:IO),0)</f>
        <v>73590</v>
      </c>
      <c r="F36" s="21">
        <f t="shared" ref="F36:F64" si="3">IFERROR(E36/D36,"")</f>
        <v>0.74207405614714428</v>
      </c>
    </row>
    <row r="37" spans="1:6" x14ac:dyDescent="0.2">
      <c r="A37" s="20">
        <v>2</v>
      </c>
      <c r="B37" s="179" t="s">
        <v>1</v>
      </c>
      <c r="C37" s="180"/>
      <c r="D37" s="15">
        <f>IF(F3="1",SUMIF(Data!A:A,'21'!$A$2,Data!CV:CV),0)</f>
        <v>240388</v>
      </c>
      <c r="E37" s="18">
        <f>IF(F3="1",SUMIF(Data!$A:$A,'21'!$A$2,Data!IP:IP),0)</f>
        <v>316024</v>
      </c>
      <c r="F37" s="22">
        <f t="shared" si="3"/>
        <v>1.3146413298500756</v>
      </c>
    </row>
    <row r="38" spans="1:6" ht="14.25" customHeight="1" x14ac:dyDescent="0.2">
      <c r="A38" s="20">
        <v>3</v>
      </c>
      <c r="B38" s="179" t="s">
        <v>2</v>
      </c>
      <c r="C38" s="180"/>
      <c r="D38" s="15">
        <f>IF(F3="1",SUMIF(Data!A:A,'21'!$A$2,Data!CW:CW),0)</f>
        <v>3363120</v>
      </c>
      <c r="E38" s="18">
        <f>IF(F3="1",SUMIF(Data!$A:$A,'21'!$A$2,Data!IQ:IQ),0)</f>
        <v>2051265</v>
      </c>
      <c r="F38" s="22">
        <f t="shared" si="3"/>
        <v>0.60992917291086846</v>
      </c>
    </row>
    <row r="39" spans="1:6" ht="14.25" customHeight="1" x14ac:dyDescent="0.2">
      <c r="A39" s="20">
        <v>4</v>
      </c>
      <c r="B39" s="179" t="s">
        <v>3</v>
      </c>
      <c r="C39" s="180"/>
      <c r="D39" s="15">
        <f>IF(F3="1",SUMIF(Data!A:A,'21'!$A$2,Data!CX:CX),0)</f>
        <v>2575331</v>
      </c>
      <c r="E39" s="18">
        <f>IF(F3="1",SUMIF(Data!$A:$A,'21'!$A$2,Data!IR:IR),0)</f>
        <v>1370558</v>
      </c>
      <c r="F39" s="22">
        <f t="shared" si="3"/>
        <v>0.53218712468416685</v>
      </c>
    </row>
    <row r="40" spans="1:6" x14ac:dyDescent="0.2">
      <c r="A40" s="20">
        <v>5</v>
      </c>
      <c r="B40" s="179" t="s">
        <v>4</v>
      </c>
      <c r="C40" s="180"/>
      <c r="D40" s="15">
        <f>IF(F3="1",SUMIF(Data!A:A,'21'!$A$2,Data!CY:CY),0)</f>
        <v>0</v>
      </c>
      <c r="E40" s="18">
        <f>IF(F3="1",SUMIF(Data!$A:$A,'21'!$A$2,Data!IS:IS),0)</f>
        <v>0</v>
      </c>
      <c r="F40" s="22" t="str">
        <f t="shared" si="3"/>
        <v/>
      </c>
    </row>
    <row r="41" spans="1:6" x14ac:dyDescent="0.2">
      <c r="A41" s="20">
        <v>6</v>
      </c>
      <c r="B41" s="179" t="s">
        <v>5</v>
      </c>
      <c r="C41" s="180"/>
      <c r="D41" s="15">
        <f>IF(F3="1",SUMIF(Data!A:A,'21'!$A$2,Data!CZ:CZ),0)</f>
        <v>578584</v>
      </c>
      <c r="E41" s="18">
        <f>IF(F3="1",SUMIF(Data!$A:$A,'21'!$A$2,Data!IT:IT),0)</f>
        <v>512699</v>
      </c>
      <c r="F41" s="22">
        <f t="shared" si="3"/>
        <v>0.88612716563195659</v>
      </c>
    </row>
    <row r="42" spans="1:6" x14ac:dyDescent="0.2">
      <c r="A42" s="20">
        <v>7</v>
      </c>
      <c r="B42" s="179" t="s">
        <v>6</v>
      </c>
      <c r="C42" s="180"/>
      <c r="D42" s="15">
        <f>IF(F3="1",SUMIF(Data!A:A,'21'!$A$2,Data!DA:DA),0)</f>
        <v>393468</v>
      </c>
      <c r="E42" s="18">
        <f>IF(F3="1",SUMIF(Data!$A:$A,'21'!$A$2,Data!IU:IU),0)</f>
        <v>805704</v>
      </c>
      <c r="F42" s="22">
        <f t="shared" si="3"/>
        <v>2.0476989234194396</v>
      </c>
    </row>
    <row r="43" spans="1:6" x14ac:dyDescent="0.2">
      <c r="A43" s="20">
        <v>8</v>
      </c>
      <c r="B43" s="179" t="s">
        <v>7</v>
      </c>
      <c r="C43" s="180"/>
      <c r="D43" s="15">
        <f>IF(F3="1",SUMIF(Data!A:A,'21'!$A$2,Data!DB:DB),0)</f>
        <v>364904</v>
      </c>
      <c r="E43" s="18">
        <f>IF(F3="1",SUMIF(Data!$A:$A,'21'!$A$2,Data!IV:IV),0)</f>
        <v>555744</v>
      </c>
      <c r="F43" s="22">
        <f t="shared" si="3"/>
        <v>1.5229868677789227</v>
      </c>
    </row>
    <row r="44" spans="1:6" x14ac:dyDescent="0.2">
      <c r="A44" s="20">
        <v>9</v>
      </c>
      <c r="B44" s="179" t="s">
        <v>8</v>
      </c>
      <c r="C44" s="180"/>
      <c r="D44" s="15">
        <f>IF(F3="1",SUMIF(Data!A:A,'21'!$A$2,Data!DC:DC),0)</f>
        <v>1018096</v>
      </c>
      <c r="E44" s="18">
        <f>IF(F3="1",SUMIF(Data!$A:$A,'21'!$A$2,Data!IW:IW),0)</f>
        <v>766653</v>
      </c>
      <c r="F44" s="22">
        <f t="shared" si="3"/>
        <v>0.75302623721142214</v>
      </c>
    </row>
    <row r="45" spans="1:6" x14ac:dyDescent="0.2">
      <c r="A45" s="20">
        <v>10</v>
      </c>
      <c r="B45" s="179" t="s">
        <v>9</v>
      </c>
      <c r="C45" s="180"/>
      <c r="D45" s="15">
        <f>IF(F3="1",SUMIF(Data!A:A,'21'!$A$2,Data!DD:DD),0)</f>
        <v>44928</v>
      </c>
      <c r="E45" s="18">
        <f>IF(F3="1",SUMIF(Data!$A:$A,'21'!$A$2,Data!IX:IX),0)</f>
        <v>31874</v>
      </c>
      <c r="F45" s="22">
        <f t="shared" si="3"/>
        <v>0.70944622507122512</v>
      </c>
    </row>
    <row r="46" spans="1:6" x14ac:dyDescent="0.2">
      <c r="A46" s="20">
        <v>11</v>
      </c>
      <c r="B46" s="179" t="s">
        <v>10</v>
      </c>
      <c r="C46" s="180"/>
      <c r="D46" s="15">
        <f>IF(F3="1",SUMIF(Data!A:A,'21'!$A$2,Data!DE:DE),0)</f>
        <v>582083</v>
      </c>
      <c r="E46" s="18">
        <f>IF(F3="1",SUMIF(Data!$A:$A,'21'!$A$2,Data!IY:IY),0)</f>
        <v>412952</v>
      </c>
      <c r="F46" s="22">
        <f t="shared" si="3"/>
        <v>0.7094383447034186</v>
      </c>
    </row>
    <row r="47" spans="1:6" ht="14.25" customHeight="1" x14ac:dyDescent="0.2">
      <c r="A47" s="20">
        <v>12</v>
      </c>
      <c r="B47" s="179" t="s">
        <v>11</v>
      </c>
      <c r="C47" s="180"/>
      <c r="D47" s="15">
        <f>IF(F3="1",SUMIF(Data!A:A,'21'!$A$2,Data!DF:DF),0)</f>
        <v>2224952</v>
      </c>
      <c r="E47" s="18">
        <f>IF(F3="1",SUMIF(Data!$A:$A,'21'!$A$2,Data!IZ:IZ),0)</f>
        <v>1260020</v>
      </c>
      <c r="F47" s="22">
        <f t="shared" si="3"/>
        <v>0.56631334069229355</v>
      </c>
    </row>
    <row r="48" spans="1:6" x14ac:dyDescent="0.2">
      <c r="A48" s="20">
        <v>13</v>
      </c>
      <c r="B48" s="179" t="s">
        <v>12</v>
      </c>
      <c r="C48" s="180"/>
      <c r="D48" s="15">
        <f>IF(F3="1",SUMIF(Data!A:A,'21'!$A$2,Data!DG:DG),0)</f>
        <v>515312</v>
      </c>
      <c r="E48" s="18">
        <f>IF(F3="1",SUMIF(Data!$A:$A,'21'!$A$2,Data!JA:JA),0)</f>
        <v>344607</v>
      </c>
      <c r="F48" s="22">
        <f t="shared" si="3"/>
        <v>0.66873466948178972</v>
      </c>
    </row>
    <row r="49" spans="1:6" ht="14.25" customHeight="1" x14ac:dyDescent="0.2">
      <c r="A49" s="20">
        <v>14</v>
      </c>
      <c r="B49" s="179" t="s">
        <v>804</v>
      </c>
      <c r="C49" s="180"/>
      <c r="D49" s="15">
        <f>IF(F3="1",SUMIF(Data!A:A,'21'!$A$2,Data!DH:DH),0)</f>
        <v>355139</v>
      </c>
      <c r="E49" s="18">
        <f>IF(F3="1",SUMIF(Data!$A:$A,'21'!$A$2,Data!JB:JB),0)</f>
        <v>331226</v>
      </c>
      <c r="F49" s="22">
        <f t="shared" si="3"/>
        <v>0.93266580127780951</v>
      </c>
    </row>
    <row r="50" spans="1:6" x14ac:dyDescent="0.2">
      <c r="A50" s="20">
        <v>15</v>
      </c>
      <c r="B50" s="179" t="s">
        <v>13</v>
      </c>
      <c r="C50" s="180"/>
      <c r="D50" s="15">
        <f>IF(F3="1",SUMIF(Data!A:A,'21'!$A$2,Data!DI:DI),0)</f>
        <v>12224</v>
      </c>
      <c r="E50" s="18">
        <f>IF(F3="1",SUMIF(Data!$A:$A,'21'!$A$2,Data!JC:JC),0)</f>
        <v>31234</v>
      </c>
      <c r="F50" s="22">
        <f t="shared" si="3"/>
        <v>2.555137434554974</v>
      </c>
    </row>
    <row r="51" spans="1:6" x14ac:dyDescent="0.2">
      <c r="A51" s="20">
        <v>16</v>
      </c>
      <c r="B51" s="179" t="s">
        <v>14</v>
      </c>
      <c r="C51" s="180"/>
      <c r="D51" s="15">
        <f>IF(F3="1",SUMIF(Data!A:A,'21'!$A$2,Data!DJ:DJ),0)</f>
        <v>964886</v>
      </c>
      <c r="E51" s="18">
        <f>IF(F3="1",SUMIF(Data!$A:$A,'21'!$A$2,Data!JD:JD),0)</f>
        <v>1152349</v>
      </c>
      <c r="F51" s="22">
        <f t="shared" si="3"/>
        <v>1.1942851279840312</v>
      </c>
    </row>
    <row r="52" spans="1:6" x14ac:dyDescent="0.2">
      <c r="A52" s="20">
        <v>17</v>
      </c>
      <c r="B52" s="179" t="s">
        <v>15</v>
      </c>
      <c r="C52" s="180"/>
      <c r="D52" s="15">
        <f>IF(F3="1",SUMIF(Data!A:A,'21'!$A$2,Data!DK:DK),0)</f>
        <v>51632</v>
      </c>
      <c r="E52" s="18">
        <f>IF(F3="1",SUMIF(Data!$A:$A,'21'!$A$2,Data!JE:JE),0)</f>
        <v>114229</v>
      </c>
      <c r="F52" s="22">
        <f t="shared" si="3"/>
        <v>2.2123682987294702</v>
      </c>
    </row>
    <row r="53" spans="1:6" x14ac:dyDescent="0.2">
      <c r="A53" s="20">
        <v>18</v>
      </c>
      <c r="B53" s="179" t="s">
        <v>16</v>
      </c>
      <c r="C53" s="180"/>
      <c r="D53" s="15">
        <f>IF(F3="1",SUMIF(Data!A:A,'21'!$A$2,Data!DL:DL),0)</f>
        <v>179936</v>
      </c>
      <c r="E53" s="18">
        <f>IF(F3="1",SUMIF(Data!$A:$A,'21'!$A$2,Data!JF:JF),0)</f>
        <v>296535</v>
      </c>
      <c r="F53" s="22">
        <f t="shared" si="3"/>
        <v>1.6480026231548994</v>
      </c>
    </row>
    <row r="54" spans="1:6" x14ac:dyDescent="0.2">
      <c r="A54" s="20">
        <v>19</v>
      </c>
      <c r="B54" s="179" t="s">
        <v>17</v>
      </c>
      <c r="C54" s="180"/>
      <c r="D54" s="15">
        <f>IF(F3="1",SUMIF(Data!A:A,'21'!$A$2,Data!DM:DM),0)</f>
        <v>1308680</v>
      </c>
      <c r="E54" s="18">
        <f>IF(F3="1",SUMIF(Data!$A:$A,'21'!$A$2,Data!JG:JG),0)</f>
        <v>504783</v>
      </c>
      <c r="F54" s="22">
        <f t="shared" si="3"/>
        <v>0.38571919797047405</v>
      </c>
    </row>
    <row r="55" spans="1:6" x14ac:dyDescent="0.2">
      <c r="A55" s="20">
        <v>20</v>
      </c>
      <c r="B55" s="179" t="s">
        <v>18</v>
      </c>
      <c r="C55" s="180"/>
      <c r="D55" s="15">
        <f>IF(F3="1",SUMIF(Data!A:A,'21'!$A$2,Data!DN:DN),0)</f>
        <v>271752</v>
      </c>
      <c r="E55" s="18">
        <f>IF(F3="1",SUMIF(Data!$A:$A,'21'!$A$2,Data!JH:JH),0)</f>
        <v>258122</v>
      </c>
      <c r="F55" s="22">
        <f t="shared" si="3"/>
        <v>0.94984397538932552</v>
      </c>
    </row>
    <row r="56" spans="1:6" ht="14.25" customHeight="1" x14ac:dyDescent="0.2">
      <c r="A56" s="20">
        <v>21</v>
      </c>
      <c r="B56" s="179" t="s">
        <v>801</v>
      </c>
      <c r="C56" s="180"/>
      <c r="D56" s="15">
        <f>IF(F3="1",SUMIF(Data!A:A,'21'!$A$2,Data!DO:DO),0)</f>
        <v>162461</v>
      </c>
      <c r="E56" s="18">
        <f>IF(F3="1",SUMIF(Data!$A:$A,'21'!$A$2,Data!JI:JI),0)</f>
        <v>604561</v>
      </c>
      <c r="F56" s="22">
        <f t="shared" si="3"/>
        <v>3.7212684890527572</v>
      </c>
    </row>
    <row r="57" spans="1:6" x14ac:dyDescent="0.2">
      <c r="A57" s="20">
        <v>22</v>
      </c>
      <c r="B57" s="179" t="s">
        <v>19</v>
      </c>
      <c r="C57" s="180"/>
      <c r="D57" s="15">
        <f>IF(F3="1",SUMIF(Data!A:A,'21'!$A$2,Data!DP:DP),0)</f>
        <v>115457</v>
      </c>
      <c r="E57" s="18">
        <f>IF(F3="1",SUMIF(Data!$A:$A,'21'!$A$2,Data!JJ:JJ),0)</f>
        <v>97430</v>
      </c>
      <c r="F57" s="22">
        <f t="shared" si="3"/>
        <v>0.84386394934910836</v>
      </c>
    </row>
    <row r="58" spans="1:6" x14ac:dyDescent="0.2">
      <c r="A58" s="20">
        <v>23</v>
      </c>
      <c r="B58" s="179" t="s">
        <v>20</v>
      </c>
      <c r="C58" s="180"/>
      <c r="D58" s="15">
        <f>IF(F3="1",SUMIF(Data!A:A,'21'!$A$2,Data!DQ:DQ),0)</f>
        <v>71040</v>
      </c>
      <c r="E58" s="18">
        <f>IF(F3="1",SUMIF(Data!$A:$A,'21'!$A$2,Data!JK:JK),0)</f>
        <v>111931</v>
      </c>
      <c r="F58" s="22">
        <f t="shared" si="3"/>
        <v>1.5756052927927928</v>
      </c>
    </row>
    <row r="59" spans="1:6" x14ac:dyDescent="0.2">
      <c r="A59" s="20">
        <v>24</v>
      </c>
      <c r="B59" s="179" t="s">
        <v>21</v>
      </c>
      <c r="C59" s="180"/>
      <c r="D59" s="15">
        <f>IF(F3="1",SUMIF(Data!A:A,'21'!$A$2,Data!DR:DR),0)</f>
        <v>504156</v>
      </c>
      <c r="E59" s="18">
        <f>IF(F3="1",SUMIF(Data!$A:$A,'21'!$A$2,Data!JL:JL),0)</f>
        <v>723623</v>
      </c>
      <c r="F59" s="22">
        <f t="shared" si="3"/>
        <v>1.4353156562651244</v>
      </c>
    </row>
    <row r="60" spans="1:6" x14ac:dyDescent="0.2">
      <c r="A60" s="20">
        <v>25</v>
      </c>
      <c r="B60" s="179" t="s">
        <v>22</v>
      </c>
      <c r="C60" s="180"/>
      <c r="D60" s="15">
        <f>IF(F3="1",SUMIF(Data!A:A,'21'!$A$2,Data!DS:DS),0)</f>
        <v>4383088</v>
      </c>
      <c r="E60" s="18">
        <f>IF(F3="1",SUMIF(Data!$A:$A,'21'!$A$2,Data!JM:JM),0)</f>
        <v>1555942</v>
      </c>
      <c r="F60" s="22">
        <f t="shared" si="3"/>
        <v>0.35498762516289883</v>
      </c>
    </row>
    <row r="61" spans="1:6" x14ac:dyDescent="0.2">
      <c r="A61" s="20">
        <v>26</v>
      </c>
      <c r="B61" s="179" t="s">
        <v>23</v>
      </c>
      <c r="C61" s="180"/>
      <c r="D61" s="15">
        <f>IF(F3="1",SUMIF(Data!A:A,'21'!$A$2,Data!DT:DT),0)</f>
        <v>1358028</v>
      </c>
      <c r="E61" s="18">
        <f>IF(F3="1",SUMIF(Data!$A:$A,'21'!$A$2,Data!JN:JN),0)</f>
        <v>1543266</v>
      </c>
      <c r="F61" s="22">
        <f t="shared" si="3"/>
        <v>1.1364021949473795</v>
      </c>
    </row>
    <row r="62" spans="1:6" x14ac:dyDescent="0.2">
      <c r="A62" s="20">
        <v>28</v>
      </c>
      <c r="B62" s="179" t="s">
        <v>24</v>
      </c>
      <c r="C62" s="180"/>
      <c r="D62" s="15">
        <f>IF(F3="1",SUMIF(Data!A:A,'21'!$A$2,Data!DV:DV),0)</f>
        <v>1594464</v>
      </c>
      <c r="E62" s="18">
        <f>IF(F3="1",SUMIF(Data!$A:$A,'21'!$A$2,Data!JP:JP),0)</f>
        <v>615016</v>
      </c>
      <c r="F62" s="22">
        <f t="shared" si="3"/>
        <v>0.38571958978064103</v>
      </c>
    </row>
    <row r="63" spans="1:6" ht="15.75" customHeight="1" thickBot="1" x14ac:dyDescent="0.25">
      <c r="A63" s="23">
        <v>29</v>
      </c>
      <c r="B63" s="181" t="s">
        <v>25</v>
      </c>
      <c r="C63" s="182"/>
      <c r="D63" s="24">
        <f>IF(F3="1",SUMIF(Data!A:A,'21'!$A$2,Data!DW:DW),0)</f>
        <v>2718736</v>
      </c>
      <c r="E63" s="25">
        <f>IF(F3="1",SUMIF(Data!$A:$A,'21'!$A$2,Data!JQ:JQ),0)</f>
        <v>1539658</v>
      </c>
      <c r="F63" s="26">
        <f t="shared" si="3"/>
        <v>0.56631390469688858</v>
      </c>
    </row>
    <row r="64" spans="1:6" x14ac:dyDescent="0.2">
      <c r="B64" s="31" t="s">
        <v>35</v>
      </c>
      <c r="C64" s="31"/>
      <c r="D64" s="61">
        <f>SUM(D36:D63)</f>
        <v>26052013</v>
      </c>
      <c r="E64" s="32">
        <f>SUM(E36:E63)</f>
        <v>17981595</v>
      </c>
      <c r="F64" s="33">
        <f t="shared" si="3"/>
        <v>0.69021902453372797</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99168</v>
      </c>
      <c r="E67" s="16">
        <f>IF(F3="1",SUMIF(Data!A:A,'21'!$A$2,Data!DY:DY),0)</f>
        <v>244253</v>
      </c>
      <c r="F67" s="21">
        <f>IFERROR(E67/D67,"")</f>
        <v>2.4630223459180383</v>
      </c>
    </row>
    <row r="68" spans="1:6" x14ac:dyDescent="0.2">
      <c r="A68" s="20">
        <v>2</v>
      </c>
      <c r="B68" s="179" t="s">
        <v>1</v>
      </c>
      <c r="C68" s="180"/>
      <c r="D68" s="15">
        <f t="shared" ref="D68:D94" si="4">D37</f>
        <v>240388</v>
      </c>
      <c r="E68" s="18">
        <f>IF(F3="1",SUMIF(Data!A:A,'21'!$A$2,Data!DZ:DZ),0)</f>
        <v>1407284</v>
      </c>
      <c r="F68" s="22">
        <f t="shared" ref="F68:F95" si="5">IFERROR(E68/D68,"")</f>
        <v>5.8542190125963023</v>
      </c>
    </row>
    <row r="69" spans="1:6" ht="14.25" customHeight="1" x14ac:dyDescent="0.2">
      <c r="A69" s="20">
        <v>3</v>
      </c>
      <c r="B69" s="179" t="s">
        <v>2</v>
      </c>
      <c r="C69" s="180"/>
      <c r="D69" s="15">
        <f t="shared" si="4"/>
        <v>3363120</v>
      </c>
      <c r="E69" s="18">
        <f>IF(F3="1",SUMIF(Data!A:A,'21'!$A$2,Data!EA:EA),0)</f>
        <v>9045269</v>
      </c>
      <c r="F69" s="22">
        <f t="shared" si="5"/>
        <v>2.6895469088227597</v>
      </c>
    </row>
    <row r="70" spans="1:6" ht="14.25" customHeight="1" x14ac:dyDescent="0.2">
      <c r="A70" s="20">
        <v>4</v>
      </c>
      <c r="B70" s="179" t="s">
        <v>3</v>
      </c>
      <c r="C70" s="180"/>
      <c r="D70" s="15">
        <f t="shared" si="4"/>
        <v>2575331</v>
      </c>
      <c r="E70" s="18">
        <f>IF(F3="1",SUMIF(Data!A:A,'21'!$A$2,Data!EB:EB),0)</f>
        <v>6013500</v>
      </c>
      <c r="F70" s="22">
        <f t="shared" si="5"/>
        <v>2.3350396512137661</v>
      </c>
    </row>
    <row r="71" spans="1:6" x14ac:dyDescent="0.2">
      <c r="A71" s="20">
        <v>5</v>
      </c>
      <c r="B71" s="179" t="s">
        <v>4</v>
      </c>
      <c r="C71" s="180"/>
      <c r="D71" s="15">
        <f t="shared" si="4"/>
        <v>0</v>
      </c>
      <c r="E71" s="18">
        <f>IF(F3="1",SUMIF(Data!A:A,'21'!$A$2,Data!EC:EC),0)</f>
        <v>0</v>
      </c>
      <c r="F71" s="22" t="str">
        <f t="shared" si="5"/>
        <v/>
      </c>
    </row>
    <row r="72" spans="1:6" x14ac:dyDescent="0.2">
      <c r="A72" s="20">
        <v>6</v>
      </c>
      <c r="B72" s="179" t="s">
        <v>5</v>
      </c>
      <c r="C72" s="180"/>
      <c r="D72" s="15">
        <f t="shared" si="4"/>
        <v>578584</v>
      </c>
      <c r="E72" s="18">
        <f>IF(F3="1",SUMIF(Data!A:A,'21'!$A$2,Data!ED:ED),0)</f>
        <v>862984</v>
      </c>
      <c r="F72" s="22">
        <f t="shared" si="5"/>
        <v>1.4915448750743194</v>
      </c>
    </row>
    <row r="73" spans="1:6" x14ac:dyDescent="0.2">
      <c r="A73" s="20">
        <v>7</v>
      </c>
      <c r="B73" s="179" t="s">
        <v>6</v>
      </c>
      <c r="C73" s="180"/>
      <c r="D73" s="15">
        <f t="shared" si="4"/>
        <v>393468</v>
      </c>
      <c r="E73" s="18">
        <f>IF(F3="1",SUMIF(Data!A:A,'21'!$A$2,Data!EE:EE),0)</f>
        <v>3846067</v>
      </c>
      <c r="F73" s="22">
        <f t="shared" si="5"/>
        <v>9.7747898177234234</v>
      </c>
    </row>
    <row r="74" spans="1:6" x14ac:dyDescent="0.2">
      <c r="A74" s="20">
        <v>8</v>
      </c>
      <c r="B74" s="179" t="s">
        <v>7</v>
      </c>
      <c r="C74" s="180"/>
      <c r="D74" s="15">
        <f t="shared" si="4"/>
        <v>364904</v>
      </c>
      <c r="E74" s="18">
        <f>IF(F3="1",SUMIF(Data!A:A,'21'!$A$2,Data!EF:EF),0)</f>
        <v>1155455</v>
      </c>
      <c r="F74" s="22">
        <f t="shared" si="5"/>
        <v>3.1664629601210179</v>
      </c>
    </row>
    <row r="75" spans="1:6" x14ac:dyDescent="0.2">
      <c r="A75" s="20">
        <v>9</v>
      </c>
      <c r="B75" s="179" t="s">
        <v>8</v>
      </c>
      <c r="C75" s="180"/>
      <c r="D75" s="15">
        <f t="shared" si="4"/>
        <v>1018096</v>
      </c>
      <c r="E75" s="18">
        <f>IF(F3="1",SUMIF(Data!A:A,'21'!$A$2,Data!EG:EG),0)</f>
        <v>2534944</v>
      </c>
      <c r="F75" s="22">
        <f t="shared" si="5"/>
        <v>2.48988700476183</v>
      </c>
    </row>
    <row r="76" spans="1:6" x14ac:dyDescent="0.2">
      <c r="A76" s="20">
        <v>10</v>
      </c>
      <c r="B76" s="179" t="s">
        <v>9</v>
      </c>
      <c r="C76" s="180"/>
      <c r="D76" s="15">
        <f t="shared" si="4"/>
        <v>44928</v>
      </c>
      <c r="E76" s="18">
        <f>IF(F3="1",SUMIF(Data!A:A,'21'!$A$2,Data!EH:EH),0)</f>
        <v>94805</v>
      </c>
      <c r="F76" s="22">
        <f t="shared" si="5"/>
        <v>2.1101540242165244</v>
      </c>
    </row>
    <row r="77" spans="1:6" x14ac:dyDescent="0.2">
      <c r="A77" s="20">
        <v>11</v>
      </c>
      <c r="B77" s="179" t="s">
        <v>10</v>
      </c>
      <c r="C77" s="180"/>
      <c r="D77" s="15">
        <f t="shared" si="4"/>
        <v>582083</v>
      </c>
      <c r="E77" s="18">
        <f>IF(F3="1",SUMIF(Data!A:A,'21'!$A$2,Data!EI:EI),0)</f>
        <v>1228284</v>
      </c>
      <c r="F77" s="22">
        <f t="shared" si="5"/>
        <v>2.110152675821146</v>
      </c>
    </row>
    <row r="78" spans="1:6" ht="14.25" customHeight="1" x14ac:dyDescent="0.2">
      <c r="A78" s="20">
        <v>12</v>
      </c>
      <c r="B78" s="179" t="s">
        <v>11</v>
      </c>
      <c r="C78" s="180"/>
      <c r="D78" s="15">
        <f t="shared" si="4"/>
        <v>2224952</v>
      </c>
      <c r="E78" s="18">
        <f>IF(F3="1",SUMIF(Data!A:A,'21'!$A$2,Data!EJ:EJ),0)</f>
        <v>7497855</v>
      </c>
      <c r="F78" s="22">
        <f t="shared" si="5"/>
        <v>3.3698951707722236</v>
      </c>
    </row>
    <row r="79" spans="1:6" x14ac:dyDescent="0.2">
      <c r="A79" s="20">
        <v>13</v>
      </c>
      <c r="B79" s="179" t="s">
        <v>12</v>
      </c>
      <c r="C79" s="180"/>
      <c r="D79" s="15">
        <f t="shared" si="4"/>
        <v>515312</v>
      </c>
      <c r="E79" s="18">
        <f>IF(F3="1",SUMIF(Data!A:A,'21'!$A$2,Data!EK:EK),0)</f>
        <v>1461035</v>
      </c>
      <c r="F79" s="22">
        <f t="shared" si="5"/>
        <v>2.8352435029651941</v>
      </c>
    </row>
    <row r="80" spans="1:6" ht="14.25" customHeight="1" x14ac:dyDescent="0.2">
      <c r="A80" s="20">
        <v>14</v>
      </c>
      <c r="B80" s="179" t="s">
        <v>804</v>
      </c>
      <c r="C80" s="180"/>
      <c r="D80" s="15">
        <f t="shared" si="4"/>
        <v>355139</v>
      </c>
      <c r="E80" s="18">
        <f>IF(F3="1",SUMIF(Data!A:A,'21'!$A$2,Data!EL:EL),0)</f>
        <v>2235136</v>
      </c>
      <c r="F80" s="22">
        <f t="shared" si="5"/>
        <v>6.2936934552386532</v>
      </c>
    </row>
    <row r="81" spans="1:6" x14ac:dyDescent="0.2">
      <c r="A81" s="20">
        <v>15</v>
      </c>
      <c r="B81" s="179" t="s">
        <v>13</v>
      </c>
      <c r="C81" s="180"/>
      <c r="D81" s="15">
        <f t="shared" si="4"/>
        <v>12224</v>
      </c>
      <c r="E81" s="18">
        <f>IF(F3="1",SUMIF(Data!A:A,'21'!$A$2,Data!EM:EM),0)</f>
        <v>176125</v>
      </c>
      <c r="F81" s="22">
        <f t="shared" si="5"/>
        <v>14.408131544502618</v>
      </c>
    </row>
    <row r="82" spans="1:6" x14ac:dyDescent="0.2">
      <c r="A82" s="20">
        <v>16</v>
      </c>
      <c r="B82" s="179" t="s">
        <v>14</v>
      </c>
      <c r="C82" s="180"/>
      <c r="D82" s="15">
        <f t="shared" si="4"/>
        <v>964886</v>
      </c>
      <c r="E82" s="18">
        <f>IF(F3="1",SUMIF(Data!A:A,'21'!$A$2,Data!EN:EN),0)</f>
        <v>4769946</v>
      </c>
      <c r="F82" s="22">
        <f t="shared" si="5"/>
        <v>4.9435332256867648</v>
      </c>
    </row>
    <row r="83" spans="1:6" x14ac:dyDescent="0.2">
      <c r="A83" s="20">
        <v>17</v>
      </c>
      <c r="B83" s="179" t="s">
        <v>15</v>
      </c>
      <c r="C83" s="180"/>
      <c r="D83" s="15">
        <f t="shared" si="4"/>
        <v>51632</v>
      </c>
      <c r="E83" s="18">
        <f>IF(F3="1",SUMIF(Data!A:A,'21'!$A$2,Data!EO:EO),0)</f>
        <v>518681</v>
      </c>
      <c r="F83" s="22">
        <f t="shared" si="5"/>
        <v>10.045727455841339</v>
      </c>
    </row>
    <row r="84" spans="1:6" x14ac:dyDescent="0.2">
      <c r="A84" s="20">
        <v>18</v>
      </c>
      <c r="B84" s="179" t="s">
        <v>16</v>
      </c>
      <c r="C84" s="180"/>
      <c r="D84" s="15">
        <f t="shared" si="4"/>
        <v>179936</v>
      </c>
      <c r="E84" s="18">
        <f>IF(F3="1",SUMIF(Data!A:A,'21'!$A$2,Data!EP:EP),0)</f>
        <v>963526</v>
      </c>
      <c r="F84" s="22">
        <f t="shared" si="5"/>
        <v>5.3548261604125909</v>
      </c>
    </row>
    <row r="85" spans="1:6" x14ac:dyDescent="0.2">
      <c r="A85" s="20">
        <v>19</v>
      </c>
      <c r="B85" s="179" t="s">
        <v>17</v>
      </c>
      <c r="C85" s="180"/>
      <c r="D85" s="15">
        <f t="shared" si="4"/>
        <v>1308680</v>
      </c>
      <c r="E85" s="18">
        <f>IF(F3="1",SUMIF(Data!A:A,'21'!$A$2,Data!EQ:EQ),0)</f>
        <v>3458977</v>
      </c>
      <c r="F85" s="22">
        <f t="shared" si="5"/>
        <v>2.643103738117798</v>
      </c>
    </row>
    <row r="86" spans="1:6" x14ac:dyDescent="0.2">
      <c r="A86" s="20">
        <v>20</v>
      </c>
      <c r="B86" s="179" t="s">
        <v>18</v>
      </c>
      <c r="C86" s="180"/>
      <c r="D86" s="15">
        <f t="shared" si="4"/>
        <v>271752</v>
      </c>
      <c r="E86" s="18">
        <f>IF(F3="1",SUMIF(Data!A:A,'21'!$A$2,Data!ER:ER),0)</f>
        <v>1254449</v>
      </c>
      <c r="F86" s="22">
        <f t="shared" si="5"/>
        <v>4.616153698960817</v>
      </c>
    </row>
    <row r="87" spans="1:6" ht="14.25" customHeight="1" x14ac:dyDescent="0.2">
      <c r="A87" s="20">
        <v>21</v>
      </c>
      <c r="B87" s="179" t="s">
        <v>801</v>
      </c>
      <c r="C87" s="180"/>
      <c r="D87" s="15">
        <f t="shared" si="4"/>
        <v>162461</v>
      </c>
      <c r="E87" s="18">
        <f>IF(F3="1",SUMIF(Data!A:A,'21'!$A$2,Data!ES:ES),0)</f>
        <v>799097</v>
      </c>
      <c r="F87" s="22">
        <f t="shared" si="5"/>
        <v>4.9187004881171479</v>
      </c>
    </row>
    <row r="88" spans="1:6" x14ac:dyDescent="0.2">
      <c r="A88" s="20">
        <v>22</v>
      </c>
      <c r="B88" s="179" t="s">
        <v>19</v>
      </c>
      <c r="C88" s="180"/>
      <c r="D88" s="15">
        <f t="shared" si="4"/>
        <v>115457</v>
      </c>
      <c r="E88" s="18">
        <f>IF(F3="1",SUMIF(Data!A:A,'21'!$A$2,Data!ET:ET),0)</f>
        <v>458345</v>
      </c>
      <c r="F88" s="22">
        <f t="shared" si="5"/>
        <v>3.9698329248118349</v>
      </c>
    </row>
    <row r="89" spans="1:6" x14ac:dyDescent="0.2">
      <c r="A89" s="20">
        <v>23</v>
      </c>
      <c r="B89" s="179" t="s">
        <v>20</v>
      </c>
      <c r="C89" s="180"/>
      <c r="D89" s="15">
        <f t="shared" si="4"/>
        <v>71040</v>
      </c>
      <c r="E89" s="18">
        <f>IF(F3="1",SUMIF(Data!A:A,'21'!$A$2,Data!EU:EU),0)</f>
        <v>295420</v>
      </c>
      <c r="F89" s="22">
        <f t="shared" si="5"/>
        <v>4.1585022522522523</v>
      </c>
    </row>
    <row r="90" spans="1:6" x14ac:dyDescent="0.2">
      <c r="A90" s="20">
        <v>24</v>
      </c>
      <c r="B90" s="179" t="s">
        <v>21</v>
      </c>
      <c r="C90" s="180"/>
      <c r="D90" s="15">
        <f t="shared" si="4"/>
        <v>504156</v>
      </c>
      <c r="E90" s="18">
        <f>IF(F3="1",SUMIF(Data!A:A,'21'!$A$2,Data!EV:EV),0)</f>
        <v>1639024</v>
      </c>
      <c r="F90" s="22">
        <f t="shared" si="5"/>
        <v>3.2510254762414807</v>
      </c>
    </row>
    <row r="91" spans="1:6" x14ac:dyDescent="0.2">
      <c r="A91" s="20">
        <v>25</v>
      </c>
      <c r="B91" s="179" t="s">
        <v>22</v>
      </c>
      <c r="C91" s="180"/>
      <c r="D91" s="15">
        <f t="shared" si="4"/>
        <v>4383088</v>
      </c>
      <c r="E91" s="18">
        <f>IF(F3="1",SUMIF(Data!A:A,'21'!$A$2,Data!EW:EW),0)</f>
        <v>11564820</v>
      </c>
      <c r="F91" s="22">
        <f t="shared" si="5"/>
        <v>2.6385096534680574</v>
      </c>
    </row>
    <row r="92" spans="1:6" x14ac:dyDescent="0.2">
      <c r="A92" s="20">
        <v>26</v>
      </c>
      <c r="B92" s="179" t="s">
        <v>23</v>
      </c>
      <c r="C92" s="180"/>
      <c r="D92" s="15">
        <f t="shared" si="4"/>
        <v>1358028</v>
      </c>
      <c r="E92" s="18">
        <f>IF(F3="1",SUMIF(Data!A:A,'21'!$A$2,Data!EX:EX),0)</f>
        <v>4827363</v>
      </c>
      <c r="F92" s="22">
        <f t="shared" si="5"/>
        <v>3.5546859122197776</v>
      </c>
    </row>
    <row r="93" spans="1:6" x14ac:dyDescent="0.2">
      <c r="A93" s="20">
        <v>28</v>
      </c>
      <c r="B93" s="179" t="s">
        <v>24</v>
      </c>
      <c r="C93" s="180"/>
      <c r="D93" s="15">
        <f t="shared" si="4"/>
        <v>1594464</v>
      </c>
      <c r="E93" s="18">
        <f>IF(F3="1",SUMIF(Data!A:A,'21'!$A$2,Data!EZ:EZ),0)</f>
        <v>4214334</v>
      </c>
      <c r="F93" s="22">
        <f t="shared" si="5"/>
        <v>2.6431038894575232</v>
      </c>
    </row>
    <row r="94" spans="1:6" ht="15.75" customHeight="1" thickBot="1" x14ac:dyDescent="0.25">
      <c r="A94" s="23">
        <v>29</v>
      </c>
      <c r="B94" s="181" t="s">
        <v>25</v>
      </c>
      <c r="C94" s="182"/>
      <c r="D94" s="24">
        <f t="shared" si="4"/>
        <v>2718736</v>
      </c>
      <c r="E94" s="25">
        <f>IF(F3="1",SUMIF(Data!A:A,'21'!$A$2,Data!FA:FA),0)</f>
        <v>9161857</v>
      </c>
      <c r="F94" s="26">
        <f t="shared" si="5"/>
        <v>3.3698957898082051</v>
      </c>
    </row>
    <row r="95" spans="1:6" x14ac:dyDescent="0.2">
      <c r="B95" s="31" t="s">
        <v>35</v>
      </c>
      <c r="C95" s="31"/>
      <c r="D95" s="61">
        <f>SUM(D67:D94)</f>
        <v>26052013</v>
      </c>
      <c r="E95" s="32">
        <f>SUM(E67:E94)</f>
        <v>81728835</v>
      </c>
      <c r="F95" s="33">
        <f t="shared" si="5"/>
        <v>3.1371408804379146</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IF(F3="1",SUMIF(Data!A:A,'21'!$A$2,Data!AH:AH),0)</f>
        <v>50317306</v>
      </c>
      <c r="F98" s="21">
        <f t="shared" ref="F98:F105" si="6">IFERROR(E98/$D$95,0)</f>
        <v>1.9314171998916168</v>
      </c>
    </row>
    <row r="99" spans="2:6" x14ac:dyDescent="0.2">
      <c r="B99" s="185" t="s">
        <v>31</v>
      </c>
      <c r="C99" s="186"/>
      <c r="D99" s="37"/>
      <c r="E99" s="18">
        <f>IF(F3="1",SUMIF(Data!A:A,'21'!$A$2,Data!AI:AI),0)</f>
        <v>25781927</v>
      </c>
      <c r="F99" s="22">
        <f t="shared" si="6"/>
        <v>0.98963281647372126</v>
      </c>
    </row>
    <row r="100" spans="2:6" x14ac:dyDescent="0.2">
      <c r="B100" s="185" t="s">
        <v>32</v>
      </c>
      <c r="C100" s="186"/>
      <c r="D100" s="37"/>
      <c r="E100" s="18">
        <f>IF(F3="1",SUMIF(Data!A:A,'21'!$A$2,Data!AJ:AJ),0)</f>
        <v>15504331</v>
      </c>
      <c r="F100" s="22">
        <f t="shared" si="6"/>
        <v>0.59512986578042937</v>
      </c>
    </row>
    <row r="101" spans="2:6" x14ac:dyDescent="0.2">
      <c r="B101" s="185" t="s">
        <v>28</v>
      </c>
      <c r="C101" s="186"/>
      <c r="D101" s="37"/>
      <c r="E101" s="18">
        <f>IF(F3="1",SUMIF(Data!A:A,'21'!$A$2,Data!AK:AK),0)</f>
        <v>0</v>
      </c>
      <c r="F101" s="22">
        <f t="shared" si="6"/>
        <v>0</v>
      </c>
    </row>
    <row r="102" spans="2:6" x14ac:dyDescent="0.2">
      <c r="B102" s="185" t="s">
        <v>33</v>
      </c>
      <c r="C102" s="186"/>
      <c r="D102" s="37"/>
      <c r="E102" s="18">
        <f>IF(F3="1",SUMIF(Data!A:A,'21'!$A$2,Data!AL:AL),0)</f>
        <v>0</v>
      </c>
      <c r="F102" s="22">
        <f t="shared" si="6"/>
        <v>0</v>
      </c>
    </row>
    <row r="103" spans="2:6" x14ac:dyDescent="0.2">
      <c r="B103" s="187" t="s">
        <v>34</v>
      </c>
      <c r="C103" s="188"/>
      <c r="D103" s="37"/>
      <c r="E103" s="18">
        <f>IF(F3="1",SUMIF(Data!A:A,'21'!$A$2,Data!AM:AM),0)</f>
        <v>3869836</v>
      </c>
      <c r="F103" s="22">
        <f t="shared" si="6"/>
        <v>0.14854268650948393</v>
      </c>
    </row>
    <row r="104" spans="2:6" ht="15.75" customHeight="1" thickBot="1" x14ac:dyDescent="0.25">
      <c r="B104" s="177" t="s">
        <v>29</v>
      </c>
      <c r="C104" s="178"/>
      <c r="D104" s="38"/>
      <c r="E104" s="25">
        <f>IF(F3="1",SUMIF(Data!A:A,'21'!$A$2,Data!Q:Q),0)</f>
        <v>4021097</v>
      </c>
      <c r="F104" s="26">
        <f t="shared" si="6"/>
        <v>0.15434880214438707</v>
      </c>
    </row>
    <row r="105" spans="2:6" x14ac:dyDescent="0.2">
      <c r="B105" s="31" t="s">
        <v>35</v>
      </c>
      <c r="C105" s="31"/>
      <c r="D105" s="35">
        <f>D95</f>
        <v>26052013</v>
      </c>
      <c r="E105" s="32">
        <f>SUM(E98:E104)</f>
        <v>99494497</v>
      </c>
      <c r="F105" s="33">
        <f t="shared" si="6"/>
        <v>3.8190713707996382</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90655860</v>
      </c>
      <c r="D109" s="16">
        <f>IF(F3="1",SUMIF(Data!$A:$A,$A$2,Data!HJ:HJ),0)</f>
        <v>5539879</v>
      </c>
      <c r="E109" s="16">
        <f>IF(F3="1",SUMIF(Data!$A:$A,$A$2,Data!IN:IN),0)</f>
        <v>3514691</v>
      </c>
      <c r="F109" s="48">
        <f>SUM(C109:E109)</f>
        <v>99710430</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635448</v>
      </c>
      <c r="D111" s="52"/>
      <c r="E111" s="51">
        <f>IF(F3="1",SUMIF(Data!A:A,$A$2,Data!AX:AX),0)</f>
        <v>1161464</v>
      </c>
      <c r="F111" s="49">
        <f t="shared" si="7"/>
        <v>1796912</v>
      </c>
    </row>
    <row r="112" spans="2:6" x14ac:dyDescent="0.2">
      <c r="B112" s="43" t="s">
        <v>32</v>
      </c>
      <c r="C112" s="51">
        <f>IF(F3="1",SUMIF(Data!A:A,$A$2,Data!V:V),0)</f>
        <v>13249688</v>
      </c>
      <c r="D112" s="52"/>
      <c r="E112" s="51">
        <f>IF(F3="1",SUMIF(Data!A:A,$A$2,Data!AC:AC),0)</f>
        <v>2254643</v>
      </c>
      <c r="F112" s="49">
        <f t="shared" si="7"/>
        <v>15504331</v>
      </c>
    </row>
    <row r="113" spans="1:6" x14ac:dyDescent="0.2">
      <c r="B113" s="43" t="s">
        <v>31</v>
      </c>
      <c r="C113" s="51">
        <f>IF(F3="1",SUMIF(Data!A:A,$A$2,Data!U:U),0)</f>
        <v>22128982</v>
      </c>
      <c r="D113" s="52"/>
      <c r="E113" s="51">
        <f>IF(F3="1",SUMIF(Data!A:A,$A$2,Data!AB:AB),0)</f>
        <v>3652945</v>
      </c>
      <c r="F113" s="49">
        <f t="shared" si="7"/>
        <v>25781927</v>
      </c>
    </row>
    <row r="114" spans="1:6" x14ac:dyDescent="0.2">
      <c r="B114" s="43" t="s">
        <v>1363</v>
      </c>
      <c r="C114" s="51">
        <f>IF(F3="1",SUMIF(Data!A:A,$A$2,Data!T:T),0)</f>
        <v>29788022</v>
      </c>
      <c r="D114" s="52"/>
      <c r="E114" s="51">
        <f>IF(F3="1",SUMIF(Data!A:A,$A$2,Data!AA:AA),0)</f>
        <v>20529284</v>
      </c>
      <c r="F114" s="49">
        <f t="shared" si="7"/>
        <v>50317306</v>
      </c>
    </row>
    <row r="115" spans="1:6" x14ac:dyDescent="0.2">
      <c r="B115" s="43" t="s">
        <v>1278</v>
      </c>
      <c r="C115" s="51">
        <f>IF(F3="1",SUMIF(Data!A:A,$A$2,Data!BI:BI),0)</f>
        <v>2235603</v>
      </c>
      <c r="D115" s="51">
        <f>IF(F3="1",SUMIF(Data!A:A,$A$2,Data!BL:BL),0)</f>
        <v>136615</v>
      </c>
      <c r="E115" s="51">
        <f>IF(F3="1",SUMIF(Data!A:A,$A$2,Data!BU:BU),0)</f>
        <v>28461421</v>
      </c>
      <c r="F115" s="49">
        <f t="shared" si="7"/>
        <v>30833639</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4021097</v>
      </c>
      <c r="E117" s="53"/>
      <c r="F117" s="50">
        <f>SUM(C117:E117)</f>
        <v>4021097</v>
      </c>
    </row>
    <row r="118" spans="1:6" x14ac:dyDescent="0.2">
      <c r="B118" s="14" t="s">
        <v>35</v>
      </c>
      <c r="C118" s="5">
        <f>SUM(C109:C116)</f>
        <v>158693603</v>
      </c>
      <c r="D118" s="5">
        <f>SUM(D109:D116)</f>
        <v>5676494</v>
      </c>
      <c r="E118" s="5">
        <f>SUM(E109:E116)</f>
        <v>59574448</v>
      </c>
      <c r="F118" s="5">
        <f>SUM(F109:F116)</f>
        <v>223944545</v>
      </c>
    </row>
    <row r="119" spans="1:6" ht="15" thickBot="1" x14ac:dyDescent="0.25"/>
    <row r="120" spans="1:6" ht="15" thickBot="1" x14ac:dyDescent="0.25">
      <c r="B120" s="57" t="s">
        <v>1283</v>
      </c>
      <c r="C120" s="55"/>
      <c r="D120" s="55"/>
      <c r="E120" s="55">
        <f>IF(F3="1",SUMIF(Data!A:A,'21'!$A$2,Data!AM:AM),0)</f>
        <v>3869836</v>
      </c>
      <c r="F120" s="56">
        <f>SUM(C120:E120)</f>
        <v>3869836</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447</v>
      </c>
      <c r="B2" s="60" t="str">
        <f>VLOOKUP(A2,Data!A:G,7,0)</f>
        <v>Howard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56437</v>
      </c>
      <c r="E5" s="16">
        <f>E36+E67+IFERROR($E$105/$D$105*D5,0)</f>
        <v>413908.58838781377</v>
      </c>
      <c r="F5" s="21">
        <f>IFERROR(E5/D5,"")</f>
        <v>7.3339934508888458</v>
      </c>
    </row>
    <row r="6" spans="1:6" x14ac:dyDescent="0.2">
      <c r="A6" s="20">
        <v>2</v>
      </c>
      <c r="B6" s="179" t="s">
        <v>1</v>
      </c>
      <c r="C6" s="180"/>
      <c r="D6" s="15">
        <f t="shared" ref="D6:D32" si="0">D37</f>
        <v>27336</v>
      </c>
      <c r="E6" s="18">
        <f t="shared" ref="E6:E32" si="1">E37+E68+IFERROR($E$105/$D$105*D6,0)</f>
        <v>148542.14558125479</v>
      </c>
      <c r="F6" s="22">
        <f t="shared" ref="F6:F33" si="2">IFERROR(E6/D6,"")</f>
        <v>5.4339386004263535</v>
      </c>
    </row>
    <row r="7" spans="1:6" ht="14.25" customHeight="1" x14ac:dyDescent="0.2">
      <c r="A7" s="20">
        <v>3</v>
      </c>
      <c r="B7" s="179" t="s">
        <v>2</v>
      </c>
      <c r="C7" s="180"/>
      <c r="D7" s="15">
        <f t="shared" si="0"/>
        <v>217344</v>
      </c>
      <c r="E7" s="18">
        <f t="shared" si="1"/>
        <v>1333491.0187742258</v>
      </c>
      <c r="F7" s="22">
        <f t="shared" si="2"/>
        <v>6.1353937480410128</v>
      </c>
    </row>
    <row r="8" spans="1:6" ht="14.25" customHeight="1" x14ac:dyDescent="0.2">
      <c r="A8" s="20">
        <v>4</v>
      </c>
      <c r="B8" s="179" t="s">
        <v>3</v>
      </c>
      <c r="C8" s="180"/>
      <c r="D8" s="15">
        <f t="shared" si="0"/>
        <v>234638</v>
      </c>
      <c r="E8" s="18">
        <f t="shared" si="1"/>
        <v>1415243.8392923055</v>
      </c>
      <c r="F8" s="22">
        <f t="shared" si="2"/>
        <v>6.0316054487862392</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39465</v>
      </c>
      <c r="E10" s="18">
        <f t="shared" si="1"/>
        <v>319475.07365248096</v>
      </c>
      <c r="F10" s="22">
        <f t="shared" si="2"/>
        <v>8.0951494654119092</v>
      </c>
    </row>
    <row r="11" spans="1:6" x14ac:dyDescent="0.2">
      <c r="A11" s="20">
        <v>7</v>
      </c>
      <c r="B11" s="179" t="s">
        <v>6</v>
      </c>
      <c r="C11" s="180"/>
      <c r="D11" s="15">
        <f t="shared" si="0"/>
        <v>119458</v>
      </c>
      <c r="E11" s="18">
        <f t="shared" si="1"/>
        <v>882522.52234582731</v>
      </c>
      <c r="F11" s="22">
        <f t="shared" si="2"/>
        <v>7.3877222316280813</v>
      </c>
    </row>
    <row r="12" spans="1:6" x14ac:dyDescent="0.2">
      <c r="A12" s="20">
        <v>8</v>
      </c>
      <c r="B12" s="179" t="s">
        <v>7</v>
      </c>
      <c r="C12" s="180"/>
      <c r="D12" s="15">
        <f t="shared" si="0"/>
        <v>125042</v>
      </c>
      <c r="E12" s="18">
        <f t="shared" si="1"/>
        <v>788217.10461557144</v>
      </c>
      <c r="F12" s="22">
        <f t="shared" si="2"/>
        <v>6.3036188210007156</v>
      </c>
    </row>
    <row r="13" spans="1:6" x14ac:dyDescent="0.2">
      <c r="A13" s="20">
        <v>9</v>
      </c>
      <c r="B13" s="179" t="s">
        <v>8</v>
      </c>
      <c r="C13" s="180"/>
      <c r="D13" s="15">
        <f t="shared" si="0"/>
        <v>326680</v>
      </c>
      <c r="E13" s="18">
        <f t="shared" si="1"/>
        <v>1661869.7549928415</v>
      </c>
      <c r="F13" s="22">
        <f t="shared" si="2"/>
        <v>5.0871487541105713</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219959</v>
      </c>
      <c r="E15" s="18">
        <f t="shared" si="1"/>
        <v>1106138.4648049176</v>
      </c>
      <c r="F15" s="22">
        <f t="shared" si="2"/>
        <v>5.0288393055292921</v>
      </c>
    </row>
    <row r="16" spans="1:6" ht="14.25" customHeight="1" x14ac:dyDescent="0.2">
      <c r="A16" s="20">
        <v>12</v>
      </c>
      <c r="B16" s="179" t="s">
        <v>11</v>
      </c>
      <c r="C16" s="180"/>
      <c r="D16" s="15">
        <f t="shared" si="0"/>
        <v>190560</v>
      </c>
      <c r="E16" s="18">
        <f t="shared" si="1"/>
        <v>1422185.2545348227</v>
      </c>
      <c r="F16" s="22">
        <f t="shared" si="2"/>
        <v>7.4631887832431918</v>
      </c>
    </row>
    <row r="17" spans="1:6" x14ac:dyDescent="0.2">
      <c r="A17" s="20">
        <v>13</v>
      </c>
      <c r="B17" s="179" t="s">
        <v>12</v>
      </c>
      <c r="C17" s="180"/>
      <c r="D17" s="15">
        <f t="shared" si="0"/>
        <v>42720</v>
      </c>
      <c r="E17" s="18">
        <f t="shared" si="1"/>
        <v>263345.20819546399</v>
      </c>
      <c r="F17" s="22">
        <f t="shared" si="2"/>
        <v>6.1644477573844565</v>
      </c>
    </row>
    <row r="18" spans="1:6" ht="14.25" customHeight="1" x14ac:dyDescent="0.2">
      <c r="A18" s="20">
        <v>14</v>
      </c>
      <c r="B18" s="179" t="s">
        <v>804</v>
      </c>
      <c r="C18" s="180"/>
      <c r="D18" s="15">
        <f t="shared" si="0"/>
        <v>42568</v>
      </c>
      <c r="E18" s="18">
        <f t="shared" si="1"/>
        <v>508481.13217379479</v>
      </c>
      <c r="F18" s="22">
        <f t="shared" si="2"/>
        <v>11.945149693990668</v>
      </c>
    </row>
    <row r="19" spans="1:6" x14ac:dyDescent="0.2">
      <c r="A19" s="20">
        <v>15</v>
      </c>
      <c r="B19" s="179" t="s">
        <v>13</v>
      </c>
      <c r="C19" s="180"/>
      <c r="D19" s="15">
        <f t="shared" si="0"/>
        <v>22544</v>
      </c>
      <c r="E19" s="18">
        <f t="shared" si="1"/>
        <v>419491.32784547145</v>
      </c>
      <c r="F19" s="22">
        <f t="shared" si="2"/>
        <v>18.60767068157698</v>
      </c>
    </row>
    <row r="20" spans="1:6" x14ac:dyDescent="0.2">
      <c r="A20" s="20">
        <v>16</v>
      </c>
      <c r="B20" s="179" t="s">
        <v>14</v>
      </c>
      <c r="C20" s="180"/>
      <c r="D20" s="15">
        <f t="shared" si="0"/>
        <v>130507</v>
      </c>
      <c r="E20" s="18">
        <f t="shared" si="1"/>
        <v>978250.22605256143</v>
      </c>
      <c r="F20" s="22">
        <f t="shared" si="2"/>
        <v>7.4957682427192518</v>
      </c>
    </row>
    <row r="21" spans="1:6" x14ac:dyDescent="0.2">
      <c r="A21" s="20">
        <v>17</v>
      </c>
      <c r="B21" s="179" t="s">
        <v>15</v>
      </c>
      <c r="C21" s="180"/>
      <c r="D21" s="15">
        <f t="shared" si="0"/>
        <v>11760</v>
      </c>
      <c r="E21" s="18">
        <f t="shared" si="1"/>
        <v>165482.77641335808</v>
      </c>
      <c r="F21" s="22">
        <f t="shared" si="2"/>
        <v>14.071664660999836</v>
      </c>
    </row>
    <row r="22" spans="1:6" x14ac:dyDescent="0.2">
      <c r="A22" s="20">
        <v>18</v>
      </c>
      <c r="B22" s="179" t="s">
        <v>16</v>
      </c>
      <c r="C22" s="180"/>
      <c r="D22" s="15">
        <f t="shared" si="0"/>
        <v>104352</v>
      </c>
      <c r="E22" s="18">
        <f t="shared" si="1"/>
        <v>860172.61192914471</v>
      </c>
      <c r="F22" s="22">
        <f t="shared" si="2"/>
        <v>8.2429911446751838</v>
      </c>
    </row>
    <row r="23" spans="1:6" x14ac:dyDescent="0.2">
      <c r="A23" s="20">
        <v>19</v>
      </c>
      <c r="B23" s="179" t="s">
        <v>17</v>
      </c>
      <c r="C23" s="180"/>
      <c r="D23" s="15">
        <f t="shared" si="0"/>
        <v>73792</v>
      </c>
      <c r="E23" s="18">
        <f t="shared" si="1"/>
        <v>597585.48546722101</v>
      </c>
      <c r="F23" s="22">
        <f t="shared" si="2"/>
        <v>8.0982421599525836</v>
      </c>
    </row>
    <row r="24" spans="1:6" x14ac:dyDescent="0.2">
      <c r="A24" s="20">
        <v>20</v>
      </c>
      <c r="B24" s="179" t="s">
        <v>18</v>
      </c>
      <c r="C24" s="180"/>
      <c r="D24" s="15">
        <f t="shared" si="0"/>
        <v>8096</v>
      </c>
      <c r="E24" s="18">
        <f t="shared" si="1"/>
        <v>57884.259680488685</v>
      </c>
      <c r="F24" s="22">
        <f t="shared" si="2"/>
        <v>7.1497356324714287</v>
      </c>
    </row>
    <row r="25" spans="1:6" ht="14.25" customHeight="1" x14ac:dyDescent="0.2">
      <c r="A25" s="20">
        <v>21</v>
      </c>
      <c r="B25" s="179" t="s">
        <v>801</v>
      </c>
      <c r="C25" s="180"/>
      <c r="D25" s="15">
        <f t="shared" si="0"/>
        <v>9118</v>
      </c>
      <c r="E25" s="18">
        <f t="shared" si="1"/>
        <v>46416.099773554335</v>
      </c>
      <c r="F25" s="22">
        <f t="shared" si="2"/>
        <v>5.0906009841581854</v>
      </c>
    </row>
    <row r="26" spans="1:6" x14ac:dyDescent="0.2">
      <c r="A26" s="20">
        <v>22</v>
      </c>
      <c r="B26" s="179" t="s">
        <v>19</v>
      </c>
      <c r="C26" s="180"/>
      <c r="D26" s="15">
        <f t="shared" si="0"/>
        <v>17053</v>
      </c>
      <c r="E26" s="18">
        <f t="shared" si="1"/>
        <v>101751.20656266966</v>
      </c>
      <c r="F26" s="22">
        <f t="shared" si="2"/>
        <v>5.9667628313299508</v>
      </c>
    </row>
    <row r="27" spans="1:6" x14ac:dyDescent="0.2">
      <c r="A27" s="20">
        <v>23</v>
      </c>
      <c r="B27" s="179" t="s">
        <v>20</v>
      </c>
      <c r="C27" s="180"/>
      <c r="D27" s="15">
        <f t="shared" si="0"/>
        <v>20368</v>
      </c>
      <c r="E27" s="18">
        <f t="shared" si="1"/>
        <v>663961.18690367998</v>
      </c>
      <c r="F27" s="22">
        <f t="shared" si="2"/>
        <v>32.598251517266299</v>
      </c>
    </row>
    <row r="28" spans="1:6" x14ac:dyDescent="0.2">
      <c r="A28" s="20">
        <v>24</v>
      </c>
      <c r="B28" s="179" t="s">
        <v>21</v>
      </c>
      <c r="C28" s="180"/>
      <c r="D28" s="15">
        <f t="shared" si="0"/>
        <v>125032</v>
      </c>
      <c r="E28" s="18">
        <f t="shared" si="1"/>
        <v>1223851.7969825668</v>
      </c>
      <c r="F28" s="22">
        <f t="shared" si="2"/>
        <v>9.7883085688669045</v>
      </c>
    </row>
    <row r="29" spans="1:6" x14ac:dyDescent="0.2">
      <c r="A29" s="20">
        <v>25</v>
      </c>
      <c r="B29" s="179" t="s">
        <v>22</v>
      </c>
      <c r="C29" s="180"/>
      <c r="D29" s="15">
        <f t="shared" si="0"/>
        <v>330928</v>
      </c>
      <c r="E29" s="18">
        <f t="shared" si="1"/>
        <v>1926958.037493177</v>
      </c>
      <c r="F29" s="22">
        <f t="shared" si="2"/>
        <v>5.8228921018867457</v>
      </c>
    </row>
    <row r="30" spans="1:6" x14ac:dyDescent="0.2">
      <c r="A30" s="20">
        <v>26</v>
      </c>
      <c r="B30" s="179" t="s">
        <v>23</v>
      </c>
      <c r="C30" s="180"/>
      <c r="D30" s="15">
        <f t="shared" si="0"/>
        <v>81666</v>
      </c>
      <c r="E30" s="18">
        <f t="shared" si="1"/>
        <v>592398.51569500857</v>
      </c>
      <c r="F30" s="22">
        <f t="shared" si="2"/>
        <v>7.253918591519219</v>
      </c>
    </row>
    <row r="31" spans="1:6" x14ac:dyDescent="0.2">
      <c r="A31" s="20">
        <v>28</v>
      </c>
      <c r="B31" s="179" t="s">
        <v>24</v>
      </c>
      <c r="C31" s="180"/>
      <c r="D31" s="15">
        <f t="shared" si="0"/>
        <v>107664</v>
      </c>
      <c r="E31" s="18">
        <f t="shared" si="1"/>
        <v>674876.89998025377</v>
      </c>
      <c r="F31" s="22">
        <f t="shared" si="2"/>
        <v>6.2683617549065032</v>
      </c>
    </row>
    <row r="32" spans="1:6" ht="15.75" customHeight="1" thickBot="1" x14ac:dyDescent="0.25">
      <c r="A32" s="23">
        <v>29</v>
      </c>
      <c r="B32" s="181" t="s">
        <v>25</v>
      </c>
      <c r="C32" s="182"/>
      <c r="D32" s="24">
        <f t="shared" si="0"/>
        <v>64800</v>
      </c>
      <c r="E32" s="25">
        <f t="shared" si="1"/>
        <v>513623.46186952409</v>
      </c>
      <c r="F32" s="26">
        <f t="shared" si="2"/>
        <v>7.9262879918136431</v>
      </c>
    </row>
    <row r="33" spans="1:6" x14ac:dyDescent="0.2">
      <c r="B33" s="31" t="s">
        <v>35</v>
      </c>
      <c r="C33" s="31"/>
      <c r="D33" s="61">
        <f>SUM(D5:D32)</f>
        <v>2749887</v>
      </c>
      <c r="E33" s="32">
        <f>SUM(E5:E32)</f>
        <v>19086124.000000004</v>
      </c>
      <c r="F33" s="33">
        <f t="shared" si="2"/>
        <v>6.9406939266958982</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IF(F3="1",SUMIF(Data!A:A,'22'!$A$2,Data!CU:CU),0)</f>
        <v>56437</v>
      </c>
      <c r="E36" s="16">
        <f>IF(F3="1",SUMIF(Data!$A:$A,'22'!$A$2,Data!IO:IO),0)</f>
        <v>66568</v>
      </c>
      <c r="F36" s="21">
        <f t="shared" ref="F36:F64" si="3">IFERROR(E36/D36,"")</f>
        <v>1.1795098959902193</v>
      </c>
    </row>
    <row r="37" spans="1:6" x14ac:dyDescent="0.2">
      <c r="A37" s="20">
        <v>2</v>
      </c>
      <c r="B37" s="179" t="s">
        <v>1</v>
      </c>
      <c r="C37" s="180"/>
      <c r="D37" s="15">
        <f>IF(F3="1",SUMIF(Data!A:A,'22'!$A$2,Data!CV:CV),0)</f>
        <v>27336</v>
      </c>
      <c r="E37" s="18">
        <f>IF(F3="1",SUMIF(Data!$A:$A,'22'!$A$2,Data!IP:IP),0)</f>
        <v>22623</v>
      </c>
      <c r="F37" s="22">
        <f t="shared" si="3"/>
        <v>0.82758999122036869</v>
      </c>
    </row>
    <row r="38" spans="1:6" ht="14.25" customHeight="1" x14ac:dyDescent="0.2">
      <c r="A38" s="20">
        <v>3</v>
      </c>
      <c r="B38" s="179" t="s">
        <v>2</v>
      </c>
      <c r="C38" s="180"/>
      <c r="D38" s="15">
        <f>IF(F3="1",SUMIF(Data!A:A,'22'!$A$2,Data!CW:CW),0)</f>
        <v>217344</v>
      </c>
      <c r="E38" s="18">
        <f>IF(F3="1",SUMIF(Data!$A:$A,'22'!$A$2,Data!IQ:IQ),0)</f>
        <v>126432</v>
      </c>
      <c r="F38" s="22">
        <f t="shared" si="3"/>
        <v>0.58171378091872794</v>
      </c>
    </row>
    <row r="39" spans="1:6" ht="14.25" customHeight="1" x14ac:dyDescent="0.2">
      <c r="A39" s="20">
        <v>4</v>
      </c>
      <c r="B39" s="179" t="s">
        <v>3</v>
      </c>
      <c r="C39" s="180"/>
      <c r="D39" s="15">
        <f>IF(F3="1",SUMIF(Data!A:A,'22'!$A$2,Data!CX:CX),0)</f>
        <v>234638</v>
      </c>
      <c r="E39" s="18">
        <f>IF(F3="1",SUMIF(Data!$A:$A,'22'!$A$2,Data!IR:IR),0)</f>
        <v>109632</v>
      </c>
      <c r="F39" s="22">
        <f t="shared" si="3"/>
        <v>0.46723889566054944</v>
      </c>
    </row>
    <row r="40" spans="1:6" x14ac:dyDescent="0.2">
      <c r="A40" s="20">
        <v>5</v>
      </c>
      <c r="B40" s="179" t="s">
        <v>4</v>
      </c>
      <c r="C40" s="180"/>
      <c r="D40" s="15">
        <f>IF(F3="1",SUMIF(Data!A:A,'22'!$A$2,Data!CY:CY),0)</f>
        <v>0</v>
      </c>
      <c r="E40" s="18">
        <f>IF(F3="1",SUMIF(Data!$A:$A,'22'!$A$2,Data!IS:IS),0)</f>
        <v>0</v>
      </c>
      <c r="F40" s="22" t="str">
        <f t="shared" si="3"/>
        <v/>
      </c>
    </row>
    <row r="41" spans="1:6" x14ac:dyDescent="0.2">
      <c r="A41" s="20">
        <v>6</v>
      </c>
      <c r="B41" s="179" t="s">
        <v>5</v>
      </c>
      <c r="C41" s="180"/>
      <c r="D41" s="15">
        <f>IF(F3="1",SUMIF(Data!A:A,'22'!$A$2,Data!CZ:CZ),0)</f>
        <v>39465</v>
      </c>
      <c r="E41" s="18">
        <f>IF(F3="1",SUMIF(Data!$A:$A,'22'!$A$2,Data!IT:IT),0)</f>
        <v>45885</v>
      </c>
      <c r="F41" s="22">
        <f t="shared" si="3"/>
        <v>1.1626757886735082</v>
      </c>
    </row>
    <row r="42" spans="1:6" x14ac:dyDescent="0.2">
      <c r="A42" s="20">
        <v>7</v>
      </c>
      <c r="B42" s="179" t="s">
        <v>6</v>
      </c>
      <c r="C42" s="180"/>
      <c r="D42" s="15">
        <f>IF(F3="1",SUMIF(Data!A:A,'22'!$A$2,Data!DA:DA),0)</f>
        <v>119458</v>
      </c>
      <c r="E42" s="18">
        <f>IF(F3="1",SUMIF(Data!$A:$A,'22'!$A$2,Data!IU:IU),0)</f>
        <v>168560</v>
      </c>
      <c r="F42" s="22">
        <f t="shared" si="3"/>
        <v>1.4110398633829464</v>
      </c>
    </row>
    <row r="43" spans="1:6" x14ac:dyDescent="0.2">
      <c r="A43" s="20">
        <v>8</v>
      </c>
      <c r="B43" s="179" t="s">
        <v>7</v>
      </c>
      <c r="C43" s="180"/>
      <c r="D43" s="15">
        <f>IF(F3="1",SUMIF(Data!A:A,'22'!$A$2,Data!DB:DB),0)</f>
        <v>125042</v>
      </c>
      <c r="E43" s="18">
        <f>IF(F3="1",SUMIF(Data!$A:$A,'22'!$A$2,Data!IV:IV),0)</f>
        <v>47166</v>
      </c>
      <c r="F43" s="22">
        <f t="shared" si="3"/>
        <v>0.37720126037651347</v>
      </c>
    </row>
    <row r="44" spans="1:6" x14ac:dyDescent="0.2">
      <c r="A44" s="20">
        <v>9</v>
      </c>
      <c r="B44" s="179" t="s">
        <v>8</v>
      </c>
      <c r="C44" s="180"/>
      <c r="D44" s="15">
        <f>IF(F3="1",SUMIF(Data!A:A,'22'!$A$2,Data!DC:DC),0)</f>
        <v>326680</v>
      </c>
      <c r="E44" s="18">
        <f>IF(F3="1",SUMIF(Data!$A:$A,'22'!$A$2,Data!IW:IW),0)</f>
        <v>190773</v>
      </c>
      <c r="F44" s="22">
        <f t="shared" si="3"/>
        <v>0.5839751438716787</v>
      </c>
    </row>
    <row r="45" spans="1:6" x14ac:dyDescent="0.2">
      <c r="A45" s="20">
        <v>10</v>
      </c>
      <c r="B45" s="179" t="s">
        <v>9</v>
      </c>
      <c r="C45" s="180"/>
      <c r="D45" s="15">
        <f>IF(F3="1",SUMIF(Data!A:A,'22'!$A$2,Data!DD:DD),0)</f>
        <v>0</v>
      </c>
      <c r="E45" s="18">
        <f>IF(F3="1",SUMIF(Data!$A:$A,'22'!$A$2,Data!IX:IX),0)</f>
        <v>0</v>
      </c>
      <c r="F45" s="22" t="str">
        <f t="shared" si="3"/>
        <v/>
      </c>
    </row>
    <row r="46" spans="1:6" x14ac:dyDescent="0.2">
      <c r="A46" s="20">
        <v>11</v>
      </c>
      <c r="B46" s="179" t="s">
        <v>10</v>
      </c>
      <c r="C46" s="180"/>
      <c r="D46" s="15">
        <f>IF(F3="1",SUMIF(Data!A:A,'22'!$A$2,Data!DE:DE),0)</f>
        <v>219959</v>
      </c>
      <c r="E46" s="18">
        <f>IF(F3="1",SUMIF(Data!$A:$A,'22'!$A$2,Data!IY:IY),0)</f>
        <v>83291</v>
      </c>
      <c r="F46" s="22">
        <f t="shared" si="3"/>
        <v>0.37866602412267741</v>
      </c>
    </row>
    <row r="47" spans="1:6" ht="14.25" customHeight="1" x14ac:dyDescent="0.2">
      <c r="A47" s="20">
        <v>12</v>
      </c>
      <c r="B47" s="179" t="s">
        <v>11</v>
      </c>
      <c r="C47" s="180"/>
      <c r="D47" s="15">
        <f>IF(F3="1",SUMIF(Data!A:A,'22'!$A$2,Data!DF:DF),0)</f>
        <v>190560</v>
      </c>
      <c r="E47" s="18">
        <f>IF(F3="1",SUMIF(Data!$A:$A,'22'!$A$2,Data!IZ:IZ),0)</f>
        <v>157352</v>
      </c>
      <c r="F47" s="22">
        <f t="shared" si="3"/>
        <v>0.82573467674223344</v>
      </c>
    </row>
    <row r="48" spans="1:6" x14ac:dyDescent="0.2">
      <c r="A48" s="20">
        <v>13</v>
      </c>
      <c r="B48" s="179" t="s">
        <v>12</v>
      </c>
      <c r="C48" s="180"/>
      <c r="D48" s="15">
        <f>IF(F3="1",SUMIF(Data!A:A,'22'!$A$2,Data!DG:DG),0)</f>
        <v>42720</v>
      </c>
      <c r="E48" s="18">
        <f>IF(F3="1",SUMIF(Data!$A:$A,'22'!$A$2,Data!JA:JA),0)</f>
        <v>11101</v>
      </c>
      <c r="F48" s="22">
        <f t="shared" si="3"/>
        <v>0.25985486891385767</v>
      </c>
    </row>
    <row r="49" spans="1:6" ht="14.25" customHeight="1" x14ac:dyDescent="0.2">
      <c r="A49" s="20">
        <v>14</v>
      </c>
      <c r="B49" s="179" t="s">
        <v>804</v>
      </c>
      <c r="C49" s="180"/>
      <c r="D49" s="15">
        <f>IF(F3="1",SUMIF(Data!A:A,'22'!$A$2,Data!DH:DH),0)</f>
        <v>42568</v>
      </c>
      <c r="E49" s="18">
        <f>IF(F3="1",SUMIF(Data!$A:$A,'22'!$A$2,Data!JB:JB),0)</f>
        <v>114868</v>
      </c>
      <c r="F49" s="22">
        <f t="shared" si="3"/>
        <v>2.6984589362901712</v>
      </c>
    </row>
    <row r="50" spans="1:6" x14ac:dyDescent="0.2">
      <c r="A50" s="20">
        <v>15</v>
      </c>
      <c r="B50" s="179" t="s">
        <v>13</v>
      </c>
      <c r="C50" s="180"/>
      <c r="D50" s="15">
        <f>IF(F3="1",SUMIF(Data!A:A,'22'!$A$2,Data!DI:DI),0)</f>
        <v>22544</v>
      </c>
      <c r="E50" s="18">
        <f>IF(F3="1",SUMIF(Data!$A:$A,'22'!$A$2,Data!JC:JC),0)</f>
        <v>123535</v>
      </c>
      <c r="F50" s="22">
        <f t="shared" si="3"/>
        <v>5.4797285308729595</v>
      </c>
    </row>
    <row r="51" spans="1:6" x14ac:dyDescent="0.2">
      <c r="A51" s="20">
        <v>16</v>
      </c>
      <c r="B51" s="179" t="s">
        <v>14</v>
      </c>
      <c r="C51" s="180"/>
      <c r="D51" s="15">
        <f>IF(F3="1",SUMIF(Data!A:A,'22'!$A$2,Data!DJ:DJ),0)</f>
        <v>130507</v>
      </c>
      <c r="E51" s="18">
        <f>IF(F3="1",SUMIF(Data!$A:$A,'22'!$A$2,Data!JD:JD),0)</f>
        <v>93685</v>
      </c>
      <c r="F51" s="22">
        <f t="shared" si="3"/>
        <v>0.71785421471645194</v>
      </c>
    </row>
    <row r="52" spans="1:6" x14ac:dyDescent="0.2">
      <c r="A52" s="20">
        <v>17</v>
      </c>
      <c r="B52" s="179" t="s">
        <v>15</v>
      </c>
      <c r="C52" s="180"/>
      <c r="D52" s="15">
        <f>IF(F3="1",SUMIF(Data!A:A,'22'!$A$2,Data!DK:DK),0)</f>
        <v>11760</v>
      </c>
      <c r="E52" s="18">
        <f>IF(F3="1",SUMIF(Data!$A:$A,'22'!$A$2,Data!JE:JE),0)</f>
        <v>26824</v>
      </c>
      <c r="F52" s="22">
        <f t="shared" si="3"/>
        <v>2.2809523809523808</v>
      </c>
    </row>
    <row r="53" spans="1:6" x14ac:dyDescent="0.2">
      <c r="A53" s="20">
        <v>18</v>
      </c>
      <c r="B53" s="179" t="s">
        <v>16</v>
      </c>
      <c r="C53" s="180"/>
      <c r="D53" s="15">
        <f>IF(F3="1",SUMIF(Data!A:A,'22'!$A$2,Data!DL:DL),0)</f>
        <v>104352</v>
      </c>
      <c r="E53" s="18">
        <f>IF(F3="1",SUMIF(Data!$A:$A,'22'!$A$2,Data!JF:JF),0)</f>
        <v>81261</v>
      </c>
      <c r="F53" s="22">
        <f t="shared" si="3"/>
        <v>0.77872010119595214</v>
      </c>
    </row>
    <row r="54" spans="1:6" x14ac:dyDescent="0.2">
      <c r="A54" s="20">
        <v>19</v>
      </c>
      <c r="B54" s="179" t="s">
        <v>17</v>
      </c>
      <c r="C54" s="180"/>
      <c r="D54" s="15">
        <f>IF(F3="1",SUMIF(Data!A:A,'22'!$A$2,Data!DM:DM),0)</f>
        <v>73792</v>
      </c>
      <c r="E54" s="18">
        <f>IF(F3="1",SUMIF(Data!$A:$A,'22'!$A$2,Data!JG:JG),0)</f>
        <v>65176</v>
      </c>
      <c r="F54" s="22">
        <f t="shared" si="3"/>
        <v>0.88323937554206422</v>
      </c>
    </row>
    <row r="55" spans="1:6" x14ac:dyDescent="0.2">
      <c r="A55" s="20">
        <v>20</v>
      </c>
      <c r="B55" s="179" t="s">
        <v>18</v>
      </c>
      <c r="C55" s="180"/>
      <c r="D55" s="15">
        <f>IF(F3="1",SUMIF(Data!A:A,'22'!$A$2,Data!DN:DN),0)</f>
        <v>8096</v>
      </c>
      <c r="E55" s="18">
        <f>IF(F3="1",SUMIF(Data!$A:$A,'22'!$A$2,Data!JH:JH),0)</f>
        <v>4352</v>
      </c>
      <c r="F55" s="22">
        <f t="shared" si="3"/>
        <v>0.53754940711462451</v>
      </c>
    </row>
    <row r="56" spans="1:6" ht="14.25" customHeight="1" x14ac:dyDescent="0.2">
      <c r="A56" s="20">
        <v>21</v>
      </c>
      <c r="B56" s="179" t="s">
        <v>801</v>
      </c>
      <c r="C56" s="180"/>
      <c r="D56" s="15">
        <f>IF(F3="1",SUMIF(Data!A:A,'22'!$A$2,Data!DO:DO),0)</f>
        <v>9118</v>
      </c>
      <c r="E56" s="18">
        <f>IF(F3="1",SUMIF(Data!$A:$A,'22'!$A$2,Data!JI:JI),0)</f>
        <v>1966</v>
      </c>
      <c r="F56" s="22">
        <f t="shared" si="3"/>
        <v>0.21561745996929152</v>
      </c>
    </row>
    <row r="57" spans="1:6" x14ac:dyDescent="0.2">
      <c r="A57" s="20">
        <v>22</v>
      </c>
      <c r="B57" s="179" t="s">
        <v>19</v>
      </c>
      <c r="C57" s="180"/>
      <c r="D57" s="15">
        <f>IF(F3="1",SUMIF(Data!A:A,'22'!$A$2,Data!DP:DP),0)</f>
        <v>17053</v>
      </c>
      <c r="E57" s="18">
        <f>IF(F3="1",SUMIF(Data!$A:$A,'22'!$A$2,Data!JJ:JJ),0)</f>
        <v>9257</v>
      </c>
      <c r="F57" s="22">
        <f t="shared" si="3"/>
        <v>0.54283703747141265</v>
      </c>
    </row>
    <row r="58" spans="1:6" x14ac:dyDescent="0.2">
      <c r="A58" s="20">
        <v>23</v>
      </c>
      <c r="B58" s="179" t="s">
        <v>20</v>
      </c>
      <c r="C58" s="180"/>
      <c r="D58" s="15">
        <f>IF(F3="1",SUMIF(Data!A:A,'22'!$A$2,Data!DQ:DQ),0)</f>
        <v>20368</v>
      </c>
      <c r="E58" s="18">
        <f>IF(F3="1",SUMIF(Data!$A:$A,'22'!$A$2,Data!JK:JK),0)</f>
        <v>49385</v>
      </c>
      <c r="F58" s="22">
        <f t="shared" si="3"/>
        <v>2.4246366849960723</v>
      </c>
    </row>
    <row r="59" spans="1:6" x14ac:dyDescent="0.2">
      <c r="A59" s="20">
        <v>24</v>
      </c>
      <c r="B59" s="179" t="s">
        <v>21</v>
      </c>
      <c r="C59" s="180"/>
      <c r="D59" s="15">
        <f>IF(F3="1",SUMIF(Data!A:A,'22'!$A$2,Data!DR:DR),0)</f>
        <v>125032</v>
      </c>
      <c r="E59" s="18">
        <f>IF(F3="1",SUMIF(Data!$A:$A,'22'!$A$2,Data!JL:JL),0)</f>
        <v>403063</v>
      </c>
      <c r="F59" s="22">
        <f t="shared" si="3"/>
        <v>3.2236787382430099</v>
      </c>
    </row>
    <row r="60" spans="1:6" x14ac:dyDescent="0.2">
      <c r="A60" s="20">
        <v>25</v>
      </c>
      <c r="B60" s="179" t="s">
        <v>22</v>
      </c>
      <c r="C60" s="180"/>
      <c r="D60" s="15">
        <f>IF(F3="1",SUMIF(Data!A:A,'22'!$A$2,Data!DS:DS),0)</f>
        <v>330928</v>
      </c>
      <c r="E60" s="18">
        <f>IF(F3="1",SUMIF(Data!$A:$A,'22'!$A$2,Data!JM:JM),0)</f>
        <v>118238</v>
      </c>
      <c r="F60" s="22">
        <f t="shared" si="3"/>
        <v>0.35729222066431371</v>
      </c>
    </row>
    <row r="61" spans="1:6" x14ac:dyDescent="0.2">
      <c r="A61" s="20">
        <v>26</v>
      </c>
      <c r="B61" s="179" t="s">
        <v>23</v>
      </c>
      <c r="C61" s="180"/>
      <c r="D61" s="15">
        <f>IF(F3="1",SUMIF(Data!A:A,'22'!$A$2,Data!DT:DT),0)</f>
        <v>81666</v>
      </c>
      <c r="E61" s="18">
        <f>IF(F3="1",SUMIF(Data!$A:$A,'22'!$A$2,Data!JN:JN),0)</f>
        <v>72002</v>
      </c>
      <c r="F61" s="22">
        <f t="shared" si="3"/>
        <v>0.88166434011706218</v>
      </c>
    </row>
    <row r="62" spans="1:6" x14ac:dyDescent="0.2">
      <c r="A62" s="20">
        <v>28</v>
      </c>
      <c r="B62" s="179" t="s">
        <v>24</v>
      </c>
      <c r="C62" s="180"/>
      <c r="D62" s="15">
        <f>IF(F3="1",SUMIF(Data!A:A,'22'!$A$2,Data!DV:DV),0)</f>
        <v>107664</v>
      </c>
      <c r="E62" s="18">
        <f>IF(F3="1",SUMIF(Data!$A:$A,'22'!$A$2,Data!JP:JP),0)</f>
        <v>53412</v>
      </c>
      <c r="F62" s="22">
        <f t="shared" si="3"/>
        <v>0.49609897458760588</v>
      </c>
    </row>
    <row r="63" spans="1:6" ht="15.75" customHeight="1" thickBot="1" x14ac:dyDescent="0.25">
      <c r="A63" s="23">
        <v>29</v>
      </c>
      <c r="B63" s="181" t="s">
        <v>25</v>
      </c>
      <c r="C63" s="182"/>
      <c r="D63" s="24">
        <f>IF(F3="1",SUMIF(Data!A:A,'22'!$A$2,Data!DW:DW),0)</f>
        <v>64800</v>
      </c>
      <c r="E63" s="25">
        <f>IF(F3="1",SUMIF(Data!$A:$A,'22'!$A$2,Data!JQ:JQ),0)</f>
        <v>44993</v>
      </c>
      <c r="F63" s="26">
        <f t="shared" si="3"/>
        <v>0.69433641975308646</v>
      </c>
    </row>
    <row r="64" spans="1:6" x14ac:dyDescent="0.2">
      <c r="B64" s="31" t="s">
        <v>35</v>
      </c>
      <c r="C64" s="31"/>
      <c r="D64" s="61">
        <f>SUM(D36:D63)</f>
        <v>2749887</v>
      </c>
      <c r="E64" s="32">
        <f>SUM(E36:E63)</f>
        <v>2291400</v>
      </c>
      <c r="F64" s="33">
        <f t="shared" si="3"/>
        <v>0.83327060348297943</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56437</v>
      </c>
      <c r="E67" s="16">
        <f>IF(F3="1",SUMIF(Data!A:A,'22'!$A$2,Data!DY:DY),0)</f>
        <v>165006</v>
      </c>
      <c r="F67" s="21">
        <f>IFERROR(E67/D67,"")</f>
        <v>2.9237202544430074</v>
      </c>
    </row>
    <row r="68" spans="1:6" x14ac:dyDescent="0.2">
      <c r="A68" s="20">
        <v>2</v>
      </c>
      <c r="B68" s="179" t="s">
        <v>1</v>
      </c>
      <c r="C68" s="180"/>
      <c r="D68" s="15">
        <f t="shared" ref="D68:D94" si="4">D37</f>
        <v>27336</v>
      </c>
      <c r="E68" s="18">
        <f>IF(F3="1",SUMIF(Data!A:A,'22'!$A$2,Data!DZ:DZ),0)</f>
        <v>37603</v>
      </c>
      <c r="F68" s="22">
        <f t="shared" ref="F68:F95" si="5">IFERROR(E68/D68,"")</f>
        <v>1.3755853087503658</v>
      </c>
    </row>
    <row r="69" spans="1:6" ht="14.25" customHeight="1" x14ac:dyDescent="0.2">
      <c r="A69" s="20">
        <v>3</v>
      </c>
      <c r="B69" s="179" t="s">
        <v>2</v>
      </c>
      <c r="C69" s="180"/>
      <c r="D69" s="15">
        <f t="shared" si="4"/>
        <v>217344</v>
      </c>
      <c r="E69" s="18">
        <f>IF(F3="1",SUMIF(Data!A:A,'22'!$A$2,Data!EA:EA),0)</f>
        <v>504872</v>
      </c>
      <c r="F69" s="22">
        <f t="shared" si="5"/>
        <v>2.3229166666666665</v>
      </c>
    </row>
    <row r="70" spans="1:6" ht="14.25" customHeight="1" x14ac:dyDescent="0.2">
      <c r="A70" s="20">
        <v>4</v>
      </c>
      <c r="B70" s="179" t="s">
        <v>3</v>
      </c>
      <c r="C70" s="180"/>
      <c r="D70" s="15">
        <f t="shared" si="4"/>
        <v>234638</v>
      </c>
      <c r="E70" s="18">
        <f>IF(F3="1",SUMIF(Data!A:A,'22'!$A$2,Data!EB:EB),0)</f>
        <v>547552</v>
      </c>
      <c r="F70" s="22">
        <f t="shared" si="5"/>
        <v>2.3336032526700703</v>
      </c>
    </row>
    <row r="71" spans="1:6" x14ac:dyDescent="0.2">
      <c r="A71" s="20">
        <v>5</v>
      </c>
      <c r="B71" s="179" t="s">
        <v>4</v>
      </c>
      <c r="C71" s="180"/>
      <c r="D71" s="15">
        <f t="shared" si="4"/>
        <v>0</v>
      </c>
      <c r="E71" s="18">
        <f>IF(F3="1",SUMIF(Data!A:A,'22'!$A$2,Data!EC:EC),0)</f>
        <v>0</v>
      </c>
      <c r="F71" s="22" t="str">
        <f t="shared" si="5"/>
        <v/>
      </c>
    </row>
    <row r="72" spans="1:6" x14ac:dyDescent="0.2">
      <c r="A72" s="20">
        <v>6</v>
      </c>
      <c r="B72" s="179" t="s">
        <v>5</v>
      </c>
      <c r="C72" s="180"/>
      <c r="D72" s="15">
        <f t="shared" si="4"/>
        <v>39465</v>
      </c>
      <c r="E72" s="18">
        <f>IF(F3="1",SUMIF(Data!A:A,'22'!$A$2,Data!ED:ED),0)</f>
        <v>146088</v>
      </c>
      <c r="F72" s="22">
        <f t="shared" si="5"/>
        <v>3.7017103762827821</v>
      </c>
    </row>
    <row r="73" spans="1:6" x14ac:dyDescent="0.2">
      <c r="A73" s="20">
        <v>7</v>
      </c>
      <c r="B73" s="179" t="s">
        <v>6</v>
      </c>
      <c r="C73" s="180"/>
      <c r="D73" s="15">
        <f t="shared" si="4"/>
        <v>119458</v>
      </c>
      <c r="E73" s="18">
        <f>IF(F3="1",SUMIF(Data!A:A,'22'!$A$2,Data!EE:EE),0)</f>
        <v>328022</v>
      </c>
      <c r="F73" s="22">
        <f t="shared" si="5"/>
        <v>2.745919067789516</v>
      </c>
    </row>
    <row r="74" spans="1:6" x14ac:dyDescent="0.2">
      <c r="A74" s="20">
        <v>8</v>
      </c>
      <c r="B74" s="179" t="s">
        <v>7</v>
      </c>
      <c r="C74" s="180"/>
      <c r="D74" s="15">
        <f t="shared" si="4"/>
        <v>125042</v>
      </c>
      <c r="E74" s="18">
        <f>IF(F3="1",SUMIF(Data!A:A,'22'!$A$2,Data!EF:EF),0)</f>
        <v>337070</v>
      </c>
      <c r="F74" s="22">
        <f t="shared" si="5"/>
        <v>2.6956542601685833</v>
      </c>
    </row>
    <row r="75" spans="1:6" x14ac:dyDescent="0.2">
      <c r="A75" s="20">
        <v>9</v>
      </c>
      <c r="B75" s="179" t="s">
        <v>8</v>
      </c>
      <c r="C75" s="180"/>
      <c r="D75" s="15">
        <f t="shared" si="4"/>
        <v>326680</v>
      </c>
      <c r="E75" s="18">
        <f>IF(F3="1",SUMIF(Data!A:A,'22'!$A$2,Data!EG:EG),0)</f>
        <v>415671</v>
      </c>
      <c r="F75" s="22">
        <f t="shared" si="5"/>
        <v>1.2724103097832742</v>
      </c>
    </row>
    <row r="76" spans="1:6" x14ac:dyDescent="0.2">
      <c r="A76" s="20">
        <v>10</v>
      </c>
      <c r="B76" s="179" t="s">
        <v>9</v>
      </c>
      <c r="C76" s="180"/>
      <c r="D76" s="15">
        <f t="shared" si="4"/>
        <v>0</v>
      </c>
      <c r="E76" s="18">
        <f>IF(F3="1",SUMIF(Data!A:A,'22'!$A$2,Data!EH:EH),0)</f>
        <v>0</v>
      </c>
      <c r="F76" s="22" t="str">
        <f t="shared" si="5"/>
        <v/>
      </c>
    </row>
    <row r="77" spans="1:6" x14ac:dyDescent="0.2">
      <c r="A77" s="20">
        <v>11</v>
      </c>
      <c r="B77" s="179" t="s">
        <v>10</v>
      </c>
      <c r="C77" s="180"/>
      <c r="D77" s="15">
        <f t="shared" si="4"/>
        <v>219959</v>
      </c>
      <c r="E77" s="18">
        <f>IF(F3="1",SUMIF(Data!A:A,'22'!$A$2,Data!EI:EI),0)</f>
        <v>312212</v>
      </c>
      <c r="F77" s="22">
        <f t="shared" si="5"/>
        <v>1.4194099809509955</v>
      </c>
    </row>
    <row r="78" spans="1:6" ht="14.25" customHeight="1" x14ac:dyDescent="0.2">
      <c r="A78" s="20">
        <v>12</v>
      </c>
      <c r="B78" s="179" t="s">
        <v>11</v>
      </c>
      <c r="C78" s="180"/>
      <c r="D78" s="15">
        <f t="shared" si="4"/>
        <v>190560</v>
      </c>
      <c r="E78" s="18">
        <f>IF(F3="1",SUMIF(Data!A:A,'22'!$A$2,Data!EJ:EJ),0)</f>
        <v>649179</v>
      </c>
      <c r="F78" s="22">
        <f t="shared" si="5"/>
        <v>3.40669080604534</v>
      </c>
    </row>
    <row r="79" spans="1:6" x14ac:dyDescent="0.2">
      <c r="A79" s="20">
        <v>13</v>
      </c>
      <c r="B79" s="179" t="s">
        <v>12</v>
      </c>
      <c r="C79" s="180"/>
      <c r="D79" s="15">
        <f t="shared" si="4"/>
        <v>42720</v>
      </c>
      <c r="E79" s="18">
        <f>IF(F3="1",SUMIF(Data!A:A,'22'!$A$2,Data!EK:EK),0)</f>
        <v>114226</v>
      </c>
      <c r="F79" s="22">
        <f t="shared" si="5"/>
        <v>2.6738295880149812</v>
      </c>
    </row>
    <row r="80" spans="1:6" ht="14.25" customHeight="1" x14ac:dyDescent="0.2">
      <c r="A80" s="20">
        <v>14</v>
      </c>
      <c r="B80" s="179" t="s">
        <v>804</v>
      </c>
      <c r="C80" s="180"/>
      <c r="D80" s="15">
        <f t="shared" si="4"/>
        <v>42568</v>
      </c>
      <c r="E80" s="18">
        <f>IF(F3="1",SUMIF(Data!A:A,'22'!$A$2,Data!EL:EL),0)</f>
        <v>256086</v>
      </c>
      <c r="F80" s="22">
        <f t="shared" si="5"/>
        <v>6.0159274572448789</v>
      </c>
    </row>
    <row r="81" spans="1:6" x14ac:dyDescent="0.2">
      <c r="A81" s="20">
        <v>15</v>
      </c>
      <c r="B81" s="179" t="s">
        <v>13</v>
      </c>
      <c r="C81" s="180"/>
      <c r="D81" s="15">
        <f t="shared" si="4"/>
        <v>22544</v>
      </c>
      <c r="E81" s="18">
        <f>IF(F3="1",SUMIF(Data!A:A,'22'!$A$2,Data!EM:EM),0)</f>
        <v>223122</v>
      </c>
      <c r="F81" s="22">
        <f t="shared" si="5"/>
        <v>9.8971788502484035</v>
      </c>
    </row>
    <row r="82" spans="1:6" x14ac:dyDescent="0.2">
      <c r="A82" s="20">
        <v>16</v>
      </c>
      <c r="B82" s="179" t="s">
        <v>14</v>
      </c>
      <c r="C82" s="180"/>
      <c r="D82" s="15">
        <f t="shared" si="4"/>
        <v>130507</v>
      </c>
      <c r="E82" s="18">
        <f>IF(F3="1",SUMIF(Data!A:A,'22'!$A$2,Data!EN:EN),0)</f>
        <v>462928</v>
      </c>
      <c r="F82" s="22">
        <f t="shared" si="5"/>
        <v>3.5471507275471814</v>
      </c>
    </row>
    <row r="83" spans="1:6" x14ac:dyDescent="0.2">
      <c r="A83" s="20">
        <v>17</v>
      </c>
      <c r="B83" s="179" t="s">
        <v>15</v>
      </c>
      <c r="C83" s="180"/>
      <c r="D83" s="15">
        <f t="shared" si="4"/>
        <v>11760</v>
      </c>
      <c r="E83" s="18">
        <f>IF(F3="1",SUMIF(Data!A:A,'22'!$A$2,Data!EO:EO),0)</f>
        <v>100665</v>
      </c>
      <c r="F83" s="22">
        <f t="shared" si="5"/>
        <v>8.5599489795918373</v>
      </c>
    </row>
    <row r="84" spans="1:6" x14ac:dyDescent="0.2">
      <c r="A84" s="20">
        <v>18</v>
      </c>
      <c r="B84" s="179" t="s">
        <v>16</v>
      </c>
      <c r="C84" s="180"/>
      <c r="D84" s="15">
        <f t="shared" si="4"/>
        <v>104352</v>
      </c>
      <c r="E84" s="18">
        <f>IF(F3="1",SUMIF(Data!A:A,'22'!$A$2,Data!EP:EP),0)</f>
        <v>441775</v>
      </c>
      <c r="F84" s="22">
        <f t="shared" si="5"/>
        <v>4.2335077430236128</v>
      </c>
    </row>
    <row r="85" spans="1:6" x14ac:dyDescent="0.2">
      <c r="A85" s="20">
        <v>19</v>
      </c>
      <c r="B85" s="179" t="s">
        <v>17</v>
      </c>
      <c r="C85" s="180"/>
      <c r="D85" s="15">
        <f t="shared" si="4"/>
        <v>73792</v>
      </c>
      <c r="E85" s="18">
        <f>IF(F3="1",SUMIF(Data!A:A,'22'!$A$2,Data!EQ:EQ),0)</f>
        <v>294005</v>
      </c>
      <c r="F85" s="22">
        <f t="shared" si="5"/>
        <v>3.9842394839549002</v>
      </c>
    </row>
    <row r="86" spans="1:6" x14ac:dyDescent="0.2">
      <c r="A86" s="20">
        <v>20</v>
      </c>
      <c r="B86" s="179" t="s">
        <v>18</v>
      </c>
      <c r="C86" s="180"/>
      <c r="D86" s="15">
        <f t="shared" si="4"/>
        <v>8096</v>
      </c>
      <c r="E86" s="18">
        <f>IF(F3="1",SUMIF(Data!A:A,'22'!$A$2,Data!ER:ER),0)</f>
        <v>27376</v>
      </c>
      <c r="F86" s="22">
        <f t="shared" si="5"/>
        <v>3.3814229249011856</v>
      </c>
    </row>
    <row r="87" spans="1:6" ht="14.25" customHeight="1" x14ac:dyDescent="0.2">
      <c r="A87" s="20">
        <v>21</v>
      </c>
      <c r="B87" s="179" t="s">
        <v>801</v>
      </c>
      <c r="C87" s="180"/>
      <c r="D87" s="15">
        <f t="shared" si="4"/>
        <v>9118</v>
      </c>
      <c r="E87" s="18">
        <f>IF(F3="1",SUMIF(Data!A:A,'22'!$A$2,Data!ES:ES),0)</f>
        <v>14992</v>
      </c>
      <c r="F87" s="22">
        <f t="shared" si="5"/>
        <v>1.6442202237332748</v>
      </c>
    </row>
    <row r="88" spans="1:6" x14ac:dyDescent="0.2">
      <c r="A88" s="20">
        <v>22</v>
      </c>
      <c r="B88" s="179" t="s">
        <v>19</v>
      </c>
      <c r="C88" s="180"/>
      <c r="D88" s="15">
        <f t="shared" si="4"/>
        <v>17053</v>
      </c>
      <c r="E88" s="18">
        <f>IF(F3="1",SUMIF(Data!A:A,'22'!$A$2,Data!ET:ET),0)</f>
        <v>37400</v>
      </c>
      <c r="F88" s="22">
        <f t="shared" si="5"/>
        <v>2.1931624934029204</v>
      </c>
    </row>
    <row r="89" spans="1:6" x14ac:dyDescent="0.2">
      <c r="A89" s="20">
        <v>23</v>
      </c>
      <c r="B89" s="179" t="s">
        <v>20</v>
      </c>
      <c r="C89" s="180"/>
      <c r="D89" s="15">
        <f t="shared" si="4"/>
        <v>20368</v>
      </c>
      <c r="E89" s="18">
        <f>IF(F3="1",SUMIF(Data!A:A,'22'!$A$2,Data!EU:EU),0)</f>
        <v>548772</v>
      </c>
      <c r="F89" s="22">
        <f t="shared" si="5"/>
        <v>26.942851531814611</v>
      </c>
    </row>
    <row r="90" spans="1:6" x14ac:dyDescent="0.2">
      <c r="A90" s="20">
        <v>24</v>
      </c>
      <c r="B90" s="179" t="s">
        <v>21</v>
      </c>
      <c r="C90" s="180"/>
      <c r="D90" s="15">
        <f t="shared" si="4"/>
        <v>125032</v>
      </c>
      <c r="E90" s="18">
        <f>IF(F3="1",SUMIF(Data!A:A,'22'!$A$2,Data!EV:EV),0)</f>
        <v>416840</v>
      </c>
      <c r="F90" s="22">
        <f t="shared" si="5"/>
        <v>3.3338665301682768</v>
      </c>
    </row>
    <row r="91" spans="1:6" x14ac:dyDescent="0.2">
      <c r="A91" s="20">
        <v>25</v>
      </c>
      <c r="B91" s="179" t="s">
        <v>22</v>
      </c>
      <c r="C91" s="180"/>
      <c r="D91" s="15">
        <f t="shared" si="4"/>
        <v>330928</v>
      </c>
      <c r="E91" s="18">
        <f>IF(F3="1",SUMIF(Data!A:A,'22'!$A$2,Data!EW:EW),0)</f>
        <v>739570</v>
      </c>
      <c r="F91" s="22">
        <f t="shared" si="5"/>
        <v>2.2348365807668134</v>
      </c>
    </row>
    <row r="92" spans="1:6" x14ac:dyDescent="0.2">
      <c r="A92" s="20">
        <v>26</v>
      </c>
      <c r="B92" s="179" t="s">
        <v>23</v>
      </c>
      <c r="C92" s="180"/>
      <c r="D92" s="15">
        <f t="shared" si="4"/>
        <v>81666</v>
      </c>
      <c r="E92" s="18">
        <f>IF(F3="1",SUMIF(Data!A:A,'22'!$A$2,Data!EX:EX),0)</f>
        <v>256553</v>
      </c>
      <c r="F92" s="22">
        <f t="shared" si="5"/>
        <v>3.1414909509465385</v>
      </c>
    </row>
    <row r="93" spans="1:6" x14ac:dyDescent="0.2">
      <c r="A93" s="20">
        <v>28</v>
      </c>
      <c r="B93" s="179" t="s">
        <v>24</v>
      </c>
      <c r="C93" s="180"/>
      <c r="D93" s="15">
        <f t="shared" si="4"/>
        <v>107664</v>
      </c>
      <c r="E93" s="18">
        <f>IF(F3="1",SUMIF(Data!A:A,'22'!$A$2,Data!EZ:EZ),0)</f>
        <v>273628</v>
      </c>
      <c r="F93" s="22">
        <f t="shared" si="5"/>
        <v>2.5414994798632784</v>
      </c>
    </row>
    <row r="94" spans="1:6" ht="15.75" customHeight="1" thickBot="1" x14ac:dyDescent="0.25">
      <c r="A94" s="23">
        <v>29</v>
      </c>
      <c r="B94" s="181" t="s">
        <v>25</v>
      </c>
      <c r="C94" s="182"/>
      <c r="D94" s="24">
        <f t="shared" si="4"/>
        <v>64800</v>
      </c>
      <c r="E94" s="25">
        <f>IF(F3="1",SUMIF(Data!A:A,'22'!$A$2,Data!FA:FA),0)</f>
        <v>259277</v>
      </c>
      <c r="F94" s="26">
        <f t="shared" si="5"/>
        <v>4.0011882716049385</v>
      </c>
    </row>
    <row r="95" spans="1:6" x14ac:dyDescent="0.2">
      <c r="B95" s="31" t="s">
        <v>35</v>
      </c>
      <c r="C95" s="31"/>
      <c r="D95" s="61">
        <f>SUM(D67:D94)</f>
        <v>2749887</v>
      </c>
      <c r="E95" s="32">
        <f>SUM(E67:E94)</f>
        <v>7910490</v>
      </c>
      <c r="F95" s="33">
        <f t="shared" si="5"/>
        <v>2.8766600227572989</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IF(F3="1",SUMIF(Data!A:A,'22'!$A$2,Data!AH:AH),0)</f>
        <v>4568436</v>
      </c>
      <c r="F98" s="21">
        <f t="shared" ref="F98:F105" si="6">IFERROR(E98/$D$95,0)</f>
        <v>1.6613177196008417</v>
      </c>
    </row>
    <row r="99" spans="2:6" x14ac:dyDescent="0.2">
      <c r="B99" s="185" t="s">
        <v>31</v>
      </c>
      <c r="C99" s="186"/>
      <c r="D99" s="37"/>
      <c r="E99" s="18">
        <f>IF(F3="1",SUMIF(Data!A:A,'22'!$A$2,Data!AI:AI),0)</f>
        <v>1907293</v>
      </c>
      <c r="F99" s="22">
        <f t="shared" si="6"/>
        <v>0.69358959113592666</v>
      </c>
    </row>
    <row r="100" spans="2:6" x14ac:dyDescent="0.2">
      <c r="B100" s="185" t="s">
        <v>32</v>
      </c>
      <c r="C100" s="186"/>
      <c r="D100" s="37"/>
      <c r="E100" s="18">
        <f>IF(F3="1",SUMIF(Data!A:A,'22'!$A$2,Data!AJ:AJ),0)</f>
        <v>1089199</v>
      </c>
      <c r="F100" s="22">
        <f t="shared" si="6"/>
        <v>0.39608863927863219</v>
      </c>
    </row>
    <row r="101" spans="2:6" x14ac:dyDescent="0.2">
      <c r="B101" s="185" t="s">
        <v>28</v>
      </c>
      <c r="C101" s="186"/>
      <c r="D101" s="37"/>
      <c r="E101" s="18">
        <f>IF(F3="1",SUMIF(Data!A:A,'22'!$A$2,Data!AK:AK),0)</f>
        <v>0</v>
      </c>
      <c r="F101" s="22">
        <f t="shared" si="6"/>
        <v>0</v>
      </c>
    </row>
    <row r="102" spans="2:6" x14ac:dyDescent="0.2">
      <c r="B102" s="185" t="s">
        <v>33</v>
      </c>
      <c r="C102" s="186"/>
      <c r="D102" s="37"/>
      <c r="E102" s="18">
        <f>IF(F3="1",SUMIF(Data!A:A,'22'!$A$2,Data!AL:AL),0)</f>
        <v>0</v>
      </c>
      <c r="F102" s="22">
        <f t="shared" si="6"/>
        <v>0</v>
      </c>
    </row>
    <row r="103" spans="2:6" x14ac:dyDescent="0.2">
      <c r="B103" s="187" t="s">
        <v>34</v>
      </c>
      <c r="C103" s="188"/>
      <c r="D103" s="37"/>
      <c r="E103" s="18">
        <f>IF(F3="1",SUMIF(Data!A:A,'22'!$A$2,Data!AM:AM),0)</f>
        <v>398899</v>
      </c>
      <c r="F103" s="22">
        <f t="shared" si="6"/>
        <v>0.14506014247130883</v>
      </c>
    </row>
    <row r="104" spans="2:6" ht="15.75" customHeight="1" thickBot="1" x14ac:dyDescent="0.25">
      <c r="B104" s="177" t="s">
        <v>29</v>
      </c>
      <c r="C104" s="178"/>
      <c r="D104" s="38"/>
      <c r="E104" s="25">
        <f>IF(F3="1",SUMIF(Data!A:A,'22'!$A$2,Data!Q:Q),0)</f>
        <v>920407</v>
      </c>
      <c r="F104" s="26">
        <f t="shared" si="6"/>
        <v>0.33470720796890929</v>
      </c>
    </row>
    <row r="105" spans="2:6" x14ac:dyDescent="0.2">
      <c r="B105" s="31" t="s">
        <v>35</v>
      </c>
      <c r="C105" s="31"/>
      <c r="D105" s="35">
        <f>D95</f>
        <v>2749887</v>
      </c>
      <c r="E105" s="32">
        <f>SUM(E98:E104)</f>
        <v>8884234</v>
      </c>
      <c r="F105" s="33">
        <f t="shared" si="6"/>
        <v>3.2307633004556187</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8541364</v>
      </c>
      <c r="D109" s="16">
        <f>IF(F3="1",SUMIF(Data!$A:$A,$A$2,Data!HJ:HJ),0)</f>
        <v>704712</v>
      </c>
      <c r="E109" s="16">
        <f>IF(F3="1",SUMIF(Data!$A:$A,$A$2,Data!IN:IN),0)</f>
        <v>955814</v>
      </c>
      <c r="F109" s="48">
        <f>SUM(C109:E109)</f>
        <v>10201890</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7335</v>
      </c>
      <c r="D111" s="52"/>
      <c r="E111" s="51">
        <f>IF(F3="1",SUMIF(Data!A:A,$A$2,Data!AX:AX),0)</f>
        <v>6233</v>
      </c>
      <c r="F111" s="49">
        <f t="shared" si="7"/>
        <v>13568</v>
      </c>
    </row>
    <row r="112" spans="2:6" x14ac:dyDescent="0.2">
      <c r="B112" s="43" t="s">
        <v>32</v>
      </c>
      <c r="C112" s="51">
        <f>IF(F3="1",SUMIF(Data!A:A,$A$2,Data!V:V),0)</f>
        <v>807875</v>
      </c>
      <c r="D112" s="52"/>
      <c r="E112" s="51">
        <f>IF(F3="1",SUMIF(Data!A:A,$A$2,Data!AC:AC),0)</f>
        <v>281324</v>
      </c>
      <c r="F112" s="49">
        <f t="shared" si="7"/>
        <v>1089199</v>
      </c>
    </row>
    <row r="113" spans="1:6" x14ac:dyDescent="0.2">
      <c r="B113" s="43" t="s">
        <v>31</v>
      </c>
      <c r="C113" s="51">
        <f>IF(F3="1",SUMIF(Data!A:A,$A$2,Data!U:U),0)</f>
        <v>1420876</v>
      </c>
      <c r="D113" s="52"/>
      <c r="E113" s="51">
        <f>IF(F3="1",SUMIF(Data!A:A,$A$2,Data!AB:AB),0)</f>
        <v>486417</v>
      </c>
      <c r="F113" s="49">
        <f t="shared" si="7"/>
        <v>1907293</v>
      </c>
    </row>
    <row r="114" spans="1:6" x14ac:dyDescent="0.2">
      <c r="B114" s="43" t="s">
        <v>1363</v>
      </c>
      <c r="C114" s="51">
        <f>IF(F3="1",SUMIF(Data!A:A,$A$2,Data!T:T),0)</f>
        <v>2709130</v>
      </c>
      <c r="D114" s="52"/>
      <c r="E114" s="51">
        <f>IF(F3="1",SUMIF(Data!A:A,$A$2,Data!AA:AA),0)</f>
        <v>1859306</v>
      </c>
      <c r="F114" s="49">
        <f t="shared" si="7"/>
        <v>4568436</v>
      </c>
    </row>
    <row r="115" spans="1:6" x14ac:dyDescent="0.2">
      <c r="B115" s="43" t="s">
        <v>1278</v>
      </c>
      <c r="C115" s="51">
        <f>IF(F3="1",SUMIF(Data!A:A,$A$2,Data!BI:BI),0)</f>
        <v>806033</v>
      </c>
      <c r="D115" s="51">
        <f>IF(F3="1",SUMIF(Data!A:A,$A$2,Data!BL:BL),0)</f>
        <v>240674</v>
      </c>
      <c r="E115" s="51">
        <f>IF(F3="1",SUMIF(Data!A:A,$A$2,Data!BU:BU),0)</f>
        <v>3368852</v>
      </c>
      <c r="F115" s="49">
        <f t="shared" si="7"/>
        <v>4415559</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920407</v>
      </c>
      <c r="E117" s="53"/>
      <c r="F117" s="50">
        <f>SUM(C117:E117)</f>
        <v>920407</v>
      </c>
    </row>
    <row r="118" spans="1:6" x14ac:dyDescent="0.2">
      <c r="B118" s="14" t="s">
        <v>35</v>
      </c>
      <c r="C118" s="5">
        <f>SUM(C109:C116)</f>
        <v>14292613</v>
      </c>
      <c r="D118" s="5">
        <f>SUM(D109:D116)</f>
        <v>945386</v>
      </c>
      <c r="E118" s="5">
        <f>SUM(E109:E116)</f>
        <v>6957946</v>
      </c>
      <c r="F118" s="5">
        <f>SUM(F109:F116)</f>
        <v>22195945</v>
      </c>
    </row>
    <row r="119" spans="1:6" ht="15" thickBot="1" x14ac:dyDescent="0.25"/>
    <row r="120" spans="1:6" ht="15" thickBot="1" x14ac:dyDescent="0.25">
      <c r="B120" s="57" t="s">
        <v>1283</v>
      </c>
      <c r="C120" s="55"/>
      <c r="D120" s="55"/>
      <c r="E120" s="55">
        <f>IF(F3="1",SUMIF(Data!A:A,'22'!$A$2,Data!AM:AM),0)</f>
        <v>398899</v>
      </c>
      <c r="F120" s="56">
        <f>SUM(C120:E120)</f>
        <v>398899</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455</v>
      </c>
      <c r="B2" s="60" t="str">
        <f>VLOOKUP(A2,Data!A:G,7,0)</f>
        <v>Kilgore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21824</v>
      </c>
      <c r="E5" s="16">
        <f>E36+E67+IFERROR($E$105/$D$105*D5,0)</f>
        <v>137600.27370767487</v>
      </c>
      <c r="F5" s="21">
        <f>IFERROR(E5/D5,"")</f>
        <v>6.3049978788340759</v>
      </c>
    </row>
    <row r="6" spans="1:6" x14ac:dyDescent="0.2">
      <c r="A6" s="20">
        <v>2</v>
      </c>
      <c r="B6" s="179" t="s">
        <v>1</v>
      </c>
      <c r="C6" s="180"/>
      <c r="D6" s="15">
        <f t="shared" ref="D6:D32" si="0">D37</f>
        <v>41252</v>
      </c>
      <c r="E6" s="18">
        <f t="shared" ref="E6:E32" si="1">E37+E68+IFERROR($E$105/$D$105*D6,0)</f>
        <v>328490.28441115306</v>
      </c>
      <c r="F6" s="22">
        <f t="shared" ref="F6:F33" si="2">IFERROR(E6/D6,"")</f>
        <v>7.9630147486462004</v>
      </c>
    </row>
    <row r="7" spans="1:6" ht="14.25" customHeight="1" x14ac:dyDescent="0.2">
      <c r="A7" s="20">
        <v>3</v>
      </c>
      <c r="B7" s="179" t="s">
        <v>2</v>
      </c>
      <c r="C7" s="180"/>
      <c r="D7" s="15">
        <f t="shared" si="0"/>
        <v>328752</v>
      </c>
      <c r="E7" s="18">
        <f t="shared" si="1"/>
        <v>2195134.236709381</v>
      </c>
      <c r="F7" s="22">
        <f t="shared" si="2"/>
        <v>6.6771737866518865</v>
      </c>
    </row>
    <row r="8" spans="1:6" ht="14.25" customHeight="1" x14ac:dyDescent="0.2">
      <c r="A8" s="20">
        <v>4</v>
      </c>
      <c r="B8" s="179" t="s">
        <v>3</v>
      </c>
      <c r="C8" s="180"/>
      <c r="D8" s="15">
        <f t="shared" si="0"/>
        <v>216763</v>
      </c>
      <c r="E8" s="18">
        <f t="shared" si="1"/>
        <v>1382705.7711096373</v>
      </c>
      <c r="F8" s="22">
        <f t="shared" si="2"/>
        <v>6.3788827941560013</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14788</v>
      </c>
      <c r="E10" s="18">
        <f t="shared" si="1"/>
        <v>141886.90705595198</v>
      </c>
      <c r="F10" s="22">
        <f t="shared" si="2"/>
        <v>9.5947326924500924</v>
      </c>
    </row>
    <row r="11" spans="1:6" x14ac:dyDescent="0.2">
      <c r="A11" s="20">
        <v>7</v>
      </c>
      <c r="B11" s="179" t="s">
        <v>6</v>
      </c>
      <c r="C11" s="180"/>
      <c r="D11" s="15">
        <f t="shared" si="0"/>
        <v>251066</v>
      </c>
      <c r="E11" s="18">
        <f t="shared" si="1"/>
        <v>1317693.8845624588</v>
      </c>
      <c r="F11" s="22">
        <f t="shared" si="2"/>
        <v>5.2483963761021357</v>
      </c>
    </row>
    <row r="12" spans="1:6" x14ac:dyDescent="0.2">
      <c r="A12" s="20">
        <v>8</v>
      </c>
      <c r="B12" s="179" t="s">
        <v>7</v>
      </c>
      <c r="C12" s="180"/>
      <c r="D12" s="15">
        <f t="shared" si="0"/>
        <v>10753</v>
      </c>
      <c r="E12" s="18">
        <f t="shared" si="1"/>
        <v>331434.45162108814</v>
      </c>
      <c r="F12" s="22">
        <f t="shared" si="2"/>
        <v>30.822510147966906</v>
      </c>
    </row>
    <row r="13" spans="1:6" x14ac:dyDescent="0.2">
      <c r="A13" s="20">
        <v>9</v>
      </c>
      <c r="B13" s="179" t="s">
        <v>8</v>
      </c>
      <c r="C13" s="180"/>
      <c r="D13" s="15">
        <f t="shared" si="0"/>
        <v>202864</v>
      </c>
      <c r="E13" s="18">
        <f t="shared" si="1"/>
        <v>1039545.748782705</v>
      </c>
      <c r="F13" s="22">
        <f t="shared" si="2"/>
        <v>5.1243480794162837</v>
      </c>
    </row>
    <row r="14" spans="1:6" x14ac:dyDescent="0.2">
      <c r="A14" s="20">
        <v>10</v>
      </c>
      <c r="B14" s="179" t="s">
        <v>9</v>
      </c>
      <c r="C14" s="180"/>
      <c r="D14" s="15">
        <f t="shared" si="0"/>
        <v>1216</v>
      </c>
      <c r="E14" s="18">
        <f t="shared" si="1"/>
        <v>19156.378886937895</v>
      </c>
      <c r="F14" s="22">
        <f t="shared" si="2"/>
        <v>15.753601058337084</v>
      </c>
    </row>
    <row r="15" spans="1:6" x14ac:dyDescent="0.2">
      <c r="A15" s="20">
        <v>11</v>
      </c>
      <c r="B15" s="179" t="s">
        <v>10</v>
      </c>
      <c r="C15" s="180"/>
      <c r="D15" s="15">
        <f t="shared" si="0"/>
        <v>184604</v>
      </c>
      <c r="E15" s="18">
        <f t="shared" si="1"/>
        <v>1138109.4572732593</v>
      </c>
      <c r="F15" s="22">
        <f t="shared" si="2"/>
        <v>6.1651397438476918</v>
      </c>
    </row>
    <row r="16" spans="1:6" ht="14.25" customHeight="1" x14ac:dyDescent="0.2">
      <c r="A16" s="20">
        <v>12</v>
      </c>
      <c r="B16" s="179" t="s">
        <v>11</v>
      </c>
      <c r="C16" s="180"/>
      <c r="D16" s="15">
        <f t="shared" si="0"/>
        <v>302800</v>
      </c>
      <c r="E16" s="18">
        <f t="shared" si="1"/>
        <v>1941442.2294118381</v>
      </c>
      <c r="F16" s="22">
        <f t="shared" si="2"/>
        <v>6.4116321975291877</v>
      </c>
    </row>
    <row r="17" spans="1:6" x14ac:dyDescent="0.2">
      <c r="A17" s="20">
        <v>13</v>
      </c>
      <c r="B17" s="179" t="s">
        <v>12</v>
      </c>
      <c r="C17" s="180"/>
      <c r="D17" s="15">
        <f t="shared" si="0"/>
        <v>21896</v>
      </c>
      <c r="E17" s="18">
        <f t="shared" si="1"/>
        <v>232518.26324703306</v>
      </c>
      <c r="F17" s="22">
        <f t="shared" si="2"/>
        <v>10.619211876462964</v>
      </c>
    </row>
    <row r="18" spans="1:6" ht="14.25" customHeight="1" x14ac:dyDescent="0.2">
      <c r="A18" s="20">
        <v>14</v>
      </c>
      <c r="B18" s="179" t="s">
        <v>804</v>
      </c>
      <c r="C18" s="180"/>
      <c r="D18" s="15">
        <f t="shared" si="0"/>
        <v>166638</v>
      </c>
      <c r="E18" s="18">
        <f t="shared" si="1"/>
        <v>1455099.2063828595</v>
      </c>
      <c r="F18" s="22">
        <f t="shared" si="2"/>
        <v>8.7320971590085072</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200630</v>
      </c>
      <c r="E20" s="18">
        <f t="shared" si="1"/>
        <v>1334103.7122420643</v>
      </c>
      <c r="F20" s="22">
        <f t="shared" si="2"/>
        <v>6.6495724081247287</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99920</v>
      </c>
      <c r="E22" s="18">
        <f t="shared" si="1"/>
        <v>634775.59406483104</v>
      </c>
      <c r="F22" s="22">
        <f t="shared" si="2"/>
        <v>6.3528382112172839</v>
      </c>
    </row>
    <row r="23" spans="1:6" x14ac:dyDescent="0.2">
      <c r="A23" s="20">
        <v>19</v>
      </c>
      <c r="B23" s="179" t="s">
        <v>17</v>
      </c>
      <c r="C23" s="180"/>
      <c r="D23" s="15">
        <f t="shared" si="0"/>
        <v>113152</v>
      </c>
      <c r="E23" s="18">
        <f t="shared" si="1"/>
        <v>646773.78274243162</v>
      </c>
      <c r="F23" s="22">
        <f t="shared" si="2"/>
        <v>5.7159730516688319</v>
      </c>
    </row>
    <row r="24" spans="1:6" x14ac:dyDescent="0.2">
      <c r="A24" s="20">
        <v>20</v>
      </c>
      <c r="B24" s="179" t="s">
        <v>18</v>
      </c>
      <c r="C24" s="180"/>
      <c r="D24" s="15">
        <f t="shared" si="0"/>
        <v>68200</v>
      </c>
      <c r="E24" s="18">
        <f t="shared" si="1"/>
        <v>499510.98033648398</v>
      </c>
      <c r="F24" s="22">
        <f t="shared" si="2"/>
        <v>7.324207922822346</v>
      </c>
    </row>
    <row r="25" spans="1:6" ht="14.25" customHeight="1" x14ac:dyDescent="0.2">
      <c r="A25" s="20">
        <v>21</v>
      </c>
      <c r="B25" s="179" t="s">
        <v>801</v>
      </c>
      <c r="C25" s="180"/>
      <c r="D25" s="15">
        <f t="shared" si="0"/>
        <v>60386</v>
      </c>
      <c r="E25" s="18">
        <f t="shared" si="1"/>
        <v>254725.25449558537</v>
      </c>
      <c r="F25" s="22">
        <f t="shared" si="2"/>
        <v>4.2182832857878543</v>
      </c>
    </row>
    <row r="26" spans="1:6" x14ac:dyDescent="0.2">
      <c r="A26" s="20">
        <v>22</v>
      </c>
      <c r="B26" s="179" t="s">
        <v>19</v>
      </c>
      <c r="C26" s="180"/>
      <c r="D26" s="15">
        <f t="shared" si="0"/>
        <v>11988</v>
      </c>
      <c r="E26" s="18">
        <f t="shared" si="1"/>
        <v>32721.758303134458</v>
      </c>
      <c r="F26" s="22">
        <f t="shared" si="2"/>
        <v>2.7295427346625343</v>
      </c>
    </row>
    <row r="27" spans="1:6" x14ac:dyDescent="0.2">
      <c r="A27" s="20">
        <v>23</v>
      </c>
      <c r="B27" s="179" t="s">
        <v>20</v>
      </c>
      <c r="C27" s="180"/>
      <c r="D27" s="15">
        <f t="shared" si="0"/>
        <v>129532</v>
      </c>
      <c r="E27" s="18">
        <f t="shared" si="1"/>
        <v>1044502.9029464142</v>
      </c>
      <c r="F27" s="22">
        <f t="shared" si="2"/>
        <v>8.0636669158695469</v>
      </c>
    </row>
    <row r="28" spans="1:6" x14ac:dyDescent="0.2">
      <c r="A28" s="20">
        <v>24</v>
      </c>
      <c r="B28" s="179" t="s">
        <v>21</v>
      </c>
      <c r="C28" s="180"/>
      <c r="D28" s="15">
        <f t="shared" si="0"/>
        <v>318038</v>
      </c>
      <c r="E28" s="18">
        <f t="shared" si="1"/>
        <v>2248377.3210887783</v>
      </c>
      <c r="F28" s="22">
        <f t="shared" si="2"/>
        <v>7.0695241483369227</v>
      </c>
    </row>
    <row r="29" spans="1:6" x14ac:dyDescent="0.2">
      <c r="A29" s="20">
        <v>25</v>
      </c>
      <c r="B29" s="179" t="s">
        <v>22</v>
      </c>
      <c r="C29" s="180"/>
      <c r="D29" s="15">
        <f t="shared" si="0"/>
        <v>495168</v>
      </c>
      <c r="E29" s="18">
        <f t="shared" si="1"/>
        <v>2540720.3920125528</v>
      </c>
      <c r="F29" s="22">
        <f t="shared" si="2"/>
        <v>5.1310270292356392</v>
      </c>
    </row>
    <row r="30" spans="1:6" x14ac:dyDescent="0.2">
      <c r="A30" s="20">
        <v>26</v>
      </c>
      <c r="B30" s="179" t="s">
        <v>23</v>
      </c>
      <c r="C30" s="180"/>
      <c r="D30" s="15">
        <f t="shared" si="0"/>
        <v>218786</v>
      </c>
      <c r="E30" s="18">
        <f t="shared" si="1"/>
        <v>1640824.2410835482</v>
      </c>
      <c r="F30" s="22">
        <f t="shared" si="2"/>
        <v>7.4996765838926995</v>
      </c>
    </row>
    <row r="31" spans="1:6" x14ac:dyDescent="0.2">
      <c r="A31" s="20">
        <v>28</v>
      </c>
      <c r="B31" s="179" t="s">
        <v>24</v>
      </c>
      <c r="C31" s="180"/>
      <c r="D31" s="15">
        <f t="shared" si="0"/>
        <v>210048</v>
      </c>
      <c r="E31" s="18">
        <f t="shared" si="1"/>
        <v>1211223.8161542197</v>
      </c>
      <c r="F31" s="22">
        <f t="shared" si="2"/>
        <v>5.7664144202954546</v>
      </c>
    </row>
    <row r="32" spans="1:6" ht="15.75" customHeight="1" thickBot="1" x14ac:dyDescent="0.25">
      <c r="A32" s="23">
        <v>29</v>
      </c>
      <c r="B32" s="181" t="s">
        <v>25</v>
      </c>
      <c r="C32" s="182"/>
      <c r="D32" s="24">
        <f t="shared" si="0"/>
        <v>163384</v>
      </c>
      <c r="E32" s="25">
        <f t="shared" si="1"/>
        <v>728181.15136797796</v>
      </c>
      <c r="F32" s="26">
        <f t="shared" si="2"/>
        <v>4.4568694080691991</v>
      </c>
    </row>
    <row r="33" spans="1:6" x14ac:dyDescent="0.2">
      <c r="B33" s="31" t="s">
        <v>35</v>
      </c>
      <c r="C33" s="31"/>
      <c r="D33" s="61">
        <f>SUM(D5:D32)</f>
        <v>3854448</v>
      </c>
      <c r="E33" s="32">
        <f>SUM(E5:E32)</f>
        <v>24477258</v>
      </c>
      <c r="F33" s="33">
        <f t="shared" si="2"/>
        <v>6.3503925853974419</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IF(F3="1",SUMIF(Data!A:A,'23'!$A$2,Data!CU:CU),0)</f>
        <v>21824</v>
      </c>
      <c r="E36" s="16">
        <f>IF(F3="1",SUMIF(Data!$A:$A,'23'!$A$2,Data!IO:IO),0)</f>
        <v>8683</v>
      </c>
      <c r="F36" s="21">
        <f t="shared" ref="F36:F64" si="3">IFERROR(E36/D36,"")</f>
        <v>0.39786473607038125</v>
      </c>
    </row>
    <row r="37" spans="1:6" x14ac:dyDescent="0.2">
      <c r="A37" s="20">
        <v>2</v>
      </c>
      <c r="B37" s="179" t="s">
        <v>1</v>
      </c>
      <c r="C37" s="180"/>
      <c r="D37" s="15">
        <f>IF(F3="1",SUMIF(Data!A:A,'23'!$A$2,Data!CV:CV),0)</f>
        <v>41252</v>
      </c>
      <c r="E37" s="18">
        <f>IF(F3="1",SUMIF(Data!$A:$A,'23'!$A$2,Data!IP:IP),0)</f>
        <v>32703</v>
      </c>
      <c r="F37" s="22">
        <f t="shared" si="3"/>
        <v>0.79276156307572965</v>
      </c>
    </row>
    <row r="38" spans="1:6" ht="14.25" customHeight="1" x14ac:dyDescent="0.2">
      <c r="A38" s="20">
        <v>3</v>
      </c>
      <c r="B38" s="179" t="s">
        <v>2</v>
      </c>
      <c r="C38" s="180"/>
      <c r="D38" s="15">
        <f>IF(F3="1",SUMIF(Data!A:A,'23'!$A$2,Data!CW:CW),0)</f>
        <v>328752</v>
      </c>
      <c r="E38" s="18">
        <f>IF(F3="1",SUMIF(Data!$A:$A,'23'!$A$2,Data!IQ:IQ),0)</f>
        <v>269633</v>
      </c>
      <c r="F38" s="22">
        <f t="shared" si="3"/>
        <v>0.82017143621939947</v>
      </c>
    </row>
    <row r="39" spans="1:6" ht="14.25" customHeight="1" x14ac:dyDescent="0.2">
      <c r="A39" s="20">
        <v>4</v>
      </c>
      <c r="B39" s="179" t="s">
        <v>3</v>
      </c>
      <c r="C39" s="180"/>
      <c r="D39" s="15">
        <f>IF(F3="1",SUMIF(Data!A:A,'23'!$A$2,Data!CX:CX),0)</f>
        <v>216763</v>
      </c>
      <c r="E39" s="18">
        <f>IF(F3="1",SUMIF(Data!$A:$A,'23'!$A$2,Data!IR:IR),0)</f>
        <v>89884</v>
      </c>
      <c r="F39" s="22">
        <f t="shared" si="3"/>
        <v>0.41466486439106304</v>
      </c>
    </row>
    <row r="40" spans="1:6" x14ac:dyDescent="0.2">
      <c r="A40" s="20">
        <v>5</v>
      </c>
      <c r="B40" s="179" t="s">
        <v>4</v>
      </c>
      <c r="C40" s="180"/>
      <c r="D40" s="15">
        <f>IF(F3="1",SUMIF(Data!A:A,'23'!$A$2,Data!CY:CY),0)</f>
        <v>0</v>
      </c>
      <c r="E40" s="18">
        <f>IF(F3="1",SUMIF(Data!$A:$A,'23'!$A$2,Data!IS:IS),0)</f>
        <v>0</v>
      </c>
      <c r="F40" s="22" t="str">
        <f t="shared" si="3"/>
        <v/>
      </c>
    </row>
    <row r="41" spans="1:6" x14ac:dyDescent="0.2">
      <c r="A41" s="20">
        <v>6</v>
      </c>
      <c r="B41" s="179" t="s">
        <v>5</v>
      </c>
      <c r="C41" s="180"/>
      <c r="D41" s="15">
        <f>IF(F3="1",SUMIF(Data!A:A,'23'!$A$2,Data!CZ:CZ),0)</f>
        <v>14788</v>
      </c>
      <c r="E41" s="18">
        <f>IF(F3="1",SUMIF(Data!$A:$A,'23'!$A$2,Data!IT:IT),0)</f>
        <v>31569</v>
      </c>
      <c r="F41" s="22">
        <f t="shared" si="3"/>
        <v>2.1347714362997023</v>
      </c>
    </row>
    <row r="42" spans="1:6" x14ac:dyDescent="0.2">
      <c r="A42" s="20">
        <v>7</v>
      </c>
      <c r="B42" s="179" t="s">
        <v>6</v>
      </c>
      <c r="C42" s="180"/>
      <c r="D42" s="15">
        <f>IF(F3="1",SUMIF(Data!A:A,'23'!$A$2,Data!DA:DA),0)</f>
        <v>251066</v>
      </c>
      <c r="E42" s="18">
        <f>IF(F3="1",SUMIF(Data!$A:$A,'23'!$A$2,Data!IU:IU),0)</f>
        <v>250338</v>
      </c>
      <c r="F42" s="22">
        <f t="shared" si="3"/>
        <v>0.99710036404770064</v>
      </c>
    </row>
    <row r="43" spans="1:6" x14ac:dyDescent="0.2">
      <c r="A43" s="20">
        <v>8</v>
      </c>
      <c r="B43" s="179" t="s">
        <v>7</v>
      </c>
      <c r="C43" s="180"/>
      <c r="D43" s="15">
        <f>IF(F3="1",SUMIF(Data!A:A,'23'!$A$2,Data!DB:DB),0)</f>
        <v>10753</v>
      </c>
      <c r="E43" s="18">
        <f>IF(F3="1",SUMIF(Data!$A:$A,'23'!$A$2,Data!IV:IV),0)</f>
        <v>91769</v>
      </c>
      <c r="F43" s="22">
        <f t="shared" si="3"/>
        <v>8.5342695061843212</v>
      </c>
    </row>
    <row r="44" spans="1:6" x14ac:dyDescent="0.2">
      <c r="A44" s="20">
        <v>9</v>
      </c>
      <c r="B44" s="179" t="s">
        <v>8</v>
      </c>
      <c r="C44" s="180"/>
      <c r="D44" s="15">
        <f>IF(F3="1",SUMIF(Data!A:A,'23'!$A$2,Data!DC:DC),0)</f>
        <v>202864</v>
      </c>
      <c r="E44" s="18">
        <f>IF(F3="1",SUMIF(Data!$A:$A,'23'!$A$2,Data!IW:IW),0)</f>
        <v>51423</v>
      </c>
      <c r="F44" s="22">
        <f t="shared" si="3"/>
        <v>0.25348509346162945</v>
      </c>
    </row>
    <row r="45" spans="1:6" x14ac:dyDescent="0.2">
      <c r="A45" s="20">
        <v>10</v>
      </c>
      <c r="B45" s="179" t="s">
        <v>9</v>
      </c>
      <c r="C45" s="180"/>
      <c r="D45" s="15">
        <f>IF(F3="1",SUMIF(Data!A:A,'23'!$A$2,Data!DD:DD),0)</f>
        <v>1216</v>
      </c>
      <c r="E45" s="18">
        <f>IF(F3="1",SUMIF(Data!$A:$A,'23'!$A$2,Data!IX:IX),0)</f>
        <v>2591</v>
      </c>
      <c r="F45" s="22">
        <f t="shared" si="3"/>
        <v>2.1307565789473686</v>
      </c>
    </row>
    <row r="46" spans="1:6" x14ac:dyDescent="0.2">
      <c r="A46" s="20">
        <v>11</v>
      </c>
      <c r="B46" s="179" t="s">
        <v>10</v>
      </c>
      <c r="C46" s="180"/>
      <c r="D46" s="15">
        <f>IF(F3="1",SUMIF(Data!A:A,'23'!$A$2,Data!DE:DE),0)</f>
        <v>184604</v>
      </c>
      <c r="E46" s="18">
        <f>IF(F3="1",SUMIF(Data!$A:$A,'23'!$A$2,Data!IY:IY),0)</f>
        <v>181264</v>
      </c>
      <c r="F46" s="22">
        <f t="shared" si="3"/>
        <v>0.9819072176117527</v>
      </c>
    </row>
    <row r="47" spans="1:6" ht="14.25" customHeight="1" x14ac:dyDescent="0.2">
      <c r="A47" s="20">
        <v>12</v>
      </c>
      <c r="B47" s="179" t="s">
        <v>11</v>
      </c>
      <c r="C47" s="180"/>
      <c r="D47" s="15">
        <f>IF(F3="1",SUMIF(Data!A:A,'23'!$A$2,Data!DF:DF),0)</f>
        <v>302800</v>
      </c>
      <c r="E47" s="18">
        <f>IF(F3="1",SUMIF(Data!$A:$A,'23'!$A$2,Data!IZ:IZ),0)</f>
        <v>73583</v>
      </c>
      <c r="F47" s="22">
        <f t="shared" si="3"/>
        <v>0.24300858652575957</v>
      </c>
    </row>
    <row r="48" spans="1:6" x14ac:dyDescent="0.2">
      <c r="A48" s="20">
        <v>13</v>
      </c>
      <c r="B48" s="179" t="s">
        <v>12</v>
      </c>
      <c r="C48" s="180"/>
      <c r="D48" s="15">
        <f>IF(F3="1",SUMIF(Data!A:A,'23'!$A$2,Data!DG:DG),0)</f>
        <v>21896</v>
      </c>
      <c r="E48" s="18">
        <f>IF(F3="1",SUMIF(Data!$A:$A,'23'!$A$2,Data!JA:JA),0)</f>
        <v>9829</v>
      </c>
      <c r="F48" s="22">
        <f t="shared" si="3"/>
        <v>0.44889477530142491</v>
      </c>
    </row>
    <row r="49" spans="1:6" ht="14.25" customHeight="1" x14ac:dyDescent="0.2">
      <c r="A49" s="20">
        <v>14</v>
      </c>
      <c r="B49" s="179" t="s">
        <v>804</v>
      </c>
      <c r="C49" s="180"/>
      <c r="D49" s="15">
        <f>IF(F3="1",SUMIF(Data!A:A,'23'!$A$2,Data!DH:DH),0)</f>
        <v>166638</v>
      </c>
      <c r="E49" s="18">
        <f>IF(F3="1",SUMIF(Data!$A:$A,'23'!$A$2,Data!JB:JB),0)</f>
        <v>157859</v>
      </c>
      <c r="F49" s="22">
        <f t="shared" si="3"/>
        <v>0.94731693851342436</v>
      </c>
    </row>
    <row r="50" spans="1:6" x14ac:dyDescent="0.2">
      <c r="A50" s="20">
        <v>15</v>
      </c>
      <c r="B50" s="179" t="s">
        <v>13</v>
      </c>
      <c r="C50" s="180"/>
      <c r="D50" s="15">
        <f>IF(F3="1",SUMIF(Data!A:A,'23'!$A$2,Data!DI:DI),0)</f>
        <v>0</v>
      </c>
      <c r="E50" s="18">
        <f>IF(F3="1",SUMIF(Data!$A:$A,'23'!$A$2,Data!JC:JC),0)</f>
        <v>0</v>
      </c>
      <c r="F50" s="22" t="str">
        <f t="shared" si="3"/>
        <v/>
      </c>
    </row>
    <row r="51" spans="1:6" x14ac:dyDescent="0.2">
      <c r="A51" s="20">
        <v>16</v>
      </c>
      <c r="B51" s="179" t="s">
        <v>14</v>
      </c>
      <c r="C51" s="180"/>
      <c r="D51" s="15">
        <f>IF(F3="1",SUMIF(Data!A:A,'23'!$A$2,Data!DJ:DJ),0)</f>
        <v>200630</v>
      </c>
      <c r="E51" s="18">
        <f>IF(F3="1",SUMIF(Data!$A:$A,'23'!$A$2,Data!JD:JD),0)</f>
        <v>141389</v>
      </c>
      <c r="F51" s="22">
        <f t="shared" si="3"/>
        <v>0.70472511588496234</v>
      </c>
    </row>
    <row r="52" spans="1:6" x14ac:dyDescent="0.2">
      <c r="A52" s="20">
        <v>17</v>
      </c>
      <c r="B52" s="179" t="s">
        <v>15</v>
      </c>
      <c r="C52" s="180"/>
      <c r="D52" s="15">
        <f>IF(F3="1",SUMIF(Data!A:A,'23'!$A$2,Data!DK:DK),0)</f>
        <v>0</v>
      </c>
      <c r="E52" s="18">
        <f>IF(F3="1",SUMIF(Data!$A:$A,'23'!$A$2,Data!JE:JE),0)</f>
        <v>0</v>
      </c>
      <c r="F52" s="22" t="str">
        <f t="shared" si="3"/>
        <v/>
      </c>
    </row>
    <row r="53" spans="1:6" x14ac:dyDescent="0.2">
      <c r="A53" s="20">
        <v>18</v>
      </c>
      <c r="B53" s="179" t="s">
        <v>16</v>
      </c>
      <c r="C53" s="180"/>
      <c r="D53" s="15">
        <f>IF(F3="1",SUMIF(Data!A:A,'23'!$A$2,Data!DL:DL),0)</f>
        <v>99920</v>
      </c>
      <c r="E53" s="18">
        <f>IF(F3="1",SUMIF(Data!$A:$A,'23'!$A$2,Data!JF:JF),0)</f>
        <v>36944</v>
      </c>
      <c r="F53" s="22">
        <f t="shared" si="3"/>
        <v>0.36973578863090473</v>
      </c>
    </row>
    <row r="54" spans="1:6" x14ac:dyDescent="0.2">
      <c r="A54" s="20">
        <v>19</v>
      </c>
      <c r="B54" s="179" t="s">
        <v>17</v>
      </c>
      <c r="C54" s="180"/>
      <c r="D54" s="15">
        <f>IF(F3="1",SUMIF(Data!A:A,'23'!$A$2,Data!DM:DM),0)</f>
        <v>113152</v>
      </c>
      <c r="E54" s="18">
        <f>IF(F3="1",SUMIF(Data!$A:$A,'23'!$A$2,Data!JG:JG),0)</f>
        <v>21123</v>
      </c>
      <c r="F54" s="22">
        <f t="shared" si="3"/>
        <v>0.18667809671945701</v>
      </c>
    </row>
    <row r="55" spans="1:6" x14ac:dyDescent="0.2">
      <c r="A55" s="20">
        <v>20</v>
      </c>
      <c r="B55" s="179" t="s">
        <v>18</v>
      </c>
      <c r="C55" s="180"/>
      <c r="D55" s="15">
        <f>IF(F3="1",SUMIF(Data!A:A,'23'!$A$2,Data!DN:DN),0)</f>
        <v>68200</v>
      </c>
      <c r="E55" s="18">
        <f>IF(F3="1",SUMIF(Data!$A:$A,'23'!$A$2,Data!JH:JH),0)</f>
        <v>71903</v>
      </c>
      <c r="F55" s="22">
        <f t="shared" si="3"/>
        <v>1.0542961876832844</v>
      </c>
    </row>
    <row r="56" spans="1:6" ht="14.25" customHeight="1" x14ac:dyDescent="0.2">
      <c r="A56" s="20">
        <v>21</v>
      </c>
      <c r="B56" s="179" t="s">
        <v>801</v>
      </c>
      <c r="C56" s="180"/>
      <c r="D56" s="15">
        <f>IF(F3="1",SUMIF(Data!A:A,'23'!$A$2,Data!DO:DO),0)</f>
        <v>60386</v>
      </c>
      <c r="E56" s="18">
        <f>IF(F3="1",SUMIF(Data!$A:$A,'23'!$A$2,Data!JI:JI),0)</f>
        <v>22242</v>
      </c>
      <c r="F56" s="22">
        <f t="shared" si="3"/>
        <v>0.36833040771039643</v>
      </c>
    </row>
    <row r="57" spans="1:6" x14ac:dyDescent="0.2">
      <c r="A57" s="20">
        <v>22</v>
      </c>
      <c r="B57" s="179" t="s">
        <v>19</v>
      </c>
      <c r="C57" s="180"/>
      <c r="D57" s="15">
        <f>IF(F3="1",SUMIF(Data!A:A,'23'!$A$2,Data!DP:DP),0)</f>
        <v>11988</v>
      </c>
      <c r="E57" s="18">
        <f>IF(F3="1",SUMIF(Data!$A:$A,'23'!$A$2,Data!JJ:JJ),0)</f>
        <v>366</v>
      </c>
      <c r="F57" s="22">
        <f t="shared" si="3"/>
        <v>3.0530530530530529E-2</v>
      </c>
    </row>
    <row r="58" spans="1:6" x14ac:dyDescent="0.2">
      <c r="A58" s="20">
        <v>23</v>
      </c>
      <c r="B58" s="179" t="s">
        <v>20</v>
      </c>
      <c r="C58" s="180"/>
      <c r="D58" s="15">
        <f>IF(F3="1",SUMIF(Data!A:A,'23'!$A$2,Data!DQ:DQ),0)</f>
        <v>129532</v>
      </c>
      <c r="E58" s="18">
        <f>IF(F3="1",SUMIF(Data!$A:$A,'23'!$A$2,Data!JK:JK),0)</f>
        <v>92199</v>
      </c>
      <c r="F58" s="22">
        <f t="shared" si="3"/>
        <v>0.71178550474014146</v>
      </c>
    </row>
    <row r="59" spans="1:6" x14ac:dyDescent="0.2">
      <c r="A59" s="20">
        <v>24</v>
      </c>
      <c r="B59" s="179" t="s">
        <v>21</v>
      </c>
      <c r="C59" s="180"/>
      <c r="D59" s="15">
        <f>IF(F3="1",SUMIF(Data!A:A,'23'!$A$2,Data!DR:DR),0)</f>
        <v>318038</v>
      </c>
      <c r="E59" s="18">
        <f>IF(F3="1",SUMIF(Data!$A:$A,'23'!$A$2,Data!JL:JL),0)</f>
        <v>548661</v>
      </c>
      <c r="F59" s="22">
        <f t="shared" si="3"/>
        <v>1.7251429074513109</v>
      </c>
    </row>
    <row r="60" spans="1:6" x14ac:dyDescent="0.2">
      <c r="A60" s="20">
        <v>25</v>
      </c>
      <c r="B60" s="179" t="s">
        <v>22</v>
      </c>
      <c r="C60" s="180"/>
      <c r="D60" s="15">
        <f>IF(F3="1",SUMIF(Data!A:A,'23'!$A$2,Data!DS:DS),0)</f>
        <v>495168</v>
      </c>
      <c r="E60" s="18">
        <f>IF(F3="1",SUMIF(Data!$A:$A,'23'!$A$2,Data!JM:JM),0)</f>
        <v>69271</v>
      </c>
      <c r="F60" s="22">
        <f t="shared" si="3"/>
        <v>0.13989393498772135</v>
      </c>
    </row>
    <row r="61" spans="1:6" x14ac:dyDescent="0.2">
      <c r="A61" s="20">
        <v>26</v>
      </c>
      <c r="B61" s="179" t="s">
        <v>23</v>
      </c>
      <c r="C61" s="180"/>
      <c r="D61" s="15">
        <f>IF(F3="1",SUMIF(Data!A:A,'23'!$A$2,Data!DT:DT),0)</f>
        <v>218786</v>
      </c>
      <c r="E61" s="18">
        <f>IF(F3="1",SUMIF(Data!$A:$A,'23'!$A$2,Data!JN:JN),0)</f>
        <v>179354</v>
      </c>
      <c r="F61" s="22">
        <f t="shared" si="3"/>
        <v>0.81976908942985383</v>
      </c>
    </row>
    <row r="62" spans="1:6" x14ac:dyDescent="0.2">
      <c r="A62" s="20">
        <v>28</v>
      </c>
      <c r="B62" s="179" t="s">
        <v>24</v>
      </c>
      <c r="C62" s="180"/>
      <c r="D62" s="15">
        <f>IF(F3="1",SUMIF(Data!A:A,'23'!$A$2,Data!DV:DV),0)</f>
        <v>210048</v>
      </c>
      <c r="E62" s="18">
        <f>IF(F3="1",SUMIF(Data!$A:$A,'23'!$A$2,Data!JP:JP),0)</f>
        <v>45630</v>
      </c>
      <c r="F62" s="22">
        <f t="shared" si="3"/>
        <v>0.21723606032906764</v>
      </c>
    </row>
    <row r="63" spans="1:6" ht="15.75" customHeight="1" thickBot="1" x14ac:dyDescent="0.25">
      <c r="A63" s="23">
        <v>29</v>
      </c>
      <c r="B63" s="181" t="s">
        <v>25</v>
      </c>
      <c r="C63" s="182"/>
      <c r="D63" s="24">
        <f>IF(F3="1",SUMIF(Data!A:A,'23'!$A$2,Data!DW:DW),0)</f>
        <v>163384</v>
      </c>
      <c r="E63" s="25">
        <f>IF(F3="1",SUMIF(Data!$A:$A,'23'!$A$2,Data!JQ:JQ),0)</f>
        <v>24813</v>
      </c>
      <c r="F63" s="26">
        <f t="shared" si="3"/>
        <v>0.15186921607990991</v>
      </c>
    </row>
    <row r="64" spans="1:6" x14ac:dyDescent="0.2">
      <c r="B64" s="31" t="s">
        <v>35</v>
      </c>
      <c r="C64" s="31"/>
      <c r="D64" s="61">
        <f>SUM(D36:D63)</f>
        <v>3854448</v>
      </c>
      <c r="E64" s="32">
        <f>SUM(E36:E63)</f>
        <v>2505023</v>
      </c>
      <c r="F64" s="33">
        <f t="shared" si="3"/>
        <v>0.64990447399990869</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21824</v>
      </c>
      <c r="E67" s="16">
        <f>IF(F3="1",SUMIF(Data!A:A,'23'!$A$2,Data!DY:DY),0)</f>
        <v>70420</v>
      </c>
      <c r="F67" s="21">
        <f>IFERROR(E67/D67,"")</f>
        <v>3.2267228739002931</v>
      </c>
    </row>
    <row r="68" spans="1:6" x14ac:dyDescent="0.2">
      <c r="A68" s="20">
        <v>2</v>
      </c>
      <c r="B68" s="179" t="s">
        <v>1</v>
      </c>
      <c r="C68" s="180"/>
      <c r="D68" s="15">
        <f t="shared" ref="D68:D94" si="4">D37</f>
        <v>41252</v>
      </c>
      <c r="E68" s="18">
        <f>IF(F3="1",SUMIF(Data!A:A,'23'!$A$2,Data!DZ:DZ),0)</f>
        <v>185215</v>
      </c>
      <c r="F68" s="22">
        <f t="shared" ref="F68:F95" si="5">IFERROR(E68/D68,"")</f>
        <v>4.4898429167070688</v>
      </c>
    </row>
    <row r="69" spans="1:6" ht="14.25" customHeight="1" x14ac:dyDescent="0.2">
      <c r="A69" s="20">
        <v>3</v>
      </c>
      <c r="B69" s="179" t="s">
        <v>2</v>
      </c>
      <c r="C69" s="180"/>
      <c r="D69" s="15">
        <f t="shared" si="4"/>
        <v>328752</v>
      </c>
      <c r="E69" s="18">
        <f>IF(F3="1",SUMIF(Data!A:A,'23'!$A$2,Data!EA:EA),0)</f>
        <v>1044311</v>
      </c>
      <c r="F69" s="22">
        <f t="shared" si="5"/>
        <v>3.1765920815690856</v>
      </c>
    </row>
    <row r="70" spans="1:6" ht="14.25" customHeight="1" x14ac:dyDescent="0.2">
      <c r="A70" s="20">
        <v>4</v>
      </c>
      <c r="B70" s="179" t="s">
        <v>3</v>
      </c>
      <c r="C70" s="180"/>
      <c r="D70" s="15">
        <f t="shared" si="4"/>
        <v>216763</v>
      </c>
      <c r="E70" s="18">
        <f>IF(F3="1",SUMIF(Data!A:A,'23'!$A$2,Data!EB:EB),0)</f>
        <v>711808</v>
      </c>
      <c r="F70" s="22">
        <f t="shared" si="5"/>
        <v>3.2838076609015374</v>
      </c>
    </row>
    <row r="71" spans="1:6" x14ac:dyDescent="0.2">
      <c r="A71" s="20">
        <v>5</v>
      </c>
      <c r="B71" s="179" t="s">
        <v>4</v>
      </c>
      <c r="C71" s="180"/>
      <c r="D71" s="15">
        <f t="shared" si="4"/>
        <v>0</v>
      </c>
      <c r="E71" s="18">
        <f>IF(F3="1",SUMIF(Data!A:A,'23'!$A$2,Data!EC:EC),0)</f>
        <v>0</v>
      </c>
      <c r="F71" s="22" t="str">
        <f t="shared" si="5"/>
        <v/>
      </c>
    </row>
    <row r="72" spans="1:6" x14ac:dyDescent="0.2">
      <c r="A72" s="20">
        <v>6</v>
      </c>
      <c r="B72" s="179" t="s">
        <v>5</v>
      </c>
      <c r="C72" s="180"/>
      <c r="D72" s="15">
        <f t="shared" si="4"/>
        <v>14788</v>
      </c>
      <c r="E72" s="18">
        <f>IF(F3="1",SUMIF(Data!A:A,'23'!$A$2,Data!ED:ED),0)</f>
        <v>70680</v>
      </c>
      <c r="F72" s="22">
        <f t="shared" si="5"/>
        <v>4.7795509872869895</v>
      </c>
    </row>
    <row r="73" spans="1:6" x14ac:dyDescent="0.2">
      <c r="A73" s="20">
        <v>7</v>
      </c>
      <c r="B73" s="179" t="s">
        <v>6</v>
      </c>
      <c r="C73" s="180"/>
      <c r="D73" s="15">
        <f t="shared" si="4"/>
        <v>251066</v>
      </c>
      <c r="E73" s="18">
        <f>IF(F3="1",SUMIF(Data!A:A,'23'!$A$2,Data!EE:EE),0)</f>
        <v>394396</v>
      </c>
      <c r="F73" s="22">
        <f t="shared" si="5"/>
        <v>1.5708857431910335</v>
      </c>
    </row>
    <row r="74" spans="1:6" x14ac:dyDescent="0.2">
      <c r="A74" s="20">
        <v>8</v>
      </c>
      <c r="B74" s="179" t="s">
        <v>7</v>
      </c>
      <c r="C74" s="180"/>
      <c r="D74" s="15">
        <f t="shared" si="4"/>
        <v>10753</v>
      </c>
      <c r="E74" s="18">
        <f>IF(F3="1",SUMIF(Data!A:A,'23'!$A$2,Data!EF:EF),0)</f>
        <v>210843</v>
      </c>
      <c r="F74" s="22">
        <f t="shared" si="5"/>
        <v>19.607830372919185</v>
      </c>
    </row>
    <row r="75" spans="1:6" x14ac:dyDescent="0.2">
      <c r="A75" s="20">
        <v>9</v>
      </c>
      <c r="B75" s="179" t="s">
        <v>8</v>
      </c>
      <c r="C75" s="180"/>
      <c r="D75" s="15">
        <f t="shared" si="4"/>
        <v>202864</v>
      </c>
      <c r="E75" s="18">
        <f>IF(F3="1",SUMIF(Data!A:A,'23'!$A$2,Data!EG:EG),0)</f>
        <v>444364</v>
      </c>
      <c r="F75" s="22">
        <f t="shared" si="5"/>
        <v>2.1904527170912531</v>
      </c>
    </row>
    <row r="76" spans="1:6" x14ac:dyDescent="0.2">
      <c r="A76" s="20">
        <v>10</v>
      </c>
      <c r="B76" s="179" t="s">
        <v>9</v>
      </c>
      <c r="C76" s="180"/>
      <c r="D76" s="15">
        <f t="shared" si="4"/>
        <v>1216</v>
      </c>
      <c r="E76" s="18">
        <f>IF(F3="1",SUMIF(Data!A:A,'23'!$A$2,Data!EH:EH),0)</f>
        <v>13306</v>
      </c>
      <c r="F76" s="22">
        <f t="shared" si="5"/>
        <v>10.942434210526315</v>
      </c>
    </row>
    <row r="77" spans="1:6" x14ac:dyDescent="0.2">
      <c r="A77" s="20">
        <v>11</v>
      </c>
      <c r="B77" s="179" t="s">
        <v>10</v>
      </c>
      <c r="C77" s="180"/>
      <c r="D77" s="15">
        <f t="shared" si="4"/>
        <v>184604</v>
      </c>
      <c r="E77" s="18">
        <f>IF(F3="1",SUMIF(Data!A:A,'23'!$A$2,Data!EI:EI),0)</f>
        <v>462031</v>
      </c>
      <c r="F77" s="22">
        <f t="shared" si="5"/>
        <v>2.5028222573725381</v>
      </c>
    </row>
    <row r="78" spans="1:6" ht="14.25" customHeight="1" x14ac:dyDescent="0.2">
      <c r="A78" s="20">
        <v>12</v>
      </c>
      <c r="B78" s="179" t="s">
        <v>11</v>
      </c>
      <c r="C78" s="180"/>
      <c r="D78" s="15">
        <f t="shared" si="4"/>
        <v>302800</v>
      </c>
      <c r="E78" s="18">
        <f>IF(F3="1",SUMIF(Data!A:A,'23'!$A$2,Data!EJ:EJ),0)</f>
        <v>1056231</v>
      </c>
      <c r="F78" s="22">
        <f t="shared" si="5"/>
        <v>3.4882133421400265</v>
      </c>
    </row>
    <row r="79" spans="1:6" x14ac:dyDescent="0.2">
      <c r="A79" s="20">
        <v>13</v>
      </c>
      <c r="B79" s="179" t="s">
        <v>12</v>
      </c>
      <c r="C79" s="180"/>
      <c r="D79" s="15">
        <f t="shared" si="4"/>
        <v>21896</v>
      </c>
      <c r="E79" s="18">
        <f>IF(F3="1",SUMIF(Data!A:A,'23'!$A$2,Data!EK:EK),0)</f>
        <v>163999</v>
      </c>
      <c r="F79" s="22">
        <f t="shared" si="5"/>
        <v>7.4899068322981366</v>
      </c>
    </row>
    <row r="80" spans="1:6" ht="14.25" customHeight="1" x14ac:dyDescent="0.2">
      <c r="A80" s="20">
        <v>14</v>
      </c>
      <c r="B80" s="179" t="s">
        <v>804</v>
      </c>
      <c r="C80" s="180"/>
      <c r="D80" s="15">
        <f t="shared" si="4"/>
        <v>166638</v>
      </c>
      <c r="E80" s="18">
        <f>IF(F3="1",SUMIF(Data!A:A,'23'!$A$2,Data!EL:EL),0)</f>
        <v>850582</v>
      </c>
      <c r="F80" s="22">
        <f t="shared" si="5"/>
        <v>5.1043699516316803</v>
      </c>
    </row>
    <row r="81" spans="1:6" x14ac:dyDescent="0.2">
      <c r="A81" s="20">
        <v>15</v>
      </c>
      <c r="B81" s="179" t="s">
        <v>13</v>
      </c>
      <c r="C81" s="180"/>
      <c r="D81" s="15">
        <f t="shared" si="4"/>
        <v>0</v>
      </c>
      <c r="E81" s="18">
        <f>IF(F3="1",SUMIF(Data!A:A,'23'!$A$2,Data!EM:EM),0)</f>
        <v>0</v>
      </c>
      <c r="F81" s="22" t="str">
        <f t="shared" si="5"/>
        <v/>
      </c>
    </row>
    <row r="82" spans="1:6" x14ac:dyDescent="0.2">
      <c r="A82" s="20">
        <v>16</v>
      </c>
      <c r="B82" s="179" t="s">
        <v>14</v>
      </c>
      <c r="C82" s="180"/>
      <c r="D82" s="15">
        <f t="shared" si="4"/>
        <v>200630</v>
      </c>
      <c r="E82" s="18">
        <f>IF(F3="1",SUMIF(Data!A:A,'23'!$A$2,Data!EN:EN),0)</f>
        <v>654944</v>
      </c>
      <c r="F82" s="22">
        <f t="shared" si="5"/>
        <v>3.2644370233763644</v>
      </c>
    </row>
    <row r="83" spans="1:6" x14ac:dyDescent="0.2">
      <c r="A83" s="20">
        <v>17</v>
      </c>
      <c r="B83" s="179" t="s">
        <v>15</v>
      </c>
      <c r="C83" s="180"/>
      <c r="D83" s="15">
        <f t="shared" si="4"/>
        <v>0</v>
      </c>
      <c r="E83" s="18">
        <f>IF(F3="1",SUMIF(Data!A:A,'23'!$A$2,Data!EO:EO),0)</f>
        <v>0</v>
      </c>
      <c r="F83" s="22" t="str">
        <f t="shared" si="5"/>
        <v/>
      </c>
    </row>
    <row r="84" spans="1:6" x14ac:dyDescent="0.2">
      <c r="A84" s="20">
        <v>18</v>
      </c>
      <c r="B84" s="179" t="s">
        <v>16</v>
      </c>
      <c r="C84" s="180"/>
      <c r="D84" s="15">
        <f t="shared" si="4"/>
        <v>99920</v>
      </c>
      <c r="E84" s="18">
        <f>IF(F3="1",SUMIF(Data!A:A,'23'!$A$2,Data!EP:EP),0)</f>
        <v>330005</v>
      </c>
      <c r="F84" s="22">
        <f t="shared" si="5"/>
        <v>3.3026921537229783</v>
      </c>
    </row>
    <row r="85" spans="1:6" x14ac:dyDescent="0.2">
      <c r="A85" s="20">
        <v>19</v>
      </c>
      <c r="B85" s="179" t="s">
        <v>17</v>
      </c>
      <c r="C85" s="180"/>
      <c r="D85" s="15">
        <f t="shared" si="4"/>
        <v>113152</v>
      </c>
      <c r="E85" s="18">
        <f>IF(F3="1",SUMIF(Data!A:A,'23'!$A$2,Data!EQ:EQ),0)</f>
        <v>322357</v>
      </c>
      <c r="F85" s="22">
        <f t="shared" si="5"/>
        <v>2.8488846860859729</v>
      </c>
    </row>
    <row r="86" spans="1:6" x14ac:dyDescent="0.2">
      <c r="A86" s="20">
        <v>20</v>
      </c>
      <c r="B86" s="179" t="s">
        <v>18</v>
      </c>
      <c r="C86" s="180"/>
      <c r="D86" s="15">
        <f t="shared" si="4"/>
        <v>68200</v>
      </c>
      <c r="E86" s="18">
        <f>IF(F3="1",SUMIF(Data!A:A,'23'!$A$2,Data!ER:ER),0)</f>
        <v>244804</v>
      </c>
      <c r="F86" s="22">
        <f t="shared" si="5"/>
        <v>3.5895014662756597</v>
      </c>
    </row>
    <row r="87" spans="1:6" ht="14.25" customHeight="1" x14ac:dyDescent="0.2">
      <c r="A87" s="20">
        <v>21</v>
      </c>
      <c r="B87" s="179" t="s">
        <v>801</v>
      </c>
      <c r="C87" s="180"/>
      <c r="D87" s="15">
        <f t="shared" si="4"/>
        <v>60386</v>
      </c>
      <c r="E87" s="18">
        <f>IF(F3="1",SUMIF(Data!A:A,'23'!$A$2,Data!ES:ES),0)</f>
        <v>70624</v>
      </c>
      <c r="F87" s="22">
        <f t="shared" si="5"/>
        <v>1.1695426092140562</v>
      </c>
    </row>
    <row r="88" spans="1:6" x14ac:dyDescent="0.2">
      <c r="A88" s="20">
        <v>22</v>
      </c>
      <c r="B88" s="179" t="s">
        <v>19</v>
      </c>
      <c r="C88" s="180"/>
      <c r="D88" s="15">
        <f t="shared" si="4"/>
        <v>11988</v>
      </c>
      <c r="E88" s="18">
        <f>IF(F3="1",SUMIF(Data!A:A,'23'!$A$2,Data!ET:ET),0)</f>
        <v>223</v>
      </c>
      <c r="F88" s="22">
        <f t="shared" si="5"/>
        <v>1.8601935268601936E-2</v>
      </c>
    </row>
    <row r="89" spans="1:6" x14ac:dyDescent="0.2">
      <c r="A89" s="20">
        <v>23</v>
      </c>
      <c r="B89" s="179" t="s">
        <v>20</v>
      </c>
      <c r="C89" s="180"/>
      <c r="D89" s="15">
        <f t="shared" si="4"/>
        <v>129532</v>
      </c>
      <c r="E89" s="18">
        <f>IF(F3="1",SUMIF(Data!A:A,'23'!$A$2,Data!EU:EU),0)</f>
        <v>605105</v>
      </c>
      <c r="F89" s="22">
        <f t="shared" si="5"/>
        <v>4.6714711422660038</v>
      </c>
    </row>
    <row r="90" spans="1:6" x14ac:dyDescent="0.2">
      <c r="A90" s="20">
        <v>24</v>
      </c>
      <c r="B90" s="179" t="s">
        <v>21</v>
      </c>
      <c r="C90" s="180"/>
      <c r="D90" s="15">
        <f t="shared" si="4"/>
        <v>318038</v>
      </c>
      <c r="E90" s="18">
        <f>IF(F3="1",SUMIF(Data!A:A,'23'!$A$2,Data!EV:EV),0)</f>
        <v>847244</v>
      </c>
      <c r="F90" s="22">
        <f t="shared" si="5"/>
        <v>2.6639709720222111</v>
      </c>
    </row>
    <row r="91" spans="1:6" x14ac:dyDescent="0.2">
      <c r="A91" s="20">
        <v>25</v>
      </c>
      <c r="B91" s="179" t="s">
        <v>22</v>
      </c>
      <c r="C91" s="180"/>
      <c r="D91" s="15">
        <f t="shared" si="4"/>
        <v>495168</v>
      </c>
      <c r="E91" s="18">
        <f>IF(F3="1",SUMIF(Data!A:A,'23'!$A$2,Data!EW:EW),0)</f>
        <v>1144196</v>
      </c>
      <c r="F91" s="22">
        <f t="shared" si="5"/>
        <v>2.310722825384516</v>
      </c>
    </row>
    <row r="92" spans="1:6" x14ac:dyDescent="0.2">
      <c r="A92" s="20">
        <v>26</v>
      </c>
      <c r="B92" s="179" t="s">
        <v>23</v>
      </c>
      <c r="C92" s="180"/>
      <c r="D92" s="15">
        <f t="shared" si="4"/>
        <v>218786</v>
      </c>
      <c r="E92" s="18">
        <f>IF(F3="1",SUMIF(Data!A:A,'23'!$A$2,Data!EX:EX),0)</f>
        <v>875034</v>
      </c>
      <c r="F92" s="22">
        <f t="shared" si="5"/>
        <v>3.9994972255994443</v>
      </c>
    </row>
    <row r="93" spans="1:6" x14ac:dyDescent="0.2">
      <c r="A93" s="20">
        <v>28</v>
      </c>
      <c r="B93" s="179" t="s">
        <v>24</v>
      </c>
      <c r="C93" s="180"/>
      <c r="D93" s="15">
        <f t="shared" si="4"/>
        <v>210048</v>
      </c>
      <c r="E93" s="18">
        <f>IF(F3="1",SUMIF(Data!A:A,'23'!$A$2,Data!EZ:EZ),0)</f>
        <v>602579</v>
      </c>
      <c r="F93" s="22">
        <f t="shared" si="5"/>
        <v>2.8687680911029858</v>
      </c>
    </row>
    <row r="94" spans="1:6" ht="15.75" customHeight="1" thickBot="1" x14ac:dyDescent="0.25">
      <c r="A94" s="23">
        <v>29</v>
      </c>
      <c r="B94" s="181" t="s">
        <v>25</v>
      </c>
      <c r="C94" s="182"/>
      <c r="D94" s="24">
        <f t="shared" si="4"/>
        <v>163384</v>
      </c>
      <c r="E94" s="25">
        <f>IF(F3="1",SUMIF(Data!A:A,'23'!$A$2,Data!FA:FA),0)</f>
        <v>265432</v>
      </c>
      <c r="F94" s="26">
        <f t="shared" si="5"/>
        <v>1.6245899231258876</v>
      </c>
    </row>
    <row r="95" spans="1:6" x14ac:dyDescent="0.2">
      <c r="B95" s="31" t="s">
        <v>35</v>
      </c>
      <c r="C95" s="31"/>
      <c r="D95" s="61">
        <f>SUM(D67:D94)</f>
        <v>3854448</v>
      </c>
      <c r="E95" s="32">
        <f>SUM(E67:E94)</f>
        <v>11640733</v>
      </c>
      <c r="F95" s="33">
        <f t="shared" si="5"/>
        <v>3.0200778425341319</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IF(F3="1",SUMIF(Data!A:A,'23'!$A$2,Data!AH:AH),0)</f>
        <v>3725675</v>
      </c>
      <c r="F98" s="21">
        <f t="shared" ref="F98:F105" si="6">IFERROR(E98/$D$95,0)</f>
        <v>0.96659106569864217</v>
      </c>
    </row>
    <row r="99" spans="2:6" x14ac:dyDescent="0.2">
      <c r="B99" s="185" t="s">
        <v>31</v>
      </c>
      <c r="C99" s="186"/>
      <c r="D99" s="37"/>
      <c r="E99" s="18">
        <f>IF(F3="1",SUMIF(Data!A:A,'23'!$A$2,Data!AI:AI),0)</f>
        <v>1471805</v>
      </c>
      <c r="F99" s="22">
        <f t="shared" si="6"/>
        <v>0.381845857046197</v>
      </c>
    </row>
    <row r="100" spans="2:6" x14ac:dyDescent="0.2">
      <c r="B100" s="185" t="s">
        <v>32</v>
      </c>
      <c r="C100" s="186"/>
      <c r="D100" s="37"/>
      <c r="E100" s="18">
        <f>IF(F3="1",SUMIF(Data!A:A,'23'!$A$2,Data!AJ:AJ),0)</f>
        <v>2727934</v>
      </c>
      <c r="F100" s="22">
        <f t="shared" si="6"/>
        <v>0.70773662013341465</v>
      </c>
    </row>
    <row r="101" spans="2:6" x14ac:dyDescent="0.2">
      <c r="B101" s="185" t="s">
        <v>28</v>
      </c>
      <c r="C101" s="186"/>
      <c r="D101" s="37"/>
      <c r="E101" s="18">
        <f>IF(F3="1",SUMIF(Data!A:A,'23'!$A$2,Data!AK:AK),0)</f>
        <v>0</v>
      </c>
      <c r="F101" s="22">
        <f t="shared" si="6"/>
        <v>0</v>
      </c>
    </row>
    <row r="102" spans="2:6" x14ac:dyDescent="0.2">
      <c r="B102" s="185" t="s">
        <v>33</v>
      </c>
      <c r="C102" s="186"/>
      <c r="D102" s="37"/>
      <c r="E102" s="18">
        <f>IF(F3="1",SUMIF(Data!A:A,'23'!$A$2,Data!AL:AL),0)</f>
        <v>184553</v>
      </c>
      <c r="F102" s="22">
        <f t="shared" si="6"/>
        <v>4.7880526601993337E-2</v>
      </c>
    </row>
    <row r="103" spans="2:6" x14ac:dyDescent="0.2">
      <c r="B103" s="187" t="s">
        <v>34</v>
      </c>
      <c r="C103" s="188"/>
      <c r="D103" s="37"/>
      <c r="E103" s="18">
        <f>IF(F3="1",SUMIF(Data!A:A,'23'!$A$2,Data!AM:AM),0)</f>
        <v>1074698</v>
      </c>
      <c r="F103" s="22">
        <f t="shared" si="6"/>
        <v>0.27882020979398348</v>
      </c>
    </row>
    <row r="104" spans="2:6" ht="15.75" customHeight="1" thickBot="1" x14ac:dyDescent="0.25">
      <c r="B104" s="177" t="s">
        <v>29</v>
      </c>
      <c r="C104" s="178"/>
      <c r="D104" s="38"/>
      <c r="E104" s="25">
        <f>IF(F3="1",SUMIF(Data!A:A,'23'!$A$2,Data!Q:Q),0)</f>
        <v>1146837</v>
      </c>
      <c r="F104" s="26">
        <f t="shared" si="6"/>
        <v>0.29753598958917077</v>
      </c>
    </row>
    <row r="105" spans="2:6" x14ac:dyDescent="0.2">
      <c r="B105" s="31" t="s">
        <v>35</v>
      </c>
      <c r="C105" s="31"/>
      <c r="D105" s="35">
        <f>D95</f>
        <v>3854448</v>
      </c>
      <c r="E105" s="32">
        <f>SUM(E98:E104)</f>
        <v>10331502</v>
      </c>
      <c r="F105" s="33">
        <f t="shared" si="6"/>
        <v>2.6804102688634015</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12285712</v>
      </c>
      <c r="D109" s="16">
        <f>IF(F3="1",SUMIF(Data!$A:$A,$A$2,Data!HJ:HJ),0)</f>
        <v>383769</v>
      </c>
      <c r="E109" s="16">
        <f>IF(F3="1",SUMIF(Data!$A:$A,$A$2,Data!IN:IN),0)</f>
        <v>1476274</v>
      </c>
      <c r="F109" s="48">
        <f>SUM(C109:E109)</f>
        <v>14145755</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85706</v>
      </c>
      <c r="D111" s="52"/>
      <c r="E111" s="51">
        <f>IF(F3="1",SUMIF(Data!A:A,$A$2,Data!AX:AX),0)</f>
        <v>176816</v>
      </c>
      <c r="F111" s="49">
        <f t="shared" si="7"/>
        <v>262522</v>
      </c>
    </row>
    <row r="112" spans="2:6" x14ac:dyDescent="0.2">
      <c r="B112" s="43" t="s">
        <v>32</v>
      </c>
      <c r="C112" s="51">
        <f>IF(F3="1",SUMIF(Data!A:A,$A$2,Data!V:V),0)</f>
        <v>2395658</v>
      </c>
      <c r="D112" s="52"/>
      <c r="E112" s="51">
        <f>IF(F3="1",SUMIF(Data!A:A,$A$2,Data!AC:AC),0)</f>
        <v>332276</v>
      </c>
      <c r="F112" s="49">
        <f t="shared" si="7"/>
        <v>2727934</v>
      </c>
    </row>
    <row r="113" spans="1:6" x14ac:dyDescent="0.2">
      <c r="B113" s="43" t="s">
        <v>31</v>
      </c>
      <c r="C113" s="51">
        <f>IF(F3="1",SUMIF(Data!A:A,$A$2,Data!U:U),0)</f>
        <v>1117197</v>
      </c>
      <c r="D113" s="52"/>
      <c r="E113" s="51">
        <f>IF(F3="1",SUMIF(Data!A:A,$A$2,Data!AB:AB),0)</f>
        <v>354608</v>
      </c>
      <c r="F113" s="49">
        <f t="shared" si="7"/>
        <v>1471805</v>
      </c>
    </row>
    <row r="114" spans="1:6" x14ac:dyDescent="0.2">
      <c r="B114" s="43" t="s">
        <v>1363</v>
      </c>
      <c r="C114" s="51">
        <f>IF(F3="1",SUMIF(Data!A:A,$A$2,Data!T:T),0)</f>
        <v>2300198</v>
      </c>
      <c r="D114" s="52"/>
      <c r="E114" s="51">
        <f>IF(F3="1",SUMIF(Data!A:A,$A$2,Data!AA:AA),0)</f>
        <v>1425477</v>
      </c>
      <c r="F114" s="49">
        <f t="shared" si="7"/>
        <v>3725675</v>
      </c>
    </row>
    <row r="115" spans="1:6" x14ac:dyDescent="0.2">
      <c r="B115" s="43" t="s">
        <v>1278</v>
      </c>
      <c r="C115" s="51">
        <f>IF(F3="1",SUMIF(Data!A:A,$A$2,Data!BI:BI),0)</f>
        <v>809951</v>
      </c>
      <c r="D115" s="51">
        <f>IF(F3="1",SUMIF(Data!A:A,$A$2,Data!BL:BL),0)</f>
        <v>218301</v>
      </c>
      <c r="E115" s="51">
        <f>IF(F3="1",SUMIF(Data!A:A,$A$2,Data!BU:BU),0)</f>
        <v>2347965</v>
      </c>
      <c r="F115" s="49">
        <f t="shared" si="7"/>
        <v>3376217</v>
      </c>
    </row>
    <row r="116" spans="1:6" x14ac:dyDescent="0.2">
      <c r="B116" s="43" t="s">
        <v>33</v>
      </c>
      <c r="C116" s="51">
        <f>IF(F3="1",SUMIF(Data!A:A,$A$2,Data!X:X),0)</f>
        <v>0</v>
      </c>
      <c r="D116" s="51"/>
      <c r="E116" s="51">
        <f>E102</f>
        <v>184553</v>
      </c>
      <c r="F116" s="49">
        <f t="shared" si="7"/>
        <v>184553</v>
      </c>
    </row>
    <row r="117" spans="1:6" ht="15" thickBot="1" x14ac:dyDescent="0.25">
      <c r="B117" s="44" t="s">
        <v>1282</v>
      </c>
      <c r="C117" s="53"/>
      <c r="D117" s="53">
        <f>IF(F3="1",SUMIF(Data!A:A,$A$2,Data!Q:Q),0)</f>
        <v>1146837</v>
      </c>
      <c r="E117" s="53"/>
      <c r="F117" s="50">
        <f>SUM(C117:E117)</f>
        <v>1146837</v>
      </c>
    </row>
    <row r="118" spans="1:6" x14ac:dyDescent="0.2">
      <c r="B118" s="14" t="s">
        <v>35</v>
      </c>
      <c r="C118" s="5">
        <f>SUM(C109:C116)</f>
        <v>18994422</v>
      </c>
      <c r="D118" s="5">
        <f>SUM(D109:D116)</f>
        <v>602070</v>
      </c>
      <c r="E118" s="5">
        <f>SUM(E109:E116)</f>
        <v>6297969</v>
      </c>
      <c r="F118" s="5">
        <f>SUM(F109:F116)</f>
        <v>25894461</v>
      </c>
    </row>
    <row r="119" spans="1:6" ht="15" thickBot="1" x14ac:dyDescent="0.25"/>
    <row r="120" spans="1:6" ht="15" thickBot="1" x14ac:dyDescent="0.25">
      <c r="B120" s="57" t="s">
        <v>1283</v>
      </c>
      <c r="C120" s="55"/>
      <c r="D120" s="55"/>
      <c r="E120" s="55">
        <f>IF(F3="1",SUMIF(Data!A:A,'23'!$A$2,Data!AM:AM),0)</f>
        <v>1074698</v>
      </c>
      <c r="F120" s="56">
        <f>SUM(C120:E120)</f>
        <v>1074698</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463</v>
      </c>
      <c r="B2" s="60" t="str">
        <f>VLOOKUP(A2,Data!A:G,7,0)</f>
        <v>Laredo Community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0</v>
      </c>
      <c r="E5" s="16">
        <f>E36+E67+IFERROR($E$105/$D$105*D5,0)</f>
        <v>0</v>
      </c>
      <c r="F5" s="21" t="str">
        <f>IFERROR(E5/D5,"")</f>
        <v/>
      </c>
    </row>
    <row r="6" spans="1:6" x14ac:dyDescent="0.2">
      <c r="A6" s="20">
        <v>2</v>
      </c>
      <c r="B6" s="179" t="s">
        <v>1</v>
      </c>
      <c r="C6" s="180"/>
      <c r="D6" s="15">
        <f t="shared" ref="D6:D32" si="0">D37</f>
        <v>22512</v>
      </c>
      <c r="E6" s="18">
        <f t="shared" ref="E6:E32" si="1">E37+E68+IFERROR($E$105/$D$105*D6,0)</f>
        <v>113294.1801911022</v>
      </c>
      <c r="F6" s="22">
        <f t="shared" ref="F6:F33" si="2">IFERROR(E6/D6,"")</f>
        <v>5.0326128372024792</v>
      </c>
    </row>
    <row r="7" spans="1:6" ht="14.25" customHeight="1" x14ac:dyDescent="0.2">
      <c r="A7" s="20">
        <v>3</v>
      </c>
      <c r="B7" s="179" t="s">
        <v>2</v>
      </c>
      <c r="C7" s="180"/>
      <c r="D7" s="15">
        <f t="shared" si="0"/>
        <v>328088</v>
      </c>
      <c r="E7" s="18">
        <f t="shared" si="1"/>
        <v>3063758.8805320868</v>
      </c>
      <c r="F7" s="22">
        <f t="shared" si="2"/>
        <v>9.3382229174248579</v>
      </c>
    </row>
    <row r="8" spans="1:6" ht="14.25" customHeight="1" x14ac:dyDescent="0.2">
      <c r="A8" s="20">
        <v>4</v>
      </c>
      <c r="B8" s="179" t="s">
        <v>3</v>
      </c>
      <c r="C8" s="180"/>
      <c r="D8" s="15">
        <f t="shared" si="0"/>
        <v>146773</v>
      </c>
      <c r="E8" s="18">
        <f t="shared" si="1"/>
        <v>1716402.6839547195</v>
      </c>
      <c r="F8" s="22">
        <f t="shared" si="2"/>
        <v>11.69426722867775</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10364</v>
      </c>
      <c r="E10" s="18">
        <f t="shared" si="1"/>
        <v>73259.999444766494</v>
      </c>
      <c r="F10" s="22">
        <f t="shared" si="2"/>
        <v>7.0686992903093877</v>
      </c>
    </row>
    <row r="11" spans="1:6" x14ac:dyDescent="0.2">
      <c r="A11" s="20">
        <v>7</v>
      </c>
      <c r="B11" s="179" t="s">
        <v>6</v>
      </c>
      <c r="C11" s="180"/>
      <c r="D11" s="15">
        <f t="shared" si="0"/>
        <v>227708</v>
      </c>
      <c r="E11" s="18">
        <f t="shared" si="1"/>
        <v>2874950.2039337019</v>
      </c>
      <c r="F11" s="22">
        <f t="shared" si="2"/>
        <v>12.625600347522713</v>
      </c>
    </row>
    <row r="12" spans="1:6" x14ac:dyDescent="0.2">
      <c r="A12" s="20">
        <v>8</v>
      </c>
      <c r="B12" s="179" t="s">
        <v>7</v>
      </c>
      <c r="C12" s="180"/>
      <c r="D12" s="15">
        <f t="shared" si="0"/>
        <v>26564</v>
      </c>
      <c r="E12" s="18">
        <f t="shared" si="1"/>
        <v>814995.32740744669</v>
      </c>
      <c r="F12" s="22">
        <f t="shared" si="2"/>
        <v>30.68044448906214</v>
      </c>
    </row>
    <row r="13" spans="1:6" x14ac:dyDescent="0.2">
      <c r="A13" s="20">
        <v>9</v>
      </c>
      <c r="B13" s="179" t="s">
        <v>8</v>
      </c>
      <c r="C13" s="180"/>
      <c r="D13" s="15">
        <f t="shared" si="0"/>
        <v>78056</v>
      </c>
      <c r="E13" s="18">
        <f t="shared" si="1"/>
        <v>392825.62762067671</v>
      </c>
      <c r="F13" s="22">
        <f t="shared" si="2"/>
        <v>5.0326128372024792</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101531</v>
      </c>
      <c r="E15" s="18">
        <f t="shared" si="1"/>
        <v>510966.2139740049</v>
      </c>
      <c r="F15" s="22">
        <f t="shared" si="2"/>
        <v>5.0326128372024792</v>
      </c>
    </row>
    <row r="16" spans="1:6" ht="14.25" customHeight="1" x14ac:dyDescent="0.2">
      <c r="A16" s="20">
        <v>12</v>
      </c>
      <c r="B16" s="179" t="s">
        <v>11</v>
      </c>
      <c r="C16" s="180"/>
      <c r="D16" s="15">
        <f t="shared" si="0"/>
        <v>420528</v>
      </c>
      <c r="E16" s="18">
        <f t="shared" si="1"/>
        <v>5823447.6112030838</v>
      </c>
      <c r="F16" s="22">
        <f t="shared" si="2"/>
        <v>13.847942613103251</v>
      </c>
    </row>
    <row r="17" spans="1:6" x14ac:dyDescent="0.2">
      <c r="A17" s="20">
        <v>13</v>
      </c>
      <c r="B17" s="179" t="s">
        <v>12</v>
      </c>
      <c r="C17" s="180"/>
      <c r="D17" s="15">
        <f t="shared" si="0"/>
        <v>18912</v>
      </c>
      <c r="E17" s="18">
        <f t="shared" si="1"/>
        <v>649879.77397717326</v>
      </c>
      <c r="F17" s="22">
        <f t="shared" si="2"/>
        <v>34.363355222989277</v>
      </c>
    </row>
    <row r="18" spans="1:6" ht="14.25" customHeight="1" x14ac:dyDescent="0.2">
      <c r="A18" s="20">
        <v>14</v>
      </c>
      <c r="B18" s="179" t="s">
        <v>804</v>
      </c>
      <c r="C18" s="180"/>
      <c r="D18" s="15">
        <f t="shared" si="0"/>
        <v>86092</v>
      </c>
      <c r="E18" s="18">
        <f t="shared" si="1"/>
        <v>1247159.7043804359</v>
      </c>
      <c r="F18" s="22">
        <f t="shared" si="2"/>
        <v>14.486359991409607</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223256</v>
      </c>
      <c r="E20" s="18">
        <f t="shared" si="1"/>
        <v>2277990.011582477</v>
      </c>
      <c r="F20" s="22">
        <f t="shared" si="2"/>
        <v>10.203488423972825</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58624</v>
      </c>
      <c r="E22" s="18">
        <f t="shared" si="1"/>
        <v>1125053.8949681581</v>
      </c>
      <c r="F22" s="22">
        <f t="shared" si="2"/>
        <v>19.191012127595492</v>
      </c>
    </row>
    <row r="23" spans="1:6" x14ac:dyDescent="0.2">
      <c r="A23" s="20">
        <v>19</v>
      </c>
      <c r="B23" s="179" t="s">
        <v>17</v>
      </c>
      <c r="C23" s="180"/>
      <c r="D23" s="15">
        <f t="shared" si="0"/>
        <v>241216</v>
      </c>
      <c r="E23" s="18">
        <f t="shared" si="1"/>
        <v>2166045.7381386333</v>
      </c>
      <c r="F23" s="22">
        <f t="shared" si="2"/>
        <v>8.9796934620366535</v>
      </c>
    </row>
    <row r="24" spans="1:6" x14ac:dyDescent="0.2">
      <c r="A24" s="20">
        <v>20</v>
      </c>
      <c r="B24" s="179" t="s">
        <v>18</v>
      </c>
      <c r="C24" s="180"/>
      <c r="D24" s="15">
        <f t="shared" si="0"/>
        <v>78512</v>
      </c>
      <c r="E24" s="18">
        <f t="shared" si="1"/>
        <v>1202246.4990744409</v>
      </c>
      <c r="F24" s="22">
        <f t="shared" si="2"/>
        <v>15.312901200764735</v>
      </c>
    </row>
    <row r="25" spans="1:6" ht="14.25" customHeight="1" x14ac:dyDescent="0.2">
      <c r="A25" s="20">
        <v>21</v>
      </c>
      <c r="B25" s="179" t="s">
        <v>801</v>
      </c>
      <c r="C25" s="180"/>
      <c r="D25" s="15">
        <f t="shared" si="0"/>
        <v>52216</v>
      </c>
      <c r="E25" s="18">
        <f t="shared" si="1"/>
        <v>262782.91190736467</v>
      </c>
      <c r="F25" s="22">
        <f t="shared" si="2"/>
        <v>5.0326128372024792</v>
      </c>
    </row>
    <row r="26" spans="1:6" x14ac:dyDescent="0.2">
      <c r="A26" s="20">
        <v>22</v>
      </c>
      <c r="B26" s="179" t="s">
        <v>19</v>
      </c>
      <c r="C26" s="180"/>
      <c r="D26" s="15">
        <f t="shared" si="0"/>
        <v>27568</v>
      </c>
      <c r="E26" s="18">
        <f t="shared" si="1"/>
        <v>431722.07069599791</v>
      </c>
      <c r="F26" s="22">
        <f t="shared" si="2"/>
        <v>15.660260834880946</v>
      </c>
    </row>
    <row r="27" spans="1:6" x14ac:dyDescent="0.2">
      <c r="A27" s="20">
        <v>23</v>
      </c>
      <c r="B27" s="179" t="s">
        <v>20</v>
      </c>
      <c r="C27" s="180"/>
      <c r="D27" s="15">
        <f t="shared" si="0"/>
        <v>94368</v>
      </c>
      <c r="E27" s="18">
        <f t="shared" si="1"/>
        <v>1064557.6082211235</v>
      </c>
      <c r="F27" s="22">
        <f t="shared" si="2"/>
        <v>11.28091734720587</v>
      </c>
    </row>
    <row r="28" spans="1:6" x14ac:dyDescent="0.2">
      <c r="A28" s="20">
        <v>24</v>
      </c>
      <c r="B28" s="179" t="s">
        <v>21</v>
      </c>
      <c r="C28" s="180"/>
      <c r="D28" s="15">
        <f t="shared" si="0"/>
        <v>173052</v>
      </c>
      <c r="E28" s="18">
        <f t="shared" si="1"/>
        <v>1642133.7167035635</v>
      </c>
      <c r="F28" s="22">
        <f t="shared" si="2"/>
        <v>9.489250148530866</v>
      </c>
    </row>
    <row r="29" spans="1:6" x14ac:dyDescent="0.2">
      <c r="A29" s="20">
        <v>25</v>
      </c>
      <c r="B29" s="179" t="s">
        <v>22</v>
      </c>
      <c r="C29" s="180"/>
      <c r="D29" s="15">
        <f t="shared" si="0"/>
        <v>687408</v>
      </c>
      <c r="E29" s="18">
        <f t="shared" si="1"/>
        <v>5191138.3251956813</v>
      </c>
      <c r="F29" s="22">
        <f t="shared" si="2"/>
        <v>7.5517572172504268</v>
      </c>
    </row>
    <row r="30" spans="1:6" x14ac:dyDescent="0.2">
      <c r="A30" s="20">
        <v>26</v>
      </c>
      <c r="B30" s="179" t="s">
        <v>23</v>
      </c>
      <c r="C30" s="180"/>
      <c r="D30" s="15">
        <f t="shared" si="0"/>
        <v>273872</v>
      </c>
      <c r="E30" s="18">
        <f t="shared" si="1"/>
        <v>3104335.7429503174</v>
      </c>
      <c r="F30" s="22">
        <f t="shared" si="2"/>
        <v>11.334987669240803</v>
      </c>
    </row>
    <row r="31" spans="1:6" x14ac:dyDescent="0.2">
      <c r="A31" s="20">
        <v>28</v>
      </c>
      <c r="B31" s="179" t="s">
        <v>24</v>
      </c>
      <c r="C31" s="180"/>
      <c r="D31" s="15">
        <f t="shared" si="0"/>
        <v>191136</v>
      </c>
      <c r="E31" s="18">
        <f t="shared" si="1"/>
        <v>1709992.4872515332</v>
      </c>
      <c r="F31" s="22">
        <f t="shared" si="2"/>
        <v>8.9464699860389096</v>
      </c>
    </row>
    <row r="32" spans="1:6" ht="15.75" customHeight="1" thickBot="1" x14ac:dyDescent="0.25">
      <c r="A32" s="23">
        <v>29</v>
      </c>
      <c r="B32" s="181" t="s">
        <v>25</v>
      </c>
      <c r="C32" s="182"/>
      <c r="D32" s="24">
        <f t="shared" si="0"/>
        <v>357920</v>
      </c>
      <c r="E32" s="25">
        <f t="shared" si="1"/>
        <v>2483554.786691511</v>
      </c>
      <c r="F32" s="26">
        <f t="shared" si="2"/>
        <v>6.9388544554411906</v>
      </c>
    </row>
    <row r="33" spans="1:6" x14ac:dyDescent="0.2">
      <c r="B33" s="31" t="s">
        <v>35</v>
      </c>
      <c r="C33" s="31"/>
      <c r="D33" s="61">
        <f>SUM(D5:D32)</f>
        <v>3926276</v>
      </c>
      <c r="E33" s="32">
        <f>SUM(E5:E32)</f>
        <v>39942494</v>
      </c>
      <c r="F33" s="33">
        <f t="shared" si="2"/>
        <v>10.173124354986761</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IF(F3="1",SUMIF(Data!A:A,'24'!$A$2,Data!CU:CU),0)</f>
        <v>0</v>
      </c>
      <c r="E36" s="16">
        <f>IF(F3="1",SUMIF(Data!$A:$A,'24'!$A$2,Data!IO:IO),0)</f>
        <v>0</v>
      </c>
      <c r="F36" s="21" t="str">
        <f t="shared" ref="F36:F64" si="3">IFERROR(E36/D36,"")</f>
        <v/>
      </c>
    </row>
    <row r="37" spans="1:6" x14ac:dyDescent="0.2">
      <c r="A37" s="20">
        <v>2</v>
      </c>
      <c r="B37" s="179" t="s">
        <v>1</v>
      </c>
      <c r="C37" s="180"/>
      <c r="D37" s="15">
        <f>IF(F3="1",SUMIF(Data!A:A,'24'!$A$2,Data!CV:CV),0)</f>
        <v>22512</v>
      </c>
      <c r="E37" s="18">
        <f>IF(F3="1",SUMIF(Data!$A:$A,'24'!$A$2,Data!IP:IP),0)</f>
        <v>0</v>
      </c>
      <c r="F37" s="22">
        <f t="shared" si="3"/>
        <v>0</v>
      </c>
    </row>
    <row r="38" spans="1:6" ht="14.25" customHeight="1" x14ac:dyDescent="0.2">
      <c r="A38" s="20">
        <v>3</v>
      </c>
      <c r="B38" s="179" t="s">
        <v>2</v>
      </c>
      <c r="C38" s="180"/>
      <c r="D38" s="15">
        <f>IF(F3="1",SUMIF(Data!A:A,'24'!$A$2,Data!CW:CW),0)</f>
        <v>328088</v>
      </c>
      <c r="E38" s="18">
        <f>IF(F3="1",SUMIF(Data!$A:$A,'24'!$A$2,Data!IQ:IQ),0)</f>
        <v>355908</v>
      </c>
      <c r="F38" s="22">
        <f t="shared" si="3"/>
        <v>1.0847943234741899</v>
      </c>
    </row>
    <row r="39" spans="1:6" ht="14.25" customHeight="1" x14ac:dyDescent="0.2">
      <c r="A39" s="20">
        <v>4</v>
      </c>
      <c r="B39" s="179" t="s">
        <v>3</v>
      </c>
      <c r="C39" s="180"/>
      <c r="D39" s="15">
        <f>IF(F3="1",SUMIF(Data!A:A,'24'!$A$2,Data!CX:CX),0)</f>
        <v>146773</v>
      </c>
      <c r="E39" s="18">
        <f>IF(F3="1",SUMIF(Data!$A:$A,'24'!$A$2,Data!IR:IR),0)</f>
        <v>170658</v>
      </c>
      <c r="F39" s="22">
        <f t="shared" si="3"/>
        <v>1.1627342903667568</v>
      </c>
    </row>
    <row r="40" spans="1:6" x14ac:dyDescent="0.2">
      <c r="A40" s="20">
        <v>5</v>
      </c>
      <c r="B40" s="179" t="s">
        <v>4</v>
      </c>
      <c r="C40" s="180"/>
      <c r="D40" s="15">
        <f>IF(F3="1",SUMIF(Data!A:A,'24'!$A$2,Data!CY:CY),0)</f>
        <v>0</v>
      </c>
      <c r="E40" s="18">
        <f>IF(F3="1",SUMIF(Data!$A:$A,'24'!$A$2,Data!IS:IS),0)</f>
        <v>0</v>
      </c>
      <c r="F40" s="22" t="str">
        <f t="shared" si="3"/>
        <v/>
      </c>
    </row>
    <row r="41" spans="1:6" x14ac:dyDescent="0.2">
      <c r="A41" s="20">
        <v>6</v>
      </c>
      <c r="B41" s="179" t="s">
        <v>5</v>
      </c>
      <c r="C41" s="180"/>
      <c r="D41" s="15">
        <f>IF(F3="1",SUMIF(Data!A:A,'24'!$A$2,Data!CZ:CZ),0)</f>
        <v>10364</v>
      </c>
      <c r="E41" s="18">
        <f>IF(F3="1",SUMIF(Data!$A:$A,'24'!$A$2,Data!IT:IT),0)</f>
        <v>4057</v>
      </c>
      <c r="F41" s="22">
        <f t="shared" si="3"/>
        <v>0.39145117715167888</v>
      </c>
    </row>
    <row r="42" spans="1:6" x14ac:dyDescent="0.2">
      <c r="A42" s="20">
        <v>7</v>
      </c>
      <c r="B42" s="179" t="s">
        <v>6</v>
      </c>
      <c r="C42" s="180"/>
      <c r="D42" s="15">
        <f>IF(F3="1",SUMIF(Data!A:A,'24'!$A$2,Data!DA:DA),0)</f>
        <v>227708</v>
      </c>
      <c r="E42" s="18">
        <f>IF(F3="1",SUMIF(Data!$A:$A,'24'!$A$2,Data!IU:IU),0)</f>
        <v>527771</v>
      </c>
      <c r="F42" s="22">
        <f t="shared" si="3"/>
        <v>2.3177534386143659</v>
      </c>
    </row>
    <row r="43" spans="1:6" x14ac:dyDescent="0.2">
      <c r="A43" s="20">
        <v>8</v>
      </c>
      <c r="B43" s="179" t="s">
        <v>7</v>
      </c>
      <c r="C43" s="180"/>
      <c r="D43" s="15">
        <f>IF(F3="1",SUMIF(Data!A:A,'24'!$A$2,Data!DB:DB),0)</f>
        <v>26564</v>
      </c>
      <c r="E43" s="18">
        <f>IF(F3="1",SUMIF(Data!$A:$A,'24'!$A$2,Data!IV:IV),0)</f>
        <v>235511</v>
      </c>
      <c r="F43" s="22">
        <f t="shared" si="3"/>
        <v>8.8657958138834516</v>
      </c>
    </row>
    <row r="44" spans="1:6" x14ac:dyDescent="0.2">
      <c r="A44" s="20">
        <v>9</v>
      </c>
      <c r="B44" s="179" t="s">
        <v>8</v>
      </c>
      <c r="C44" s="180"/>
      <c r="D44" s="15">
        <f>IF(F3="1",SUMIF(Data!A:A,'24'!$A$2,Data!DC:DC),0)</f>
        <v>78056</v>
      </c>
      <c r="E44" s="18">
        <f>IF(F3="1",SUMIF(Data!$A:$A,'24'!$A$2,Data!IW:IW),0)</f>
        <v>0</v>
      </c>
      <c r="F44" s="22">
        <f t="shared" si="3"/>
        <v>0</v>
      </c>
    </row>
    <row r="45" spans="1:6" x14ac:dyDescent="0.2">
      <c r="A45" s="20">
        <v>10</v>
      </c>
      <c r="B45" s="179" t="s">
        <v>9</v>
      </c>
      <c r="C45" s="180"/>
      <c r="D45" s="15">
        <f>IF(F3="1",SUMIF(Data!A:A,'24'!$A$2,Data!DD:DD),0)</f>
        <v>0</v>
      </c>
      <c r="E45" s="18">
        <f>IF(F3="1",SUMIF(Data!$A:$A,'24'!$A$2,Data!IX:IX),0)</f>
        <v>0</v>
      </c>
      <c r="F45" s="22" t="str">
        <f t="shared" si="3"/>
        <v/>
      </c>
    </row>
    <row r="46" spans="1:6" x14ac:dyDescent="0.2">
      <c r="A46" s="20">
        <v>11</v>
      </c>
      <c r="B46" s="179" t="s">
        <v>10</v>
      </c>
      <c r="C46" s="180"/>
      <c r="D46" s="15">
        <f>IF(F3="1",SUMIF(Data!A:A,'24'!$A$2,Data!DE:DE),0)</f>
        <v>101531</v>
      </c>
      <c r="E46" s="18">
        <f>IF(F3="1",SUMIF(Data!$A:$A,'24'!$A$2,Data!IY:IY),0)</f>
        <v>0</v>
      </c>
      <c r="F46" s="22">
        <f t="shared" si="3"/>
        <v>0</v>
      </c>
    </row>
    <row r="47" spans="1:6" ht="14.25" customHeight="1" x14ac:dyDescent="0.2">
      <c r="A47" s="20">
        <v>12</v>
      </c>
      <c r="B47" s="179" t="s">
        <v>11</v>
      </c>
      <c r="C47" s="180"/>
      <c r="D47" s="15">
        <f>IF(F3="1",SUMIF(Data!A:A,'24'!$A$2,Data!DF:DF),0)</f>
        <v>420528</v>
      </c>
      <c r="E47" s="18">
        <f>IF(F3="1",SUMIF(Data!$A:$A,'24'!$A$2,Data!IZ:IZ),0)</f>
        <v>1407877</v>
      </c>
      <c r="F47" s="22">
        <f t="shared" si="3"/>
        <v>3.3478793326484801</v>
      </c>
    </row>
    <row r="48" spans="1:6" x14ac:dyDescent="0.2">
      <c r="A48" s="20">
        <v>13</v>
      </c>
      <c r="B48" s="179" t="s">
        <v>12</v>
      </c>
      <c r="C48" s="180"/>
      <c r="D48" s="15">
        <f>IF(F3="1",SUMIF(Data!A:A,'24'!$A$2,Data!DG:DG),0)</f>
        <v>18912</v>
      </c>
      <c r="E48" s="18">
        <f>IF(F3="1",SUMIF(Data!$A:$A,'24'!$A$2,Data!JA:JA),0)</f>
        <v>108637</v>
      </c>
      <c r="F48" s="22">
        <f t="shared" si="3"/>
        <v>5.7443422165820639</v>
      </c>
    </row>
    <row r="49" spans="1:6" ht="14.25" customHeight="1" x14ac:dyDescent="0.2">
      <c r="A49" s="20">
        <v>14</v>
      </c>
      <c r="B49" s="179" t="s">
        <v>804</v>
      </c>
      <c r="C49" s="180"/>
      <c r="D49" s="15">
        <f>IF(F3="1",SUMIF(Data!A:A,'24'!$A$2,Data!DH:DH),0)</f>
        <v>86092</v>
      </c>
      <c r="E49" s="18">
        <f>IF(F3="1",SUMIF(Data!$A:$A,'24'!$A$2,Data!JB:JB),0)</f>
        <v>231092</v>
      </c>
      <c r="F49" s="22">
        <f t="shared" si="3"/>
        <v>2.684244761418018</v>
      </c>
    </row>
    <row r="50" spans="1:6" x14ac:dyDescent="0.2">
      <c r="A50" s="20">
        <v>15</v>
      </c>
      <c r="B50" s="179" t="s">
        <v>13</v>
      </c>
      <c r="C50" s="180"/>
      <c r="D50" s="15">
        <f>IF(F3="1",SUMIF(Data!A:A,'24'!$A$2,Data!DI:DI),0)</f>
        <v>0</v>
      </c>
      <c r="E50" s="18">
        <f>IF(F3="1",SUMIF(Data!$A:$A,'24'!$A$2,Data!JC:JC),0)</f>
        <v>0</v>
      </c>
      <c r="F50" s="22" t="str">
        <f t="shared" si="3"/>
        <v/>
      </c>
    </row>
    <row r="51" spans="1:6" x14ac:dyDescent="0.2">
      <c r="A51" s="20">
        <v>16</v>
      </c>
      <c r="B51" s="179" t="s">
        <v>14</v>
      </c>
      <c r="C51" s="180"/>
      <c r="D51" s="15">
        <f>IF(F3="1",SUMIF(Data!A:A,'24'!$A$2,Data!DJ:DJ),0)</f>
        <v>223256</v>
      </c>
      <c r="E51" s="18">
        <f>IF(F3="1",SUMIF(Data!$A:$A,'24'!$A$2,Data!JD:JD),0)</f>
        <v>368693</v>
      </c>
      <c r="F51" s="22">
        <f t="shared" si="3"/>
        <v>1.6514360196366502</v>
      </c>
    </row>
    <row r="52" spans="1:6" x14ac:dyDescent="0.2">
      <c r="A52" s="20">
        <v>17</v>
      </c>
      <c r="B52" s="179" t="s">
        <v>15</v>
      </c>
      <c r="C52" s="180"/>
      <c r="D52" s="15">
        <f>IF(F3="1",SUMIF(Data!A:A,'24'!$A$2,Data!DK:DK),0)</f>
        <v>0</v>
      </c>
      <c r="E52" s="18">
        <f>IF(F3="1",SUMIF(Data!$A:$A,'24'!$A$2,Data!JE:JE),0)</f>
        <v>0</v>
      </c>
      <c r="F52" s="22" t="str">
        <f t="shared" si="3"/>
        <v/>
      </c>
    </row>
    <row r="53" spans="1:6" x14ac:dyDescent="0.2">
      <c r="A53" s="20">
        <v>18</v>
      </c>
      <c r="B53" s="179" t="s">
        <v>16</v>
      </c>
      <c r="C53" s="180"/>
      <c r="D53" s="15">
        <f>IF(F3="1",SUMIF(Data!A:A,'24'!$A$2,Data!DL:DL),0)</f>
        <v>58624</v>
      </c>
      <c r="E53" s="18">
        <f>IF(F3="1",SUMIF(Data!$A:$A,'24'!$A$2,Data!JF:JF),0)</f>
        <v>173031</v>
      </c>
      <c r="F53" s="22">
        <f t="shared" si="3"/>
        <v>2.9515386189956332</v>
      </c>
    </row>
    <row r="54" spans="1:6" x14ac:dyDescent="0.2">
      <c r="A54" s="20">
        <v>19</v>
      </c>
      <c r="B54" s="179" t="s">
        <v>17</v>
      </c>
      <c r="C54" s="180"/>
      <c r="D54" s="15">
        <f>IF(F3="1",SUMIF(Data!A:A,'24'!$A$2,Data!DM:DM),0)</f>
        <v>241216</v>
      </c>
      <c r="E54" s="18">
        <f>IF(F3="1",SUMIF(Data!$A:$A,'24'!$A$2,Data!JG:JG),0)</f>
        <v>167601</v>
      </c>
      <c r="F54" s="22">
        <f t="shared" si="3"/>
        <v>0.69481709339347308</v>
      </c>
    </row>
    <row r="55" spans="1:6" x14ac:dyDescent="0.2">
      <c r="A55" s="20">
        <v>20</v>
      </c>
      <c r="B55" s="179" t="s">
        <v>18</v>
      </c>
      <c r="C55" s="180"/>
      <c r="D55" s="15">
        <f>IF(F3="1",SUMIF(Data!A:A,'24'!$A$2,Data!DN:DN),0)</f>
        <v>78512</v>
      </c>
      <c r="E55" s="18">
        <f>IF(F3="1",SUMIF(Data!$A:$A,'24'!$A$2,Data!JH:JH),0)</f>
        <v>199122</v>
      </c>
      <c r="F55" s="22">
        <f t="shared" si="3"/>
        <v>2.5361982881597718</v>
      </c>
    </row>
    <row r="56" spans="1:6" ht="14.25" customHeight="1" x14ac:dyDescent="0.2">
      <c r="A56" s="20">
        <v>21</v>
      </c>
      <c r="B56" s="179" t="s">
        <v>801</v>
      </c>
      <c r="C56" s="180"/>
      <c r="D56" s="15">
        <f>IF(F3="1",SUMIF(Data!A:A,'24'!$A$2,Data!DO:DO),0)</f>
        <v>52216</v>
      </c>
      <c r="E56" s="18">
        <f>IF(F3="1",SUMIF(Data!$A:$A,'24'!$A$2,Data!JI:JI),0)</f>
        <v>0</v>
      </c>
      <c r="F56" s="22">
        <f t="shared" si="3"/>
        <v>0</v>
      </c>
    </row>
    <row r="57" spans="1:6" x14ac:dyDescent="0.2">
      <c r="A57" s="20">
        <v>22</v>
      </c>
      <c r="B57" s="179" t="s">
        <v>19</v>
      </c>
      <c r="C57" s="180"/>
      <c r="D57" s="15">
        <f>IF(F3="1",SUMIF(Data!A:A,'24'!$A$2,Data!DP:DP),0)</f>
        <v>27568</v>
      </c>
      <c r="E57" s="18">
        <f>IF(F3="1",SUMIF(Data!$A:$A,'24'!$A$2,Data!JJ:JJ),0)</f>
        <v>89433</v>
      </c>
      <c r="F57" s="22">
        <f t="shared" si="3"/>
        <v>3.2440873476494487</v>
      </c>
    </row>
    <row r="58" spans="1:6" x14ac:dyDescent="0.2">
      <c r="A58" s="20">
        <v>23</v>
      </c>
      <c r="B58" s="179" t="s">
        <v>20</v>
      </c>
      <c r="C58" s="180"/>
      <c r="D58" s="15">
        <f>IF(F3="1",SUMIF(Data!A:A,'24'!$A$2,Data!DQ:DQ),0)</f>
        <v>94368</v>
      </c>
      <c r="E58" s="18">
        <f>IF(F3="1",SUMIF(Data!$A:$A,'24'!$A$2,Data!JK:JK),0)</f>
        <v>185154</v>
      </c>
      <c r="F58" s="22">
        <f t="shared" si="3"/>
        <v>1.9620422177009156</v>
      </c>
    </row>
    <row r="59" spans="1:6" x14ac:dyDescent="0.2">
      <c r="A59" s="20">
        <v>24</v>
      </c>
      <c r="B59" s="179" t="s">
        <v>21</v>
      </c>
      <c r="C59" s="180"/>
      <c r="D59" s="15">
        <f>IF(F3="1",SUMIF(Data!A:A,'24'!$A$2,Data!DR:DR),0)</f>
        <v>173052</v>
      </c>
      <c r="E59" s="18">
        <f>IF(F3="1",SUMIF(Data!$A:$A,'24'!$A$2,Data!JL:JL),0)</f>
        <v>237041</v>
      </c>
      <c r="F59" s="22">
        <f t="shared" si="3"/>
        <v>1.3697674687377204</v>
      </c>
    </row>
    <row r="60" spans="1:6" x14ac:dyDescent="0.2">
      <c r="A60" s="20">
        <v>25</v>
      </c>
      <c r="B60" s="179" t="s">
        <v>22</v>
      </c>
      <c r="C60" s="180"/>
      <c r="D60" s="15">
        <f>IF(F3="1",SUMIF(Data!A:A,'24'!$A$2,Data!DS:DS),0)</f>
        <v>687408</v>
      </c>
      <c r="E60" s="18">
        <f>IF(F3="1",SUMIF(Data!$A:$A,'24'!$A$2,Data!JM:JM),0)</f>
        <v>311270</v>
      </c>
      <c r="F60" s="22">
        <f t="shared" si="3"/>
        <v>0.45281695877848382</v>
      </c>
    </row>
    <row r="61" spans="1:6" x14ac:dyDescent="0.2">
      <c r="A61" s="20">
        <v>26</v>
      </c>
      <c r="B61" s="179" t="s">
        <v>23</v>
      </c>
      <c r="C61" s="180"/>
      <c r="D61" s="15">
        <f>IF(F3="1",SUMIF(Data!A:A,'24'!$A$2,Data!DT:DT),0)</f>
        <v>273872</v>
      </c>
      <c r="E61" s="18">
        <f>IF(F3="1",SUMIF(Data!$A:$A,'24'!$A$2,Data!JN:JN),0)</f>
        <v>433331</v>
      </c>
      <c r="F61" s="22">
        <f t="shared" si="3"/>
        <v>1.5822391482152247</v>
      </c>
    </row>
    <row r="62" spans="1:6" x14ac:dyDescent="0.2">
      <c r="A62" s="20">
        <v>28</v>
      </c>
      <c r="B62" s="179" t="s">
        <v>24</v>
      </c>
      <c r="C62" s="180"/>
      <c r="D62" s="15">
        <f>IF(F3="1",SUMIF(Data!A:A,'24'!$A$2,Data!DV:DV),0)</f>
        <v>191136</v>
      </c>
      <c r="E62" s="18">
        <f>IF(F3="1",SUMIF(Data!$A:$A,'24'!$A$2,Data!JP:JP),0)</f>
        <v>131688</v>
      </c>
      <c r="F62" s="22">
        <f t="shared" si="3"/>
        <v>0.68897538925163238</v>
      </c>
    </row>
    <row r="63" spans="1:6" ht="15.75" customHeight="1" thickBot="1" x14ac:dyDescent="0.25">
      <c r="A63" s="23">
        <v>29</v>
      </c>
      <c r="B63" s="181" t="s">
        <v>25</v>
      </c>
      <c r="C63" s="182"/>
      <c r="D63" s="24">
        <f>IF(F3="1",SUMIF(Data!A:A,'24'!$A$2,Data!DW:DW),0)</f>
        <v>357920</v>
      </c>
      <c r="E63" s="25">
        <f>IF(F3="1",SUMIF(Data!$A:$A,'24'!$A$2,Data!JQ:JQ),0)</f>
        <v>131167</v>
      </c>
      <c r="F63" s="26">
        <f t="shared" si="3"/>
        <v>0.36647016092981671</v>
      </c>
    </row>
    <row r="64" spans="1:6" x14ac:dyDescent="0.2">
      <c r="B64" s="31" t="s">
        <v>35</v>
      </c>
      <c r="C64" s="31"/>
      <c r="D64" s="61">
        <f>SUM(D36:D63)</f>
        <v>3926276</v>
      </c>
      <c r="E64" s="32">
        <f>SUM(E36:E63)</f>
        <v>5469042</v>
      </c>
      <c r="F64" s="33">
        <f t="shared" si="3"/>
        <v>1.3929336602928577</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0</v>
      </c>
      <c r="E67" s="16">
        <f>IF(F3="1",SUMIF(Data!A:A,'24'!$A$2,Data!DY:DY),0)</f>
        <v>0</v>
      </c>
      <c r="F67" s="21" t="str">
        <f>IFERROR(E67/D67,"")</f>
        <v/>
      </c>
    </row>
    <row r="68" spans="1:6" x14ac:dyDescent="0.2">
      <c r="A68" s="20">
        <v>2</v>
      </c>
      <c r="B68" s="179" t="s">
        <v>1</v>
      </c>
      <c r="C68" s="180"/>
      <c r="D68" s="15">
        <f t="shared" ref="D68:D94" si="4">D37</f>
        <v>22512</v>
      </c>
      <c r="E68" s="18">
        <f>IF(F3="1",SUMIF(Data!A:A,'24'!$A$2,Data!DZ:DZ),0)</f>
        <v>0</v>
      </c>
      <c r="F68" s="22">
        <f t="shared" ref="F68:F95" si="5">IFERROR(E68/D68,"")</f>
        <v>0</v>
      </c>
    </row>
    <row r="69" spans="1:6" ht="14.25" customHeight="1" x14ac:dyDescent="0.2">
      <c r="A69" s="20">
        <v>3</v>
      </c>
      <c r="B69" s="179" t="s">
        <v>2</v>
      </c>
      <c r="C69" s="180"/>
      <c r="D69" s="15">
        <f t="shared" si="4"/>
        <v>328088</v>
      </c>
      <c r="E69" s="18">
        <f>IF(F3="1",SUMIF(Data!A:A,'24'!$A$2,Data!EA:EA),0)</f>
        <v>1056711</v>
      </c>
      <c r="F69" s="22">
        <f t="shared" si="5"/>
        <v>3.2208157567481894</v>
      </c>
    </row>
    <row r="70" spans="1:6" ht="14.25" customHeight="1" x14ac:dyDescent="0.2">
      <c r="A70" s="20">
        <v>4</v>
      </c>
      <c r="B70" s="179" t="s">
        <v>3</v>
      </c>
      <c r="C70" s="180"/>
      <c r="D70" s="15">
        <f t="shared" si="4"/>
        <v>146773</v>
      </c>
      <c r="E70" s="18">
        <f>IF(F3="1",SUMIF(Data!A:A,'24'!$A$2,Data!EB:EB),0)</f>
        <v>807093</v>
      </c>
      <c r="F70" s="22">
        <f t="shared" si="5"/>
        <v>5.4989201011085145</v>
      </c>
    </row>
    <row r="71" spans="1:6" x14ac:dyDescent="0.2">
      <c r="A71" s="20">
        <v>5</v>
      </c>
      <c r="B71" s="179" t="s">
        <v>4</v>
      </c>
      <c r="C71" s="180"/>
      <c r="D71" s="15">
        <f t="shared" si="4"/>
        <v>0</v>
      </c>
      <c r="E71" s="18">
        <f>IF(F3="1",SUMIF(Data!A:A,'24'!$A$2,Data!EC:EC),0)</f>
        <v>0</v>
      </c>
      <c r="F71" s="22" t="str">
        <f t="shared" si="5"/>
        <v/>
      </c>
    </row>
    <row r="72" spans="1:6" x14ac:dyDescent="0.2">
      <c r="A72" s="20">
        <v>6</v>
      </c>
      <c r="B72" s="179" t="s">
        <v>5</v>
      </c>
      <c r="C72" s="180"/>
      <c r="D72" s="15">
        <f t="shared" si="4"/>
        <v>10364</v>
      </c>
      <c r="E72" s="18">
        <f>IF(F3="1",SUMIF(Data!A:A,'24'!$A$2,Data!ED:ED),0)</f>
        <v>17045</v>
      </c>
      <c r="F72" s="22">
        <f t="shared" si="5"/>
        <v>1.6446352759552296</v>
      </c>
    </row>
    <row r="73" spans="1:6" x14ac:dyDescent="0.2">
      <c r="A73" s="20">
        <v>7</v>
      </c>
      <c r="B73" s="179" t="s">
        <v>6</v>
      </c>
      <c r="C73" s="180"/>
      <c r="D73" s="15">
        <f t="shared" si="4"/>
        <v>227708</v>
      </c>
      <c r="E73" s="18">
        <f>IF(F3="1",SUMIF(Data!A:A,'24'!$A$2,Data!EE:EE),0)</f>
        <v>1201213</v>
      </c>
      <c r="F73" s="22">
        <f t="shared" si="5"/>
        <v>5.275234071705869</v>
      </c>
    </row>
    <row r="74" spans="1:6" x14ac:dyDescent="0.2">
      <c r="A74" s="20">
        <v>8</v>
      </c>
      <c r="B74" s="179" t="s">
        <v>7</v>
      </c>
      <c r="C74" s="180"/>
      <c r="D74" s="15">
        <f t="shared" si="4"/>
        <v>26564</v>
      </c>
      <c r="E74" s="18">
        <f>IF(F3="1",SUMIF(Data!A:A,'24'!$A$2,Data!EF:EF),0)</f>
        <v>445798</v>
      </c>
      <c r="F74" s="22">
        <f t="shared" si="5"/>
        <v>16.78203583797621</v>
      </c>
    </row>
    <row r="75" spans="1:6" x14ac:dyDescent="0.2">
      <c r="A75" s="20">
        <v>9</v>
      </c>
      <c r="B75" s="179" t="s">
        <v>8</v>
      </c>
      <c r="C75" s="180"/>
      <c r="D75" s="15">
        <f t="shared" si="4"/>
        <v>78056</v>
      </c>
      <c r="E75" s="18">
        <f>IF(F3="1",SUMIF(Data!A:A,'24'!$A$2,Data!EG:EG),0)</f>
        <v>0</v>
      </c>
      <c r="F75" s="22">
        <f t="shared" si="5"/>
        <v>0</v>
      </c>
    </row>
    <row r="76" spans="1:6" x14ac:dyDescent="0.2">
      <c r="A76" s="20">
        <v>10</v>
      </c>
      <c r="B76" s="179" t="s">
        <v>9</v>
      </c>
      <c r="C76" s="180"/>
      <c r="D76" s="15">
        <f t="shared" si="4"/>
        <v>0</v>
      </c>
      <c r="E76" s="18">
        <f>IF(F3="1",SUMIF(Data!A:A,'24'!$A$2,Data!EH:EH),0)</f>
        <v>0</v>
      </c>
      <c r="F76" s="22" t="str">
        <f t="shared" si="5"/>
        <v/>
      </c>
    </row>
    <row r="77" spans="1:6" x14ac:dyDescent="0.2">
      <c r="A77" s="20">
        <v>11</v>
      </c>
      <c r="B77" s="179" t="s">
        <v>10</v>
      </c>
      <c r="C77" s="180"/>
      <c r="D77" s="15">
        <f t="shared" si="4"/>
        <v>101531</v>
      </c>
      <c r="E77" s="18">
        <f>IF(F3="1",SUMIF(Data!A:A,'24'!$A$2,Data!EI:EI),0)</f>
        <v>0</v>
      </c>
      <c r="F77" s="22">
        <f t="shared" si="5"/>
        <v>0</v>
      </c>
    </row>
    <row r="78" spans="1:6" ht="14.25" customHeight="1" x14ac:dyDescent="0.2">
      <c r="A78" s="20">
        <v>12</v>
      </c>
      <c r="B78" s="179" t="s">
        <v>11</v>
      </c>
      <c r="C78" s="180"/>
      <c r="D78" s="15">
        <f t="shared" si="4"/>
        <v>420528</v>
      </c>
      <c r="E78" s="18">
        <f>IF(F3="1",SUMIF(Data!A:A,'24'!$A$2,Data!EJ:EJ),0)</f>
        <v>2299216</v>
      </c>
      <c r="F78" s="22">
        <f t="shared" si="5"/>
        <v>5.4674504432522921</v>
      </c>
    </row>
    <row r="79" spans="1:6" x14ac:dyDescent="0.2">
      <c r="A79" s="20">
        <v>13</v>
      </c>
      <c r="B79" s="179" t="s">
        <v>12</v>
      </c>
      <c r="C79" s="180"/>
      <c r="D79" s="15">
        <f t="shared" si="4"/>
        <v>18912</v>
      </c>
      <c r="E79" s="18">
        <f>IF(F3="1",SUMIF(Data!A:A,'24'!$A$2,Data!EK:EK),0)</f>
        <v>446066</v>
      </c>
      <c r="F79" s="22">
        <f t="shared" si="5"/>
        <v>23.586400169204737</v>
      </c>
    </row>
    <row r="80" spans="1:6" ht="14.25" customHeight="1" x14ac:dyDescent="0.2">
      <c r="A80" s="20">
        <v>14</v>
      </c>
      <c r="B80" s="179" t="s">
        <v>804</v>
      </c>
      <c r="C80" s="180"/>
      <c r="D80" s="15">
        <f t="shared" si="4"/>
        <v>86092</v>
      </c>
      <c r="E80" s="18">
        <f>IF(F3="1",SUMIF(Data!A:A,'24'!$A$2,Data!EL:EL),0)</f>
        <v>582800</v>
      </c>
      <c r="F80" s="22">
        <f t="shared" si="5"/>
        <v>6.7695023927891089</v>
      </c>
    </row>
    <row r="81" spans="1:6" x14ac:dyDescent="0.2">
      <c r="A81" s="20">
        <v>15</v>
      </c>
      <c r="B81" s="179" t="s">
        <v>13</v>
      </c>
      <c r="C81" s="180"/>
      <c r="D81" s="15">
        <f t="shared" si="4"/>
        <v>0</v>
      </c>
      <c r="E81" s="18">
        <f>IF(F3="1",SUMIF(Data!A:A,'24'!$A$2,Data!EM:EM),0)</f>
        <v>0</v>
      </c>
      <c r="F81" s="22" t="str">
        <f t="shared" si="5"/>
        <v/>
      </c>
    </row>
    <row r="82" spans="1:6" x14ac:dyDescent="0.2">
      <c r="A82" s="20">
        <v>16</v>
      </c>
      <c r="B82" s="179" t="s">
        <v>14</v>
      </c>
      <c r="C82" s="180"/>
      <c r="D82" s="15">
        <f t="shared" si="4"/>
        <v>223256</v>
      </c>
      <c r="E82" s="18">
        <f>IF(F3="1",SUMIF(Data!A:A,'24'!$A$2,Data!EN:EN),0)</f>
        <v>785736</v>
      </c>
      <c r="F82" s="22">
        <f t="shared" si="5"/>
        <v>3.519439567133694</v>
      </c>
    </row>
    <row r="83" spans="1:6" x14ac:dyDescent="0.2">
      <c r="A83" s="20">
        <v>17</v>
      </c>
      <c r="B83" s="179" t="s">
        <v>15</v>
      </c>
      <c r="C83" s="180"/>
      <c r="D83" s="15">
        <f t="shared" si="4"/>
        <v>0</v>
      </c>
      <c r="E83" s="18">
        <f>IF(F3="1",SUMIF(Data!A:A,'24'!$A$2,Data!EO:EO),0)</f>
        <v>0</v>
      </c>
      <c r="F83" s="22" t="str">
        <f t="shared" si="5"/>
        <v/>
      </c>
    </row>
    <row r="84" spans="1:6" x14ac:dyDescent="0.2">
      <c r="A84" s="20">
        <v>18</v>
      </c>
      <c r="B84" s="179" t="s">
        <v>16</v>
      </c>
      <c r="C84" s="180"/>
      <c r="D84" s="15">
        <f t="shared" si="4"/>
        <v>58624</v>
      </c>
      <c r="E84" s="18">
        <f>IF(F3="1",SUMIF(Data!A:A,'24'!$A$2,Data!EP:EP),0)</f>
        <v>656991</v>
      </c>
      <c r="F84" s="22">
        <f t="shared" si="5"/>
        <v>11.206860671397379</v>
      </c>
    </row>
    <row r="85" spans="1:6" x14ac:dyDescent="0.2">
      <c r="A85" s="20">
        <v>19</v>
      </c>
      <c r="B85" s="179" t="s">
        <v>17</v>
      </c>
      <c r="C85" s="180"/>
      <c r="D85" s="15">
        <f t="shared" si="4"/>
        <v>241216</v>
      </c>
      <c r="E85" s="18">
        <f>IF(F3="1",SUMIF(Data!A:A,'24'!$A$2,Data!EQ:EQ),0)</f>
        <v>784498</v>
      </c>
      <c r="F85" s="22">
        <f t="shared" si="5"/>
        <v>3.2522635314407005</v>
      </c>
    </row>
    <row r="86" spans="1:6" x14ac:dyDescent="0.2">
      <c r="A86" s="20">
        <v>20</v>
      </c>
      <c r="B86" s="179" t="s">
        <v>18</v>
      </c>
      <c r="C86" s="180"/>
      <c r="D86" s="15">
        <f t="shared" si="4"/>
        <v>78512</v>
      </c>
      <c r="E86" s="18">
        <f>IF(F3="1",SUMIF(Data!A:A,'24'!$A$2,Data!ER:ER),0)</f>
        <v>608004</v>
      </c>
      <c r="F86" s="22">
        <f t="shared" si="5"/>
        <v>7.744090075402486</v>
      </c>
    </row>
    <row r="87" spans="1:6" ht="14.25" customHeight="1" x14ac:dyDescent="0.2">
      <c r="A87" s="20">
        <v>21</v>
      </c>
      <c r="B87" s="179" t="s">
        <v>801</v>
      </c>
      <c r="C87" s="180"/>
      <c r="D87" s="15">
        <f t="shared" si="4"/>
        <v>52216</v>
      </c>
      <c r="E87" s="18">
        <f>IF(F3="1",SUMIF(Data!A:A,'24'!$A$2,Data!ES:ES),0)</f>
        <v>0</v>
      </c>
      <c r="F87" s="22">
        <f t="shared" si="5"/>
        <v>0</v>
      </c>
    </row>
    <row r="88" spans="1:6" x14ac:dyDescent="0.2">
      <c r="A88" s="20">
        <v>22</v>
      </c>
      <c r="B88" s="179" t="s">
        <v>19</v>
      </c>
      <c r="C88" s="180"/>
      <c r="D88" s="15">
        <f t="shared" si="4"/>
        <v>27568</v>
      </c>
      <c r="E88" s="18">
        <f>IF(F3="1",SUMIF(Data!A:A,'24'!$A$2,Data!ET:ET),0)</f>
        <v>203550</v>
      </c>
      <c r="F88" s="22">
        <f t="shared" si="5"/>
        <v>7.3835606500290192</v>
      </c>
    </row>
    <row r="89" spans="1:6" x14ac:dyDescent="0.2">
      <c r="A89" s="20">
        <v>23</v>
      </c>
      <c r="B89" s="179" t="s">
        <v>20</v>
      </c>
      <c r="C89" s="180"/>
      <c r="D89" s="15">
        <f t="shared" si="4"/>
        <v>94368</v>
      </c>
      <c r="E89" s="18">
        <f>IF(F3="1",SUMIF(Data!A:A,'24'!$A$2,Data!EU:EU),0)</f>
        <v>404486</v>
      </c>
      <c r="F89" s="22">
        <f t="shared" si="5"/>
        <v>4.2862622923024754</v>
      </c>
    </row>
    <row r="90" spans="1:6" x14ac:dyDescent="0.2">
      <c r="A90" s="20">
        <v>24</v>
      </c>
      <c r="B90" s="179" t="s">
        <v>21</v>
      </c>
      <c r="C90" s="180"/>
      <c r="D90" s="15">
        <f t="shared" si="4"/>
        <v>173052</v>
      </c>
      <c r="E90" s="18">
        <f>IF(F3="1",SUMIF(Data!A:A,'24'!$A$2,Data!EV:EV),0)</f>
        <v>534189</v>
      </c>
      <c r="F90" s="22">
        <f t="shared" si="5"/>
        <v>3.0868698425906662</v>
      </c>
    </row>
    <row r="91" spans="1:6" x14ac:dyDescent="0.2">
      <c r="A91" s="20">
        <v>25</v>
      </c>
      <c r="B91" s="179" t="s">
        <v>22</v>
      </c>
      <c r="C91" s="180"/>
      <c r="D91" s="15">
        <f t="shared" si="4"/>
        <v>687408</v>
      </c>
      <c r="E91" s="18">
        <f>IF(F3="1",SUMIF(Data!A:A,'24'!$A$2,Data!EW:EW),0)</f>
        <v>1420410</v>
      </c>
      <c r="F91" s="22">
        <f t="shared" si="5"/>
        <v>2.0663274212694644</v>
      </c>
    </row>
    <row r="92" spans="1:6" x14ac:dyDescent="0.2">
      <c r="A92" s="20">
        <v>26</v>
      </c>
      <c r="B92" s="179" t="s">
        <v>23</v>
      </c>
      <c r="C92" s="180"/>
      <c r="D92" s="15">
        <f t="shared" si="4"/>
        <v>273872</v>
      </c>
      <c r="E92" s="18">
        <f>IF(F3="1",SUMIF(Data!A:A,'24'!$A$2,Data!EX:EX),0)</f>
        <v>1292713</v>
      </c>
      <c r="F92" s="22">
        <f t="shared" si="5"/>
        <v>4.7201356838230994</v>
      </c>
    </row>
    <row r="93" spans="1:6" x14ac:dyDescent="0.2">
      <c r="A93" s="20">
        <v>28</v>
      </c>
      <c r="B93" s="179" t="s">
        <v>24</v>
      </c>
      <c r="C93" s="180"/>
      <c r="D93" s="15">
        <f t="shared" si="4"/>
        <v>191136</v>
      </c>
      <c r="E93" s="18">
        <f>IF(F3="1",SUMIF(Data!A:A,'24'!$A$2,Data!EZ:EZ),0)</f>
        <v>616391</v>
      </c>
      <c r="F93" s="22">
        <f t="shared" si="5"/>
        <v>3.2248817595847981</v>
      </c>
    </row>
    <row r="94" spans="1:6" ht="15.75" customHeight="1" thickBot="1" x14ac:dyDescent="0.25">
      <c r="A94" s="23">
        <v>29</v>
      </c>
      <c r="B94" s="181" t="s">
        <v>25</v>
      </c>
      <c r="C94" s="182"/>
      <c r="D94" s="24">
        <f t="shared" si="4"/>
        <v>357920</v>
      </c>
      <c r="E94" s="25">
        <f>IF(F3="1",SUMIF(Data!A:A,'24'!$A$2,Data!FA:FA),0)</f>
        <v>551115</v>
      </c>
      <c r="F94" s="26">
        <f t="shared" si="5"/>
        <v>1.5397714573088959</v>
      </c>
    </row>
    <row r="95" spans="1:6" x14ac:dyDescent="0.2">
      <c r="B95" s="31" t="s">
        <v>35</v>
      </c>
      <c r="C95" s="31"/>
      <c r="D95" s="61">
        <f>SUM(D67:D94)</f>
        <v>3926276</v>
      </c>
      <c r="E95" s="32">
        <f>SUM(E67:E94)</f>
        <v>14714025</v>
      </c>
      <c r="F95" s="33">
        <f t="shared" si="5"/>
        <v>3.7475778574914242</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IF(F3="1",SUMIF(Data!A:A,'24'!$A$2,Data!AH:AH),0)</f>
        <v>8680242</v>
      </c>
      <c r="F98" s="21">
        <f t="shared" ref="F98:F105" si="6">IFERROR(E98/$D$95,0)</f>
        <v>2.2108079004125027</v>
      </c>
    </row>
    <row r="99" spans="2:6" x14ac:dyDescent="0.2">
      <c r="B99" s="185" t="s">
        <v>31</v>
      </c>
      <c r="C99" s="186"/>
      <c r="D99" s="37"/>
      <c r="E99" s="18">
        <f>IF(F3="1",SUMIF(Data!A:A,'24'!$A$2,Data!AI:AI),0)</f>
        <v>4724967</v>
      </c>
      <c r="F99" s="22">
        <f t="shared" si="6"/>
        <v>1.2034220212741029</v>
      </c>
    </row>
    <row r="100" spans="2:6" x14ac:dyDescent="0.2">
      <c r="B100" s="185" t="s">
        <v>32</v>
      </c>
      <c r="C100" s="186"/>
      <c r="D100" s="37"/>
      <c r="E100" s="18">
        <f>IF(F3="1",SUMIF(Data!A:A,'24'!$A$2,Data!AJ:AJ),0)</f>
        <v>3091836</v>
      </c>
      <c r="F100" s="22">
        <f t="shared" si="6"/>
        <v>0.78747291326437574</v>
      </c>
    </row>
    <row r="101" spans="2:6" x14ac:dyDescent="0.2">
      <c r="B101" s="185" t="s">
        <v>28</v>
      </c>
      <c r="C101" s="186"/>
      <c r="D101" s="37"/>
      <c r="E101" s="18">
        <f>IF(F3="1",SUMIF(Data!A:A,'24'!$A$2,Data!AK:AK),0)</f>
        <v>0</v>
      </c>
      <c r="F101" s="22">
        <f t="shared" si="6"/>
        <v>0</v>
      </c>
    </row>
    <row r="102" spans="2:6" x14ac:dyDescent="0.2">
      <c r="B102" s="185" t="s">
        <v>33</v>
      </c>
      <c r="C102" s="186"/>
      <c r="D102" s="37"/>
      <c r="E102" s="18">
        <f>IF(F3="1",SUMIF(Data!A:A,'24'!$A$2,Data!AL:AL),0)</f>
        <v>256590</v>
      </c>
      <c r="F102" s="22">
        <f t="shared" si="6"/>
        <v>6.5352002762923439E-2</v>
      </c>
    </row>
    <row r="103" spans="2:6" x14ac:dyDescent="0.2">
      <c r="B103" s="187" t="s">
        <v>34</v>
      </c>
      <c r="C103" s="188"/>
      <c r="D103" s="37"/>
      <c r="E103" s="18">
        <f>IF(F3="1",SUMIF(Data!A:A,'24'!$A$2,Data!AM:AM),0)</f>
        <v>714586</v>
      </c>
      <c r="F103" s="22">
        <f t="shared" si="6"/>
        <v>0.18200095968800969</v>
      </c>
    </row>
    <row r="104" spans="2:6" ht="15.75" customHeight="1" thickBot="1" x14ac:dyDescent="0.25">
      <c r="B104" s="177" t="s">
        <v>29</v>
      </c>
      <c r="C104" s="178"/>
      <c r="D104" s="38"/>
      <c r="E104" s="25">
        <f>IF(F3="1",SUMIF(Data!A:A,'24'!$A$2,Data!Q:Q),0)</f>
        <v>2291206</v>
      </c>
      <c r="F104" s="26">
        <f t="shared" si="6"/>
        <v>0.58355703980056417</v>
      </c>
    </row>
    <row r="105" spans="2:6" x14ac:dyDescent="0.2">
      <c r="B105" s="31" t="s">
        <v>35</v>
      </c>
      <c r="C105" s="31"/>
      <c r="D105" s="35">
        <f>D95</f>
        <v>3926276</v>
      </c>
      <c r="E105" s="32">
        <f>SUM(E98:E104)</f>
        <v>19759427</v>
      </c>
      <c r="F105" s="33">
        <f t="shared" si="6"/>
        <v>5.0326128372024792</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16405834</v>
      </c>
      <c r="D109" s="16">
        <f>IF(F3="1",SUMIF(Data!$A:$A,$A$2,Data!HJ:HJ),0)</f>
        <v>2829393</v>
      </c>
      <c r="E109" s="16">
        <f>IF(F3="1",SUMIF(Data!$A:$A,$A$2,Data!IN:IN),0)</f>
        <v>947840</v>
      </c>
      <c r="F109" s="48">
        <f>SUM(C109:E109)</f>
        <v>20183067</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180959</v>
      </c>
      <c r="D111" s="52"/>
      <c r="E111" s="51">
        <f>IF(F3="1",SUMIF(Data!A:A,$A$2,Data!AX:AX),0)</f>
        <v>10569</v>
      </c>
      <c r="F111" s="49">
        <f t="shared" si="7"/>
        <v>191528</v>
      </c>
    </row>
    <row r="112" spans="2:6" x14ac:dyDescent="0.2">
      <c r="B112" s="43" t="s">
        <v>32</v>
      </c>
      <c r="C112" s="51">
        <f>IF(F3="1",SUMIF(Data!A:A,$A$2,Data!V:V),0)</f>
        <v>2683274</v>
      </c>
      <c r="D112" s="52"/>
      <c r="E112" s="51">
        <f>IF(F3="1",SUMIF(Data!A:A,$A$2,Data!AC:AC),0)</f>
        <v>408562</v>
      </c>
      <c r="F112" s="49">
        <f t="shared" si="7"/>
        <v>3091836</v>
      </c>
    </row>
    <row r="113" spans="1:6" x14ac:dyDescent="0.2">
      <c r="B113" s="43" t="s">
        <v>31</v>
      </c>
      <c r="C113" s="51">
        <f>IF(F3="1",SUMIF(Data!A:A,$A$2,Data!U:U),0)</f>
        <v>4083542</v>
      </c>
      <c r="D113" s="52"/>
      <c r="E113" s="51">
        <f>IF(F3="1",SUMIF(Data!A:A,$A$2,Data!AB:AB),0)</f>
        <v>641425</v>
      </c>
      <c r="F113" s="49">
        <f t="shared" si="7"/>
        <v>4724967</v>
      </c>
    </row>
    <row r="114" spans="1:6" x14ac:dyDescent="0.2">
      <c r="B114" s="43" t="s">
        <v>1363</v>
      </c>
      <c r="C114" s="51">
        <f>IF(F3="1",SUMIF(Data!A:A,$A$2,Data!T:T),0)</f>
        <v>5943907</v>
      </c>
      <c r="D114" s="52"/>
      <c r="E114" s="51">
        <f>IF(F3="1",SUMIF(Data!A:A,$A$2,Data!AA:AA),0)</f>
        <v>2736335</v>
      </c>
      <c r="F114" s="49">
        <f t="shared" si="7"/>
        <v>8680242</v>
      </c>
    </row>
    <row r="115" spans="1:6" x14ac:dyDescent="0.2">
      <c r="B115" s="43" t="s">
        <v>1278</v>
      </c>
      <c r="C115" s="51">
        <f>IF(F3="1",SUMIF(Data!A:A,$A$2,Data!BI:BI),0)</f>
        <v>1864982</v>
      </c>
      <c r="D115" s="51">
        <f>IF(F3="1",SUMIF(Data!A:A,$A$2,Data!BL:BL),0)</f>
        <v>471540</v>
      </c>
      <c r="E115" s="51">
        <f>IF(F3="1",SUMIF(Data!A:A,$A$2,Data!BU:BU),0)</f>
        <v>3083292</v>
      </c>
      <c r="F115" s="49">
        <f t="shared" si="7"/>
        <v>5419814</v>
      </c>
    </row>
    <row r="116" spans="1:6" x14ac:dyDescent="0.2">
      <c r="B116" s="43" t="s">
        <v>33</v>
      </c>
      <c r="C116" s="51">
        <f>IF(F3="1",SUMIF(Data!A:A,$A$2,Data!X:X),0)</f>
        <v>0</v>
      </c>
      <c r="D116" s="51"/>
      <c r="E116" s="51">
        <f>E102</f>
        <v>256590</v>
      </c>
      <c r="F116" s="49">
        <f t="shared" si="7"/>
        <v>256590</v>
      </c>
    </row>
    <row r="117" spans="1:6" ht="15" thickBot="1" x14ac:dyDescent="0.25">
      <c r="B117" s="44" t="s">
        <v>1282</v>
      </c>
      <c r="C117" s="53"/>
      <c r="D117" s="53">
        <f>IF(F3="1",SUMIF(Data!A:A,$A$2,Data!Q:Q),0)</f>
        <v>2291206</v>
      </c>
      <c r="E117" s="53"/>
      <c r="F117" s="50">
        <f>SUM(C117:E117)</f>
        <v>2291206</v>
      </c>
    </row>
    <row r="118" spans="1:6" x14ac:dyDescent="0.2">
      <c r="B118" s="14" t="s">
        <v>35</v>
      </c>
      <c r="C118" s="5">
        <f>SUM(C109:C116)</f>
        <v>31162498</v>
      </c>
      <c r="D118" s="5">
        <f>SUM(D109:D116)</f>
        <v>3300933</v>
      </c>
      <c r="E118" s="5">
        <f>SUM(E109:E116)</f>
        <v>8084613</v>
      </c>
      <c r="F118" s="5">
        <f>SUM(F109:F116)</f>
        <v>42548044</v>
      </c>
    </row>
    <row r="119" spans="1:6" ht="15" thickBot="1" x14ac:dyDescent="0.25"/>
    <row r="120" spans="1:6" ht="15" thickBot="1" x14ac:dyDescent="0.25">
      <c r="B120" s="57" t="s">
        <v>1283</v>
      </c>
      <c r="C120" s="55"/>
      <c r="D120" s="55"/>
      <c r="E120" s="55">
        <f>IF(F3="1",SUMIF(Data!A:A,'24'!$A$2,Data!AM:AM),0)</f>
        <v>714586</v>
      </c>
      <c r="F120" s="56">
        <f>SUM(C120:E120)</f>
        <v>714586</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470</v>
      </c>
      <c r="B2" s="60" t="str">
        <f>VLOOKUP(A2,Data!A:G,7,0)</f>
        <v>Lee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86176</v>
      </c>
      <c r="E5" s="16">
        <f>E36+E67+IFERROR($E$105/$D$105*D5,0)</f>
        <v>537653.33854496584</v>
      </c>
      <c r="F5" s="21">
        <f>IFERROR(E5/D5,"")</f>
        <v>6.239014790022348</v>
      </c>
    </row>
    <row r="6" spans="1:6" x14ac:dyDescent="0.2">
      <c r="A6" s="20">
        <v>2</v>
      </c>
      <c r="B6" s="179" t="s">
        <v>1</v>
      </c>
      <c r="C6" s="180"/>
      <c r="D6" s="15">
        <f t="shared" ref="D6:D32" si="0">D37</f>
        <v>135616</v>
      </c>
      <c r="E6" s="18">
        <f t="shared" ref="E6:E32" si="1">E37+E68+IFERROR($E$105/$D$105*D6,0)</f>
        <v>1482411.9208145433</v>
      </c>
      <c r="F6" s="22">
        <f t="shared" ref="F6:F33" si="2">IFERROR(E6/D6,"")</f>
        <v>10.930951516152543</v>
      </c>
    </row>
    <row r="7" spans="1:6" ht="14.25" customHeight="1" x14ac:dyDescent="0.2">
      <c r="A7" s="20">
        <v>3</v>
      </c>
      <c r="B7" s="179" t="s">
        <v>2</v>
      </c>
      <c r="C7" s="180"/>
      <c r="D7" s="15">
        <f t="shared" si="0"/>
        <v>422304</v>
      </c>
      <c r="E7" s="18">
        <f t="shared" si="1"/>
        <v>3054166.0318521773</v>
      </c>
      <c r="F7" s="22">
        <f t="shared" si="2"/>
        <v>7.2321503747352081</v>
      </c>
    </row>
    <row r="8" spans="1:6" ht="14.25" customHeight="1" x14ac:dyDescent="0.2">
      <c r="A8" s="20">
        <v>4</v>
      </c>
      <c r="B8" s="179" t="s">
        <v>3</v>
      </c>
      <c r="C8" s="180"/>
      <c r="D8" s="15">
        <f t="shared" si="0"/>
        <v>243349</v>
      </c>
      <c r="E8" s="18">
        <f t="shared" si="1"/>
        <v>1777301.3980525772</v>
      </c>
      <c r="F8" s="22">
        <f t="shared" si="2"/>
        <v>7.3035081222958675</v>
      </c>
    </row>
    <row r="9" spans="1:6" x14ac:dyDescent="0.2">
      <c r="A9" s="20">
        <v>5</v>
      </c>
      <c r="B9" s="179" t="s">
        <v>4</v>
      </c>
      <c r="C9" s="180"/>
      <c r="D9" s="15">
        <f t="shared" si="0"/>
        <v>12000</v>
      </c>
      <c r="E9" s="18">
        <f t="shared" si="1"/>
        <v>204322.89860912075</v>
      </c>
      <c r="F9" s="22">
        <f t="shared" si="2"/>
        <v>17.02690821742673</v>
      </c>
    </row>
    <row r="10" spans="1:6" x14ac:dyDescent="0.2">
      <c r="A10" s="20">
        <v>6</v>
      </c>
      <c r="B10" s="179" t="s">
        <v>5</v>
      </c>
      <c r="C10" s="180"/>
      <c r="D10" s="15">
        <f t="shared" si="0"/>
        <v>27808</v>
      </c>
      <c r="E10" s="18">
        <f t="shared" si="1"/>
        <v>249654.63171020249</v>
      </c>
      <c r="F10" s="22">
        <f t="shared" si="2"/>
        <v>8.9777988963680411</v>
      </c>
    </row>
    <row r="11" spans="1:6" x14ac:dyDescent="0.2">
      <c r="A11" s="20">
        <v>7</v>
      </c>
      <c r="B11" s="179" t="s">
        <v>6</v>
      </c>
      <c r="C11" s="180"/>
      <c r="D11" s="15">
        <f t="shared" si="0"/>
        <v>156780</v>
      </c>
      <c r="E11" s="18">
        <f t="shared" si="1"/>
        <v>1418779.9253281625</v>
      </c>
      <c r="F11" s="22">
        <f t="shared" si="2"/>
        <v>9.0494956329133984</v>
      </c>
    </row>
    <row r="12" spans="1:6" x14ac:dyDescent="0.2">
      <c r="A12" s="20">
        <v>8</v>
      </c>
      <c r="B12" s="179" t="s">
        <v>7</v>
      </c>
      <c r="C12" s="180"/>
      <c r="D12" s="15">
        <f t="shared" si="0"/>
        <v>84534</v>
      </c>
      <c r="E12" s="18">
        <f t="shared" si="1"/>
        <v>979852.51075195114</v>
      </c>
      <c r="F12" s="22">
        <f t="shared" si="2"/>
        <v>11.591223776846608</v>
      </c>
    </row>
    <row r="13" spans="1:6" x14ac:dyDescent="0.2">
      <c r="A13" s="20">
        <v>9</v>
      </c>
      <c r="B13" s="179" t="s">
        <v>8</v>
      </c>
      <c r="C13" s="180"/>
      <c r="D13" s="15">
        <f t="shared" si="0"/>
        <v>235064</v>
      </c>
      <c r="E13" s="18">
        <f t="shared" si="1"/>
        <v>1450508.4472211967</v>
      </c>
      <c r="F13" s="22">
        <f t="shared" si="2"/>
        <v>6.1706958412228019</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207462</v>
      </c>
      <c r="E15" s="18">
        <f t="shared" si="1"/>
        <v>1503739.672103784</v>
      </c>
      <c r="F15" s="22">
        <f t="shared" si="2"/>
        <v>7.2482655720266074</v>
      </c>
    </row>
    <row r="16" spans="1:6" ht="14.25" customHeight="1" x14ac:dyDescent="0.2">
      <c r="A16" s="20">
        <v>12</v>
      </c>
      <c r="B16" s="179" t="s">
        <v>11</v>
      </c>
      <c r="C16" s="180"/>
      <c r="D16" s="15">
        <f t="shared" si="0"/>
        <v>270672</v>
      </c>
      <c r="E16" s="18">
        <f t="shared" si="1"/>
        <v>2599418.5130273276</v>
      </c>
      <c r="F16" s="22">
        <f t="shared" si="2"/>
        <v>9.6035737461847823</v>
      </c>
    </row>
    <row r="17" spans="1:6" x14ac:dyDescent="0.2">
      <c r="A17" s="20">
        <v>13</v>
      </c>
      <c r="B17" s="179" t="s">
        <v>12</v>
      </c>
      <c r="C17" s="180"/>
      <c r="D17" s="15">
        <f t="shared" si="0"/>
        <v>34256</v>
      </c>
      <c r="E17" s="18">
        <f t="shared" si="1"/>
        <v>365183.44389617001</v>
      </c>
      <c r="F17" s="22">
        <f t="shared" si="2"/>
        <v>10.660422813409914</v>
      </c>
    </row>
    <row r="18" spans="1:6" ht="14.25" customHeight="1" x14ac:dyDescent="0.2">
      <c r="A18" s="20">
        <v>14</v>
      </c>
      <c r="B18" s="179" t="s">
        <v>804</v>
      </c>
      <c r="C18" s="180"/>
      <c r="D18" s="15">
        <f t="shared" si="0"/>
        <v>172201</v>
      </c>
      <c r="E18" s="18">
        <f t="shared" si="1"/>
        <v>1886834.5491991001</v>
      </c>
      <c r="F18" s="22">
        <f t="shared" si="2"/>
        <v>10.957163716814073</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51916</v>
      </c>
      <c r="E20" s="18">
        <f t="shared" si="1"/>
        <v>626192.87801592611</v>
      </c>
      <c r="F20" s="22">
        <f t="shared" si="2"/>
        <v>12.061654942906351</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42864</v>
      </c>
      <c r="E22" s="18">
        <f t="shared" si="1"/>
        <v>477436.23783177929</v>
      </c>
      <c r="F22" s="22">
        <f t="shared" si="2"/>
        <v>11.138396739263234</v>
      </c>
    </row>
    <row r="23" spans="1:6" x14ac:dyDescent="0.2">
      <c r="A23" s="20">
        <v>19</v>
      </c>
      <c r="B23" s="179" t="s">
        <v>17</v>
      </c>
      <c r="C23" s="180"/>
      <c r="D23" s="15">
        <f t="shared" si="0"/>
        <v>118176</v>
      </c>
      <c r="E23" s="18">
        <f t="shared" si="1"/>
        <v>1065847.4015026211</v>
      </c>
      <c r="F23" s="22">
        <f t="shared" si="2"/>
        <v>9.0191528017754976</v>
      </c>
    </row>
    <row r="24" spans="1:6" x14ac:dyDescent="0.2">
      <c r="A24" s="20">
        <v>20</v>
      </c>
      <c r="B24" s="179" t="s">
        <v>18</v>
      </c>
      <c r="C24" s="180"/>
      <c r="D24" s="15">
        <f t="shared" si="0"/>
        <v>32304</v>
      </c>
      <c r="E24" s="18">
        <f t="shared" si="1"/>
        <v>180522.32705575306</v>
      </c>
      <c r="F24" s="22">
        <f t="shared" si="2"/>
        <v>5.5882344928105825</v>
      </c>
    </row>
    <row r="25" spans="1:6" ht="14.25" customHeight="1" x14ac:dyDescent="0.2">
      <c r="A25" s="20">
        <v>21</v>
      </c>
      <c r="B25" s="179" t="s">
        <v>801</v>
      </c>
      <c r="C25" s="180"/>
      <c r="D25" s="15">
        <f t="shared" si="0"/>
        <v>38656</v>
      </c>
      <c r="E25" s="18">
        <f t="shared" si="1"/>
        <v>297151.74005284766</v>
      </c>
      <c r="F25" s="22">
        <f t="shared" si="2"/>
        <v>7.6870793680889813</v>
      </c>
    </row>
    <row r="26" spans="1:6" x14ac:dyDescent="0.2">
      <c r="A26" s="20">
        <v>22</v>
      </c>
      <c r="B26" s="179" t="s">
        <v>19</v>
      </c>
      <c r="C26" s="180"/>
      <c r="D26" s="15">
        <f t="shared" si="0"/>
        <v>32760</v>
      </c>
      <c r="E26" s="18">
        <f t="shared" si="1"/>
        <v>114796.22320289965</v>
      </c>
      <c r="F26" s="22">
        <f t="shared" si="2"/>
        <v>3.5041582174267294</v>
      </c>
    </row>
    <row r="27" spans="1:6" x14ac:dyDescent="0.2">
      <c r="A27" s="20">
        <v>23</v>
      </c>
      <c r="B27" s="179" t="s">
        <v>20</v>
      </c>
      <c r="C27" s="180"/>
      <c r="D27" s="15">
        <f t="shared" si="0"/>
        <v>76224</v>
      </c>
      <c r="E27" s="18">
        <f t="shared" si="1"/>
        <v>1129570.955965135</v>
      </c>
      <c r="F27" s="22">
        <f t="shared" si="2"/>
        <v>14.819098393749147</v>
      </c>
    </row>
    <row r="28" spans="1:6" x14ac:dyDescent="0.2">
      <c r="A28" s="20">
        <v>24</v>
      </c>
      <c r="B28" s="179" t="s">
        <v>21</v>
      </c>
      <c r="C28" s="180"/>
      <c r="D28" s="15">
        <f t="shared" si="0"/>
        <v>35632</v>
      </c>
      <c r="E28" s="18">
        <f t="shared" si="1"/>
        <v>212846.16560334922</v>
      </c>
      <c r="F28" s="22">
        <f t="shared" si="2"/>
        <v>5.9734554783158176</v>
      </c>
    </row>
    <row r="29" spans="1:6" x14ac:dyDescent="0.2">
      <c r="A29" s="20">
        <v>25</v>
      </c>
      <c r="B29" s="179" t="s">
        <v>22</v>
      </c>
      <c r="C29" s="180"/>
      <c r="D29" s="15">
        <f t="shared" si="0"/>
        <v>339472</v>
      </c>
      <c r="E29" s="18">
        <f t="shared" si="1"/>
        <v>2433411.5983862868</v>
      </c>
      <c r="F29" s="22">
        <f t="shared" si="2"/>
        <v>7.1682247678344213</v>
      </c>
    </row>
    <row r="30" spans="1:6" x14ac:dyDescent="0.2">
      <c r="A30" s="20">
        <v>26</v>
      </c>
      <c r="B30" s="179" t="s">
        <v>23</v>
      </c>
      <c r="C30" s="180"/>
      <c r="D30" s="15">
        <f t="shared" si="0"/>
        <v>132047</v>
      </c>
      <c r="E30" s="18">
        <f t="shared" si="1"/>
        <v>1285275.5801365473</v>
      </c>
      <c r="F30" s="22">
        <f t="shared" si="2"/>
        <v>9.7334705077475991</v>
      </c>
    </row>
    <row r="31" spans="1:6" x14ac:dyDescent="0.2">
      <c r="A31" s="20">
        <v>28</v>
      </c>
      <c r="B31" s="179" t="s">
        <v>24</v>
      </c>
      <c r="C31" s="180"/>
      <c r="D31" s="15">
        <f t="shared" si="0"/>
        <v>124960</v>
      </c>
      <c r="E31" s="18">
        <f t="shared" si="1"/>
        <v>1026441.6108496441</v>
      </c>
      <c r="F31" s="22">
        <f t="shared" si="2"/>
        <v>8.2141614184510576</v>
      </c>
    </row>
    <row r="32" spans="1:6" ht="15.75" customHeight="1" thickBot="1" x14ac:dyDescent="0.25">
      <c r="A32" s="23">
        <v>29</v>
      </c>
      <c r="B32" s="181" t="s">
        <v>25</v>
      </c>
      <c r="C32" s="182"/>
      <c r="D32" s="24">
        <f t="shared" si="0"/>
        <v>118320</v>
      </c>
      <c r="E32" s="25">
        <f t="shared" si="1"/>
        <v>1071578.0002859307</v>
      </c>
      <c r="F32" s="26">
        <f t="shared" si="2"/>
        <v>9.0566091978188865</v>
      </c>
    </row>
    <row r="33" spans="1:6" x14ac:dyDescent="0.2">
      <c r="B33" s="31" t="s">
        <v>35</v>
      </c>
      <c r="C33" s="31"/>
      <c r="D33" s="61">
        <f>SUM(D5:D32)</f>
        <v>3231553</v>
      </c>
      <c r="E33" s="32">
        <f>SUM(E5:E32)</f>
        <v>27430898.000000004</v>
      </c>
      <c r="F33" s="33">
        <f t="shared" si="2"/>
        <v>8.4884567884234006</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IF(F3="1",SUMIF(Data!A:A,'25'!$A$2,Data!CU:CU),0)</f>
        <v>86176</v>
      </c>
      <c r="E36" s="16">
        <f>IF(F3="1",SUMIF(Data!$A:$A,'25'!$A$2,Data!IO:IO),0)</f>
        <v>46470</v>
      </c>
      <c r="F36" s="21">
        <f t="shared" ref="F36:F64" si="3">IFERROR(E36/D36,"")</f>
        <v>0.53924526550315632</v>
      </c>
    </row>
    <row r="37" spans="1:6" x14ac:dyDescent="0.2">
      <c r="A37" s="20">
        <v>2</v>
      </c>
      <c r="B37" s="179" t="s">
        <v>1</v>
      </c>
      <c r="C37" s="180"/>
      <c r="D37" s="15">
        <f>IF(F3="1",SUMIF(Data!A:A,'25'!$A$2,Data!CV:CV),0)</f>
        <v>135616</v>
      </c>
      <c r="E37" s="18">
        <f>IF(F3="1",SUMIF(Data!$A:$A,'25'!$A$2,Data!IP:IP),0)</f>
        <v>155341</v>
      </c>
      <c r="F37" s="22">
        <f t="shared" si="3"/>
        <v>1.1454474398301084</v>
      </c>
    </row>
    <row r="38" spans="1:6" ht="14.25" customHeight="1" x14ac:dyDescent="0.2">
      <c r="A38" s="20">
        <v>3</v>
      </c>
      <c r="B38" s="179" t="s">
        <v>2</v>
      </c>
      <c r="C38" s="180"/>
      <c r="D38" s="15">
        <f>IF(F3="1",SUMIF(Data!A:A,'25'!$A$2,Data!CW:CW),0)</f>
        <v>422304</v>
      </c>
      <c r="E38" s="18">
        <f>IF(F3="1",SUMIF(Data!$A:$A,'25'!$A$2,Data!IQ:IQ),0)</f>
        <v>325783</v>
      </c>
      <c r="F38" s="22">
        <f t="shared" si="3"/>
        <v>0.77144189967416832</v>
      </c>
    </row>
    <row r="39" spans="1:6" ht="14.25" customHeight="1" x14ac:dyDescent="0.2">
      <c r="A39" s="20">
        <v>4</v>
      </c>
      <c r="B39" s="179" t="s">
        <v>3</v>
      </c>
      <c r="C39" s="180"/>
      <c r="D39" s="15">
        <f>IF(F3="1",SUMIF(Data!A:A,'25'!$A$2,Data!CX:CX),0)</f>
        <v>243349</v>
      </c>
      <c r="E39" s="18">
        <f>IF(F3="1",SUMIF(Data!$A:$A,'25'!$A$2,Data!IR:IR),0)</f>
        <v>152904</v>
      </c>
      <c r="F39" s="22">
        <f t="shared" si="3"/>
        <v>0.6283321484781117</v>
      </c>
    </row>
    <row r="40" spans="1:6" x14ac:dyDescent="0.2">
      <c r="A40" s="20">
        <v>5</v>
      </c>
      <c r="B40" s="179" t="s">
        <v>4</v>
      </c>
      <c r="C40" s="180"/>
      <c r="D40" s="15">
        <f>IF(F3="1",SUMIF(Data!A:A,'25'!$A$2,Data!CY:CY),0)</f>
        <v>12000</v>
      </c>
      <c r="E40" s="18">
        <f>IF(F3="1",SUMIF(Data!$A:$A,'25'!$A$2,Data!IS:IS),0)</f>
        <v>150949</v>
      </c>
      <c r="F40" s="22">
        <f t="shared" si="3"/>
        <v>12.579083333333333</v>
      </c>
    </row>
    <row r="41" spans="1:6" x14ac:dyDescent="0.2">
      <c r="A41" s="20">
        <v>6</v>
      </c>
      <c r="B41" s="179" t="s">
        <v>5</v>
      </c>
      <c r="C41" s="180"/>
      <c r="D41" s="15">
        <f>IF(F3="1",SUMIF(Data!A:A,'25'!$A$2,Data!CZ:CZ),0)</f>
        <v>27808</v>
      </c>
      <c r="E41" s="18">
        <f>IF(F3="1",SUMIF(Data!$A:$A,'25'!$A$2,Data!IT:IT),0)</f>
        <v>37830</v>
      </c>
      <c r="F41" s="22">
        <f t="shared" si="3"/>
        <v>1.3603998849252015</v>
      </c>
    </row>
    <row r="42" spans="1:6" x14ac:dyDescent="0.2">
      <c r="A42" s="20">
        <v>7</v>
      </c>
      <c r="B42" s="179" t="s">
        <v>6</v>
      </c>
      <c r="C42" s="180"/>
      <c r="D42" s="15">
        <f>IF(F3="1",SUMIF(Data!A:A,'25'!$A$2,Data!DA:DA),0)</f>
        <v>156780</v>
      </c>
      <c r="E42" s="18">
        <f>IF(F3="1",SUMIF(Data!$A:$A,'25'!$A$2,Data!IU:IU),0)</f>
        <v>146891</v>
      </c>
      <c r="F42" s="22">
        <f t="shared" si="3"/>
        <v>0.93692435259599438</v>
      </c>
    </row>
    <row r="43" spans="1:6" x14ac:dyDescent="0.2">
      <c r="A43" s="20">
        <v>8</v>
      </c>
      <c r="B43" s="179" t="s">
        <v>7</v>
      </c>
      <c r="C43" s="180"/>
      <c r="D43" s="15">
        <f>IF(F3="1",SUMIF(Data!A:A,'25'!$A$2,Data!DB:DB),0)</f>
        <v>84534</v>
      </c>
      <c r="E43" s="18">
        <f>IF(F3="1",SUMIF(Data!$A:$A,'25'!$A$2,Data!IV:IV),0)</f>
        <v>184979</v>
      </c>
      <c r="F43" s="22">
        <f t="shared" si="3"/>
        <v>2.1882201244469681</v>
      </c>
    </row>
    <row r="44" spans="1:6" x14ac:dyDescent="0.2">
      <c r="A44" s="20">
        <v>9</v>
      </c>
      <c r="B44" s="179" t="s">
        <v>8</v>
      </c>
      <c r="C44" s="180"/>
      <c r="D44" s="15">
        <f>IF(F3="1",SUMIF(Data!A:A,'25'!$A$2,Data!DC:DC),0)</f>
        <v>235064</v>
      </c>
      <c r="E44" s="18">
        <f>IF(F3="1",SUMIF(Data!$A:$A,'25'!$A$2,Data!IW:IW),0)</f>
        <v>148078</v>
      </c>
      <c r="F44" s="22">
        <f t="shared" si="3"/>
        <v>0.62994758874178947</v>
      </c>
    </row>
    <row r="45" spans="1:6" x14ac:dyDescent="0.2">
      <c r="A45" s="20">
        <v>10</v>
      </c>
      <c r="B45" s="179" t="s">
        <v>9</v>
      </c>
      <c r="C45" s="180"/>
      <c r="D45" s="15">
        <f>IF(F3="1",SUMIF(Data!A:A,'25'!$A$2,Data!DD:DD),0)</f>
        <v>0</v>
      </c>
      <c r="E45" s="18">
        <f>IF(F3="1",SUMIF(Data!$A:$A,'25'!$A$2,Data!IX:IX),0)</f>
        <v>0</v>
      </c>
      <c r="F45" s="22" t="str">
        <f t="shared" si="3"/>
        <v/>
      </c>
    </row>
    <row r="46" spans="1:6" x14ac:dyDescent="0.2">
      <c r="A46" s="20">
        <v>11</v>
      </c>
      <c r="B46" s="179" t="s">
        <v>10</v>
      </c>
      <c r="C46" s="180"/>
      <c r="D46" s="15">
        <f>IF(F3="1",SUMIF(Data!A:A,'25'!$A$2,Data!DE:DE),0)</f>
        <v>207462</v>
      </c>
      <c r="E46" s="18">
        <f>IF(F3="1",SUMIF(Data!$A:$A,'25'!$A$2,Data!IY:IY),0)</f>
        <v>138364</v>
      </c>
      <c r="F46" s="22">
        <f t="shared" si="3"/>
        <v>0.66693659561751073</v>
      </c>
    </row>
    <row r="47" spans="1:6" ht="14.25" customHeight="1" x14ac:dyDescent="0.2">
      <c r="A47" s="20">
        <v>12</v>
      </c>
      <c r="B47" s="179" t="s">
        <v>11</v>
      </c>
      <c r="C47" s="180"/>
      <c r="D47" s="15">
        <f>IF(F3="1",SUMIF(Data!A:A,'25'!$A$2,Data!DF:DF),0)</f>
        <v>270672</v>
      </c>
      <c r="E47" s="18">
        <f>IF(F3="1",SUMIF(Data!$A:$A,'25'!$A$2,Data!IZ:IZ),0)</f>
        <v>309940</v>
      </c>
      <c r="F47" s="22">
        <f t="shared" si="3"/>
        <v>1.1450759590944022</v>
      </c>
    </row>
    <row r="48" spans="1:6" x14ac:dyDescent="0.2">
      <c r="A48" s="20">
        <v>13</v>
      </c>
      <c r="B48" s="179" t="s">
        <v>12</v>
      </c>
      <c r="C48" s="180"/>
      <c r="D48" s="15">
        <f>IF(F3="1",SUMIF(Data!A:A,'25'!$A$2,Data!DG:DG),0)</f>
        <v>34256</v>
      </c>
      <c r="E48" s="18">
        <f>IF(F3="1",SUMIF(Data!$A:$A,'25'!$A$2,Data!JA:JA),0)</f>
        <v>37707</v>
      </c>
      <c r="F48" s="22">
        <f t="shared" si="3"/>
        <v>1.1007414759458196</v>
      </c>
    </row>
    <row r="49" spans="1:6" ht="14.25" customHeight="1" x14ac:dyDescent="0.2">
      <c r="A49" s="20">
        <v>14</v>
      </c>
      <c r="B49" s="179" t="s">
        <v>804</v>
      </c>
      <c r="C49" s="180"/>
      <c r="D49" s="15">
        <f>IF(F3="1",SUMIF(Data!A:A,'25'!$A$2,Data!DH:DH),0)</f>
        <v>172201</v>
      </c>
      <c r="E49" s="18">
        <f>IF(F3="1",SUMIF(Data!$A:$A,'25'!$A$2,Data!JB:JB),0)</f>
        <v>337804</v>
      </c>
      <c r="F49" s="22">
        <f t="shared" si="3"/>
        <v>1.9616843107763602</v>
      </c>
    </row>
    <row r="50" spans="1:6" x14ac:dyDescent="0.2">
      <c r="A50" s="20">
        <v>15</v>
      </c>
      <c r="B50" s="179" t="s">
        <v>13</v>
      </c>
      <c r="C50" s="180"/>
      <c r="D50" s="15">
        <f>IF(F3="1",SUMIF(Data!A:A,'25'!$A$2,Data!DI:DI),0)</f>
        <v>0</v>
      </c>
      <c r="E50" s="18">
        <f>IF(F3="1",SUMIF(Data!$A:$A,'25'!$A$2,Data!JC:JC),0)</f>
        <v>0</v>
      </c>
      <c r="F50" s="22" t="str">
        <f t="shared" si="3"/>
        <v/>
      </c>
    </row>
    <row r="51" spans="1:6" x14ac:dyDescent="0.2">
      <c r="A51" s="20">
        <v>16</v>
      </c>
      <c r="B51" s="179" t="s">
        <v>14</v>
      </c>
      <c r="C51" s="180"/>
      <c r="D51" s="15">
        <f>IF(F3="1",SUMIF(Data!A:A,'25'!$A$2,Data!DJ:DJ),0)</f>
        <v>51916</v>
      </c>
      <c r="E51" s="18">
        <f>IF(F3="1",SUMIF(Data!$A:$A,'25'!$A$2,Data!JD:JD),0)</f>
        <v>127452</v>
      </c>
      <c r="F51" s="22">
        <f t="shared" si="3"/>
        <v>2.4549657138454428</v>
      </c>
    </row>
    <row r="52" spans="1:6" x14ac:dyDescent="0.2">
      <c r="A52" s="20">
        <v>17</v>
      </c>
      <c r="B52" s="179" t="s">
        <v>15</v>
      </c>
      <c r="C52" s="180"/>
      <c r="D52" s="15">
        <f>IF(F3="1",SUMIF(Data!A:A,'25'!$A$2,Data!DK:DK),0)</f>
        <v>0</v>
      </c>
      <c r="E52" s="18">
        <f>IF(F3="1",SUMIF(Data!$A:$A,'25'!$A$2,Data!JE:JE),0)</f>
        <v>0</v>
      </c>
      <c r="F52" s="22" t="str">
        <f t="shared" si="3"/>
        <v/>
      </c>
    </row>
    <row r="53" spans="1:6" x14ac:dyDescent="0.2">
      <c r="A53" s="20">
        <v>18</v>
      </c>
      <c r="B53" s="179" t="s">
        <v>16</v>
      </c>
      <c r="C53" s="180"/>
      <c r="D53" s="15">
        <f>IF(F3="1",SUMIF(Data!A:A,'25'!$A$2,Data!DL:DL),0)</f>
        <v>42864</v>
      </c>
      <c r="E53" s="18">
        <f>IF(F3="1",SUMIF(Data!$A:$A,'25'!$A$2,Data!JF:JF),0)</f>
        <v>86408</v>
      </c>
      <c r="F53" s="22">
        <f t="shared" si="3"/>
        <v>2.0158641284061218</v>
      </c>
    </row>
    <row r="54" spans="1:6" x14ac:dyDescent="0.2">
      <c r="A54" s="20">
        <v>19</v>
      </c>
      <c r="B54" s="179" t="s">
        <v>17</v>
      </c>
      <c r="C54" s="180"/>
      <c r="D54" s="15">
        <f>IF(F3="1",SUMIF(Data!A:A,'25'!$A$2,Data!DM:DM),0)</f>
        <v>118176</v>
      </c>
      <c r="E54" s="18">
        <f>IF(F3="1",SUMIF(Data!$A:$A,'25'!$A$2,Data!JG:JG),0)</f>
        <v>157057</v>
      </c>
      <c r="F54" s="22">
        <f t="shared" si="3"/>
        <v>1.3290092743027349</v>
      </c>
    </row>
    <row r="55" spans="1:6" x14ac:dyDescent="0.2">
      <c r="A55" s="20">
        <v>20</v>
      </c>
      <c r="B55" s="179" t="s">
        <v>18</v>
      </c>
      <c r="C55" s="180"/>
      <c r="D55" s="15">
        <f>IF(F3="1",SUMIF(Data!A:A,'25'!$A$2,Data!DN:DN),0)</f>
        <v>32304</v>
      </c>
      <c r="E55" s="18">
        <f>IF(F3="1",SUMIF(Data!$A:$A,'25'!$A$2,Data!JH:JH),0)</f>
        <v>9699</v>
      </c>
      <c r="F55" s="22">
        <f t="shared" si="3"/>
        <v>0.30024145616641901</v>
      </c>
    </row>
    <row r="56" spans="1:6" ht="14.25" customHeight="1" x14ac:dyDescent="0.2">
      <c r="A56" s="20">
        <v>21</v>
      </c>
      <c r="B56" s="179" t="s">
        <v>801</v>
      </c>
      <c r="C56" s="180"/>
      <c r="D56" s="15">
        <f>IF(F3="1",SUMIF(Data!A:A,'25'!$A$2,Data!DO:DO),0)</f>
        <v>38656</v>
      </c>
      <c r="E56" s="18">
        <f>IF(F3="1",SUMIF(Data!$A:$A,'25'!$A$2,Data!JI:JI),0)</f>
        <v>27336</v>
      </c>
      <c r="F56" s="22">
        <f t="shared" si="3"/>
        <v>0.70716059602649006</v>
      </c>
    </row>
    <row r="57" spans="1:6" x14ac:dyDescent="0.2">
      <c r="A57" s="20">
        <v>22</v>
      </c>
      <c r="B57" s="179" t="s">
        <v>19</v>
      </c>
      <c r="C57" s="180"/>
      <c r="D57" s="15">
        <f>IF(F3="1",SUMIF(Data!A:A,'25'!$A$2,Data!DP:DP),0)</f>
        <v>32760</v>
      </c>
      <c r="E57" s="18">
        <f>IF(F3="1",SUMIF(Data!$A:$A,'25'!$A$2,Data!JJ:JJ),0)</f>
        <v>0</v>
      </c>
      <c r="F57" s="22">
        <f t="shared" si="3"/>
        <v>0</v>
      </c>
    </row>
    <row r="58" spans="1:6" x14ac:dyDescent="0.2">
      <c r="A58" s="20">
        <v>23</v>
      </c>
      <c r="B58" s="179" t="s">
        <v>20</v>
      </c>
      <c r="C58" s="180"/>
      <c r="D58" s="15">
        <f>IF(F3="1",SUMIF(Data!A:A,'25'!$A$2,Data!DQ:DQ),0)</f>
        <v>76224</v>
      </c>
      <c r="E58" s="18">
        <f>IF(F3="1",SUMIF(Data!$A:$A,'25'!$A$2,Data!JK:JK),0)</f>
        <v>299178</v>
      </c>
      <c r="F58" s="22">
        <f t="shared" si="3"/>
        <v>3.924984256926952</v>
      </c>
    </row>
    <row r="59" spans="1:6" x14ac:dyDescent="0.2">
      <c r="A59" s="20">
        <v>24</v>
      </c>
      <c r="B59" s="179" t="s">
        <v>21</v>
      </c>
      <c r="C59" s="180"/>
      <c r="D59" s="15">
        <f>IF(F3="1",SUMIF(Data!A:A,'25'!$A$2,Data!DR:DR),0)</f>
        <v>35632</v>
      </c>
      <c r="E59" s="18">
        <f>IF(F3="1",SUMIF(Data!$A:$A,'25'!$A$2,Data!JL:JL),0)</f>
        <v>14464</v>
      </c>
      <c r="F59" s="22">
        <f t="shared" si="3"/>
        <v>0.40592725639874272</v>
      </c>
    </row>
    <row r="60" spans="1:6" x14ac:dyDescent="0.2">
      <c r="A60" s="20">
        <v>25</v>
      </c>
      <c r="B60" s="179" t="s">
        <v>22</v>
      </c>
      <c r="C60" s="180"/>
      <c r="D60" s="15">
        <f>IF(F3="1",SUMIF(Data!A:A,'25'!$A$2,Data!DS:DS),0)</f>
        <v>339472</v>
      </c>
      <c r="E60" s="18">
        <f>IF(F3="1",SUMIF(Data!$A:$A,'25'!$A$2,Data!JM:JM),0)</f>
        <v>180813</v>
      </c>
      <c r="F60" s="22">
        <f t="shared" si="3"/>
        <v>0.53263008436630999</v>
      </c>
    </row>
    <row r="61" spans="1:6" x14ac:dyDescent="0.2">
      <c r="A61" s="20">
        <v>26</v>
      </c>
      <c r="B61" s="179" t="s">
        <v>23</v>
      </c>
      <c r="C61" s="180"/>
      <c r="D61" s="15">
        <f>IF(F3="1",SUMIF(Data!A:A,'25'!$A$2,Data!DT:DT),0)</f>
        <v>132047</v>
      </c>
      <c r="E61" s="18">
        <f>IF(F3="1",SUMIF(Data!$A:$A,'25'!$A$2,Data!JN:JN),0)</f>
        <v>184912</v>
      </c>
      <c r="F61" s="22">
        <f t="shared" si="3"/>
        <v>1.4003498754231447</v>
      </c>
    </row>
    <row r="62" spans="1:6" x14ac:dyDescent="0.2">
      <c r="A62" s="20">
        <v>28</v>
      </c>
      <c r="B62" s="179" t="s">
        <v>24</v>
      </c>
      <c r="C62" s="180"/>
      <c r="D62" s="15">
        <f>IF(F3="1",SUMIF(Data!A:A,'25'!$A$2,Data!DV:DV),0)</f>
        <v>124960</v>
      </c>
      <c r="E62" s="18">
        <f>IF(F3="1",SUMIF(Data!$A:$A,'25'!$A$2,Data!JP:JP),0)</f>
        <v>73688</v>
      </c>
      <c r="F62" s="22">
        <f t="shared" si="3"/>
        <v>0.58969270166453269</v>
      </c>
    </row>
    <row r="63" spans="1:6" ht="15.75" customHeight="1" thickBot="1" x14ac:dyDescent="0.25">
      <c r="A63" s="23">
        <v>29</v>
      </c>
      <c r="B63" s="181" t="s">
        <v>25</v>
      </c>
      <c r="C63" s="182"/>
      <c r="D63" s="24">
        <f>IF(F3="1",SUMIF(Data!A:A,'25'!$A$2,Data!DW:DW),0)</f>
        <v>118320</v>
      </c>
      <c r="E63" s="25">
        <f>IF(F3="1",SUMIF(Data!$A:$A,'25'!$A$2,Data!JQ:JQ),0)</f>
        <v>82252</v>
      </c>
      <c r="F63" s="26">
        <f t="shared" si="3"/>
        <v>0.69516565246788375</v>
      </c>
    </row>
    <row r="64" spans="1:6" x14ac:dyDescent="0.2">
      <c r="B64" s="31" t="s">
        <v>35</v>
      </c>
      <c r="C64" s="31"/>
      <c r="D64" s="61">
        <f>SUM(D36:D63)</f>
        <v>3231553</v>
      </c>
      <c r="E64" s="32">
        <f>SUM(E36:E63)</f>
        <v>3416299</v>
      </c>
      <c r="F64" s="33">
        <f t="shared" si="3"/>
        <v>1.057169416686033</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86176</v>
      </c>
      <c r="E67" s="16">
        <f>IF(F3="1",SUMIF(Data!A:A,'25'!$A$2,Data!DY:DY),0)</f>
        <v>189209</v>
      </c>
      <c r="F67" s="21">
        <f>IFERROR(E67/D67,"")</f>
        <v>2.1956113070924621</v>
      </c>
    </row>
    <row r="68" spans="1:6" x14ac:dyDescent="0.2">
      <c r="A68" s="20">
        <v>2</v>
      </c>
      <c r="B68" s="179" t="s">
        <v>1</v>
      </c>
      <c r="C68" s="180"/>
      <c r="D68" s="15">
        <f t="shared" ref="D68:D94" si="4">D37</f>
        <v>135616</v>
      </c>
      <c r="E68" s="18">
        <f>IF(F3="1",SUMIF(Data!A:A,'25'!$A$2,Data!DZ:DZ),0)</f>
        <v>851851</v>
      </c>
      <c r="F68" s="22">
        <f t="shared" ref="F68:F95" si="5">IFERROR(E68/D68,"")</f>
        <v>6.2813458588957056</v>
      </c>
    </row>
    <row r="69" spans="1:6" ht="14.25" customHeight="1" x14ac:dyDescent="0.2">
      <c r="A69" s="20">
        <v>3</v>
      </c>
      <c r="B69" s="179" t="s">
        <v>2</v>
      </c>
      <c r="C69" s="180"/>
      <c r="D69" s="15">
        <f t="shared" si="4"/>
        <v>422304</v>
      </c>
      <c r="E69" s="18">
        <f>IF(F3="1",SUMIF(Data!A:A,'25'!$A$2,Data!EA:EA),0)</f>
        <v>1248563</v>
      </c>
      <c r="F69" s="22">
        <f t="shared" si="5"/>
        <v>2.9565502576343108</v>
      </c>
    </row>
    <row r="70" spans="1:6" ht="14.25" customHeight="1" x14ac:dyDescent="0.2">
      <c r="A70" s="20">
        <v>4</v>
      </c>
      <c r="B70" s="179" t="s">
        <v>3</v>
      </c>
      <c r="C70" s="180"/>
      <c r="D70" s="15">
        <f t="shared" si="4"/>
        <v>243349</v>
      </c>
      <c r="E70" s="18">
        <f>IF(F3="1",SUMIF(Data!A:A,'25'!$A$2,Data!EB:EB),0)</f>
        <v>771664</v>
      </c>
      <c r="F70" s="22">
        <f t="shared" si="5"/>
        <v>3.1710177563910267</v>
      </c>
    </row>
    <row r="71" spans="1:6" x14ac:dyDescent="0.2">
      <c r="A71" s="20">
        <v>5</v>
      </c>
      <c r="B71" s="179" t="s">
        <v>4</v>
      </c>
      <c r="C71" s="180"/>
      <c r="D71" s="15">
        <f t="shared" si="4"/>
        <v>12000</v>
      </c>
      <c r="E71" s="18">
        <f>IF(F3="1",SUMIF(Data!A:A,'25'!$A$2,Data!EC:EC),0)</f>
        <v>11324</v>
      </c>
      <c r="F71" s="22">
        <f t="shared" si="5"/>
        <v>0.94366666666666665</v>
      </c>
    </row>
    <row r="72" spans="1:6" x14ac:dyDescent="0.2">
      <c r="A72" s="20">
        <v>6</v>
      </c>
      <c r="B72" s="179" t="s">
        <v>5</v>
      </c>
      <c r="C72" s="180"/>
      <c r="D72" s="15">
        <f t="shared" si="4"/>
        <v>27808</v>
      </c>
      <c r="E72" s="18">
        <f>IF(F3="1",SUMIF(Data!A:A,'25'!$A$2,Data!ED:ED),0)</f>
        <v>114381</v>
      </c>
      <c r="F72" s="22">
        <f t="shared" si="5"/>
        <v>4.1132407940161109</v>
      </c>
    </row>
    <row r="73" spans="1:6" x14ac:dyDescent="0.2">
      <c r="A73" s="20">
        <v>7</v>
      </c>
      <c r="B73" s="179" t="s">
        <v>6</v>
      </c>
      <c r="C73" s="180"/>
      <c r="D73" s="15">
        <f t="shared" si="4"/>
        <v>156780</v>
      </c>
      <c r="E73" s="18">
        <f>IF(F3="1",SUMIF(Data!A:A,'25'!$A$2,Data!EE:EE),0)</f>
        <v>722507</v>
      </c>
      <c r="F73" s="22">
        <f t="shared" si="5"/>
        <v>4.6084130628906745</v>
      </c>
    </row>
    <row r="74" spans="1:6" x14ac:dyDescent="0.2">
      <c r="A74" s="20">
        <v>8</v>
      </c>
      <c r="B74" s="179" t="s">
        <v>7</v>
      </c>
      <c r="C74" s="180"/>
      <c r="D74" s="15">
        <f t="shared" si="4"/>
        <v>84534</v>
      </c>
      <c r="E74" s="18">
        <f>IF(F3="1",SUMIF(Data!A:A,'25'!$A$2,Data!EF:EF),0)</f>
        <v>498653</v>
      </c>
      <c r="F74" s="22">
        <f t="shared" si="5"/>
        <v>5.8988454349729107</v>
      </c>
    </row>
    <row r="75" spans="1:6" x14ac:dyDescent="0.2">
      <c r="A75" s="20">
        <v>9</v>
      </c>
      <c r="B75" s="179" t="s">
        <v>8</v>
      </c>
      <c r="C75" s="180"/>
      <c r="D75" s="15">
        <f t="shared" si="4"/>
        <v>235064</v>
      </c>
      <c r="E75" s="18">
        <f>IF(F3="1",SUMIF(Data!A:A,'25'!$A$2,Data!EG:EG),0)</f>
        <v>478729</v>
      </c>
      <c r="F75" s="22">
        <f t="shared" si="5"/>
        <v>2.0365900350542829</v>
      </c>
    </row>
    <row r="76" spans="1:6" x14ac:dyDescent="0.2">
      <c r="A76" s="20">
        <v>10</v>
      </c>
      <c r="B76" s="179" t="s">
        <v>9</v>
      </c>
      <c r="C76" s="180"/>
      <c r="D76" s="15">
        <f t="shared" si="4"/>
        <v>0</v>
      </c>
      <c r="E76" s="18">
        <f>IF(F3="1",SUMIF(Data!A:A,'25'!$A$2,Data!EH:EH),0)</f>
        <v>0</v>
      </c>
      <c r="F76" s="22" t="str">
        <f t="shared" si="5"/>
        <v/>
      </c>
    </row>
    <row r="77" spans="1:6" x14ac:dyDescent="0.2">
      <c r="A77" s="20">
        <v>11</v>
      </c>
      <c r="B77" s="179" t="s">
        <v>10</v>
      </c>
      <c r="C77" s="180"/>
      <c r="D77" s="15">
        <f t="shared" si="4"/>
        <v>207462</v>
      </c>
      <c r="E77" s="18">
        <f>IF(F3="1",SUMIF(Data!A:A,'25'!$A$2,Data!EI:EI),0)</f>
        <v>638396</v>
      </c>
      <c r="F77" s="22">
        <f t="shared" si="5"/>
        <v>3.0771707589823678</v>
      </c>
    </row>
    <row r="78" spans="1:6" ht="14.25" customHeight="1" x14ac:dyDescent="0.2">
      <c r="A78" s="20">
        <v>12</v>
      </c>
      <c r="B78" s="179" t="s">
        <v>11</v>
      </c>
      <c r="C78" s="180"/>
      <c r="D78" s="15">
        <f t="shared" si="4"/>
        <v>270672</v>
      </c>
      <c r="E78" s="18">
        <f>IF(F3="1",SUMIF(Data!A:A,'25'!$A$2,Data!EJ:EJ),0)</f>
        <v>1341001</v>
      </c>
      <c r="F78" s="22">
        <f t="shared" si="5"/>
        <v>4.9543395696636523</v>
      </c>
    </row>
    <row r="79" spans="1:6" x14ac:dyDescent="0.2">
      <c r="A79" s="20">
        <v>13</v>
      </c>
      <c r="B79" s="179" t="s">
        <v>12</v>
      </c>
      <c r="C79" s="180"/>
      <c r="D79" s="15">
        <f t="shared" si="4"/>
        <v>34256</v>
      </c>
      <c r="E79" s="18">
        <f>IF(F3="1",SUMIF(Data!A:A,'25'!$A$2,Data!EK:EK),0)</f>
        <v>207438</v>
      </c>
      <c r="F79" s="22">
        <f t="shared" si="5"/>
        <v>6.0555231200373658</v>
      </c>
    </row>
    <row r="80" spans="1:6" ht="14.25" customHeight="1" x14ac:dyDescent="0.2">
      <c r="A80" s="20">
        <v>14</v>
      </c>
      <c r="B80" s="179" t="s">
        <v>804</v>
      </c>
      <c r="C80" s="180"/>
      <c r="D80" s="15">
        <f t="shared" si="4"/>
        <v>172201</v>
      </c>
      <c r="E80" s="18">
        <f>IF(F3="1",SUMIF(Data!A:A,'25'!$A$2,Data!EL:EL),0)</f>
        <v>945611</v>
      </c>
      <c r="F80" s="22">
        <f t="shared" si="5"/>
        <v>5.4913211886109838</v>
      </c>
    </row>
    <row r="81" spans="1:6" x14ac:dyDescent="0.2">
      <c r="A81" s="20">
        <v>15</v>
      </c>
      <c r="B81" s="179" t="s">
        <v>13</v>
      </c>
      <c r="C81" s="180"/>
      <c r="D81" s="15">
        <f t="shared" si="4"/>
        <v>0</v>
      </c>
      <c r="E81" s="18">
        <f>IF(F3="1",SUMIF(Data!A:A,'25'!$A$2,Data!EM:EM),0)</f>
        <v>0</v>
      </c>
      <c r="F81" s="22" t="str">
        <f t="shared" si="5"/>
        <v/>
      </c>
    </row>
    <row r="82" spans="1:6" x14ac:dyDescent="0.2">
      <c r="A82" s="20">
        <v>16</v>
      </c>
      <c r="B82" s="179" t="s">
        <v>14</v>
      </c>
      <c r="C82" s="180"/>
      <c r="D82" s="15">
        <f t="shared" si="4"/>
        <v>51916</v>
      </c>
      <c r="E82" s="18">
        <f>IF(F3="1",SUMIF(Data!A:A,'25'!$A$2,Data!EN:EN),0)</f>
        <v>316819</v>
      </c>
      <c r="F82" s="22">
        <f t="shared" si="5"/>
        <v>6.102531011634178</v>
      </c>
    </row>
    <row r="83" spans="1:6" x14ac:dyDescent="0.2">
      <c r="A83" s="20">
        <v>17</v>
      </c>
      <c r="B83" s="179" t="s">
        <v>15</v>
      </c>
      <c r="C83" s="180"/>
      <c r="D83" s="15">
        <f t="shared" si="4"/>
        <v>0</v>
      </c>
      <c r="E83" s="18">
        <f>IF(F3="1",SUMIF(Data!A:A,'25'!$A$2,Data!EO:EO),0)</f>
        <v>0</v>
      </c>
      <c r="F83" s="22" t="str">
        <f t="shared" si="5"/>
        <v/>
      </c>
    </row>
    <row r="84" spans="1:6" x14ac:dyDescent="0.2">
      <c r="A84" s="20">
        <v>18</v>
      </c>
      <c r="B84" s="179" t="s">
        <v>16</v>
      </c>
      <c r="C84" s="180"/>
      <c r="D84" s="15">
        <f t="shared" si="4"/>
        <v>42864</v>
      </c>
      <c r="E84" s="18">
        <f>IF(F3="1",SUMIF(Data!A:A,'25'!$A$2,Data!EP:EP),0)</f>
        <v>240826</v>
      </c>
      <c r="F84" s="22">
        <f t="shared" si="5"/>
        <v>5.6183743934303845</v>
      </c>
    </row>
    <row r="85" spans="1:6" x14ac:dyDescent="0.2">
      <c r="A85" s="20">
        <v>19</v>
      </c>
      <c r="B85" s="179" t="s">
        <v>17</v>
      </c>
      <c r="C85" s="180"/>
      <c r="D85" s="15">
        <f t="shared" si="4"/>
        <v>118176</v>
      </c>
      <c r="E85" s="18">
        <f>IF(F3="1",SUMIF(Data!A:A,'25'!$A$2,Data!EQ:EQ),0)</f>
        <v>494683</v>
      </c>
      <c r="F85" s="22">
        <f t="shared" si="5"/>
        <v>4.1859853100460329</v>
      </c>
    </row>
    <row r="86" spans="1:6" x14ac:dyDescent="0.2">
      <c r="A86" s="20">
        <v>20</v>
      </c>
      <c r="B86" s="179" t="s">
        <v>18</v>
      </c>
      <c r="C86" s="180"/>
      <c r="D86" s="15">
        <f t="shared" si="4"/>
        <v>32304</v>
      </c>
      <c r="E86" s="18">
        <f>IF(F3="1",SUMIF(Data!A:A,'25'!$A$2,Data!ER:ER),0)</f>
        <v>57625</v>
      </c>
      <c r="F86" s="22">
        <f t="shared" si="5"/>
        <v>1.7838348192174345</v>
      </c>
    </row>
    <row r="87" spans="1:6" ht="14.25" customHeight="1" x14ac:dyDescent="0.2">
      <c r="A87" s="20">
        <v>21</v>
      </c>
      <c r="B87" s="179" t="s">
        <v>801</v>
      </c>
      <c r="C87" s="180"/>
      <c r="D87" s="15">
        <f t="shared" si="4"/>
        <v>38656</v>
      </c>
      <c r="E87" s="18">
        <f>IF(F3="1",SUMIF(Data!A:A,'25'!$A$2,Data!ES:ES),0)</f>
        <v>134359</v>
      </c>
      <c r="F87" s="22">
        <f t="shared" si="5"/>
        <v>3.4757605546357615</v>
      </c>
    </row>
    <row r="88" spans="1:6" x14ac:dyDescent="0.2">
      <c r="A88" s="20">
        <v>22</v>
      </c>
      <c r="B88" s="179" t="s">
        <v>19</v>
      </c>
      <c r="C88" s="180"/>
      <c r="D88" s="15">
        <f t="shared" si="4"/>
        <v>32760</v>
      </c>
      <c r="E88" s="18">
        <f>IF(F3="1",SUMIF(Data!A:A,'25'!$A$2,Data!ET:ET),0)</f>
        <v>0</v>
      </c>
      <c r="F88" s="22">
        <f t="shared" si="5"/>
        <v>0</v>
      </c>
    </row>
    <row r="89" spans="1:6" x14ac:dyDescent="0.2">
      <c r="A89" s="20">
        <v>23</v>
      </c>
      <c r="B89" s="179" t="s">
        <v>20</v>
      </c>
      <c r="C89" s="180"/>
      <c r="D89" s="15">
        <f t="shared" si="4"/>
        <v>76224</v>
      </c>
      <c r="E89" s="18">
        <f>IF(F3="1",SUMIF(Data!A:A,'25'!$A$2,Data!EU:EU),0)</f>
        <v>563292</v>
      </c>
      <c r="F89" s="22">
        <f t="shared" si="5"/>
        <v>7.389955919395466</v>
      </c>
    </row>
    <row r="90" spans="1:6" x14ac:dyDescent="0.2">
      <c r="A90" s="20">
        <v>24</v>
      </c>
      <c r="B90" s="179" t="s">
        <v>21</v>
      </c>
      <c r="C90" s="180"/>
      <c r="D90" s="15">
        <f t="shared" si="4"/>
        <v>35632</v>
      </c>
      <c r="E90" s="18">
        <f>IF(F3="1",SUMIF(Data!A:A,'25'!$A$2,Data!EV:EV),0)</f>
        <v>73522</v>
      </c>
      <c r="F90" s="22">
        <f t="shared" si="5"/>
        <v>2.0633700044903458</v>
      </c>
    </row>
    <row r="91" spans="1:6" x14ac:dyDescent="0.2">
      <c r="A91" s="20">
        <v>25</v>
      </c>
      <c r="B91" s="179" t="s">
        <v>22</v>
      </c>
      <c r="C91" s="180"/>
      <c r="D91" s="15">
        <f t="shared" si="4"/>
        <v>339472</v>
      </c>
      <c r="E91" s="18">
        <f>IF(F3="1",SUMIF(Data!A:A,'25'!$A$2,Data!EW:EW),0)</f>
        <v>1063035</v>
      </c>
      <c r="F91" s="22">
        <f t="shared" si="5"/>
        <v>3.1314364660413818</v>
      </c>
    </row>
    <row r="92" spans="1:6" x14ac:dyDescent="0.2">
      <c r="A92" s="20">
        <v>26</v>
      </c>
      <c r="B92" s="179" t="s">
        <v>23</v>
      </c>
      <c r="C92" s="180"/>
      <c r="D92" s="15">
        <f t="shared" si="4"/>
        <v>132047</v>
      </c>
      <c r="E92" s="18">
        <f>IF(F3="1",SUMIF(Data!A:A,'25'!$A$2,Data!EX:EX),0)</f>
        <v>637650</v>
      </c>
      <c r="F92" s="22">
        <f t="shared" si="5"/>
        <v>4.8289624148977257</v>
      </c>
    </row>
    <row r="93" spans="1:6" x14ac:dyDescent="0.2">
      <c r="A93" s="20">
        <v>28</v>
      </c>
      <c r="B93" s="179" t="s">
        <v>24</v>
      </c>
      <c r="C93" s="180"/>
      <c r="D93" s="15">
        <f t="shared" si="4"/>
        <v>124960</v>
      </c>
      <c r="E93" s="18">
        <f>IF(F3="1",SUMIF(Data!A:A,'25'!$A$2,Data!EZ:EZ),0)</f>
        <v>514874</v>
      </c>
      <c r="F93" s="22">
        <f t="shared" si="5"/>
        <v>4.1203104993597952</v>
      </c>
    </row>
    <row r="94" spans="1:6" ht="15.75" customHeight="1" thickBot="1" x14ac:dyDescent="0.25">
      <c r="A94" s="23">
        <v>29</v>
      </c>
      <c r="B94" s="181" t="s">
        <v>25</v>
      </c>
      <c r="C94" s="182"/>
      <c r="D94" s="24">
        <f t="shared" si="4"/>
        <v>118320</v>
      </c>
      <c r="E94" s="25">
        <f>IF(F3="1",SUMIF(Data!A:A,'25'!$A$2,Data!FA:FA),0)</f>
        <v>574714</v>
      </c>
      <c r="F94" s="26">
        <f t="shared" si="5"/>
        <v>4.8572853279242736</v>
      </c>
    </row>
    <row r="95" spans="1:6" x14ac:dyDescent="0.2">
      <c r="B95" s="31" t="s">
        <v>35</v>
      </c>
      <c r="C95" s="31"/>
      <c r="D95" s="61">
        <f>SUM(D67:D94)</f>
        <v>3231553</v>
      </c>
      <c r="E95" s="32">
        <f>SUM(E67:E94)</f>
        <v>12690726</v>
      </c>
      <c r="F95" s="33">
        <f t="shared" si="5"/>
        <v>3.9271291543106366</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IF(F3="1",SUMIF(Data!A:A,'25'!$A$2,Data!AH:AH),0)</f>
        <v>5800455</v>
      </c>
      <c r="F98" s="21">
        <f t="shared" ref="F98:F105" si="6">IFERROR(E98/$D$95,0)</f>
        <v>1.7949434838296014</v>
      </c>
    </row>
    <row r="99" spans="2:6" x14ac:dyDescent="0.2">
      <c r="B99" s="185" t="s">
        <v>31</v>
      </c>
      <c r="C99" s="186"/>
      <c r="D99" s="37"/>
      <c r="E99" s="18">
        <f>IF(F3="1",SUMIF(Data!A:A,'25'!$A$2,Data!AI:AI),0)</f>
        <v>2067582</v>
      </c>
      <c r="F99" s="22">
        <f t="shared" si="6"/>
        <v>0.63981064212779426</v>
      </c>
    </row>
    <row r="100" spans="2:6" x14ac:dyDescent="0.2">
      <c r="B100" s="185" t="s">
        <v>32</v>
      </c>
      <c r="C100" s="186"/>
      <c r="D100" s="37"/>
      <c r="E100" s="18">
        <f>IF(F3="1",SUMIF(Data!A:A,'25'!$A$2,Data!AJ:AJ),0)</f>
        <v>2256268</v>
      </c>
      <c r="F100" s="22">
        <f t="shared" si="6"/>
        <v>0.69819928684443666</v>
      </c>
    </row>
    <row r="101" spans="2:6" x14ac:dyDescent="0.2">
      <c r="B101" s="185" t="s">
        <v>28</v>
      </c>
      <c r="C101" s="186"/>
      <c r="D101" s="37"/>
      <c r="E101" s="18">
        <f>IF(F3="1",SUMIF(Data!A:A,'25'!$A$2,Data!AK:AK),0)</f>
        <v>0</v>
      </c>
      <c r="F101" s="22">
        <f t="shared" si="6"/>
        <v>0</v>
      </c>
    </row>
    <row r="102" spans="2:6" x14ac:dyDescent="0.2">
      <c r="B102" s="185" t="s">
        <v>33</v>
      </c>
      <c r="C102" s="186"/>
      <c r="D102" s="37"/>
      <c r="E102" s="18">
        <f>IF(F3="1",SUMIF(Data!A:A,'25'!$A$2,Data!AL:AL),0)</f>
        <v>0</v>
      </c>
      <c r="F102" s="22">
        <f t="shared" si="6"/>
        <v>0</v>
      </c>
    </row>
    <row r="103" spans="2:6" x14ac:dyDescent="0.2">
      <c r="B103" s="187" t="s">
        <v>34</v>
      </c>
      <c r="C103" s="188"/>
      <c r="D103" s="37"/>
      <c r="E103" s="18">
        <f>IF(F3="1",SUMIF(Data!A:A,'25'!$A$2,Data!AM:AM),0)</f>
        <v>0</v>
      </c>
      <c r="F103" s="22">
        <f t="shared" si="6"/>
        <v>0</v>
      </c>
    </row>
    <row r="104" spans="2:6" ht="15.75" customHeight="1" thickBot="1" x14ac:dyDescent="0.25">
      <c r="B104" s="177" t="s">
        <v>29</v>
      </c>
      <c r="C104" s="178"/>
      <c r="D104" s="38"/>
      <c r="E104" s="25">
        <f>IF(F3="1",SUMIF(Data!A:A,'25'!$A$2,Data!Q:Q),0)</f>
        <v>1199568</v>
      </c>
      <c r="F104" s="26">
        <f t="shared" si="6"/>
        <v>0.37120480462489708</v>
      </c>
    </row>
    <row r="105" spans="2:6" x14ac:dyDescent="0.2">
      <c r="B105" s="31" t="s">
        <v>35</v>
      </c>
      <c r="C105" s="31"/>
      <c r="D105" s="35">
        <f>D95</f>
        <v>3231553</v>
      </c>
      <c r="E105" s="32">
        <f>SUM(E98:E104)</f>
        <v>11323873</v>
      </c>
      <c r="F105" s="33">
        <f t="shared" si="6"/>
        <v>3.5041582174267294</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13284657</v>
      </c>
      <c r="D109" s="16">
        <f>IF(F3="1",SUMIF(Data!$A:$A,$A$2,Data!HJ:HJ),0)</f>
        <v>1901270</v>
      </c>
      <c r="E109" s="16">
        <f>IF(F3="1",SUMIF(Data!$A:$A,$A$2,Data!IN:IN),0)</f>
        <v>921097</v>
      </c>
      <c r="F109" s="48">
        <f>SUM(C109:E109)</f>
        <v>16107024</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521379</v>
      </c>
      <c r="D111" s="52"/>
      <c r="E111" s="51">
        <f>IF(F3="1",SUMIF(Data!A:A,$A$2,Data!AX:AX),0)</f>
        <v>593583</v>
      </c>
      <c r="F111" s="49">
        <f t="shared" si="7"/>
        <v>1114962</v>
      </c>
    </row>
    <row r="112" spans="2:6" x14ac:dyDescent="0.2">
      <c r="B112" s="43" t="s">
        <v>32</v>
      </c>
      <c r="C112" s="51">
        <f>IF(F3="1",SUMIF(Data!A:A,$A$2,Data!V:V),0)</f>
        <v>1946768</v>
      </c>
      <c r="D112" s="52"/>
      <c r="E112" s="51">
        <f>IF(F3="1",SUMIF(Data!A:A,$A$2,Data!AC:AC),0)</f>
        <v>309500</v>
      </c>
      <c r="F112" s="49">
        <f t="shared" si="7"/>
        <v>2256268</v>
      </c>
    </row>
    <row r="113" spans="1:6" x14ac:dyDescent="0.2">
      <c r="B113" s="43" t="s">
        <v>31</v>
      </c>
      <c r="C113" s="51">
        <f>IF(F3="1",SUMIF(Data!A:A,$A$2,Data!U:U),0)</f>
        <v>1792009</v>
      </c>
      <c r="D113" s="52"/>
      <c r="E113" s="51">
        <f>IF(F3="1",SUMIF(Data!A:A,$A$2,Data!AB:AB),0)</f>
        <v>275573</v>
      </c>
      <c r="F113" s="49">
        <f t="shared" si="7"/>
        <v>2067582</v>
      </c>
    </row>
    <row r="114" spans="1:6" x14ac:dyDescent="0.2">
      <c r="B114" s="43" t="s">
        <v>1363</v>
      </c>
      <c r="C114" s="51">
        <f>IF(F3="1",SUMIF(Data!A:A,$A$2,Data!T:T),0)</f>
        <v>4121531</v>
      </c>
      <c r="D114" s="52"/>
      <c r="E114" s="51">
        <f>IF(F3="1",SUMIF(Data!A:A,$A$2,Data!AA:AA),0)</f>
        <v>1678924</v>
      </c>
      <c r="F114" s="49">
        <f t="shared" si="7"/>
        <v>5800455</v>
      </c>
    </row>
    <row r="115" spans="1:6" x14ac:dyDescent="0.2">
      <c r="B115" s="43" t="s">
        <v>1278</v>
      </c>
      <c r="C115" s="51">
        <f>IF(F3="1",SUMIF(Data!A:A,$A$2,Data!BI:BI),0)</f>
        <v>1645461</v>
      </c>
      <c r="D115" s="51">
        <f>IF(F3="1",SUMIF(Data!A:A,$A$2,Data!BL:BL),0)</f>
        <v>235495</v>
      </c>
      <c r="E115" s="51">
        <f>IF(F3="1",SUMIF(Data!A:A,$A$2,Data!BU:BU),0)</f>
        <v>3746433</v>
      </c>
      <c r="F115" s="49">
        <f t="shared" si="7"/>
        <v>5627389</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1199568</v>
      </c>
      <c r="E117" s="53"/>
      <c r="F117" s="50">
        <f>SUM(C117:E117)</f>
        <v>1199568</v>
      </c>
    </row>
    <row r="118" spans="1:6" x14ac:dyDescent="0.2">
      <c r="B118" s="14" t="s">
        <v>35</v>
      </c>
      <c r="C118" s="5">
        <f>SUM(C109:C116)</f>
        <v>23311805</v>
      </c>
      <c r="D118" s="5">
        <f>SUM(D109:D116)</f>
        <v>2136765</v>
      </c>
      <c r="E118" s="5">
        <f>SUM(E109:E116)</f>
        <v>7525110</v>
      </c>
      <c r="F118" s="5">
        <f>SUM(F109:F116)</f>
        <v>32973680</v>
      </c>
    </row>
    <row r="119" spans="1:6" ht="15" thickBot="1" x14ac:dyDescent="0.25"/>
    <row r="120" spans="1:6" ht="15" thickBot="1" x14ac:dyDescent="0.25">
      <c r="B120" s="57" t="s">
        <v>1283</v>
      </c>
      <c r="C120" s="55"/>
      <c r="D120" s="55"/>
      <c r="E120" s="55">
        <f>IF(F3="1",SUMIF(Data!A:A,'25'!$A$2,Data!AM:AM),0)</f>
        <v>0</v>
      </c>
      <c r="F120" s="56">
        <f>SUM(C120:E120)</f>
        <v>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4.5703125" style="11" bestFit="1" customWidth="1"/>
    <col min="13"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718</v>
      </c>
      <c r="B2" s="60" t="str">
        <f>VLOOKUP(A2,Data!A:G,7,0)</f>
        <v>Lone Star College System District</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69536</v>
      </c>
      <c r="E5" s="16">
        <f>E36+E67+IFERROR($E$105/$D$105*D5,0)</f>
        <v>448705.00717819913</v>
      </c>
      <c r="F5" s="21">
        <f>IFERROR(E5/D5,"")</f>
        <v>6.4528446729492508</v>
      </c>
    </row>
    <row r="6" spans="1:6" x14ac:dyDescent="0.2">
      <c r="A6" s="20">
        <v>2</v>
      </c>
      <c r="B6" s="179" t="s">
        <v>1</v>
      </c>
      <c r="C6" s="180"/>
      <c r="D6" s="15">
        <f t="shared" ref="D6:D32" si="0">D37</f>
        <v>205108</v>
      </c>
      <c r="E6" s="18">
        <f t="shared" ref="E6:E32" si="1">E37+E68+IFERROR($E$105/$D$105*D6,0)</f>
        <v>2026133.3872570477</v>
      </c>
      <c r="F6" s="22">
        <f t="shared" ref="F6:F33" si="2">IFERROR(E6/D6,"")</f>
        <v>9.8783732826464483</v>
      </c>
    </row>
    <row r="7" spans="1:6" ht="14.25" customHeight="1" x14ac:dyDescent="0.2">
      <c r="A7" s="20">
        <v>3</v>
      </c>
      <c r="B7" s="179" t="s">
        <v>2</v>
      </c>
      <c r="C7" s="180"/>
      <c r="D7" s="15">
        <f t="shared" si="0"/>
        <v>3105824</v>
      </c>
      <c r="E7" s="18">
        <f t="shared" si="1"/>
        <v>23854066.781267591</v>
      </c>
      <c r="F7" s="22">
        <f t="shared" si="2"/>
        <v>7.6804309520654073</v>
      </c>
    </row>
    <row r="8" spans="1:6" ht="14.25" customHeight="1" x14ac:dyDescent="0.2">
      <c r="A8" s="20">
        <v>4</v>
      </c>
      <c r="B8" s="179" t="s">
        <v>3</v>
      </c>
      <c r="C8" s="180"/>
      <c r="D8" s="15">
        <f t="shared" si="0"/>
        <v>1191050</v>
      </c>
      <c r="E8" s="18">
        <f t="shared" si="1"/>
        <v>9456771.844650168</v>
      </c>
      <c r="F8" s="22">
        <f t="shared" si="2"/>
        <v>7.9398613363420241</v>
      </c>
    </row>
    <row r="9" spans="1:6" x14ac:dyDescent="0.2">
      <c r="A9" s="20">
        <v>5</v>
      </c>
      <c r="B9" s="179" t="s">
        <v>4</v>
      </c>
      <c r="C9" s="180"/>
      <c r="D9" s="15">
        <f t="shared" si="0"/>
        <v>4320</v>
      </c>
      <c r="E9" s="18">
        <f t="shared" si="1"/>
        <v>39747.040022575646</v>
      </c>
      <c r="F9" s="22">
        <f t="shared" si="2"/>
        <v>9.2007037089295469</v>
      </c>
    </row>
    <row r="10" spans="1:6" x14ac:dyDescent="0.2">
      <c r="A10" s="20">
        <v>6</v>
      </c>
      <c r="B10" s="179" t="s">
        <v>5</v>
      </c>
      <c r="C10" s="180"/>
      <c r="D10" s="15">
        <f t="shared" si="0"/>
        <v>165514</v>
      </c>
      <c r="E10" s="18">
        <f t="shared" si="1"/>
        <v>1026350.0176612467</v>
      </c>
      <c r="F10" s="22">
        <f t="shared" si="2"/>
        <v>6.2009861260149997</v>
      </c>
    </row>
    <row r="11" spans="1:6" x14ac:dyDescent="0.2">
      <c r="A11" s="20">
        <v>7</v>
      </c>
      <c r="B11" s="179" t="s">
        <v>6</v>
      </c>
      <c r="C11" s="180"/>
      <c r="D11" s="15">
        <f t="shared" si="0"/>
        <v>1097797</v>
      </c>
      <c r="E11" s="18">
        <f t="shared" si="1"/>
        <v>9124992.5422832128</v>
      </c>
      <c r="F11" s="22">
        <f t="shared" si="2"/>
        <v>8.3120946243096068</v>
      </c>
    </row>
    <row r="12" spans="1:6" x14ac:dyDescent="0.2">
      <c r="A12" s="20">
        <v>8</v>
      </c>
      <c r="B12" s="179" t="s">
        <v>7</v>
      </c>
      <c r="C12" s="180"/>
      <c r="D12" s="15">
        <f t="shared" si="0"/>
        <v>21000</v>
      </c>
      <c r="E12" s="18">
        <f t="shared" si="1"/>
        <v>193066.80566529831</v>
      </c>
      <c r="F12" s="22">
        <f t="shared" si="2"/>
        <v>9.193657412633252</v>
      </c>
    </row>
    <row r="13" spans="1:6" x14ac:dyDescent="0.2">
      <c r="A13" s="20">
        <v>9</v>
      </c>
      <c r="B13" s="179" t="s">
        <v>8</v>
      </c>
      <c r="C13" s="180"/>
      <c r="D13" s="15">
        <f t="shared" si="0"/>
        <v>410229</v>
      </c>
      <c r="E13" s="18">
        <f t="shared" si="1"/>
        <v>3117722.3797271261</v>
      </c>
      <c r="F13" s="22">
        <f t="shared" si="2"/>
        <v>7.5999560726499737</v>
      </c>
    </row>
    <row r="14" spans="1:6" x14ac:dyDescent="0.2">
      <c r="A14" s="20">
        <v>10</v>
      </c>
      <c r="B14" s="179" t="s">
        <v>9</v>
      </c>
      <c r="C14" s="180"/>
      <c r="D14" s="15">
        <f t="shared" si="0"/>
        <v>112</v>
      </c>
      <c r="E14" s="18">
        <f t="shared" si="1"/>
        <v>1339.0602968815908</v>
      </c>
      <c r="F14" s="22">
        <f t="shared" si="2"/>
        <v>11.955895507871347</v>
      </c>
    </row>
    <row r="15" spans="1:6" x14ac:dyDescent="0.2">
      <c r="A15" s="20">
        <v>11</v>
      </c>
      <c r="B15" s="179" t="s">
        <v>10</v>
      </c>
      <c r="C15" s="180"/>
      <c r="D15" s="15">
        <f t="shared" si="0"/>
        <v>435166</v>
      </c>
      <c r="E15" s="18">
        <f t="shared" si="1"/>
        <v>4098840.0102926288</v>
      </c>
      <c r="F15" s="22">
        <f t="shared" si="2"/>
        <v>9.4190263262585514</v>
      </c>
    </row>
    <row r="16" spans="1:6" ht="14.25" customHeight="1" x14ac:dyDescent="0.2">
      <c r="A16" s="20">
        <v>12</v>
      </c>
      <c r="B16" s="179" t="s">
        <v>11</v>
      </c>
      <c r="C16" s="180"/>
      <c r="D16" s="15">
        <f t="shared" si="0"/>
        <v>3156204</v>
      </c>
      <c r="E16" s="18">
        <f t="shared" si="1"/>
        <v>25941253.368382722</v>
      </c>
      <c r="F16" s="22">
        <f t="shared" si="2"/>
        <v>8.2191307559279192</v>
      </c>
    </row>
    <row r="17" spans="1:6" x14ac:dyDescent="0.2">
      <c r="A17" s="20">
        <v>13</v>
      </c>
      <c r="B17" s="179" t="s">
        <v>12</v>
      </c>
      <c r="C17" s="180"/>
      <c r="D17" s="15">
        <f t="shared" si="0"/>
        <v>562918</v>
      </c>
      <c r="E17" s="18">
        <f t="shared" si="1"/>
        <v>4025954.7160713519</v>
      </c>
      <c r="F17" s="22">
        <f t="shared" si="2"/>
        <v>7.1519381438706029</v>
      </c>
    </row>
    <row r="18" spans="1:6" ht="14.25" customHeight="1" x14ac:dyDescent="0.2">
      <c r="A18" s="20">
        <v>14</v>
      </c>
      <c r="B18" s="179" t="s">
        <v>804</v>
      </c>
      <c r="C18" s="180"/>
      <c r="D18" s="15">
        <f t="shared" si="0"/>
        <v>588004</v>
      </c>
      <c r="E18" s="18">
        <f t="shared" si="1"/>
        <v>7493296.6679246696</v>
      </c>
      <c r="F18" s="22">
        <f t="shared" si="2"/>
        <v>12.743615124939064</v>
      </c>
    </row>
    <row r="19" spans="1:6" x14ac:dyDescent="0.2">
      <c r="A19" s="20">
        <v>15</v>
      </c>
      <c r="B19" s="179" t="s">
        <v>13</v>
      </c>
      <c r="C19" s="180"/>
      <c r="D19" s="15">
        <f t="shared" si="0"/>
        <v>22160</v>
      </c>
      <c r="E19" s="18">
        <f t="shared" si="1"/>
        <v>535227.5015972862</v>
      </c>
      <c r="F19" s="22">
        <f t="shared" si="2"/>
        <v>24.152865595545407</v>
      </c>
    </row>
    <row r="20" spans="1:6" x14ac:dyDescent="0.2">
      <c r="A20" s="20">
        <v>16</v>
      </c>
      <c r="B20" s="179" t="s">
        <v>14</v>
      </c>
      <c r="C20" s="180"/>
      <c r="D20" s="15">
        <f t="shared" si="0"/>
        <v>730709</v>
      </c>
      <c r="E20" s="18">
        <f t="shared" si="1"/>
        <v>7579211.2006611638</v>
      </c>
      <c r="F20" s="22">
        <f t="shared" si="2"/>
        <v>10.372407074035168</v>
      </c>
    </row>
    <row r="21" spans="1:6" x14ac:dyDescent="0.2">
      <c r="A21" s="20">
        <v>17</v>
      </c>
      <c r="B21" s="179" t="s">
        <v>15</v>
      </c>
      <c r="C21" s="180"/>
      <c r="D21" s="15">
        <f t="shared" si="0"/>
        <v>75424</v>
      </c>
      <c r="E21" s="18">
        <f t="shared" si="1"/>
        <v>1184890.8913571171</v>
      </c>
      <c r="F21" s="22">
        <f t="shared" si="2"/>
        <v>15.709732861650364</v>
      </c>
    </row>
    <row r="22" spans="1:6" x14ac:dyDescent="0.2">
      <c r="A22" s="20">
        <v>18</v>
      </c>
      <c r="B22" s="179" t="s">
        <v>16</v>
      </c>
      <c r="C22" s="180"/>
      <c r="D22" s="15">
        <f t="shared" si="0"/>
        <v>132912</v>
      </c>
      <c r="E22" s="18">
        <f t="shared" si="1"/>
        <v>1408265.6980279107</v>
      </c>
      <c r="F22" s="22">
        <f t="shared" si="2"/>
        <v>10.595474434422103</v>
      </c>
    </row>
    <row r="23" spans="1:6" x14ac:dyDescent="0.2">
      <c r="A23" s="20">
        <v>19</v>
      </c>
      <c r="B23" s="179" t="s">
        <v>17</v>
      </c>
      <c r="C23" s="180"/>
      <c r="D23" s="15">
        <f t="shared" si="0"/>
        <v>1406192</v>
      </c>
      <c r="E23" s="18">
        <f t="shared" si="1"/>
        <v>9920696.9017189108</v>
      </c>
      <c r="F23" s="22">
        <f t="shared" si="2"/>
        <v>7.0550087766954377</v>
      </c>
    </row>
    <row r="24" spans="1:6" x14ac:dyDescent="0.2">
      <c r="A24" s="20">
        <v>20</v>
      </c>
      <c r="B24" s="179" t="s">
        <v>18</v>
      </c>
      <c r="C24" s="180"/>
      <c r="D24" s="15">
        <f t="shared" si="0"/>
        <v>91048</v>
      </c>
      <c r="E24" s="18">
        <f t="shared" si="1"/>
        <v>809326.80277209892</v>
      </c>
      <c r="F24" s="22">
        <f t="shared" si="2"/>
        <v>8.8890124195160674</v>
      </c>
    </row>
    <row r="25" spans="1:6" ht="14.25" customHeight="1" x14ac:dyDescent="0.2">
      <c r="A25" s="20">
        <v>21</v>
      </c>
      <c r="B25" s="179" t="s">
        <v>801</v>
      </c>
      <c r="C25" s="180"/>
      <c r="D25" s="15">
        <f t="shared" si="0"/>
        <v>49694</v>
      </c>
      <c r="E25" s="18">
        <f t="shared" si="1"/>
        <v>553440.34279673011</v>
      </c>
      <c r="F25" s="22">
        <f t="shared" si="2"/>
        <v>11.136965082237898</v>
      </c>
    </row>
    <row r="26" spans="1:6" x14ac:dyDescent="0.2">
      <c r="A26" s="20">
        <v>22</v>
      </c>
      <c r="B26" s="179" t="s">
        <v>19</v>
      </c>
      <c r="C26" s="180"/>
      <c r="D26" s="15">
        <f t="shared" si="0"/>
        <v>32306</v>
      </c>
      <c r="E26" s="18">
        <f t="shared" si="1"/>
        <v>307453.23170586315</v>
      </c>
      <c r="F26" s="22">
        <f t="shared" si="2"/>
        <v>9.5169080575082994</v>
      </c>
    </row>
    <row r="27" spans="1:6" x14ac:dyDescent="0.2">
      <c r="A27" s="20">
        <v>23</v>
      </c>
      <c r="B27" s="179" t="s">
        <v>20</v>
      </c>
      <c r="C27" s="180"/>
      <c r="D27" s="15">
        <f t="shared" si="0"/>
        <v>500176</v>
      </c>
      <c r="E27" s="18">
        <f t="shared" si="1"/>
        <v>4264086.8486879161</v>
      </c>
      <c r="F27" s="22">
        <f t="shared" si="2"/>
        <v>8.5251728365373705</v>
      </c>
    </row>
    <row r="28" spans="1:6" x14ac:dyDescent="0.2">
      <c r="A28" s="20">
        <v>24</v>
      </c>
      <c r="B28" s="179" t="s">
        <v>21</v>
      </c>
      <c r="C28" s="180"/>
      <c r="D28" s="15">
        <f t="shared" si="0"/>
        <v>410994</v>
      </c>
      <c r="E28" s="18">
        <f t="shared" si="1"/>
        <v>3252598.5326477909</v>
      </c>
      <c r="F28" s="22">
        <f t="shared" si="2"/>
        <v>7.9139805755018102</v>
      </c>
    </row>
    <row r="29" spans="1:6" x14ac:dyDescent="0.2">
      <c r="A29" s="20">
        <v>25</v>
      </c>
      <c r="B29" s="179" t="s">
        <v>22</v>
      </c>
      <c r="C29" s="180"/>
      <c r="D29" s="15">
        <f t="shared" si="0"/>
        <v>4455376</v>
      </c>
      <c r="E29" s="18">
        <f t="shared" si="1"/>
        <v>31702666.047134954</v>
      </c>
      <c r="F29" s="22">
        <f t="shared" si="2"/>
        <v>7.1155983349407448</v>
      </c>
    </row>
    <row r="30" spans="1:6" x14ac:dyDescent="0.2">
      <c r="A30" s="20">
        <v>26</v>
      </c>
      <c r="B30" s="179" t="s">
        <v>23</v>
      </c>
      <c r="C30" s="180"/>
      <c r="D30" s="15">
        <f t="shared" si="0"/>
        <v>1221144</v>
      </c>
      <c r="E30" s="18">
        <f t="shared" si="1"/>
        <v>11882227.635492619</v>
      </c>
      <c r="F30" s="22">
        <f t="shared" si="2"/>
        <v>9.7304065986424355</v>
      </c>
    </row>
    <row r="31" spans="1:6" x14ac:dyDescent="0.2">
      <c r="A31" s="20">
        <v>28</v>
      </c>
      <c r="B31" s="179" t="s">
        <v>24</v>
      </c>
      <c r="C31" s="180"/>
      <c r="D31" s="15">
        <f t="shared" si="0"/>
        <v>2096352</v>
      </c>
      <c r="E31" s="18">
        <f t="shared" si="1"/>
        <v>15673246.888288543</v>
      </c>
      <c r="F31" s="22">
        <f t="shared" si="2"/>
        <v>7.4764385409933745</v>
      </c>
    </row>
    <row r="32" spans="1:6" ht="15.75" customHeight="1" thickBot="1" x14ac:dyDescent="0.25">
      <c r="A32" s="23">
        <v>29</v>
      </c>
      <c r="B32" s="181" t="s">
        <v>25</v>
      </c>
      <c r="C32" s="182"/>
      <c r="D32" s="24">
        <f t="shared" si="0"/>
        <v>1358064</v>
      </c>
      <c r="E32" s="25">
        <f t="shared" si="1"/>
        <v>11203869.848430365</v>
      </c>
      <c r="F32" s="26">
        <f t="shared" si="2"/>
        <v>8.2498835463058917</v>
      </c>
    </row>
    <row r="33" spans="1:6" x14ac:dyDescent="0.2">
      <c r="B33" s="31" t="s">
        <v>35</v>
      </c>
      <c r="C33" s="31"/>
      <c r="D33" s="61">
        <f>SUM(D5:D32)</f>
        <v>23595333</v>
      </c>
      <c r="E33" s="32">
        <f>SUM(E5:E32)</f>
        <v>191125448.00000003</v>
      </c>
      <c r="F33" s="33">
        <f t="shared" si="2"/>
        <v>8.1001377687697822</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IF(F3="1",SUMIF(Data!A:A,'26'!$A$2,Data!CU:CU),0)</f>
        <v>69536</v>
      </c>
      <c r="E36" s="16">
        <f>IF(F3="1",SUMIF(Data!$A:$A,'26'!$A$2,Data!IO:IO),0)</f>
        <v>23288</v>
      </c>
      <c r="F36" s="21">
        <f t="shared" ref="F36:F64" si="3">IFERROR(E36/D36,"")</f>
        <v>0.33490566037735847</v>
      </c>
    </row>
    <row r="37" spans="1:6" x14ac:dyDescent="0.2">
      <c r="A37" s="20">
        <v>2</v>
      </c>
      <c r="B37" s="179" t="s">
        <v>1</v>
      </c>
      <c r="C37" s="180"/>
      <c r="D37" s="15">
        <f>IF(F3="1",SUMIF(Data!A:A,'26'!$A$2,Data!CV:CV),0)</f>
        <v>205108</v>
      </c>
      <c r="E37" s="18">
        <f>IF(F3="1",SUMIF(Data!$A:$A,'26'!$A$2,Data!IP:IP),0)</f>
        <v>333757</v>
      </c>
      <c r="F37" s="22">
        <f t="shared" si="3"/>
        <v>1.6272256567271877</v>
      </c>
    </row>
    <row r="38" spans="1:6" ht="14.25" customHeight="1" x14ac:dyDescent="0.2">
      <c r="A38" s="20">
        <v>3</v>
      </c>
      <c r="B38" s="179" t="s">
        <v>2</v>
      </c>
      <c r="C38" s="180"/>
      <c r="D38" s="15">
        <f>IF(F3="1",SUMIF(Data!A:A,'26'!$A$2,Data!CW:CW),0)</f>
        <v>3105824</v>
      </c>
      <c r="E38" s="18">
        <f>IF(F3="1",SUMIF(Data!$A:$A,'26'!$A$2,Data!IQ:IQ),0)</f>
        <v>2301198</v>
      </c>
      <c r="F38" s="22">
        <f t="shared" si="3"/>
        <v>0.74092994322923644</v>
      </c>
    </row>
    <row r="39" spans="1:6" ht="14.25" customHeight="1" x14ac:dyDescent="0.2">
      <c r="A39" s="20">
        <v>4</v>
      </c>
      <c r="B39" s="179" t="s">
        <v>3</v>
      </c>
      <c r="C39" s="180"/>
      <c r="D39" s="15">
        <f>IF(F3="1",SUMIF(Data!A:A,'26'!$A$2,Data!CX:CX),0)</f>
        <v>1191050</v>
      </c>
      <c r="E39" s="18">
        <f>IF(F3="1",SUMIF(Data!$A:$A,'26'!$A$2,Data!IR:IR),0)</f>
        <v>730230</v>
      </c>
      <c r="F39" s="22">
        <f t="shared" si="3"/>
        <v>0.61309768691490707</v>
      </c>
    </row>
    <row r="40" spans="1:6" x14ac:dyDescent="0.2">
      <c r="A40" s="20">
        <v>5</v>
      </c>
      <c r="B40" s="179" t="s">
        <v>4</v>
      </c>
      <c r="C40" s="180"/>
      <c r="D40" s="15">
        <f>IF(F3="1",SUMIF(Data!A:A,'26'!$A$2,Data!CY:CY),0)</f>
        <v>4320</v>
      </c>
      <c r="E40" s="18">
        <f>IF(F3="1",SUMIF(Data!$A:$A,'26'!$A$2,Data!IS:IS),0)</f>
        <v>994</v>
      </c>
      <c r="F40" s="22">
        <f t="shared" si="3"/>
        <v>0.2300925925925926</v>
      </c>
    </row>
    <row r="41" spans="1:6" x14ac:dyDescent="0.2">
      <c r="A41" s="20">
        <v>6</v>
      </c>
      <c r="B41" s="179" t="s">
        <v>5</v>
      </c>
      <c r="C41" s="180"/>
      <c r="D41" s="15">
        <f>IF(F3="1",SUMIF(Data!A:A,'26'!$A$2,Data!CZ:CZ),0)</f>
        <v>165514</v>
      </c>
      <c r="E41" s="18">
        <f>IF(F3="1",SUMIF(Data!$A:$A,'26'!$A$2,Data!IT:IT),0)</f>
        <v>53397</v>
      </c>
      <c r="F41" s="22">
        <f t="shared" si="3"/>
        <v>0.32261319284169315</v>
      </c>
    </row>
    <row r="42" spans="1:6" x14ac:dyDescent="0.2">
      <c r="A42" s="20">
        <v>7</v>
      </c>
      <c r="B42" s="179" t="s">
        <v>6</v>
      </c>
      <c r="C42" s="180"/>
      <c r="D42" s="15">
        <f>IF(F3="1",SUMIF(Data!A:A,'26'!$A$2,Data!DA:DA),0)</f>
        <v>1097797</v>
      </c>
      <c r="E42" s="18">
        <f>IF(F3="1",SUMIF(Data!$A:$A,'26'!$A$2,Data!IU:IU),0)</f>
        <v>602575</v>
      </c>
      <c r="F42" s="22">
        <f t="shared" si="3"/>
        <v>0.54889474101313818</v>
      </c>
    </row>
    <row r="43" spans="1:6" x14ac:dyDescent="0.2">
      <c r="A43" s="20">
        <v>8</v>
      </c>
      <c r="B43" s="179" t="s">
        <v>7</v>
      </c>
      <c r="C43" s="180"/>
      <c r="D43" s="15">
        <f>IF(F3="1",SUMIF(Data!A:A,'26'!$A$2,Data!DB:DB),0)</f>
        <v>21000</v>
      </c>
      <c r="E43" s="18">
        <f>IF(F3="1",SUMIF(Data!$A:$A,'26'!$A$2,Data!IV:IV),0)</f>
        <v>32378</v>
      </c>
      <c r="F43" s="22">
        <f t="shared" si="3"/>
        <v>1.5418095238095237</v>
      </c>
    </row>
    <row r="44" spans="1:6" x14ac:dyDescent="0.2">
      <c r="A44" s="20">
        <v>9</v>
      </c>
      <c r="B44" s="179" t="s">
        <v>8</v>
      </c>
      <c r="C44" s="180"/>
      <c r="D44" s="15">
        <f>IF(F3="1",SUMIF(Data!A:A,'26'!$A$2,Data!DC:DC),0)</f>
        <v>410229</v>
      </c>
      <c r="E44" s="18">
        <f>IF(F3="1",SUMIF(Data!$A:$A,'26'!$A$2,Data!IW:IW),0)</f>
        <v>160655</v>
      </c>
      <c r="F44" s="22">
        <f t="shared" si="3"/>
        <v>0.39162272779350071</v>
      </c>
    </row>
    <row r="45" spans="1:6" x14ac:dyDescent="0.2">
      <c r="A45" s="20">
        <v>10</v>
      </c>
      <c r="B45" s="179" t="s">
        <v>9</v>
      </c>
      <c r="C45" s="180"/>
      <c r="D45" s="15">
        <f>IF(F3="1",SUMIF(Data!A:A,'26'!$A$2,Data!DD:DD),0)</f>
        <v>112</v>
      </c>
      <c r="E45" s="18">
        <f>IF(F3="1",SUMIF(Data!$A:$A,'26'!$A$2,Data!IX:IX),0)</f>
        <v>133</v>
      </c>
      <c r="F45" s="22">
        <f t="shared" si="3"/>
        <v>1.1875</v>
      </c>
    </row>
    <row r="46" spans="1:6" x14ac:dyDescent="0.2">
      <c r="A46" s="20">
        <v>11</v>
      </c>
      <c r="B46" s="179" t="s">
        <v>10</v>
      </c>
      <c r="C46" s="180"/>
      <c r="D46" s="15">
        <f>IF(F3="1",SUMIF(Data!A:A,'26'!$A$2,Data!DE:DE),0)</f>
        <v>435166</v>
      </c>
      <c r="E46" s="18">
        <f>IF(F3="1",SUMIF(Data!$A:$A,'26'!$A$2,Data!IY:IY),0)</f>
        <v>355584</v>
      </c>
      <c r="F46" s="22">
        <f t="shared" si="3"/>
        <v>0.81712266123732091</v>
      </c>
    </row>
    <row r="47" spans="1:6" ht="14.25" customHeight="1" x14ac:dyDescent="0.2">
      <c r="A47" s="20">
        <v>12</v>
      </c>
      <c r="B47" s="179" t="s">
        <v>11</v>
      </c>
      <c r="C47" s="180"/>
      <c r="D47" s="15">
        <f>IF(F3="1",SUMIF(Data!A:A,'26'!$A$2,Data!DF:DF),0)</f>
        <v>3156204</v>
      </c>
      <c r="E47" s="18">
        <f>IF(F3="1",SUMIF(Data!$A:$A,'26'!$A$2,Data!IZ:IZ),0)</f>
        <v>1841398</v>
      </c>
      <c r="F47" s="22">
        <f t="shared" si="3"/>
        <v>0.58342173066126268</v>
      </c>
    </row>
    <row r="48" spans="1:6" x14ac:dyDescent="0.2">
      <c r="A48" s="20">
        <v>13</v>
      </c>
      <c r="B48" s="179" t="s">
        <v>12</v>
      </c>
      <c r="C48" s="180"/>
      <c r="D48" s="15">
        <f>IF(F3="1",SUMIF(Data!A:A,'26'!$A$2,Data!DG:DG),0)</f>
        <v>562918</v>
      </c>
      <c r="E48" s="18">
        <f>IF(F3="1",SUMIF(Data!$A:$A,'26'!$A$2,Data!JA:JA),0)</f>
        <v>117091</v>
      </c>
      <c r="F48" s="22">
        <f t="shared" si="3"/>
        <v>0.20800720531231903</v>
      </c>
    </row>
    <row r="49" spans="1:6" ht="14.25" customHeight="1" x14ac:dyDescent="0.2">
      <c r="A49" s="20">
        <v>14</v>
      </c>
      <c r="B49" s="179" t="s">
        <v>804</v>
      </c>
      <c r="C49" s="180"/>
      <c r="D49" s="15">
        <f>IF(F3="1",SUMIF(Data!A:A,'26'!$A$2,Data!DH:DH),0)</f>
        <v>588004</v>
      </c>
      <c r="E49" s="18">
        <f>IF(F3="1",SUMIF(Data!$A:$A,'26'!$A$2,Data!JB:JB),0)</f>
        <v>964941</v>
      </c>
      <c r="F49" s="22">
        <f t="shared" si="3"/>
        <v>1.6410449588778309</v>
      </c>
    </row>
    <row r="50" spans="1:6" x14ac:dyDescent="0.2">
      <c r="A50" s="20">
        <v>15</v>
      </c>
      <c r="B50" s="179" t="s">
        <v>13</v>
      </c>
      <c r="C50" s="180"/>
      <c r="D50" s="15">
        <f>IF(F3="1",SUMIF(Data!A:A,'26'!$A$2,Data!DI:DI),0)</f>
        <v>22160</v>
      </c>
      <c r="E50" s="18">
        <f>IF(F3="1",SUMIF(Data!$A:$A,'26'!$A$2,Data!JC:JC),0)</f>
        <v>141941</v>
      </c>
      <c r="F50" s="22">
        <f t="shared" si="3"/>
        <v>6.4052797833935022</v>
      </c>
    </row>
    <row r="51" spans="1:6" x14ac:dyDescent="0.2">
      <c r="A51" s="20">
        <v>16</v>
      </c>
      <c r="B51" s="179" t="s">
        <v>14</v>
      </c>
      <c r="C51" s="180"/>
      <c r="D51" s="15">
        <f>IF(F3="1",SUMIF(Data!A:A,'26'!$A$2,Data!DJ:DJ),0)</f>
        <v>730709</v>
      </c>
      <c r="E51" s="18">
        <f>IF(F3="1",SUMIF(Data!$A:$A,'26'!$A$2,Data!JD:JD),0)</f>
        <v>1271008</v>
      </c>
      <c r="F51" s="22">
        <f t="shared" si="3"/>
        <v>1.7394174698819913</v>
      </c>
    </row>
    <row r="52" spans="1:6" x14ac:dyDescent="0.2">
      <c r="A52" s="20">
        <v>17</v>
      </c>
      <c r="B52" s="179" t="s">
        <v>15</v>
      </c>
      <c r="C52" s="180"/>
      <c r="D52" s="15">
        <f>IF(F3="1",SUMIF(Data!A:A,'26'!$A$2,Data!DK:DK),0)</f>
        <v>75424</v>
      </c>
      <c r="E52" s="18">
        <f>IF(F3="1",SUMIF(Data!$A:$A,'26'!$A$2,Data!JE:JE),0)</f>
        <v>75899</v>
      </c>
      <c r="F52" s="22">
        <f t="shared" si="3"/>
        <v>1.0062977301654645</v>
      </c>
    </row>
    <row r="53" spans="1:6" x14ac:dyDescent="0.2">
      <c r="A53" s="20">
        <v>18</v>
      </c>
      <c r="B53" s="179" t="s">
        <v>16</v>
      </c>
      <c r="C53" s="180"/>
      <c r="D53" s="15">
        <f>IF(F3="1",SUMIF(Data!A:A,'26'!$A$2,Data!DL:DL),0)</f>
        <v>132912</v>
      </c>
      <c r="E53" s="18">
        <f>IF(F3="1",SUMIF(Data!$A:$A,'26'!$A$2,Data!JF:JF),0)</f>
        <v>90621</v>
      </c>
      <c r="F53" s="22">
        <f t="shared" si="3"/>
        <v>0.68181202600216684</v>
      </c>
    </row>
    <row r="54" spans="1:6" x14ac:dyDescent="0.2">
      <c r="A54" s="20">
        <v>19</v>
      </c>
      <c r="B54" s="179" t="s">
        <v>17</v>
      </c>
      <c r="C54" s="180"/>
      <c r="D54" s="15">
        <f>IF(F3="1",SUMIF(Data!A:A,'26'!$A$2,Data!DM:DM),0)</f>
        <v>1406192</v>
      </c>
      <c r="E54" s="18">
        <f>IF(F3="1",SUMIF(Data!$A:$A,'26'!$A$2,Data!JG:JG),0)</f>
        <v>543428</v>
      </c>
      <c r="F54" s="22">
        <f t="shared" si="3"/>
        <v>0.38645362795407739</v>
      </c>
    </row>
    <row r="55" spans="1:6" x14ac:dyDescent="0.2">
      <c r="A55" s="20">
        <v>20</v>
      </c>
      <c r="B55" s="179" t="s">
        <v>18</v>
      </c>
      <c r="C55" s="180"/>
      <c r="D55" s="15">
        <f>IF(F3="1",SUMIF(Data!A:A,'26'!$A$2,Data!DN:DN),0)</f>
        <v>91048</v>
      </c>
      <c r="E55" s="18">
        <f>IF(F3="1",SUMIF(Data!$A:$A,'26'!$A$2,Data!JH:JH),0)</f>
        <v>75930</v>
      </c>
      <c r="F55" s="22">
        <f t="shared" si="3"/>
        <v>0.83395571566646165</v>
      </c>
    </row>
    <row r="56" spans="1:6" ht="14.25" customHeight="1" x14ac:dyDescent="0.2">
      <c r="A56" s="20">
        <v>21</v>
      </c>
      <c r="B56" s="179" t="s">
        <v>801</v>
      </c>
      <c r="C56" s="180"/>
      <c r="D56" s="15">
        <f>IF(F3="1",SUMIF(Data!A:A,'26'!$A$2,Data!DO:DO),0)</f>
        <v>49694</v>
      </c>
      <c r="E56" s="18">
        <f>IF(F3="1",SUMIF(Data!$A:$A,'26'!$A$2,Data!JI:JI),0)</f>
        <v>170421</v>
      </c>
      <c r="F56" s="22">
        <f t="shared" si="3"/>
        <v>3.4294079768181271</v>
      </c>
    </row>
    <row r="57" spans="1:6" x14ac:dyDescent="0.2">
      <c r="A57" s="20">
        <v>22</v>
      </c>
      <c r="B57" s="179" t="s">
        <v>19</v>
      </c>
      <c r="C57" s="180"/>
      <c r="D57" s="15">
        <f>IF(F3="1",SUMIF(Data!A:A,'26'!$A$2,Data!DP:DP),0)</f>
        <v>32306</v>
      </c>
      <c r="E57" s="18">
        <f>IF(F3="1",SUMIF(Data!$A:$A,'26'!$A$2,Data!JJ:JJ),0)</f>
        <v>26059</v>
      </c>
      <c r="F57" s="22">
        <f t="shared" si="3"/>
        <v>0.80663034730390637</v>
      </c>
    </row>
    <row r="58" spans="1:6" x14ac:dyDescent="0.2">
      <c r="A58" s="20">
        <v>23</v>
      </c>
      <c r="B58" s="179" t="s">
        <v>20</v>
      </c>
      <c r="C58" s="180"/>
      <c r="D58" s="15">
        <f>IF(F3="1",SUMIF(Data!A:A,'26'!$A$2,Data!DQ:DQ),0)</f>
        <v>500176</v>
      </c>
      <c r="E58" s="18">
        <f>IF(F3="1",SUMIF(Data!$A:$A,'26'!$A$2,Data!JK:JK),0)</f>
        <v>447860</v>
      </c>
      <c r="F58" s="22">
        <f t="shared" si="3"/>
        <v>0.8954048175042385</v>
      </c>
    </row>
    <row r="59" spans="1:6" x14ac:dyDescent="0.2">
      <c r="A59" s="20">
        <v>24</v>
      </c>
      <c r="B59" s="179" t="s">
        <v>21</v>
      </c>
      <c r="C59" s="180"/>
      <c r="D59" s="15">
        <f>IF(F3="1",SUMIF(Data!A:A,'26'!$A$2,Data!DR:DR),0)</f>
        <v>410994</v>
      </c>
      <c r="E59" s="18">
        <f>IF(F3="1",SUMIF(Data!$A:$A,'26'!$A$2,Data!JL:JL),0)</f>
        <v>663154</v>
      </c>
      <c r="F59" s="22">
        <f t="shared" si="3"/>
        <v>1.6135369372788897</v>
      </c>
    </row>
    <row r="60" spans="1:6" x14ac:dyDescent="0.2">
      <c r="A60" s="20">
        <v>25</v>
      </c>
      <c r="B60" s="179" t="s">
        <v>22</v>
      </c>
      <c r="C60" s="180"/>
      <c r="D60" s="15">
        <f>IF(F3="1",SUMIF(Data!A:A,'26'!$A$2,Data!DS:DS),0)</f>
        <v>4455376</v>
      </c>
      <c r="E60" s="18">
        <f>IF(F3="1",SUMIF(Data!$A:$A,'26'!$A$2,Data!JM:JM),0)</f>
        <v>1711184</v>
      </c>
      <c r="F60" s="22">
        <f t="shared" si="3"/>
        <v>0.38407173715529286</v>
      </c>
    </row>
    <row r="61" spans="1:6" x14ac:dyDescent="0.2">
      <c r="A61" s="20">
        <v>26</v>
      </c>
      <c r="B61" s="179" t="s">
        <v>23</v>
      </c>
      <c r="C61" s="180"/>
      <c r="D61" s="15">
        <f>IF(F3="1",SUMIF(Data!A:A,'26'!$A$2,Data!DT:DT),0)</f>
        <v>1221144</v>
      </c>
      <c r="E61" s="18">
        <f>IF(F3="1",SUMIF(Data!$A:$A,'26'!$A$2,Data!JN:JN),0)</f>
        <v>1397998</v>
      </c>
      <c r="F61" s="22">
        <f t="shared" si="3"/>
        <v>1.1448264905694987</v>
      </c>
    </row>
    <row r="62" spans="1:6" x14ac:dyDescent="0.2">
      <c r="A62" s="20">
        <v>28</v>
      </c>
      <c r="B62" s="179" t="s">
        <v>24</v>
      </c>
      <c r="C62" s="180"/>
      <c r="D62" s="15">
        <f>IF(F3="1",SUMIF(Data!A:A,'26'!$A$2,Data!DV:DV),0)</f>
        <v>2096352</v>
      </c>
      <c r="E62" s="18">
        <f>IF(F3="1",SUMIF(Data!$A:$A,'26'!$A$2,Data!JP:JP),0)</f>
        <v>1153994</v>
      </c>
      <c r="F62" s="22">
        <f t="shared" si="3"/>
        <v>0.55047720993420957</v>
      </c>
    </row>
    <row r="63" spans="1:6" ht="15.75" customHeight="1" thickBot="1" x14ac:dyDescent="0.25">
      <c r="A63" s="23">
        <v>29</v>
      </c>
      <c r="B63" s="181" t="s">
        <v>25</v>
      </c>
      <c r="C63" s="182"/>
      <c r="D63" s="24">
        <f>IF(F3="1",SUMIF(Data!A:A,'26'!$A$2,Data!DW:DW),0)</f>
        <v>1358064</v>
      </c>
      <c r="E63" s="25">
        <f>IF(F3="1",SUMIF(Data!$A:$A,'26'!$A$2,Data!JQ:JQ),0)</f>
        <v>784698</v>
      </c>
      <c r="F63" s="26">
        <f t="shared" si="3"/>
        <v>0.57780634785989471</v>
      </c>
    </row>
    <row r="64" spans="1:6" x14ac:dyDescent="0.2">
      <c r="B64" s="31" t="s">
        <v>35</v>
      </c>
      <c r="C64" s="31"/>
      <c r="D64" s="61">
        <f>SUM(D36:D63)</f>
        <v>23595333</v>
      </c>
      <c r="E64" s="32">
        <f>SUM(E36:E63)</f>
        <v>16071814</v>
      </c>
      <c r="F64" s="33">
        <f t="shared" si="3"/>
        <v>0.68114376686270972</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69536</v>
      </c>
      <c r="E67" s="16">
        <f>IF(F3="1",SUMIF(Data!A:A,'26'!$A$2,Data!DY:DY),0)</f>
        <v>127989</v>
      </c>
      <c r="F67" s="21">
        <f>IFERROR(E67/D67,"")</f>
        <v>1.8406149332719741</v>
      </c>
    </row>
    <row r="68" spans="1:6" x14ac:dyDescent="0.2">
      <c r="A68" s="20">
        <v>2</v>
      </c>
      <c r="B68" s="179" t="s">
        <v>1</v>
      </c>
      <c r="C68" s="180"/>
      <c r="D68" s="15">
        <f t="shared" ref="D68:D94" si="4">D37</f>
        <v>205108</v>
      </c>
      <c r="E68" s="18">
        <f>IF(F3="1",SUMIF(Data!A:A,'26'!$A$2,Data!DZ:DZ),0)</f>
        <v>815063</v>
      </c>
      <c r="F68" s="22">
        <f t="shared" ref="F68:F95" si="5">IFERROR(E68/D68,"")</f>
        <v>3.9738235466193421</v>
      </c>
    </row>
    <row r="69" spans="1:6" ht="14.25" customHeight="1" x14ac:dyDescent="0.2">
      <c r="A69" s="20">
        <v>3</v>
      </c>
      <c r="B69" s="179" t="s">
        <v>2</v>
      </c>
      <c r="C69" s="180"/>
      <c r="D69" s="15">
        <f t="shared" si="4"/>
        <v>3105824</v>
      </c>
      <c r="E69" s="18">
        <f>IF(F3="1",SUMIF(Data!A:A,'26'!$A$2,Data!EA:EA),0)</f>
        <v>8268253</v>
      </c>
      <c r="F69" s="22">
        <f t="shared" si="5"/>
        <v>2.6621769295362521</v>
      </c>
    </row>
    <row r="70" spans="1:6" ht="14.25" customHeight="1" x14ac:dyDescent="0.2">
      <c r="A70" s="20">
        <v>4</v>
      </c>
      <c r="B70" s="179" t="s">
        <v>3</v>
      </c>
      <c r="C70" s="180"/>
      <c r="D70" s="15">
        <f t="shared" si="4"/>
        <v>1191050</v>
      </c>
      <c r="E70" s="18">
        <f>IF(F3="1",SUMIF(Data!A:A,'26'!$A$2,Data!EB:EB),0)</f>
        <v>3632035</v>
      </c>
      <c r="F70" s="22">
        <f t="shared" si="5"/>
        <v>3.0494395701271988</v>
      </c>
    </row>
    <row r="71" spans="1:6" x14ac:dyDescent="0.2">
      <c r="A71" s="20">
        <v>5</v>
      </c>
      <c r="B71" s="179" t="s">
        <v>4</v>
      </c>
      <c r="C71" s="180"/>
      <c r="D71" s="15">
        <f t="shared" si="4"/>
        <v>4320</v>
      </c>
      <c r="E71" s="18">
        <f>IF(F3="1",SUMIF(Data!A:A,'26'!$A$2,Data!EC:EC),0)</f>
        <v>20275</v>
      </c>
      <c r="F71" s="22">
        <f t="shared" si="5"/>
        <v>4.6932870370370372</v>
      </c>
    </row>
    <row r="72" spans="1:6" x14ac:dyDescent="0.2">
      <c r="A72" s="20">
        <v>6</v>
      </c>
      <c r="B72" s="179" t="s">
        <v>5</v>
      </c>
      <c r="C72" s="180"/>
      <c r="D72" s="15">
        <f t="shared" si="4"/>
        <v>165514</v>
      </c>
      <c r="E72" s="18">
        <f>IF(F3="1",SUMIF(Data!A:A,'26'!$A$2,Data!ED:ED),0)</f>
        <v>264996</v>
      </c>
      <c r="F72" s="22">
        <f t="shared" si="5"/>
        <v>1.6010488538733882</v>
      </c>
    </row>
    <row r="73" spans="1:6" x14ac:dyDescent="0.2">
      <c r="A73" s="20">
        <v>7</v>
      </c>
      <c r="B73" s="179" t="s">
        <v>6</v>
      </c>
      <c r="C73" s="180"/>
      <c r="D73" s="15">
        <f t="shared" si="4"/>
        <v>1097797</v>
      </c>
      <c r="E73" s="18">
        <f>IF(F3="1",SUMIF(Data!A:A,'26'!$A$2,Data!EE:EE),0)</f>
        <v>3826784</v>
      </c>
      <c r="F73" s="22">
        <f t="shared" si="5"/>
        <v>3.4858758039965494</v>
      </c>
    </row>
    <row r="74" spans="1:6" x14ac:dyDescent="0.2">
      <c r="A74" s="20">
        <v>8</v>
      </c>
      <c r="B74" s="179" t="s">
        <v>7</v>
      </c>
      <c r="C74" s="180"/>
      <c r="D74" s="15">
        <f t="shared" si="4"/>
        <v>21000</v>
      </c>
      <c r="E74" s="18">
        <f>IF(F3="1",SUMIF(Data!A:A,'26'!$A$2,Data!EF:EF),0)</f>
        <v>70865</v>
      </c>
      <c r="F74" s="22">
        <f t="shared" si="5"/>
        <v>3.3745238095238097</v>
      </c>
    </row>
    <row r="75" spans="1:6" x14ac:dyDescent="0.2">
      <c r="A75" s="20">
        <v>9</v>
      </c>
      <c r="B75" s="179" t="s">
        <v>8</v>
      </c>
      <c r="C75" s="180"/>
      <c r="D75" s="15">
        <f t="shared" si="4"/>
        <v>410229</v>
      </c>
      <c r="E75" s="18">
        <f>IF(F3="1",SUMIF(Data!A:A,'26'!$A$2,Data!EG:EG),0)</f>
        <v>1202385</v>
      </c>
      <c r="F75" s="22">
        <f t="shared" si="5"/>
        <v>2.9310092655565549</v>
      </c>
    </row>
    <row r="76" spans="1:6" x14ac:dyDescent="0.2">
      <c r="A76" s="20">
        <v>10</v>
      </c>
      <c r="B76" s="179" t="s">
        <v>9</v>
      </c>
      <c r="C76" s="180"/>
      <c r="D76" s="15">
        <f t="shared" si="4"/>
        <v>112</v>
      </c>
      <c r="E76" s="18">
        <f>IF(F3="1",SUMIF(Data!A:A,'26'!$A$2,Data!EH:EH),0)</f>
        <v>727</v>
      </c>
      <c r="F76" s="22">
        <f t="shared" si="5"/>
        <v>6.4910714285714288</v>
      </c>
    </row>
    <row r="77" spans="1:6" x14ac:dyDescent="0.2">
      <c r="A77" s="20">
        <v>11</v>
      </c>
      <c r="B77" s="179" t="s">
        <v>10</v>
      </c>
      <c r="C77" s="180"/>
      <c r="D77" s="15">
        <f t="shared" si="4"/>
        <v>435166</v>
      </c>
      <c r="E77" s="18">
        <f>IF(F3="1",SUMIF(Data!A:A,'26'!$A$2,Data!EI:EI),0)</f>
        <v>1881910</v>
      </c>
      <c r="F77" s="22">
        <f t="shared" si="5"/>
        <v>4.3245795857213105</v>
      </c>
    </row>
    <row r="78" spans="1:6" ht="14.25" customHeight="1" x14ac:dyDescent="0.2">
      <c r="A78" s="20">
        <v>12</v>
      </c>
      <c r="B78" s="179" t="s">
        <v>11</v>
      </c>
      <c r="C78" s="180"/>
      <c r="D78" s="15">
        <f t="shared" si="4"/>
        <v>3156204</v>
      </c>
      <c r="E78" s="18">
        <f>IF(F3="1",SUMIF(Data!A:A,'26'!$A$2,Data!EJ:EJ),0)</f>
        <v>10599748</v>
      </c>
      <c r="F78" s="22">
        <f t="shared" si="5"/>
        <v>3.3583849459667374</v>
      </c>
    </row>
    <row r="79" spans="1:6" x14ac:dyDescent="0.2">
      <c r="A79" s="20">
        <v>13</v>
      </c>
      <c r="B79" s="179" t="s">
        <v>12</v>
      </c>
      <c r="C79" s="180"/>
      <c r="D79" s="15">
        <f t="shared" si="4"/>
        <v>562918</v>
      </c>
      <c r="E79" s="18">
        <f>IF(F3="1",SUMIF(Data!A:A,'26'!$A$2,Data!EK:EK),0)</f>
        <v>1501081</v>
      </c>
      <c r="F79" s="22">
        <f t="shared" si="5"/>
        <v>2.6666068592583643</v>
      </c>
    </row>
    <row r="80" spans="1:6" ht="14.25" customHeight="1" x14ac:dyDescent="0.2">
      <c r="A80" s="20">
        <v>14</v>
      </c>
      <c r="B80" s="179" t="s">
        <v>804</v>
      </c>
      <c r="C80" s="180"/>
      <c r="D80" s="15">
        <f t="shared" si="4"/>
        <v>588004</v>
      </c>
      <c r="E80" s="18">
        <f>IF(F3="1",SUMIF(Data!A:A,'26'!$A$2,Data!EL:EL),0)</f>
        <v>4013272</v>
      </c>
      <c r="F80" s="22">
        <f t="shared" si="5"/>
        <v>6.8252460867613145</v>
      </c>
    </row>
    <row r="81" spans="1:6" x14ac:dyDescent="0.2">
      <c r="A81" s="20">
        <v>15</v>
      </c>
      <c r="B81" s="179" t="s">
        <v>13</v>
      </c>
      <c r="C81" s="180"/>
      <c r="D81" s="15">
        <f t="shared" si="4"/>
        <v>22160</v>
      </c>
      <c r="E81" s="18">
        <f>IF(F3="1",SUMIF(Data!A:A,'26'!$A$2,Data!EM:EM),0)</f>
        <v>298501</v>
      </c>
      <c r="F81" s="22">
        <f t="shared" si="5"/>
        <v>13.470261732851986</v>
      </c>
    </row>
    <row r="82" spans="1:6" x14ac:dyDescent="0.2">
      <c r="A82" s="20">
        <v>16</v>
      </c>
      <c r="B82" s="179" t="s">
        <v>14</v>
      </c>
      <c r="C82" s="180"/>
      <c r="D82" s="15">
        <f t="shared" si="4"/>
        <v>730709</v>
      </c>
      <c r="E82" s="18">
        <f>IF(F3="1",SUMIF(Data!A:A,'26'!$A$2,Data!EN:EN),0)</f>
        <v>3182724</v>
      </c>
      <c r="F82" s="22">
        <f t="shared" si="5"/>
        <v>4.3556655248532588</v>
      </c>
    </row>
    <row r="83" spans="1:6" x14ac:dyDescent="0.2">
      <c r="A83" s="20">
        <v>17</v>
      </c>
      <c r="B83" s="179" t="s">
        <v>15</v>
      </c>
      <c r="C83" s="180"/>
      <c r="D83" s="15">
        <f t="shared" si="4"/>
        <v>75424</v>
      </c>
      <c r="E83" s="18">
        <f>IF(F3="1",SUMIF(Data!A:A,'26'!$A$2,Data!EO:EO),0)</f>
        <v>786379</v>
      </c>
      <c r="F83" s="22">
        <f t="shared" si="5"/>
        <v>10.42611105218498</v>
      </c>
    </row>
    <row r="84" spans="1:6" x14ac:dyDescent="0.2">
      <c r="A84" s="20">
        <v>18</v>
      </c>
      <c r="B84" s="179" t="s">
        <v>16</v>
      </c>
      <c r="C84" s="180"/>
      <c r="D84" s="15">
        <f t="shared" si="4"/>
        <v>132912</v>
      </c>
      <c r="E84" s="18">
        <f>IF(F3="1",SUMIF(Data!A:A,'26'!$A$2,Data!EP:EP),0)</f>
        <v>749137</v>
      </c>
      <c r="F84" s="22">
        <f t="shared" si="5"/>
        <v>5.6363383291200195</v>
      </c>
    </row>
    <row r="85" spans="1:6" x14ac:dyDescent="0.2">
      <c r="A85" s="20">
        <v>19</v>
      </c>
      <c r="B85" s="179" t="s">
        <v>17</v>
      </c>
      <c r="C85" s="180"/>
      <c r="D85" s="15">
        <f t="shared" si="4"/>
        <v>1406192</v>
      </c>
      <c r="E85" s="18">
        <f>IF(F3="1",SUMIF(Data!A:A,'26'!$A$2,Data!EQ:EQ),0)</f>
        <v>3362530</v>
      </c>
      <c r="F85" s="22">
        <f t="shared" si="5"/>
        <v>2.3912310694414418</v>
      </c>
    </row>
    <row r="86" spans="1:6" x14ac:dyDescent="0.2">
      <c r="A86" s="20">
        <v>20</v>
      </c>
      <c r="B86" s="179" t="s">
        <v>18</v>
      </c>
      <c r="C86" s="180"/>
      <c r="D86" s="15">
        <f t="shared" si="4"/>
        <v>91048</v>
      </c>
      <c r="E86" s="18">
        <f>IF(F3="1",SUMIF(Data!A:A,'26'!$A$2,Data!ER:ER),0)</f>
        <v>343955</v>
      </c>
      <c r="F86" s="22">
        <f t="shared" si="5"/>
        <v>3.7777326245496883</v>
      </c>
    </row>
    <row r="87" spans="1:6" ht="14.25" customHeight="1" x14ac:dyDescent="0.2">
      <c r="A87" s="20">
        <v>21</v>
      </c>
      <c r="B87" s="179" t="s">
        <v>801</v>
      </c>
      <c r="C87" s="180"/>
      <c r="D87" s="15">
        <f t="shared" si="4"/>
        <v>49694</v>
      </c>
      <c r="E87" s="18">
        <f>IF(F3="1",SUMIF(Data!A:A,'26'!$A$2,Data!ES:ES),0)</f>
        <v>170462</v>
      </c>
      <c r="F87" s="22">
        <f t="shared" si="5"/>
        <v>3.4302330261198537</v>
      </c>
    </row>
    <row r="88" spans="1:6" x14ac:dyDescent="0.2">
      <c r="A88" s="20">
        <v>22</v>
      </c>
      <c r="B88" s="179" t="s">
        <v>19</v>
      </c>
      <c r="C88" s="180"/>
      <c r="D88" s="15">
        <f t="shared" si="4"/>
        <v>32306</v>
      </c>
      <c r="E88" s="18">
        <f>IF(F3="1",SUMIF(Data!A:A,'26'!$A$2,Data!ET:ET),0)</f>
        <v>143211</v>
      </c>
      <c r="F88" s="22">
        <f t="shared" si="5"/>
        <v>4.4329536309044757</v>
      </c>
    </row>
    <row r="89" spans="1:6" x14ac:dyDescent="0.2">
      <c r="A89" s="20">
        <v>23</v>
      </c>
      <c r="B89" s="179" t="s">
        <v>20</v>
      </c>
      <c r="C89" s="180"/>
      <c r="D89" s="15">
        <f t="shared" si="4"/>
        <v>500176</v>
      </c>
      <c r="E89" s="18">
        <f>IF(F3="1",SUMIF(Data!A:A,'26'!$A$2,Data!EU:EU),0)</f>
        <v>1676812</v>
      </c>
      <c r="F89" s="22">
        <f t="shared" si="5"/>
        <v>3.352443939733214</v>
      </c>
    </row>
    <row r="90" spans="1:6" x14ac:dyDescent="0.2">
      <c r="A90" s="20">
        <v>24</v>
      </c>
      <c r="B90" s="179" t="s">
        <v>21</v>
      </c>
      <c r="C90" s="180"/>
      <c r="D90" s="15">
        <f t="shared" si="4"/>
        <v>410994</v>
      </c>
      <c r="E90" s="18">
        <f>IF(F3="1",SUMIF(Data!A:A,'26'!$A$2,Data!EV:EV),0)</f>
        <v>831490</v>
      </c>
      <c r="F90" s="22">
        <f t="shared" si="5"/>
        <v>2.0231195589230011</v>
      </c>
    </row>
    <row r="91" spans="1:6" x14ac:dyDescent="0.2">
      <c r="A91" s="20">
        <v>25</v>
      </c>
      <c r="B91" s="179" t="s">
        <v>22</v>
      </c>
      <c r="C91" s="180"/>
      <c r="D91" s="15">
        <f t="shared" si="4"/>
        <v>4455376</v>
      </c>
      <c r="E91" s="18">
        <f>IF(F3="1",SUMIF(Data!A:A,'26'!$A$2,Data!EW:EW),0)</f>
        <v>10934395</v>
      </c>
      <c r="F91" s="22">
        <f t="shared" si="5"/>
        <v>2.4542025184855332</v>
      </c>
    </row>
    <row r="92" spans="1:6" x14ac:dyDescent="0.2">
      <c r="A92" s="20">
        <v>26</v>
      </c>
      <c r="B92" s="179" t="s">
        <v>23</v>
      </c>
      <c r="C92" s="180"/>
      <c r="D92" s="15">
        <f t="shared" si="4"/>
        <v>1221144</v>
      </c>
      <c r="E92" s="18">
        <f>IF(F3="1",SUMIF(Data!A:A,'26'!$A$2,Data!EX:EX),0)</f>
        <v>5261001</v>
      </c>
      <c r="F92" s="22">
        <f t="shared" si="5"/>
        <v>4.3082560287730196</v>
      </c>
    </row>
    <row r="93" spans="1:6" x14ac:dyDescent="0.2">
      <c r="A93" s="20">
        <v>28</v>
      </c>
      <c r="B93" s="179" t="s">
        <v>24</v>
      </c>
      <c r="C93" s="180"/>
      <c r="D93" s="15">
        <f t="shared" si="4"/>
        <v>2096352</v>
      </c>
      <c r="E93" s="18">
        <f>IF(F3="1",SUMIF(Data!A:A,'26'!$A$2,Data!EZ:EZ),0)</f>
        <v>5552476</v>
      </c>
      <c r="F93" s="22">
        <f t="shared" si="5"/>
        <v>2.6486372517592467</v>
      </c>
    </row>
    <row r="94" spans="1:6" ht="15.75" customHeight="1" thickBot="1" x14ac:dyDescent="0.25">
      <c r="A94" s="23">
        <v>29</v>
      </c>
      <c r="B94" s="181" t="s">
        <v>25</v>
      </c>
      <c r="C94" s="182"/>
      <c r="D94" s="24">
        <f t="shared" si="4"/>
        <v>1358064</v>
      </c>
      <c r="E94" s="25">
        <f>IF(F3="1",SUMIF(Data!A:A,'26'!$A$2,Data!FA:FA),0)</f>
        <v>4610292</v>
      </c>
      <c r="F94" s="26">
        <f t="shared" si="5"/>
        <v>3.3947531191460785</v>
      </c>
    </row>
    <row r="95" spans="1:6" x14ac:dyDescent="0.2">
      <c r="B95" s="31" t="s">
        <v>35</v>
      </c>
      <c r="C95" s="31"/>
      <c r="D95" s="61">
        <f>SUM(D67:D94)</f>
        <v>23595333</v>
      </c>
      <c r="E95" s="32">
        <f>SUM(E67:E94)</f>
        <v>74128748</v>
      </c>
      <c r="F95" s="33">
        <f t="shared" si="5"/>
        <v>3.1416699226071527</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IF(F3="1",SUMIF(Data!A:A,'26'!$A$2,Data!AH:AH),0)</f>
        <v>24407055</v>
      </c>
      <c r="F98" s="21">
        <f t="shared" ref="F98:F105" si="6">IFERROR(E98/$D$95,0)</f>
        <v>1.0344018031023339</v>
      </c>
    </row>
    <row r="99" spans="2:6" x14ac:dyDescent="0.2">
      <c r="B99" s="185" t="s">
        <v>31</v>
      </c>
      <c r="C99" s="186"/>
      <c r="D99" s="37"/>
      <c r="E99" s="18">
        <f>IF(F3="1",SUMIF(Data!A:A,'26'!$A$2,Data!AI:AI),0)</f>
        <v>25861920</v>
      </c>
      <c r="F99" s="22">
        <f t="shared" si="6"/>
        <v>1.0960608184677876</v>
      </c>
    </row>
    <row r="100" spans="2:6" x14ac:dyDescent="0.2">
      <c r="B100" s="185" t="s">
        <v>32</v>
      </c>
      <c r="C100" s="186"/>
      <c r="D100" s="37"/>
      <c r="E100" s="18">
        <f>IF(F3="1",SUMIF(Data!A:A,'26'!$A$2,Data!AJ:AJ),0)</f>
        <v>38681417</v>
      </c>
      <c r="F100" s="22">
        <f t="shared" si="6"/>
        <v>1.6393672850474286</v>
      </c>
    </row>
    <row r="101" spans="2:6" x14ac:dyDescent="0.2">
      <c r="B101" s="185" t="s">
        <v>28</v>
      </c>
      <c r="C101" s="186"/>
      <c r="D101" s="37"/>
      <c r="E101" s="18">
        <f>IF(F3="1",SUMIF(Data!A:A,'26'!$A$2,Data!AK:AK),0)</f>
        <v>0</v>
      </c>
      <c r="F101" s="22">
        <f t="shared" si="6"/>
        <v>0</v>
      </c>
    </row>
    <row r="102" spans="2:6" x14ac:dyDescent="0.2">
      <c r="B102" s="185" t="s">
        <v>33</v>
      </c>
      <c r="C102" s="186"/>
      <c r="D102" s="37"/>
      <c r="E102" s="18">
        <f>IF(F3="1",SUMIF(Data!A:A,'26'!$A$2,Data!AL:AL),0)</f>
        <v>0</v>
      </c>
      <c r="F102" s="22">
        <f t="shared" si="6"/>
        <v>0</v>
      </c>
    </row>
    <row r="103" spans="2:6" x14ac:dyDescent="0.2">
      <c r="B103" s="187" t="s">
        <v>34</v>
      </c>
      <c r="C103" s="188"/>
      <c r="D103" s="37"/>
      <c r="E103" s="18">
        <f>IF(F3="1",SUMIF(Data!A:A,'26'!$A$2,Data!AM:AM),0)</f>
        <v>3703975</v>
      </c>
      <c r="F103" s="22">
        <f t="shared" si="6"/>
        <v>0.15697913650974962</v>
      </c>
    </row>
    <row r="104" spans="2:6" ht="15.75" customHeight="1" thickBot="1" x14ac:dyDescent="0.25">
      <c r="B104" s="177" t="s">
        <v>29</v>
      </c>
      <c r="C104" s="178"/>
      <c r="D104" s="38"/>
      <c r="E104" s="25">
        <f>IF(F3="1",SUMIF(Data!A:A,'26'!$A$2,Data!Q:Q),0)</f>
        <v>8270519</v>
      </c>
      <c r="F104" s="26">
        <f t="shared" si="6"/>
        <v>0.35051503617261937</v>
      </c>
    </row>
    <row r="105" spans="2:6" x14ac:dyDescent="0.2">
      <c r="B105" s="31" t="s">
        <v>35</v>
      </c>
      <c r="C105" s="31"/>
      <c r="D105" s="35">
        <f>D95</f>
        <v>23595333</v>
      </c>
      <c r="E105" s="32">
        <f>SUM(E98:E104)</f>
        <v>100924886</v>
      </c>
      <c r="F105" s="33">
        <f t="shared" si="6"/>
        <v>4.2773240792999188</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78927519</v>
      </c>
      <c r="D109" s="16">
        <f>IF(F3="1",SUMIF(Data!$A:$A,$A$2,Data!HJ:HJ),0)</f>
        <v>3868565</v>
      </c>
      <c r="E109" s="16">
        <f>IF(F3="1",SUMIF(Data!$A:$A,$A$2,Data!IN:IN),0)</f>
        <v>7404477</v>
      </c>
      <c r="F109" s="48">
        <f>SUM(C109:E109)</f>
        <v>90200561</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1463273</v>
      </c>
      <c r="D111" s="52"/>
      <c r="E111" s="51">
        <f>IF(F3="1",SUMIF(Data!A:A,$A$2,Data!AX:AX),0)</f>
        <v>384355</v>
      </c>
      <c r="F111" s="49">
        <f t="shared" si="7"/>
        <v>1847628</v>
      </c>
    </row>
    <row r="112" spans="2:6" x14ac:dyDescent="0.2">
      <c r="B112" s="43" t="s">
        <v>32</v>
      </c>
      <c r="C112" s="51">
        <f>IF(F3="1",SUMIF(Data!A:A,$A$2,Data!V:V),0)</f>
        <v>30248712</v>
      </c>
      <c r="D112" s="52"/>
      <c r="E112" s="51">
        <f>IF(F3="1",SUMIF(Data!A:A,$A$2,Data!AC:AC),0)</f>
        <v>8432705</v>
      </c>
      <c r="F112" s="49">
        <f t="shared" si="7"/>
        <v>38681417</v>
      </c>
    </row>
    <row r="113" spans="1:6" x14ac:dyDescent="0.2">
      <c r="B113" s="43" t="s">
        <v>31</v>
      </c>
      <c r="C113" s="51">
        <f>IF(F3="1",SUMIF(Data!A:A,$A$2,Data!U:U),0)</f>
        <v>17476488</v>
      </c>
      <c r="D113" s="52"/>
      <c r="E113" s="51">
        <f>IF(F3="1",SUMIF(Data!A:A,$A$2,Data!AB:AB),0)</f>
        <v>8385432</v>
      </c>
      <c r="F113" s="49">
        <f t="shared" si="7"/>
        <v>25861920</v>
      </c>
    </row>
    <row r="114" spans="1:6" x14ac:dyDescent="0.2">
      <c r="B114" s="43" t="s">
        <v>1363</v>
      </c>
      <c r="C114" s="51">
        <f>IF(F3="1",SUMIF(Data!A:A,$A$2,Data!T:T),0)</f>
        <v>15591016</v>
      </c>
      <c r="D114" s="52"/>
      <c r="E114" s="51">
        <f>IF(F3="1",SUMIF(Data!A:A,$A$2,Data!AA:AA),0)</f>
        <v>8816039</v>
      </c>
      <c r="F114" s="49">
        <f t="shared" si="7"/>
        <v>24407055</v>
      </c>
    </row>
    <row r="115" spans="1:6" x14ac:dyDescent="0.2">
      <c r="B115" s="43" t="s">
        <v>1278</v>
      </c>
      <c r="C115" s="51">
        <f>IF(F3="1",SUMIF(Data!A:A,$A$2,Data!BI:BI),0)</f>
        <v>10653987</v>
      </c>
      <c r="D115" s="51">
        <f>IF(F3="1",SUMIF(Data!A:A,$A$2,Data!BL:BL),0)</f>
        <v>2814044</v>
      </c>
      <c r="E115" s="51">
        <f>IF(F3="1",SUMIF(Data!A:A,$A$2,Data!BU:BU),0)</f>
        <v>22981232</v>
      </c>
      <c r="F115" s="49">
        <f t="shared" si="7"/>
        <v>36449263</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8270519</v>
      </c>
      <c r="E117" s="53"/>
      <c r="F117" s="50">
        <f>SUM(C117:E117)</f>
        <v>8270519</v>
      </c>
    </row>
    <row r="118" spans="1:6" x14ac:dyDescent="0.2">
      <c r="B118" s="14" t="s">
        <v>35</v>
      </c>
      <c r="C118" s="5">
        <f>SUM(C109:C116)</f>
        <v>154360995</v>
      </c>
      <c r="D118" s="5">
        <f>SUM(D109:D116)</f>
        <v>6682609</v>
      </c>
      <c r="E118" s="5">
        <f>SUM(E109:E116)</f>
        <v>56404240</v>
      </c>
      <c r="F118" s="5">
        <f>SUM(F109:F116)</f>
        <v>217447844</v>
      </c>
    </row>
    <row r="119" spans="1:6" ht="15" thickBot="1" x14ac:dyDescent="0.25"/>
    <row r="120" spans="1:6" ht="15" thickBot="1" x14ac:dyDescent="0.25">
      <c r="B120" s="57" t="s">
        <v>1283</v>
      </c>
      <c r="C120" s="55"/>
      <c r="D120" s="55"/>
      <c r="E120" s="55">
        <f>IF(F3="1",SUMIF(Data!A:A,'26'!$A$2,Data!AM:AM),0)</f>
        <v>3703975</v>
      </c>
      <c r="F120" s="56">
        <f>SUM(C120:E120)</f>
        <v>3703975</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478</v>
      </c>
      <c r="B2" s="60" t="str">
        <f>VLOOKUP(A2,Data!A:G,7,0)</f>
        <v>McLennan Community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55012</v>
      </c>
      <c r="E5" s="16">
        <f>E36+E67+IFERROR($E$105/$D$105*D5,0)</f>
        <v>546897.0553532613</v>
      </c>
      <c r="F5" s="21">
        <f>IFERROR(E5/D5,"")</f>
        <v>9.9414137888689975</v>
      </c>
    </row>
    <row r="6" spans="1:6" x14ac:dyDescent="0.2">
      <c r="A6" s="20">
        <v>2</v>
      </c>
      <c r="B6" s="179" t="s">
        <v>1</v>
      </c>
      <c r="C6" s="180"/>
      <c r="D6" s="15">
        <f t="shared" ref="D6:D32" si="0">D37</f>
        <v>0</v>
      </c>
      <c r="E6" s="18">
        <f t="shared" ref="E6:E32" si="1">E37+E68+IFERROR($E$105/$D$105*D6,0)</f>
        <v>0</v>
      </c>
      <c r="F6" s="22" t="str">
        <f t="shared" ref="F6:F33" si="2">IFERROR(E6/D6,"")</f>
        <v/>
      </c>
    </row>
    <row r="7" spans="1:6" ht="14.25" customHeight="1" x14ac:dyDescent="0.2">
      <c r="A7" s="20">
        <v>3</v>
      </c>
      <c r="B7" s="179" t="s">
        <v>2</v>
      </c>
      <c r="C7" s="180"/>
      <c r="D7" s="15">
        <f t="shared" si="0"/>
        <v>707696</v>
      </c>
      <c r="E7" s="18">
        <f t="shared" si="1"/>
        <v>4422014.9946426526</v>
      </c>
      <c r="F7" s="22">
        <f t="shared" si="2"/>
        <v>6.2484668482549743</v>
      </c>
    </row>
    <row r="8" spans="1:6" ht="14.25" customHeight="1" x14ac:dyDescent="0.2">
      <c r="A8" s="20">
        <v>4</v>
      </c>
      <c r="B8" s="179" t="s">
        <v>3</v>
      </c>
      <c r="C8" s="180"/>
      <c r="D8" s="15">
        <f t="shared" si="0"/>
        <v>339679</v>
      </c>
      <c r="E8" s="18">
        <f t="shared" si="1"/>
        <v>2851826.7800541781</v>
      </c>
      <c r="F8" s="22">
        <f t="shared" si="2"/>
        <v>8.3956523071905487</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17666</v>
      </c>
      <c r="E10" s="18">
        <f t="shared" si="1"/>
        <v>56192.677340775008</v>
      </c>
      <c r="F10" s="22">
        <f t="shared" si="2"/>
        <v>3.1808376169350736</v>
      </c>
    </row>
    <row r="11" spans="1:6" x14ac:dyDescent="0.2">
      <c r="A11" s="20">
        <v>7</v>
      </c>
      <c r="B11" s="179" t="s">
        <v>6</v>
      </c>
      <c r="C11" s="180"/>
      <c r="D11" s="15">
        <f t="shared" si="0"/>
        <v>148858</v>
      </c>
      <c r="E11" s="18">
        <f t="shared" si="1"/>
        <v>1753189.9855990652</v>
      </c>
      <c r="F11" s="22">
        <f t="shared" si="2"/>
        <v>11.777600032239215</v>
      </c>
    </row>
    <row r="12" spans="1:6" x14ac:dyDescent="0.2">
      <c r="A12" s="20">
        <v>8</v>
      </c>
      <c r="B12" s="179" t="s">
        <v>7</v>
      </c>
      <c r="C12" s="180"/>
      <c r="D12" s="15">
        <f t="shared" si="0"/>
        <v>1752</v>
      </c>
      <c r="E12" s="18">
        <f t="shared" si="1"/>
        <v>4994.4721329694221</v>
      </c>
      <c r="F12" s="22">
        <f t="shared" si="2"/>
        <v>2.8507261032930491</v>
      </c>
    </row>
    <row r="13" spans="1:6" x14ac:dyDescent="0.2">
      <c r="A13" s="20">
        <v>9</v>
      </c>
      <c r="B13" s="179" t="s">
        <v>8</v>
      </c>
      <c r="C13" s="180"/>
      <c r="D13" s="15">
        <f t="shared" si="0"/>
        <v>182847</v>
      </c>
      <c r="E13" s="18">
        <f t="shared" si="1"/>
        <v>1873915.0873841667</v>
      </c>
      <c r="F13" s="22">
        <f t="shared" si="2"/>
        <v>10.248541607924476</v>
      </c>
    </row>
    <row r="14" spans="1:6" x14ac:dyDescent="0.2">
      <c r="A14" s="20">
        <v>10</v>
      </c>
      <c r="B14" s="179" t="s">
        <v>9</v>
      </c>
      <c r="C14" s="180"/>
      <c r="D14" s="15">
        <f t="shared" si="0"/>
        <v>2528</v>
      </c>
      <c r="E14" s="18">
        <f t="shared" si="1"/>
        <v>7206.0054521385264</v>
      </c>
      <c r="F14" s="22">
        <f t="shared" si="2"/>
        <v>2.8504768402446703</v>
      </c>
    </row>
    <row r="15" spans="1:6" x14ac:dyDescent="0.2">
      <c r="A15" s="20">
        <v>11</v>
      </c>
      <c r="B15" s="179" t="s">
        <v>10</v>
      </c>
      <c r="C15" s="180"/>
      <c r="D15" s="15">
        <f t="shared" si="0"/>
        <v>5156</v>
      </c>
      <c r="E15" s="18">
        <f t="shared" si="1"/>
        <v>65703.213651592654</v>
      </c>
      <c r="F15" s="22">
        <f t="shared" si="2"/>
        <v>12.743059280758855</v>
      </c>
    </row>
    <row r="16" spans="1:6" ht="14.25" customHeight="1" x14ac:dyDescent="0.2">
      <c r="A16" s="20">
        <v>12</v>
      </c>
      <c r="B16" s="179" t="s">
        <v>11</v>
      </c>
      <c r="C16" s="180"/>
      <c r="D16" s="15">
        <f t="shared" si="0"/>
        <v>545618</v>
      </c>
      <c r="E16" s="18">
        <f t="shared" si="1"/>
        <v>4993737.0058484646</v>
      </c>
      <c r="F16" s="22">
        <f t="shared" si="2"/>
        <v>9.1524418289874312</v>
      </c>
    </row>
    <row r="17" spans="1:6" x14ac:dyDescent="0.2">
      <c r="A17" s="20">
        <v>13</v>
      </c>
      <c r="B17" s="179" t="s">
        <v>12</v>
      </c>
      <c r="C17" s="180"/>
      <c r="D17" s="15">
        <f t="shared" si="0"/>
        <v>91513</v>
      </c>
      <c r="E17" s="18">
        <f t="shared" si="1"/>
        <v>572489.77015093074</v>
      </c>
      <c r="F17" s="22">
        <f t="shared" si="2"/>
        <v>6.2558299930166283</v>
      </c>
    </row>
    <row r="18" spans="1:6" ht="14.25" customHeight="1" x14ac:dyDescent="0.2">
      <c r="A18" s="20">
        <v>14</v>
      </c>
      <c r="B18" s="179" t="s">
        <v>804</v>
      </c>
      <c r="C18" s="180"/>
      <c r="D18" s="15">
        <f t="shared" si="0"/>
        <v>228445</v>
      </c>
      <c r="E18" s="18">
        <f t="shared" si="1"/>
        <v>2812646.1161051369</v>
      </c>
      <c r="F18" s="22">
        <f t="shared" si="2"/>
        <v>12.312136908687592</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368042</v>
      </c>
      <c r="E20" s="18">
        <f t="shared" si="1"/>
        <v>3563127.0152753037</v>
      </c>
      <c r="F20" s="22">
        <f t="shared" si="2"/>
        <v>9.6813054359972597</v>
      </c>
    </row>
    <row r="21" spans="1:6" x14ac:dyDescent="0.2">
      <c r="A21" s="20">
        <v>17</v>
      </c>
      <c r="B21" s="179" t="s">
        <v>15</v>
      </c>
      <c r="C21" s="180"/>
      <c r="D21" s="15">
        <f t="shared" si="0"/>
        <v>61072</v>
      </c>
      <c r="E21" s="18">
        <f t="shared" si="1"/>
        <v>690873.94184058707</v>
      </c>
      <c r="F21" s="22">
        <f t="shared" si="2"/>
        <v>11.312449925343644</v>
      </c>
    </row>
    <row r="22" spans="1:6" x14ac:dyDescent="0.2">
      <c r="A22" s="20">
        <v>18</v>
      </c>
      <c r="B22" s="179" t="s">
        <v>16</v>
      </c>
      <c r="C22" s="180"/>
      <c r="D22" s="15">
        <f t="shared" si="0"/>
        <v>90600</v>
      </c>
      <c r="E22" s="18">
        <f t="shared" si="1"/>
        <v>702752.6890679393</v>
      </c>
      <c r="F22" s="22">
        <f t="shared" si="2"/>
        <v>7.756652197217873</v>
      </c>
    </row>
    <row r="23" spans="1:6" x14ac:dyDescent="0.2">
      <c r="A23" s="20">
        <v>19</v>
      </c>
      <c r="B23" s="179" t="s">
        <v>17</v>
      </c>
      <c r="C23" s="180"/>
      <c r="D23" s="15">
        <f t="shared" si="0"/>
        <v>163616</v>
      </c>
      <c r="E23" s="18">
        <f t="shared" si="1"/>
        <v>1235125.0870479024</v>
      </c>
      <c r="F23" s="22">
        <f t="shared" si="2"/>
        <v>7.5489260649808232</v>
      </c>
    </row>
    <row r="24" spans="1:6" x14ac:dyDescent="0.2">
      <c r="A24" s="20">
        <v>20</v>
      </c>
      <c r="B24" s="179" t="s">
        <v>18</v>
      </c>
      <c r="C24" s="180"/>
      <c r="D24" s="15">
        <f t="shared" si="0"/>
        <v>0</v>
      </c>
      <c r="E24" s="18">
        <f t="shared" si="1"/>
        <v>0</v>
      </c>
      <c r="F24" s="22" t="str">
        <f t="shared" si="2"/>
        <v/>
      </c>
    </row>
    <row r="25" spans="1:6" ht="14.25" customHeight="1" x14ac:dyDescent="0.2">
      <c r="A25" s="20">
        <v>21</v>
      </c>
      <c r="B25" s="179" t="s">
        <v>801</v>
      </c>
      <c r="C25" s="180"/>
      <c r="D25" s="15">
        <f t="shared" si="0"/>
        <v>46830</v>
      </c>
      <c r="E25" s="18">
        <f t="shared" si="1"/>
        <v>458165.24656789843</v>
      </c>
      <c r="F25" s="22">
        <f t="shared" si="2"/>
        <v>9.7835841675827133</v>
      </c>
    </row>
    <row r="26" spans="1:6" x14ac:dyDescent="0.2">
      <c r="A26" s="20">
        <v>22</v>
      </c>
      <c r="B26" s="179" t="s">
        <v>19</v>
      </c>
      <c r="C26" s="180"/>
      <c r="D26" s="15">
        <f t="shared" si="0"/>
        <v>2048</v>
      </c>
      <c r="E26" s="18">
        <f t="shared" si="1"/>
        <v>5838.2322650236165</v>
      </c>
      <c r="F26" s="22">
        <f t="shared" si="2"/>
        <v>2.8506993481560627</v>
      </c>
    </row>
    <row r="27" spans="1:6" x14ac:dyDescent="0.2">
      <c r="A27" s="20">
        <v>23</v>
      </c>
      <c r="B27" s="179" t="s">
        <v>20</v>
      </c>
      <c r="C27" s="180"/>
      <c r="D27" s="15">
        <f t="shared" si="0"/>
        <v>139468</v>
      </c>
      <c r="E27" s="18">
        <f t="shared" si="1"/>
        <v>1349031.0476261298</v>
      </c>
      <c r="F27" s="22">
        <f t="shared" si="2"/>
        <v>9.6726922851559483</v>
      </c>
    </row>
    <row r="28" spans="1:6" x14ac:dyDescent="0.2">
      <c r="A28" s="20">
        <v>24</v>
      </c>
      <c r="B28" s="179" t="s">
        <v>21</v>
      </c>
      <c r="C28" s="180"/>
      <c r="D28" s="15">
        <f t="shared" si="0"/>
        <v>184242</v>
      </c>
      <c r="E28" s="18">
        <f t="shared" si="1"/>
        <v>1454076.3657092194</v>
      </c>
      <c r="F28" s="22">
        <f t="shared" si="2"/>
        <v>7.8922089735739913</v>
      </c>
    </row>
    <row r="29" spans="1:6" x14ac:dyDescent="0.2">
      <c r="A29" s="20">
        <v>25</v>
      </c>
      <c r="B29" s="179" t="s">
        <v>22</v>
      </c>
      <c r="C29" s="180"/>
      <c r="D29" s="15">
        <f t="shared" si="0"/>
        <v>768672</v>
      </c>
      <c r="E29" s="18">
        <f t="shared" si="1"/>
        <v>4396666.5818458172</v>
      </c>
      <c r="F29" s="22">
        <f t="shared" si="2"/>
        <v>5.7198214346897212</v>
      </c>
    </row>
    <row r="30" spans="1:6" x14ac:dyDescent="0.2">
      <c r="A30" s="20">
        <v>26</v>
      </c>
      <c r="B30" s="179" t="s">
        <v>23</v>
      </c>
      <c r="C30" s="180"/>
      <c r="D30" s="15">
        <f t="shared" si="0"/>
        <v>334800</v>
      </c>
      <c r="E30" s="18">
        <f t="shared" si="1"/>
        <v>3202181.7980126496</v>
      </c>
      <c r="F30" s="22">
        <f t="shared" si="2"/>
        <v>9.5644617622838997</v>
      </c>
    </row>
    <row r="31" spans="1:6" x14ac:dyDescent="0.2">
      <c r="A31" s="20">
        <v>28</v>
      </c>
      <c r="B31" s="179" t="s">
        <v>24</v>
      </c>
      <c r="C31" s="180"/>
      <c r="D31" s="15">
        <f t="shared" si="0"/>
        <v>213152</v>
      </c>
      <c r="E31" s="18">
        <f t="shared" si="1"/>
        <v>1534477.0799581611</v>
      </c>
      <c r="F31" s="22">
        <f t="shared" si="2"/>
        <v>7.1989804456827109</v>
      </c>
    </row>
    <row r="32" spans="1:6" ht="15.75" customHeight="1" thickBot="1" x14ac:dyDescent="0.25">
      <c r="A32" s="23">
        <v>29</v>
      </c>
      <c r="B32" s="181" t="s">
        <v>25</v>
      </c>
      <c r="C32" s="182"/>
      <c r="D32" s="24">
        <f t="shared" si="0"/>
        <v>195648</v>
      </c>
      <c r="E32" s="25">
        <f t="shared" si="1"/>
        <v>677365.75106803735</v>
      </c>
      <c r="F32" s="26">
        <f t="shared" si="2"/>
        <v>3.4621654761001257</v>
      </c>
    </row>
    <row r="33" spans="1:6" x14ac:dyDescent="0.2">
      <c r="B33" s="31" t="s">
        <v>35</v>
      </c>
      <c r="C33" s="31"/>
      <c r="D33" s="61">
        <f>SUM(D5:D32)</f>
        <v>4894960</v>
      </c>
      <c r="E33" s="32">
        <f>SUM(E5:E32)</f>
        <v>39230494.000000007</v>
      </c>
      <c r="F33" s="33">
        <f t="shared" si="2"/>
        <v>8.0144667167862469</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IF(F3="1",SUMIF(Data!A:A,'27'!$A$2,Data!CU:CU),0)</f>
        <v>55012</v>
      </c>
      <c r="E36" s="16">
        <f>IF(F3="1",SUMIF(Data!$A:$A,'27'!$A$2,Data!IO:IO),0)</f>
        <v>273920</v>
      </c>
      <c r="F36" s="21">
        <f t="shared" ref="F36:F64" si="3">IFERROR(E36/D36,"")</f>
        <v>4.9792772486003054</v>
      </c>
    </row>
    <row r="37" spans="1:6" x14ac:dyDescent="0.2">
      <c r="A37" s="20">
        <v>2</v>
      </c>
      <c r="B37" s="179" t="s">
        <v>1</v>
      </c>
      <c r="C37" s="180"/>
      <c r="D37" s="15">
        <f>IF(F3="1",SUMIF(Data!A:A,'27'!$A$2,Data!CV:CV),0)</f>
        <v>0</v>
      </c>
      <c r="E37" s="18">
        <f>IF(F3="1",SUMIF(Data!$A:$A,'27'!$A$2,Data!IP:IP),0)</f>
        <v>0</v>
      </c>
      <c r="F37" s="22" t="str">
        <f t="shared" si="3"/>
        <v/>
      </c>
    </row>
    <row r="38" spans="1:6" ht="14.25" customHeight="1" x14ac:dyDescent="0.2">
      <c r="A38" s="20">
        <v>3</v>
      </c>
      <c r="B38" s="179" t="s">
        <v>2</v>
      </c>
      <c r="C38" s="180"/>
      <c r="D38" s="15">
        <f>IF(F3="1",SUMIF(Data!A:A,'27'!$A$2,Data!CW:CW),0)</f>
        <v>707696</v>
      </c>
      <c r="E38" s="18">
        <f>IF(F3="1",SUMIF(Data!$A:$A,'27'!$A$2,Data!IQ:IQ),0)</f>
        <v>413971</v>
      </c>
      <c r="F38" s="22">
        <f t="shared" si="3"/>
        <v>0.58495596979494024</v>
      </c>
    </row>
    <row r="39" spans="1:6" ht="14.25" customHeight="1" x14ac:dyDescent="0.2">
      <c r="A39" s="20">
        <v>4</v>
      </c>
      <c r="B39" s="179" t="s">
        <v>3</v>
      </c>
      <c r="C39" s="180"/>
      <c r="D39" s="15">
        <f>IF(F3="1",SUMIF(Data!A:A,'27'!$A$2,Data!CX:CX),0)</f>
        <v>339679</v>
      </c>
      <c r="E39" s="18">
        <f>IF(F3="1",SUMIF(Data!$A:$A,'27'!$A$2,Data!IR:IR),0)</f>
        <v>562644</v>
      </c>
      <c r="F39" s="22">
        <f t="shared" si="3"/>
        <v>1.6563991297666325</v>
      </c>
    </row>
    <row r="40" spans="1:6" x14ac:dyDescent="0.2">
      <c r="A40" s="20">
        <v>5</v>
      </c>
      <c r="B40" s="179" t="s">
        <v>4</v>
      </c>
      <c r="C40" s="180"/>
      <c r="D40" s="15">
        <f>IF(F3="1",SUMIF(Data!A:A,'27'!$A$2,Data!CY:CY),0)</f>
        <v>0</v>
      </c>
      <c r="E40" s="18">
        <f>IF(F3="1",SUMIF(Data!$A:$A,'27'!$A$2,Data!IS:IS),0)</f>
        <v>0</v>
      </c>
      <c r="F40" s="22" t="str">
        <f t="shared" si="3"/>
        <v/>
      </c>
    </row>
    <row r="41" spans="1:6" x14ac:dyDescent="0.2">
      <c r="A41" s="20">
        <v>6</v>
      </c>
      <c r="B41" s="179" t="s">
        <v>5</v>
      </c>
      <c r="C41" s="180"/>
      <c r="D41" s="15">
        <f>IF(F3="1",SUMIF(Data!A:A,'27'!$A$2,Data!CZ:CZ),0)</f>
        <v>17666</v>
      </c>
      <c r="E41" s="18">
        <f>IF(F3="1",SUMIF(Data!$A:$A,'27'!$A$2,Data!IT:IT),0)</f>
        <v>2852</v>
      </c>
      <c r="F41" s="22">
        <f t="shared" si="3"/>
        <v>0.16144005434167327</v>
      </c>
    </row>
    <row r="42" spans="1:6" x14ac:dyDescent="0.2">
      <c r="A42" s="20">
        <v>7</v>
      </c>
      <c r="B42" s="179" t="s">
        <v>6</v>
      </c>
      <c r="C42" s="180"/>
      <c r="D42" s="15">
        <f>IF(F3="1",SUMIF(Data!A:A,'27'!$A$2,Data!DA:DA),0)</f>
        <v>148858</v>
      </c>
      <c r="E42" s="18">
        <f>IF(F3="1",SUMIF(Data!$A:$A,'27'!$A$2,Data!IU:IU),0)</f>
        <v>218588</v>
      </c>
      <c r="F42" s="22">
        <f t="shared" si="3"/>
        <v>1.4684330032648565</v>
      </c>
    </row>
    <row r="43" spans="1:6" x14ac:dyDescent="0.2">
      <c r="A43" s="20">
        <v>8</v>
      </c>
      <c r="B43" s="179" t="s">
        <v>7</v>
      </c>
      <c r="C43" s="180"/>
      <c r="D43" s="15">
        <f>IF(F3="1",SUMIF(Data!A:A,'27'!$A$2,Data!DB:DB),0)</f>
        <v>1752</v>
      </c>
      <c r="E43" s="18">
        <f>IF(F3="1",SUMIF(Data!$A:$A,'27'!$A$2,Data!IV:IV),0)</f>
        <v>243</v>
      </c>
      <c r="F43" s="22">
        <f t="shared" si="3"/>
        <v>0.1386986301369863</v>
      </c>
    </row>
    <row r="44" spans="1:6" x14ac:dyDescent="0.2">
      <c r="A44" s="20">
        <v>9</v>
      </c>
      <c r="B44" s="179" t="s">
        <v>8</v>
      </c>
      <c r="C44" s="180"/>
      <c r="D44" s="15">
        <f>IF(F3="1",SUMIF(Data!A:A,'27'!$A$2,Data!DC:DC),0)</f>
        <v>182847</v>
      </c>
      <c r="E44" s="18">
        <f>IF(F3="1",SUMIF(Data!$A:$A,'27'!$A$2,Data!IW:IW),0)</f>
        <v>843282</v>
      </c>
      <c r="F44" s="22">
        <f t="shared" si="3"/>
        <v>4.6119542568376843</v>
      </c>
    </row>
    <row r="45" spans="1:6" x14ac:dyDescent="0.2">
      <c r="A45" s="20">
        <v>10</v>
      </c>
      <c r="B45" s="179" t="s">
        <v>9</v>
      </c>
      <c r="C45" s="180"/>
      <c r="D45" s="15">
        <f>IF(F3="1",SUMIF(Data!A:A,'27'!$A$2,Data!DD:DD),0)</f>
        <v>2528</v>
      </c>
      <c r="E45" s="18">
        <f>IF(F3="1",SUMIF(Data!$A:$A,'27'!$A$2,Data!IX:IX),0)</f>
        <v>350</v>
      </c>
      <c r="F45" s="22">
        <f t="shared" si="3"/>
        <v>0.13844936708860758</v>
      </c>
    </row>
    <row r="46" spans="1:6" x14ac:dyDescent="0.2">
      <c r="A46" s="20">
        <v>11</v>
      </c>
      <c r="B46" s="179" t="s">
        <v>10</v>
      </c>
      <c r="C46" s="180"/>
      <c r="D46" s="15">
        <f>IF(F3="1",SUMIF(Data!A:A,'27'!$A$2,Data!DE:DE),0)</f>
        <v>5156</v>
      </c>
      <c r="E46" s="18">
        <f>IF(F3="1",SUMIF(Data!$A:$A,'27'!$A$2,Data!IY:IY),0)</f>
        <v>6949</v>
      </c>
      <c r="F46" s="22">
        <f t="shared" si="3"/>
        <v>1.3477501939487975</v>
      </c>
    </row>
    <row r="47" spans="1:6" ht="14.25" customHeight="1" x14ac:dyDescent="0.2">
      <c r="A47" s="20">
        <v>12</v>
      </c>
      <c r="B47" s="179" t="s">
        <v>11</v>
      </c>
      <c r="C47" s="180"/>
      <c r="D47" s="15">
        <f>IF(F3="1",SUMIF(Data!A:A,'27'!$A$2,Data!DF:DF),0)</f>
        <v>545618</v>
      </c>
      <c r="E47" s="18">
        <f>IF(F3="1",SUMIF(Data!$A:$A,'27'!$A$2,Data!IZ:IZ),0)</f>
        <v>484574</v>
      </c>
      <c r="F47" s="22">
        <f t="shared" si="3"/>
        <v>0.88811952684845441</v>
      </c>
    </row>
    <row r="48" spans="1:6" x14ac:dyDescent="0.2">
      <c r="A48" s="20">
        <v>13</v>
      </c>
      <c r="B48" s="179" t="s">
        <v>12</v>
      </c>
      <c r="C48" s="180"/>
      <c r="D48" s="15">
        <f>IF(F3="1",SUMIF(Data!A:A,'27'!$A$2,Data!DG:DG),0)</f>
        <v>91513</v>
      </c>
      <c r="E48" s="18">
        <f>IF(F3="1",SUMIF(Data!$A:$A,'27'!$A$2,Data!JA:JA),0)</f>
        <v>39022</v>
      </c>
      <c r="F48" s="22">
        <f t="shared" si="3"/>
        <v>0.42640936260422019</v>
      </c>
    </row>
    <row r="49" spans="1:6" ht="14.25" customHeight="1" x14ac:dyDescent="0.2">
      <c r="A49" s="20">
        <v>14</v>
      </c>
      <c r="B49" s="179" t="s">
        <v>804</v>
      </c>
      <c r="C49" s="180"/>
      <c r="D49" s="15">
        <f>IF(F3="1",SUMIF(Data!A:A,'27'!$A$2,Data!DH:DH),0)</f>
        <v>228445</v>
      </c>
      <c r="E49" s="18">
        <f>IF(F3="1",SUMIF(Data!$A:$A,'27'!$A$2,Data!JB:JB),0)</f>
        <v>452929</v>
      </c>
      <c r="F49" s="22">
        <f t="shared" si="3"/>
        <v>1.982661034384644</v>
      </c>
    </row>
    <row r="50" spans="1:6" x14ac:dyDescent="0.2">
      <c r="A50" s="20">
        <v>15</v>
      </c>
      <c r="B50" s="179" t="s">
        <v>13</v>
      </c>
      <c r="C50" s="180"/>
      <c r="D50" s="15">
        <f>IF(F3="1",SUMIF(Data!A:A,'27'!$A$2,Data!DI:DI),0)</f>
        <v>0</v>
      </c>
      <c r="E50" s="18">
        <f>IF(F3="1",SUMIF(Data!$A:$A,'27'!$A$2,Data!JC:JC),0)</f>
        <v>0</v>
      </c>
      <c r="F50" s="22" t="str">
        <f t="shared" si="3"/>
        <v/>
      </c>
    </row>
    <row r="51" spans="1:6" x14ac:dyDescent="0.2">
      <c r="A51" s="20">
        <v>16</v>
      </c>
      <c r="B51" s="179" t="s">
        <v>14</v>
      </c>
      <c r="C51" s="180"/>
      <c r="D51" s="15">
        <f>IF(F3="1",SUMIF(Data!A:A,'27'!$A$2,Data!DJ:DJ),0)</f>
        <v>368042</v>
      </c>
      <c r="E51" s="18">
        <f>IF(F3="1",SUMIF(Data!$A:$A,'27'!$A$2,Data!JD:JD),0)</f>
        <v>756002</v>
      </c>
      <c r="F51" s="22">
        <f t="shared" si="3"/>
        <v>2.0541188233951559</v>
      </c>
    </row>
    <row r="52" spans="1:6" x14ac:dyDescent="0.2">
      <c r="A52" s="20">
        <v>17</v>
      </c>
      <c r="B52" s="179" t="s">
        <v>15</v>
      </c>
      <c r="C52" s="180"/>
      <c r="D52" s="15">
        <f>IF(F3="1",SUMIF(Data!A:A,'27'!$A$2,Data!DK:DK),0)</f>
        <v>61072</v>
      </c>
      <c r="E52" s="18">
        <f>IF(F3="1",SUMIF(Data!$A:$A,'27'!$A$2,Data!JE:JE),0)</f>
        <v>76473</v>
      </c>
      <c r="F52" s="22">
        <f t="shared" si="3"/>
        <v>1.2521777574011004</v>
      </c>
    </row>
    <row r="53" spans="1:6" x14ac:dyDescent="0.2">
      <c r="A53" s="20">
        <v>18</v>
      </c>
      <c r="B53" s="179" t="s">
        <v>16</v>
      </c>
      <c r="C53" s="180"/>
      <c r="D53" s="15">
        <f>IF(F3="1",SUMIF(Data!A:A,'27'!$A$2,Data!DL:DL),0)</f>
        <v>90600</v>
      </c>
      <c r="E53" s="18">
        <f>IF(F3="1",SUMIF(Data!$A:$A,'27'!$A$2,Data!JF:JF),0)</f>
        <v>69325</v>
      </c>
      <c r="F53" s="22">
        <f t="shared" si="3"/>
        <v>0.76517660044150115</v>
      </c>
    </row>
    <row r="54" spans="1:6" x14ac:dyDescent="0.2">
      <c r="A54" s="20">
        <v>19</v>
      </c>
      <c r="B54" s="179" t="s">
        <v>17</v>
      </c>
      <c r="C54" s="180"/>
      <c r="D54" s="15">
        <f>IF(F3="1",SUMIF(Data!A:A,'27'!$A$2,Data!DM:DM),0)</f>
        <v>163616</v>
      </c>
      <c r="E54" s="18">
        <f>IF(F3="1",SUMIF(Data!$A:$A,'27'!$A$2,Data!JG:JG),0)</f>
        <v>143385</v>
      </c>
      <c r="F54" s="22">
        <f t="shared" si="3"/>
        <v>0.87635072364560929</v>
      </c>
    </row>
    <row r="55" spans="1:6" x14ac:dyDescent="0.2">
      <c r="A55" s="20">
        <v>20</v>
      </c>
      <c r="B55" s="179" t="s">
        <v>18</v>
      </c>
      <c r="C55" s="180"/>
      <c r="D55" s="15">
        <f>IF(F3="1",SUMIF(Data!A:A,'27'!$A$2,Data!DN:DN),0)</f>
        <v>0</v>
      </c>
      <c r="E55" s="18">
        <f>IF(F3="1",SUMIF(Data!$A:$A,'27'!$A$2,Data!JH:JH),0)</f>
        <v>0</v>
      </c>
      <c r="F55" s="22" t="str">
        <f t="shared" si="3"/>
        <v/>
      </c>
    </row>
    <row r="56" spans="1:6" ht="14.25" customHeight="1" x14ac:dyDescent="0.2">
      <c r="A56" s="20">
        <v>21</v>
      </c>
      <c r="B56" s="179" t="s">
        <v>801</v>
      </c>
      <c r="C56" s="180"/>
      <c r="D56" s="15">
        <f>IF(F3="1",SUMIF(Data!A:A,'27'!$A$2,Data!DO:DO),0)</f>
        <v>46830</v>
      </c>
      <c r="E56" s="18">
        <f>IF(F3="1",SUMIF(Data!$A:$A,'27'!$A$2,Data!JI:JI),0)</f>
        <v>331161</v>
      </c>
      <c r="F56" s="22">
        <f t="shared" si="3"/>
        <v>7.0715566944266497</v>
      </c>
    </row>
    <row r="57" spans="1:6" x14ac:dyDescent="0.2">
      <c r="A57" s="20">
        <v>22</v>
      </c>
      <c r="B57" s="179" t="s">
        <v>19</v>
      </c>
      <c r="C57" s="180"/>
      <c r="D57" s="15">
        <f>IF(F3="1",SUMIF(Data!A:A,'27'!$A$2,Data!DP:DP),0)</f>
        <v>2048</v>
      </c>
      <c r="E57" s="18">
        <f>IF(F3="1",SUMIF(Data!$A:$A,'27'!$A$2,Data!JJ:JJ),0)</f>
        <v>284</v>
      </c>
      <c r="F57" s="22">
        <f t="shared" si="3"/>
        <v>0.138671875</v>
      </c>
    </row>
    <row r="58" spans="1:6" x14ac:dyDescent="0.2">
      <c r="A58" s="20">
        <v>23</v>
      </c>
      <c r="B58" s="179" t="s">
        <v>20</v>
      </c>
      <c r="C58" s="180"/>
      <c r="D58" s="15">
        <f>IF(F3="1",SUMIF(Data!A:A,'27'!$A$2,Data!DQ:DQ),0)</f>
        <v>139468</v>
      </c>
      <c r="E58" s="18">
        <f>IF(F3="1",SUMIF(Data!$A:$A,'27'!$A$2,Data!JK:JK),0)</f>
        <v>173532</v>
      </c>
      <c r="F58" s="22">
        <f t="shared" si="3"/>
        <v>1.244242406860355</v>
      </c>
    </row>
    <row r="59" spans="1:6" x14ac:dyDescent="0.2">
      <c r="A59" s="20">
        <v>24</v>
      </c>
      <c r="B59" s="179" t="s">
        <v>21</v>
      </c>
      <c r="C59" s="180"/>
      <c r="D59" s="15">
        <f>IF(F3="1",SUMIF(Data!A:A,'27'!$A$2,Data!DR:DR),0)</f>
        <v>184242</v>
      </c>
      <c r="E59" s="18">
        <f>IF(F3="1",SUMIF(Data!$A:$A,'27'!$A$2,Data!JL:JL),0)</f>
        <v>578261</v>
      </c>
      <c r="F59" s="22">
        <f t="shared" si="3"/>
        <v>3.1385948915013948</v>
      </c>
    </row>
    <row r="60" spans="1:6" x14ac:dyDescent="0.2">
      <c r="A60" s="20">
        <v>25</v>
      </c>
      <c r="B60" s="179" t="s">
        <v>22</v>
      </c>
      <c r="C60" s="180"/>
      <c r="D60" s="15">
        <f>IF(F3="1",SUMIF(Data!A:A,'27'!$A$2,Data!DS:DS),0)</f>
        <v>768672</v>
      </c>
      <c r="E60" s="18">
        <f>IF(F3="1",SUMIF(Data!$A:$A,'27'!$A$2,Data!JM:JM),0)</f>
        <v>417146</v>
      </c>
      <c r="F60" s="22">
        <f t="shared" si="3"/>
        <v>0.54268400566171271</v>
      </c>
    </row>
    <row r="61" spans="1:6" x14ac:dyDescent="0.2">
      <c r="A61" s="20">
        <v>26</v>
      </c>
      <c r="B61" s="179" t="s">
        <v>23</v>
      </c>
      <c r="C61" s="180"/>
      <c r="D61" s="15">
        <f>IF(F3="1",SUMIF(Data!A:A,'27'!$A$2,Data!DT:DT),0)</f>
        <v>334800</v>
      </c>
      <c r="E61" s="18">
        <f>IF(F3="1",SUMIF(Data!$A:$A,'27'!$A$2,Data!JN:JN),0)</f>
        <v>393713</v>
      </c>
      <c r="F61" s="22">
        <f t="shared" si="3"/>
        <v>1.1759647550776584</v>
      </c>
    </row>
    <row r="62" spans="1:6" x14ac:dyDescent="0.2">
      <c r="A62" s="20">
        <v>28</v>
      </c>
      <c r="B62" s="179" t="s">
        <v>24</v>
      </c>
      <c r="C62" s="180"/>
      <c r="D62" s="15">
        <f>IF(F3="1",SUMIF(Data!A:A,'27'!$A$2,Data!DV:DV),0)</f>
        <v>213152</v>
      </c>
      <c r="E62" s="18">
        <f>IF(F3="1",SUMIF(Data!$A:$A,'27'!$A$2,Data!JP:JP),0)</f>
        <v>112237</v>
      </c>
      <c r="F62" s="22">
        <f t="shared" si="3"/>
        <v>0.52655851223540007</v>
      </c>
    </row>
    <row r="63" spans="1:6" ht="15.75" customHeight="1" thickBot="1" x14ac:dyDescent="0.25">
      <c r="A63" s="23">
        <v>29</v>
      </c>
      <c r="B63" s="181" t="s">
        <v>25</v>
      </c>
      <c r="C63" s="182"/>
      <c r="D63" s="24">
        <f>IF(F3="1",SUMIF(Data!A:A,'27'!$A$2,Data!DW:DW),0)</f>
        <v>195648</v>
      </c>
      <c r="E63" s="25">
        <f>IF(F3="1",SUMIF(Data!$A:$A,'27'!$A$2,Data!JQ:JQ),0)</f>
        <v>34721</v>
      </c>
      <c r="F63" s="26">
        <f t="shared" si="3"/>
        <v>0.17746667484461892</v>
      </c>
    </row>
    <row r="64" spans="1:6" x14ac:dyDescent="0.2">
      <c r="B64" s="31" t="s">
        <v>35</v>
      </c>
      <c r="C64" s="31"/>
      <c r="D64" s="61">
        <f>SUM(D36:D63)</f>
        <v>4894960</v>
      </c>
      <c r="E64" s="32">
        <f>SUM(E36:E63)</f>
        <v>6385564</v>
      </c>
      <c r="F64" s="33">
        <f t="shared" si="3"/>
        <v>1.3045181165933941</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55012</v>
      </c>
      <c r="E67" s="16">
        <f>IF(F3="1",SUMIF(Data!A:A,'27'!$A$2,Data!DY:DY),0)</f>
        <v>123783</v>
      </c>
      <c r="F67" s="21">
        <f>IFERROR(E67/D67,"")</f>
        <v>2.2501090671126298</v>
      </c>
    </row>
    <row r="68" spans="1:6" x14ac:dyDescent="0.2">
      <c r="A68" s="20">
        <v>2</v>
      </c>
      <c r="B68" s="179" t="s">
        <v>1</v>
      </c>
      <c r="C68" s="180"/>
      <c r="D68" s="15">
        <f t="shared" ref="D68:D94" si="4">D37</f>
        <v>0</v>
      </c>
      <c r="E68" s="18">
        <f>IF(F3="1",SUMIF(Data!A:A,'27'!$A$2,Data!DZ:DZ),0)</f>
        <v>0</v>
      </c>
      <c r="F68" s="22" t="str">
        <f t="shared" ref="F68:F95" si="5">IFERROR(E68/D68,"")</f>
        <v/>
      </c>
    </row>
    <row r="69" spans="1:6" ht="14.25" customHeight="1" x14ac:dyDescent="0.2">
      <c r="A69" s="20">
        <v>3</v>
      </c>
      <c r="B69" s="179" t="s">
        <v>2</v>
      </c>
      <c r="C69" s="180"/>
      <c r="D69" s="15">
        <f t="shared" si="4"/>
        <v>707696</v>
      </c>
      <c r="E69" s="18">
        <f>IF(F3="1",SUMIF(Data!A:A,'27'!$A$2,Data!EA:EA),0)</f>
        <v>2088753</v>
      </c>
      <c r="F69" s="22">
        <f t="shared" si="5"/>
        <v>2.9514834053039722</v>
      </c>
    </row>
    <row r="70" spans="1:6" ht="14.25" customHeight="1" x14ac:dyDescent="0.2">
      <c r="A70" s="20">
        <v>4</v>
      </c>
      <c r="B70" s="179" t="s">
        <v>3</v>
      </c>
      <c r="C70" s="180"/>
      <c r="D70" s="15">
        <f t="shared" si="4"/>
        <v>339679</v>
      </c>
      <c r="E70" s="18">
        <f>IF(F3="1",SUMIF(Data!A:A,'27'!$A$2,Data!EB:EB),0)</f>
        <v>1367964</v>
      </c>
      <c r="F70" s="22">
        <f t="shared" si="5"/>
        <v>4.0272257042678525</v>
      </c>
    </row>
    <row r="71" spans="1:6" x14ac:dyDescent="0.2">
      <c r="A71" s="20">
        <v>5</v>
      </c>
      <c r="B71" s="179" t="s">
        <v>4</v>
      </c>
      <c r="C71" s="180"/>
      <c r="D71" s="15">
        <f t="shared" si="4"/>
        <v>0</v>
      </c>
      <c r="E71" s="18">
        <f>IF(F3="1",SUMIF(Data!A:A,'27'!$A$2,Data!EC:EC),0)</f>
        <v>0</v>
      </c>
      <c r="F71" s="22" t="str">
        <f t="shared" si="5"/>
        <v/>
      </c>
    </row>
    <row r="72" spans="1:6" x14ac:dyDescent="0.2">
      <c r="A72" s="20">
        <v>6</v>
      </c>
      <c r="B72" s="179" t="s">
        <v>5</v>
      </c>
      <c r="C72" s="180"/>
      <c r="D72" s="15">
        <f t="shared" si="4"/>
        <v>17666</v>
      </c>
      <c r="E72" s="18">
        <f>IF(F3="1",SUMIF(Data!A:A,'27'!$A$2,Data!ED:ED),0)</f>
        <v>5430</v>
      </c>
      <c r="F72" s="22">
        <f t="shared" si="5"/>
        <v>0.30737008943733723</v>
      </c>
    </row>
    <row r="73" spans="1:6" x14ac:dyDescent="0.2">
      <c r="A73" s="20">
        <v>7</v>
      </c>
      <c r="B73" s="179" t="s">
        <v>6</v>
      </c>
      <c r="C73" s="180"/>
      <c r="D73" s="15">
        <f t="shared" si="4"/>
        <v>148858</v>
      </c>
      <c r="E73" s="18">
        <f>IF(F3="1",SUMIF(Data!A:A,'27'!$A$2,Data!EE:EE),0)</f>
        <v>1130895</v>
      </c>
      <c r="F73" s="22">
        <f t="shared" si="5"/>
        <v>7.5971395558182966</v>
      </c>
    </row>
    <row r="74" spans="1:6" x14ac:dyDescent="0.2">
      <c r="A74" s="20">
        <v>8</v>
      </c>
      <c r="B74" s="179" t="s">
        <v>7</v>
      </c>
      <c r="C74" s="180"/>
      <c r="D74" s="15">
        <f t="shared" si="4"/>
        <v>1752</v>
      </c>
      <c r="E74" s="18">
        <f>IF(F3="1",SUMIF(Data!A:A,'27'!$A$2,Data!EF:EF),0)</f>
        <v>0</v>
      </c>
      <c r="F74" s="22">
        <f t="shared" si="5"/>
        <v>0</v>
      </c>
    </row>
    <row r="75" spans="1:6" x14ac:dyDescent="0.2">
      <c r="A75" s="20">
        <v>9</v>
      </c>
      <c r="B75" s="179" t="s">
        <v>8</v>
      </c>
      <c r="C75" s="180"/>
      <c r="D75" s="15">
        <f t="shared" si="4"/>
        <v>182847</v>
      </c>
      <c r="E75" s="18">
        <f>IF(F3="1",SUMIF(Data!A:A,'27'!$A$2,Data!EG:EG),0)</f>
        <v>534747</v>
      </c>
      <c r="F75" s="22">
        <f t="shared" si="5"/>
        <v>2.9245598779307289</v>
      </c>
    </row>
    <row r="76" spans="1:6" x14ac:dyDescent="0.2">
      <c r="A76" s="20">
        <v>10</v>
      </c>
      <c r="B76" s="179" t="s">
        <v>9</v>
      </c>
      <c r="C76" s="180"/>
      <c r="D76" s="15">
        <f t="shared" si="4"/>
        <v>2528</v>
      </c>
      <c r="E76" s="18">
        <f>IF(F3="1",SUMIF(Data!A:A,'27'!$A$2,Data!EH:EH),0)</f>
        <v>0</v>
      </c>
      <c r="F76" s="22">
        <f t="shared" si="5"/>
        <v>0</v>
      </c>
    </row>
    <row r="77" spans="1:6" x14ac:dyDescent="0.2">
      <c r="A77" s="20">
        <v>11</v>
      </c>
      <c r="B77" s="179" t="s">
        <v>10</v>
      </c>
      <c r="C77" s="180"/>
      <c r="D77" s="15">
        <f t="shared" si="4"/>
        <v>5156</v>
      </c>
      <c r="E77" s="18">
        <f>IF(F3="1",SUMIF(Data!A:A,'27'!$A$2,Data!EI:EI),0)</f>
        <v>44771</v>
      </c>
      <c r="F77" s="22">
        <f t="shared" si="5"/>
        <v>8.6832816136539961</v>
      </c>
    </row>
    <row r="78" spans="1:6" ht="14.25" customHeight="1" x14ac:dyDescent="0.2">
      <c r="A78" s="20">
        <v>12</v>
      </c>
      <c r="B78" s="179" t="s">
        <v>11</v>
      </c>
      <c r="C78" s="180"/>
      <c r="D78" s="15">
        <f t="shared" si="4"/>
        <v>545618</v>
      </c>
      <c r="E78" s="18">
        <f>IF(F3="1",SUMIF(Data!A:A,'27'!$A$2,Data!EJ:EJ),0)</f>
        <v>3029432</v>
      </c>
      <c r="F78" s="22">
        <f t="shared" si="5"/>
        <v>5.552294828982915</v>
      </c>
    </row>
    <row r="79" spans="1:6" x14ac:dyDescent="0.2">
      <c r="A79" s="20">
        <v>13</v>
      </c>
      <c r="B79" s="179" t="s">
        <v>12</v>
      </c>
      <c r="C79" s="180"/>
      <c r="D79" s="15">
        <f t="shared" si="4"/>
        <v>91513</v>
      </c>
      <c r="E79" s="18">
        <f>IF(F3="1",SUMIF(Data!A:A,'27'!$A$2,Data!EK:EK),0)</f>
        <v>285282</v>
      </c>
      <c r="F79" s="22">
        <f t="shared" si="5"/>
        <v>3.117393157256346</v>
      </c>
    </row>
    <row r="80" spans="1:6" ht="14.25" customHeight="1" x14ac:dyDescent="0.2">
      <c r="A80" s="20">
        <v>14</v>
      </c>
      <c r="B80" s="179" t="s">
        <v>804</v>
      </c>
      <c r="C80" s="180"/>
      <c r="D80" s="15">
        <f t="shared" si="4"/>
        <v>228445</v>
      </c>
      <c r="E80" s="18">
        <f>IF(F3="1",SUMIF(Data!A:A,'27'!$A$2,Data!EL:EL),0)</f>
        <v>1740168</v>
      </c>
      <c r="F80" s="22">
        <f t="shared" si="5"/>
        <v>7.6174484011468842</v>
      </c>
    </row>
    <row r="81" spans="1:6" x14ac:dyDescent="0.2">
      <c r="A81" s="20">
        <v>15</v>
      </c>
      <c r="B81" s="179" t="s">
        <v>13</v>
      </c>
      <c r="C81" s="180"/>
      <c r="D81" s="15">
        <f t="shared" si="4"/>
        <v>0</v>
      </c>
      <c r="E81" s="18">
        <f>IF(F3="1",SUMIF(Data!A:A,'27'!$A$2,Data!EM:EM),0)</f>
        <v>0</v>
      </c>
      <c r="F81" s="22" t="str">
        <f t="shared" si="5"/>
        <v/>
      </c>
    </row>
    <row r="82" spans="1:6" x14ac:dyDescent="0.2">
      <c r="A82" s="20">
        <v>16</v>
      </c>
      <c r="B82" s="179" t="s">
        <v>14</v>
      </c>
      <c r="C82" s="180"/>
      <c r="D82" s="15">
        <f t="shared" si="4"/>
        <v>368042</v>
      </c>
      <c r="E82" s="18">
        <f>IF(F3="1",SUMIF(Data!A:A,'27'!$A$2,Data!EN:EN),0)</f>
        <v>1808985</v>
      </c>
      <c r="F82" s="22">
        <f t="shared" si="5"/>
        <v>4.9151591394460414</v>
      </c>
    </row>
    <row r="83" spans="1:6" x14ac:dyDescent="0.2">
      <c r="A83" s="20">
        <v>17</v>
      </c>
      <c r="B83" s="179" t="s">
        <v>15</v>
      </c>
      <c r="C83" s="180"/>
      <c r="D83" s="15">
        <f t="shared" si="4"/>
        <v>61072</v>
      </c>
      <c r="E83" s="18">
        <f>IF(F3="1",SUMIF(Data!A:A,'27'!$A$2,Data!EO:EO),0)</f>
        <v>448772</v>
      </c>
      <c r="F83" s="22">
        <f t="shared" si="5"/>
        <v>7.3482446947864819</v>
      </c>
    </row>
    <row r="84" spans="1:6" x14ac:dyDescent="0.2">
      <c r="A84" s="20">
        <v>18</v>
      </c>
      <c r="B84" s="179" t="s">
        <v>16</v>
      </c>
      <c r="C84" s="180"/>
      <c r="D84" s="15">
        <f t="shared" si="4"/>
        <v>90600</v>
      </c>
      <c r="E84" s="18">
        <f>IF(F3="1",SUMIF(Data!A:A,'27'!$A$2,Data!EP:EP),0)</f>
        <v>387718</v>
      </c>
      <c r="F84" s="22">
        <f t="shared" si="5"/>
        <v>4.279448123620309</v>
      </c>
    </row>
    <row r="85" spans="1:6" x14ac:dyDescent="0.2">
      <c r="A85" s="20">
        <v>19</v>
      </c>
      <c r="B85" s="179" t="s">
        <v>17</v>
      </c>
      <c r="C85" s="180"/>
      <c r="D85" s="15">
        <f t="shared" si="4"/>
        <v>163616</v>
      </c>
      <c r="E85" s="18">
        <f>IF(F3="1",SUMIF(Data!A:A,'27'!$A$2,Data!EQ:EQ),0)</f>
        <v>648009</v>
      </c>
      <c r="F85" s="22">
        <f t="shared" si="5"/>
        <v>3.9605478681791513</v>
      </c>
    </row>
    <row r="86" spans="1:6" x14ac:dyDescent="0.2">
      <c r="A86" s="20">
        <v>20</v>
      </c>
      <c r="B86" s="179" t="s">
        <v>18</v>
      </c>
      <c r="C86" s="180"/>
      <c r="D86" s="15">
        <f t="shared" si="4"/>
        <v>0</v>
      </c>
      <c r="E86" s="18">
        <f>IF(F3="1",SUMIF(Data!A:A,'27'!$A$2,Data!ER:ER),0)</f>
        <v>0</v>
      </c>
      <c r="F86" s="22" t="str">
        <f t="shared" si="5"/>
        <v/>
      </c>
    </row>
    <row r="87" spans="1:6" ht="14.25" customHeight="1" x14ac:dyDescent="0.2">
      <c r="A87" s="20">
        <v>21</v>
      </c>
      <c r="B87" s="179" t="s">
        <v>801</v>
      </c>
      <c r="C87" s="180"/>
      <c r="D87" s="15">
        <f t="shared" si="4"/>
        <v>46830</v>
      </c>
      <c r="E87" s="18">
        <f>IF(F3="1",SUMIF(Data!A:A,'27'!$A$2,Data!ES:ES),0)</f>
        <v>0</v>
      </c>
      <c r="F87" s="22">
        <f t="shared" si="5"/>
        <v>0</v>
      </c>
    </row>
    <row r="88" spans="1:6" x14ac:dyDescent="0.2">
      <c r="A88" s="20">
        <v>22</v>
      </c>
      <c r="B88" s="179" t="s">
        <v>19</v>
      </c>
      <c r="C88" s="180"/>
      <c r="D88" s="15">
        <f t="shared" si="4"/>
        <v>2048</v>
      </c>
      <c r="E88" s="18">
        <f>IF(F3="1",SUMIF(Data!A:A,'27'!$A$2,Data!ET:ET),0)</f>
        <v>0</v>
      </c>
      <c r="F88" s="22">
        <f t="shared" si="5"/>
        <v>0</v>
      </c>
    </row>
    <row r="89" spans="1:6" x14ac:dyDescent="0.2">
      <c r="A89" s="20">
        <v>23</v>
      </c>
      <c r="B89" s="179" t="s">
        <v>20</v>
      </c>
      <c r="C89" s="180"/>
      <c r="D89" s="15">
        <f t="shared" si="4"/>
        <v>139468</v>
      </c>
      <c r="E89" s="18">
        <f>IF(F3="1",SUMIF(Data!A:A,'27'!$A$2,Data!EU:EU),0)</f>
        <v>797258</v>
      </c>
      <c r="F89" s="22">
        <f t="shared" si="5"/>
        <v>5.7164224051395305</v>
      </c>
    </row>
    <row r="90" spans="1:6" x14ac:dyDescent="0.2">
      <c r="A90" s="20">
        <v>24</v>
      </c>
      <c r="B90" s="179" t="s">
        <v>21</v>
      </c>
      <c r="C90" s="180"/>
      <c r="D90" s="15">
        <f t="shared" si="4"/>
        <v>184242</v>
      </c>
      <c r="E90" s="18">
        <f>IF(F3="1",SUMIF(Data!A:A,'27'!$A$2,Data!EV:EV),0)</f>
        <v>376146</v>
      </c>
      <c r="F90" s="22">
        <f t="shared" si="5"/>
        <v>2.0415866089165338</v>
      </c>
    </row>
    <row r="91" spans="1:6" x14ac:dyDescent="0.2">
      <c r="A91" s="20">
        <v>25</v>
      </c>
      <c r="B91" s="179" t="s">
        <v>22</v>
      </c>
      <c r="C91" s="180"/>
      <c r="D91" s="15">
        <f t="shared" si="4"/>
        <v>768672</v>
      </c>
      <c r="E91" s="18">
        <f>IF(F3="1",SUMIF(Data!A:A,'27'!$A$2,Data!EW:EW),0)</f>
        <v>1894861</v>
      </c>
      <c r="F91" s="22">
        <f t="shared" si="5"/>
        <v>2.4651099558719456</v>
      </c>
    </row>
    <row r="92" spans="1:6" x14ac:dyDescent="0.2">
      <c r="A92" s="20">
        <v>26</v>
      </c>
      <c r="B92" s="179" t="s">
        <v>23</v>
      </c>
      <c r="C92" s="180"/>
      <c r="D92" s="15">
        <f t="shared" si="4"/>
        <v>334800</v>
      </c>
      <c r="E92" s="18">
        <f>IF(F3="1",SUMIF(Data!A:A,'27'!$A$2,Data!EX:EX),0)</f>
        <v>1900482</v>
      </c>
      <c r="F92" s="22">
        <f t="shared" si="5"/>
        <v>5.6764695340501792</v>
      </c>
    </row>
    <row r="93" spans="1:6" x14ac:dyDescent="0.2">
      <c r="A93" s="20">
        <v>28</v>
      </c>
      <c r="B93" s="179" t="s">
        <v>24</v>
      </c>
      <c r="C93" s="180"/>
      <c r="D93" s="15">
        <f t="shared" si="4"/>
        <v>213152</v>
      </c>
      <c r="E93" s="18">
        <f>IF(F3="1",SUMIF(Data!A:A,'27'!$A$2,Data!EZ:EZ),0)</f>
        <v>844166</v>
      </c>
      <c r="F93" s="22">
        <f t="shared" si="5"/>
        <v>3.9603944602912478</v>
      </c>
    </row>
    <row r="94" spans="1:6" ht="15.75" customHeight="1" thickBot="1" x14ac:dyDescent="0.25">
      <c r="A94" s="23">
        <v>29</v>
      </c>
      <c r="B94" s="181" t="s">
        <v>25</v>
      </c>
      <c r="C94" s="182"/>
      <c r="D94" s="24">
        <f t="shared" si="4"/>
        <v>195648</v>
      </c>
      <c r="E94" s="25">
        <f>IF(F3="1",SUMIF(Data!A:A,'27'!$A$2,Data!FA:FA),0)</f>
        <v>112042</v>
      </c>
      <c r="F94" s="26">
        <f t="shared" si="5"/>
        <v>0.57267132809944388</v>
      </c>
    </row>
    <row r="95" spans="1:6" x14ac:dyDescent="0.2">
      <c r="B95" s="31" t="s">
        <v>35</v>
      </c>
      <c r="C95" s="31"/>
      <c r="D95" s="61">
        <f>SUM(D67:D94)</f>
        <v>4894960</v>
      </c>
      <c r="E95" s="32">
        <f>SUM(E67:E94)</f>
        <v>19569664</v>
      </c>
      <c r="F95" s="33">
        <f t="shared" si="5"/>
        <v>3.9979211270367889</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IF(F3="1",SUMIF(Data!A:A,'27'!$A$2,Data!AH:AH),0)</f>
        <v>6914794</v>
      </c>
      <c r="F98" s="21">
        <f t="shared" ref="F98:F105" si="6">IFERROR(E98/$D$95,0)</f>
        <v>1.4126354454377563</v>
      </c>
    </row>
    <row r="99" spans="2:6" x14ac:dyDescent="0.2">
      <c r="B99" s="185" t="s">
        <v>31</v>
      </c>
      <c r="C99" s="186"/>
      <c r="D99" s="37"/>
      <c r="E99" s="18">
        <f>IF(F3="1",SUMIF(Data!A:A,'27'!$A$2,Data!AI:AI),0)</f>
        <v>2763717</v>
      </c>
      <c r="F99" s="22">
        <f t="shared" si="6"/>
        <v>0.56460461372513771</v>
      </c>
    </row>
    <row r="100" spans="2:6" x14ac:dyDescent="0.2">
      <c r="B100" s="185" t="s">
        <v>32</v>
      </c>
      <c r="C100" s="186"/>
      <c r="D100" s="37"/>
      <c r="E100" s="18">
        <f>IF(F3="1",SUMIF(Data!A:A,'27'!$A$2,Data!AJ:AJ),0)</f>
        <v>1749821</v>
      </c>
      <c r="F100" s="22">
        <f t="shared" si="6"/>
        <v>0.35747401408795987</v>
      </c>
    </row>
    <row r="101" spans="2:6" x14ac:dyDescent="0.2">
      <c r="B101" s="185" t="s">
        <v>28</v>
      </c>
      <c r="C101" s="186"/>
      <c r="D101" s="37"/>
      <c r="E101" s="18">
        <f>IF(F3="1",SUMIF(Data!A:A,'27'!$A$2,Data!AK:AK),0)</f>
        <v>0</v>
      </c>
      <c r="F101" s="22">
        <f t="shared" si="6"/>
        <v>0</v>
      </c>
    </row>
    <row r="102" spans="2:6" x14ac:dyDescent="0.2">
      <c r="B102" s="185" t="s">
        <v>33</v>
      </c>
      <c r="C102" s="186"/>
      <c r="D102" s="37"/>
      <c r="E102" s="18">
        <f>IF(F3="1",SUMIF(Data!A:A,'27'!$A$2,Data!AL:AL),0)</f>
        <v>1360805</v>
      </c>
      <c r="F102" s="22">
        <f t="shared" si="6"/>
        <v>0.27800125026557931</v>
      </c>
    </row>
    <row r="103" spans="2:6" x14ac:dyDescent="0.2">
      <c r="B103" s="187" t="s">
        <v>34</v>
      </c>
      <c r="C103" s="188"/>
      <c r="D103" s="37"/>
      <c r="E103" s="18">
        <f>IF(F3="1",SUMIF(Data!A:A,'27'!$A$2,Data!AM:AM),0)</f>
        <v>0</v>
      </c>
      <c r="F103" s="22">
        <f t="shared" si="6"/>
        <v>0</v>
      </c>
    </row>
    <row r="104" spans="2:6" ht="15.75" customHeight="1" thickBot="1" x14ac:dyDescent="0.25">
      <c r="B104" s="177" t="s">
        <v>29</v>
      </c>
      <c r="C104" s="178"/>
      <c r="D104" s="38"/>
      <c r="E104" s="25">
        <f>IF(F3="1",SUMIF(Data!A:A,'27'!$A$2,Data!Q:Q),0)</f>
        <v>486129</v>
      </c>
      <c r="F104" s="26">
        <f t="shared" si="6"/>
        <v>9.9312149639629338E-2</v>
      </c>
    </row>
    <row r="105" spans="2:6" x14ac:dyDescent="0.2">
      <c r="B105" s="31" t="s">
        <v>35</v>
      </c>
      <c r="C105" s="31"/>
      <c r="D105" s="35">
        <f>D95</f>
        <v>4894960</v>
      </c>
      <c r="E105" s="32">
        <f>SUM(E98:E104)</f>
        <v>13275266</v>
      </c>
      <c r="F105" s="33">
        <f t="shared" si="6"/>
        <v>2.7120274731560627</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21823133</v>
      </c>
      <c r="D109" s="16">
        <f>IF(F3="1",SUMIF(Data!$A:$A,$A$2,Data!HJ:HJ),0)</f>
        <v>1374369</v>
      </c>
      <c r="E109" s="16">
        <f>IF(F3="1",SUMIF(Data!$A:$A,$A$2,Data!IN:IN),0)</f>
        <v>2757726</v>
      </c>
      <c r="F109" s="48">
        <f>SUM(C109:E109)</f>
        <v>25955228</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451170</v>
      </c>
      <c r="D111" s="52"/>
      <c r="E111" s="51">
        <f>IF(F3="1",SUMIF(Data!A:A,$A$2,Data!AX:AX),0)</f>
        <v>144145</v>
      </c>
      <c r="F111" s="49">
        <f t="shared" si="7"/>
        <v>595315</v>
      </c>
    </row>
    <row r="112" spans="2:6" x14ac:dyDescent="0.2">
      <c r="B112" s="43" t="s">
        <v>32</v>
      </c>
      <c r="C112" s="51">
        <f>IF(F3="1",SUMIF(Data!A:A,$A$2,Data!V:V),0)</f>
        <v>1387647</v>
      </c>
      <c r="D112" s="52"/>
      <c r="E112" s="51">
        <f>IF(F3="1",SUMIF(Data!A:A,$A$2,Data!AC:AC),0)</f>
        <v>362174</v>
      </c>
      <c r="F112" s="49">
        <f t="shared" si="7"/>
        <v>1749821</v>
      </c>
    </row>
    <row r="113" spans="1:6" x14ac:dyDescent="0.2">
      <c r="B113" s="43" t="s">
        <v>31</v>
      </c>
      <c r="C113" s="51">
        <f>IF(F3="1",SUMIF(Data!A:A,$A$2,Data!U:U),0)</f>
        <v>1808532</v>
      </c>
      <c r="D113" s="52"/>
      <c r="E113" s="51">
        <f>IF(F3="1",SUMIF(Data!A:A,$A$2,Data!AB:AB),0)</f>
        <v>955185</v>
      </c>
      <c r="F113" s="49">
        <f t="shared" si="7"/>
        <v>2763717</v>
      </c>
    </row>
    <row r="114" spans="1:6" x14ac:dyDescent="0.2">
      <c r="B114" s="43" t="s">
        <v>1363</v>
      </c>
      <c r="C114" s="51">
        <f>IF(F3="1",SUMIF(Data!A:A,$A$2,Data!T:T),0)</f>
        <v>4077428</v>
      </c>
      <c r="D114" s="52"/>
      <c r="E114" s="51">
        <f>IF(F3="1",SUMIF(Data!A:A,$A$2,Data!AA:AA),0)</f>
        <v>2837366</v>
      </c>
      <c r="F114" s="49">
        <f t="shared" si="7"/>
        <v>6914794</v>
      </c>
    </row>
    <row r="115" spans="1:6" x14ac:dyDescent="0.2">
      <c r="B115" s="43" t="s">
        <v>1278</v>
      </c>
      <c r="C115" s="51">
        <f>IF(F3="1",SUMIF(Data!A:A,$A$2,Data!BI:BI),0)</f>
        <v>1357695</v>
      </c>
      <c r="D115" s="51">
        <f>IF(F3="1",SUMIF(Data!A:A,$A$2,Data!BL:BL),0)</f>
        <v>500585</v>
      </c>
      <c r="E115" s="51">
        <f>IF(F3="1",SUMIF(Data!A:A,$A$2,Data!BU:BU),0)</f>
        <v>4093795</v>
      </c>
      <c r="F115" s="49">
        <f t="shared" si="7"/>
        <v>5952075</v>
      </c>
    </row>
    <row r="116" spans="1:6" x14ac:dyDescent="0.2">
      <c r="B116" s="43" t="s">
        <v>33</v>
      </c>
      <c r="C116" s="51">
        <f>IF(F3="1",SUMIF(Data!A:A,$A$2,Data!X:X),0)</f>
        <v>0</v>
      </c>
      <c r="D116" s="51"/>
      <c r="E116" s="51">
        <f>E102</f>
        <v>1360805</v>
      </c>
      <c r="F116" s="49">
        <f t="shared" si="7"/>
        <v>1360805</v>
      </c>
    </row>
    <row r="117" spans="1:6" ht="15" thickBot="1" x14ac:dyDescent="0.25">
      <c r="B117" s="44" t="s">
        <v>1282</v>
      </c>
      <c r="C117" s="53"/>
      <c r="D117" s="53">
        <f>IF(F3="1",SUMIF(Data!A:A,$A$2,Data!Q:Q),0)</f>
        <v>486129</v>
      </c>
      <c r="E117" s="53"/>
      <c r="F117" s="50">
        <f>SUM(C117:E117)</f>
        <v>486129</v>
      </c>
    </row>
    <row r="118" spans="1:6" x14ac:dyDescent="0.2">
      <c r="B118" s="14" t="s">
        <v>35</v>
      </c>
      <c r="C118" s="5">
        <f>SUM(C109:C116)</f>
        <v>30905605</v>
      </c>
      <c r="D118" s="5">
        <f>SUM(D109:D116)</f>
        <v>1874954</v>
      </c>
      <c r="E118" s="5">
        <f>SUM(E109:E116)</f>
        <v>12511196</v>
      </c>
      <c r="F118" s="5">
        <f>SUM(F109:F116)</f>
        <v>45291755</v>
      </c>
    </row>
    <row r="119" spans="1:6" ht="15" thickBot="1" x14ac:dyDescent="0.25"/>
    <row r="120" spans="1:6" ht="15" thickBot="1" x14ac:dyDescent="0.25">
      <c r="B120" s="57" t="s">
        <v>1283</v>
      </c>
      <c r="C120" s="55"/>
      <c r="D120" s="55"/>
      <c r="E120" s="55">
        <f>IF(F3="1",SUMIF(Data!A:A,'27'!$A$2,Data!AM:AM),0)</f>
        <v>0</v>
      </c>
      <c r="F120" s="56">
        <f>SUM(C120:E120)</f>
        <v>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680</v>
      </c>
      <c r="B2" s="60" t="str">
        <f>VLOOKUP(A2,Data!A:G,7,0)</f>
        <v>Midland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4032</v>
      </c>
      <c r="E5" s="16">
        <f>E36+E67+IFERROR($E$105/$D$105*D5,0)</f>
        <v>32025.495743655876</v>
      </c>
      <c r="F5" s="21">
        <f>IFERROR(E5/D5,"")</f>
        <v>7.9428312856289374</v>
      </c>
    </row>
    <row r="6" spans="1:6" x14ac:dyDescent="0.2">
      <c r="A6" s="20">
        <v>2</v>
      </c>
      <c r="B6" s="179" t="s">
        <v>1</v>
      </c>
      <c r="C6" s="180"/>
      <c r="D6" s="15">
        <f t="shared" ref="D6:D32" si="0">D37</f>
        <v>39668</v>
      </c>
      <c r="E6" s="18">
        <f t="shared" ref="E6:E32" si="1">E37+E68+IFERROR($E$105/$D$105*D6,0)</f>
        <v>397352.65504943981</v>
      </c>
      <c r="F6" s="22">
        <f t="shared" ref="F6:F33" si="2">IFERROR(E6/D6,"")</f>
        <v>10.016957120334775</v>
      </c>
    </row>
    <row r="7" spans="1:6" ht="14.25" customHeight="1" x14ac:dyDescent="0.2">
      <c r="A7" s="20">
        <v>3</v>
      </c>
      <c r="B7" s="179" t="s">
        <v>2</v>
      </c>
      <c r="C7" s="180"/>
      <c r="D7" s="15">
        <f t="shared" si="0"/>
        <v>333440</v>
      </c>
      <c r="E7" s="18">
        <f t="shared" si="1"/>
        <v>2917488.4416578906</v>
      </c>
      <c r="F7" s="22">
        <f t="shared" si="2"/>
        <v>8.749665432035421</v>
      </c>
    </row>
    <row r="8" spans="1:6" ht="14.25" customHeight="1" x14ac:dyDescent="0.2">
      <c r="A8" s="20">
        <v>4</v>
      </c>
      <c r="B8" s="179" t="s">
        <v>3</v>
      </c>
      <c r="C8" s="180"/>
      <c r="D8" s="15">
        <f t="shared" si="0"/>
        <v>213050</v>
      </c>
      <c r="E8" s="18">
        <f t="shared" si="1"/>
        <v>1671639.8060976896</v>
      </c>
      <c r="F8" s="22">
        <f t="shared" si="2"/>
        <v>7.8462323684472635</v>
      </c>
    </row>
    <row r="9" spans="1:6" x14ac:dyDescent="0.2">
      <c r="A9" s="20">
        <v>5</v>
      </c>
      <c r="B9" s="179" t="s">
        <v>4</v>
      </c>
      <c r="C9" s="180"/>
      <c r="D9" s="15">
        <f t="shared" si="0"/>
        <v>12629</v>
      </c>
      <c r="E9" s="18">
        <f t="shared" si="1"/>
        <v>919326.41387565224</v>
      </c>
      <c r="F9" s="22">
        <f t="shared" si="2"/>
        <v>72.794870051124576</v>
      </c>
    </row>
    <row r="10" spans="1:6" x14ac:dyDescent="0.2">
      <c r="A10" s="20">
        <v>6</v>
      </c>
      <c r="B10" s="179" t="s">
        <v>5</v>
      </c>
      <c r="C10" s="180"/>
      <c r="D10" s="15">
        <f t="shared" si="0"/>
        <v>10640</v>
      </c>
      <c r="E10" s="18">
        <f t="shared" si="1"/>
        <v>195107.41932353633</v>
      </c>
      <c r="F10" s="22">
        <f t="shared" si="2"/>
        <v>18.337163470257174</v>
      </c>
    </row>
    <row r="11" spans="1:6" x14ac:dyDescent="0.2">
      <c r="A11" s="20">
        <v>7</v>
      </c>
      <c r="B11" s="179" t="s">
        <v>6</v>
      </c>
      <c r="C11" s="180"/>
      <c r="D11" s="15">
        <f t="shared" si="0"/>
        <v>54685</v>
      </c>
      <c r="E11" s="18">
        <f t="shared" si="1"/>
        <v>640950.02920184063</v>
      </c>
      <c r="F11" s="22">
        <f t="shared" si="2"/>
        <v>11.720764911801053</v>
      </c>
    </row>
    <row r="12" spans="1:6" x14ac:dyDescent="0.2">
      <c r="A12" s="20">
        <v>8</v>
      </c>
      <c r="B12" s="179" t="s">
        <v>7</v>
      </c>
      <c r="C12" s="180"/>
      <c r="D12" s="15">
        <f t="shared" si="0"/>
        <v>954</v>
      </c>
      <c r="E12" s="18">
        <f t="shared" si="1"/>
        <v>7380.6172964900061</v>
      </c>
      <c r="F12" s="22">
        <f t="shared" si="2"/>
        <v>7.7364961179140526</v>
      </c>
    </row>
    <row r="13" spans="1:6" x14ac:dyDescent="0.2">
      <c r="A13" s="20">
        <v>9</v>
      </c>
      <c r="B13" s="179" t="s">
        <v>8</v>
      </c>
      <c r="C13" s="180"/>
      <c r="D13" s="15">
        <f t="shared" si="0"/>
        <v>104468</v>
      </c>
      <c r="E13" s="18">
        <f t="shared" si="1"/>
        <v>1056175.622358195</v>
      </c>
      <c r="F13" s="22">
        <f t="shared" si="2"/>
        <v>10.110039651933558</v>
      </c>
    </row>
    <row r="14" spans="1:6" x14ac:dyDescent="0.2">
      <c r="A14" s="20">
        <v>10</v>
      </c>
      <c r="B14" s="179" t="s">
        <v>9</v>
      </c>
      <c r="C14" s="180"/>
      <c r="D14" s="15">
        <f t="shared" si="0"/>
        <v>1264</v>
      </c>
      <c r="E14" s="18">
        <f t="shared" si="1"/>
        <v>9779.3776339238648</v>
      </c>
      <c r="F14" s="22">
        <f t="shared" si="2"/>
        <v>7.7368493939271081</v>
      </c>
    </row>
    <row r="15" spans="1:6" x14ac:dyDescent="0.2">
      <c r="A15" s="20">
        <v>11</v>
      </c>
      <c r="B15" s="179" t="s">
        <v>10</v>
      </c>
      <c r="C15" s="180"/>
      <c r="D15" s="15">
        <f t="shared" si="0"/>
        <v>128247</v>
      </c>
      <c r="E15" s="18">
        <f t="shared" si="1"/>
        <v>1789117.3515963876</v>
      </c>
      <c r="F15" s="22">
        <f t="shared" si="2"/>
        <v>13.950559089853076</v>
      </c>
    </row>
    <row r="16" spans="1:6" ht="14.25" customHeight="1" x14ac:dyDescent="0.2">
      <c r="A16" s="20">
        <v>12</v>
      </c>
      <c r="B16" s="179" t="s">
        <v>11</v>
      </c>
      <c r="C16" s="180"/>
      <c r="D16" s="15">
        <f t="shared" si="0"/>
        <v>280258</v>
      </c>
      <c r="E16" s="18">
        <f t="shared" si="1"/>
        <v>2557200.8472533505</v>
      </c>
      <c r="F16" s="22">
        <f t="shared" si="2"/>
        <v>9.1244526374032162</v>
      </c>
    </row>
    <row r="17" spans="1:6" x14ac:dyDescent="0.2">
      <c r="A17" s="20">
        <v>13</v>
      </c>
      <c r="B17" s="179" t="s">
        <v>12</v>
      </c>
      <c r="C17" s="180"/>
      <c r="D17" s="15">
        <f t="shared" si="0"/>
        <v>379136</v>
      </c>
      <c r="E17" s="18">
        <f t="shared" si="1"/>
        <v>2215365.7267526574</v>
      </c>
      <c r="F17" s="22">
        <f t="shared" si="2"/>
        <v>5.8431953883373184</v>
      </c>
    </row>
    <row r="18" spans="1:6" ht="14.25" customHeight="1" x14ac:dyDescent="0.2">
      <c r="A18" s="20">
        <v>14</v>
      </c>
      <c r="B18" s="179" t="s">
        <v>804</v>
      </c>
      <c r="C18" s="180"/>
      <c r="D18" s="15">
        <f t="shared" si="0"/>
        <v>152392</v>
      </c>
      <c r="E18" s="18">
        <f t="shared" si="1"/>
        <v>1494544.9591684539</v>
      </c>
      <c r="F18" s="22">
        <f t="shared" si="2"/>
        <v>9.8072402696234313</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157814</v>
      </c>
      <c r="E20" s="18">
        <f t="shared" si="1"/>
        <v>1571453.3480380229</v>
      </c>
      <c r="F20" s="22">
        <f t="shared" si="2"/>
        <v>9.9576295388116574</v>
      </c>
    </row>
    <row r="21" spans="1:6" x14ac:dyDescent="0.2">
      <c r="A21" s="20">
        <v>17</v>
      </c>
      <c r="B21" s="179" t="s">
        <v>15</v>
      </c>
      <c r="C21" s="180"/>
      <c r="D21" s="15">
        <f t="shared" si="0"/>
        <v>16655</v>
      </c>
      <c r="E21" s="18">
        <f t="shared" si="1"/>
        <v>282375.07554826105</v>
      </c>
      <c r="F21" s="22">
        <f t="shared" si="2"/>
        <v>16.954372593711263</v>
      </c>
    </row>
    <row r="22" spans="1:6" x14ac:dyDescent="0.2">
      <c r="A22" s="20">
        <v>18</v>
      </c>
      <c r="B22" s="179" t="s">
        <v>16</v>
      </c>
      <c r="C22" s="180"/>
      <c r="D22" s="15">
        <f t="shared" si="0"/>
        <v>101408</v>
      </c>
      <c r="E22" s="18">
        <f t="shared" si="1"/>
        <v>1056728.2461241705</v>
      </c>
      <c r="F22" s="22">
        <f t="shared" si="2"/>
        <v>10.420560962884293</v>
      </c>
    </row>
    <row r="23" spans="1:6" x14ac:dyDescent="0.2">
      <c r="A23" s="20">
        <v>19</v>
      </c>
      <c r="B23" s="179" t="s">
        <v>17</v>
      </c>
      <c r="C23" s="180"/>
      <c r="D23" s="15">
        <f t="shared" si="0"/>
        <v>82624</v>
      </c>
      <c r="E23" s="18">
        <f t="shared" si="1"/>
        <v>785510.38103269413</v>
      </c>
      <c r="F23" s="22">
        <f t="shared" si="2"/>
        <v>9.5070485698186253</v>
      </c>
    </row>
    <row r="24" spans="1:6" x14ac:dyDescent="0.2">
      <c r="A24" s="20">
        <v>20</v>
      </c>
      <c r="B24" s="179" t="s">
        <v>18</v>
      </c>
      <c r="C24" s="180"/>
      <c r="D24" s="15">
        <f t="shared" si="0"/>
        <v>37056</v>
      </c>
      <c r="E24" s="18">
        <f t="shared" si="1"/>
        <v>610796.2227869326</v>
      </c>
      <c r="F24" s="22">
        <f t="shared" si="2"/>
        <v>16.483058689198312</v>
      </c>
    </row>
    <row r="25" spans="1:6" ht="14.25" customHeight="1" x14ac:dyDescent="0.2">
      <c r="A25" s="20">
        <v>21</v>
      </c>
      <c r="B25" s="179" t="s">
        <v>801</v>
      </c>
      <c r="C25" s="180"/>
      <c r="D25" s="15">
        <f t="shared" si="0"/>
        <v>49916</v>
      </c>
      <c r="E25" s="18">
        <f t="shared" si="1"/>
        <v>821338.24839789851</v>
      </c>
      <c r="F25" s="22">
        <f t="shared" si="2"/>
        <v>16.454408374026336</v>
      </c>
    </row>
    <row r="26" spans="1:6" x14ac:dyDescent="0.2">
      <c r="A26" s="20">
        <v>22</v>
      </c>
      <c r="B26" s="179" t="s">
        <v>19</v>
      </c>
      <c r="C26" s="180"/>
      <c r="D26" s="15">
        <f t="shared" si="0"/>
        <v>4512</v>
      </c>
      <c r="E26" s="18">
        <f t="shared" si="1"/>
        <v>59350.221427424432</v>
      </c>
      <c r="F26" s="22">
        <f t="shared" si="2"/>
        <v>13.153861131964636</v>
      </c>
    </row>
    <row r="27" spans="1:6" x14ac:dyDescent="0.2">
      <c r="A27" s="20">
        <v>23</v>
      </c>
      <c r="B27" s="179" t="s">
        <v>20</v>
      </c>
      <c r="C27" s="180"/>
      <c r="D27" s="15">
        <f t="shared" si="0"/>
        <v>67295</v>
      </c>
      <c r="E27" s="18">
        <f t="shared" si="1"/>
        <v>765716.6351858438</v>
      </c>
      <c r="F27" s="22">
        <f t="shared" si="2"/>
        <v>11.378507098385375</v>
      </c>
    </row>
    <row r="28" spans="1:6" x14ac:dyDescent="0.2">
      <c r="A28" s="20">
        <v>24</v>
      </c>
      <c r="B28" s="179" t="s">
        <v>21</v>
      </c>
      <c r="C28" s="180"/>
      <c r="D28" s="15">
        <f t="shared" si="0"/>
        <v>80052</v>
      </c>
      <c r="E28" s="18">
        <f t="shared" si="1"/>
        <v>789589.17591050104</v>
      </c>
      <c r="F28" s="22">
        <f t="shared" si="2"/>
        <v>9.8634534541360743</v>
      </c>
    </row>
    <row r="29" spans="1:6" x14ac:dyDescent="0.2">
      <c r="A29" s="20">
        <v>25</v>
      </c>
      <c r="B29" s="179" t="s">
        <v>22</v>
      </c>
      <c r="C29" s="180"/>
      <c r="D29" s="15">
        <f t="shared" si="0"/>
        <v>389696</v>
      </c>
      <c r="E29" s="18">
        <f t="shared" si="1"/>
        <v>3204677.6917955652</v>
      </c>
      <c r="F29" s="22">
        <f t="shared" si="2"/>
        <v>8.223532424750486</v>
      </c>
    </row>
    <row r="30" spans="1:6" x14ac:dyDescent="0.2">
      <c r="A30" s="20">
        <v>26</v>
      </c>
      <c r="B30" s="179" t="s">
        <v>23</v>
      </c>
      <c r="C30" s="180"/>
      <c r="D30" s="15">
        <f t="shared" si="0"/>
        <v>127984</v>
      </c>
      <c r="E30" s="18">
        <f t="shared" si="1"/>
        <v>1299977.9581488227</v>
      </c>
      <c r="F30" s="22">
        <f t="shared" si="2"/>
        <v>10.157347466470986</v>
      </c>
    </row>
    <row r="31" spans="1:6" x14ac:dyDescent="0.2">
      <c r="A31" s="20">
        <v>28</v>
      </c>
      <c r="B31" s="179" t="s">
        <v>24</v>
      </c>
      <c r="C31" s="180"/>
      <c r="D31" s="15">
        <f t="shared" si="0"/>
        <v>165856</v>
      </c>
      <c r="E31" s="18">
        <f t="shared" si="1"/>
        <v>1277184.614598162</v>
      </c>
      <c r="F31" s="22">
        <f t="shared" si="2"/>
        <v>7.7005632271257118</v>
      </c>
    </row>
    <row r="32" spans="1:6" ht="15.75" customHeight="1" thickBot="1" x14ac:dyDescent="0.25">
      <c r="A32" s="23">
        <v>29</v>
      </c>
      <c r="B32" s="181" t="s">
        <v>25</v>
      </c>
      <c r="C32" s="182"/>
      <c r="D32" s="24">
        <f t="shared" si="0"/>
        <v>49488</v>
      </c>
      <c r="E32" s="25">
        <f t="shared" si="1"/>
        <v>494982.41799653822</v>
      </c>
      <c r="F32" s="26">
        <f t="shared" si="2"/>
        <v>10.002069552144727</v>
      </c>
    </row>
    <row r="33" spans="1:6" x14ac:dyDescent="0.2">
      <c r="B33" s="31" t="s">
        <v>35</v>
      </c>
      <c r="C33" s="31"/>
      <c r="D33" s="61">
        <f>SUM(D5:D32)</f>
        <v>3045219</v>
      </c>
      <c r="E33" s="32">
        <f>SUM(E5:E32)</f>
        <v>28923135.000000004</v>
      </c>
      <c r="F33" s="33">
        <f t="shared" si="2"/>
        <v>9.4978834034596531</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IF(F3="1",SUMIF(Data!A:A,'28'!$A$2,Data!CU:CU),0)</f>
        <v>4032</v>
      </c>
      <c r="E36" s="16">
        <f>IF(F3="1",SUMIF(Data!$A:$A,'28'!$A$2,Data!IO:IO),0)</f>
        <v>1863</v>
      </c>
      <c r="F36" s="21">
        <f t="shared" ref="F36:F64" si="3">IFERROR(E36/D36,"")</f>
        <v>0.46205357142857145</v>
      </c>
    </row>
    <row r="37" spans="1:6" x14ac:dyDescent="0.2">
      <c r="A37" s="20">
        <v>2</v>
      </c>
      <c r="B37" s="179" t="s">
        <v>1</v>
      </c>
      <c r="C37" s="180"/>
      <c r="D37" s="15">
        <f>IF(F3="1",SUMIF(Data!A:A,'28'!$A$2,Data!CV:CV),0)</f>
        <v>39668</v>
      </c>
      <c r="E37" s="18">
        <f>IF(F3="1",SUMIF(Data!$A:$A,'28'!$A$2,Data!IP:IP),0)</f>
        <v>58538</v>
      </c>
      <c r="F37" s="22">
        <f t="shared" si="3"/>
        <v>1.4756982958556015</v>
      </c>
    </row>
    <row r="38" spans="1:6" ht="14.25" customHeight="1" x14ac:dyDescent="0.2">
      <c r="A38" s="20">
        <v>3</v>
      </c>
      <c r="B38" s="179" t="s">
        <v>2</v>
      </c>
      <c r="C38" s="180"/>
      <c r="D38" s="15">
        <f>IF(F3="1",SUMIF(Data!A:A,'28'!$A$2,Data!CW:CW),0)</f>
        <v>333440</v>
      </c>
      <c r="E38" s="18">
        <f>IF(F3="1",SUMIF(Data!$A:$A,'28'!$A$2,Data!IQ:IQ),0)</f>
        <v>289158</v>
      </c>
      <c r="F38" s="22">
        <f t="shared" si="3"/>
        <v>0.86719649712092128</v>
      </c>
    </row>
    <row r="39" spans="1:6" ht="14.25" customHeight="1" x14ac:dyDescent="0.2">
      <c r="A39" s="20">
        <v>4</v>
      </c>
      <c r="B39" s="179" t="s">
        <v>3</v>
      </c>
      <c r="C39" s="180"/>
      <c r="D39" s="15">
        <f>IF(F3="1",SUMIF(Data!A:A,'28'!$A$2,Data!CX:CX),0)</f>
        <v>213050</v>
      </c>
      <c r="E39" s="18">
        <f>IF(F3="1",SUMIF(Data!$A:$A,'28'!$A$2,Data!IR:IR),0)</f>
        <v>121713</v>
      </c>
      <c r="F39" s="22">
        <f t="shared" si="3"/>
        <v>0.57128842994602202</v>
      </c>
    </row>
    <row r="40" spans="1:6" x14ac:dyDescent="0.2">
      <c r="A40" s="20">
        <v>5</v>
      </c>
      <c r="B40" s="179" t="s">
        <v>4</v>
      </c>
      <c r="C40" s="180"/>
      <c r="D40" s="15">
        <f>IF(F3="1",SUMIF(Data!A:A,'28'!$A$2,Data!CY:CY),0)</f>
        <v>12629</v>
      </c>
      <c r="E40" s="18">
        <f>IF(F3="1",SUMIF(Data!$A:$A,'28'!$A$2,Data!IS:IS),0)</f>
        <v>432385</v>
      </c>
      <c r="F40" s="22">
        <f t="shared" si="3"/>
        <v>34.237469316652152</v>
      </c>
    </row>
    <row r="41" spans="1:6" x14ac:dyDescent="0.2">
      <c r="A41" s="20">
        <v>6</v>
      </c>
      <c r="B41" s="179" t="s">
        <v>5</v>
      </c>
      <c r="C41" s="180"/>
      <c r="D41" s="15">
        <f>IF(F3="1",SUMIF(Data!A:A,'28'!$A$2,Data!CZ:CZ),0)</f>
        <v>10640</v>
      </c>
      <c r="E41" s="18">
        <f>IF(F3="1",SUMIF(Data!$A:$A,'28'!$A$2,Data!IT:IT),0)</f>
        <v>22839</v>
      </c>
      <c r="F41" s="22">
        <f t="shared" si="3"/>
        <v>2.1465225563909773</v>
      </c>
    </row>
    <row r="42" spans="1:6" x14ac:dyDescent="0.2">
      <c r="A42" s="20">
        <v>7</v>
      </c>
      <c r="B42" s="179" t="s">
        <v>6</v>
      </c>
      <c r="C42" s="180"/>
      <c r="D42" s="15">
        <f>IF(F3="1",SUMIF(Data!A:A,'28'!$A$2,Data!DA:DA),0)</f>
        <v>54685</v>
      </c>
      <c r="E42" s="18">
        <f>IF(F3="1",SUMIF(Data!$A:$A,'28'!$A$2,Data!IU:IU),0)</f>
        <v>104431</v>
      </c>
      <c r="F42" s="22">
        <f t="shared" si="3"/>
        <v>1.9096827283532962</v>
      </c>
    </row>
    <row r="43" spans="1:6" x14ac:dyDescent="0.2">
      <c r="A43" s="20">
        <v>8</v>
      </c>
      <c r="B43" s="179" t="s">
        <v>7</v>
      </c>
      <c r="C43" s="180"/>
      <c r="D43" s="15">
        <f>IF(F3="1",SUMIF(Data!A:A,'28'!$A$2,Data!DB:DB),0)</f>
        <v>954</v>
      </c>
      <c r="E43" s="18">
        <f>IF(F3="1",SUMIF(Data!$A:$A,'28'!$A$2,Data!IV:IV),0)</f>
        <v>1609</v>
      </c>
      <c r="F43" s="22">
        <f t="shared" si="3"/>
        <v>1.6865828092243187</v>
      </c>
    </row>
    <row r="44" spans="1:6" x14ac:dyDescent="0.2">
      <c r="A44" s="20">
        <v>9</v>
      </c>
      <c r="B44" s="179" t="s">
        <v>8</v>
      </c>
      <c r="C44" s="180"/>
      <c r="D44" s="15">
        <f>IF(F3="1",SUMIF(Data!A:A,'28'!$A$2,Data!DC:DC),0)</f>
        <v>104468</v>
      </c>
      <c r="E44" s="18">
        <f>IF(F3="1",SUMIF(Data!$A:$A,'28'!$A$2,Data!IW:IW),0)</f>
        <v>249288</v>
      </c>
      <c r="F44" s="22">
        <f t="shared" si="3"/>
        <v>2.3862618218018916</v>
      </c>
    </row>
    <row r="45" spans="1:6" x14ac:dyDescent="0.2">
      <c r="A45" s="20">
        <v>10</v>
      </c>
      <c r="B45" s="179" t="s">
        <v>9</v>
      </c>
      <c r="C45" s="180"/>
      <c r="D45" s="15">
        <f>IF(F3="1",SUMIF(Data!A:A,'28'!$A$2,Data!DD:DD),0)</f>
        <v>1264</v>
      </c>
      <c r="E45" s="18">
        <f>IF(F3="1",SUMIF(Data!$A:$A,'28'!$A$2,Data!IX:IX),0)</f>
        <v>2132</v>
      </c>
      <c r="F45" s="22">
        <f t="shared" si="3"/>
        <v>1.6867088607594938</v>
      </c>
    </row>
    <row r="46" spans="1:6" x14ac:dyDescent="0.2">
      <c r="A46" s="20">
        <v>11</v>
      </c>
      <c r="B46" s="179" t="s">
        <v>10</v>
      </c>
      <c r="C46" s="180"/>
      <c r="D46" s="15">
        <f>IF(F3="1",SUMIF(Data!A:A,'28'!$A$2,Data!DE:DE),0)</f>
        <v>128247</v>
      </c>
      <c r="E46" s="18">
        <f>IF(F3="1",SUMIF(Data!$A:$A,'28'!$A$2,Data!IY:IY),0)</f>
        <v>805452</v>
      </c>
      <c r="F46" s="22">
        <f t="shared" si="3"/>
        <v>6.2804743970619192</v>
      </c>
    </row>
    <row r="47" spans="1:6" ht="14.25" customHeight="1" x14ac:dyDescent="0.2">
      <c r="A47" s="20">
        <v>12</v>
      </c>
      <c r="B47" s="179" t="s">
        <v>11</v>
      </c>
      <c r="C47" s="180"/>
      <c r="D47" s="15">
        <f>IF(F3="1",SUMIF(Data!A:A,'28'!$A$2,Data!DF:DF),0)</f>
        <v>280258</v>
      </c>
      <c r="E47" s="18">
        <f>IF(F3="1",SUMIF(Data!$A:$A,'28'!$A$2,Data!IZ:IZ),0)</f>
        <v>286904</v>
      </c>
      <c r="F47" s="22">
        <f t="shared" si="3"/>
        <v>1.0237138636542042</v>
      </c>
    </row>
    <row r="48" spans="1:6" x14ac:dyDescent="0.2">
      <c r="A48" s="20">
        <v>13</v>
      </c>
      <c r="B48" s="179" t="s">
        <v>12</v>
      </c>
      <c r="C48" s="180"/>
      <c r="D48" s="15">
        <f>IF(F3="1",SUMIF(Data!A:A,'28'!$A$2,Data!DG:DG),0)</f>
        <v>379136</v>
      </c>
      <c r="E48" s="18">
        <f>IF(F3="1",SUMIF(Data!$A:$A,'28'!$A$2,Data!JA:JA),0)</f>
        <v>78501</v>
      </c>
      <c r="F48" s="22">
        <f t="shared" si="3"/>
        <v>0.2070523506076975</v>
      </c>
    </row>
    <row r="49" spans="1:6" ht="14.25" customHeight="1" x14ac:dyDescent="0.2">
      <c r="A49" s="20">
        <v>14</v>
      </c>
      <c r="B49" s="179" t="s">
        <v>804</v>
      </c>
      <c r="C49" s="180"/>
      <c r="D49" s="15">
        <f>IF(F3="1",SUMIF(Data!A:A,'28'!$A$2,Data!DH:DH),0)</f>
        <v>152392</v>
      </c>
      <c r="E49" s="18">
        <f>IF(F3="1",SUMIF(Data!$A:$A,'28'!$A$2,Data!JB:JB),0)</f>
        <v>198621</v>
      </c>
      <c r="F49" s="22">
        <f t="shared" si="3"/>
        <v>1.3033558192031078</v>
      </c>
    </row>
    <row r="50" spans="1:6" x14ac:dyDescent="0.2">
      <c r="A50" s="20">
        <v>15</v>
      </c>
      <c r="B50" s="179" t="s">
        <v>13</v>
      </c>
      <c r="C50" s="180"/>
      <c r="D50" s="15">
        <f>IF(F3="1",SUMIF(Data!A:A,'28'!$A$2,Data!DI:DI),0)</f>
        <v>0</v>
      </c>
      <c r="E50" s="18">
        <f>IF(F3="1",SUMIF(Data!$A:$A,'28'!$A$2,Data!JC:JC),0)</f>
        <v>0</v>
      </c>
      <c r="F50" s="22" t="str">
        <f t="shared" si="3"/>
        <v/>
      </c>
    </row>
    <row r="51" spans="1:6" x14ac:dyDescent="0.2">
      <c r="A51" s="20">
        <v>16</v>
      </c>
      <c r="B51" s="179" t="s">
        <v>14</v>
      </c>
      <c r="C51" s="180"/>
      <c r="D51" s="15">
        <f>IF(F3="1",SUMIF(Data!A:A,'28'!$A$2,Data!DJ:DJ),0)</f>
        <v>157814</v>
      </c>
      <c r="E51" s="18">
        <f>IF(F3="1",SUMIF(Data!$A:$A,'28'!$A$2,Data!JD:JD),0)</f>
        <v>208315</v>
      </c>
      <c r="F51" s="22">
        <f t="shared" si="3"/>
        <v>1.3200032950181859</v>
      </c>
    </row>
    <row r="52" spans="1:6" x14ac:dyDescent="0.2">
      <c r="A52" s="20">
        <v>17</v>
      </c>
      <c r="B52" s="179" t="s">
        <v>15</v>
      </c>
      <c r="C52" s="180"/>
      <c r="D52" s="15">
        <f>IF(F3="1",SUMIF(Data!A:A,'28'!$A$2,Data!DK:DK),0)</f>
        <v>16655</v>
      </c>
      <c r="E52" s="18">
        <f>IF(F3="1",SUMIF(Data!$A:$A,'28'!$A$2,Data!JE:JE),0)</f>
        <v>34827</v>
      </c>
      <c r="F52" s="22">
        <f t="shared" si="3"/>
        <v>2.0910837586310418</v>
      </c>
    </row>
    <row r="53" spans="1:6" x14ac:dyDescent="0.2">
      <c r="A53" s="20">
        <v>18</v>
      </c>
      <c r="B53" s="179" t="s">
        <v>16</v>
      </c>
      <c r="C53" s="180"/>
      <c r="D53" s="15">
        <f>IF(F3="1",SUMIF(Data!A:A,'28'!$A$2,Data!DL:DL),0)</f>
        <v>101408</v>
      </c>
      <c r="E53" s="18">
        <f>IF(F3="1",SUMIF(Data!$A:$A,'28'!$A$2,Data!JF:JF),0)</f>
        <v>124787</v>
      </c>
      <c r="F53" s="22">
        <f t="shared" si="3"/>
        <v>1.2305439413064059</v>
      </c>
    </row>
    <row r="54" spans="1:6" x14ac:dyDescent="0.2">
      <c r="A54" s="20">
        <v>19</v>
      </c>
      <c r="B54" s="179" t="s">
        <v>17</v>
      </c>
      <c r="C54" s="180"/>
      <c r="D54" s="15">
        <f>IF(F3="1",SUMIF(Data!A:A,'28'!$A$2,Data!DM:DM),0)</f>
        <v>82624</v>
      </c>
      <c r="E54" s="18">
        <f>IF(F3="1",SUMIF(Data!$A:$A,'28'!$A$2,Data!JG:JG),0)</f>
        <v>74686</v>
      </c>
      <c r="F54" s="22">
        <f t="shared" si="3"/>
        <v>0.90392621998450817</v>
      </c>
    </row>
    <row r="55" spans="1:6" x14ac:dyDescent="0.2">
      <c r="A55" s="20">
        <v>20</v>
      </c>
      <c r="B55" s="179" t="s">
        <v>18</v>
      </c>
      <c r="C55" s="180"/>
      <c r="D55" s="15">
        <f>IF(F3="1",SUMIF(Data!A:A,'28'!$A$2,Data!DN:DN),0)</f>
        <v>37056</v>
      </c>
      <c r="E55" s="18">
        <f>IF(F3="1",SUMIF(Data!$A:$A,'28'!$A$2,Data!JH:JH),0)</f>
        <v>106867</v>
      </c>
      <c r="F55" s="22">
        <f t="shared" si="3"/>
        <v>2.8839324265975819</v>
      </c>
    </row>
    <row r="56" spans="1:6" ht="14.25" customHeight="1" x14ac:dyDescent="0.2">
      <c r="A56" s="20">
        <v>21</v>
      </c>
      <c r="B56" s="179" t="s">
        <v>801</v>
      </c>
      <c r="C56" s="180"/>
      <c r="D56" s="15">
        <f>IF(F3="1",SUMIF(Data!A:A,'28'!$A$2,Data!DO:DO),0)</f>
        <v>49916</v>
      </c>
      <c r="E56" s="18">
        <f>IF(F3="1",SUMIF(Data!$A:$A,'28'!$A$2,Data!JI:JI),0)</f>
        <v>242182</v>
      </c>
      <c r="F56" s="22">
        <f t="shared" si="3"/>
        <v>4.8517910088949439</v>
      </c>
    </row>
    <row r="57" spans="1:6" x14ac:dyDescent="0.2">
      <c r="A57" s="20">
        <v>22</v>
      </c>
      <c r="B57" s="179" t="s">
        <v>19</v>
      </c>
      <c r="C57" s="180"/>
      <c r="D57" s="15">
        <f>IF(F3="1",SUMIF(Data!A:A,'28'!$A$2,Data!DP:DP),0)</f>
        <v>4512</v>
      </c>
      <c r="E57" s="18">
        <f>IF(F3="1",SUMIF(Data!$A:$A,'28'!$A$2,Data!JJ:JJ),0)</f>
        <v>5072</v>
      </c>
      <c r="F57" s="22">
        <f t="shared" si="3"/>
        <v>1.124113475177305</v>
      </c>
    </row>
    <row r="58" spans="1:6" x14ac:dyDescent="0.2">
      <c r="A58" s="20">
        <v>23</v>
      </c>
      <c r="B58" s="179" t="s">
        <v>20</v>
      </c>
      <c r="C58" s="180"/>
      <c r="D58" s="15">
        <f>IF(F3="1",SUMIF(Data!A:A,'28'!$A$2,Data!DQ:DQ),0)</f>
        <v>67295</v>
      </c>
      <c r="E58" s="18">
        <f>IF(F3="1",SUMIF(Data!$A:$A,'28'!$A$2,Data!JK:JK),0)</f>
        <v>95990</v>
      </c>
      <c r="F58" s="22">
        <f t="shared" si="3"/>
        <v>1.4264061222973474</v>
      </c>
    </row>
    <row r="59" spans="1:6" x14ac:dyDescent="0.2">
      <c r="A59" s="20">
        <v>24</v>
      </c>
      <c r="B59" s="179" t="s">
        <v>21</v>
      </c>
      <c r="C59" s="180"/>
      <c r="D59" s="15">
        <f>IF(F3="1",SUMIF(Data!A:A,'28'!$A$2,Data!DR:DR),0)</f>
        <v>80052</v>
      </c>
      <c r="E59" s="18">
        <f>IF(F3="1",SUMIF(Data!$A:$A,'28'!$A$2,Data!JL:JL),0)</f>
        <v>154682</v>
      </c>
      <c r="F59" s="22">
        <f t="shared" si="3"/>
        <v>1.9322690251336632</v>
      </c>
    </row>
    <row r="60" spans="1:6" x14ac:dyDescent="0.2">
      <c r="A60" s="20">
        <v>25</v>
      </c>
      <c r="B60" s="179" t="s">
        <v>22</v>
      </c>
      <c r="C60" s="180"/>
      <c r="D60" s="15">
        <f>IF(F3="1",SUMIF(Data!A:A,'28'!$A$2,Data!DS:DS),0)</f>
        <v>389696</v>
      </c>
      <c r="E60" s="18">
        <f>IF(F3="1",SUMIF(Data!$A:$A,'28'!$A$2,Data!JM:JM),0)</f>
        <v>239013</v>
      </c>
      <c r="F60" s="22">
        <f t="shared" si="3"/>
        <v>0.61333193053046475</v>
      </c>
    </row>
    <row r="61" spans="1:6" x14ac:dyDescent="0.2">
      <c r="A61" s="20">
        <v>26</v>
      </c>
      <c r="B61" s="179" t="s">
        <v>23</v>
      </c>
      <c r="C61" s="180"/>
      <c r="D61" s="15">
        <f>IF(F3="1",SUMIF(Data!A:A,'28'!$A$2,Data!DT:DT),0)</f>
        <v>127984</v>
      </c>
      <c r="E61" s="18">
        <f>IF(F3="1",SUMIF(Data!$A:$A,'28'!$A$2,Data!JN:JN),0)</f>
        <v>140802</v>
      </c>
      <c r="F61" s="22">
        <f t="shared" si="3"/>
        <v>1.1001531441430179</v>
      </c>
    </row>
    <row r="62" spans="1:6" x14ac:dyDescent="0.2">
      <c r="A62" s="20">
        <v>28</v>
      </c>
      <c r="B62" s="179" t="s">
        <v>24</v>
      </c>
      <c r="C62" s="180"/>
      <c r="D62" s="15">
        <f>IF(F3="1",SUMIF(Data!A:A,'28'!$A$2,Data!DV:DV),0)</f>
        <v>165856</v>
      </c>
      <c r="E62" s="18">
        <f>IF(F3="1",SUMIF(Data!$A:$A,'28'!$A$2,Data!JP:JP),0)</f>
        <v>76924</v>
      </c>
      <c r="F62" s="22">
        <f t="shared" si="3"/>
        <v>0.46379992282461896</v>
      </c>
    </row>
    <row r="63" spans="1:6" ht="15.75" customHeight="1" thickBot="1" x14ac:dyDescent="0.25">
      <c r="A63" s="23">
        <v>29</v>
      </c>
      <c r="B63" s="181" t="s">
        <v>25</v>
      </c>
      <c r="C63" s="182"/>
      <c r="D63" s="24">
        <f>IF(F3="1",SUMIF(Data!A:A,'28'!$A$2,Data!DW:DW),0)</f>
        <v>49488</v>
      </c>
      <c r="E63" s="25">
        <f>IF(F3="1",SUMIF(Data!$A:$A,'28'!$A$2,Data!JQ:JQ),0)</f>
        <v>72778</v>
      </c>
      <c r="F63" s="26">
        <f t="shared" si="3"/>
        <v>1.4706191399935338</v>
      </c>
    </row>
    <row r="64" spans="1:6" x14ac:dyDescent="0.2">
      <c r="B64" s="31" t="s">
        <v>35</v>
      </c>
      <c r="C64" s="31"/>
      <c r="D64" s="61">
        <f>SUM(D36:D63)</f>
        <v>3045219</v>
      </c>
      <c r="E64" s="32">
        <f>SUM(E36:E63)</f>
        <v>4230359</v>
      </c>
      <c r="F64" s="33">
        <f t="shared" si="3"/>
        <v>1.3891805482627029</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4032</v>
      </c>
      <c r="E67" s="16">
        <f>IF(F3="1",SUMIF(Data!A:A,'28'!$A$2,Data!DY:DY),0)</f>
        <v>12802</v>
      </c>
      <c r="F67" s="21">
        <f>IFERROR(E67/D67,"")</f>
        <v>3.1750992063492065</v>
      </c>
    </row>
    <row r="68" spans="1:6" x14ac:dyDescent="0.2">
      <c r="A68" s="20">
        <v>2</v>
      </c>
      <c r="B68" s="179" t="s">
        <v>1</v>
      </c>
      <c r="C68" s="180"/>
      <c r="D68" s="15">
        <f t="shared" ref="D68:D94" si="4">D37</f>
        <v>39668</v>
      </c>
      <c r="E68" s="18">
        <f>IF(F3="1",SUMIF(Data!A:A,'28'!$A$2,Data!DZ:DZ),0)</f>
        <v>168017</v>
      </c>
      <c r="F68" s="22">
        <f t="shared" ref="F68:F95" si="5">IFERROR(E68/D68,"")</f>
        <v>4.2355803166280124</v>
      </c>
    </row>
    <row r="69" spans="1:6" ht="14.25" customHeight="1" x14ac:dyDescent="0.2">
      <c r="A69" s="20">
        <v>3</v>
      </c>
      <c r="B69" s="179" t="s">
        <v>2</v>
      </c>
      <c r="C69" s="180"/>
      <c r="D69" s="15">
        <f t="shared" si="4"/>
        <v>333440</v>
      </c>
      <c r="E69" s="18">
        <f>IF(F3="1",SUMIF(Data!A:A,'28'!$A$2,Data!EA:EA),0)</f>
        <v>1192645</v>
      </c>
      <c r="F69" s="22">
        <f t="shared" si="5"/>
        <v>3.5767904270633397</v>
      </c>
    </row>
    <row r="70" spans="1:6" ht="14.25" customHeight="1" x14ac:dyDescent="0.2">
      <c r="A70" s="20">
        <v>4</v>
      </c>
      <c r="B70" s="179" t="s">
        <v>3</v>
      </c>
      <c r="C70" s="180"/>
      <c r="D70" s="15">
        <f t="shared" si="4"/>
        <v>213050</v>
      </c>
      <c r="E70" s="18">
        <f>IF(F3="1",SUMIF(Data!A:A,'28'!$A$2,Data!EB:EB),0)</f>
        <v>632602</v>
      </c>
      <c r="F70" s="22">
        <f t="shared" si="5"/>
        <v>2.9692654306500823</v>
      </c>
    </row>
    <row r="71" spans="1:6" x14ac:dyDescent="0.2">
      <c r="A71" s="20">
        <v>5</v>
      </c>
      <c r="B71" s="179" t="s">
        <v>4</v>
      </c>
      <c r="C71" s="180"/>
      <c r="D71" s="15">
        <f t="shared" si="4"/>
        <v>12629</v>
      </c>
      <c r="E71" s="18">
        <f>IF(F3="1",SUMIF(Data!A:A,'28'!$A$2,Data!EC:EC),0)</f>
        <v>432565</v>
      </c>
      <c r="F71" s="22">
        <f t="shared" si="5"/>
        <v>34.251722226621268</v>
      </c>
    </row>
    <row r="72" spans="1:6" x14ac:dyDescent="0.2">
      <c r="A72" s="20">
        <v>6</v>
      </c>
      <c r="B72" s="179" t="s">
        <v>5</v>
      </c>
      <c r="C72" s="180"/>
      <c r="D72" s="15">
        <f t="shared" si="4"/>
        <v>10640</v>
      </c>
      <c r="E72" s="18">
        <f>IF(F3="1",SUMIF(Data!A:A,'28'!$A$2,Data!ED:ED),0)</f>
        <v>126456</v>
      </c>
      <c r="F72" s="22">
        <f t="shared" si="5"/>
        <v>11.884962406015038</v>
      </c>
    </row>
    <row r="73" spans="1:6" x14ac:dyDescent="0.2">
      <c r="A73" s="20">
        <v>7</v>
      </c>
      <c r="B73" s="179" t="s">
        <v>6</v>
      </c>
      <c r="C73" s="180"/>
      <c r="D73" s="15">
        <f t="shared" si="4"/>
        <v>54685</v>
      </c>
      <c r="E73" s="18">
        <f>IF(F3="1",SUMIF(Data!A:A,'28'!$A$2,Data!EE:EE),0)</f>
        <v>301063</v>
      </c>
      <c r="F73" s="22">
        <f t="shared" si="5"/>
        <v>5.5054036755965985</v>
      </c>
    </row>
    <row r="74" spans="1:6" x14ac:dyDescent="0.2">
      <c r="A74" s="20">
        <v>8</v>
      </c>
      <c r="B74" s="179" t="s">
        <v>7</v>
      </c>
      <c r="C74" s="180"/>
      <c r="D74" s="15">
        <f t="shared" si="4"/>
        <v>954</v>
      </c>
      <c r="E74" s="18">
        <f>IF(F3="1",SUMIF(Data!A:A,'28'!$A$2,Data!EF:EF),0)</f>
        <v>1664</v>
      </c>
      <c r="F74" s="22">
        <f t="shared" si="5"/>
        <v>1.7442348008385744</v>
      </c>
    </row>
    <row r="75" spans="1:6" x14ac:dyDescent="0.2">
      <c r="A75" s="20">
        <v>9</v>
      </c>
      <c r="B75" s="179" t="s">
        <v>8</v>
      </c>
      <c r="C75" s="180"/>
      <c r="D75" s="15">
        <f t="shared" si="4"/>
        <v>104468</v>
      </c>
      <c r="E75" s="18">
        <f>IF(F3="1",SUMIF(Data!A:A,'28'!$A$2,Data!EG:EG),0)</f>
        <v>357082</v>
      </c>
      <c r="F75" s="22">
        <f t="shared" si="5"/>
        <v>3.4180993222805069</v>
      </c>
    </row>
    <row r="76" spans="1:6" x14ac:dyDescent="0.2">
      <c r="A76" s="20">
        <v>10</v>
      </c>
      <c r="B76" s="179" t="s">
        <v>9</v>
      </c>
      <c r="C76" s="180"/>
      <c r="D76" s="15">
        <f t="shared" si="4"/>
        <v>1264</v>
      </c>
      <c r="E76" s="18">
        <f>IF(F3="1",SUMIF(Data!A:A,'28'!$A$2,Data!EH:EH),0)</f>
        <v>2205</v>
      </c>
      <c r="F76" s="22">
        <f t="shared" si="5"/>
        <v>1.7444620253164558</v>
      </c>
    </row>
    <row r="77" spans="1:6" x14ac:dyDescent="0.2">
      <c r="A77" s="20">
        <v>11</v>
      </c>
      <c r="B77" s="179" t="s">
        <v>10</v>
      </c>
      <c r="C77" s="180"/>
      <c r="D77" s="15">
        <f t="shared" si="4"/>
        <v>128247</v>
      </c>
      <c r="E77" s="18">
        <f>IF(F3="1",SUMIF(Data!A:A,'28'!$A$2,Data!EI:EI),0)</f>
        <v>431475</v>
      </c>
      <c r="F77" s="22">
        <f t="shared" si="5"/>
        <v>3.3644061849399987</v>
      </c>
    </row>
    <row r="78" spans="1:6" ht="14.25" customHeight="1" x14ac:dyDescent="0.2">
      <c r="A78" s="20">
        <v>12</v>
      </c>
      <c r="B78" s="179" t="s">
        <v>11</v>
      </c>
      <c r="C78" s="180"/>
      <c r="D78" s="15">
        <f t="shared" si="4"/>
        <v>280258</v>
      </c>
      <c r="E78" s="18">
        <f>IF(F3="1",SUMIF(Data!A:A,'28'!$A$2,Data!EJ:EJ),0)</f>
        <v>1063596</v>
      </c>
      <c r="F78" s="22">
        <f t="shared" si="5"/>
        <v>3.7950602658978512</v>
      </c>
    </row>
    <row r="79" spans="1:6" x14ac:dyDescent="0.2">
      <c r="A79" s="20">
        <v>13</v>
      </c>
      <c r="B79" s="179" t="s">
        <v>12</v>
      </c>
      <c r="C79" s="180"/>
      <c r="D79" s="15">
        <f t="shared" si="4"/>
        <v>379136</v>
      </c>
      <c r="E79" s="18">
        <f>IF(F3="1",SUMIF(Data!A:A,'28'!$A$2,Data!EK:EK),0)</f>
        <v>504427</v>
      </c>
      <c r="F79" s="22">
        <f t="shared" si="5"/>
        <v>1.3304645298784605</v>
      </c>
    </row>
    <row r="80" spans="1:6" ht="14.25" customHeight="1" x14ac:dyDescent="0.2">
      <c r="A80" s="20">
        <v>14</v>
      </c>
      <c r="B80" s="179" t="s">
        <v>804</v>
      </c>
      <c r="C80" s="180"/>
      <c r="D80" s="15">
        <f t="shared" si="4"/>
        <v>152392</v>
      </c>
      <c r="E80" s="18">
        <f>IF(F3="1",SUMIF(Data!A:A,'28'!$A$2,Data!EL:EL),0)</f>
        <v>639773</v>
      </c>
      <c r="F80" s="22">
        <f t="shared" si="5"/>
        <v>4.1982059425691638</v>
      </c>
    </row>
    <row r="81" spans="1:6" x14ac:dyDescent="0.2">
      <c r="A81" s="20">
        <v>15</v>
      </c>
      <c r="B81" s="179" t="s">
        <v>13</v>
      </c>
      <c r="C81" s="180"/>
      <c r="D81" s="15">
        <f t="shared" si="4"/>
        <v>0</v>
      </c>
      <c r="E81" s="18">
        <f>IF(F3="1",SUMIF(Data!A:A,'28'!$A$2,Data!EM:EM),0)</f>
        <v>0</v>
      </c>
      <c r="F81" s="22" t="str">
        <f t="shared" si="5"/>
        <v/>
      </c>
    </row>
    <row r="82" spans="1:6" x14ac:dyDescent="0.2">
      <c r="A82" s="20">
        <v>16</v>
      </c>
      <c r="B82" s="179" t="s">
        <v>14</v>
      </c>
      <c r="C82" s="180"/>
      <c r="D82" s="15">
        <f t="shared" si="4"/>
        <v>157814</v>
      </c>
      <c r="E82" s="18">
        <f>IF(F3="1",SUMIF(Data!A:A,'28'!$A$2,Data!EN:EN),0)</f>
        <v>683642</v>
      </c>
      <c r="F82" s="22">
        <f t="shared" si="5"/>
        <v>4.331947735942312</v>
      </c>
    </row>
    <row r="83" spans="1:6" x14ac:dyDescent="0.2">
      <c r="A83" s="20">
        <v>17</v>
      </c>
      <c r="B83" s="179" t="s">
        <v>15</v>
      </c>
      <c r="C83" s="180"/>
      <c r="D83" s="15">
        <f t="shared" si="4"/>
        <v>16655</v>
      </c>
      <c r="E83" s="18">
        <f>IF(F3="1",SUMIF(Data!A:A,'28'!$A$2,Data!EO:EO),0)</f>
        <v>175837</v>
      </c>
      <c r="F83" s="22">
        <f t="shared" si="5"/>
        <v>10.55761032722906</v>
      </c>
    </row>
    <row r="84" spans="1:6" x14ac:dyDescent="0.2">
      <c r="A84" s="20">
        <v>18</v>
      </c>
      <c r="B84" s="179" t="s">
        <v>16</v>
      </c>
      <c r="C84" s="180"/>
      <c r="D84" s="15">
        <f t="shared" si="4"/>
        <v>101408</v>
      </c>
      <c r="E84" s="18">
        <f>IF(F3="1",SUMIF(Data!A:A,'28'!$A$2,Data!EP:EP),0)</f>
        <v>495311</v>
      </c>
      <c r="F84" s="22">
        <f t="shared" si="5"/>
        <v>4.8843385137267274</v>
      </c>
    </row>
    <row r="85" spans="1:6" x14ac:dyDescent="0.2">
      <c r="A85" s="20">
        <v>19</v>
      </c>
      <c r="B85" s="179" t="s">
        <v>17</v>
      </c>
      <c r="C85" s="180"/>
      <c r="D85" s="15">
        <f t="shared" si="4"/>
        <v>82624</v>
      </c>
      <c r="E85" s="18">
        <f>IF(F3="1",SUMIF(Data!A:A,'28'!$A$2,Data!EQ:EQ),0)</f>
        <v>355072</v>
      </c>
      <c r="F85" s="22">
        <f t="shared" si="5"/>
        <v>4.2974438419829593</v>
      </c>
    </row>
    <row r="86" spans="1:6" x14ac:dyDescent="0.2">
      <c r="A86" s="20">
        <v>20</v>
      </c>
      <c r="B86" s="179" t="s">
        <v>18</v>
      </c>
      <c r="C86" s="180"/>
      <c r="D86" s="15">
        <f t="shared" si="4"/>
        <v>37056</v>
      </c>
      <c r="E86" s="18">
        <f>IF(F3="1",SUMIF(Data!A:A,'28'!$A$2,Data!ER:ER),0)</f>
        <v>344378</v>
      </c>
      <c r="F86" s="22">
        <f t="shared" si="5"/>
        <v>9.2934477547495682</v>
      </c>
    </row>
    <row r="87" spans="1:6" ht="14.25" customHeight="1" x14ac:dyDescent="0.2">
      <c r="A87" s="20">
        <v>21</v>
      </c>
      <c r="B87" s="179" t="s">
        <v>801</v>
      </c>
      <c r="C87" s="180"/>
      <c r="D87" s="15">
        <f t="shared" si="4"/>
        <v>49916</v>
      </c>
      <c r="E87" s="18">
        <f>IF(F3="1",SUMIF(Data!A:A,'28'!$A$2,Data!ES:ES),0)</f>
        <v>364234</v>
      </c>
      <c r="F87" s="22">
        <f t="shared" si="5"/>
        <v>7.2969388572802307</v>
      </c>
    </row>
    <row r="88" spans="1:6" x14ac:dyDescent="0.2">
      <c r="A88" s="20">
        <v>22</v>
      </c>
      <c r="B88" s="179" t="s">
        <v>19</v>
      </c>
      <c r="C88" s="180"/>
      <c r="D88" s="15">
        <f t="shared" si="4"/>
        <v>4512</v>
      </c>
      <c r="E88" s="18">
        <f>IF(F3="1",SUMIF(Data!A:A,'28'!$A$2,Data!ET:ET),0)</f>
        <v>34851</v>
      </c>
      <c r="F88" s="22">
        <f t="shared" si="5"/>
        <v>7.7240691489361701</v>
      </c>
    </row>
    <row r="89" spans="1:6" x14ac:dyDescent="0.2">
      <c r="A89" s="20">
        <v>23</v>
      </c>
      <c r="B89" s="179" t="s">
        <v>20</v>
      </c>
      <c r="C89" s="180"/>
      <c r="D89" s="15">
        <f t="shared" si="4"/>
        <v>67295</v>
      </c>
      <c r="E89" s="18">
        <f>IF(F3="1",SUMIF(Data!A:A,'28'!$A$2,Data!EU:EU),0)</f>
        <v>379976</v>
      </c>
      <c r="F89" s="22">
        <f t="shared" si="5"/>
        <v>5.6464224682368673</v>
      </c>
    </row>
    <row r="90" spans="1:6" x14ac:dyDescent="0.2">
      <c r="A90" s="20">
        <v>24</v>
      </c>
      <c r="B90" s="179" t="s">
        <v>21</v>
      </c>
      <c r="C90" s="180"/>
      <c r="D90" s="15">
        <f t="shared" si="4"/>
        <v>80052</v>
      </c>
      <c r="E90" s="18">
        <f>IF(F3="1",SUMIF(Data!A:A,'28'!$A$2,Data!EV:EV),0)</f>
        <v>290229</v>
      </c>
      <c r="F90" s="22">
        <f t="shared" si="5"/>
        <v>3.6255059211512517</v>
      </c>
    </row>
    <row r="91" spans="1:6" x14ac:dyDescent="0.2">
      <c r="A91" s="20">
        <v>25</v>
      </c>
      <c r="B91" s="179" t="s">
        <v>22</v>
      </c>
      <c r="C91" s="180"/>
      <c r="D91" s="15">
        <f t="shared" si="4"/>
        <v>389696</v>
      </c>
      <c r="E91" s="18">
        <f>IF(F3="1",SUMIF(Data!A:A,'28'!$A$2,Data!EW:EW),0)</f>
        <v>1287759</v>
      </c>
      <c r="F91" s="22">
        <f t="shared" si="5"/>
        <v>3.304521986368862</v>
      </c>
    </row>
    <row r="92" spans="1:6" x14ac:dyDescent="0.2">
      <c r="A92" s="20">
        <v>26</v>
      </c>
      <c r="B92" s="179" t="s">
        <v>23</v>
      </c>
      <c r="C92" s="180"/>
      <c r="D92" s="15">
        <f t="shared" si="4"/>
        <v>127984</v>
      </c>
      <c r="E92" s="18">
        <f>IF(F3="1",SUMIF(Data!A:A,'28'!$A$2,Data!EX:EX),0)</f>
        <v>608118</v>
      </c>
      <c r="F92" s="22">
        <f t="shared" si="5"/>
        <v>4.7515158144768099</v>
      </c>
    </row>
    <row r="93" spans="1:6" x14ac:dyDescent="0.2">
      <c r="A93" s="20">
        <v>28</v>
      </c>
      <c r="B93" s="179" t="s">
        <v>24</v>
      </c>
      <c r="C93" s="180"/>
      <c r="D93" s="15">
        <f t="shared" si="4"/>
        <v>165856</v>
      </c>
      <c r="E93" s="18">
        <f>IF(F3="1",SUMIF(Data!A:A,'28'!$A$2,Data!EZ:EZ),0)</f>
        <v>486138</v>
      </c>
      <c r="F93" s="22">
        <f t="shared" si="5"/>
        <v>2.9310847964499325</v>
      </c>
    </row>
    <row r="94" spans="1:6" ht="15.75" customHeight="1" thickBot="1" x14ac:dyDescent="0.25">
      <c r="A94" s="23">
        <v>29</v>
      </c>
      <c r="B94" s="181" t="s">
        <v>25</v>
      </c>
      <c r="C94" s="182"/>
      <c r="D94" s="24">
        <f t="shared" si="4"/>
        <v>49488</v>
      </c>
      <c r="E94" s="25">
        <f>IF(F3="1",SUMIF(Data!A:A,'28'!$A$2,Data!FA:FA),0)</f>
        <v>209125</v>
      </c>
      <c r="F94" s="26">
        <f t="shared" si="5"/>
        <v>4.2257719043000321</v>
      </c>
    </row>
    <row r="95" spans="1:6" x14ac:dyDescent="0.2">
      <c r="B95" s="31" t="s">
        <v>35</v>
      </c>
      <c r="C95" s="31"/>
      <c r="D95" s="61">
        <f>SUM(D67:D94)</f>
        <v>3045219</v>
      </c>
      <c r="E95" s="32">
        <f>SUM(E67:E94)</f>
        <v>11581042</v>
      </c>
      <c r="F95" s="33">
        <f t="shared" si="5"/>
        <v>3.8030243473457901</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IF(F3="1",SUMIF(Data!A:A,'28'!$A$2,Data!AH:AH),0)</f>
        <v>4281985</v>
      </c>
      <c r="F98" s="21">
        <f t="shared" ref="F98:F105" si="6">IFERROR(E98/$D$95,0)</f>
        <v>1.4061336803691293</v>
      </c>
    </row>
    <row r="99" spans="2:6" x14ac:dyDescent="0.2">
      <c r="B99" s="185" t="s">
        <v>31</v>
      </c>
      <c r="C99" s="186"/>
      <c r="D99" s="37"/>
      <c r="E99" s="18">
        <f>IF(F3="1",SUMIF(Data!A:A,'28'!$A$2,Data!AI:AI),0)</f>
        <v>2196559</v>
      </c>
      <c r="F99" s="22">
        <f t="shared" si="6"/>
        <v>0.72131396789524826</v>
      </c>
    </row>
    <row r="100" spans="2:6" x14ac:dyDescent="0.2">
      <c r="B100" s="185" t="s">
        <v>32</v>
      </c>
      <c r="C100" s="186"/>
      <c r="D100" s="37"/>
      <c r="E100" s="18">
        <f>IF(F3="1",SUMIF(Data!A:A,'28'!$A$2,Data!AJ:AJ),0)</f>
        <v>4874988</v>
      </c>
      <c r="F100" s="22">
        <f t="shared" si="6"/>
        <v>1.6008661446024079</v>
      </c>
    </row>
    <row r="101" spans="2:6" x14ac:dyDescent="0.2">
      <c r="B101" s="185" t="s">
        <v>28</v>
      </c>
      <c r="C101" s="186"/>
      <c r="D101" s="37"/>
      <c r="E101" s="18">
        <f>IF(F3="1",SUMIF(Data!A:A,'28'!$A$2,Data!AK:AK),0)</f>
        <v>0</v>
      </c>
      <c r="F101" s="22">
        <f t="shared" si="6"/>
        <v>0</v>
      </c>
    </row>
    <row r="102" spans="2:6" x14ac:dyDescent="0.2">
      <c r="B102" s="185" t="s">
        <v>33</v>
      </c>
      <c r="C102" s="186"/>
      <c r="D102" s="37"/>
      <c r="E102" s="18">
        <f>IF(F3="1",SUMIF(Data!A:A,'28'!$A$2,Data!AL:AL),0)</f>
        <v>16388</v>
      </c>
      <c r="F102" s="22">
        <f t="shared" si="6"/>
        <v>5.3815505551489074E-3</v>
      </c>
    </row>
    <row r="103" spans="2:6" x14ac:dyDescent="0.2">
      <c r="B103" s="187" t="s">
        <v>34</v>
      </c>
      <c r="C103" s="188"/>
      <c r="D103" s="37"/>
      <c r="E103" s="18">
        <f>IF(F3="1",SUMIF(Data!A:A,'28'!$A$2,Data!AM:AM),0)</f>
        <v>654140</v>
      </c>
      <c r="F103" s="22">
        <f t="shared" si="6"/>
        <v>0.21480885282799037</v>
      </c>
    </row>
    <row r="104" spans="2:6" ht="15.75" customHeight="1" thickBot="1" x14ac:dyDescent="0.25">
      <c r="B104" s="177" t="s">
        <v>29</v>
      </c>
      <c r="C104" s="178"/>
      <c r="D104" s="38"/>
      <c r="E104" s="25">
        <f>IF(F3="1",SUMIF(Data!A:A,'28'!$A$2,Data!Q:Q),0)</f>
        <v>1087674</v>
      </c>
      <c r="F104" s="26">
        <f t="shared" si="6"/>
        <v>0.35717431160123458</v>
      </c>
    </row>
    <row r="105" spans="2:6" x14ac:dyDescent="0.2">
      <c r="B105" s="31" t="s">
        <v>35</v>
      </c>
      <c r="C105" s="31"/>
      <c r="D105" s="35">
        <f>D95</f>
        <v>3045219</v>
      </c>
      <c r="E105" s="32">
        <f>SUM(E98:E104)</f>
        <v>13111734</v>
      </c>
      <c r="F105" s="33">
        <f t="shared" si="6"/>
        <v>4.3056785078511597</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12086125</v>
      </c>
      <c r="D109" s="16">
        <f>IF(F3="1",SUMIF(Data!$A:$A,$A$2,Data!HJ:HJ),0)</f>
        <v>1758768</v>
      </c>
      <c r="E109" s="16">
        <f>IF(F3="1",SUMIF(Data!$A:$A,$A$2,Data!IN:IN),0)</f>
        <v>1966507</v>
      </c>
      <c r="F109" s="48">
        <f>SUM(C109:E109)</f>
        <v>15811400</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686376</v>
      </c>
      <c r="D111" s="52"/>
      <c r="E111" s="51">
        <f>IF(F3="1",SUMIF(Data!A:A,$A$2,Data!AX:AX),0)</f>
        <v>162872</v>
      </c>
      <c r="F111" s="49">
        <f t="shared" si="7"/>
        <v>849248</v>
      </c>
    </row>
    <row r="112" spans="2:6" x14ac:dyDescent="0.2">
      <c r="B112" s="43" t="s">
        <v>32</v>
      </c>
      <c r="C112" s="51">
        <f>IF(F3="1",SUMIF(Data!A:A,$A$2,Data!V:V),0)</f>
        <v>3192224</v>
      </c>
      <c r="D112" s="52"/>
      <c r="E112" s="51">
        <f>IF(F3="1",SUMIF(Data!A:A,$A$2,Data!AC:AC),0)</f>
        <v>1682764</v>
      </c>
      <c r="F112" s="49">
        <f t="shared" si="7"/>
        <v>4874988</v>
      </c>
    </row>
    <row r="113" spans="1:6" x14ac:dyDescent="0.2">
      <c r="B113" s="43" t="s">
        <v>31</v>
      </c>
      <c r="C113" s="51">
        <f>IF(F3="1",SUMIF(Data!A:A,$A$2,Data!U:U),0)</f>
        <v>1803962</v>
      </c>
      <c r="D113" s="52"/>
      <c r="E113" s="51">
        <f>IF(F3="1",SUMIF(Data!A:A,$A$2,Data!AB:AB),0)</f>
        <v>392597</v>
      </c>
      <c r="F113" s="49">
        <f t="shared" si="7"/>
        <v>2196559</v>
      </c>
    </row>
    <row r="114" spans="1:6" x14ac:dyDescent="0.2">
      <c r="B114" s="43" t="s">
        <v>1363</v>
      </c>
      <c r="C114" s="51">
        <f>IF(F3="1",SUMIF(Data!A:A,$A$2,Data!T:T),0)</f>
        <v>2810351</v>
      </c>
      <c r="D114" s="52"/>
      <c r="E114" s="51">
        <f>IF(F3="1",SUMIF(Data!A:A,$A$2,Data!AA:AA),0)</f>
        <v>1471634</v>
      </c>
      <c r="F114" s="49">
        <f t="shared" si="7"/>
        <v>4281985</v>
      </c>
    </row>
    <row r="115" spans="1:6" x14ac:dyDescent="0.2">
      <c r="B115" s="43" t="s">
        <v>1278</v>
      </c>
      <c r="C115" s="51">
        <f>IF(F3="1",SUMIF(Data!A:A,$A$2,Data!BI:BI),0)</f>
        <v>871271</v>
      </c>
      <c r="D115" s="51">
        <f>IF(F3="1",SUMIF(Data!A:A,$A$2,Data!BL:BL),0)</f>
        <v>327196</v>
      </c>
      <c r="E115" s="51">
        <f>IF(F3="1",SUMIF(Data!A:A,$A$2,Data!BU:BU),0)</f>
        <v>4813723</v>
      </c>
      <c r="F115" s="49">
        <f t="shared" si="7"/>
        <v>6012190</v>
      </c>
    </row>
    <row r="116" spans="1:6" x14ac:dyDescent="0.2">
      <c r="B116" s="43" t="s">
        <v>33</v>
      </c>
      <c r="C116" s="51">
        <f>IF(F3="1",SUMIF(Data!A:A,$A$2,Data!X:X),0)</f>
        <v>0</v>
      </c>
      <c r="D116" s="51"/>
      <c r="E116" s="51">
        <f>E102</f>
        <v>16388</v>
      </c>
      <c r="F116" s="49">
        <f t="shared" si="7"/>
        <v>16388</v>
      </c>
    </row>
    <row r="117" spans="1:6" ht="15" thickBot="1" x14ac:dyDescent="0.25">
      <c r="B117" s="44" t="s">
        <v>1282</v>
      </c>
      <c r="C117" s="53"/>
      <c r="D117" s="53">
        <f>IF(F3="1",SUMIF(Data!A:A,$A$2,Data!Q:Q),0)</f>
        <v>1087674</v>
      </c>
      <c r="E117" s="53"/>
      <c r="F117" s="50">
        <f>SUM(C117:E117)</f>
        <v>1087674</v>
      </c>
    </row>
    <row r="118" spans="1:6" x14ac:dyDescent="0.2">
      <c r="B118" s="14" t="s">
        <v>35</v>
      </c>
      <c r="C118" s="5">
        <f>SUM(C109:C116)</f>
        <v>21450309</v>
      </c>
      <c r="D118" s="5">
        <f>SUM(D109:D116)</f>
        <v>2085964</v>
      </c>
      <c r="E118" s="5">
        <f>SUM(E109:E116)</f>
        <v>10506485</v>
      </c>
      <c r="F118" s="5">
        <f>SUM(F109:F116)</f>
        <v>34042758</v>
      </c>
    </row>
    <row r="119" spans="1:6" ht="15" thickBot="1" x14ac:dyDescent="0.25"/>
    <row r="120" spans="1:6" ht="15" thickBot="1" x14ac:dyDescent="0.25">
      <c r="B120" s="57" t="s">
        <v>1283</v>
      </c>
      <c r="C120" s="55"/>
      <c r="D120" s="55"/>
      <c r="E120" s="55">
        <f>IF(F3="1",SUMIF(Data!A:A,'28'!$A$2,Data!AM:AM),0)</f>
        <v>654140</v>
      </c>
      <c r="F120" s="56">
        <f>SUM(C120:E120)</f>
        <v>654140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486</v>
      </c>
      <c r="B2" s="60" t="str">
        <f>VLOOKUP(A2,Data!A:G,7,0)</f>
        <v>Navarro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16432</v>
      </c>
      <c r="E5" s="16">
        <f>E36+E67+IFERROR($E$105/$D$105*D5,0)</f>
        <v>185840.86182670196</v>
      </c>
      <c r="F5" s="21">
        <f>IFERROR(E5/D5,"")</f>
        <v>11.309692175432204</v>
      </c>
    </row>
    <row r="6" spans="1:6" x14ac:dyDescent="0.2">
      <c r="A6" s="20">
        <v>2</v>
      </c>
      <c r="B6" s="179" t="s">
        <v>1</v>
      </c>
      <c r="C6" s="180"/>
      <c r="D6" s="15">
        <f t="shared" ref="D6:D32" si="0">D37</f>
        <v>55168</v>
      </c>
      <c r="E6" s="18">
        <f t="shared" ref="E6:E32" si="1">E37+E68+IFERROR($E$105/$D$105*D6,0)</f>
        <v>182768.75129354268</v>
      </c>
      <c r="F6" s="22">
        <f t="shared" ref="F6:F33" si="2">IFERROR(E6/D6,"")</f>
        <v>3.3129486530877079</v>
      </c>
    </row>
    <row r="7" spans="1:6" ht="14.25" customHeight="1" x14ac:dyDescent="0.2">
      <c r="A7" s="20">
        <v>3</v>
      </c>
      <c r="B7" s="179" t="s">
        <v>2</v>
      </c>
      <c r="C7" s="180"/>
      <c r="D7" s="15">
        <f t="shared" si="0"/>
        <v>578496</v>
      </c>
      <c r="E7" s="18">
        <f t="shared" si="1"/>
        <v>2567311.6925085061</v>
      </c>
      <c r="F7" s="22">
        <f t="shared" si="2"/>
        <v>4.4379074228836606</v>
      </c>
    </row>
    <row r="8" spans="1:6" ht="14.25" customHeight="1" x14ac:dyDescent="0.2">
      <c r="A8" s="20">
        <v>4</v>
      </c>
      <c r="B8" s="179" t="s">
        <v>3</v>
      </c>
      <c r="C8" s="180"/>
      <c r="D8" s="15">
        <f t="shared" si="0"/>
        <v>445442</v>
      </c>
      <c r="E8" s="18">
        <f t="shared" si="1"/>
        <v>2230453.5565853072</v>
      </c>
      <c r="F8" s="22">
        <f t="shared" si="2"/>
        <v>5.0072816586341373</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14216</v>
      </c>
      <c r="E10" s="18">
        <f t="shared" si="1"/>
        <v>101677.9627390698</v>
      </c>
      <c r="F10" s="22">
        <f t="shared" si="2"/>
        <v>7.1523609129902788</v>
      </c>
    </row>
    <row r="11" spans="1:6" x14ac:dyDescent="0.2">
      <c r="A11" s="20">
        <v>7</v>
      </c>
      <c r="B11" s="179" t="s">
        <v>6</v>
      </c>
      <c r="C11" s="180"/>
      <c r="D11" s="15">
        <f t="shared" si="0"/>
        <v>375915</v>
      </c>
      <c r="E11" s="18">
        <f t="shared" si="1"/>
        <v>1430495.7227108488</v>
      </c>
      <c r="F11" s="22">
        <f t="shared" si="2"/>
        <v>3.8053701573782606</v>
      </c>
    </row>
    <row r="12" spans="1:6" x14ac:dyDescent="0.2">
      <c r="A12" s="20">
        <v>8</v>
      </c>
      <c r="B12" s="179" t="s">
        <v>7</v>
      </c>
      <c r="C12" s="180"/>
      <c r="D12" s="15">
        <f t="shared" si="0"/>
        <v>2464</v>
      </c>
      <c r="E12" s="18">
        <f t="shared" si="1"/>
        <v>17718.295736428532</v>
      </c>
      <c r="F12" s="22">
        <f t="shared" si="2"/>
        <v>7.190866776147943</v>
      </c>
    </row>
    <row r="13" spans="1:6" x14ac:dyDescent="0.2">
      <c r="A13" s="20">
        <v>9</v>
      </c>
      <c r="B13" s="179" t="s">
        <v>8</v>
      </c>
      <c r="C13" s="180"/>
      <c r="D13" s="15">
        <f t="shared" si="0"/>
        <v>666689</v>
      </c>
      <c r="E13" s="18">
        <f t="shared" si="1"/>
        <v>1679245.7918927763</v>
      </c>
      <c r="F13" s="22">
        <f t="shared" si="2"/>
        <v>2.5187843085648276</v>
      </c>
    </row>
    <row r="14" spans="1:6" x14ac:dyDescent="0.2">
      <c r="A14" s="20">
        <v>10</v>
      </c>
      <c r="B14" s="179" t="s">
        <v>9</v>
      </c>
      <c r="C14" s="180"/>
      <c r="D14" s="15">
        <f t="shared" si="0"/>
        <v>624</v>
      </c>
      <c r="E14" s="18">
        <f t="shared" si="1"/>
        <v>2640.1593098747576</v>
      </c>
      <c r="F14" s="22">
        <f t="shared" si="2"/>
        <v>4.2310245350557016</v>
      </c>
    </row>
    <row r="15" spans="1:6" x14ac:dyDescent="0.2">
      <c r="A15" s="20">
        <v>11</v>
      </c>
      <c r="B15" s="179" t="s">
        <v>10</v>
      </c>
      <c r="C15" s="180"/>
      <c r="D15" s="15">
        <f t="shared" si="0"/>
        <v>116016</v>
      </c>
      <c r="E15" s="18">
        <f t="shared" si="1"/>
        <v>434184.61938209919</v>
      </c>
      <c r="F15" s="22">
        <f t="shared" si="2"/>
        <v>3.7424546561000138</v>
      </c>
    </row>
    <row r="16" spans="1:6" ht="14.25" customHeight="1" x14ac:dyDescent="0.2">
      <c r="A16" s="20">
        <v>12</v>
      </c>
      <c r="B16" s="179" t="s">
        <v>11</v>
      </c>
      <c r="C16" s="180"/>
      <c r="D16" s="15">
        <f t="shared" si="0"/>
        <v>625048</v>
      </c>
      <c r="E16" s="18">
        <f t="shared" si="1"/>
        <v>3046572.2441003164</v>
      </c>
      <c r="F16" s="22">
        <f t="shared" si="2"/>
        <v>4.8741412565120061</v>
      </c>
    </row>
    <row r="17" spans="1:6" x14ac:dyDescent="0.2">
      <c r="A17" s="20">
        <v>13</v>
      </c>
      <c r="B17" s="179" t="s">
        <v>12</v>
      </c>
      <c r="C17" s="180"/>
      <c r="D17" s="15">
        <f t="shared" si="0"/>
        <v>64732</v>
      </c>
      <c r="E17" s="18">
        <f t="shared" si="1"/>
        <v>224682.19302373848</v>
      </c>
      <c r="F17" s="22">
        <f t="shared" si="2"/>
        <v>3.4709601591753456</v>
      </c>
    </row>
    <row r="18" spans="1:6" ht="14.25" customHeight="1" x14ac:dyDescent="0.2">
      <c r="A18" s="20">
        <v>14</v>
      </c>
      <c r="B18" s="179" t="s">
        <v>804</v>
      </c>
      <c r="C18" s="180"/>
      <c r="D18" s="15">
        <f t="shared" si="0"/>
        <v>134544</v>
      </c>
      <c r="E18" s="18">
        <f t="shared" si="1"/>
        <v>1270069.3496599188</v>
      </c>
      <c r="F18" s="22">
        <f t="shared" si="2"/>
        <v>9.4398066778148326</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209531</v>
      </c>
      <c r="E20" s="18">
        <f t="shared" si="1"/>
        <v>1003618.5774957818</v>
      </c>
      <c r="F20" s="22">
        <f t="shared" si="2"/>
        <v>4.7898333778571276</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140032</v>
      </c>
      <c r="E22" s="18">
        <f t="shared" si="1"/>
        <v>1108401.4174365099</v>
      </c>
      <c r="F22" s="22">
        <f t="shared" si="2"/>
        <v>7.9153437602584402</v>
      </c>
    </row>
    <row r="23" spans="1:6" x14ac:dyDescent="0.2">
      <c r="A23" s="20">
        <v>19</v>
      </c>
      <c r="B23" s="179" t="s">
        <v>17</v>
      </c>
      <c r="C23" s="180"/>
      <c r="D23" s="15">
        <f t="shared" si="0"/>
        <v>234928</v>
      </c>
      <c r="E23" s="18">
        <f t="shared" si="1"/>
        <v>1262062.6447920785</v>
      </c>
      <c r="F23" s="22">
        <f t="shared" si="2"/>
        <v>5.3721252672822253</v>
      </c>
    </row>
    <row r="24" spans="1:6" x14ac:dyDescent="0.2">
      <c r="A24" s="20">
        <v>20</v>
      </c>
      <c r="B24" s="179" t="s">
        <v>18</v>
      </c>
      <c r="C24" s="180"/>
      <c r="D24" s="15">
        <f t="shared" si="0"/>
        <v>1012</v>
      </c>
      <c r="E24" s="18">
        <f t="shared" si="1"/>
        <v>4669.9250346045746</v>
      </c>
      <c r="F24" s="22">
        <f t="shared" si="2"/>
        <v>4.6145504294511603</v>
      </c>
    </row>
    <row r="25" spans="1:6" ht="14.25" customHeight="1" x14ac:dyDescent="0.2">
      <c r="A25" s="20">
        <v>21</v>
      </c>
      <c r="B25" s="179" t="s">
        <v>801</v>
      </c>
      <c r="C25" s="180"/>
      <c r="D25" s="15">
        <f t="shared" si="0"/>
        <v>27840</v>
      </c>
      <c r="E25" s="18">
        <f t="shared" si="1"/>
        <v>70516.10767133534</v>
      </c>
      <c r="F25" s="22">
        <f t="shared" si="2"/>
        <v>2.5329061663554362</v>
      </c>
    </row>
    <row r="26" spans="1:6" x14ac:dyDescent="0.2">
      <c r="A26" s="20">
        <v>22</v>
      </c>
      <c r="B26" s="179" t="s">
        <v>19</v>
      </c>
      <c r="C26" s="180"/>
      <c r="D26" s="15">
        <f t="shared" si="0"/>
        <v>6192</v>
      </c>
      <c r="E26" s="18">
        <f t="shared" si="1"/>
        <v>36433.580844141827</v>
      </c>
      <c r="F26" s="22">
        <f t="shared" si="2"/>
        <v>5.8839762345190287</v>
      </c>
    </row>
    <row r="27" spans="1:6" x14ac:dyDescent="0.2">
      <c r="A27" s="20">
        <v>23</v>
      </c>
      <c r="B27" s="179" t="s">
        <v>20</v>
      </c>
      <c r="C27" s="180"/>
      <c r="D27" s="15">
        <f t="shared" si="0"/>
        <v>224640</v>
      </c>
      <c r="E27" s="18">
        <f t="shared" si="1"/>
        <v>1037859.3515549127</v>
      </c>
      <c r="F27" s="22">
        <f t="shared" si="2"/>
        <v>4.6201003897565558</v>
      </c>
    </row>
    <row r="28" spans="1:6" x14ac:dyDescent="0.2">
      <c r="A28" s="20">
        <v>24</v>
      </c>
      <c r="B28" s="179" t="s">
        <v>21</v>
      </c>
      <c r="C28" s="180"/>
      <c r="D28" s="15">
        <f t="shared" si="0"/>
        <v>301892</v>
      </c>
      <c r="E28" s="18">
        <f t="shared" si="1"/>
        <v>1393982.4076549844</v>
      </c>
      <c r="F28" s="22">
        <f t="shared" si="2"/>
        <v>4.6174870737051146</v>
      </c>
    </row>
    <row r="29" spans="1:6" x14ac:dyDescent="0.2">
      <c r="A29" s="20">
        <v>25</v>
      </c>
      <c r="B29" s="179" t="s">
        <v>22</v>
      </c>
      <c r="C29" s="180"/>
      <c r="D29" s="15">
        <f t="shared" si="0"/>
        <v>716408</v>
      </c>
      <c r="E29" s="18">
        <f t="shared" si="1"/>
        <v>3238638.235366595</v>
      </c>
      <c r="F29" s="22">
        <f t="shared" si="2"/>
        <v>4.5206617393532662</v>
      </c>
    </row>
    <row r="30" spans="1:6" x14ac:dyDescent="0.2">
      <c r="A30" s="20">
        <v>26</v>
      </c>
      <c r="B30" s="179" t="s">
        <v>23</v>
      </c>
      <c r="C30" s="180"/>
      <c r="D30" s="15">
        <f t="shared" si="0"/>
        <v>244720</v>
      </c>
      <c r="E30" s="18">
        <f t="shared" si="1"/>
        <v>1275173.1447316518</v>
      </c>
      <c r="F30" s="22">
        <f t="shared" si="2"/>
        <v>5.2107434812506197</v>
      </c>
    </row>
    <row r="31" spans="1:6" x14ac:dyDescent="0.2">
      <c r="A31" s="20">
        <v>28</v>
      </c>
      <c r="B31" s="179" t="s">
        <v>24</v>
      </c>
      <c r="C31" s="180"/>
      <c r="D31" s="15">
        <f t="shared" si="0"/>
        <v>334848</v>
      </c>
      <c r="E31" s="18">
        <f t="shared" si="1"/>
        <v>1373277.4881297161</v>
      </c>
      <c r="F31" s="22">
        <f t="shared" si="2"/>
        <v>4.1011966269164404</v>
      </c>
    </row>
    <row r="32" spans="1:6" ht="15.75" customHeight="1" thickBot="1" x14ac:dyDescent="0.25">
      <c r="A32" s="23">
        <v>29</v>
      </c>
      <c r="B32" s="181" t="s">
        <v>25</v>
      </c>
      <c r="C32" s="182"/>
      <c r="D32" s="24">
        <f t="shared" si="0"/>
        <v>229472</v>
      </c>
      <c r="E32" s="25">
        <f t="shared" si="1"/>
        <v>928268.91851855838</v>
      </c>
      <c r="F32" s="26">
        <f t="shared" si="2"/>
        <v>4.0452382796966884</v>
      </c>
    </row>
    <row r="33" spans="1:6" x14ac:dyDescent="0.2">
      <c r="B33" s="31" t="s">
        <v>35</v>
      </c>
      <c r="C33" s="31"/>
      <c r="D33" s="61">
        <f>SUM(D5:D32)</f>
        <v>5767301</v>
      </c>
      <c r="E33" s="32">
        <f>SUM(E5:E32)</f>
        <v>26106563</v>
      </c>
      <c r="F33" s="33">
        <f t="shared" si="2"/>
        <v>4.5266517214898272</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IF(F3="1",SUMIF(Data!A:A,'29'!$A$2,Data!CU:CU),0)</f>
        <v>16432</v>
      </c>
      <c r="E36" s="16">
        <f>IF(F3="1",SUMIF(Data!$A:$A,'29'!$A$2,Data!IO:IO),0)</f>
        <v>30934</v>
      </c>
      <c r="F36" s="21">
        <f t="shared" ref="F36:F64" si="3">IFERROR(E36/D36,"")</f>
        <v>1.8825462512171374</v>
      </c>
    </row>
    <row r="37" spans="1:6" x14ac:dyDescent="0.2">
      <c r="A37" s="20">
        <v>2</v>
      </c>
      <c r="B37" s="179" t="s">
        <v>1</v>
      </c>
      <c r="C37" s="180"/>
      <c r="D37" s="15">
        <f>IF(F3="1",SUMIF(Data!A:A,'29'!$A$2,Data!CV:CV),0)</f>
        <v>55168</v>
      </c>
      <c r="E37" s="18">
        <f>IF(F3="1",SUMIF(Data!$A:$A,'29'!$A$2,Data!IP:IP),0)</f>
        <v>16023</v>
      </c>
      <c r="F37" s="22">
        <f t="shared" si="3"/>
        <v>0.29044011020881672</v>
      </c>
    </row>
    <row r="38" spans="1:6" ht="14.25" customHeight="1" x14ac:dyDescent="0.2">
      <c r="A38" s="20">
        <v>3</v>
      </c>
      <c r="B38" s="179" t="s">
        <v>2</v>
      </c>
      <c r="C38" s="180"/>
      <c r="D38" s="15">
        <f>IF(F3="1",SUMIF(Data!A:A,'29'!$A$2,Data!CW:CW),0)</f>
        <v>578496</v>
      </c>
      <c r="E38" s="18">
        <f>IF(F3="1",SUMIF(Data!$A:$A,'29'!$A$2,Data!IQ:IQ),0)</f>
        <v>289265</v>
      </c>
      <c r="F38" s="22">
        <f t="shared" si="3"/>
        <v>0.50002938654718443</v>
      </c>
    </row>
    <row r="39" spans="1:6" ht="14.25" customHeight="1" x14ac:dyDescent="0.2">
      <c r="A39" s="20">
        <v>4</v>
      </c>
      <c r="B39" s="179" t="s">
        <v>3</v>
      </c>
      <c r="C39" s="180"/>
      <c r="D39" s="15">
        <f>IF(F3="1",SUMIF(Data!A:A,'29'!$A$2,Data!CX:CX),0)</f>
        <v>445442</v>
      </c>
      <c r="E39" s="18">
        <f>IF(F3="1",SUMIF(Data!$A:$A,'29'!$A$2,Data!IR:IR),0)</f>
        <v>332683</v>
      </c>
      <c r="F39" s="22">
        <f t="shared" si="3"/>
        <v>0.74686042178330736</v>
      </c>
    </row>
    <row r="40" spans="1:6" x14ac:dyDescent="0.2">
      <c r="A40" s="20">
        <v>5</v>
      </c>
      <c r="B40" s="179" t="s">
        <v>4</v>
      </c>
      <c r="C40" s="180"/>
      <c r="D40" s="15">
        <f>IF(F3="1",SUMIF(Data!A:A,'29'!$A$2,Data!CY:CY),0)</f>
        <v>0</v>
      </c>
      <c r="E40" s="18">
        <f>IF(F3="1",SUMIF(Data!$A:$A,'29'!$A$2,Data!IS:IS),0)</f>
        <v>0</v>
      </c>
      <c r="F40" s="22" t="str">
        <f t="shared" si="3"/>
        <v/>
      </c>
    </row>
    <row r="41" spans="1:6" x14ac:dyDescent="0.2">
      <c r="A41" s="20">
        <v>6</v>
      </c>
      <c r="B41" s="179" t="s">
        <v>5</v>
      </c>
      <c r="C41" s="180"/>
      <c r="D41" s="15">
        <f>IF(F3="1",SUMIF(Data!A:A,'29'!$A$2,Data!CZ:CZ),0)</f>
        <v>14216</v>
      </c>
      <c r="E41" s="18">
        <f>IF(F3="1",SUMIF(Data!$A:$A,'29'!$A$2,Data!IT:IT),0)</f>
        <v>11568</v>
      </c>
      <c r="F41" s="22">
        <f t="shared" si="3"/>
        <v>0.81373100731570058</v>
      </c>
    </row>
    <row r="42" spans="1:6" x14ac:dyDescent="0.2">
      <c r="A42" s="20">
        <v>7</v>
      </c>
      <c r="B42" s="179" t="s">
        <v>6</v>
      </c>
      <c r="C42" s="180"/>
      <c r="D42" s="15">
        <f>IF(F3="1",SUMIF(Data!A:A,'29'!$A$2,Data!DA:DA),0)</f>
        <v>375915</v>
      </c>
      <c r="E42" s="18">
        <f>IF(F3="1",SUMIF(Data!$A:$A,'29'!$A$2,Data!IU:IU),0)</f>
        <v>119404</v>
      </c>
      <c r="F42" s="22">
        <f t="shared" si="3"/>
        <v>0.31763563571552078</v>
      </c>
    </row>
    <row r="43" spans="1:6" x14ac:dyDescent="0.2">
      <c r="A43" s="20">
        <v>8</v>
      </c>
      <c r="B43" s="179" t="s">
        <v>7</v>
      </c>
      <c r="C43" s="180"/>
      <c r="D43" s="15">
        <f>IF(F3="1",SUMIF(Data!A:A,'29'!$A$2,Data!DB:DB),0)</f>
        <v>2464</v>
      </c>
      <c r="E43" s="18">
        <f>IF(F3="1",SUMIF(Data!$A:$A,'29'!$A$2,Data!IV:IV),0)</f>
        <v>1846</v>
      </c>
      <c r="F43" s="22">
        <f t="shared" si="3"/>
        <v>0.74918831168831168</v>
      </c>
    </row>
    <row r="44" spans="1:6" x14ac:dyDescent="0.2">
      <c r="A44" s="20">
        <v>9</v>
      </c>
      <c r="B44" s="179" t="s">
        <v>8</v>
      </c>
      <c r="C44" s="180"/>
      <c r="D44" s="15">
        <f>IF(F3="1",SUMIF(Data!A:A,'29'!$A$2,Data!DC:DC),0)</f>
        <v>666689</v>
      </c>
      <c r="E44" s="18">
        <f>IF(F3="1",SUMIF(Data!$A:$A,'29'!$A$2,Data!IW:IW),0)</f>
        <v>59821</v>
      </c>
      <c r="F44" s="22">
        <f t="shared" si="3"/>
        <v>8.9728494095447808E-2</v>
      </c>
    </row>
    <row r="45" spans="1:6" x14ac:dyDescent="0.2">
      <c r="A45" s="20">
        <v>10</v>
      </c>
      <c r="B45" s="179" t="s">
        <v>9</v>
      </c>
      <c r="C45" s="180"/>
      <c r="D45" s="15">
        <f>IF(F3="1",SUMIF(Data!A:A,'29'!$A$2,Data!DD:DD),0)</f>
        <v>624</v>
      </c>
      <c r="E45" s="18">
        <f>IF(F3="1",SUMIF(Data!$A:$A,'29'!$A$2,Data!IX:IX),0)</f>
        <v>205</v>
      </c>
      <c r="F45" s="22">
        <f t="shared" si="3"/>
        <v>0.32852564102564102</v>
      </c>
    </row>
    <row r="46" spans="1:6" x14ac:dyDescent="0.2">
      <c r="A46" s="20">
        <v>11</v>
      </c>
      <c r="B46" s="179" t="s">
        <v>10</v>
      </c>
      <c r="C46" s="180"/>
      <c r="D46" s="15">
        <f>IF(F3="1",SUMIF(Data!A:A,'29'!$A$2,Data!DE:DE),0)</f>
        <v>116016</v>
      </c>
      <c r="E46" s="18">
        <f>IF(F3="1",SUMIF(Data!$A:$A,'29'!$A$2,Data!IY:IY),0)</f>
        <v>68725</v>
      </c>
      <c r="F46" s="22">
        <f t="shared" si="3"/>
        <v>0.5923751896290167</v>
      </c>
    </row>
    <row r="47" spans="1:6" ht="14.25" customHeight="1" x14ac:dyDescent="0.2">
      <c r="A47" s="20">
        <v>12</v>
      </c>
      <c r="B47" s="179" t="s">
        <v>11</v>
      </c>
      <c r="C47" s="180"/>
      <c r="D47" s="15">
        <f>IF(F3="1",SUMIF(Data!A:A,'29'!$A$2,Data!DF:DF),0)</f>
        <v>625048</v>
      </c>
      <c r="E47" s="18">
        <f>IF(F3="1",SUMIF(Data!$A:$A,'29'!$A$2,Data!IZ:IZ),0)</f>
        <v>298912</v>
      </c>
      <c r="F47" s="22">
        <f t="shared" si="3"/>
        <v>0.47822247251411093</v>
      </c>
    </row>
    <row r="48" spans="1:6" x14ac:dyDescent="0.2">
      <c r="A48" s="20">
        <v>13</v>
      </c>
      <c r="B48" s="179" t="s">
        <v>12</v>
      </c>
      <c r="C48" s="180"/>
      <c r="D48" s="15">
        <f>IF(F3="1",SUMIF(Data!A:A,'29'!$A$2,Data!DG:DG),0)</f>
        <v>64732</v>
      </c>
      <c r="E48" s="18">
        <f>IF(F3="1",SUMIF(Data!$A:$A,'29'!$A$2,Data!JA:JA),0)</f>
        <v>17984</v>
      </c>
      <c r="F48" s="22">
        <f t="shared" si="3"/>
        <v>0.27782240622875859</v>
      </c>
    </row>
    <row r="49" spans="1:6" ht="14.25" customHeight="1" x14ac:dyDescent="0.2">
      <c r="A49" s="20">
        <v>14</v>
      </c>
      <c r="B49" s="179" t="s">
        <v>804</v>
      </c>
      <c r="C49" s="180"/>
      <c r="D49" s="15">
        <f>IF(F3="1",SUMIF(Data!A:A,'29'!$A$2,Data!DH:DH),0)</f>
        <v>134544</v>
      </c>
      <c r="E49" s="18">
        <f>IF(F3="1",SUMIF(Data!$A:$A,'29'!$A$2,Data!JB:JB),0)</f>
        <v>220681</v>
      </c>
      <c r="F49" s="22">
        <f t="shared" si="3"/>
        <v>1.6402143536686884</v>
      </c>
    </row>
    <row r="50" spans="1:6" x14ac:dyDescent="0.2">
      <c r="A50" s="20">
        <v>15</v>
      </c>
      <c r="B50" s="179" t="s">
        <v>13</v>
      </c>
      <c r="C50" s="180"/>
      <c r="D50" s="15">
        <f>IF(F3="1",SUMIF(Data!A:A,'29'!$A$2,Data!DI:DI),0)</f>
        <v>0</v>
      </c>
      <c r="E50" s="18">
        <f>IF(F3="1",SUMIF(Data!$A:$A,'29'!$A$2,Data!JC:JC),0)</f>
        <v>0</v>
      </c>
      <c r="F50" s="22" t="str">
        <f t="shared" si="3"/>
        <v/>
      </c>
    </row>
    <row r="51" spans="1:6" x14ac:dyDescent="0.2">
      <c r="A51" s="20">
        <v>16</v>
      </c>
      <c r="B51" s="179" t="s">
        <v>14</v>
      </c>
      <c r="C51" s="180"/>
      <c r="D51" s="15">
        <f>IF(F3="1",SUMIF(Data!A:A,'29'!$A$2,Data!DJ:DJ),0)</f>
        <v>209531</v>
      </c>
      <c r="E51" s="18">
        <f>IF(F3="1",SUMIF(Data!$A:$A,'29'!$A$2,Data!JD:JD),0)</f>
        <v>149657</v>
      </c>
      <c r="F51" s="22">
        <f t="shared" si="3"/>
        <v>0.71424753377781813</v>
      </c>
    </row>
    <row r="52" spans="1:6" x14ac:dyDescent="0.2">
      <c r="A52" s="20">
        <v>17</v>
      </c>
      <c r="B52" s="179" t="s">
        <v>15</v>
      </c>
      <c r="C52" s="180"/>
      <c r="D52" s="15">
        <f>IF(F3="1",SUMIF(Data!A:A,'29'!$A$2,Data!DK:DK),0)</f>
        <v>0</v>
      </c>
      <c r="E52" s="18">
        <f>IF(F3="1",SUMIF(Data!$A:$A,'29'!$A$2,Data!JE:JE),0)</f>
        <v>0</v>
      </c>
      <c r="F52" s="22" t="str">
        <f t="shared" si="3"/>
        <v/>
      </c>
    </row>
    <row r="53" spans="1:6" x14ac:dyDescent="0.2">
      <c r="A53" s="20">
        <v>18</v>
      </c>
      <c r="B53" s="179" t="s">
        <v>16</v>
      </c>
      <c r="C53" s="180"/>
      <c r="D53" s="15">
        <f>IF(F3="1",SUMIF(Data!A:A,'29'!$A$2,Data!DL:DL),0)</f>
        <v>140032</v>
      </c>
      <c r="E53" s="18">
        <f>IF(F3="1",SUMIF(Data!$A:$A,'29'!$A$2,Data!JF:JF),0)</f>
        <v>193368</v>
      </c>
      <c r="F53" s="22">
        <f t="shared" si="3"/>
        <v>1.3808843692870201</v>
      </c>
    </row>
    <row r="54" spans="1:6" x14ac:dyDescent="0.2">
      <c r="A54" s="20">
        <v>19</v>
      </c>
      <c r="B54" s="179" t="s">
        <v>17</v>
      </c>
      <c r="C54" s="180"/>
      <c r="D54" s="15">
        <f>IF(F3="1",SUMIF(Data!A:A,'29'!$A$2,Data!DM:DM),0)</f>
        <v>234928</v>
      </c>
      <c r="E54" s="18">
        <f>IF(F3="1",SUMIF(Data!$A:$A,'29'!$A$2,Data!JG:JG),0)</f>
        <v>122169</v>
      </c>
      <c r="F54" s="22">
        <f t="shared" si="3"/>
        <v>0.5200274126540898</v>
      </c>
    </row>
    <row r="55" spans="1:6" x14ac:dyDescent="0.2">
      <c r="A55" s="20">
        <v>20</v>
      </c>
      <c r="B55" s="179" t="s">
        <v>18</v>
      </c>
      <c r="C55" s="180"/>
      <c r="D55" s="15">
        <f>IF(F3="1",SUMIF(Data!A:A,'29'!$A$2,Data!DN:DN),0)</f>
        <v>1012</v>
      </c>
      <c r="E55" s="18">
        <f>IF(F3="1",SUMIF(Data!$A:$A,'29'!$A$2,Data!JH:JH),0)</f>
        <v>403</v>
      </c>
      <c r="F55" s="22">
        <f t="shared" si="3"/>
        <v>0.39822134387351776</v>
      </c>
    </row>
    <row r="56" spans="1:6" ht="14.25" customHeight="1" x14ac:dyDescent="0.2">
      <c r="A56" s="20">
        <v>21</v>
      </c>
      <c r="B56" s="179" t="s">
        <v>801</v>
      </c>
      <c r="C56" s="180"/>
      <c r="D56" s="15">
        <f>IF(F3="1",SUMIF(Data!A:A,'29'!$A$2,Data!DO:DO),0)</f>
        <v>27840</v>
      </c>
      <c r="E56" s="18">
        <f>IF(F3="1",SUMIF(Data!$A:$A,'29'!$A$2,Data!JI:JI),0)</f>
        <v>3437</v>
      </c>
      <c r="F56" s="22">
        <f t="shared" si="3"/>
        <v>0.12345545977011495</v>
      </c>
    </row>
    <row r="57" spans="1:6" x14ac:dyDescent="0.2">
      <c r="A57" s="20">
        <v>22</v>
      </c>
      <c r="B57" s="179" t="s">
        <v>19</v>
      </c>
      <c r="C57" s="180"/>
      <c r="D57" s="15">
        <f>IF(F3="1",SUMIF(Data!A:A,'29'!$A$2,Data!DP:DP),0)</f>
        <v>6192</v>
      </c>
      <c r="E57" s="18">
        <f>IF(F3="1",SUMIF(Data!$A:$A,'29'!$A$2,Data!JJ:JJ),0)</f>
        <v>3625</v>
      </c>
      <c r="F57" s="22">
        <f t="shared" si="3"/>
        <v>0.5854328165374677</v>
      </c>
    </row>
    <row r="58" spans="1:6" x14ac:dyDescent="0.2">
      <c r="A58" s="20">
        <v>23</v>
      </c>
      <c r="B58" s="179" t="s">
        <v>20</v>
      </c>
      <c r="C58" s="180"/>
      <c r="D58" s="15">
        <f>IF(F3="1",SUMIF(Data!A:A,'29'!$A$2,Data!DQ:DQ),0)</f>
        <v>224640</v>
      </c>
      <c r="E58" s="18">
        <f>IF(F3="1",SUMIF(Data!$A:$A,'29'!$A$2,Data!JK:JK),0)</f>
        <v>117031</v>
      </c>
      <c r="F58" s="22">
        <f t="shared" si="3"/>
        <v>0.52097133190883194</v>
      </c>
    </row>
    <row r="59" spans="1:6" x14ac:dyDescent="0.2">
      <c r="A59" s="20">
        <v>24</v>
      </c>
      <c r="B59" s="179" t="s">
        <v>21</v>
      </c>
      <c r="C59" s="180"/>
      <c r="D59" s="15">
        <f>IF(F3="1",SUMIF(Data!A:A,'29'!$A$2,Data!DR:DR),0)</f>
        <v>301892</v>
      </c>
      <c r="E59" s="18">
        <f>IF(F3="1",SUMIF(Data!$A:$A,'29'!$A$2,Data!JL:JL),0)</f>
        <v>335643</v>
      </c>
      <c r="F59" s="22">
        <f t="shared" si="3"/>
        <v>1.1117982589800326</v>
      </c>
    </row>
    <row r="60" spans="1:6" x14ac:dyDescent="0.2">
      <c r="A60" s="20">
        <v>25</v>
      </c>
      <c r="B60" s="179" t="s">
        <v>22</v>
      </c>
      <c r="C60" s="180"/>
      <c r="D60" s="15">
        <f>IF(F3="1",SUMIF(Data!A:A,'29'!$A$2,Data!DS:DS),0)</f>
        <v>716408</v>
      </c>
      <c r="E60" s="18">
        <f>IF(F3="1",SUMIF(Data!$A:$A,'29'!$A$2,Data!JM:JM),0)</f>
        <v>297023</v>
      </c>
      <c r="F60" s="22">
        <f t="shared" si="3"/>
        <v>0.41460033947136271</v>
      </c>
    </row>
    <row r="61" spans="1:6" x14ac:dyDescent="0.2">
      <c r="A61" s="20">
        <v>26</v>
      </c>
      <c r="B61" s="179" t="s">
        <v>23</v>
      </c>
      <c r="C61" s="180"/>
      <c r="D61" s="15">
        <f>IF(F3="1",SUMIF(Data!A:A,'29'!$A$2,Data!DT:DT),0)</f>
        <v>244720</v>
      </c>
      <c r="E61" s="18">
        <f>IF(F3="1",SUMIF(Data!$A:$A,'29'!$A$2,Data!JN:JN),0)</f>
        <v>173285</v>
      </c>
      <c r="F61" s="22">
        <f t="shared" si="3"/>
        <v>0.70809496567505725</v>
      </c>
    </row>
    <row r="62" spans="1:6" x14ac:dyDescent="0.2">
      <c r="A62" s="20">
        <v>28</v>
      </c>
      <c r="B62" s="179" t="s">
        <v>24</v>
      </c>
      <c r="C62" s="180"/>
      <c r="D62" s="15">
        <f>IF(F3="1",SUMIF(Data!A:A,'29'!$A$2,Data!DV:DV),0)</f>
        <v>334848</v>
      </c>
      <c r="E62" s="18">
        <f>IF(F3="1",SUMIF(Data!$A:$A,'29'!$A$2,Data!JP:JP),0)</f>
        <v>111767</v>
      </c>
      <c r="F62" s="22">
        <f t="shared" si="3"/>
        <v>0.33378428421253825</v>
      </c>
    </row>
    <row r="63" spans="1:6" ht="15.75" customHeight="1" thickBot="1" x14ac:dyDescent="0.25">
      <c r="A63" s="23">
        <v>29</v>
      </c>
      <c r="B63" s="181" t="s">
        <v>25</v>
      </c>
      <c r="C63" s="182"/>
      <c r="D63" s="24">
        <f>IF(F3="1",SUMIF(Data!A:A,'29'!$A$2,Data!DW:DW),0)</f>
        <v>229472</v>
      </c>
      <c r="E63" s="25">
        <f>IF(F3="1",SUMIF(Data!$A:$A,'29'!$A$2,Data!JQ:JQ),0)</f>
        <v>76934</v>
      </c>
      <c r="F63" s="26">
        <f t="shared" si="3"/>
        <v>0.33526530469948401</v>
      </c>
    </row>
    <row r="64" spans="1:6" x14ac:dyDescent="0.2">
      <c r="B64" s="31" t="s">
        <v>35</v>
      </c>
      <c r="C64" s="31"/>
      <c r="D64" s="61">
        <f>SUM(D36:D63)</f>
        <v>5767301</v>
      </c>
      <c r="E64" s="32">
        <f>SUM(E36:E63)</f>
        <v>3052393</v>
      </c>
      <c r="F64" s="33">
        <f t="shared" si="3"/>
        <v>0.52925848676876752</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16432</v>
      </c>
      <c r="E67" s="16">
        <f>IF(F3="1",SUMIF(Data!A:A,'29'!$A$2,Data!DY:DY),0)</f>
        <v>123408</v>
      </c>
      <c r="F67" s="21">
        <f>IFERROR(E67/D67,"")</f>
        <v>7.5102239532619279</v>
      </c>
    </row>
    <row r="68" spans="1:6" x14ac:dyDescent="0.2">
      <c r="A68" s="20">
        <v>2</v>
      </c>
      <c r="B68" s="179" t="s">
        <v>1</v>
      </c>
      <c r="C68" s="180"/>
      <c r="D68" s="15">
        <f t="shared" ref="D68:D94" si="4">D37</f>
        <v>55168</v>
      </c>
      <c r="E68" s="18">
        <f>IF(F3="1",SUMIF(Data!A:A,'29'!$A$2,Data!DZ:DZ),0)</f>
        <v>60993</v>
      </c>
      <c r="F68" s="22">
        <f t="shared" ref="F68:F95" si="5">IFERROR(E68/D68,"")</f>
        <v>1.105586571925754</v>
      </c>
    </row>
    <row r="69" spans="1:6" ht="14.25" customHeight="1" x14ac:dyDescent="0.2">
      <c r="A69" s="20">
        <v>3</v>
      </c>
      <c r="B69" s="179" t="s">
        <v>2</v>
      </c>
      <c r="C69" s="180"/>
      <c r="D69" s="15">
        <f t="shared" si="4"/>
        <v>578496</v>
      </c>
      <c r="E69" s="18">
        <f>IF(F3="1",SUMIF(Data!A:A,'29'!$A$2,Data!EA:EA),0)</f>
        <v>1169115</v>
      </c>
      <c r="F69" s="22">
        <f t="shared" si="5"/>
        <v>2.0209560653833387</v>
      </c>
    </row>
    <row r="70" spans="1:6" ht="14.25" customHeight="1" x14ac:dyDescent="0.2">
      <c r="A70" s="20">
        <v>4</v>
      </c>
      <c r="B70" s="179" t="s">
        <v>3</v>
      </c>
      <c r="C70" s="180"/>
      <c r="D70" s="15">
        <f t="shared" si="4"/>
        <v>445442</v>
      </c>
      <c r="E70" s="18">
        <f>IF(F3="1",SUMIF(Data!A:A,'29'!$A$2,Data!EB:EB),0)</f>
        <v>1043893</v>
      </c>
      <c r="F70" s="22">
        <f t="shared" si="5"/>
        <v>2.3434992658976928</v>
      </c>
    </row>
    <row r="71" spans="1:6" x14ac:dyDescent="0.2">
      <c r="A71" s="20">
        <v>5</v>
      </c>
      <c r="B71" s="179" t="s">
        <v>4</v>
      </c>
      <c r="C71" s="180"/>
      <c r="D71" s="15">
        <f t="shared" si="4"/>
        <v>0</v>
      </c>
      <c r="E71" s="18">
        <f>IF(F3="1",SUMIF(Data!A:A,'29'!$A$2,Data!EC:EC),0)</f>
        <v>0</v>
      </c>
      <c r="F71" s="22" t="str">
        <f t="shared" si="5"/>
        <v/>
      </c>
    </row>
    <row r="72" spans="1:6" x14ac:dyDescent="0.2">
      <c r="A72" s="20">
        <v>6</v>
      </c>
      <c r="B72" s="179" t="s">
        <v>5</v>
      </c>
      <c r="C72" s="180"/>
      <c r="D72" s="15">
        <f t="shared" si="4"/>
        <v>14216</v>
      </c>
      <c r="E72" s="18">
        <f>IF(F3="1",SUMIF(Data!A:A,'29'!$A$2,Data!ED:ED),0)</f>
        <v>62859</v>
      </c>
      <c r="F72" s="22">
        <f t="shared" si="5"/>
        <v>4.4217079347214403</v>
      </c>
    </row>
    <row r="73" spans="1:6" x14ac:dyDescent="0.2">
      <c r="A73" s="20">
        <v>7</v>
      </c>
      <c r="B73" s="179" t="s">
        <v>6</v>
      </c>
      <c r="C73" s="180"/>
      <c r="D73" s="15">
        <f t="shared" si="4"/>
        <v>375915</v>
      </c>
      <c r="E73" s="18">
        <f>IF(F3="1",SUMIF(Data!A:A,'29'!$A$2,Data!EE:EE),0)</f>
        <v>590492</v>
      </c>
      <c r="F73" s="22">
        <f t="shared" si="5"/>
        <v>1.5708125507096018</v>
      </c>
    </row>
    <row r="74" spans="1:6" x14ac:dyDescent="0.2">
      <c r="A74" s="20">
        <v>8</v>
      </c>
      <c r="B74" s="179" t="s">
        <v>7</v>
      </c>
      <c r="C74" s="180"/>
      <c r="D74" s="15">
        <f t="shared" si="4"/>
        <v>2464</v>
      </c>
      <c r="E74" s="18">
        <f>IF(F3="1",SUMIF(Data!A:A,'29'!$A$2,Data!EF:EF),0)</f>
        <v>11149</v>
      </c>
      <c r="F74" s="22">
        <f t="shared" si="5"/>
        <v>4.5247564935064934</v>
      </c>
    </row>
    <row r="75" spans="1:6" x14ac:dyDescent="0.2">
      <c r="A75" s="20">
        <v>9</v>
      </c>
      <c r="B75" s="179" t="s">
        <v>8</v>
      </c>
      <c r="C75" s="180"/>
      <c r="D75" s="15">
        <f t="shared" si="4"/>
        <v>666689</v>
      </c>
      <c r="E75" s="18">
        <f>IF(F3="1",SUMIF(Data!A:A,'29'!$A$2,Data!EG:EG),0)</f>
        <v>341434</v>
      </c>
      <c r="F75" s="22">
        <f t="shared" si="5"/>
        <v>0.51213384351624225</v>
      </c>
    </row>
    <row r="76" spans="1:6" x14ac:dyDescent="0.2">
      <c r="A76" s="20">
        <v>10</v>
      </c>
      <c r="B76" s="179" t="s">
        <v>9</v>
      </c>
      <c r="C76" s="180"/>
      <c r="D76" s="15">
        <f t="shared" si="4"/>
        <v>624</v>
      </c>
      <c r="E76" s="18">
        <f>IF(F3="1",SUMIF(Data!A:A,'29'!$A$2,Data!EH:EH),0)</f>
        <v>1239</v>
      </c>
      <c r="F76" s="22">
        <f t="shared" si="5"/>
        <v>1.9855769230769231</v>
      </c>
    </row>
    <row r="77" spans="1:6" x14ac:dyDescent="0.2">
      <c r="A77" s="20">
        <v>11</v>
      </c>
      <c r="B77" s="179" t="s">
        <v>10</v>
      </c>
      <c r="C77" s="180"/>
      <c r="D77" s="15">
        <f t="shared" si="4"/>
        <v>116016</v>
      </c>
      <c r="E77" s="18">
        <f>IF(F3="1",SUMIF(Data!A:A,'29'!$A$2,Data!EI:EI),0)</f>
        <v>143066</v>
      </c>
      <c r="F77" s="22">
        <f t="shared" si="5"/>
        <v>1.2331574955178597</v>
      </c>
    </row>
    <row r="78" spans="1:6" ht="14.25" customHeight="1" x14ac:dyDescent="0.2">
      <c r="A78" s="20">
        <v>12</v>
      </c>
      <c r="B78" s="179" t="s">
        <v>11</v>
      </c>
      <c r="C78" s="180"/>
      <c r="D78" s="15">
        <f t="shared" si="4"/>
        <v>625048</v>
      </c>
      <c r="E78" s="18">
        <f>IF(F3="1",SUMIF(Data!A:A,'29'!$A$2,Data!EJ:EJ),0)</f>
        <v>1549492</v>
      </c>
      <c r="F78" s="22">
        <f t="shared" si="5"/>
        <v>2.4789968130447582</v>
      </c>
    </row>
    <row r="79" spans="1:6" x14ac:dyDescent="0.2">
      <c r="A79" s="20">
        <v>13</v>
      </c>
      <c r="B79" s="179" t="s">
        <v>12</v>
      </c>
      <c r="C79" s="180"/>
      <c r="D79" s="15">
        <f t="shared" si="4"/>
        <v>64732</v>
      </c>
      <c r="E79" s="18">
        <f>IF(F3="1",SUMIF(Data!A:A,'29'!$A$2,Data!EK:EK),0)</f>
        <v>82612</v>
      </c>
      <c r="F79" s="22">
        <f t="shared" si="5"/>
        <v>1.2762157819934499</v>
      </c>
    </row>
    <row r="80" spans="1:6" ht="14.25" customHeight="1" x14ac:dyDescent="0.2">
      <c r="A80" s="20">
        <v>14</v>
      </c>
      <c r="B80" s="179" t="s">
        <v>804</v>
      </c>
      <c r="C80" s="180"/>
      <c r="D80" s="15">
        <f t="shared" si="4"/>
        <v>134544</v>
      </c>
      <c r="E80" s="18">
        <f>IF(F3="1",SUMIF(Data!A:A,'29'!$A$2,Data!EL:EL),0)</f>
        <v>791478</v>
      </c>
      <c r="F80" s="22">
        <f t="shared" si="5"/>
        <v>5.8826703531930074</v>
      </c>
    </row>
    <row r="81" spans="1:6" x14ac:dyDescent="0.2">
      <c r="A81" s="20">
        <v>15</v>
      </c>
      <c r="B81" s="179" t="s">
        <v>13</v>
      </c>
      <c r="C81" s="180"/>
      <c r="D81" s="15">
        <f t="shared" si="4"/>
        <v>0</v>
      </c>
      <c r="E81" s="18">
        <f>IF(F3="1",SUMIF(Data!A:A,'29'!$A$2,Data!EM:EM),0)</f>
        <v>0</v>
      </c>
      <c r="F81" s="22" t="str">
        <f t="shared" si="5"/>
        <v/>
      </c>
    </row>
    <row r="82" spans="1:6" x14ac:dyDescent="0.2">
      <c r="A82" s="20">
        <v>16</v>
      </c>
      <c r="B82" s="179" t="s">
        <v>14</v>
      </c>
      <c r="C82" s="180"/>
      <c r="D82" s="15">
        <f t="shared" si="4"/>
        <v>209531</v>
      </c>
      <c r="E82" s="18">
        <f>IF(F3="1",SUMIF(Data!A:A,'29'!$A$2,Data!EN:EN),0)</f>
        <v>452307</v>
      </c>
      <c r="F82" s="22">
        <f t="shared" si="5"/>
        <v>2.1586638731261725</v>
      </c>
    </row>
    <row r="83" spans="1:6" x14ac:dyDescent="0.2">
      <c r="A83" s="20">
        <v>17</v>
      </c>
      <c r="B83" s="179" t="s">
        <v>15</v>
      </c>
      <c r="C83" s="180"/>
      <c r="D83" s="15">
        <f t="shared" si="4"/>
        <v>0</v>
      </c>
      <c r="E83" s="18">
        <f>IF(F3="1",SUMIF(Data!A:A,'29'!$A$2,Data!EO:EO),0)</f>
        <v>0</v>
      </c>
      <c r="F83" s="22" t="str">
        <f t="shared" si="5"/>
        <v/>
      </c>
    </row>
    <row r="84" spans="1:6" x14ac:dyDescent="0.2">
      <c r="A84" s="20">
        <v>18</v>
      </c>
      <c r="B84" s="179" t="s">
        <v>16</v>
      </c>
      <c r="C84" s="180"/>
      <c r="D84" s="15">
        <f t="shared" si="4"/>
        <v>140032</v>
      </c>
      <c r="E84" s="18">
        <f>IF(F3="1",SUMIF(Data!A:A,'29'!$A$2,Data!EP:EP),0)</f>
        <v>646603</v>
      </c>
      <c r="F84" s="22">
        <f t="shared" si="5"/>
        <v>4.6175374200182819</v>
      </c>
    </row>
    <row r="85" spans="1:6" x14ac:dyDescent="0.2">
      <c r="A85" s="20">
        <v>19</v>
      </c>
      <c r="B85" s="179" t="s">
        <v>17</v>
      </c>
      <c r="C85" s="180"/>
      <c r="D85" s="15">
        <f t="shared" si="4"/>
        <v>234928</v>
      </c>
      <c r="E85" s="18">
        <f>IF(F3="1",SUMIF(Data!A:A,'29'!$A$2,Data!EQ:EQ),0)</f>
        <v>689555</v>
      </c>
      <c r="F85" s="22">
        <f t="shared" si="5"/>
        <v>2.9351758836749982</v>
      </c>
    </row>
    <row r="86" spans="1:6" x14ac:dyDescent="0.2">
      <c r="A86" s="20">
        <v>20</v>
      </c>
      <c r="B86" s="179" t="s">
        <v>18</v>
      </c>
      <c r="C86" s="180"/>
      <c r="D86" s="15">
        <f t="shared" si="4"/>
        <v>1012</v>
      </c>
      <c r="E86" s="18">
        <f>IF(F3="1",SUMIF(Data!A:A,'29'!$A$2,Data!ER:ER),0)</f>
        <v>2327</v>
      </c>
      <c r="F86" s="22">
        <f t="shared" si="5"/>
        <v>2.2994071146245059</v>
      </c>
    </row>
    <row r="87" spans="1:6" ht="14.25" customHeight="1" x14ac:dyDescent="0.2">
      <c r="A87" s="20">
        <v>21</v>
      </c>
      <c r="B87" s="179" t="s">
        <v>801</v>
      </c>
      <c r="C87" s="180"/>
      <c r="D87" s="15">
        <f t="shared" si="4"/>
        <v>27840</v>
      </c>
      <c r="E87" s="18">
        <f>IF(F3="1",SUMIF(Data!A:A,'29'!$A$2,Data!ES:ES),0)</f>
        <v>13712</v>
      </c>
      <c r="F87" s="22">
        <f t="shared" si="5"/>
        <v>0.49252873563218391</v>
      </c>
    </row>
    <row r="88" spans="1:6" x14ac:dyDescent="0.2">
      <c r="A88" s="20">
        <v>22</v>
      </c>
      <c r="B88" s="179" t="s">
        <v>19</v>
      </c>
      <c r="C88" s="180"/>
      <c r="D88" s="15">
        <f t="shared" si="4"/>
        <v>6192</v>
      </c>
      <c r="E88" s="18">
        <f>IF(F3="1",SUMIF(Data!A:A,'29'!$A$2,Data!ET:ET),0)</f>
        <v>20939</v>
      </c>
      <c r="F88" s="22">
        <f t="shared" si="5"/>
        <v>3.3816214470284236</v>
      </c>
    </row>
    <row r="89" spans="1:6" x14ac:dyDescent="0.2">
      <c r="A89" s="20">
        <v>23</v>
      </c>
      <c r="B89" s="179" t="s">
        <v>20</v>
      </c>
      <c r="C89" s="180"/>
      <c r="D89" s="15">
        <f t="shared" si="4"/>
        <v>224640</v>
      </c>
      <c r="E89" s="18">
        <f>IF(F3="1",SUMIF(Data!A:A,'29'!$A$2,Data!EU:EU),0)</f>
        <v>490211</v>
      </c>
      <c r="F89" s="22">
        <f t="shared" si="5"/>
        <v>2.1822070868945871</v>
      </c>
    </row>
    <row r="90" spans="1:6" x14ac:dyDescent="0.2">
      <c r="A90" s="20">
        <v>24</v>
      </c>
      <c r="B90" s="179" t="s">
        <v>21</v>
      </c>
      <c r="C90" s="180"/>
      <c r="D90" s="15">
        <f t="shared" si="4"/>
        <v>301892</v>
      </c>
      <c r="E90" s="18">
        <f>IF(F3="1",SUMIF(Data!A:A,'29'!$A$2,Data!EV:EV),0)</f>
        <v>479636</v>
      </c>
      <c r="F90" s="22">
        <f t="shared" si="5"/>
        <v>1.5887668437719449</v>
      </c>
    </row>
    <row r="91" spans="1:6" x14ac:dyDescent="0.2">
      <c r="A91" s="20">
        <v>25</v>
      </c>
      <c r="B91" s="179" t="s">
        <v>22</v>
      </c>
      <c r="C91" s="180"/>
      <c r="D91" s="15">
        <f t="shared" si="4"/>
        <v>716408</v>
      </c>
      <c r="E91" s="18">
        <f>IF(F3="1",SUMIF(Data!A:A,'29'!$A$2,Data!EW:EW),0)</f>
        <v>1568317</v>
      </c>
      <c r="F91" s="22">
        <f t="shared" si="5"/>
        <v>2.1891394289287667</v>
      </c>
    </row>
    <row r="92" spans="1:6" x14ac:dyDescent="0.2">
      <c r="A92" s="20">
        <v>26</v>
      </c>
      <c r="B92" s="179" t="s">
        <v>23</v>
      </c>
      <c r="C92" s="180"/>
      <c r="D92" s="15">
        <f t="shared" si="4"/>
        <v>244720</v>
      </c>
      <c r="E92" s="18">
        <f>IF(F3="1",SUMIF(Data!A:A,'29'!$A$2,Data!EX:EX),0)</f>
        <v>632779</v>
      </c>
      <c r="F92" s="22">
        <f t="shared" si="5"/>
        <v>2.5857265446224256</v>
      </c>
    </row>
    <row r="93" spans="1:6" x14ac:dyDescent="0.2">
      <c r="A93" s="20">
        <v>28</v>
      </c>
      <c r="B93" s="179" t="s">
        <v>24</v>
      </c>
      <c r="C93" s="180"/>
      <c r="D93" s="15">
        <f t="shared" si="4"/>
        <v>334848</v>
      </c>
      <c r="E93" s="18">
        <f>IF(F3="1",SUMIF(Data!A:A,'29'!$A$2,Data!EZ:EZ),0)</f>
        <v>619633</v>
      </c>
      <c r="F93" s="22">
        <f t="shared" si="5"/>
        <v>1.8504903717507646</v>
      </c>
    </row>
    <row r="94" spans="1:6" ht="15.75" customHeight="1" thickBot="1" x14ac:dyDescent="0.25">
      <c r="A94" s="23">
        <v>29</v>
      </c>
      <c r="B94" s="181" t="s">
        <v>25</v>
      </c>
      <c r="C94" s="182"/>
      <c r="D94" s="24">
        <f t="shared" si="4"/>
        <v>229472</v>
      </c>
      <c r="E94" s="25">
        <f>IF(F3="1",SUMIF(Data!A:A,'29'!$A$2,Data!FA:FA),0)</f>
        <v>411455</v>
      </c>
      <c r="F94" s="26">
        <f t="shared" si="5"/>
        <v>1.7930510040440664</v>
      </c>
    </row>
    <row r="95" spans="1:6" x14ac:dyDescent="0.2">
      <c r="B95" s="31" t="s">
        <v>35</v>
      </c>
      <c r="C95" s="31"/>
      <c r="D95" s="61">
        <f>SUM(D67:D94)</f>
        <v>5767301</v>
      </c>
      <c r="E95" s="32">
        <f>SUM(E67:E94)</f>
        <v>11998704</v>
      </c>
      <c r="F95" s="33">
        <f t="shared" si="5"/>
        <v>2.0804712637679219</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IF(F3="1",SUMIF(Data!A:A,'29'!$A$2,Data!AH:AH),0)</f>
        <v>4243940</v>
      </c>
      <c r="F98" s="21">
        <f t="shared" ref="F98:F105" si="6">IFERROR(E98/$D$95,0)</f>
        <v>0.73586240773630507</v>
      </c>
    </row>
    <row r="99" spans="2:6" x14ac:dyDescent="0.2">
      <c r="B99" s="185" t="s">
        <v>31</v>
      </c>
      <c r="C99" s="186"/>
      <c r="D99" s="37"/>
      <c r="E99" s="18">
        <f>IF(F3="1",SUMIF(Data!A:A,'29'!$A$2,Data!AI:AI),0)</f>
        <v>2563647</v>
      </c>
      <c r="F99" s="22">
        <f t="shared" si="6"/>
        <v>0.44451416702544222</v>
      </c>
    </row>
    <row r="100" spans="2:6" x14ac:dyDescent="0.2">
      <c r="B100" s="185" t="s">
        <v>32</v>
      </c>
      <c r="C100" s="186"/>
      <c r="D100" s="37"/>
      <c r="E100" s="18">
        <f>IF(F3="1",SUMIF(Data!A:A,'29'!$A$2,Data!AJ:AJ),0)</f>
        <v>2926818</v>
      </c>
      <c r="F100" s="22">
        <f t="shared" si="6"/>
        <v>0.50748487030588485</v>
      </c>
    </row>
    <row r="101" spans="2:6" x14ac:dyDescent="0.2">
      <c r="B101" s="185" t="s">
        <v>28</v>
      </c>
      <c r="C101" s="186"/>
      <c r="D101" s="37"/>
      <c r="E101" s="18">
        <f>IF(F3="1",SUMIF(Data!A:A,'29'!$A$2,Data!AK:AK),0)</f>
        <v>0</v>
      </c>
      <c r="F101" s="22">
        <f t="shared" si="6"/>
        <v>0</v>
      </c>
    </row>
    <row r="102" spans="2:6" x14ac:dyDescent="0.2">
      <c r="B102" s="185" t="s">
        <v>33</v>
      </c>
      <c r="C102" s="186"/>
      <c r="D102" s="37"/>
      <c r="E102" s="18">
        <f>IF(F3="1",SUMIF(Data!A:A,'29'!$A$2,Data!AL:AL),0)</f>
        <v>0</v>
      </c>
      <c r="F102" s="22">
        <f t="shared" si="6"/>
        <v>0</v>
      </c>
    </row>
    <row r="103" spans="2:6" x14ac:dyDescent="0.2">
      <c r="B103" s="187" t="s">
        <v>34</v>
      </c>
      <c r="C103" s="188"/>
      <c r="D103" s="37"/>
      <c r="E103" s="18">
        <f>IF(F3="1",SUMIF(Data!A:A,'29'!$A$2,Data!AM:AM),0)</f>
        <v>172496</v>
      </c>
      <c r="F103" s="22">
        <f t="shared" si="6"/>
        <v>2.9909311131844862E-2</v>
      </c>
    </row>
    <row r="104" spans="2:6" ht="15.75" customHeight="1" thickBot="1" x14ac:dyDescent="0.25">
      <c r="B104" s="177" t="s">
        <v>29</v>
      </c>
      <c r="C104" s="178"/>
      <c r="D104" s="38"/>
      <c r="E104" s="25">
        <f>IF(F3="1",SUMIF(Data!A:A,'29'!$A$2,Data!Q:Q),0)</f>
        <v>1148565</v>
      </c>
      <c r="F104" s="26">
        <f t="shared" si="6"/>
        <v>0.19915121475366032</v>
      </c>
    </row>
    <row r="105" spans="2:6" x14ac:dyDescent="0.2">
      <c r="B105" s="31" t="s">
        <v>35</v>
      </c>
      <c r="C105" s="31"/>
      <c r="D105" s="35">
        <f>D95</f>
        <v>5767301</v>
      </c>
      <c r="E105" s="32">
        <f>SUM(E98:E104)</f>
        <v>11055466</v>
      </c>
      <c r="F105" s="33">
        <f t="shared" si="6"/>
        <v>1.9169219709531373</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11998704</v>
      </c>
      <c r="D109" s="16">
        <f>IF(F3="1",SUMIF(Data!$A:$A,$A$2,Data!HJ:HJ),0)</f>
        <v>1968836</v>
      </c>
      <c r="E109" s="16">
        <f>IF(F3="1",SUMIF(Data!$A:$A,$A$2,Data!IN:IN),0)</f>
        <v>1083558</v>
      </c>
      <c r="F109" s="48">
        <f>SUM(C109:E109)</f>
        <v>15051098</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28900</v>
      </c>
      <c r="D111" s="52"/>
      <c r="E111" s="51">
        <f>IF(F3="1",SUMIF(Data!A:A,$A$2,Data!AX:AX),0)</f>
        <v>4532</v>
      </c>
      <c r="F111" s="49">
        <f t="shared" si="7"/>
        <v>33432</v>
      </c>
    </row>
    <row r="112" spans="2:6" x14ac:dyDescent="0.2">
      <c r="B112" s="43" t="s">
        <v>32</v>
      </c>
      <c r="C112" s="51">
        <f>IF(F3="1",SUMIF(Data!A:A,$A$2,Data!V:V),0)</f>
        <v>2389434</v>
      </c>
      <c r="D112" s="52"/>
      <c r="E112" s="51">
        <f>IF(F3="1",SUMIF(Data!A:A,$A$2,Data!AC:AC),0)</f>
        <v>537384</v>
      </c>
      <c r="F112" s="49">
        <f t="shared" si="7"/>
        <v>2926818</v>
      </c>
    </row>
    <row r="113" spans="1:6" x14ac:dyDescent="0.2">
      <c r="B113" s="43" t="s">
        <v>31</v>
      </c>
      <c r="C113" s="51">
        <f>IF(F3="1",SUMIF(Data!A:A,$A$2,Data!U:U),0)</f>
        <v>1959712</v>
      </c>
      <c r="D113" s="52"/>
      <c r="E113" s="51">
        <f>IF(F3="1",SUMIF(Data!A:A,$A$2,Data!AB:AB),0)</f>
        <v>603935</v>
      </c>
      <c r="F113" s="49">
        <f t="shared" si="7"/>
        <v>2563647</v>
      </c>
    </row>
    <row r="114" spans="1:6" x14ac:dyDescent="0.2">
      <c r="B114" s="43" t="s">
        <v>1363</v>
      </c>
      <c r="C114" s="51">
        <f>IF(F3="1",SUMIF(Data!A:A,$A$2,Data!T:T),0)</f>
        <v>2621667</v>
      </c>
      <c r="D114" s="52"/>
      <c r="E114" s="51">
        <f>IF(F3="1",SUMIF(Data!A:A,$A$2,Data!AA:AA),0)</f>
        <v>1622273</v>
      </c>
      <c r="F114" s="49">
        <f t="shared" si="7"/>
        <v>4243940</v>
      </c>
    </row>
    <row r="115" spans="1:6" x14ac:dyDescent="0.2">
      <c r="B115" s="43" t="s">
        <v>1278</v>
      </c>
      <c r="C115" s="51">
        <f>IF(F3="1",SUMIF(Data!A:A,$A$2,Data!BI:BI),0)</f>
        <v>692624</v>
      </c>
      <c r="D115" s="51">
        <f>IF(F3="1",SUMIF(Data!A:A,$A$2,Data!BL:BL),0)</f>
        <v>113651</v>
      </c>
      <c r="E115" s="51">
        <f>IF(F3="1",SUMIF(Data!A:A,$A$2,Data!BU:BU),0)</f>
        <v>3759548</v>
      </c>
      <c r="F115" s="49">
        <f t="shared" si="7"/>
        <v>4565823</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1148565</v>
      </c>
      <c r="E117" s="53"/>
      <c r="F117" s="50">
        <f>SUM(C117:E117)</f>
        <v>1148565</v>
      </c>
    </row>
    <row r="118" spans="1:6" x14ac:dyDescent="0.2">
      <c r="B118" s="14" t="s">
        <v>35</v>
      </c>
      <c r="C118" s="5">
        <f>SUM(C109:C116)</f>
        <v>19691041</v>
      </c>
      <c r="D118" s="5">
        <f>SUM(D109:D116)</f>
        <v>2082487</v>
      </c>
      <c r="E118" s="5">
        <f>SUM(E109:E116)</f>
        <v>7611230</v>
      </c>
      <c r="F118" s="5">
        <f>SUM(F109:F116)</f>
        <v>29384758</v>
      </c>
    </row>
    <row r="119" spans="1:6" ht="15" thickBot="1" x14ac:dyDescent="0.25"/>
    <row r="120" spans="1:6" ht="15" thickBot="1" x14ac:dyDescent="0.25">
      <c r="B120" s="57" t="s">
        <v>1283</v>
      </c>
      <c r="C120" s="55"/>
      <c r="D120" s="55"/>
      <c r="E120" s="55">
        <f>IF(F3="1",SUMIF(Data!A:A,'29'!$A$2,Data!AM:AM),0)</f>
        <v>172496</v>
      </c>
      <c r="F120" s="56">
        <f>SUM(C120:E120)</f>
        <v>172496</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399</v>
      </c>
      <c r="B2" s="60" t="str">
        <f>VLOOKUP(A2,Data!A:G,7,0)</f>
        <v>North Central Texas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66224</v>
      </c>
      <c r="E5" s="16">
        <f>E36+E67+IFERROR($E$105/$D$105*D5,0)</f>
        <v>662251.60068234871</v>
      </c>
      <c r="F5" s="21">
        <f>IFERROR(E5/D5,"")</f>
        <v>10.000175173386516</v>
      </c>
    </row>
    <row r="6" spans="1:6" x14ac:dyDescent="0.2">
      <c r="A6" s="20">
        <v>2</v>
      </c>
      <c r="B6" s="179" t="s">
        <v>1</v>
      </c>
      <c r="C6" s="180"/>
      <c r="D6" s="15">
        <f t="shared" ref="D6:D32" si="0">D37</f>
        <v>7172</v>
      </c>
      <c r="E6" s="18">
        <f t="shared" ref="E6:E32" si="1">E37+E68+IFERROR($E$105/$D$105*D6,0)</f>
        <v>164799.67401687914</v>
      </c>
      <c r="F6" s="22">
        <f t="shared" ref="F6:F33" si="2">IFERROR(E6/D6,"")</f>
        <v>22.978203292927933</v>
      </c>
    </row>
    <row r="7" spans="1:6" ht="14.25" customHeight="1" x14ac:dyDescent="0.2">
      <c r="A7" s="20">
        <v>3</v>
      </c>
      <c r="B7" s="179" t="s">
        <v>2</v>
      </c>
      <c r="C7" s="180"/>
      <c r="D7" s="15">
        <f t="shared" si="0"/>
        <v>343472</v>
      </c>
      <c r="E7" s="18">
        <f t="shared" si="1"/>
        <v>2008569.9166098041</v>
      </c>
      <c r="F7" s="22">
        <f t="shared" si="2"/>
        <v>5.84784179382833</v>
      </c>
    </row>
    <row r="8" spans="1:6" ht="14.25" customHeight="1" x14ac:dyDescent="0.2">
      <c r="A8" s="20">
        <v>4</v>
      </c>
      <c r="B8" s="179" t="s">
        <v>3</v>
      </c>
      <c r="C8" s="180"/>
      <c r="D8" s="15">
        <f t="shared" si="0"/>
        <v>194287</v>
      </c>
      <c r="E8" s="18">
        <f t="shared" si="1"/>
        <v>938804.24243131618</v>
      </c>
      <c r="F8" s="22">
        <f t="shared" si="2"/>
        <v>4.8320486827801972</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5312</v>
      </c>
      <c r="E10" s="18">
        <f t="shared" si="1"/>
        <v>15857.159561860297</v>
      </c>
      <c r="F10" s="22">
        <f t="shared" si="2"/>
        <v>2.9851580500490016</v>
      </c>
    </row>
    <row r="11" spans="1:6" x14ac:dyDescent="0.2">
      <c r="A11" s="20">
        <v>7</v>
      </c>
      <c r="B11" s="179" t="s">
        <v>6</v>
      </c>
      <c r="C11" s="180"/>
      <c r="D11" s="15">
        <f t="shared" si="0"/>
        <v>32266</v>
      </c>
      <c r="E11" s="18">
        <f t="shared" si="1"/>
        <v>517837.94699227868</v>
      </c>
      <c r="F11" s="22">
        <f t="shared" si="2"/>
        <v>16.049028295799872</v>
      </c>
    </row>
    <row r="12" spans="1:6" x14ac:dyDescent="0.2">
      <c r="A12" s="20">
        <v>8</v>
      </c>
      <c r="B12" s="179" t="s">
        <v>7</v>
      </c>
      <c r="C12" s="180"/>
      <c r="D12" s="15">
        <f t="shared" si="0"/>
        <v>1540</v>
      </c>
      <c r="E12" s="18">
        <f t="shared" si="1"/>
        <v>4292.0711079188359</v>
      </c>
      <c r="F12" s="22">
        <f t="shared" si="2"/>
        <v>2.7870591609862569</v>
      </c>
    </row>
    <row r="13" spans="1:6" x14ac:dyDescent="0.2">
      <c r="A13" s="20">
        <v>9</v>
      </c>
      <c r="B13" s="179" t="s">
        <v>8</v>
      </c>
      <c r="C13" s="180"/>
      <c r="D13" s="15">
        <f t="shared" si="0"/>
        <v>138800</v>
      </c>
      <c r="E13" s="18">
        <f t="shared" si="1"/>
        <v>863816.55180463276</v>
      </c>
      <c r="F13" s="22">
        <f t="shared" si="2"/>
        <v>6.2234621887941843</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32363</v>
      </c>
      <c r="E15" s="18">
        <f t="shared" si="1"/>
        <v>154963.36575686838</v>
      </c>
      <c r="F15" s="22">
        <f t="shared" si="2"/>
        <v>4.7882880374770069</v>
      </c>
    </row>
    <row r="16" spans="1:6" ht="14.25" customHeight="1" x14ac:dyDescent="0.2">
      <c r="A16" s="20">
        <v>12</v>
      </c>
      <c r="B16" s="179" t="s">
        <v>11</v>
      </c>
      <c r="C16" s="180"/>
      <c r="D16" s="15">
        <f t="shared" si="0"/>
        <v>480592</v>
      </c>
      <c r="E16" s="18">
        <f t="shared" si="1"/>
        <v>3127059.3908421621</v>
      </c>
      <c r="F16" s="22">
        <f t="shared" si="2"/>
        <v>6.5066821562617818</v>
      </c>
    </row>
    <row r="17" spans="1:6" x14ac:dyDescent="0.2">
      <c r="A17" s="20">
        <v>13</v>
      </c>
      <c r="B17" s="179" t="s">
        <v>12</v>
      </c>
      <c r="C17" s="180"/>
      <c r="D17" s="15">
        <f t="shared" si="0"/>
        <v>81232</v>
      </c>
      <c r="E17" s="18">
        <f t="shared" si="1"/>
        <v>371137.09366133955</v>
      </c>
      <c r="F17" s="22">
        <f t="shared" si="2"/>
        <v>4.5688533294925593</v>
      </c>
    </row>
    <row r="18" spans="1:6" ht="14.25" customHeight="1" x14ac:dyDescent="0.2">
      <c r="A18" s="20">
        <v>14</v>
      </c>
      <c r="B18" s="179" t="s">
        <v>804</v>
      </c>
      <c r="C18" s="180"/>
      <c r="D18" s="15">
        <f t="shared" si="0"/>
        <v>132686</v>
      </c>
      <c r="E18" s="18">
        <f t="shared" si="1"/>
        <v>1303300.0123541029</v>
      </c>
      <c r="F18" s="22">
        <f t="shared" si="2"/>
        <v>9.8224380292879658</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149216</v>
      </c>
      <c r="E20" s="18">
        <f t="shared" si="1"/>
        <v>1386686.6327527384</v>
      </c>
      <c r="F20" s="22">
        <f t="shared" si="2"/>
        <v>9.2931497476995659</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255920</v>
      </c>
      <c r="E22" s="18">
        <f t="shared" si="1"/>
        <v>1847166.8168432394</v>
      </c>
      <c r="F22" s="22">
        <f t="shared" si="2"/>
        <v>7.2177509254581098</v>
      </c>
    </row>
    <row r="23" spans="1:6" x14ac:dyDescent="0.2">
      <c r="A23" s="20">
        <v>19</v>
      </c>
      <c r="B23" s="179" t="s">
        <v>17</v>
      </c>
      <c r="C23" s="180"/>
      <c r="D23" s="15">
        <f t="shared" si="0"/>
        <v>278752</v>
      </c>
      <c r="E23" s="18">
        <f t="shared" si="1"/>
        <v>1468522.4996588256</v>
      </c>
      <c r="F23" s="22">
        <f t="shared" si="2"/>
        <v>5.2682043524668005</v>
      </c>
    </row>
    <row r="24" spans="1:6" x14ac:dyDescent="0.2">
      <c r="A24" s="20">
        <v>20</v>
      </c>
      <c r="B24" s="179" t="s">
        <v>18</v>
      </c>
      <c r="C24" s="180"/>
      <c r="D24" s="15">
        <f t="shared" si="0"/>
        <v>0</v>
      </c>
      <c r="E24" s="18">
        <f t="shared" si="1"/>
        <v>0</v>
      </c>
      <c r="F24" s="22" t="str">
        <f t="shared" si="2"/>
        <v/>
      </c>
    </row>
    <row r="25" spans="1:6" ht="14.25" customHeight="1" x14ac:dyDescent="0.2">
      <c r="A25" s="20">
        <v>21</v>
      </c>
      <c r="B25" s="179" t="s">
        <v>801</v>
      </c>
      <c r="C25" s="180"/>
      <c r="D25" s="15">
        <f t="shared" si="0"/>
        <v>0</v>
      </c>
      <c r="E25" s="18">
        <f t="shared" si="1"/>
        <v>0</v>
      </c>
      <c r="F25" s="22" t="str">
        <f t="shared" si="2"/>
        <v/>
      </c>
    </row>
    <row r="26" spans="1:6" x14ac:dyDescent="0.2">
      <c r="A26" s="20">
        <v>22</v>
      </c>
      <c r="B26" s="179" t="s">
        <v>19</v>
      </c>
      <c r="C26" s="180"/>
      <c r="D26" s="15">
        <f t="shared" si="0"/>
        <v>3960</v>
      </c>
      <c r="E26" s="18">
        <f t="shared" si="1"/>
        <v>15435.611420362722</v>
      </c>
      <c r="F26" s="22">
        <f t="shared" si="2"/>
        <v>3.8978816718087681</v>
      </c>
    </row>
    <row r="27" spans="1:6" x14ac:dyDescent="0.2">
      <c r="A27" s="20">
        <v>23</v>
      </c>
      <c r="B27" s="179" t="s">
        <v>20</v>
      </c>
      <c r="C27" s="180"/>
      <c r="D27" s="15">
        <f t="shared" si="0"/>
        <v>102384</v>
      </c>
      <c r="E27" s="18">
        <f t="shared" si="1"/>
        <v>673710.69890465075</v>
      </c>
      <c r="F27" s="22">
        <f t="shared" si="2"/>
        <v>6.5802342055853531</v>
      </c>
    </row>
    <row r="28" spans="1:6" x14ac:dyDescent="0.2">
      <c r="A28" s="20">
        <v>24</v>
      </c>
      <c r="B28" s="179" t="s">
        <v>21</v>
      </c>
      <c r="C28" s="180"/>
      <c r="D28" s="15">
        <f t="shared" si="0"/>
        <v>32448</v>
      </c>
      <c r="E28" s="18">
        <f t="shared" si="1"/>
        <v>227011.15539594181</v>
      </c>
      <c r="F28" s="22">
        <f t="shared" si="2"/>
        <v>6.9961524715218752</v>
      </c>
    </row>
    <row r="29" spans="1:6" x14ac:dyDescent="0.2">
      <c r="A29" s="20">
        <v>25</v>
      </c>
      <c r="B29" s="179" t="s">
        <v>22</v>
      </c>
      <c r="C29" s="180"/>
      <c r="D29" s="15">
        <f t="shared" si="0"/>
        <v>819712</v>
      </c>
      <c r="E29" s="18">
        <f t="shared" si="1"/>
        <v>4321093.4779314063</v>
      </c>
      <c r="F29" s="22">
        <f t="shared" si="2"/>
        <v>5.2714776384039839</v>
      </c>
    </row>
    <row r="30" spans="1:6" x14ac:dyDescent="0.2">
      <c r="A30" s="20">
        <v>26</v>
      </c>
      <c r="B30" s="179" t="s">
        <v>23</v>
      </c>
      <c r="C30" s="180"/>
      <c r="D30" s="15">
        <f t="shared" si="0"/>
        <v>175662</v>
      </c>
      <c r="E30" s="18">
        <f t="shared" si="1"/>
        <v>1153178.4538696355</v>
      </c>
      <c r="F30" s="22">
        <f t="shared" si="2"/>
        <v>6.5647576246976325</v>
      </c>
    </row>
    <row r="31" spans="1:6" x14ac:dyDescent="0.2">
      <c r="A31" s="20">
        <v>28</v>
      </c>
      <c r="B31" s="179" t="s">
        <v>24</v>
      </c>
      <c r="C31" s="180"/>
      <c r="D31" s="15">
        <f t="shared" si="0"/>
        <v>180960</v>
      </c>
      <c r="E31" s="18">
        <f t="shared" si="1"/>
        <v>983462.21278506005</v>
      </c>
      <c r="F31" s="22">
        <f t="shared" si="2"/>
        <v>5.4346939256468838</v>
      </c>
    </row>
    <row r="32" spans="1:6" ht="15.75" customHeight="1" thickBot="1" x14ac:dyDescent="0.25">
      <c r="A32" s="23">
        <v>29</v>
      </c>
      <c r="B32" s="181" t="s">
        <v>25</v>
      </c>
      <c r="C32" s="182"/>
      <c r="D32" s="24">
        <f t="shared" si="0"/>
        <v>49200</v>
      </c>
      <c r="E32" s="25">
        <f t="shared" si="1"/>
        <v>322606.41461662774</v>
      </c>
      <c r="F32" s="26">
        <f t="shared" si="2"/>
        <v>6.5570409474924336</v>
      </c>
    </row>
    <row r="33" spans="1:6" x14ac:dyDescent="0.2">
      <c r="B33" s="31" t="s">
        <v>35</v>
      </c>
      <c r="C33" s="31"/>
      <c r="D33" s="61">
        <f>SUM(D5:D32)</f>
        <v>3564160</v>
      </c>
      <c r="E33" s="32">
        <f>SUM(E5:E32)</f>
        <v>22531563.000000004</v>
      </c>
      <c r="F33" s="33">
        <f t="shared" si="2"/>
        <v>6.3217035711079195</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IF(F3="1",SUMIF(Data!A:A,'30'!$A$2,Data!CU:CU),0)</f>
        <v>66224</v>
      </c>
      <c r="E36" s="16">
        <f>IF(F3="1",SUMIF(Data!$A:$A,'30'!$A$2,Data!IO:IO),0)</f>
        <v>268421</v>
      </c>
      <c r="F36" s="21">
        <f t="shared" ref="F36:F64" si="3">IFERROR(E36/D36,"")</f>
        <v>4.0532284368204881</v>
      </c>
    </row>
    <row r="37" spans="1:6" x14ac:dyDescent="0.2">
      <c r="A37" s="20">
        <v>2</v>
      </c>
      <c r="B37" s="179" t="s">
        <v>1</v>
      </c>
      <c r="C37" s="180"/>
      <c r="D37" s="15">
        <f>IF(F3="1",SUMIF(Data!A:A,'30'!$A$2,Data!CV:CV),0)</f>
        <v>7172</v>
      </c>
      <c r="E37" s="18">
        <f>IF(F3="1",SUMIF(Data!$A:$A,'30'!$A$2,Data!IP:IP),0)</f>
        <v>40466</v>
      </c>
      <c r="F37" s="22">
        <f t="shared" si="3"/>
        <v>5.6422197434467369</v>
      </c>
    </row>
    <row r="38" spans="1:6" ht="14.25" customHeight="1" x14ac:dyDescent="0.2">
      <c r="A38" s="20">
        <v>3</v>
      </c>
      <c r="B38" s="179" t="s">
        <v>2</v>
      </c>
      <c r="C38" s="180"/>
      <c r="D38" s="15">
        <f>IF(F3="1",SUMIF(Data!A:A,'30'!$A$2,Data!CW:CW),0)</f>
        <v>343472</v>
      </c>
      <c r="E38" s="18">
        <f>IF(F3="1",SUMIF(Data!$A:$A,'30'!$A$2,Data!IQ:IQ),0)</f>
        <v>354263</v>
      </c>
      <c r="F38" s="22">
        <f t="shared" si="3"/>
        <v>1.0314174081147809</v>
      </c>
    </row>
    <row r="39" spans="1:6" ht="14.25" customHeight="1" x14ac:dyDescent="0.2">
      <c r="A39" s="20">
        <v>4</v>
      </c>
      <c r="B39" s="179" t="s">
        <v>3</v>
      </c>
      <c r="C39" s="180"/>
      <c r="D39" s="15">
        <f>IF(F3="1",SUMIF(Data!A:A,'30'!$A$2,Data!CX:CX),0)</f>
        <v>194287</v>
      </c>
      <c r="E39" s="18">
        <f>IF(F3="1",SUMIF(Data!$A:$A,'30'!$A$2,Data!IR:IR),0)</f>
        <v>147706</v>
      </c>
      <c r="F39" s="22">
        <f t="shared" si="3"/>
        <v>0.76024643954562066</v>
      </c>
    </row>
    <row r="40" spans="1:6" x14ac:dyDescent="0.2">
      <c r="A40" s="20">
        <v>5</v>
      </c>
      <c r="B40" s="179" t="s">
        <v>4</v>
      </c>
      <c r="C40" s="180"/>
      <c r="D40" s="15">
        <f>IF(F3="1",SUMIF(Data!A:A,'30'!$A$2,Data!CY:CY),0)</f>
        <v>0</v>
      </c>
      <c r="E40" s="18">
        <f>IF(F3="1",SUMIF(Data!$A:$A,'30'!$A$2,Data!IS:IS),0)</f>
        <v>0</v>
      </c>
      <c r="F40" s="22" t="str">
        <f t="shared" si="3"/>
        <v/>
      </c>
    </row>
    <row r="41" spans="1:6" x14ac:dyDescent="0.2">
      <c r="A41" s="20">
        <v>6</v>
      </c>
      <c r="B41" s="179" t="s">
        <v>5</v>
      </c>
      <c r="C41" s="180"/>
      <c r="D41" s="15">
        <f>IF(F3="1",SUMIF(Data!A:A,'30'!$A$2,Data!CZ:CZ),0)</f>
        <v>5312</v>
      </c>
      <c r="E41" s="18">
        <f>IF(F3="1",SUMIF(Data!$A:$A,'30'!$A$2,Data!IT:IT),0)</f>
        <v>2507</v>
      </c>
      <c r="F41" s="22">
        <f t="shared" si="3"/>
        <v>0.47195030120481929</v>
      </c>
    </row>
    <row r="42" spans="1:6" x14ac:dyDescent="0.2">
      <c r="A42" s="20">
        <v>7</v>
      </c>
      <c r="B42" s="179" t="s">
        <v>6</v>
      </c>
      <c r="C42" s="180"/>
      <c r="D42" s="15">
        <f>IF(F3="1",SUMIF(Data!A:A,'30'!$A$2,Data!DA:DA),0)</f>
        <v>32266</v>
      </c>
      <c r="E42" s="18">
        <f>IF(F3="1",SUMIF(Data!$A:$A,'30'!$A$2,Data!IU:IU),0)</f>
        <v>67804</v>
      </c>
      <c r="F42" s="22">
        <f t="shared" si="3"/>
        <v>2.1014070538647491</v>
      </c>
    </row>
    <row r="43" spans="1:6" x14ac:dyDescent="0.2">
      <c r="A43" s="20">
        <v>8</v>
      </c>
      <c r="B43" s="179" t="s">
        <v>7</v>
      </c>
      <c r="C43" s="180"/>
      <c r="D43" s="15">
        <f>IF(F3="1",SUMIF(Data!A:A,'30'!$A$2,Data!DB:DB),0)</f>
        <v>1540</v>
      </c>
      <c r="E43" s="18">
        <f>IF(F3="1",SUMIF(Data!$A:$A,'30'!$A$2,Data!IV:IV),0)</f>
        <v>583</v>
      </c>
      <c r="F43" s="22">
        <f t="shared" si="3"/>
        <v>0.37857142857142856</v>
      </c>
    </row>
    <row r="44" spans="1:6" x14ac:dyDescent="0.2">
      <c r="A44" s="20">
        <v>9</v>
      </c>
      <c r="B44" s="179" t="s">
        <v>8</v>
      </c>
      <c r="C44" s="180"/>
      <c r="D44" s="15">
        <f>IF(F3="1",SUMIF(Data!A:A,'30'!$A$2,Data!DC:DC),0)</f>
        <v>138800</v>
      </c>
      <c r="E44" s="18">
        <f>IF(F3="1",SUMIF(Data!$A:$A,'30'!$A$2,Data!IW:IW),0)</f>
        <v>173280</v>
      </c>
      <c r="F44" s="22">
        <f t="shared" si="3"/>
        <v>1.248414985590778</v>
      </c>
    </row>
    <row r="45" spans="1:6" x14ac:dyDescent="0.2">
      <c r="A45" s="20">
        <v>10</v>
      </c>
      <c r="B45" s="179" t="s">
        <v>9</v>
      </c>
      <c r="C45" s="180"/>
      <c r="D45" s="15">
        <f>IF(F3="1",SUMIF(Data!A:A,'30'!$A$2,Data!DD:DD),0)</f>
        <v>0</v>
      </c>
      <c r="E45" s="18">
        <f>IF(F3="1",SUMIF(Data!$A:$A,'30'!$A$2,Data!IX:IX),0)</f>
        <v>0</v>
      </c>
      <c r="F45" s="22" t="str">
        <f t="shared" si="3"/>
        <v/>
      </c>
    </row>
    <row r="46" spans="1:6" x14ac:dyDescent="0.2">
      <c r="A46" s="20">
        <v>11</v>
      </c>
      <c r="B46" s="179" t="s">
        <v>10</v>
      </c>
      <c r="C46" s="180"/>
      <c r="D46" s="15">
        <f>IF(F3="1",SUMIF(Data!A:A,'30'!$A$2,Data!DE:DE),0)</f>
        <v>32363</v>
      </c>
      <c r="E46" s="18">
        <f>IF(F3="1",SUMIF(Data!$A:$A,'30'!$A$2,Data!IY:IY),0)</f>
        <v>38184</v>
      </c>
      <c r="F46" s="22">
        <f t="shared" si="3"/>
        <v>1.1798658962395328</v>
      </c>
    </row>
    <row r="47" spans="1:6" ht="14.25" customHeight="1" x14ac:dyDescent="0.2">
      <c r="A47" s="20">
        <v>12</v>
      </c>
      <c r="B47" s="179" t="s">
        <v>11</v>
      </c>
      <c r="C47" s="180"/>
      <c r="D47" s="15">
        <f>IF(F3="1",SUMIF(Data!A:A,'30'!$A$2,Data!DF:DF),0)</f>
        <v>480592</v>
      </c>
      <c r="E47" s="18">
        <f>IF(F3="1",SUMIF(Data!$A:$A,'30'!$A$2,Data!IZ:IZ),0)</f>
        <v>501486</v>
      </c>
      <c r="F47" s="22">
        <f t="shared" si="3"/>
        <v>1.0434755468255819</v>
      </c>
    </row>
    <row r="48" spans="1:6" x14ac:dyDescent="0.2">
      <c r="A48" s="20">
        <v>13</v>
      </c>
      <c r="B48" s="179" t="s">
        <v>12</v>
      </c>
      <c r="C48" s="180"/>
      <c r="D48" s="15">
        <f>IF(F3="1",SUMIF(Data!A:A,'30'!$A$2,Data!DG:DG),0)</f>
        <v>81232</v>
      </c>
      <c r="E48" s="18">
        <f>IF(F3="1",SUMIF(Data!$A:$A,'30'!$A$2,Data!JA:JA),0)</f>
        <v>46052</v>
      </c>
      <c r="F48" s="22">
        <f t="shared" si="3"/>
        <v>0.56691944061453614</v>
      </c>
    </row>
    <row r="49" spans="1:6" ht="14.25" customHeight="1" x14ac:dyDescent="0.2">
      <c r="A49" s="20">
        <v>14</v>
      </c>
      <c r="B49" s="179" t="s">
        <v>804</v>
      </c>
      <c r="C49" s="180"/>
      <c r="D49" s="15">
        <f>IF(F3="1",SUMIF(Data!A:A,'30'!$A$2,Data!DH:DH),0)</f>
        <v>132686</v>
      </c>
      <c r="E49" s="18">
        <f>IF(F3="1",SUMIF(Data!$A:$A,'30'!$A$2,Data!JB:JB),0)</f>
        <v>277370</v>
      </c>
      <c r="F49" s="22">
        <f t="shared" si="3"/>
        <v>2.0904240085615666</v>
      </c>
    </row>
    <row r="50" spans="1:6" x14ac:dyDescent="0.2">
      <c r="A50" s="20">
        <v>15</v>
      </c>
      <c r="B50" s="179" t="s">
        <v>13</v>
      </c>
      <c r="C50" s="180"/>
      <c r="D50" s="15">
        <f>IF(F3="1",SUMIF(Data!A:A,'30'!$A$2,Data!DI:DI),0)</f>
        <v>0</v>
      </c>
      <c r="E50" s="18">
        <f>IF(F3="1",SUMIF(Data!$A:$A,'30'!$A$2,Data!JC:JC),0)</f>
        <v>0</v>
      </c>
      <c r="F50" s="22" t="str">
        <f t="shared" si="3"/>
        <v/>
      </c>
    </row>
    <row r="51" spans="1:6" x14ac:dyDescent="0.2">
      <c r="A51" s="20">
        <v>16</v>
      </c>
      <c r="B51" s="179" t="s">
        <v>14</v>
      </c>
      <c r="C51" s="180"/>
      <c r="D51" s="15">
        <f>IF(F3="1",SUMIF(Data!A:A,'30'!$A$2,Data!DJ:DJ),0)</f>
        <v>149216</v>
      </c>
      <c r="E51" s="18">
        <f>IF(F3="1",SUMIF(Data!$A:$A,'30'!$A$2,Data!JD:JD),0)</f>
        <v>397133</v>
      </c>
      <c r="F51" s="22">
        <f t="shared" si="3"/>
        <v>2.66146391807849</v>
      </c>
    </row>
    <row r="52" spans="1:6" x14ac:dyDescent="0.2">
      <c r="A52" s="20">
        <v>17</v>
      </c>
      <c r="B52" s="179" t="s">
        <v>15</v>
      </c>
      <c r="C52" s="180"/>
      <c r="D52" s="15">
        <f>IF(F3="1",SUMIF(Data!A:A,'30'!$A$2,Data!DK:DK),0)</f>
        <v>0</v>
      </c>
      <c r="E52" s="18">
        <f>IF(F3="1",SUMIF(Data!$A:$A,'30'!$A$2,Data!JE:JE),0)</f>
        <v>0</v>
      </c>
      <c r="F52" s="22" t="str">
        <f t="shared" si="3"/>
        <v/>
      </c>
    </row>
    <row r="53" spans="1:6" x14ac:dyDescent="0.2">
      <c r="A53" s="20">
        <v>18</v>
      </c>
      <c r="B53" s="179" t="s">
        <v>16</v>
      </c>
      <c r="C53" s="180"/>
      <c r="D53" s="15">
        <f>IF(F3="1",SUMIF(Data!A:A,'30'!$A$2,Data!DL:DL),0)</f>
        <v>255920</v>
      </c>
      <c r="E53" s="18">
        <f>IF(F3="1",SUMIF(Data!$A:$A,'30'!$A$2,Data!JF:JF),0)</f>
        <v>339222</v>
      </c>
      <c r="F53" s="22">
        <f t="shared" si="3"/>
        <v>1.3255001562988433</v>
      </c>
    </row>
    <row r="54" spans="1:6" x14ac:dyDescent="0.2">
      <c r="A54" s="20">
        <v>19</v>
      </c>
      <c r="B54" s="179" t="s">
        <v>17</v>
      </c>
      <c r="C54" s="180"/>
      <c r="D54" s="15">
        <f>IF(F3="1",SUMIF(Data!A:A,'30'!$A$2,Data!DM:DM),0)</f>
        <v>278752</v>
      </c>
      <c r="E54" s="18">
        <f>IF(F3="1",SUMIF(Data!$A:$A,'30'!$A$2,Data!JG:JG),0)</f>
        <v>188947</v>
      </c>
      <c r="F54" s="22">
        <f t="shared" si="3"/>
        <v>0.67783190793249914</v>
      </c>
    </row>
    <row r="55" spans="1:6" x14ac:dyDescent="0.2">
      <c r="A55" s="20">
        <v>20</v>
      </c>
      <c r="B55" s="179" t="s">
        <v>18</v>
      </c>
      <c r="C55" s="180"/>
      <c r="D55" s="15">
        <f>IF(F3="1",SUMIF(Data!A:A,'30'!$A$2,Data!DN:DN),0)</f>
        <v>0</v>
      </c>
      <c r="E55" s="18">
        <f>IF(F3="1",SUMIF(Data!$A:$A,'30'!$A$2,Data!JH:JH),0)</f>
        <v>0</v>
      </c>
      <c r="F55" s="22" t="str">
        <f t="shared" si="3"/>
        <v/>
      </c>
    </row>
    <row r="56" spans="1:6" ht="14.25" customHeight="1" x14ac:dyDescent="0.2">
      <c r="A56" s="20">
        <v>21</v>
      </c>
      <c r="B56" s="179" t="s">
        <v>801</v>
      </c>
      <c r="C56" s="180"/>
      <c r="D56" s="15">
        <f>IF(F3="1",SUMIF(Data!A:A,'30'!$A$2,Data!DO:DO),0)</f>
        <v>0</v>
      </c>
      <c r="E56" s="18">
        <f>IF(F3="1",SUMIF(Data!$A:$A,'30'!$A$2,Data!JI:JI),0)</f>
        <v>0</v>
      </c>
      <c r="F56" s="22" t="str">
        <f t="shared" si="3"/>
        <v/>
      </c>
    </row>
    <row r="57" spans="1:6" x14ac:dyDescent="0.2">
      <c r="A57" s="20">
        <v>22</v>
      </c>
      <c r="B57" s="179" t="s">
        <v>19</v>
      </c>
      <c r="C57" s="180"/>
      <c r="D57" s="15">
        <f>IF(F3="1",SUMIF(Data!A:A,'30'!$A$2,Data!DP:DP),0)</f>
        <v>3960</v>
      </c>
      <c r="E57" s="18">
        <f>IF(F3="1",SUMIF(Data!$A:$A,'30'!$A$2,Data!JJ:JJ),0)</f>
        <v>2326</v>
      </c>
      <c r="F57" s="22">
        <f t="shared" si="3"/>
        <v>0.58737373737373733</v>
      </c>
    </row>
    <row r="58" spans="1:6" x14ac:dyDescent="0.2">
      <c r="A58" s="20">
        <v>23</v>
      </c>
      <c r="B58" s="179" t="s">
        <v>20</v>
      </c>
      <c r="C58" s="180"/>
      <c r="D58" s="15">
        <f>IF(F3="1",SUMIF(Data!A:A,'30'!$A$2,Data!DQ:DQ),0)</f>
        <v>102384</v>
      </c>
      <c r="E58" s="18">
        <f>IF(F3="1",SUMIF(Data!$A:$A,'30'!$A$2,Data!JK:JK),0)</f>
        <v>110439</v>
      </c>
      <c r="F58" s="22">
        <f t="shared" si="3"/>
        <v>1.0786744022503516</v>
      </c>
    </row>
    <row r="59" spans="1:6" x14ac:dyDescent="0.2">
      <c r="A59" s="20">
        <v>24</v>
      </c>
      <c r="B59" s="179" t="s">
        <v>21</v>
      </c>
      <c r="C59" s="180"/>
      <c r="D59" s="15">
        <f>IF(F3="1",SUMIF(Data!A:A,'30'!$A$2,Data!DR:DR),0)</f>
        <v>32448</v>
      </c>
      <c r="E59" s="18">
        <f>IF(F3="1",SUMIF(Data!$A:$A,'30'!$A$2,Data!JL:JL),0)</f>
        <v>26276</v>
      </c>
      <c r="F59" s="22">
        <f t="shared" si="3"/>
        <v>0.80978796844181455</v>
      </c>
    </row>
    <row r="60" spans="1:6" x14ac:dyDescent="0.2">
      <c r="A60" s="20">
        <v>25</v>
      </c>
      <c r="B60" s="179" t="s">
        <v>22</v>
      </c>
      <c r="C60" s="180"/>
      <c r="D60" s="15">
        <f>IF(F3="1",SUMIF(Data!A:A,'30'!$A$2,Data!DS:DS),0)</f>
        <v>819712</v>
      </c>
      <c r="E60" s="18">
        <f>IF(F3="1",SUMIF(Data!$A:$A,'30'!$A$2,Data!JM:JM),0)</f>
        <v>468797</v>
      </c>
      <c r="F60" s="22">
        <f t="shared" si="3"/>
        <v>0.57190452256402247</v>
      </c>
    </row>
    <row r="61" spans="1:6" x14ac:dyDescent="0.2">
      <c r="A61" s="20">
        <v>26</v>
      </c>
      <c r="B61" s="179" t="s">
        <v>23</v>
      </c>
      <c r="C61" s="180"/>
      <c r="D61" s="15">
        <f>IF(F3="1",SUMIF(Data!A:A,'30'!$A$2,Data!DT:DT),0)</f>
        <v>175662</v>
      </c>
      <c r="E61" s="18">
        <f>IF(F3="1",SUMIF(Data!$A:$A,'30'!$A$2,Data!JN:JN),0)</f>
        <v>219714</v>
      </c>
      <c r="F61" s="22">
        <f t="shared" si="3"/>
        <v>1.2507770604911705</v>
      </c>
    </row>
    <row r="62" spans="1:6" x14ac:dyDescent="0.2">
      <c r="A62" s="20">
        <v>28</v>
      </c>
      <c r="B62" s="179" t="s">
        <v>24</v>
      </c>
      <c r="C62" s="180"/>
      <c r="D62" s="15">
        <f>IF(F3="1",SUMIF(Data!A:A,'30'!$A$2,Data!DV:DV),0)</f>
        <v>180960</v>
      </c>
      <c r="E62" s="18">
        <f>IF(F3="1",SUMIF(Data!$A:$A,'30'!$A$2,Data!JP:JP),0)</f>
        <v>114718</v>
      </c>
      <c r="F62" s="22">
        <f t="shared" si="3"/>
        <v>0.63394120247568519</v>
      </c>
    </row>
    <row r="63" spans="1:6" ht="15.75" customHeight="1" thickBot="1" x14ac:dyDescent="0.25">
      <c r="A63" s="23">
        <v>29</v>
      </c>
      <c r="B63" s="181" t="s">
        <v>25</v>
      </c>
      <c r="C63" s="182"/>
      <c r="D63" s="24">
        <f>IF(F3="1",SUMIF(Data!A:A,'30'!$A$2,Data!DW:DW),0)</f>
        <v>49200</v>
      </c>
      <c r="E63" s="25">
        <f>IF(F3="1",SUMIF(Data!$A:$A,'30'!$A$2,Data!JQ:JQ),0)</f>
        <v>36535</v>
      </c>
      <c r="F63" s="26">
        <f t="shared" si="3"/>
        <v>0.7425813008130081</v>
      </c>
    </row>
    <row r="64" spans="1:6" x14ac:dyDescent="0.2">
      <c r="B64" s="31" t="s">
        <v>35</v>
      </c>
      <c r="C64" s="31"/>
      <c r="D64" s="61">
        <f>SUM(D36:D63)</f>
        <v>3564160</v>
      </c>
      <c r="E64" s="32">
        <f>SUM(E36:E63)</f>
        <v>3822229</v>
      </c>
      <c r="F64" s="33">
        <f t="shared" si="3"/>
        <v>1.0724066820793678</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66224</v>
      </c>
      <c r="E67" s="16">
        <f>IF(F3="1",SUMIF(Data!A:A,'30'!$A$2,Data!DY:DY),0)</f>
        <v>235836</v>
      </c>
      <c r="F67" s="21">
        <f>IFERROR(E67/D67,"")</f>
        <v>3.5611862768784732</v>
      </c>
    </row>
    <row r="68" spans="1:6" x14ac:dyDescent="0.2">
      <c r="A68" s="20">
        <v>2</v>
      </c>
      <c r="B68" s="179" t="s">
        <v>1</v>
      </c>
      <c r="C68" s="180"/>
      <c r="D68" s="15">
        <f t="shared" ref="D68:D94" si="4">D37</f>
        <v>7172</v>
      </c>
      <c r="E68" s="18">
        <f>IF(F3="1",SUMIF(Data!A:A,'30'!$A$2,Data!DZ:DZ),0)</f>
        <v>107223</v>
      </c>
      <c r="F68" s="22">
        <f t="shared" ref="F68:F95" si="5">IFERROR(E68/D68,"")</f>
        <v>14.950223089793642</v>
      </c>
    </row>
    <row r="69" spans="1:6" ht="14.25" customHeight="1" x14ac:dyDescent="0.2">
      <c r="A69" s="20">
        <v>3</v>
      </c>
      <c r="B69" s="179" t="s">
        <v>2</v>
      </c>
      <c r="C69" s="180"/>
      <c r="D69" s="15">
        <f t="shared" si="4"/>
        <v>343472</v>
      </c>
      <c r="E69" s="18">
        <f>IF(F3="1",SUMIF(Data!A:A,'30'!$A$2,Data!EA:EA),0)</f>
        <v>834865</v>
      </c>
      <c r="F69" s="22">
        <f t="shared" si="5"/>
        <v>2.4306639260259932</v>
      </c>
    </row>
    <row r="70" spans="1:6" ht="14.25" customHeight="1" x14ac:dyDescent="0.2">
      <c r="A70" s="20">
        <v>4</v>
      </c>
      <c r="B70" s="179" t="s">
        <v>3</v>
      </c>
      <c r="C70" s="180"/>
      <c r="D70" s="15">
        <f t="shared" si="4"/>
        <v>194287</v>
      </c>
      <c r="E70" s="18">
        <f>IF(F3="1",SUMIF(Data!A:A,'30'!$A$2,Data!EB:EB),0)</f>
        <v>327576</v>
      </c>
      <c r="F70" s="22">
        <f t="shared" si="5"/>
        <v>1.6860417835470207</v>
      </c>
    </row>
    <row r="71" spans="1:6" x14ac:dyDescent="0.2">
      <c r="A71" s="20">
        <v>5</v>
      </c>
      <c r="B71" s="179" t="s">
        <v>4</v>
      </c>
      <c r="C71" s="180"/>
      <c r="D71" s="15">
        <f t="shared" si="4"/>
        <v>0</v>
      </c>
      <c r="E71" s="18">
        <f>IF(F3="1",SUMIF(Data!A:A,'30'!$A$2,Data!EC:EC),0)</f>
        <v>0</v>
      </c>
      <c r="F71" s="22" t="str">
        <f t="shared" si="5"/>
        <v/>
      </c>
    </row>
    <row r="72" spans="1:6" x14ac:dyDescent="0.2">
      <c r="A72" s="20">
        <v>6</v>
      </c>
      <c r="B72" s="179" t="s">
        <v>5</v>
      </c>
      <c r="C72" s="180"/>
      <c r="D72" s="15">
        <f t="shared" si="4"/>
        <v>5312</v>
      </c>
      <c r="E72" s="18">
        <f>IF(F3="1",SUMIF(Data!A:A,'30'!$A$2,Data!ED:ED),0)</f>
        <v>677</v>
      </c>
      <c r="F72" s="22">
        <f t="shared" si="5"/>
        <v>0.12744728915662651</v>
      </c>
    </row>
    <row r="73" spans="1:6" x14ac:dyDescent="0.2">
      <c r="A73" s="20">
        <v>7</v>
      </c>
      <c r="B73" s="179" t="s">
        <v>6</v>
      </c>
      <c r="C73" s="180"/>
      <c r="D73" s="15">
        <f t="shared" si="4"/>
        <v>32266</v>
      </c>
      <c r="E73" s="18">
        <f>IF(F3="1",SUMIF(Data!A:A,'30'!$A$2,Data!EE:EE),0)</f>
        <v>373055</v>
      </c>
      <c r="F73" s="22">
        <f t="shared" si="5"/>
        <v>11.561860782247567</v>
      </c>
    </row>
    <row r="74" spans="1:6" x14ac:dyDescent="0.2">
      <c r="A74" s="20">
        <v>8</v>
      </c>
      <c r="B74" s="179" t="s">
        <v>7</v>
      </c>
      <c r="C74" s="180"/>
      <c r="D74" s="15">
        <f t="shared" si="4"/>
        <v>1540</v>
      </c>
      <c r="E74" s="18">
        <f>IF(F3="1",SUMIF(Data!A:A,'30'!$A$2,Data!EF:EF),0)</f>
        <v>35</v>
      </c>
      <c r="F74" s="22">
        <f t="shared" si="5"/>
        <v>2.2727272727272728E-2</v>
      </c>
    </row>
    <row r="75" spans="1:6" x14ac:dyDescent="0.2">
      <c r="A75" s="20">
        <v>9</v>
      </c>
      <c r="B75" s="179" t="s">
        <v>8</v>
      </c>
      <c r="C75" s="180"/>
      <c r="D75" s="15">
        <f t="shared" si="4"/>
        <v>138800</v>
      </c>
      <c r="E75" s="18">
        <f>IF(F3="1",SUMIF(Data!A:A,'30'!$A$2,Data!EG:EG),0)</f>
        <v>359393</v>
      </c>
      <c r="F75" s="22">
        <f t="shared" si="5"/>
        <v>2.5892867435158502</v>
      </c>
    </row>
    <row r="76" spans="1:6" x14ac:dyDescent="0.2">
      <c r="A76" s="20">
        <v>10</v>
      </c>
      <c r="B76" s="179" t="s">
        <v>9</v>
      </c>
      <c r="C76" s="180"/>
      <c r="D76" s="15">
        <f t="shared" si="4"/>
        <v>0</v>
      </c>
      <c r="E76" s="18">
        <f>IF(F3="1",SUMIF(Data!A:A,'30'!$A$2,Data!EH:EH),0)</f>
        <v>0</v>
      </c>
      <c r="F76" s="22" t="str">
        <f t="shared" si="5"/>
        <v/>
      </c>
    </row>
    <row r="77" spans="1:6" x14ac:dyDescent="0.2">
      <c r="A77" s="20">
        <v>11</v>
      </c>
      <c r="B77" s="179" t="s">
        <v>10</v>
      </c>
      <c r="C77" s="180"/>
      <c r="D77" s="15">
        <f t="shared" si="4"/>
        <v>32363</v>
      </c>
      <c r="E77" s="18">
        <f>IF(F3="1",SUMIF(Data!A:A,'30'!$A$2,Data!EI:EI),0)</f>
        <v>39569</v>
      </c>
      <c r="F77" s="22">
        <f t="shared" si="5"/>
        <v>1.2226616815499181</v>
      </c>
    </row>
    <row r="78" spans="1:6" ht="14.25" customHeight="1" x14ac:dyDescent="0.2">
      <c r="A78" s="20">
        <v>12</v>
      </c>
      <c r="B78" s="179" t="s">
        <v>11</v>
      </c>
      <c r="C78" s="180"/>
      <c r="D78" s="15">
        <f t="shared" si="4"/>
        <v>480592</v>
      </c>
      <c r="E78" s="18">
        <f>IF(F3="1",SUMIF(Data!A:A,'30'!$A$2,Data!EJ:EJ),0)</f>
        <v>1478996</v>
      </c>
      <c r="F78" s="22">
        <f t="shared" si="5"/>
        <v>3.0774461497486434</v>
      </c>
    </row>
    <row r="79" spans="1:6" x14ac:dyDescent="0.2">
      <c r="A79" s="20">
        <v>13</v>
      </c>
      <c r="B79" s="179" t="s">
        <v>12</v>
      </c>
      <c r="C79" s="180"/>
      <c r="D79" s="15">
        <f t="shared" si="4"/>
        <v>81232</v>
      </c>
      <c r="E79" s="18">
        <f>IF(F3="1",SUMIF(Data!A:A,'30'!$A$2,Data!EK:EK),0)</f>
        <v>131285</v>
      </c>
      <c r="F79" s="22">
        <f t="shared" si="5"/>
        <v>1.6161734291904668</v>
      </c>
    </row>
    <row r="80" spans="1:6" ht="14.25" customHeight="1" x14ac:dyDescent="0.2">
      <c r="A80" s="20">
        <v>14</v>
      </c>
      <c r="B80" s="179" t="s">
        <v>804</v>
      </c>
      <c r="C80" s="180"/>
      <c r="D80" s="15">
        <f t="shared" si="4"/>
        <v>132686</v>
      </c>
      <c r="E80" s="18">
        <f>IF(F3="1",SUMIF(Data!A:A,'30'!$A$2,Data!EL:EL),0)</f>
        <v>709373</v>
      </c>
      <c r="F80" s="22">
        <f t="shared" si="5"/>
        <v>5.3462535610388437</v>
      </c>
    </row>
    <row r="81" spans="1:6" x14ac:dyDescent="0.2">
      <c r="A81" s="20">
        <v>15</v>
      </c>
      <c r="B81" s="179" t="s">
        <v>13</v>
      </c>
      <c r="C81" s="180"/>
      <c r="D81" s="15">
        <f t="shared" si="4"/>
        <v>0</v>
      </c>
      <c r="E81" s="18">
        <f>IF(F3="1",SUMIF(Data!A:A,'30'!$A$2,Data!EM:EM),0)</f>
        <v>0</v>
      </c>
      <c r="F81" s="22" t="str">
        <f t="shared" si="5"/>
        <v/>
      </c>
    </row>
    <row r="82" spans="1:6" x14ac:dyDescent="0.2">
      <c r="A82" s="20">
        <v>16</v>
      </c>
      <c r="B82" s="179" t="s">
        <v>14</v>
      </c>
      <c r="C82" s="180"/>
      <c r="D82" s="15">
        <f t="shared" si="4"/>
        <v>149216</v>
      </c>
      <c r="E82" s="18">
        <f>IF(F3="1",SUMIF(Data!A:A,'30'!$A$2,Data!EN:EN),0)</f>
        <v>633560</v>
      </c>
      <c r="F82" s="22">
        <f t="shared" si="5"/>
        <v>4.2459253699335191</v>
      </c>
    </row>
    <row r="83" spans="1:6" x14ac:dyDescent="0.2">
      <c r="A83" s="20">
        <v>17</v>
      </c>
      <c r="B83" s="179" t="s">
        <v>15</v>
      </c>
      <c r="C83" s="180"/>
      <c r="D83" s="15">
        <f t="shared" si="4"/>
        <v>0</v>
      </c>
      <c r="E83" s="18">
        <f>IF(F3="1",SUMIF(Data!A:A,'30'!$A$2,Data!EO:EO),0)</f>
        <v>0</v>
      </c>
      <c r="F83" s="22" t="str">
        <f t="shared" si="5"/>
        <v/>
      </c>
    </row>
    <row r="84" spans="1:6" x14ac:dyDescent="0.2">
      <c r="A84" s="20">
        <v>18</v>
      </c>
      <c r="B84" s="179" t="s">
        <v>16</v>
      </c>
      <c r="C84" s="180"/>
      <c r="D84" s="15">
        <f t="shared" si="4"/>
        <v>255920</v>
      </c>
      <c r="E84" s="18">
        <f>IF(F3="1",SUMIF(Data!A:A,'30'!$A$2,Data!EP:EP),0)</f>
        <v>897381</v>
      </c>
      <c r="F84" s="22">
        <f t="shared" si="5"/>
        <v>3.5064903094717099</v>
      </c>
    </row>
    <row r="85" spans="1:6" x14ac:dyDescent="0.2">
      <c r="A85" s="20">
        <v>19</v>
      </c>
      <c r="B85" s="179" t="s">
        <v>17</v>
      </c>
      <c r="C85" s="180"/>
      <c r="D85" s="15">
        <f t="shared" si="4"/>
        <v>278752</v>
      </c>
      <c r="E85" s="18">
        <f>IF(F3="1",SUMIF(Data!A:A,'30'!$A$2,Data!EQ:EQ),0)</f>
        <v>614540</v>
      </c>
      <c r="F85" s="22">
        <f t="shared" si="5"/>
        <v>2.2046119848467454</v>
      </c>
    </row>
    <row r="86" spans="1:6" x14ac:dyDescent="0.2">
      <c r="A86" s="20">
        <v>20</v>
      </c>
      <c r="B86" s="179" t="s">
        <v>18</v>
      </c>
      <c r="C86" s="180"/>
      <c r="D86" s="15">
        <f t="shared" si="4"/>
        <v>0</v>
      </c>
      <c r="E86" s="18">
        <f>IF(F3="1",SUMIF(Data!A:A,'30'!$A$2,Data!ER:ER),0)</f>
        <v>0</v>
      </c>
      <c r="F86" s="22" t="str">
        <f t="shared" si="5"/>
        <v/>
      </c>
    </row>
    <row r="87" spans="1:6" ht="14.25" customHeight="1" x14ac:dyDescent="0.2">
      <c r="A87" s="20">
        <v>21</v>
      </c>
      <c r="B87" s="179" t="s">
        <v>801</v>
      </c>
      <c r="C87" s="180"/>
      <c r="D87" s="15">
        <f t="shared" si="4"/>
        <v>0</v>
      </c>
      <c r="E87" s="18">
        <f>IF(F3="1",SUMIF(Data!A:A,'30'!$A$2,Data!ES:ES),0)</f>
        <v>0</v>
      </c>
      <c r="F87" s="22" t="str">
        <f t="shared" si="5"/>
        <v/>
      </c>
    </row>
    <row r="88" spans="1:6" x14ac:dyDescent="0.2">
      <c r="A88" s="20">
        <v>22</v>
      </c>
      <c r="B88" s="179" t="s">
        <v>19</v>
      </c>
      <c r="C88" s="180"/>
      <c r="D88" s="15">
        <f t="shared" si="4"/>
        <v>3960</v>
      </c>
      <c r="E88" s="18">
        <f>IF(F3="1",SUMIF(Data!A:A,'30'!$A$2,Data!ET:ET),0)</f>
        <v>3662</v>
      </c>
      <c r="F88" s="22">
        <f t="shared" si="5"/>
        <v>0.92474747474747476</v>
      </c>
    </row>
    <row r="89" spans="1:6" x14ac:dyDescent="0.2">
      <c r="A89" s="20">
        <v>23</v>
      </c>
      <c r="B89" s="179" t="s">
        <v>20</v>
      </c>
      <c r="C89" s="180"/>
      <c r="D89" s="15">
        <f t="shared" si="4"/>
        <v>102384</v>
      </c>
      <c r="E89" s="18">
        <f>IF(F3="1",SUMIF(Data!A:A,'30'!$A$2,Data!EU:EU),0)</f>
        <v>319008</v>
      </c>
      <c r="F89" s="22">
        <f t="shared" si="5"/>
        <v>3.1157993436474447</v>
      </c>
    </row>
    <row r="90" spans="1:6" x14ac:dyDescent="0.2">
      <c r="A90" s="20">
        <v>24</v>
      </c>
      <c r="B90" s="179" t="s">
        <v>21</v>
      </c>
      <c r="C90" s="180"/>
      <c r="D90" s="15">
        <f t="shared" si="4"/>
        <v>32448</v>
      </c>
      <c r="E90" s="18">
        <f>IF(F3="1",SUMIF(Data!A:A,'30'!$A$2,Data!EV:EV),0)</f>
        <v>123322</v>
      </c>
      <c r="F90" s="22">
        <f t="shared" si="5"/>
        <v>3.800604043392505</v>
      </c>
    </row>
    <row r="91" spans="1:6" x14ac:dyDescent="0.2">
      <c r="A91" s="20">
        <v>25</v>
      </c>
      <c r="B91" s="179" t="s">
        <v>22</v>
      </c>
      <c r="C91" s="180"/>
      <c r="D91" s="15">
        <f t="shared" si="4"/>
        <v>819712</v>
      </c>
      <c r="E91" s="18">
        <f>IF(F3="1",SUMIF(Data!A:A,'30'!$A$2,Data!EW:EW),0)</f>
        <v>1896660</v>
      </c>
      <c r="F91" s="22">
        <f t="shared" si="5"/>
        <v>2.3138126561524048</v>
      </c>
    </row>
    <row r="92" spans="1:6" x14ac:dyDescent="0.2">
      <c r="A92" s="20">
        <v>26</v>
      </c>
      <c r="B92" s="179" t="s">
        <v>23</v>
      </c>
      <c r="C92" s="180"/>
      <c r="D92" s="15">
        <f t="shared" si="4"/>
        <v>175662</v>
      </c>
      <c r="E92" s="18">
        <f>IF(F3="1",SUMIF(Data!A:A,'30'!$A$2,Data!EX:EX),0)</f>
        <v>514377</v>
      </c>
      <c r="F92" s="22">
        <f t="shared" si="5"/>
        <v>2.9282201045189056</v>
      </c>
    </row>
    <row r="93" spans="1:6" x14ac:dyDescent="0.2">
      <c r="A93" s="20">
        <v>28</v>
      </c>
      <c r="B93" s="179" t="s">
        <v>24</v>
      </c>
      <c r="C93" s="180"/>
      <c r="D93" s="15">
        <f t="shared" si="4"/>
        <v>180960</v>
      </c>
      <c r="E93" s="18">
        <f>IF(F3="1",SUMIF(Data!A:A,'30'!$A$2,Data!EZ:EZ),0)</f>
        <v>437017</v>
      </c>
      <c r="F93" s="22">
        <f t="shared" si="5"/>
        <v>2.4149922634836427</v>
      </c>
    </row>
    <row r="94" spans="1:6" ht="15.75" customHeight="1" thickBot="1" x14ac:dyDescent="0.25">
      <c r="A94" s="23">
        <v>29</v>
      </c>
      <c r="B94" s="181" t="s">
        <v>25</v>
      </c>
      <c r="C94" s="182"/>
      <c r="D94" s="24">
        <f t="shared" si="4"/>
        <v>49200</v>
      </c>
      <c r="E94" s="25">
        <f>IF(F3="1",SUMIF(Data!A:A,'30'!$A$2,Data!FA:FA),0)</f>
        <v>168692</v>
      </c>
      <c r="F94" s="26">
        <f t="shared" si="5"/>
        <v>3.4286991869918699</v>
      </c>
    </row>
    <row r="95" spans="1:6" x14ac:dyDescent="0.2">
      <c r="B95" s="31" t="s">
        <v>35</v>
      </c>
      <c r="C95" s="31"/>
      <c r="D95" s="61">
        <f>SUM(D67:D94)</f>
        <v>3564160</v>
      </c>
      <c r="E95" s="32">
        <f>SUM(E67:E94)</f>
        <v>10206102</v>
      </c>
      <c r="F95" s="33">
        <f t="shared" si="5"/>
        <v>2.8635364293409946</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IF(F3="1",SUMIF(Data!A:A,'30'!$A$2,Data!AH:AH),0)</f>
        <v>3765083</v>
      </c>
      <c r="F98" s="21">
        <f t="shared" ref="F98:F105" si="6">IFERROR(E98/$D$95,0)</f>
        <v>1.0563731706769617</v>
      </c>
    </row>
    <row r="99" spans="2:6" x14ac:dyDescent="0.2">
      <c r="B99" s="185" t="s">
        <v>31</v>
      </c>
      <c r="C99" s="186"/>
      <c r="D99" s="37"/>
      <c r="E99" s="18">
        <f>IF(F3="1",SUMIF(Data!A:A,'30'!$A$2,Data!AI:AI),0)</f>
        <v>1588443</v>
      </c>
      <c r="F99" s="22">
        <f t="shared" si="6"/>
        <v>0.44567106976117793</v>
      </c>
    </row>
    <row r="100" spans="2:6" x14ac:dyDescent="0.2">
      <c r="B100" s="185" t="s">
        <v>32</v>
      </c>
      <c r="C100" s="186"/>
      <c r="D100" s="37"/>
      <c r="E100" s="18">
        <f>IF(F3="1",SUMIF(Data!A:A,'30'!$A$2,Data!AJ:AJ),0)</f>
        <v>2181286</v>
      </c>
      <c r="F100" s="22">
        <f t="shared" si="6"/>
        <v>0.61200563386604412</v>
      </c>
    </row>
    <row r="101" spans="2:6" x14ac:dyDescent="0.2">
      <c r="B101" s="185" t="s">
        <v>28</v>
      </c>
      <c r="C101" s="186"/>
      <c r="D101" s="37"/>
      <c r="E101" s="18">
        <f>IF(F3="1",SUMIF(Data!A:A,'30'!$A$2,Data!AK:AK),0)</f>
        <v>147220</v>
      </c>
      <c r="F101" s="22">
        <f t="shared" si="6"/>
        <v>4.1305665289998204E-2</v>
      </c>
    </row>
    <row r="102" spans="2:6" x14ac:dyDescent="0.2">
      <c r="B102" s="185" t="s">
        <v>33</v>
      </c>
      <c r="C102" s="186"/>
      <c r="D102" s="37"/>
      <c r="E102" s="18">
        <f>IF(F3="1",SUMIF(Data!A:A,'30'!$A$2,Data!AL:AL),0)</f>
        <v>0</v>
      </c>
      <c r="F102" s="22">
        <f t="shared" si="6"/>
        <v>0</v>
      </c>
    </row>
    <row r="103" spans="2:6" x14ac:dyDescent="0.2">
      <c r="B103" s="187" t="s">
        <v>34</v>
      </c>
      <c r="C103" s="188"/>
      <c r="D103" s="37"/>
      <c r="E103" s="18">
        <f>IF(F3="1",SUMIF(Data!A:A,'30'!$A$2,Data!AM:AM),0)</f>
        <v>404002</v>
      </c>
      <c r="F103" s="22">
        <f t="shared" si="6"/>
        <v>0.11335125246902496</v>
      </c>
    </row>
    <row r="104" spans="2:6" ht="15.75" customHeight="1" thickBot="1" x14ac:dyDescent="0.25">
      <c r="B104" s="177" t="s">
        <v>29</v>
      </c>
      <c r="C104" s="178"/>
      <c r="D104" s="38"/>
      <c r="E104" s="25">
        <f>IF(F3="1",SUMIF(Data!A:A,'30'!$A$2,Data!Q:Q),0)</f>
        <v>417198</v>
      </c>
      <c r="F104" s="26">
        <f t="shared" si="6"/>
        <v>0.11705366762434907</v>
      </c>
    </row>
    <row r="105" spans="2:6" x14ac:dyDescent="0.2">
      <c r="B105" s="31" t="s">
        <v>35</v>
      </c>
      <c r="C105" s="31"/>
      <c r="D105" s="35">
        <f>D95</f>
        <v>3564160</v>
      </c>
      <c r="E105" s="32">
        <f>SUM(E98:E104)</f>
        <v>8503232</v>
      </c>
      <c r="F105" s="33">
        <f t="shared" si="6"/>
        <v>2.3857604596875559</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10870532</v>
      </c>
      <c r="D109" s="16">
        <f>IF(F3="1",SUMIF(Data!$A:$A,$A$2,Data!HJ:HJ),0)</f>
        <v>862510</v>
      </c>
      <c r="E109" s="16">
        <f>IF(F3="1",SUMIF(Data!$A:$A,$A$2,Data!IN:IN),0)</f>
        <v>2295286</v>
      </c>
      <c r="F109" s="48">
        <f>SUM(C109:E109)</f>
        <v>14028328</v>
      </c>
    </row>
    <row r="110" spans="2:6" x14ac:dyDescent="0.2">
      <c r="B110" s="43" t="s">
        <v>28</v>
      </c>
      <c r="C110" s="51">
        <f>IF(F3="1",SUMIF(Data!A:A,$A$2,Data!W:W),0)</f>
        <v>70317</v>
      </c>
      <c r="D110" s="52"/>
      <c r="E110" s="51">
        <f>IF(F3="1",SUMIF(Data!A:A,$A$2,Data!W:W),0)</f>
        <v>70317</v>
      </c>
      <c r="F110" s="49">
        <f t="shared" ref="F110:F116" si="7">SUM(C110:E110)</f>
        <v>140634</v>
      </c>
    </row>
    <row r="111" spans="2:6" x14ac:dyDescent="0.2">
      <c r="B111" s="43" t="s">
        <v>1277</v>
      </c>
      <c r="C111" s="51">
        <f>IF(F3="1",SUMIF(Data!A:A,$A$2,Data!AS:AS),0)</f>
        <v>304483</v>
      </c>
      <c r="D111" s="52"/>
      <c r="E111" s="51">
        <f>IF(F3="1",SUMIF(Data!A:A,$A$2,Data!AX:AX),0)</f>
        <v>148298</v>
      </c>
      <c r="F111" s="49">
        <f t="shared" si="7"/>
        <v>452781</v>
      </c>
    </row>
    <row r="112" spans="2:6" x14ac:dyDescent="0.2">
      <c r="B112" s="43" t="s">
        <v>32</v>
      </c>
      <c r="C112" s="51">
        <f>IF(F3="1",SUMIF(Data!A:A,$A$2,Data!V:V),0)</f>
        <v>1832002</v>
      </c>
      <c r="D112" s="52"/>
      <c r="E112" s="51">
        <f>IF(F3="1",SUMIF(Data!A:A,$A$2,Data!AC:AC),0)</f>
        <v>349284</v>
      </c>
      <c r="F112" s="49">
        <f t="shared" si="7"/>
        <v>2181286</v>
      </c>
    </row>
    <row r="113" spans="1:6" x14ac:dyDescent="0.2">
      <c r="B113" s="43" t="s">
        <v>31</v>
      </c>
      <c r="C113" s="51">
        <f>IF(F3="1",SUMIF(Data!A:A,$A$2,Data!U:U),0)</f>
        <v>1372314</v>
      </c>
      <c r="D113" s="52"/>
      <c r="E113" s="51">
        <f>IF(F3="1",SUMIF(Data!A:A,$A$2,Data!AB:AB),0)</f>
        <v>216129</v>
      </c>
      <c r="F113" s="49">
        <f t="shared" si="7"/>
        <v>1588443</v>
      </c>
    </row>
    <row r="114" spans="1:6" x14ac:dyDescent="0.2">
      <c r="B114" s="43" t="s">
        <v>1363</v>
      </c>
      <c r="C114" s="51">
        <f>IF(F3="1",SUMIF(Data!A:A,$A$2,Data!T:T),0)</f>
        <v>1678978</v>
      </c>
      <c r="D114" s="52"/>
      <c r="E114" s="51">
        <f>IF(F3="1",SUMIF(Data!A:A,$A$2,Data!AA:AA),0)</f>
        <v>2086105</v>
      </c>
      <c r="F114" s="49">
        <f t="shared" si="7"/>
        <v>3765083</v>
      </c>
    </row>
    <row r="115" spans="1:6" x14ac:dyDescent="0.2">
      <c r="B115" s="43" t="s">
        <v>1278</v>
      </c>
      <c r="C115" s="51">
        <f>IF(F3="1",SUMIF(Data!A:A,$A$2,Data!BI:BI),0)</f>
        <v>434371</v>
      </c>
      <c r="D115" s="51">
        <f>IF(F3="1",SUMIF(Data!A:A,$A$2,Data!BL:BL),0)</f>
        <v>105884</v>
      </c>
      <c r="E115" s="51">
        <f>IF(F3="1",SUMIF(Data!A:A,$A$2,Data!BU:BU),0)</f>
        <v>4307335</v>
      </c>
      <c r="F115" s="49">
        <f t="shared" si="7"/>
        <v>4847590</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417198</v>
      </c>
      <c r="E117" s="53"/>
      <c r="F117" s="50">
        <f>SUM(C117:E117)</f>
        <v>417198</v>
      </c>
    </row>
    <row r="118" spans="1:6" x14ac:dyDescent="0.2">
      <c r="B118" s="14" t="s">
        <v>35</v>
      </c>
      <c r="C118" s="5">
        <f>SUM(C109:C116)</f>
        <v>16562997</v>
      </c>
      <c r="D118" s="5">
        <f>SUM(D109:D116)</f>
        <v>968394</v>
      </c>
      <c r="E118" s="5">
        <f>SUM(E109:E116)</f>
        <v>9472754</v>
      </c>
      <c r="F118" s="5">
        <f>SUM(F109:F116)</f>
        <v>27004145</v>
      </c>
    </row>
    <row r="119" spans="1:6" ht="15" thickBot="1" x14ac:dyDescent="0.25"/>
    <row r="120" spans="1:6" ht="15" thickBot="1" x14ac:dyDescent="0.25">
      <c r="B120" s="57" t="s">
        <v>1283</v>
      </c>
      <c r="C120" s="55"/>
      <c r="D120" s="55"/>
      <c r="E120" s="55">
        <f>IF(F3="1",SUMIF(Data!A:A,'30'!$A$2,Data!AM:AM),0)</f>
        <v>404002</v>
      </c>
      <c r="F120" s="56">
        <f>SUM(C120:E120)</f>
        <v>404002</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734</v>
      </c>
      <c r="B2" s="60" t="str">
        <f>VLOOKUP(A2,Data!A:G,7,0)</f>
        <v>Northeast Texas Community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17376</v>
      </c>
      <c r="E5" s="16">
        <f>E36+E67+IFERROR($E$105/$D$105*D5,0)</f>
        <v>341944.90555963427</v>
      </c>
      <c r="F5" s="21">
        <f>IFERROR(E5/D5,"")</f>
        <v>19.679149721433831</v>
      </c>
    </row>
    <row r="6" spans="1:6" x14ac:dyDescent="0.2">
      <c r="A6" s="20">
        <v>2</v>
      </c>
      <c r="B6" s="179" t="s">
        <v>1</v>
      </c>
      <c r="C6" s="180"/>
      <c r="D6" s="15">
        <f t="shared" ref="D6:D32" si="0">D37</f>
        <v>48688</v>
      </c>
      <c r="E6" s="18">
        <f t="shared" ref="E6:E32" si="1">E37+E68+IFERROR($E$105/$D$105*D6,0)</f>
        <v>317524.38454693102</v>
      </c>
      <c r="F6" s="22">
        <f t="shared" ref="F6:F33" si="2">IFERROR(E6/D6,"")</f>
        <v>6.5216148649961188</v>
      </c>
    </row>
    <row r="7" spans="1:6" ht="14.25" customHeight="1" x14ac:dyDescent="0.2">
      <c r="A7" s="20">
        <v>3</v>
      </c>
      <c r="B7" s="179" t="s">
        <v>2</v>
      </c>
      <c r="C7" s="180"/>
      <c r="D7" s="15">
        <f t="shared" si="0"/>
        <v>166864</v>
      </c>
      <c r="E7" s="18">
        <f t="shared" si="1"/>
        <v>1294014.2781596922</v>
      </c>
      <c r="F7" s="22">
        <f t="shared" si="2"/>
        <v>7.7549038627846159</v>
      </c>
    </row>
    <row r="8" spans="1:6" ht="14.25" customHeight="1" x14ac:dyDescent="0.2">
      <c r="A8" s="20">
        <v>4</v>
      </c>
      <c r="B8" s="179" t="s">
        <v>3</v>
      </c>
      <c r="C8" s="180"/>
      <c r="D8" s="15">
        <f t="shared" si="0"/>
        <v>80422</v>
      </c>
      <c r="E8" s="18">
        <f t="shared" si="1"/>
        <v>611505.22346437071</v>
      </c>
      <c r="F8" s="22">
        <f t="shared" si="2"/>
        <v>7.6037057454971366</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2512</v>
      </c>
      <c r="E10" s="18">
        <f t="shared" si="1"/>
        <v>35689.768114974751</v>
      </c>
      <c r="F10" s="22">
        <f t="shared" si="2"/>
        <v>14.207710236853005</v>
      </c>
    </row>
    <row r="11" spans="1:6" x14ac:dyDescent="0.2">
      <c r="A11" s="20">
        <v>7</v>
      </c>
      <c r="B11" s="179" t="s">
        <v>6</v>
      </c>
      <c r="C11" s="180"/>
      <c r="D11" s="15">
        <f t="shared" si="0"/>
        <v>20426</v>
      </c>
      <c r="E11" s="18">
        <f t="shared" si="1"/>
        <v>261169.10410687668</v>
      </c>
      <c r="F11" s="22">
        <f t="shared" si="2"/>
        <v>12.786111040187834</v>
      </c>
    </row>
    <row r="12" spans="1:6" x14ac:dyDescent="0.2">
      <c r="A12" s="20">
        <v>8</v>
      </c>
      <c r="B12" s="179" t="s">
        <v>7</v>
      </c>
      <c r="C12" s="180"/>
      <c r="D12" s="15">
        <f t="shared" si="0"/>
        <v>13196</v>
      </c>
      <c r="E12" s="18">
        <f t="shared" si="1"/>
        <v>82056.089189970866</v>
      </c>
      <c r="F12" s="22">
        <f t="shared" si="2"/>
        <v>6.2182547127895473</v>
      </c>
    </row>
    <row r="13" spans="1:6" x14ac:dyDescent="0.2">
      <c r="A13" s="20">
        <v>9</v>
      </c>
      <c r="B13" s="179" t="s">
        <v>8</v>
      </c>
      <c r="C13" s="180"/>
      <c r="D13" s="15">
        <f t="shared" si="0"/>
        <v>93536</v>
      </c>
      <c r="E13" s="18">
        <f t="shared" si="1"/>
        <v>563836.60764421895</v>
      </c>
      <c r="F13" s="22">
        <f t="shared" si="2"/>
        <v>6.0280171019096276</v>
      </c>
    </row>
    <row r="14" spans="1:6" x14ac:dyDescent="0.2">
      <c r="A14" s="20">
        <v>10</v>
      </c>
      <c r="B14" s="179" t="s">
        <v>9</v>
      </c>
      <c r="C14" s="180"/>
      <c r="D14" s="15">
        <f t="shared" si="0"/>
        <v>224</v>
      </c>
      <c r="E14" s="18">
        <f t="shared" si="1"/>
        <v>1770.5844178958375</v>
      </c>
      <c r="F14" s="22">
        <f t="shared" si="2"/>
        <v>7.9043947227492746</v>
      </c>
    </row>
    <row r="15" spans="1:6" x14ac:dyDescent="0.2">
      <c r="A15" s="20">
        <v>11</v>
      </c>
      <c r="B15" s="179" t="s">
        <v>10</v>
      </c>
      <c r="C15" s="180"/>
      <c r="D15" s="15">
        <f t="shared" si="0"/>
        <v>10542</v>
      </c>
      <c r="E15" s="18">
        <f t="shared" si="1"/>
        <v>69103.441667222854</v>
      </c>
      <c r="F15" s="22">
        <f t="shared" si="2"/>
        <v>6.5550599191067018</v>
      </c>
    </row>
    <row r="16" spans="1:6" ht="14.25" customHeight="1" x14ac:dyDescent="0.2">
      <c r="A16" s="20">
        <v>12</v>
      </c>
      <c r="B16" s="179" t="s">
        <v>11</v>
      </c>
      <c r="C16" s="180"/>
      <c r="D16" s="15">
        <f t="shared" si="0"/>
        <v>162384</v>
      </c>
      <c r="E16" s="18">
        <f t="shared" si="1"/>
        <v>1054228.5898017753</v>
      </c>
      <c r="F16" s="22">
        <f t="shared" si="2"/>
        <v>6.4921949810435464</v>
      </c>
    </row>
    <row r="17" spans="1:6" x14ac:dyDescent="0.2">
      <c r="A17" s="20">
        <v>13</v>
      </c>
      <c r="B17" s="179" t="s">
        <v>12</v>
      </c>
      <c r="C17" s="180"/>
      <c r="D17" s="15">
        <f t="shared" si="0"/>
        <v>14416</v>
      </c>
      <c r="E17" s="18">
        <f t="shared" si="1"/>
        <v>123810.96860886783</v>
      </c>
      <c r="F17" s="22">
        <f t="shared" si="2"/>
        <v>8.5884412187061479</v>
      </c>
    </row>
    <row r="18" spans="1:6" ht="14.25" customHeight="1" x14ac:dyDescent="0.2">
      <c r="A18" s="20">
        <v>14</v>
      </c>
      <c r="B18" s="179" t="s">
        <v>804</v>
      </c>
      <c r="C18" s="180"/>
      <c r="D18" s="15">
        <f t="shared" si="0"/>
        <v>56667</v>
      </c>
      <c r="E18" s="18">
        <f t="shared" si="1"/>
        <v>600779.50986117602</v>
      </c>
      <c r="F18" s="22">
        <f t="shared" si="2"/>
        <v>10.601928986203188</v>
      </c>
    </row>
    <row r="19" spans="1:6" x14ac:dyDescent="0.2">
      <c r="A19" s="20">
        <v>15</v>
      </c>
      <c r="B19" s="179" t="s">
        <v>13</v>
      </c>
      <c r="C19" s="180"/>
      <c r="D19" s="15">
        <f t="shared" si="0"/>
        <v>24416</v>
      </c>
      <c r="E19" s="18">
        <f t="shared" si="1"/>
        <v>389384.70155064628</v>
      </c>
      <c r="F19" s="22">
        <f t="shared" si="2"/>
        <v>15.947931747650978</v>
      </c>
    </row>
    <row r="20" spans="1:6" x14ac:dyDescent="0.2">
      <c r="A20" s="20">
        <v>16</v>
      </c>
      <c r="B20" s="179" t="s">
        <v>14</v>
      </c>
      <c r="C20" s="180"/>
      <c r="D20" s="15">
        <f t="shared" si="0"/>
        <v>95455</v>
      </c>
      <c r="E20" s="18">
        <f t="shared" si="1"/>
        <v>857576.11879574624</v>
      </c>
      <c r="F20" s="22">
        <f t="shared" si="2"/>
        <v>8.9840879869650223</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23264</v>
      </c>
      <c r="E22" s="18">
        <f t="shared" si="1"/>
        <v>272609.5531157534</v>
      </c>
      <c r="F22" s="22">
        <f t="shared" si="2"/>
        <v>11.718086017699166</v>
      </c>
    </row>
    <row r="23" spans="1:6" x14ac:dyDescent="0.2">
      <c r="A23" s="20">
        <v>19</v>
      </c>
      <c r="B23" s="179" t="s">
        <v>17</v>
      </c>
      <c r="C23" s="180"/>
      <c r="D23" s="15">
        <f t="shared" si="0"/>
        <v>88720</v>
      </c>
      <c r="E23" s="18">
        <f t="shared" si="1"/>
        <v>726339.54265945847</v>
      </c>
      <c r="F23" s="22">
        <f t="shared" si="2"/>
        <v>8.1868749172617044</v>
      </c>
    </row>
    <row r="24" spans="1:6" x14ac:dyDescent="0.2">
      <c r="A24" s="20">
        <v>20</v>
      </c>
      <c r="B24" s="179" t="s">
        <v>18</v>
      </c>
      <c r="C24" s="180"/>
      <c r="D24" s="15">
        <f t="shared" si="0"/>
        <v>43616</v>
      </c>
      <c r="E24" s="18">
        <f t="shared" si="1"/>
        <v>492224.50879886094</v>
      </c>
      <c r="F24" s="22">
        <f t="shared" si="2"/>
        <v>11.285411518682615</v>
      </c>
    </row>
    <row r="25" spans="1:6" ht="14.25" customHeight="1" x14ac:dyDescent="0.2">
      <c r="A25" s="20">
        <v>21</v>
      </c>
      <c r="B25" s="179" t="s">
        <v>801</v>
      </c>
      <c r="C25" s="180"/>
      <c r="D25" s="15">
        <f t="shared" si="0"/>
        <v>0</v>
      </c>
      <c r="E25" s="18">
        <f t="shared" si="1"/>
        <v>0</v>
      </c>
      <c r="F25" s="22" t="str">
        <f t="shared" si="2"/>
        <v/>
      </c>
    </row>
    <row r="26" spans="1:6" x14ac:dyDescent="0.2">
      <c r="A26" s="20">
        <v>22</v>
      </c>
      <c r="B26" s="179" t="s">
        <v>19</v>
      </c>
      <c r="C26" s="180"/>
      <c r="D26" s="15">
        <f t="shared" si="0"/>
        <v>768</v>
      </c>
      <c r="E26" s="18">
        <f t="shared" si="1"/>
        <v>8555.4322899285853</v>
      </c>
      <c r="F26" s="22">
        <f t="shared" si="2"/>
        <v>11.139885794177845</v>
      </c>
    </row>
    <row r="27" spans="1:6" x14ac:dyDescent="0.2">
      <c r="A27" s="20">
        <v>23</v>
      </c>
      <c r="B27" s="179" t="s">
        <v>20</v>
      </c>
      <c r="C27" s="180"/>
      <c r="D27" s="15">
        <f t="shared" si="0"/>
        <v>43200</v>
      </c>
      <c r="E27" s="18">
        <f t="shared" si="1"/>
        <v>288846.56630848296</v>
      </c>
      <c r="F27" s="22">
        <f t="shared" si="2"/>
        <v>6.6862631089926614</v>
      </c>
    </row>
    <row r="28" spans="1:6" x14ac:dyDescent="0.2">
      <c r="A28" s="20">
        <v>24</v>
      </c>
      <c r="B28" s="179" t="s">
        <v>21</v>
      </c>
      <c r="C28" s="180"/>
      <c r="D28" s="15">
        <f t="shared" si="0"/>
        <v>50812</v>
      </c>
      <c r="E28" s="18">
        <f t="shared" si="1"/>
        <v>486055.15822376474</v>
      </c>
      <c r="F28" s="22">
        <f t="shared" si="2"/>
        <v>9.5657552984288117</v>
      </c>
    </row>
    <row r="29" spans="1:6" x14ac:dyDescent="0.2">
      <c r="A29" s="20">
        <v>25</v>
      </c>
      <c r="B29" s="179" t="s">
        <v>22</v>
      </c>
      <c r="C29" s="180"/>
      <c r="D29" s="15">
        <f t="shared" si="0"/>
        <v>241920</v>
      </c>
      <c r="E29" s="18">
        <f t="shared" si="1"/>
        <v>1464890.1713275046</v>
      </c>
      <c r="F29" s="22">
        <f t="shared" si="2"/>
        <v>6.0552669119027138</v>
      </c>
    </row>
    <row r="30" spans="1:6" x14ac:dyDescent="0.2">
      <c r="A30" s="20">
        <v>26</v>
      </c>
      <c r="B30" s="179" t="s">
        <v>23</v>
      </c>
      <c r="C30" s="180"/>
      <c r="D30" s="15">
        <f t="shared" si="0"/>
        <v>44816</v>
      </c>
      <c r="E30" s="18">
        <f t="shared" si="1"/>
        <v>443491.99675187434</v>
      </c>
      <c r="F30" s="22">
        <f t="shared" si="2"/>
        <v>9.8958406986762384</v>
      </c>
    </row>
    <row r="31" spans="1:6" x14ac:dyDescent="0.2">
      <c r="A31" s="20">
        <v>28</v>
      </c>
      <c r="B31" s="179" t="s">
        <v>24</v>
      </c>
      <c r="C31" s="180"/>
      <c r="D31" s="15">
        <f t="shared" si="0"/>
        <v>51984</v>
      </c>
      <c r="E31" s="18">
        <f t="shared" si="1"/>
        <v>260415.69812454114</v>
      </c>
      <c r="F31" s="22">
        <f t="shared" si="2"/>
        <v>5.0095355902689507</v>
      </c>
    </row>
    <row r="32" spans="1:6" ht="15.75" customHeight="1" thickBot="1" x14ac:dyDescent="0.25">
      <c r="A32" s="23">
        <v>29</v>
      </c>
      <c r="B32" s="181" t="s">
        <v>25</v>
      </c>
      <c r="C32" s="182"/>
      <c r="D32" s="24">
        <f t="shared" si="0"/>
        <v>42144</v>
      </c>
      <c r="E32" s="25">
        <f t="shared" si="1"/>
        <v>230211.09690983116</v>
      </c>
      <c r="F32" s="26">
        <f t="shared" si="2"/>
        <v>5.4624880625909062</v>
      </c>
    </row>
    <row r="33" spans="1:6" x14ac:dyDescent="0.2">
      <c r="B33" s="31" t="s">
        <v>35</v>
      </c>
      <c r="C33" s="31"/>
      <c r="D33" s="61">
        <f>SUM(D5:D32)</f>
        <v>1438368</v>
      </c>
      <c r="E33" s="32">
        <f>SUM(E5:E32)</f>
        <v>11278034</v>
      </c>
      <c r="F33" s="33">
        <f t="shared" si="2"/>
        <v>7.8408543571603371</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IF(F3="1",SUMIF(Data!A:A,'31'!$A$2,Data!CU:CU),0)</f>
        <v>17376</v>
      </c>
      <c r="E36" s="16">
        <f>IF(F3="1",SUMIF(Data!$A:$A,'31'!$A$2,Data!IO:IO),0)</f>
        <v>117307</v>
      </c>
      <c r="F36" s="21">
        <f t="shared" ref="F36:F64" si="3">IFERROR(E36/D36,"")</f>
        <v>6.7510934622467769</v>
      </c>
    </row>
    <row r="37" spans="1:6" x14ac:dyDescent="0.2">
      <c r="A37" s="20">
        <v>2</v>
      </c>
      <c r="B37" s="179" t="s">
        <v>1</v>
      </c>
      <c r="C37" s="180"/>
      <c r="D37" s="15">
        <f>IF(F3="1",SUMIF(Data!A:A,'31'!$A$2,Data!CV:CV),0)</f>
        <v>48688</v>
      </c>
      <c r="E37" s="18">
        <f>IF(F3="1",SUMIF(Data!$A:$A,'31'!$A$2,Data!IP:IP),0)</f>
        <v>48283</v>
      </c>
      <c r="F37" s="22">
        <f t="shared" si="3"/>
        <v>0.99168172855734471</v>
      </c>
    </row>
    <row r="38" spans="1:6" ht="14.25" customHeight="1" x14ac:dyDescent="0.2">
      <c r="A38" s="20">
        <v>3</v>
      </c>
      <c r="B38" s="179" t="s">
        <v>2</v>
      </c>
      <c r="C38" s="180"/>
      <c r="D38" s="15">
        <f>IF(F3="1",SUMIF(Data!A:A,'31'!$A$2,Data!CW:CW),0)</f>
        <v>166864</v>
      </c>
      <c r="E38" s="18">
        <f>IF(F3="1",SUMIF(Data!$A:$A,'31'!$A$2,Data!IQ:IQ),0)</f>
        <v>121022</v>
      </c>
      <c r="F38" s="22">
        <f t="shared" si="3"/>
        <v>0.72527327644069417</v>
      </c>
    </row>
    <row r="39" spans="1:6" ht="14.25" customHeight="1" x14ac:dyDescent="0.2">
      <c r="A39" s="20">
        <v>4</v>
      </c>
      <c r="B39" s="179" t="s">
        <v>3</v>
      </c>
      <c r="C39" s="180"/>
      <c r="D39" s="15">
        <f>IF(F3="1",SUMIF(Data!A:A,'31'!$A$2,Data!CX:CX),0)</f>
        <v>80422</v>
      </c>
      <c r="E39" s="18">
        <f>IF(F3="1",SUMIF(Data!$A:$A,'31'!$A$2,Data!IR:IR),0)</f>
        <v>90870</v>
      </c>
      <c r="F39" s="22">
        <f t="shared" si="3"/>
        <v>1.129914699957723</v>
      </c>
    </row>
    <row r="40" spans="1:6" x14ac:dyDescent="0.2">
      <c r="A40" s="20">
        <v>5</v>
      </c>
      <c r="B40" s="179" t="s">
        <v>4</v>
      </c>
      <c r="C40" s="180"/>
      <c r="D40" s="15">
        <f>IF(F3="1",SUMIF(Data!A:A,'31'!$A$2,Data!CY:CY),0)</f>
        <v>0</v>
      </c>
      <c r="E40" s="18">
        <f>IF(F3="1",SUMIF(Data!$A:$A,'31'!$A$2,Data!IS:IS),0)</f>
        <v>0</v>
      </c>
      <c r="F40" s="22" t="str">
        <f t="shared" si="3"/>
        <v/>
      </c>
    </row>
    <row r="41" spans="1:6" x14ac:dyDescent="0.2">
      <c r="A41" s="20">
        <v>6</v>
      </c>
      <c r="B41" s="179" t="s">
        <v>5</v>
      </c>
      <c r="C41" s="180"/>
      <c r="D41" s="15">
        <f>IF(F3="1",SUMIF(Data!A:A,'31'!$A$2,Data!CZ:CZ),0)</f>
        <v>2512</v>
      </c>
      <c r="E41" s="18">
        <f>IF(F3="1",SUMIF(Data!$A:$A,'31'!$A$2,Data!IT:IT),0)</f>
        <v>27979</v>
      </c>
      <c r="F41" s="22">
        <f t="shared" si="3"/>
        <v>11.138136942675159</v>
      </c>
    </row>
    <row r="42" spans="1:6" x14ac:dyDescent="0.2">
      <c r="A42" s="20">
        <v>7</v>
      </c>
      <c r="B42" s="179" t="s">
        <v>6</v>
      </c>
      <c r="C42" s="180"/>
      <c r="D42" s="15">
        <f>IF(F3="1",SUMIF(Data!A:A,'31'!$A$2,Data!DA:DA),0)</f>
        <v>20426</v>
      </c>
      <c r="E42" s="18">
        <f>IF(F3="1",SUMIF(Data!$A:$A,'31'!$A$2,Data!IU:IU),0)</f>
        <v>23079</v>
      </c>
      <c r="F42" s="22">
        <f t="shared" si="3"/>
        <v>1.1298834818368746</v>
      </c>
    </row>
    <row r="43" spans="1:6" x14ac:dyDescent="0.2">
      <c r="A43" s="20">
        <v>8</v>
      </c>
      <c r="B43" s="179" t="s">
        <v>7</v>
      </c>
      <c r="C43" s="180"/>
      <c r="D43" s="15">
        <f>IF(F3="1",SUMIF(Data!A:A,'31'!$A$2,Data!DB:DB),0)</f>
        <v>13196</v>
      </c>
      <c r="E43" s="18">
        <f>IF(F3="1",SUMIF(Data!$A:$A,'31'!$A$2,Data!IV:IV),0)</f>
        <v>40708</v>
      </c>
      <c r="F43" s="22">
        <f t="shared" si="3"/>
        <v>3.0848742043043345</v>
      </c>
    </row>
    <row r="44" spans="1:6" x14ac:dyDescent="0.2">
      <c r="A44" s="20">
        <v>9</v>
      </c>
      <c r="B44" s="179" t="s">
        <v>8</v>
      </c>
      <c r="C44" s="180"/>
      <c r="D44" s="15">
        <f>IF(F3="1",SUMIF(Data!A:A,'31'!$A$2,Data!DC:DC),0)</f>
        <v>93536</v>
      </c>
      <c r="E44" s="18">
        <f>IF(F3="1",SUMIF(Data!$A:$A,'31'!$A$2,Data!IW:IW),0)</f>
        <v>63553</v>
      </c>
      <c r="F44" s="22">
        <f t="shared" si="3"/>
        <v>0.67944962367430717</v>
      </c>
    </row>
    <row r="45" spans="1:6" x14ac:dyDescent="0.2">
      <c r="A45" s="20">
        <v>10</v>
      </c>
      <c r="B45" s="179" t="s">
        <v>9</v>
      </c>
      <c r="C45" s="180"/>
      <c r="D45" s="15">
        <f>IF(F3="1",SUMIF(Data!A:A,'31'!$A$2,Data!DD:DD),0)</f>
        <v>224</v>
      </c>
      <c r="E45" s="18">
        <f>IF(F3="1",SUMIF(Data!$A:$A,'31'!$A$2,Data!IX:IX),0)</f>
        <v>157</v>
      </c>
      <c r="F45" s="22">
        <f t="shared" si="3"/>
        <v>0.7008928571428571</v>
      </c>
    </row>
    <row r="46" spans="1:6" x14ac:dyDescent="0.2">
      <c r="A46" s="20">
        <v>11</v>
      </c>
      <c r="B46" s="179" t="s">
        <v>10</v>
      </c>
      <c r="C46" s="180"/>
      <c r="D46" s="15">
        <f>IF(F3="1",SUMIF(Data!A:A,'31'!$A$2,Data!DE:DE),0)</f>
        <v>10542</v>
      </c>
      <c r="E46" s="18">
        <f>IF(F3="1",SUMIF(Data!$A:$A,'31'!$A$2,Data!IY:IY),0)</f>
        <v>36744</v>
      </c>
      <c r="F46" s="22">
        <f t="shared" si="3"/>
        <v>3.4854866249288561</v>
      </c>
    </row>
    <row r="47" spans="1:6" ht="14.25" customHeight="1" x14ac:dyDescent="0.2">
      <c r="A47" s="20">
        <v>12</v>
      </c>
      <c r="B47" s="179" t="s">
        <v>11</v>
      </c>
      <c r="C47" s="180"/>
      <c r="D47" s="15">
        <f>IF(F3="1",SUMIF(Data!A:A,'31'!$A$2,Data!DF:DF),0)</f>
        <v>162384</v>
      </c>
      <c r="E47" s="18">
        <f>IF(F3="1",SUMIF(Data!$A:$A,'31'!$A$2,Data!IZ:IZ),0)</f>
        <v>95294</v>
      </c>
      <c r="F47" s="22">
        <f t="shared" si="3"/>
        <v>0.58684353138240219</v>
      </c>
    </row>
    <row r="48" spans="1:6" x14ac:dyDescent="0.2">
      <c r="A48" s="20">
        <v>13</v>
      </c>
      <c r="B48" s="179" t="s">
        <v>12</v>
      </c>
      <c r="C48" s="180"/>
      <c r="D48" s="15">
        <f>IF(F3="1",SUMIF(Data!A:A,'31'!$A$2,Data!DG:DG),0)</f>
        <v>14416</v>
      </c>
      <c r="E48" s="18">
        <f>IF(F3="1",SUMIF(Data!$A:$A,'31'!$A$2,Data!JA:JA),0)</f>
        <v>8332</v>
      </c>
      <c r="F48" s="22">
        <f t="shared" si="3"/>
        <v>0.57796892341842399</v>
      </c>
    </row>
    <row r="49" spans="1:6" ht="14.25" customHeight="1" x14ac:dyDescent="0.2">
      <c r="A49" s="20">
        <v>14</v>
      </c>
      <c r="B49" s="179" t="s">
        <v>804</v>
      </c>
      <c r="C49" s="180"/>
      <c r="D49" s="15">
        <f>IF(F3="1",SUMIF(Data!A:A,'31'!$A$2,Data!DH:DH),0)</f>
        <v>56667</v>
      </c>
      <c r="E49" s="18">
        <f>IF(F3="1",SUMIF(Data!$A:$A,'31'!$A$2,Data!JB:JB),0)</f>
        <v>60745</v>
      </c>
      <c r="F49" s="22">
        <f t="shared" si="3"/>
        <v>1.0719642825630438</v>
      </c>
    </row>
    <row r="50" spans="1:6" x14ac:dyDescent="0.2">
      <c r="A50" s="20">
        <v>15</v>
      </c>
      <c r="B50" s="179" t="s">
        <v>13</v>
      </c>
      <c r="C50" s="180"/>
      <c r="D50" s="15">
        <f>IF(F3="1",SUMIF(Data!A:A,'31'!$A$2,Data!DI:DI),0)</f>
        <v>24416</v>
      </c>
      <c r="E50" s="18">
        <f>IF(F3="1",SUMIF(Data!$A:$A,'31'!$A$2,Data!JC:JC),0)</f>
        <v>69819</v>
      </c>
      <c r="F50" s="22">
        <f t="shared" si="3"/>
        <v>2.8595593053735255</v>
      </c>
    </row>
    <row r="51" spans="1:6" x14ac:dyDescent="0.2">
      <c r="A51" s="20">
        <v>16</v>
      </c>
      <c r="B51" s="179" t="s">
        <v>14</v>
      </c>
      <c r="C51" s="180"/>
      <c r="D51" s="15">
        <f>IF(F3="1",SUMIF(Data!A:A,'31'!$A$2,Data!DJ:DJ),0)</f>
        <v>95455</v>
      </c>
      <c r="E51" s="18">
        <f>IF(F3="1",SUMIF(Data!$A:$A,'31'!$A$2,Data!JD:JD),0)</f>
        <v>129600</v>
      </c>
      <c r="F51" s="22">
        <f t="shared" si="3"/>
        <v>1.3577078204389503</v>
      </c>
    </row>
    <row r="52" spans="1:6" x14ac:dyDescent="0.2">
      <c r="A52" s="20">
        <v>17</v>
      </c>
      <c r="B52" s="179" t="s">
        <v>15</v>
      </c>
      <c r="C52" s="180"/>
      <c r="D52" s="15">
        <f>IF(F3="1",SUMIF(Data!A:A,'31'!$A$2,Data!DK:DK),0)</f>
        <v>0</v>
      </c>
      <c r="E52" s="18">
        <f>IF(F3="1",SUMIF(Data!$A:$A,'31'!$A$2,Data!JE:JE),0)</f>
        <v>0</v>
      </c>
      <c r="F52" s="22" t="str">
        <f t="shared" si="3"/>
        <v/>
      </c>
    </row>
    <row r="53" spans="1:6" x14ac:dyDescent="0.2">
      <c r="A53" s="20">
        <v>18</v>
      </c>
      <c r="B53" s="179" t="s">
        <v>16</v>
      </c>
      <c r="C53" s="180"/>
      <c r="D53" s="15">
        <f>IF(F3="1",SUMIF(Data!A:A,'31'!$A$2,Data!DL:DL),0)</f>
        <v>23264</v>
      </c>
      <c r="E53" s="18">
        <f>IF(F3="1",SUMIF(Data!$A:$A,'31'!$A$2,Data!JF:JF),0)</f>
        <v>25952</v>
      </c>
      <c r="F53" s="22">
        <f t="shared" si="3"/>
        <v>1.1155433287482805</v>
      </c>
    </row>
    <row r="54" spans="1:6" x14ac:dyDescent="0.2">
      <c r="A54" s="20">
        <v>19</v>
      </c>
      <c r="B54" s="179" t="s">
        <v>17</v>
      </c>
      <c r="C54" s="180"/>
      <c r="D54" s="15">
        <f>IF(F3="1",SUMIF(Data!A:A,'31'!$A$2,Data!DM:DM),0)</f>
        <v>88720</v>
      </c>
      <c r="E54" s="18">
        <f>IF(F3="1",SUMIF(Data!$A:$A,'31'!$A$2,Data!JG:JG),0)</f>
        <v>63864</v>
      </c>
      <c r="F54" s="22">
        <f t="shared" si="3"/>
        <v>0.71983769161406674</v>
      </c>
    </row>
    <row r="55" spans="1:6" x14ac:dyDescent="0.2">
      <c r="A55" s="20">
        <v>20</v>
      </c>
      <c r="B55" s="179" t="s">
        <v>18</v>
      </c>
      <c r="C55" s="180"/>
      <c r="D55" s="15">
        <f>IF(F3="1",SUMIF(Data!A:A,'31'!$A$2,Data!DN:DN),0)</f>
        <v>43616</v>
      </c>
      <c r="E55" s="18">
        <f>IF(F3="1",SUMIF(Data!$A:$A,'31'!$A$2,Data!JH:JH),0)</f>
        <v>62311</v>
      </c>
      <c r="F55" s="22">
        <f t="shared" si="3"/>
        <v>1.4286271093176817</v>
      </c>
    </row>
    <row r="56" spans="1:6" ht="14.25" customHeight="1" x14ac:dyDescent="0.2">
      <c r="A56" s="20">
        <v>21</v>
      </c>
      <c r="B56" s="179" t="s">
        <v>801</v>
      </c>
      <c r="C56" s="180"/>
      <c r="D56" s="15">
        <f>IF(F3="1",SUMIF(Data!A:A,'31'!$A$2,Data!DO:DO),0)</f>
        <v>0</v>
      </c>
      <c r="E56" s="18">
        <f>IF(F3="1",SUMIF(Data!$A:$A,'31'!$A$2,Data!JI:JI),0)</f>
        <v>0</v>
      </c>
      <c r="F56" s="22" t="str">
        <f t="shared" si="3"/>
        <v/>
      </c>
    </row>
    <row r="57" spans="1:6" x14ac:dyDescent="0.2">
      <c r="A57" s="20">
        <v>22</v>
      </c>
      <c r="B57" s="179" t="s">
        <v>19</v>
      </c>
      <c r="C57" s="180"/>
      <c r="D57" s="15">
        <f>IF(F3="1",SUMIF(Data!A:A,'31'!$A$2,Data!DP:DP),0)</f>
        <v>768</v>
      </c>
      <c r="E57" s="18">
        <f>IF(F3="1",SUMIF(Data!$A:$A,'31'!$A$2,Data!JJ:JJ),0)</f>
        <v>1078</v>
      </c>
      <c r="F57" s="22">
        <f t="shared" si="3"/>
        <v>1.4036458333333333</v>
      </c>
    </row>
    <row r="58" spans="1:6" x14ac:dyDescent="0.2">
      <c r="A58" s="20">
        <v>23</v>
      </c>
      <c r="B58" s="179" t="s">
        <v>20</v>
      </c>
      <c r="C58" s="180"/>
      <c r="D58" s="15">
        <f>IF(F3="1",SUMIF(Data!A:A,'31'!$A$2,Data!DQ:DQ),0)</f>
        <v>43200</v>
      </c>
      <c r="E58" s="18">
        <f>IF(F3="1",SUMIF(Data!$A:$A,'31'!$A$2,Data!JK:JK),0)</f>
        <v>22609</v>
      </c>
      <c r="F58" s="22">
        <f t="shared" si="3"/>
        <v>0.52335648148148151</v>
      </c>
    </row>
    <row r="59" spans="1:6" x14ac:dyDescent="0.2">
      <c r="A59" s="20">
        <v>24</v>
      </c>
      <c r="B59" s="179" t="s">
        <v>21</v>
      </c>
      <c r="C59" s="180"/>
      <c r="D59" s="15">
        <f>IF(F3="1",SUMIF(Data!A:A,'31'!$A$2,Data!DR:DR),0)</f>
        <v>50812</v>
      </c>
      <c r="E59" s="18">
        <f>IF(F3="1",SUMIF(Data!$A:$A,'31'!$A$2,Data!JL:JL),0)</f>
        <v>95655</v>
      </c>
      <c r="F59" s="22">
        <f t="shared" si="3"/>
        <v>1.882527749350547</v>
      </c>
    </row>
    <row r="60" spans="1:6" x14ac:dyDescent="0.2">
      <c r="A60" s="20">
        <v>25</v>
      </c>
      <c r="B60" s="179" t="s">
        <v>22</v>
      </c>
      <c r="C60" s="180"/>
      <c r="D60" s="15">
        <f>IF(F3="1",SUMIF(Data!A:A,'31'!$A$2,Data!DS:DS),0)</f>
        <v>241920</v>
      </c>
      <c r="E60" s="18">
        <f>IF(F3="1",SUMIF(Data!$A:$A,'31'!$A$2,Data!JM:JM),0)</f>
        <v>120459</v>
      </c>
      <c r="F60" s="22">
        <f t="shared" si="3"/>
        <v>0.49792906746031745</v>
      </c>
    </row>
    <row r="61" spans="1:6" x14ac:dyDescent="0.2">
      <c r="A61" s="20">
        <v>26</v>
      </c>
      <c r="B61" s="179" t="s">
        <v>23</v>
      </c>
      <c r="C61" s="180"/>
      <c r="D61" s="15">
        <f>IF(F3="1",SUMIF(Data!A:A,'31'!$A$2,Data!DT:DT),0)</f>
        <v>44816</v>
      </c>
      <c r="E61" s="18">
        <f>IF(F3="1",SUMIF(Data!$A:$A,'31'!$A$2,Data!JN:JN),0)</f>
        <v>62677</v>
      </c>
      <c r="F61" s="22">
        <f t="shared" si="3"/>
        <v>1.3985406997500893</v>
      </c>
    </row>
    <row r="62" spans="1:6" x14ac:dyDescent="0.2">
      <c r="A62" s="20">
        <v>28</v>
      </c>
      <c r="B62" s="179" t="s">
        <v>24</v>
      </c>
      <c r="C62" s="180"/>
      <c r="D62" s="15">
        <f>IF(F3="1",SUMIF(Data!A:A,'31'!$A$2,Data!DV:DV),0)</f>
        <v>51984</v>
      </c>
      <c r="E62" s="18">
        <f>IF(F3="1",SUMIF(Data!$A:$A,'31'!$A$2,Data!JP:JP),0)</f>
        <v>31980</v>
      </c>
      <c r="F62" s="22">
        <f t="shared" si="3"/>
        <v>0.61518928901200365</v>
      </c>
    </row>
    <row r="63" spans="1:6" ht="15.75" customHeight="1" thickBot="1" x14ac:dyDescent="0.25">
      <c r="A63" s="23">
        <v>29</v>
      </c>
      <c r="B63" s="181" t="s">
        <v>25</v>
      </c>
      <c r="C63" s="182"/>
      <c r="D63" s="24">
        <f>IF(F3="1",SUMIF(Data!A:A,'31'!$A$2,Data!DW:DW),0)</f>
        <v>42144</v>
      </c>
      <c r="E63" s="25">
        <f>IF(F3="1",SUMIF(Data!$A:$A,'31'!$A$2,Data!JQ:JQ),0)</f>
        <v>31980</v>
      </c>
      <c r="F63" s="26">
        <f t="shared" si="3"/>
        <v>0.75882687927107062</v>
      </c>
    </row>
    <row r="64" spans="1:6" x14ac:dyDescent="0.2">
      <c r="B64" s="31" t="s">
        <v>35</v>
      </c>
      <c r="C64" s="31"/>
      <c r="D64" s="61">
        <f>SUM(D36:D63)</f>
        <v>1438368</v>
      </c>
      <c r="E64" s="32">
        <f>SUM(E36:E63)</f>
        <v>1452057</v>
      </c>
      <c r="F64" s="33">
        <f t="shared" si="3"/>
        <v>1.0095170359741039</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17376</v>
      </c>
      <c r="E67" s="16">
        <f>IF(F3="1",SUMIF(Data!A:A,'31'!$A$2,Data!DY:DY),0)</f>
        <v>171301</v>
      </c>
      <c r="F67" s="21">
        <f>IFERROR(E67/D67,"")</f>
        <v>9.858482965009209</v>
      </c>
    </row>
    <row r="68" spans="1:6" x14ac:dyDescent="0.2">
      <c r="A68" s="20">
        <v>2</v>
      </c>
      <c r="B68" s="179" t="s">
        <v>1</v>
      </c>
      <c r="C68" s="180"/>
      <c r="D68" s="15">
        <f t="shared" ref="D68:D94" si="4">D37</f>
        <v>48688</v>
      </c>
      <c r="E68" s="18">
        <f>IF(F3="1",SUMIF(Data!A:A,'31'!$A$2,Data!DZ:DZ),0)</f>
        <v>119790</v>
      </c>
      <c r="F68" s="22">
        <f t="shared" ref="F68:F95" si="5">IFERROR(E68/D68,"")</f>
        <v>2.4603598422609267</v>
      </c>
    </row>
    <row r="69" spans="1:6" ht="14.25" customHeight="1" x14ac:dyDescent="0.2">
      <c r="A69" s="20">
        <v>3</v>
      </c>
      <c r="B69" s="179" t="s">
        <v>2</v>
      </c>
      <c r="C69" s="180"/>
      <c r="D69" s="15">
        <f t="shared" si="4"/>
        <v>166864</v>
      </c>
      <c r="E69" s="18">
        <f>IF(F3="1",SUMIF(Data!A:A,'31'!$A$2,Data!EA:EA),0)</f>
        <v>660791</v>
      </c>
      <c r="F69" s="22">
        <f t="shared" si="5"/>
        <v>3.9600572921660753</v>
      </c>
    </row>
    <row r="70" spans="1:6" ht="14.25" customHeight="1" x14ac:dyDescent="0.2">
      <c r="A70" s="20">
        <v>4</v>
      </c>
      <c r="B70" s="179" t="s">
        <v>3</v>
      </c>
      <c r="C70" s="180"/>
      <c r="D70" s="15">
        <f t="shared" si="4"/>
        <v>80422</v>
      </c>
      <c r="E70" s="18">
        <f>IF(F3="1",SUMIF(Data!A:A,'31'!$A$2,Data!EB:EB),0)</f>
        <v>273774</v>
      </c>
      <c r="F70" s="22">
        <f t="shared" si="5"/>
        <v>3.4042177513615677</v>
      </c>
    </row>
    <row r="71" spans="1:6" x14ac:dyDescent="0.2">
      <c r="A71" s="20">
        <v>5</v>
      </c>
      <c r="B71" s="179" t="s">
        <v>4</v>
      </c>
      <c r="C71" s="180"/>
      <c r="D71" s="15">
        <f t="shared" si="4"/>
        <v>0</v>
      </c>
      <c r="E71" s="18">
        <f>IF(F3="1",SUMIF(Data!A:A,'31'!$A$2,Data!EC:EC),0)</f>
        <v>0</v>
      </c>
      <c r="F71" s="22" t="str">
        <f t="shared" si="5"/>
        <v/>
      </c>
    </row>
    <row r="72" spans="1:6" x14ac:dyDescent="0.2">
      <c r="A72" s="20">
        <v>6</v>
      </c>
      <c r="B72" s="179" t="s">
        <v>5</v>
      </c>
      <c r="C72" s="180"/>
      <c r="D72" s="15">
        <f t="shared" si="4"/>
        <v>2512</v>
      </c>
      <c r="E72" s="18">
        <f>IF(F3="1",SUMIF(Data!A:A,'31'!$A$2,Data!ED:ED),0)</f>
        <v>0</v>
      </c>
      <c r="F72" s="22">
        <f t="shared" si="5"/>
        <v>0</v>
      </c>
    </row>
    <row r="73" spans="1:6" x14ac:dyDescent="0.2">
      <c r="A73" s="20">
        <v>7</v>
      </c>
      <c r="B73" s="179" t="s">
        <v>6</v>
      </c>
      <c r="C73" s="180"/>
      <c r="D73" s="15">
        <f t="shared" si="4"/>
        <v>20426</v>
      </c>
      <c r="E73" s="18">
        <f>IF(F3="1",SUMIF(Data!A:A,'31'!$A$2,Data!EE:EE),0)</f>
        <v>175391</v>
      </c>
      <c r="F73" s="22">
        <f t="shared" si="5"/>
        <v>8.5866542641731129</v>
      </c>
    </row>
    <row r="74" spans="1:6" x14ac:dyDescent="0.2">
      <c r="A74" s="20">
        <v>8</v>
      </c>
      <c r="B74" s="179" t="s">
        <v>7</v>
      </c>
      <c r="C74" s="180"/>
      <c r="D74" s="15">
        <f t="shared" si="4"/>
        <v>13196</v>
      </c>
      <c r="E74" s="18">
        <f>IF(F3="1",SUMIF(Data!A:A,'31'!$A$2,Data!EF:EF),0)</f>
        <v>842</v>
      </c>
      <c r="F74" s="22">
        <f t="shared" si="5"/>
        <v>6.380721430736587E-2</v>
      </c>
    </row>
    <row r="75" spans="1:6" x14ac:dyDescent="0.2">
      <c r="A75" s="20">
        <v>9</v>
      </c>
      <c r="B75" s="179" t="s">
        <v>8</v>
      </c>
      <c r="C75" s="180"/>
      <c r="D75" s="15">
        <f t="shared" si="4"/>
        <v>93536</v>
      </c>
      <c r="E75" s="18">
        <f>IF(F3="1",SUMIF(Data!A:A,'31'!$A$2,Data!EG:EG),0)</f>
        <v>213168</v>
      </c>
      <c r="F75" s="22">
        <f t="shared" si="5"/>
        <v>2.278994184057475</v>
      </c>
    </row>
    <row r="76" spans="1:6" x14ac:dyDescent="0.2">
      <c r="A76" s="20">
        <v>10</v>
      </c>
      <c r="B76" s="179" t="s">
        <v>9</v>
      </c>
      <c r="C76" s="180"/>
      <c r="D76" s="15">
        <f t="shared" si="4"/>
        <v>224</v>
      </c>
      <c r="E76" s="18">
        <f>IF(F3="1",SUMIF(Data!A:A,'31'!$A$2,Data!EH:EH),0)</f>
        <v>926</v>
      </c>
      <c r="F76" s="22">
        <f t="shared" si="5"/>
        <v>4.1339285714285712</v>
      </c>
    </row>
    <row r="77" spans="1:6" x14ac:dyDescent="0.2">
      <c r="A77" s="20">
        <v>11</v>
      </c>
      <c r="B77" s="179" t="s">
        <v>10</v>
      </c>
      <c r="C77" s="180"/>
      <c r="D77" s="15">
        <f t="shared" si="4"/>
        <v>10542</v>
      </c>
      <c r="E77" s="18">
        <f>IF(F3="1",SUMIF(Data!A:A,'31'!$A$2,Data!EI:EI),0)</f>
        <v>0</v>
      </c>
      <c r="F77" s="22">
        <f t="shared" si="5"/>
        <v>0</v>
      </c>
    </row>
    <row r="78" spans="1:6" ht="14.25" customHeight="1" x14ac:dyDescent="0.2">
      <c r="A78" s="20">
        <v>12</v>
      </c>
      <c r="B78" s="179" t="s">
        <v>11</v>
      </c>
      <c r="C78" s="180"/>
      <c r="D78" s="15">
        <f t="shared" si="4"/>
        <v>162384</v>
      </c>
      <c r="E78" s="18">
        <f>IF(F3="1",SUMIF(Data!A:A,'31'!$A$2,Data!EJ:EJ),0)</f>
        <v>460485</v>
      </c>
      <c r="F78" s="22">
        <f t="shared" si="5"/>
        <v>2.835778155483299</v>
      </c>
    </row>
    <row r="79" spans="1:6" x14ac:dyDescent="0.2">
      <c r="A79" s="20">
        <v>13</v>
      </c>
      <c r="B79" s="179" t="s">
        <v>12</v>
      </c>
      <c r="C79" s="180"/>
      <c r="D79" s="15">
        <f t="shared" si="4"/>
        <v>14416</v>
      </c>
      <c r="E79" s="18">
        <f>IF(F3="1",SUMIF(Data!A:A,'31'!$A$2,Data!EK:EK),0)</f>
        <v>71228</v>
      </c>
      <c r="F79" s="22">
        <f t="shared" si="5"/>
        <v>4.9408990011098783</v>
      </c>
    </row>
    <row r="80" spans="1:6" ht="14.25" customHeight="1" x14ac:dyDescent="0.2">
      <c r="A80" s="20">
        <v>14</v>
      </c>
      <c r="B80" s="179" t="s">
        <v>804</v>
      </c>
      <c r="C80" s="180"/>
      <c r="D80" s="15">
        <f t="shared" si="4"/>
        <v>56667</v>
      </c>
      <c r="E80" s="18">
        <f>IF(F3="1",SUMIF(Data!A:A,'31'!$A$2,Data!EL:EL),0)</f>
        <v>366091</v>
      </c>
      <c r="F80" s="22">
        <f t="shared" si="5"/>
        <v>6.4603914094622974</v>
      </c>
    </row>
    <row r="81" spans="1:6" x14ac:dyDescent="0.2">
      <c r="A81" s="20">
        <v>15</v>
      </c>
      <c r="B81" s="179" t="s">
        <v>13</v>
      </c>
      <c r="C81" s="180"/>
      <c r="D81" s="15">
        <f t="shared" si="4"/>
        <v>24416</v>
      </c>
      <c r="E81" s="18">
        <f>IF(F3="1",SUMIF(Data!A:A,'31'!$A$2,Data!EM:EM),0)</f>
        <v>244619</v>
      </c>
      <c r="F81" s="22">
        <f t="shared" si="5"/>
        <v>10.018799148099607</v>
      </c>
    </row>
    <row r="82" spans="1:6" x14ac:dyDescent="0.2">
      <c r="A82" s="20">
        <v>16</v>
      </c>
      <c r="B82" s="179" t="s">
        <v>14</v>
      </c>
      <c r="C82" s="180"/>
      <c r="D82" s="15">
        <f t="shared" si="4"/>
        <v>95455</v>
      </c>
      <c r="E82" s="18">
        <f>IF(F3="1",SUMIF(Data!A:A,'31'!$A$2,Data!EN:EN),0)</f>
        <v>434970</v>
      </c>
      <c r="F82" s="22">
        <f t="shared" si="5"/>
        <v>4.5568068723482273</v>
      </c>
    </row>
    <row r="83" spans="1:6" x14ac:dyDescent="0.2">
      <c r="A83" s="20">
        <v>17</v>
      </c>
      <c r="B83" s="179" t="s">
        <v>15</v>
      </c>
      <c r="C83" s="180"/>
      <c r="D83" s="15">
        <f t="shared" si="4"/>
        <v>0</v>
      </c>
      <c r="E83" s="18">
        <f>IF(F3="1",SUMIF(Data!A:A,'31'!$A$2,Data!EO:EO),0)</f>
        <v>0</v>
      </c>
      <c r="F83" s="22" t="str">
        <f t="shared" si="5"/>
        <v/>
      </c>
    </row>
    <row r="84" spans="1:6" x14ac:dyDescent="0.2">
      <c r="A84" s="20">
        <v>18</v>
      </c>
      <c r="B84" s="179" t="s">
        <v>16</v>
      </c>
      <c r="C84" s="180"/>
      <c r="D84" s="15">
        <f t="shared" si="4"/>
        <v>23264</v>
      </c>
      <c r="E84" s="18">
        <f>IF(F3="1",SUMIF(Data!A:A,'31'!$A$2,Data!EP:EP),0)</f>
        <v>175247</v>
      </c>
      <c r="F84" s="22">
        <f t="shared" si="5"/>
        <v>7.5329693947730396</v>
      </c>
    </row>
    <row r="85" spans="1:6" x14ac:dyDescent="0.2">
      <c r="A85" s="20">
        <v>19</v>
      </c>
      <c r="B85" s="179" t="s">
        <v>17</v>
      </c>
      <c r="C85" s="180"/>
      <c r="D85" s="15">
        <f t="shared" si="4"/>
        <v>88720</v>
      </c>
      <c r="E85" s="18">
        <f>IF(F3="1",SUMIF(Data!A:A,'31'!$A$2,Data!EQ:EQ),0)</f>
        <v>390143</v>
      </c>
      <c r="F85" s="22">
        <f t="shared" si="5"/>
        <v>4.397463931469793</v>
      </c>
    </row>
    <row r="86" spans="1:6" x14ac:dyDescent="0.2">
      <c r="A86" s="20">
        <v>20</v>
      </c>
      <c r="B86" s="179" t="s">
        <v>18</v>
      </c>
      <c r="C86" s="180"/>
      <c r="D86" s="15">
        <f t="shared" si="4"/>
        <v>43616</v>
      </c>
      <c r="E86" s="18">
        <f>IF(F3="1",SUMIF(Data!A:A,'31'!$A$2,Data!ER:ER),0)</f>
        <v>296031</v>
      </c>
      <c r="F86" s="22">
        <f t="shared" si="5"/>
        <v>6.7872111151870875</v>
      </c>
    </row>
    <row r="87" spans="1:6" ht="14.25" customHeight="1" x14ac:dyDescent="0.2">
      <c r="A87" s="20">
        <v>21</v>
      </c>
      <c r="B87" s="179" t="s">
        <v>801</v>
      </c>
      <c r="C87" s="180"/>
      <c r="D87" s="15">
        <f t="shared" si="4"/>
        <v>0</v>
      </c>
      <c r="E87" s="18">
        <f>IF(F3="1",SUMIF(Data!A:A,'31'!$A$2,Data!ES:ES),0)</f>
        <v>0</v>
      </c>
      <c r="F87" s="22" t="str">
        <f t="shared" si="5"/>
        <v/>
      </c>
    </row>
    <row r="88" spans="1:6" x14ac:dyDescent="0.2">
      <c r="A88" s="20">
        <v>22</v>
      </c>
      <c r="B88" s="179" t="s">
        <v>19</v>
      </c>
      <c r="C88" s="180"/>
      <c r="D88" s="15">
        <f t="shared" si="4"/>
        <v>768</v>
      </c>
      <c r="E88" s="18">
        <f>IF(F3="1",SUMIF(Data!A:A,'31'!$A$2,Data!ET:ET),0)</f>
        <v>5120</v>
      </c>
      <c r="F88" s="22">
        <f t="shared" si="5"/>
        <v>6.666666666666667</v>
      </c>
    </row>
    <row r="89" spans="1:6" x14ac:dyDescent="0.2">
      <c r="A89" s="20">
        <v>23</v>
      </c>
      <c r="B89" s="179" t="s">
        <v>20</v>
      </c>
      <c r="C89" s="180"/>
      <c r="D89" s="15">
        <f t="shared" si="4"/>
        <v>43200</v>
      </c>
      <c r="E89" s="18">
        <f>IF(F3="1",SUMIF(Data!A:A,'31'!$A$2,Data!EU:EU),0)</f>
        <v>133632</v>
      </c>
      <c r="F89" s="22">
        <f t="shared" si="5"/>
        <v>3.0933333333333333</v>
      </c>
    </row>
    <row r="90" spans="1:6" x14ac:dyDescent="0.2">
      <c r="A90" s="20">
        <v>24</v>
      </c>
      <c r="B90" s="179" t="s">
        <v>21</v>
      </c>
      <c r="C90" s="180"/>
      <c r="D90" s="15">
        <f t="shared" si="4"/>
        <v>50812</v>
      </c>
      <c r="E90" s="18">
        <f>IF(F3="1",SUMIF(Data!A:A,'31'!$A$2,Data!EV:EV),0)</f>
        <v>234429</v>
      </c>
      <c r="F90" s="22">
        <f t="shared" si="5"/>
        <v>4.6136542549004176</v>
      </c>
    </row>
    <row r="91" spans="1:6" x14ac:dyDescent="0.2">
      <c r="A91" s="20">
        <v>25</v>
      </c>
      <c r="B91" s="179" t="s">
        <v>22</v>
      </c>
      <c r="C91" s="180"/>
      <c r="D91" s="15">
        <f t="shared" si="4"/>
        <v>241920</v>
      </c>
      <c r="E91" s="18">
        <f>IF(F3="1",SUMIF(Data!A:A,'31'!$A$2,Data!EW:EW),0)</f>
        <v>601840</v>
      </c>
      <c r="F91" s="22">
        <f t="shared" si="5"/>
        <v>2.4877645502645502</v>
      </c>
    </row>
    <row r="92" spans="1:6" x14ac:dyDescent="0.2">
      <c r="A92" s="20">
        <v>26</v>
      </c>
      <c r="B92" s="179" t="s">
        <v>23</v>
      </c>
      <c r="C92" s="180"/>
      <c r="D92" s="15">
        <f t="shared" si="4"/>
        <v>44816</v>
      </c>
      <c r="E92" s="18">
        <f>IF(F3="1",SUMIF(Data!A:A,'31'!$A$2,Data!EX:EX),0)</f>
        <v>243249</v>
      </c>
      <c r="F92" s="22">
        <f t="shared" si="5"/>
        <v>5.427726704748304</v>
      </c>
    </row>
    <row r="93" spans="1:6" x14ac:dyDescent="0.2">
      <c r="A93" s="20">
        <v>28</v>
      </c>
      <c r="B93" s="179" t="s">
        <v>24</v>
      </c>
      <c r="C93" s="180"/>
      <c r="D93" s="15">
        <f t="shared" si="4"/>
        <v>51984</v>
      </c>
      <c r="E93" s="18">
        <f>IF(F3="1",SUMIF(Data!A:A,'31'!$A$2,Data!EZ:EZ),0)</f>
        <v>68867</v>
      </c>
      <c r="F93" s="22">
        <f t="shared" si="5"/>
        <v>1.3247730070791013</v>
      </c>
    </row>
    <row r="94" spans="1:6" ht="15.75" customHeight="1" thickBot="1" x14ac:dyDescent="0.25">
      <c r="A94" s="23">
        <v>29</v>
      </c>
      <c r="B94" s="181" t="s">
        <v>25</v>
      </c>
      <c r="C94" s="182"/>
      <c r="D94" s="24">
        <f t="shared" si="4"/>
        <v>42144</v>
      </c>
      <c r="E94" s="25">
        <f>IF(F3="1",SUMIF(Data!A:A,'31'!$A$2,Data!FA:FA),0)</f>
        <v>68867</v>
      </c>
      <c r="F94" s="26">
        <f t="shared" si="5"/>
        <v>1.6340878891419894</v>
      </c>
    </row>
    <row r="95" spans="1:6" x14ac:dyDescent="0.2">
      <c r="B95" s="31" t="s">
        <v>35</v>
      </c>
      <c r="C95" s="31"/>
      <c r="D95" s="61">
        <f>SUM(D67:D94)</f>
        <v>1438368</v>
      </c>
      <c r="E95" s="32">
        <f>SUM(E67:E94)</f>
        <v>5410801</v>
      </c>
      <c r="F95" s="33">
        <f t="shared" si="5"/>
        <v>3.7617640270083874</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IF(F3="1",SUMIF(Data!A:A,'31'!$A$2,Data!AH:AH),0)</f>
        <v>2481843</v>
      </c>
      <c r="F98" s="21">
        <f t="shared" ref="F98:F105" si="6">IFERROR(E98/$D$95,0)</f>
        <v>1.7254576019488754</v>
      </c>
    </row>
    <row r="99" spans="2:6" x14ac:dyDescent="0.2">
      <c r="B99" s="185" t="s">
        <v>31</v>
      </c>
      <c r="C99" s="186"/>
      <c r="D99" s="37"/>
      <c r="E99" s="18">
        <f>IF(F3="1",SUMIF(Data!A:A,'31'!$A$2,Data!AI:AI),0)</f>
        <v>863663</v>
      </c>
      <c r="F99" s="22">
        <f t="shared" si="6"/>
        <v>0.60044647823088393</v>
      </c>
    </row>
    <row r="100" spans="2:6" x14ac:dyDescent="0.2">
      <c r="B100" s="185" t="s">
        <v>32</v>
      </c>
      <c r="C100" s="186"/>
      <c r="D100" s="37"/>
      <c r="E100" s="18">
        <f>IF(F3="1",SUMIF(Data!A:A,'31'!$A$2,Data!AJ:AJ),0)</f>
        <v>783510</v>
      </c>
      <c r="F100" s="22">
        <f t="shared" si="6"/>
        <v>0.54472151772008282</v>
      </c>
    </row>
    <row r="101" spans="2:6" x14ac:dyDescent="0.2">
      <c r="B101" s="185" t="s">
        <v>28</v>
      </c>
      <c r="C101" s="186"/>
      <c r="D101" s="37"/>
      <c r="E101" s="18">
        <f>IF(F3="1",SUMIF(Data!A:A,'31'!$A$2,Data!AK:AK),0)</f>
        <v>0</v>
      </c>
      <c r="F101" s="22">
        <f t="shared" si="6"/>
        <v>0</v>
      </c>
    </row>
    <row r="102" spans="2:6" x14ac:dyDescent="0.2">
      <c r="B102" s="185" t="s">
        <v>33</v>
      </c>
      <c r="C102" s="186"/>
      <c r="D102" s="37"/>
      <c r="E102" s="18">
        <f>IF(F3="1",SUMIF(Data!A:A,'31'!$A$2,Data!AL:AL),0)</f>
        <v>0</v>
      </c>
      <c r="F102" s="22">
        <f t="shared" si="6"/>
        <v>0</v>
      </c>
    </row>
    <row r="103" spans="2:6" x14ac:dyDescent="0.2">
      <c r="B103" s="187" t="s">
        <v>34</v>
      </c>
      <c r="C103" s="188"/>
      <c r="D103" s="37"/>
      <c r="E103" s="18">
        <f>IF(F3="1",SUMIF(Data!A:A,'31'!$A$2,Data!AM:AM),0)</f>
        <v>0</v>
      </c>
      <c r="F103" s="22">
        <f t="shared" si="6"/>
        <v>0</v>
      </c>
    </row>
    <row r="104" spans="2:6" ht="15.75" customHeight="1" thickBot="1" x14ac:dyDescent="0.25">
      <c r="B104" s="177" t="s">
        <v>29</v>
      </c>
      <c r="C104" s="178"/>
      <c r="D104" s="38"/>
      <c r="E104" s="25">
        <f>IF(F3="1",SUMIF(Data!A:A,'31'!$A$2,Data!Q:Q),0)</f>
        <v>286160</v>
      </c>
      <c r="F104" s="26">
        <f t="shared" si="6"/>
        <v>0.19894769627800396</v>
      </c>
    </row>
    <row r="105" spans="2:6" x14ac:dyDescent="0.2">
      <c r="B105" s="31" t="s">
        <v>35</v>
      </c>
      <c r="C105" s="31"/>
      <c r="D105" s="35">
        <f>D95</f>
        <v>1438368</v>
      </c>
      <c r="E105" s="32">
        <f>SUM(E98:E104)</f>
        <v>4415176</v>
      </c>
      <c r="F105" s="33">
        <f t="shared" si="6"/>
        <v>3.0695732941778462</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5805987</v>
      </c>
      <c r="D109" s="16">
        <f>IF(F3="1",SUMIF(Data!$A:$A,$A$2,Data!HJ:HJ),0)</f>
        <v>564570</v>
      </c>
      <c r="E109" s="16">
        <f>IF(F3="1",SUMIF(Data!$A:$A,$A$2,Data!IN:IN),0)</f>
        <v>492299</v>
      </c>
      <c r="F109" s="48">
        <f>SUM(C109:E109)</f>
        <v>6862856</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54700</v>
      </c>
      <c r="D111" s="52"/>
      <c r="E111" s="51">
        <f>IF(F3="1",SUMIF(Data!A:A,$A$2,Data!AX:AX),0)</f>
        <v>127583</v>
      </c>
      <c r="F111" s="49">
        <f t="shared" si="7"/>
        <v>182283</v>
      </c>
    </row>
    <row r="112" spans="2:6" x14ac:dyDescent="0.2">
      <c r="B112" s="43" t="s">
        <v>32</v>
      </c>
      <c r="C112" s="51">
        <f>IF(F3="1",SUMIF(Data!A:A,$A$2,Data!V:V),0)</f>
        <v>685529</v>
      </c>
      <c r="D112" s="52"/>
      <c r="E112" s="51">
        <f>IF(F3="1",SUMIF(Data!A:A,$A$2,Data!AC:AC),0)</f>
        <v>97981</v>
      </c>
      <c r="F112" s="49">
        <f t="shared" si="7"/>
        <v>783510</v>
      </c>
    </row>
    <row r="113" spans="1:6" x14ac:dyDescent="0.2">
      <c r="B113" s="43" t="s">
        <v>31</v>
      </c>
      <c r="C113" s="51">
        <f>IF(F3="1",SUMIF(Data!A:A,$A$2,Data!U:U),0)</f>
        <v>738260</v>
      </c>
      <c r="D113" s="52"/>
      <c r="E113" s="51">
        <f>IF(F3="1",SUMIF(Data!A:A,$A$2,Data!AB:AB),0)</f>
        <v>125403</v>
      </c>
      <c r="F113" s="49">
        <f t="shared" si="7"/>
        <v>863663</v>
      </c>
    </row>
    <row r="114" spans="1:6" x14ac:dyDescent="0.2">
      <c r="B114" s="43" t="s">
        <v>1363</v>
      </c>
      <c r="C114" s="51">
        <f>IF(F3="1",SUMIF(Data!A:A,$A$2,Data!T:T),0)</f>
        <v>1464353</v>
      </c>
      <c r="D114" s="52"/>
      <c r="E114" s="51">
        <f>IF(F3="1",SUMIF(Data!A:A,$A$2,Data!AA:AA),0)</f>
        <v>1017490</v>
      </c>
      <c r="F114" s="49">
        <f t="shared" si="7"/>
        <v>2481843</v>
      </c>
    </row>
    <row r="115" spans="1:6" x14ac:dyDescent="0.2">
      <c r="B115" s="43" t="s">
        <v>1278</v>
      </c>
      <c r="C115" s="51">
        <f>IF(F3="1",SUMIF(Data!A:A,$A$2,Data!BI:BI),0)</f>
        <v>317241</v>
      </c>
      <c r="D115" s="51">
        <f>IF(F3="1",SUMIF(Data!A:A,$A$2,Data!BL:BL),0)</f>
        <v>30848</v>
      </c>
      <c r="E115" s="51">
        <f>IF(F3="1",SUMIF(Data!A:A,$A$2,Data!BU:BU),0)</f>
        <v>1343653</v>
      </c>
      <c r="F115" s="49">
        <f t="shared" si="7"/>
        <v>1691742</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286160</v>
      </c>
      <c r="E117" s="53"/>
      <c r="F117" s="50">
        <f>SUM(C117:E117)</f>
        <v>286160</v>
      </c>
    </row>
    <row r="118" spans="1:6" x14ac:dyDescent="0.2">
      <c r="B118" s="14" t="s">
        <v>35</v>
      </c>
      <c r="C118" s="5">
        <f>SUM(C109:C116)</f>
        <v>9066070</v>
      </c>
      <c r="D118" s="5">
        <f>SUM(D109:D116)</f>
        <v>595418</v>
      </c>
      <c r="E118" s="5">
        <f>SUM(E109:E116)</f>
        <v>3204409</v>
      </c>
      <c r="F118" s="5">
        <f>SUM(F109:F116)</f>
        <v>12865897</v>
      </c>
    </row>
    <row r="119" spans="1:6" ht="15" thickBot="1" x14ac:dyDescent="0.25"/>
    <row r="120" spans="1:6" ht="15" thickBot="1" x14ac:dyDescent="0.25">
      <c r="B120" s="57" t="s">
        <v>1283</v>
      </c>
      <c r="C120" s="55"/>
      <c r="D120" s="55"/>
      <c r="E120" s="55">
        <f>IF(F3="1",SUMIF(Data!A:A,'31'!$A$2,Data!AM:AM),0)</f>
        <v>0</v>
      </c>
      <c r="F120" s="56">
        <f>SUM(C120:E120)</f>
        <v>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495</v>
      </c>
      <c r="B2" s="60" t="str">
        <f>VLOOKUP(A2,Data!A:G,7,0)</f>
        <v>Odessa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19290</v>
      </c>
      <c r="E5" s="16">
        <f>E36+E67+IFERROR($E$105/$D$105*D5,0)</f>
        <v>163116.35364474443</v>
      </c>
      <c r="F5" s="21">
        <f>IFERROR(E5/D5,"")</f>
        <v>8.4560058913812561</v>
      </c>
    </row>
    <row r="6" spans="1:6" x14ac:dyDescent="0.2">
      <c r="A6" s="20">
        <v>2</v>
      </c>
      <c r="B6" s="179" t="s">
        <v>1</v>
      </c>
      <c r="C6" s="180"/>
      <c r="D6" s="15">
        <f t="shared" ref="D6:D32" si="0">D37</f>
        <v>40248</v>
      </c>
      <c r="E6" s="18">
        <f t="shared" ref="E6:E32" si="1">E37+E68+IFERROR($E$105/$D$105*D6,0)</f>
        <v>473766.62589391775</v>
      </c>
      <c r="F6" s="22">
        <f t="shared" ref="F6:F33" si="2">IFERROR(E6/D6,"")</f>
        <v>11.771184304659057</v>
      </c>
    </row>
    <row r="7" spans="1:6" ht="14.25" customHeight="1" x14ac:dyDescent="0.2">
      <c r="A7" s="20">
        <v>3</v>
      </c>
      <c r="B7" s="179" t="s">
        <v>2</v>
      </c>
      <c r="C7" s="180"/>
      <c r="D7" s="15">
        <f t="shared" si="0"/>
        <v>219408</v>
      </c>
      <c r="E7" s="18">
        <f t="shared" si="1"/>
        <v>1869850.0846286202</v>
      </c>
      <c r="F7" s="22">
        <f t="shared" si="2"/>
        <v>8.5222511696411267</v>
      </c>
    </row>
    <row r="8" spans="1:6" ht="14.25" customHeight="1" x14ac:dyDescent="0.2">
      <c r="A8" s="20">
        <v>4</v>
      </c>
      <c r="B8" s="179" t="s">
        <v>3</v>
      </c>
      <c r="C8" s="180"/>
      <c r="D8" s="15">
        <f t="shared" si="0"/>
        <v>168602</v>
      </c>
      <c r="E8" s="18">
        <f t="shared" si="1"/>
        <v>1885632.7125563091</v>
      </c>
      <c r="F8" s="22">
        <f t="shared" si="2"/>
        <v>11.183928497623452</v>
      </c>
    </row>
    <row r="9" spans="1:6" x14ac:dyDescent="0.2">
      <c r="A9" s="20">
        <v>5</v>
      </c>
      <c r="B9" s="179" t="s">
        <v>4</v>
      </c>
      <c r="C9" s="180"/>
      <c r="D9" s="15">
        <f t="shared" si="0"/>
        <v>96</v>
      </c>
      <c r="E9" s="18">
        <f t="shared" si="1"/>
        <v>738.14639449950573</v>
      </c>
      <c r="F9" s="22">
        <f t="shared" si="2"/>
        <v>7.6890249427031847</v>
      </c>
    </row>
    <row r="10" spans="1:6" x14ac:dyDescent="0.2">
      <c r="A10" s="20">
        <v>6</v>
      </c>
      <c r="B10" s="179" t="s">
        <v>5</v>
      </c>
      <c r="C10" s="180"/>
      <c r="D10" s="15">
        <f t="shared" si="0"/>
        <v>50812</v>
      </c>
      <c r="E10" s="18">
        <f t="shared" si="1"/>
        <v>295420.44372196752</v>
      </c>
      <c r="F10" s="22">
        <f t="shared" si="2"/>
        <v>5.8139896820036121</v>
      </c>
    </row>
    <row r="11" spans="1:6" x14ac:dyDescent="0.2">
      <c r="A11" s="20">
        <v>7</v>
      </c>
      <c r="B11" s="179" t="s">
        <v>6</v>
      </c>
      <c r="C11" s="180"/>
      <c r="D11" s="15">
        <f t="shared" si="0"/>
        <v>27929</v>
      </c>
      <c r="E11" s="18">
        <f t="shared" si="1"/>
        <v>215214.35054142389</v>
      </c>
      <c r="F11" s="22">
        <f t="shared" si="2"/>
        <v>7.7057664270623327</v>
      </c>
    </row>
    <row r="12" spans="1:6" x14ac:dyDescent="0.2">
      <c r="A12" s="20">
        <v>8</v>
      </c>
      <c r="B12" s="179" t="s">
        <v>7</v>
      </c>
      <c r="C12" s="180"/>
      <c r="D12" s="15">
        <f t="shared" si="0"/>
        <v>44184</v>
      </c>
      <c r="E12" s="18">
        <f t="shared" si="1"/>
        <v>270038.62806839752</v>
      </c>
      <c r="F12" s="22">
        <f t="shared" si="2"/>
        <v>6.111683597419824</v>
      </c>
    </row>
    <row r="13" spans="1:6" x14ac:dyDescent="0.2">
      <c r="A13" s="20">
        <v>9</v>
      </c>
      <c r="B13" s="179" t="s">
        <v>8</v>
      </c>
      <c r="C13" s="180"/>
      <c r="D13" s="15">
        <f t="shared" si="0"/>
        <v>168972</v>
      </c>
      <c r="E13" s="18">
        <f t="shared" si="1"/>
        <v>1480024.7976184424</v>
      </c>
      <c r="F13" s="22">
        <f t="shared" si="2"/>
        <v>8.7589943755086193</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114514</v>
      </c>
      <c r="E15" s="18">
        <f t="shared" si="1"/>
        <v>999891.14812204579</v>
      </c>
      <c r="F15" s="22">
        <f t="shared" si="2"/>
        <v>8.7316061627577923</v>
      </c>
    </row>
    <row r="16" spans="1:6" ht="14.25" customHeight="1" x14ac:dyDescent="0.2">
      <c r="A16" s="20">
        <v>12</v>
      </c>
      <c r="B16" s="179" t="s">
        <v>11</v>
      </c>
      <c r="C16" s="180"/>
      <c r="D16" s="15">
        <f t="shared" si="0"/>
        <v>240753</v>
      </c>
      <c r="E16" s="18">
        <f t="shared" si="1"/>
        <v>2309931.4782806197</v>
      </c>
      <c r="F16" s="22">
        <f t="shared" si="2"/>
        <v>9.5946113995697662</v>
      </c>
    </row>
    <row r="17" spans="1:6" x14ac:dyDescent="0.2">
      <c r="A17" s="20">
        <v>13</v>
      </c>
      <c r="B17" s="179" t="s">
        <v>12</v>
      </c>
      <c r="C17" s="180"/>
      <c r="D17" s="15">
        <f t="shared" si="0"/>
        <v>14832</v>
      </c>
      <c r="E17" s="18">
        <f t="shared" si="1"/>
        <v>135632.11795017362</v>
      </c>
      <c r="F17" s="22">
        <f t="shared" si="2"/>
        <v>9.144560271721522</v>
      </c>
    </row>
    <row r="18" spans="1:6" ht="14.25" customHeight="1" x14ac:dyDescent="0.2">
      <c r="A18" s="20">
        <v>14</v>
      </c>
      <c r="B18" s="179" t="s">
        <v>804</v>
      </c>
      <c r="C18" s="180"/>
      <c r="D18" s="15">
        <f t="shared" si="0"/>
        <v>130929</v>
      </c>
      <c r="E18" s="18">
        <f t="shared" si="1"/>
        <v>1905590.0029731854</v>
      </c>
      <c r="F18" s="22">
        <f t="shared" si="2"/>
        <v>14.554376822347878</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176579</v>
      </c>
      <c r="E20" s="18">
        <f t="shared" si="1"/>
        <v>2073622.4707742524</v>
      </c>
      <c r="F20" s="22">
        <f t="shared" si="2"/>
        <v>11.743313025751943</v>
      </c>
    </row>
    <row r="21" spans="1:6" x14ac:dyDescent="0.2">
      <c r="A21" s="20">
        <v>17</v>
      </c>
      <c r="B21" s="179" t="s">
        <v>15</v>
      </c>
      <c r="C21" s="180"/>
      <c r="D21" s="15">
        <f t="shared" si="0"/>
        <v>168</v>
      </c>
      <c r="E21" s="18">
        <f t="shared" si="1"/>
        <v>1268.006190374135</v>
      </c>
      <c r="F21" s="22">
        <f t="shared" si="2"/>
        <v>7.5476558950841373</v>
      </c>
    </row>
    <row r="22" spans="1:6" x14ac:dyDescent="0.2">
      <c r="A22" s="20">
        <v>18</v>
      </c>
      <c r="B22" s="179" t="s">
        <v>16</v>
      </c>
      <c r="C22" s="180"/>
      <c r="D22" s="15">
        <f t="shared" si="0"/>
        <v>68512</v>
      </c>
      <c r="E22" s="18">
        <f t="shared" si="1"/>
        <v>708137.81020781398</v>
      </c>
      <c r="F22" s="22">
        <f t="shared" si="2"/>
        <v>10.335967570758612</v>
      </c>
    </row>
    <row r="23" spans="1:6" x14ac:dyDescent="0.2">
      <c r="A23" s="20">
        <v>19</v>
      </c>
      <c r="B23" s="179" t="s">
        <v>17</v>
      </c>
      <c r="C23" s="180"/>
      <c r="D23" s="15">
        <f t="shared" si="0"/>
        <v>114288</v>
      </c>
      <c r="E23" s="18">
        <f t="shared" si="1"/>
        <v>1091762.7826516614</v>
      </c>
      <c r="F23" s="22">
        <f t="shared" si="2"/>
        <v>9.552733293536166</v>
      </c>
    </row>
    <row r="24" spans="1:6" x14ac:dyDescent="0.2">
      <c r="A24" s="20">
        <v>20</v>
      </c>
      <c r="B24" s="179" t="s">
        <v>18</v>
      </c>
      <c r="C24" s="180"/>
      <c r="D24" s="15">
        <f t="shared" si="0"/>
        <v>39751</v>
      </c>
      <c r="E24" s="18">
        <f t="shared" si="1"/>
        <v>334571.85758072761</v>
      </c>
      <c r="F24" s="22">
        <f t="shared" si="2"/>
        <v>8.4166903368651766</v>
      </c>
    </row>
    <row r="25" spans="1:6" ht="14.25" customHeight="1" x14ac:dyDescent="0.2">
      <c r="A25" s="20">
        <v>21</v>
      </c>
      <c r="B25" s="179" t="s">
        <v>801</v>
      </c>
      <c r="C25" s="180"/>
      <c r="D25" s="15">
        <f t="shared" si="0"/>
        <v>44302</v>
      </c>
      <c r="E25" s="18">
        <f t="shared" si="1"/>
        <v>1024431.7038449699</v>
      </c>
      <c r="F25" s="22">
        <f t="shared" si="2"/>
        <v>23.123825196265855</v>
      </c>
    </row>
    <row r="26" spans="1:6" x14ac:dyDescent="0.2">
      <c r="A26" s="20">
        <v>22</v>
      </c>
      <c r="B26" s="179" t="s">
        <v>19</v>
      </c>
      <c r="C26" s="180"/>
      <c r="D26" s="15">
        <f t="shared" si="0"/>
        <v>7512</v>
      </c>
      <c r="E26" s="18">
        <f t="shared" si="1"/>
        <v>68293.705369586329</v>
      </c>
      <c r="F26" s="22">
        <f t="shared" si="2"/>
        <v>9.091281332479543</v>
      </c>
    </row>
    <row r="27" spans="1:6" x14ac:dyDescent="0.2">
      <c r="A27" s="20">
        <v>23</v>
      </c>
      <c r="B27" s="179" t="s">
        <v>20</v>
      </c>
      <c r="C27" s="180"/>
      <c r="D27" s="15">
        <f t="shared" si="0"/>
        <v>92240</v>
      </c>
      <c r="E27" s="18">
        <f t="shared" si="1"/>
        <v>1050182.8273816085</v>
      </c>
      <c r="F27" s="22">
        <f t="shared" si="2"/>
        <v>11.385329871873466</v>
      </c>
    </row>
    <row r="28" spans="1:6" x14ac:dyDescent="0.2">
      <c r="A28" s="20">
        <v>24</v>
      </c>
      <c r="B28" s="179" t="s">
        <v>21</v>
      </c>
      <c r="C28" s="180"/>
      <c r="D28" s="15">
        <f t="shared" si="0"/>
        <v>67928</v>
      </c>
      <c r="E28" s="18">
        <f t="shared" si="1"/>
        <v>866347.50297460856</v>
      </c>
      <c r="F28" s="22">
        <f t="shared" si="2"/>
        <v>12.753908594020265</v>
      </c>
    </row>
    <row r="29" spans="1:6" x14ac:dyDescent="0.2">
      <c r="A29" s="20">
        <v>25</v>
      </c>
      <c r="B29" s="179" t="s">
        <v>22</v>
      </c>
      <c r="C29" s="180"/>
      <c r="D29" s="15">
        <f t="shared" si="0"/>
        <v>322416</v>
      </c>
      <c r="E29" s="18">
        <f t="shared" si="1"/>
        <v>2756160.1659265896</v>
      </c>
      <c r="F29" s="22">
        <f t="shared" si="2"/>
        <v>8.5484596481768573</v>
      </c>
    </row>
    <row r="30" spans="1:6" x14ac:dyDescent="0.2">
      <c r="A30" s="20">
        <v>26</v>
      </c>
      <c r="B30" s="179" t="s">
        <v>23</v>
      </c>
      <c r="C30" s="180"/>
      <c r="D30" s="15">
        <f t="shared" si="0"/>
        <v>117802</v>
      </c>
      <c r="E30" s="18">
        <f t="shared" si="1"/>
        <v>1311183.4121336539</v>
      </c>
      <c r="F30" s="22">
        <f t="shared" si="2"/>
        <v>11.130400265985754</v>
      </c>
    </row>
    <row r="31" spans="1:6" x14ac:dyDescent="0.2">
      <c r="A31" s="20">
        <v>28</v>
      </c>
      <c r="B31" s="179" t="s">
        <v>24</v>
      </c>
      <c r="C31" s="180"/>
      <c r="D31" s="15">
        <f t="shared" si="0"/>
        <v>114048</v>
      </c>
      <c r="E31" s="18">
        <f t="shared" si="1"/>
        <v>989006.91666541272</v>
      </c>
      <c r="F31" s="22">
        <f t="shared" si="2"/>
        <v>8.6718479645887054</v>
      </c>
    </row>
    <row r="32" spans="1:6" ht="15.75" customHeight="1" thickBot="1" x14ac:dyDescent="0.25">
      <c r="A32" s="23">
        <v>29</v>
      </c>
      <c r="B32" s="181" t="s">
        <v>25</v>
      </c>
      <c r="C32" s="182"/>
      <c r="D32" s="24">
        <f t="shared" si="0"/>
        <v>52864</v>
      </c>
      <c r="E32" s="25">
        <f t="shared" si="1"/>
        <v>608299.94790439447</v>
      </c>
      <c r="F32" s="26">
        <f t="shared" si="2"/>
        <v>11.506884607755646</v>
      </c>
    </row>
    <row r="33" spans="1:6" x14ac:dyDescent="0.2">
      <c r="B33" s="31" t="s">
        <v>35</v>
      </c>
      <c r="C33" s="31"/>
      <c r="D33" s="61">
        <f>SUM(D5:D32)</f>
        <v>2458979</v>
      </c>
      <c r="E33" s="32">
        <f>SUM(E5:E32)</f>
        <v>24888115.999999996</v>
      </c>
      <c r="F33" s="33">
        <f t="shared" si="2"/>
        <v>10.121321084889296</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IF(F3="1",SUMIF(Data!A:A,'32'!$A$2,Data!CU:CU),0)</f>
        <v>19290</v>
      </c>
      <c r="E36" s="16">
        <f>IF(F3="1",SUMIF(Data!$A:$A,'32'!$A$2,Data!IO:IO),0)</f>
        <v>10779</v>
      </c>
      <c r="F36" s="21">
        <f t="shared" ref="F36:F64" si="3">IFERROR(E36/D36,"")</f>
        <v>0.55878693623639186</v>
      </c>
    </row>
    <row r="37" spans="1:6" x14ac:dyDescent="0.2">
      <c r="A37" s="20">
        <v>2</v>
      </c>
      <c r="B37" s="179" t="s">
        <v>1</v>
      </c>
      <c r="C37" s="180"/>
      <c r="D37" s="15">
        <f>IF(F3="1",SUMIF(Data!A:A,'32'!$A$2,Data!CV:CV),0)</f>
        <v>40248</v>
      </c>
      <c r="E37" s="18">
        <f>IF(F3="1",SUMIF(Data!$A:$A,'32'!$A$2,Data!IP:IP),0)</f>
        <v>105088</v>
      </c>
      <c r="F37" s="22">
        <f t="shared" si="3"/>
        <v>2.6110117272907969</v>
      </c>
    </row>
    <row r="38" spans="1:6" ht="14.25" customHeight="1" x14ac:dyDescent="0.2">
      <c r="A38" s="20">
        <v>3</v>
      </c>
      <c r="B38" s="179" t="s">
        <v>2</v>
      </c>
      <c r="C38" s="180"/>
      <c r="D38" s="15">
        <f>IF(F3="1",SUMIF(Data!A:A,'32'!$A$2,Data!CW:CW),0)</f>
        <v>219408</v>
      </c>
      <c r="E38" s="18">
        <f>IF(F3="1",SUMIF(Data!$A:$A,'32'!$A$2,Data!IQ:IQ),0)</f>
        <v>168651</v>
      </c>
      <c r="F38" s="22">
        <f t="shared" si="3"/>
        <v>0.76866385911179169</v>
      </c>
    </row>
    <row r="39" spans="1:6" ht="14.25" customHeight="1" x14ac:dyDescent="0.2">
      <c r="A39" s="20">
        <v>4</v>
      </c>
      <c r="B39" s="179" t="s">
        <v>3</v>
      </c>
      <c r="C39" s="180"/>
      <c r="D39" s="15">
        <f>IF(F3="1",SUMIF(Data!A:A,'32'!$A$2,Data!CX:CX),0)</f>
        <v>168602</v>
      </c>
      <c r="E39" s="18">
        <f>IF(F3="1",SUMIF(Data!$A:$A,'32'!$A$2,Data!IR:IR),0)</f>
        <v>233184</v>
      </c>
      <c r="F39" s="22">
        <f t="shared" si="3"/>
        <v>1.3830440920036535</v>
      </c>
    </row>
    <row r="40" spans="1:6" x14ac:dyDescent="0.2">
      <c r="A40" s="20">
        <v>5</v>
      </c>
      <c r="B40" s="179" t="s">
        <v>4</v>
      </c>
      <c r="C40" s="180"/>
      <c r="D40" s="15">
        <f>IF(F3="1",SUMIF(Data!A:A,'32'!$A$2,Data!CY:CY),0)</f>
        <v>96</v>
      </c>
      <c r="E40" s="18">
        <f>IF(F3="1",SUMIF(Data!$A:$A,'32'!$A$2,Data!IS:IS),0)</f>
        <v>241</v>
      </c>
      <c r="F40" s="22">
        <f t="shared" si="3"/>
        <v>2.5104166666666665</v>
      </c>
    </row>
    <row r="41" spans="1:6" x14ac:dyDescent="0.2">
      <c r="A41" s="20">
        <v>6</v>
      </c>
      <c r="B41" s="179" t="s">
        <v>5</v>
      </c>
      <c r="C41" s="180"/>
      <c r="D41" s="15">
        <f>IF(F3="1",SUMIF(Data!A:A,'32'!$A$2,Data!CZ:CZ),0)</f>
        <v>50812</v>
      </c>
      <c r="E41" s="18">
        <f>IF(F3="1",SUMIF(Data!$A:$A,'32'!$A$2,Data!IT:IT),0)</f>
        <v>5873</v>
      </c>
      <c r="F41" s="22">
        <f t="shared" si="3"/>
        <v>0.115582933165394</v>
      </c>
    </row>
    <row r="42" spans="1:6" x14ac:dyDescent="0.2">
      <c r="A42" s="20">
        <v>7</v>
      </c>
      <c r="B42" s="179" t="s">
        <v>6</v>
      </c>
      <c r="C42" s="180"/>
      <c r="D42" s="15">
        <f>IF(F3="1",SUMIF(Data!A:A,'32'!$A$2,Data!DA:DA),0)</f>
        <v>27929</v>
      </c>
      <c r="E42" s="18">
        <f>IF(F3="1",SUMIF(Data!$A:$A,'32'!$A$2,Data!IU:IU),0)</f>
        <v>21708</v>
      </c>
      <c r="F42" s="22">
        <f t="shared" si="3"/>
        <v>0.77725661498800525</v>
      </c>
    </row>
    <row r="43" spans="1:6" x14ac:dyDescent="0.2">
      <c r="A43" s="20">
        <v>8</v>
      </c>
      <c r="B43" s="179" t="s">
        <v>7</v>
      </c>
      <c r="C43" s="180"/>
      <c r="D43" s="15">
        <f>IF(F3="1",SUMIF(Data!A:A,'32'!$A$2,Data!DB:DB),0)</f>
        <v>44184</v>
      </c>
      <c r="E43" s="18">
        <f>IF(F3="1",SUMIF(Data!$A:$A,'32'!$A$2,Data!IV:IV),0)</f>
        <v>13917</v>
      </c>
      <c r="F43" s="22">
        <f t="shared" si="3"/>
        <v>0.31497827267789247</v>
      </c>
    </row>
    <row r="44" spans="1:6" x14ac:dyDescent="0.2">
      <c r="A44" s="20">
        <v>9</v>
      </c>
      <c r="B44" s="179" t="s">
        <v>8</v>
      </c>
      <c r="C44" s="180"/>
      <c r="D44" s="15">
        <f>IF(F3="1",SUMIF(Data!A:A,'32'!$A$2,Data!DC:DC),0)</f>
        <v>168972</v>
      </c>
      <c r="E44" s="18">
        <f>IF(F3="1",SUMIF(Data!$A:$A,'32'!$A$2,Data!IW:IW),0)</f>
        <v>175495</v>
      </c>
      <c r="F44" s="22">
        <f t="shared" si="3"/>
        <v>1.038604029069905</v>
      </c>
    </row>
    <row r="45" spans="1:6" x14ac:dyDescent="0.2">
      <c r="A45" s="20">
        <v>10</v>
      </c>
      <c r="B45" s="179" t="s">
        <v>9</v>
      </c>
      <c r="C45" s="180"/>
      <c r="D45" s="15">
        <f>IF(F3="1",SUMIF(Data!A:A,'32'!$A$2,Data!DD:DD),0)</f>
        <v>0</v>
      </c>
      <c r="E45" s="18">
        <f>IF(F3="1",SUMIF(Data!$A:$A,'32'!$A$2,Data!IX:IX),0)</f>
        <v>0</v>
      </c>
      <c r="F45" s="22" t="str">
        <f t="shared" si="3"/>
        <v/>
      </c>
    </row>
    <row r="46" spans="1:6" x14ac:dyDescent="0.2">
      <c r="A46" s="20">
        <v>11</v>
      </c>
      <c r="B46" s="179" t="s">
        <v>10</v>
      </c>
      <c r="C46" s="180"/>
      <c r="D46" s="15">
        <f>IF(F3="1",SUMIF(Data!A:A,'32'!$A$2,Data!DE:DE),0)</f>
        <v>114514</v>
      </c>
      <c r="E46" s="18">
        <f>IF(F3="1",SUMIF(Data!$A:$A,'32'!$A$2,Data!IY:IY),0)</f>
        <v>89264</v>
      </c>
      <c r="F46" s="22">
        <f t="shared" si="3"/>
        <v>0.77950294287161392</v>
      </c>
    </row>
    <row r="47" spans="1:6" ht="14.25" customHeight="1" x14ac:dyDescent="0.2">
      <c r="A47" s="20">
        <v>12</v>
      </c>
      <c r="B47" s="179" t="s">
        <v>11</v>
      </c>
      <c r="C47" s="180"/>
      <c r="D47" s="15">
        <f>IF(F3="1",SUMIF(Data!A:A,'32'!$A$2,Data!DF:DF),0)</f>
        <v>240753</v>
      </c>
      <c r="E47" s="18">
        <f>IF(F3="1",SUMIF(Data!$A:$A,'32'!$A$2,Data!IZ:IZ),0)</f>
        <v>131862</v>
      </c>
      <c r="F47" s="22">
        <f t="shared" si="3"/>
        <v>0.54770657063463379</v>
      </c>
    </row>
    <row r="48" spans="1:6" x14ac:dyDescent="0.2">
      <c r="A48" s="20">
        <v>13</v>
      </c>
      <c r="B48" s="179" t="s">
        <v>12</v>
      </c>
      <c r="C48" s="180"/>
      <c r="D48" s="15">
        <f>IF(F3="1",SUMIF(Data!A:A,'32'!$A$2,Data!DG:DG),0)</f>
        <v>14832</v>
      </c>
      <c r="E48" s="18">
        <f>IF(F3="1",SUMIF(Data!$A:$A,'32'!$A$2,Data!JA:JA),0)</f>
        <v>5200</v>
      </c>
      <c r="F48" s="22">
        <f t="shared" si="3"/>
        <v>0.35059331175836028</v>
      </c>
    </row>
    <row r="49" spans="1:6" ht="14.25" customHeight="1" x14ac:dyDescent="0.2">
      <c r="A49" s="20">
        <v>14</v>
      </c>
      <c r="B49" s="179" t="s">
        <v>804</v>
      </c>
      <c r="C49" s="180"/>
      <c r="D49" s="15">
        <f>IF(F3="1",SUMIF(Data!A:A,'32'!$A$2,Data!DH:DH),0)</f>
        <v>130929</v>
      </c>
      <c r="E49" s="18">
        <f>IF(F3="1",SUMIF(Data!$A:$A,'32'!$A$2,Data!JB:JB),0)</f>
        <v>294194</v>
      </c>
      <c r="F49" s="22">
        <f t="shared" si="3"/>
        <v>2.2469735505502983</v>
      </c>
    </row>
    <row r="50" spans="1:6" x14ac:dyDescent="0.2">
      <c r="A50" s="20">
        <v>15</v>
      </c>
      <c r="B50" s="179" t="s">
        <v>13</v>
      </c>
      <c r="C50" s="180"/>
      <c r="D50" s="15">
        <f>IF(F3="1",SUMIF(Data!A:A,'32'!$A$2,Data!DI:DI),0)</f>
        <v>0</v>
      </c>
      <c r="E50" s="18">
        <f>IF(F3="1",SUMIF(Data!$A:$A,'32'!$A$2,Data!JC:JC),0)</f>
        <v>0</v>
      </c>
      <c r="F50" s="22" t="str">
        <f t="shared" si="3"/>
        <v/>
      </c>
    </row>
    <row r="51" spans="1:6" x14ac:dyDescent="0.2">
      <c r="A51" s="20">
        <v>16</v>
      </c>
      <c r="B51" s="179" t="s">
        <v>14</v>
      </c>
      <c r="C51" s="180"/>
      <c r="D51" s="15">
        <f>IF(F3="1",SUMIF(Data!A:A,'32'!$A$2,Data!DJ:DJ),0)</f>
        <v>176579</v>
      </c>
      <c r="E51" s="18">
        <f>IF(F3="1",SUMIF(Data!$A:$A,'32'!$A$2,Data!JD:JD),0)</f>
        <v>268341</v>
      </c>
      <c r="F51" s="22">
        <f t="shared" si="3"/>
        <v>1.5196654188776695</v>
      </c>
    </row>
    <row r="52" spans="1:6" x14ac:dyDescent="0.2">
      <c r="A52" s="20">
        <v>17</v>
      </c>
      <c r="B52" s="179" t="s">
        <v>15</v>
      </c>
      <c r="C52" s="180"/>
      <c r="D52" s="15">
        <f>IF(F3="1",SUMIF(Data!A:A,'32'!$A$2,Data!DK:DK),0)</f>
        <v>168</v>
      </c>
      <c r="E52" s="18">
        <f>IF(F3="1",SUMIF(Data!$A:$A,'32'!$A$2,Data!JE:JE),0)</f>
        <v>398</v>
      </c>
      <c r="F52" s="22">
        <f t="shared" si="3"/>
        <v>2.3690476190476191</v>
      </c>
    </row>
    <row r="53" spans="1:6" x14ac:dyDescent="0.2">
      <c r="A53" s="20">
        <v>18</v>
      </c>
      <c r="B53" s="179" t="s">
        <v>16</v>
      </c>
      <c r="C53" s="180"/>
      <c r="D53" s="15">
        <f>IF(F3="1",SUMIF(Data!A:A,'32'!$A$2,Data!DL:DL),0)</f>
        <v>68512</v>
      </c>
      <c r="E53" s="18">
        <f>IF(F3="1",SUMIF(Data!$A:$A,'32'!$A$2,Data!JF:JF),0)</f>
        <v>105998</v>
      </c>
      <c r="F53" s="22">
        <f t="shared" si="3"/>
        <v>1.5471450256889303</v>
      </c>
    </row>
    <row r="54" spans="1:6" x14ac:dyDescent="0.2">
      <c r="A54" s="20">
        <v>19</v>
      </c>
      <c r="B54" s="179" t="s">
        <v>17</v>
      </c>
      <c r="C54" s="180"/>
      <c r="D54" s="15">
        <f>IF(F3="1",SUMIF(Data!A:A,'32'!$A$2,Data!DM:DM),0)</f>
        <v>114288</v>
      </c>
      <c r="E54" s="18">
        <f>IF(F3="1",SUMIF(Data!$A:$A,'32'!$A$2,Data!JG:JG),0)</f>
        <v>53449</v>
      </c>
      <c r="F54" s="22">
        <f t="shared" si="3"/>
        <v>0.46766939661206774</v>
      </c>
    </row>
    <row r="55" spans="1:6" x14ac:dyDescent="0.2">
      <c r="A55" s="20">
        <v>20</v>
      </c>
      <c r="B55" s="179" t="s">
        <v>18</v>
      </c>
      <c r="C55" s="180"/>
      <c r="D55" s="15">
        <f>IF(F3="1",SUMIF(Data!A:A,'32'!$A$2,Data!DN:DN),0)</f>
        <v>39751</v>
      </c>
      <c r="E55" s="18">
        <f>IF(F3="1",SUMIF(Data!$A:$A,'32'!$A$2,Data!JH:JH),0)</f>
        <v>56507</v>
      </c>
      <c r="F55" s="22">
        <f t="shared" si="3"/>
        <v>1.4215239868179417</v>
      </c>
    </row>
    <row r="56" spans="1:6" ht="14.25" customHeight="1" x14ac:dyDescent="0.2">
      <c r="A56" s="20">
        <v>21</v>
      </c>
      <c r="B56" s="179" t="s">
        <v>801</v>
      </c>
      <c r="C56" s="180"/>
      <c r="D56" s="15">
        <f>IF(F3="1",SUMIF(Data!A:A,'32'!$A$2,Data!DO:DO),0)</f>
        <v>44302</v>
      </c>
      <c r="E56" s="18">
        <f>IF(F3="1",SUMIF(Data!$A:$A,'32'!$A$2,Data!JI:JI),0)</f>
        <v>660667</v>
      </c>
      <c r="F56" s="22">
        <f t="shared" si="3"/>
        <v>14.912803033723083</v>
      </c>
    </row>
    <row r="57" spans="1:6" x14ac:dyDescent="0.2">
      <c r="A57" s="20">
        <v>22</v>
      </c>
      <c r="B57" s="179" t="s">
        <v>19</v>
      </c>
      <c r="C57" s="180"/>
      <c r="D57" s="15">
        <f>IF(F3="1",SUMIF(Data!A:A,'32'!$A$2,Data!DP:DP),0)</f>
        <v>7512</v>
      </c>
      <c r="E57" s="18">
        <f>IF(F3="1",SUMIF(Data!$A:$A,'32'!$A$2,Data!JJ:JJ),0)</f>
        <v>5806</v>
      </c>
      <c r="F57" s="22">
        <f t="shared" si="3"/>
        <v>0.77289669861554844</v>
      </c>
    </row>
    <row r="58" spans="1:6" x14ac:dyDescent="0.2">
      <c r="A58" s="20">
        <v>23</v>
      </c>
      <c r="B58" s="179" t="s">
        <v>20</v>
      </c>
      <c r="C58" s="180"/>
      <c r="D58" s="15">
        <f>IF(F3="1",SUMIF(Data!A:A,'32'!$A$2,Data!DQ:DQ),0)</f>
        <v>92240</v>
      </c>
      <c r="E58" s="18">
        <f>IF(F3="1",SUMIF(Data!$A:$A,'32'!$A$2,Data!JK:JK),0)</f>
        <v>194249</v>
      </c>
      <c r="F58" s="22">
        <f t="shared" si="3"/>
        <v>2.1059084995663486</v>
      </c>
    </row>
    <row r="59" spans="1:6" x14ac:dyDescent="0.2">
      <c r="A59" s="20">
        <v>24</v>
      </c>
      <c r="B59" s="179" t="s">
        <v>21</v>
      </c>
      <c r="C59" s="180"/>
      <c r="D59" s="15">
        <f>IF(F3="1",SUMIF(Data!A:A,'32'!$A$2,Data!DR:DR),0)</f>
        <v>67928</v>
      </c>
      <c r="E59" s="18">
        <f>IF(F3="1",SUMIF(Data!$A:$A,'32'!$A$2,Data!JL:JL),0)</f>
        <v>100465</v>
      </c>
      <c r="F59" s="22">
        <f t="shared" si="3"/>
        <v>1.4789924626074666</v>
      </c>
    </row>
    <row r="60" spans="1:6" x14ac:dyDescent="0.2">
      <c r="A60" s="20">
        <v>25</v>
      </c>
      <c r="B60" s="179" t="s">
        <v>22</v>
      </c>
      <c r="C60" s="180"/>
      <c r="D60" s="15">
        <f>IF(F3="1",SUMIF(Data!A:A,'32'!$A$2,Data!DS:DS),0)</f>
        <v>322416</v>
      </c>
      <c r="E60" s="18">
        <f>IF(F3="1",SUMIF(Data!$A:$A,'32'!$A$2,Data!JM:JM),0)</f>
        <v>130939</v>
      </c>
      <c r="F60" s="22">
        <f t="shared" si="3"/>
        <v>0.40611818272046052</v>
      </c>
    </row>
    <row r="61" spans="1:6" x14ac:dyDescent="0.2">
      <c r="A61" s="20">
        <v>26</v>
      </c>
      <c r="B61" s="179" t="s">
        <v>23</v>
      </c>
      <c r="C61" s="180"/>
      <c r="D61" s="15">
        <f>IF(F3="1",SUMIF(Data!A:A,'32'!$A$2,Data!DT:DT),0)</f>
        <v>117802</v>
      </c>
      <c r="E61" s="18">
        <f>IF(F3="1",SUMIF(Data!$A:$A,'32'!$A$2,Data!JN:JN),0)</f>
        <v>135608</v>
      </c>
      <c r="F61" s="22">
        <f t="shared" si="3"/>
        <v>1.1511519329043649</v>
      </c>
    </row>
    <row r="62" spans="1:6" x14ac:dyDescent="0.2">
      <c r="A62" s="20">
        <v>28</v>
      </c>
      <c r="B62" s="179" t="s">
        <v>24</v>
      </c>
      <c r="C62" s="180"/>
      <c r="D62" s="15">
        <f>IF(F3="1",SUMIF(Data!A:A,'32'!$A$2,Data!DV:DV),0)</f>
        <v>114048</v>
      </c>
      <c r="E62" s="18">
        <f>IF(F3="1",SUMIF(Data!$A:$A,'32'!$A$2,Data!JP:JP),0)</f>
        <v>58395</v>
      </c>
      <c r="F62" s="22">
        <f t="shared" si="3"/>
        <v>0.51202125420875422</v>
      </c>
    </row>
    <row r="63" spans="1:6" ht="15.75" customHeight="1" thickBot="1" x14ac:dyDescent="0.25">
      <c r="A63" s="23">
        <v>29</v>
      </c>
      <c r="B63" s="181" t="s">
        <v>25</v>
      </c>
      <c r="C63" s="182"/>
      <c r="D63" s="24">
        <f>IF(F3="1",SUMIF(Data!A:A,'32'!$A$2,Data!DW:DW),0)</f>
        <v>52864</v>
      </c>
      <c r="E63" s="25">
        <f>IF(F3="1",SUMIF(Data!$A:$A,'32'!$A$2,Data!JQ:JQ),0)</f>
        <v>47436</v>
      </c>
      <c r="F63" s="26">
        <f t="shared" si="3"/>
        <v>0.8973214285714286</v>
      </c>
    </row>
    <row r="64" spans="1:6" x14ac:dyDescent="0.2">
      <c r="B64" s="31" t="s">
        <v>35</v>
      </c>
      <c r="C64" s="31"/>
      <c r="D64" s="61">
        <f>SUM(D36:D63)</f>
        <v>2458979</v>
      </c>
      <c r="E64" s="32">
        <f>SUM(E36:E63)</f>
        <v>3073714</v>
      </c>
      <c r="F64" s="33">
        <f t="shared" si="3"/>
        <v>1.2499960349397046</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19290</v>
      </c>
      <c r="E67" s="16">
        <f>IF(F3="1",SUMIF(Data!A:A,'32'!$A$2,Data!DY:DY),0)</f>
        <v>52442</v>
      </c>
      <c r="F67" s="21">
        <f>IFERROR(E67/D67,"")</f>
        <v>2.7186106791083464</v>
      </c>
    </row>
    <row r="68" spans="1:6" x14ac:dyDescent="0.2">
      <c r="A68" s="20">
        <v>2</v>
      </c>
      <c r="B68" s="179" t="s">
        <v>1</v>
      </c>
      <c r="C68" s="180"/>
      <c r="D68" s="15">
        <f t="shared" ref="D68:D94" si="4">D37</f>
        <v>40248</v>
      </c>
      <c r="E68" s="18">
        <f>IF(F3="1",SUMIF(Data!A:A,'32'!$A$2,Data!DZ:DZ),0)</f>
        <v>160250</v>
      </c>
      <c r="F68" s="22">
        <f t="shared" ref="F68:F95" si="5">IFERROR(E68/D68,"")</f>
        <v>3.9815643013317432</v>
      </c>
    </row>
    <row r="69" spans="1:6" ht="14.25" customHeight="1" x14ac:dyDescent="0.2">
      <c r="A69" s="20">
        <v>3</v>
      </c>
      <c r="B69" s="179" t="s">
        <v>2</v>
      </c>
      <c r="C69" s="180"/>
      <c r="D69" s="15">
        <f t="shared" si="4"/>
        <v>219408</v>
      </c>
      <c r="E69" s="18">
        <f>IF(F3="1",SUMIF(Data!A:A,'32'!$A$2,Data!EA:EA),0)</f>
        <v>564971</v>
      </c>
      <c r="F69" s="22">
        <f t="shared" si="5"/>
        <v>2.574979034492817</v>
      </c>
    </row>
    <row r="70" spans="1:6" ht="14.25" customHeight="1" x14ac:dyDescent="0.2">
      <c r="A70" s="20">
        <v>4</v>
      </c>
      <c r="B70" s="179" t="s">
        <v>3</v>
      </c>
      <c r="C70" s="180"/>
      <c r="D70" s="15">
        <f t="shared" si="4"/>
        <v>168602</v>
      </c>
      <c r="E70" s="18">
        <f>IF(F3="1",SUMIF(Data!A:A,'32'!$A$2,Data!EB:EB),0)</f>
        <v>779325</v>
      </c>
      <c r="F70" s="22">
        <f t="shared" si="5"/>
        <v>4.6222761295832786</v>
      </c>
    </row>
    <row r="71" spans="1:6" x14ac:dyDescent="0.2">
      <c r="A71" s="20">
        <v>5</v>
      </c>
      <c r="B71" s="179" t="s">
        <v>4</v>
      </c>
      <c r="C71" s="180"/>
      <c r="D71" s="15">
        <f t="shared" si="4"/>
        <v>96</v>
      </c>
      <c r="E71" s="18">
        <f>IF(F3="1",SUMIF(Data!A:A,'32'!$A$2,Data!EC:EC),0)</f>
        <v>0</v>
      </c>
      <c r="F71" s="22">
        <f t="shared" si="5"/>
        <v>0</v>
      </c>
    </row>
    <row r="72" spans="1:6" x14ac:dyDescent="0.2">
      <c r="A72" s="20">
        <v>6</v>
      </c>
      <c r="B72" s="179" t="s">
        <v>5</v>
      </c>
      <c r="C72" s="180"/>
      <c r="D72" s="15">
        <f t="shared" si="4"/>
        <v>50812</v>
      </c>
      <c r="E72" s="18">
        <f>IF(F3="1",SUMIF(Data!A:A,'32'!$A$2,Data!ED:ED),0)</f>
        <v>26412</v>
      </c>
      <c r="F72" s="22">
        <f t="shared" si="5"/>
        <v>0.51979847280170044</v>
      </c>
    </row>
    <row r="73" spans="1:6" x14ac:dyDescent="0.2">
      <c r="A73" s="20">
        <v>7</v>
      </c>
      <c r="B73" s="179" t="s">
        <v>6</v>
      </c>
      <c r="C73" s="180"/>
      <c r="D73" s="15">
        <f t="shared" si="4"/>
        <v>27929</v>
      </c>
      <c r="E73" s="18">
        <f>IF(F3="1",SUMIF(Data!A:A,'32'!$A$2,Data!EE:EE),0)</f>
        <v>48873</v>
      </c>
      <c r="F73" s="22">
        <f t="shared" si="5"/>
        <v>1.7499015360378101</v>
      </c>
    </row>
    <row r="74" spans="1:6" x14ac:dyDescent="0.2">
      <c r="A74" s="20">
        <v>8</v>
      </c>
      <c r="B74" s="179" t="s">
        <v>7</v>
      </c>
      <c r="C74" s="180"/>
      <c r="D74" s="15">
        <f t="shared" si="4"/>
        <v>44184</v>
      </c>
      <c r="E74" s="18">
        <f>IF(F3="1",SUMIF(Data!A:A,'32'!$A$2,Data!EF:EF),0)</f>
        <v>27310</v>
      </c>
      <c r="F74" s="22">
        <f t="shared" si="5"/>
        <v>0.61809704870541371</v>
      </c>
    </row>
    <row r="75" spans="1:6" x14ac:dyDescent="0.2">
      <c r="A75" s="20">
        <v>9</v>
      </c>
      <c r="B75" s="179" t="s">
        <v>8</v>
      </c>
      <c r="C75" s="180"/>
      <c r="D75" s="15">
        <f t="shared" si="4"/>
        <v>168972</v>
      </c>
      <c r="E75" s="18">
        <f>IF(F3="1",SUMIF(Data!A:A,'32'!$A$2,Data!EG:EG),0)</f>
        <v>429490</v>
      </c>
      <c r="F75" s="22">
        <f t="shared" si="5"/>
        <v>2.5417820704021969</v>
      </c>
    </row>
    <row r="76" spans="1:6" x14ac:dyDescent="0.2">
      <c r="A76" s="20">
        <v>10</v>
      </c>
      <c r="B76" s="179" t="s">
        <v>9</v>
      </c>
      <c r="C76" s="180"/>
      <c r="D76" s="15">
        <f t="shared" si="4"/>
        <v>0</v>
      </c>
      <c r="E76" s="18">
        <f>IF(F3="1",SUMIF(Data!A:A,'32'!$A$2,Data!EH:EH),0)</f>
        <v>0</v>
      </c>
      <c r="F76" s="22" t="str">
        <f t="shared" si="5"/>
        <v/>
      </c>
    </row>
    <row r="77" spans="1:6" x14ac:dyDescent="0.2">
      <c r="A77" s="20">
        <v>11</v>
      </c>
      <c r="B77" s="179" t="s">
        <v>10</v>
      </c>
      <c r="C77" s="180"/>
      <c r="D77" s="15">
        <f t="shared" si="4"/>
        <v>114514</v>
      </c>
      <c r="E77" s="18">
        <f>IF(F3="1",SUMIF(Data!A:A,'32'!$A$2,Data!EI:EI),0)</f>
        <v>317604</v>
      </c>
      <c r="F77" s="22">
        <f t="shared" si="5"/>
        <v>2.7734949438496601</v>
      </c>
    </row>
    <row r="78" spans="1:6" ht="14.25" customHeight="1" x14ac:dyDescent="0.2">
      <c r="A78" s="20">
        <v>12</v>
      </c>
      <c r="B78" s="179" t="s">
        <v>11</v>
      </c>
      <c r="C78" s="180"/>
      <c r="D78" s="15">
        <f t="shared" si="4"/>
        <v>240753</v>
      </c>
      <c r="E78" s="18">
        <f>IF(F3="1",SUMIF(Data!A:A,'32'!$A$2,Data!EJ:EJ),0)</f>
        <v>931304</v>
      </c>
      <c r="F78" s="22">
        <f t="shared" si="5"/>
        <v>3.868296552898614</v>
      </c>
    </row>
    <row r="79" spans="1:6" x14ac:dyDescent="0.2">
      <c r="A79" s="20">
        <v>13</v>
      </c>
      <c r="B79" s="179" t="s">
        <v>12</v>
      </c>
      <c r="C79" s="180"/>
      <c r="D79" s="15">
        <f t="shared" si="4"/>
        <v>14832</v>
      </c>
      <c r="E79" s="18">
        <f>IF(F3="1",SUMIF(Data!A:A,'32'!$A$2,Data!EK:EK),0)</f>
        <v>53623</v>
      </c>
      <c r="F79" s="22">
        <f t="shared" si="5"/>
        <v>3.6153586839266452</v>
      </c>
    </row>
    <row r="80" spans="1:6" ht="14.25" customHeight="1" x14ac:dyDescent="0.2">
      <c r="A80" s="20">
        <v>14</v>
      </c>
      <c r="B80" s="179" t="s">
        <v>804</v>
      </c>
      <c r="C80" s="180"/>
      <c r="D80" s="15">
        <f t="shared" si="4"/>
        <v>130929</v>
      </c>
      <c r="E80" s="18">
        <f>IF(F3="1",SUMIF(Data!A:A,'32'!$A$2,Data!EL:EL),0)</f>
        <v>933366</v>
      </c>
      <c r="F80" s="22">
        <f t="shared" si="5"/>
        <v>7.1287949957610612</v>
      </c>
    </row>
    <row r="81" spans="1:6" x14ac:dyDescent="0.2">
      <c r="A81" s="20">
        <v>15</v>
      </c>
      <c r="B81" s="179" t="s">
        <v>13</v>
      </c>
      <c r="C81" s="180"/>
      <c r="D81" s="15">
        <f t="shared" si="4"/>
        <v>0</v>
      </c>
      <c r="E81" s="18">
        <f>IF(F3="1",SUMIF(Data!A:A,'32'!$A$2,Data!EM:EM),0)</f>
        <v>0</v>
      </c>
      <c r="F81" s="22" t="str">
        <f t="shared" si="5"/>
        <v/>
      </c>
    </row>
    <row r="82" spans="1:6" x14ac:dyDescent="0.2">
      <c r="A82" s="20">
        <v>16</v>
      </c>
      <c r="B82" s="179" t="s">
        <v>14</v>
      </c>
      <c r="C82" s="180"/>
      <c r="D82" s="15">
        <f t="shared" si="4"/>
        <v>176579</v>
      </c>
      <c r="E82" s="18">
        <f>IF(F3="1",SUMIF(Data!A:A,'32'!$A$2,Data!EN:EN),0)</f>
        <v>890848</v>
      </c>
      <c r="F82" s="22">
        <f t="shared" si="5"/>
        <v>5.0450393308377555</v>
      </c>
    </row>
    <row r="83" spans="1:6" x14ac:dyDescent="0.2">
      <c r="A83" s="20">
        <v>17</v>
      </c>
      <c r="B83" s="179" t="s">
        <v>15</v>
      </c>
      <c r="C83" s="180"/>
      <c r="D83" s="15">
        <f t="shared" si="4"/>
        <v>168</v>
      </c>
      <c r="E83" s="18">
        <f>IF(F3="1",SUMIF(Data!A:A,'32'!$A$2,Data!EO:EO),0)</f>
        <v>0</v>
      </c>
      <c r="F83" s="22">
        <f t="shared" si="5"/>
        <v>0</v>
      </c>
    </row>
    <row r="84" spans="1:6" x14ac:dyDescent="0.2">
      <c r="A84" s="20">
        <v>18</v>
      </c>
      <c r="B84" s="179" t="s">
        <v>16</v>
      </c>
      <c r="C84" s="180"/>
      <c r="D84" s="15">
        <f t="shared" si="4"/>
        <v>68512</v>
      </c>
      <c r="E84" s="18">
        <f>IF(F3="1",SUMIF(Data!A:A,'32'!$A$2,Data!EP:EP),0)</f>
        <v>247343</v>
      </c>
      <c r="F84" s="22">
        <f t="shared" si="5"/>
        <v>3.610214269033162</v>
      </c>
    </row>
    <row r="85" spans="1:6" x14ac:dyDescent="0.2">
      <c r="A85" s="20">
        <v>19</v>
      </c>
      <c r="B85" s="179" t="s">
        <v>17</v>
      </c>
      <c r="C85" s="180"/>
      <c r="D85" s="15">
        <f t="shared" si="4"/>
        <v>114288</v>
      </c>
      <c r="E85" s="18">
        <f>IF(F3="1",SUMIF(Data!A:A,'32'!$A$2,Data!EQ:EQ),0)</f>
        <v>446461</v>
      </c>
      <c r="F85" s="22">
        <f t="shared" si="5"/>
        <v>3.9064556208875825</v>
      </c>
    </row>
    <row r="86" spans="1:6" x14ac:dyDescent="0.2">
      <c r="A86" s="20">
        <v>20</v>
      </c>
      <c r="B86" s="179" t="s">
        <v>18</v>
      </c>
      <c r="C86" s="180"/>
      <c r="D86" s="15">
        <f t="shared" si="4"/>
        <v>39751</v>
      </c>
      <c r="E86" s="18">
        <f>IF(F3="1",SUMIF(Data!A:A,'32'!$A$2,Data!ER:ER),0)</f>
        <v>72210</v>
      </c>
      <c r="F86" s="22">
        <f t="shared" si="5"/>
        <v>1.8165580740107168</v>
      </c>
    </row>
    <row r="87" spans="1:6" ht="14.25" customHeight="1" x14ac:dyDescent="0.2">
      <c r="A87" s="20">
        <v>21</v>
      </c>
      <c r="B87" s="179" t="s">
        <v>801</v>
      </c>
      <c r="C87" s="180"/>
      <c r="D87" s="15">
        <f t="shared" si="4"/>
        <v>44302</v>
      </c>
      <c r="E87" s="18">
        <f>IF(F3="1",SUMIF(Data!A:A,'32'!$A$2,Data!ES:ES),0)</f>
        <v>134342</v>
      </c>
      <c r="F87" s="22">
        <f t="shared" si="5"/>
        <v>3.0324138865062524</v>
      </c>
    </row>
    <row r="88" spans="1:6" x14ac:dyDescent="0.2">
      <c r="A88" s="20">
        <v>22</v>
      </c>
      <c r="B88" s="179" t="s">
        <v>19</v>
      </c>
      <c r="C88" s="180"/>
      <c r="D88" s="15">
        <f t="shared" si="4"/>
        <v>7512</v>
      </c>
      <c r="E88" s="18">
        <f>IF(F3="1",SUMIF(Data!A:A,'32'!$A$2,Data!ET:ET),0)</f>
        <v>23586</v>
      </c>
      <c r="F88" s="22">
        <f t="shared" si="5"/>
        <v>3.139776357827476</v>
      </c>
    </row>
    <row r="89" spans="1:6" x14ac:dyDescent="0.2">
      <c r="A89" s="20">
        <v>23</v>
      </c>
      <c r="B89" s="179" t="s">
        <v>20</v>
      </c>
      <c r="C89" s="180"/>
      <c r="D89" s="15">
        <f t="shared" si="4"/>
        <v>92240</v>
      </c>
      <c r="E89" s="18">
        <f>IF(F3="1",SUMIF(Data!A:A,'32'!$A$2,Data!EU:EU),0)</f>
        <v>378259</v>
      </c>
      <c r="F89" s="22">
        <f t="shared" si="5"/>
        <v>4.1008130962705982</v>
      </c>
    </row>
    <row r="90" spans="1:6" x14ac:dyDescent="0.2">
      <c r="A90" s="20">
        <v>24</v>
      </c>
      <c r="B90" s="179" t="s">
        <v>21</v>
      </c>
      <c r="C90" s="180"/>
      <c r="D90" s="15">
        <f t="shared" si="4"/>
        <v>67928</v>
      </c>
      <c r="E90" s="18">
        <f>IF(F3="1",SUMIF(Data!A:A,'32'!$A$2,Data!EV:EV),0)</f>
        <v>414110</v>
      </c>
      <c r="F90" s="22">
        <f t="shared" si="5"/>
        <v>6.0963078553762804</v>
      </c>
    </row>
    <row r="91" spans="1:6" x14ac:dyDescent="0.2">
      <c r="A91" s="20">
        <v>25</v>
      </c>
      <c r="B91" s="179" t="s">
        <v>22</v>
      </c>
      <c r="C91" s="180"/>
      <c r="D91" s="15">
        <f t="shared" si="4"/>
        <v>322416</v>
      </c>
      <c r="E91" s="18">
        <f>IF(F3="1",SUMIF(Data!A:A,'32'!$A$2,Data!EW:EW),0)</f>
        <v>955555</v>
      </c>
      <c r="F91" s="22">
        <f t="shared" si="5"/>
        <v>2.9637331894198797</v>
      </c>
    </row>
    <row r="92" spans="1:6" x14ac:dyDescent="0.2">
      <c r="A92" s="20">
        <v>26</v>
      </c>
      <c r="B92" s="179" t="s">
        <v>23</v>
      </c>
      <c r="C92" s="180"/>
      <c r="D92" s="15">
        <f t="shared" si="4"/>
        <v>117802</v>
      </c>
      <c r="E92" s="18">
        <f>IF(F3="1",SUMIF(Data!A:A,'32'!$A$2,Data!EX:EX),0)</f>
        <v>565525</v>
      </c>
      <c r="F92" s="22">
        <f t="shared" si="5"/>
        <v>4.8006400570448715</v>
      </c>
    </row>
    <row r="93" spans="1:6" x14ac:dyDescent="0.2">
      <c r="A93" s="20">
        <v>28</v>
      </c>
      <c r="B93" s="179" t="s">
        <v>24</v>
      </c>
      <c r="C93" s="180"/>
      <c r="D93" s="15">
        <f t="shared" si="4"/>
        <v>114048</v>
      </c>
      <c r="E93" s="18">
        <f>IF(F3="1",SUMIF(Data!A:A,'32'!$A$2,Data!EZ:EZ),0)</f>
        <v>340002</v>
      </c>
      <c r="F93" s="22">
        <f t="shared" si="5"/>
        <v>2.9812184343434343</v>
      </c>
    </row>
    <row r="94" spans="1:6" ht="15.75" customHeight="1" thickBot="1" x14ac:dyDescent="0.25">
      <c r="A94" s="23">
        <v>29</v>
      </c>
      <c r="B94" s="181" t="s">
        <v>25</v>
      </c>
      <c r="C94" s="182"/>
      <c r="D94" s="24">
        <f t="shared" si="4"/>
        <v>52864</v>
      </c>
      <c r="E94" s="25">
        <f>IF(F3="1",SUMIF(Data!A:A,'32'!$A$2,Data!FA:FA),0)</f>
        <v>287102</v>
      </c>
      <c r="F94" s="26">
        <f t="shared" si="5"/>
        <v>5.4309549031476996</v>
      </c>
    </row>
    <row r="95" spans="1:6" x14ac:dyDescent="0.2">
      <c r="B95" s="31" t="s">
        <v>35</v>
      </c>
      <c r="C95" s="31"/>
      <c r="D95" s="61">
        <f>SUM(D67:D94)</f>
        <v>2458979</v>
      </c>
      <c r="E95" s="32">
        <f>SUM(E67:E94)</f>
        <v>9080313</v>
      </c>
      <c r="F95" s="33">
        <f t="shared" si="5"/>
        <v>3.6927167739130753</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IF(F3="1",SUMIF(Data!A:A,'32'!$A$2,Data!AH:AH),0)</f>
        <v>4805329</v>
      </c>
      <c r="F98" s="21">
        <f t="shared" ref="F98:F105" si="6">IFERROR(E98/$D$95,0)</f>
        <v>1.9541968434866666</v>
      </c>
    </row>
    <row r="99" spans="2:6" x14ac:dyDescent="0.2">
      <c r="B99" s="185" t="s">
        <v>31</v>
      </c>
      <c r="C99" s="186"/>
      <c r="D99" s="37"/>
      <c r="E99" s="18">
        <f>IF(F3="1",SUMIF(Data!A:A,'32'!$A$2,Data!AI:AI),0)</f>
        <v>2198669</v>
      </c>
      <c r="F99" s="22">
        <f t="shared" si="6"/>
        <v>0.89413899020691112</v>
      </c>
    </row>
    <row r="100" spans="2:6" x14ac:dyDescent="0.2">
      <c r="B100" s="185" t="s">
        <v>32</v>
      </c>
      <c r="C100" s="186"/>
      <c r="D100" s="37"/>
      <c r="E100" s="18">
        <f>IF(F3="1",SUMIF(Data!A:A,'32'!$A$2,Data!AJ:AJ),0)</f>
        <v>2662869</v>
      </c>
      <c r="F100" s="22">
        <f t="shared" si="6"/>
        <v>1.0829165275506623</v>
      </c>
    </row>
    <row r="101" spans="2:6" x14ac:dyDescent="0.2">
      <c r="B101" s="185" t="s">
        <v>28</v>
      </c>
      <c r="C101" s="186"/>
      <c r="D101" s="37"/>
      <c r="E101" s="18">
        <f>IF(F3="1",SUMIF(Data!A:A,'32'!$A$2,Data!AK:AK),0)</f>
        <v>0</v>
      </c>
      <c r="F101" s="22">
        <f t="shared" si="6"/>
        <v>0</v>
      </c>
    </row>
    <row r="102" spans="2:6" x14ac:dyDescent="0.2">
      <c r="B102" s="185" t="s">
        <v>33</v>
      </c>
      <c r="C102" s="186"/>
      <c r="D102" s="37"/>
      <c r="E102" s="18">
        <f>IF(F3="1",SUMIF(Data!A:A,'32'!$A$2,Data!AL:AL),0)</f>
        <v>647756</v>
      </c>
      <c r="F102" s="22">
        <f t="shared" si="6"/>
        <v>0.26342477914614154</v>
      </c>
    </row>
    <row r="103" spans="2:6" x14ac:dyDescent="0.2">
      <c r="B103" s="187" t="s">
        <v>34</v>
      </c>
      <c r="C103" s="188"/>
      <c r="D103" s="37"/>
      <c r="E103" s="18">
        <f>IF(F3="1",SUMIF(Data!A:A,'32'!$A$2,Data!AM:AM),0)</f>
        <v>704860</v>
      </c>
      <c r="F103" s="22">
        <f t="shared" si="6"/>
        <v>0.28664742561851891</v>
      </c>
    </row>
    <row r="104" spans="2:6" ht="15.75" customHeight="1" thickBot="1" x14ac:dyDescent="0.25">
      <c r="B104" s="177" t="s">
        <v>29</v>
      </c>
      <c r="C104" s="178"/>
      <c r="D104" s="38"/>
      <c r="E104" s="25">
        <f>IF(F3="1",SUMIF(Data!A:A,'32'!$A$2,Data!Q:Q),0)</f>
        <v>1714606</v>
      </c>
      <c r="F104" s="26">
        <f t="shared" si="6"/>
        <v>0.69728371002761713</v>
      </c>
    </row>
    <row r="105" spans="2:6" x14ac:dyDescent="0.2">
      <c r="B105" s="31" t="s">
        <v>35</v>
      </c>
      <c r="C105" s="31"/>
      <c r="D105" s="35">
        <f>D95</f>
        <v>2458979</v>
      </c>
      <c r="E105" s="32">
        <f>SUM(E98:E104)</f>
        <v>12734089</v>
      </c>
      <c r="F105" s="33">
        <f t="shared" si="6"/>
        <v>5.1786082760365177</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9744122</v>
      </c>
      <c r="D109" s="16">
        <f>IF(F3="1",SUMIF(Data!$A:$A,$A$2,Data!HJ:HJ),0)</f>
        <v>701138</v>
      </c>
      <c r="E109" s="16">
        <f>IF(F3="1",SUMIF(Data!$A:$A,$A$2,Data!IN:IN),0)</f>
        <v>1708766</v>
      </c>
      <c r="F109" s="48">
        <f>SUM(C109:E109)</f>
        <v>12154026</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543653</v>
      </c>
      <c r="D111" s="52"/>
      <c r="E111" s="51">
        <f>IF(F3="1",SUMIF(Data!A:A,$A$2,Data!AX:AX),0)</f>
        <v>134803</v>
      </c>
      <c r="F111" s="49">
        <f t="shared" si="7"/>
        <v>678456</v>
      </c>
    </row>
    <row r="112" spans="2:6" x14ac:dyDescent="0.2">
      <c r="B112" s="43" t="s">
        <v>32</v>
      </c>
      <c r="C112" s="51">
        <f>IF(F3="1",SUMIF(Data!A:A,$A$2,Data!V:V),0)</f>
        <v>2156608</v>
      </c>
      <c r="D112" s="52"/>
      <c r="E112" s="51">
        <f>IF(F3="1",SUMIF(Data!A:A,$A$2,Data!AC:AC),0)</f>
        <v>506261</v>
      </c>
      <c r="F112" s="49">
        <f t="shared" si="7"/>
        <v>2662869</v>
      </c>
    </row>
    <row r="113" spans="1:6" x14ac:dyDescent="0.2">
      <c r="B113" s="43" t="s">
        <v>31</v>
      </c>
      <c r="C113" s="51">
        <f>IF(F3="1",SUMIF(Data!A:A,$A$2,Data!U:U),0)</f>
        <v>1847337</v>
      </c>
      <c r="D113" s="52"/>
      <c r="E113" s="51">
        <f>IF(F3="1",SUMIF(Data!A:A,$A$2,Data!AB:AB),0)</f>
        <v>351332</v>
      </c>
      <c r="F113" s="49">
        <f t="shared" si="7"/>
        <v>2198669</v>
      </c>
    </row>
    <row r="114" spans="1:6" x14ac:dyDescent="0.2">
      <c r="B114" s="43" t="s">
        <v>1363</v>
      </c>
      <c r="C114" s="51">
        <f>IF(F3="1",SUMIF(Data!A:A,$A$2,Data!T:T),0)</f>
        <v>2577619</v>
      </c>
      <c r="D114" s="52"/>
      <c r="E114" s="51">
        <f>IF(F3="1",SUMIF(Data!A:A,$A$2,Data!AA:AA),0)</f>
        <v>2227710</v>
      </c>
      <c r="F114" s="49">
        <f t="shared" si="7"/>
        <v>4805329</v>
      </c>
    </row>
    <row r="115" spans="1:6" x14ac:dyDescent="0.2">
      <c r="B115" s="43" t="s">
        <v>1278</v>
      </c>
      <c r="C115" s="51">
        <f>IF(F3="1",SUMIF(Data!A:A,$A$2,Data!BI:BI),0)</f>
        <v>936497</v>
      </c>
      <c r="D115" s="51">
        <f>IF(F3="1",SUMIF(Data!A:A,$A$2,Data!BL:BL),0)</f>
        <v>220276</v>
      </c>
      <c r="E115" s="51">
        <f>IF(F3="1",SUMIF(Data!A:A,$A$2,Data!BU:BU),0)</f>
        <v>2570901</v>
      </c>
      <c r="F115" s="49">
        <f t="shared" si="7"/>
        <v>3727674</v>
      </c>
    </row>
    <row r="116" spans="1:6" x14ac:dyDescent="0.2">
      <c r="B116" s="43" t="s">
        <v>33</v>
      </c>
      <c r="C116" s="51">
        <f>IF(F3="1",SUMIF(Data!A:A,$A$2,Data!X:X),0)</f>
        <v>0</v>
      </c>
      <c r="D116" s="51"/>
      <c r="E116" s="51">
        <f>E102</f>
        <v>647756</v>
      </c>
      <c r="F116" s="49">
        <f t="shared" si="7"/>
        <v>647756</v>
      </c>
    </row>
    <row r="117" spans="1:6" ht="15" thickBot="1" x14ac:dyDescent="0.25">
      <c r="B117" s="44" t="s">
        <v>1282</v>
      </c>
      <c r="C117" s="53"/>
      <c r="D117" s="53">
        <f>IF(F3="1",SUMIF(Data!A:A,$A$2,Data!Q:Q),0)</f>
        <v>1714606</v>
      </c>
      <c r="E117" s="53"/>
      <c r="F117" s="50">
        <f>SUM(C117:E117)</f>
        <v>1714606</v>
      </c>
    </row>
    <row r="118" spans="1:6" x14ac:dyDescent="0.2">
      <c r="B118" s="14" t="s">
        <v>35</v>
      </c>
      <c r="C118" s="5">
        <f>SUM(C109:C116)</f>
        <v>17805836</v>
      </c>
      <c r="D118" s="5">
        <f>SUM(D109:D116)</f>
        <v>921414</v>
      </c>
      <c r="E118" s="5">
        <f>SUM(E109:E116)</f>
        <v>8147529</v>
      </c>
      <c r="F118" s="5">
        <f>SUM(F109:F116)</f>
        <v>26874779</v>
      </c>
    </row>
    <row r="119" spans="1:6" ht="15" thickBot="1" x14ac:dyDescent="0.25"/>
    <row r="120" spans="1:6" ht="15" thickBot="1" x14ac:dyDescent="0.25">
      <c r="B120" s="57" t="s">
        <v>1283</v>
      </c>
      <c r="C120" s="55"/>
      <c r="D120" s="55"/>
      <c r="E120" s="55">
        <f>IF(F3="1",SUMIF(Data!A:A,'32'!$A$2,Data!AM:AM),0)</f>
        <v>704860</v>
      </c>
      <c r="F120" s="56">
        <f>SUM(C120:E120)</f>
        <v>704860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502</v>
      </c>
      <c r="B2" s="60" t="str">
        <f>VLOOKUP(A2,Data!A:G,7,0)</f>
        <v>Panola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5376</v>
      </c>
      <c r="E5" s="16">
        <f>E36+E67+IFERROR($E$105/$D$105*D5,0)</f>
        <v>80151.224327108794</v>
      </c>
      <c r="F5" s="21">
        <f>IFERROR(E5/D5,"")</f>
        <v>14.909081906084225</v>
      </c>
    </row>
    <row r="6" spans="1:6" x14ac:dyDescent="0.2">
      <c r="A6" s="20">
        <v>2</v>
      </c>
      <c r="B6" s="179" t="s">
        <v>1</v>
      </c>
      <c r="C6" s="180"/>
      <c r="D6" s="15">
        <f t="shared" ref="D6:D32" si="0">D37</f>
        <v>14448</v>
      </c>
      <c r="E6" s="18">
        <f t="shared" ref="E6:E32" si="1">E37+E68+IFERROR($E$105/$D$105*D6,0)</f>
        <v>189363.04037910487</v>
      </c>
      <c r="F6" s="22">
        <f t="shared" ref="F6:F33" si="2">IFERROR(E6/D6,"")</f>
        <v>13.106522728343361</v>
      </c>
    </row>
    <row r="7" spans="1:6" ht="14.25" customHeight="1" x14ac:dyDescent="0.2">
      <c r="A7" s="20">
        <v>3</v>
      </c>
      <c r="B7" s="179" t="s">
        <v>2</v>
      </c>
      <c r="C7" s="180"/>
      <c r="D7" s="15">
        <f t="shared" si="0"/>
        <v>156064</v>
      </c>
      <c r="E7" s="18">
        <f t="shared" si="1"/>
        <v>1088416.0895435093</v>
      </c>
      <c r="F7" s="22">
        <f t="shared" si="2"/>
        <v>6.9741650191172164</v>
      </c>
    </row>
    <row r="8" spans="1:6" ht="14.25" customHeight="1" x14ac:dyDescent="0.2">
      <c r="A8" s="20">
        <v>4</v>
      </c>
      <c r="B8" s="179" t="s">
        <v>3</v>
      </c>
      <c r="C8" s="180"/>
      <c r="D8" s="15">
        <f t="shared" si="0"/>
        <v>66966</v>
      </c>
      <c r="E8" s="18">
        <f t="shared" si="1"/>
        <v>481353.23740497895</v>
      </c>
      <c r="F8" s="22">
        <f t="shared" si="2"/>
        <v>7.1880243318247912</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4272</v>
      </c>
      <c r="E10" s="18">
        <f t="shared" si="1"/>
        <v>71832.294331363228</v>
      </c>
      <c r="F10" s="22">
        <f t="shared" si="2"/>
        <v>16.814675639364051</v>
      </c>
    </row>
    <row r="11" spans="1:6" x14ac:dyDescent="0.2">
      <c r="A11" s="20">
        <v>7</v>
      </c>
      <c r="B11" s="179" t="s">
        <v>6</v>
      </c>
      <c r="C11" s="180"/>
      <c r="D11" s="15">
        <f t="shared" si="0"/>
        <v>25875</v>
      </c>
      <c r="E11" s="18">
        <f t="shared" si="1"/>
        <v>395003.79677528644</v>
      </c>
      <c r="F11" s="22">
        <f t="shared" si="2"/>
        <v>15.265847218368558</v>
      </c>
    </row>
    <row r="12" spans="1:6" x14ac:dyDescent="0.2">
      <c r="A12" s="20">
        <v>8</v>
      </c>
      <c r="B12" s="179" t="s">
        <v>7</v>
      </c>
      <c r="C12" s="180"/>
      <c r="D12" s="15">
        <f t="shared" si="0"/>
        <v>7744</v>
      </c>
      <c r="E12" s="18">
        <f t="shared" si="1"/>
        <v>110791.66837595432</v>
      </c>
      <c r="F12" s="22">
        <f t="shared" si="2"/>
        <v>14.306775358465176</v>
      </c>
    </row>
    <row r="13" spans="1:6" x14ac:dyDescent="0.2">
      <c r="A13" s="20">
        <v>9</v>
      </c>
      <c r="B13" s="179" t="s">
        <v>8</v>
      </c>
      <c r="C13" s="180"/>
      <c r="D13" s="15">
        <f t="shared" si="0"/>
        <v>81314</v>
      </c>
      <c r="E13" s="18">
        <f t="shared" si="1"/>
        <v>536000.78774823737</v>
      </c>
      <c r="F13" s="22">
        <f t="shared" si="2"/>
        <v>6.5917405089927614</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37312</v>
      </c>
      <c r="E15" s="18">
        <f t="shared" si="1"/>
        <v>321316.40217505267</v>
      </c>
      <c r="F15" s="22">
        <f t="shared" si="2"/>
        <v>8.6116102641255541</v>
      </c>
    </row>
    <row r="16" spans="1:6" ht="14.25" customHeight="1" x14ac:dyDescent="0.2">
      <c r="A16" s="20">
        <v>12</v>
      </c>
      <c r="B16" s="179" t="s">
        <v>11</v>
      </c>
      <c r="C16" s="180"/>
      <c r="D16" s="15">
        <f t="shared" si="0"/>
        <v>84192</v>
      </c>
      <c r="E16" s="18">
        <f t="shared" si="1"/>
        <v>680073.53097990016</v>
      </c>
      <c r="F16" s="22">
        <f t="shared" si="2"/>
        <v>8.0776502634442728</v>
      </c>
    </row>
    <row r="17" spans="1:6" x14ac:dyDescent="0.2">
      <c r="A17" s="20">
        <v>13</v>
      </c>
      <c r="B17" s="179" t="s">
        <v>12</v>
      </c>
      <c r="C17" s="180"/>
      <c r="D17" s="15">
        <f t="shared" si="0"/>
        <v>13770</v>
      </c>
      <c r="E17" s="18">
        <f t="shared" si="1"/>
        <v>117330.07793606547</v>
      </c>
      <c r="F17" s="22">
        <f t="shared" si="2"/>
        <v>8.520702827600978</v>
      </c>
    </row>
    <row r="18" spans="1:6" ht="14.25" customHeight="1" x14ac:dyDescent="0.2">
      <c r="A18" s="20">
        <v>14</v>
      </c>
      <c r="B18" s="179" t="s">
        <v>804</v>
      </c>
      <c r="C18" s="180"/>
      <c r="D18" s="15">
        <f t="shared" si="0"/>
        <v>124818</v>
      </c>
      <c r="E18" s="18">
        <f t="shared" si="1"/>
        <v>1284063.4929429065</v>
      </c>
      <c r="F18" s="22">
        <f t="shared" si="2"/>
        <v>10.287486523922082</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94500</v>
      </c>
      <c r="E20" s="18">
        <f t="shared" si="1"/>
        <v>793461.08387495915</v>
      </c>
      <c r="F20" s="22">
        <f t="shared" si="2"/>
        <v>8.3964135859784044</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75164</v>
      </c>
      <c r="E22" s="18">
        <f t="shared" si="1"/>
        <v>708628.65054367646</v>
      </c>
      <c r="F22" s="22">
        <f t="shared" si="2"/>
        <v>9.427766624230701</v>
      </c>
    </row>
    <row r="23" spans="1:6" x14ac:dyDescent="0.2">
      <c r="A23" s="20">
        <v>19</v>
      </c>
      <c r="B23" s="179" t="s">
        <v>17</v>
      </c>
      <c r="C23" s="180"/>
      <c r="D23" s="15">
        <f t="shared" si="0"/>
        <v>30752</v>
      </c>
      <c r="E23" s="18">
        <f t="shared" si="1"/>
        <v>368095.45582352113</v>
      </c>
      <c r="F23" s="22">
        <f t="shared" si="2"/>
        <v>11.9698054052914</v>
      </c>
    </row>
    <row r="24" spans="1:6" x14ac:dyDescent="0.2">
      <c r="A24" s="20">
        <v>20</v>
      </c>
      <c r="B24" s="179" t="s">
        <v>18</v>
      </c>
      <c r="C24" s="180"/>
      <c r="D24" s="15">
        <f t="shared" si="0"/>
        <v>0</v>
      </c>
      <c r="E24" s="18">
        <f t="shared" si="1"/>
        <v>0</v>
      </c>
      <c r="F24" s="22" t="str">
        <f t="shared" si="2"/>
        <v/>
      </c>
    </row>
    <row r="25" spans="1:6" ht="14.25" customHeight="1" x14ac:dyDescent="0.2">
      <c r="A25" s="20">
        <v>21</v>
      </c>
      <c r="B25" s="179" t="s">
        <v>801</v>
      </c>
      <c r="C25" s="180"/>
      <c r="D25" s="15">
        <f t="shared" si="0"/>
        <v>1280</v>
      </c>
      <c r="E25" s="18">
        <f t="shared" si="1"/>
        <v>37227.672458835426</v>
      </c>
      <c r="F25" s="22">
        <f t="shared" si="2"/>
        <v>29.084119108465178</v>
      </c>
    </row>
    <row r="26" spans="1:6" x14ac:dyDescent="0.2">
      <c r="A26" s="20">
        <v>22</v>
      </c>
      <c r="B26" s="179" t="s">
        <v>19</v>
      </c>
      <c r="C26" s="180"/>
      <c r="D26" s="15">
        <f t="shared" si="0"/>
        <v>1152</v>
      </c>
      <c r="E26" s="18">
        <f t="shared" si="1"/>
        <v>33504.405212951882</v>
      </c>
      <c r="F26" s="22">
        <f t="shared" si="2"/>
        <v>29.083685080687399</v>
      </c>
    </row>
    <row r="27" spans="1:6" x14ac:dyDescent="0.2">
      <c r="A27" s="20">
        <v>23</v>
      </c>
      <c r="B27" s="179" t="s">
        <v>20</v>
      </c>
      <c r="C27" s="180"/>
      <c r="D27" s="15">
        <f t="shared" si="0"/>
        <v>40032</v>
      </c>
      <c r="E27" s="18">
        <f t="shared" si="1"/>
        <v>367749.33115007792</v>
      </c>
      <c r="F27" s="22">
        <f t="shared" si="2"/>
        <v>9.1863841714148169</v>
      </c>
    </row>
    <row r="28" spans="1:6" x14ac:dyDescent="0.2">
      <c r="A28" s="20">
        <v>24</v>
      </c>
      <c r="B28" s="179" t="s">
        <v>21</v>
      </c>
      <c r="C28" s="180"/>
      <c r="D28" s="15">
        <f t="shared" si="0"/>
        <v>4368</v>
      </c>
      <c r="E28" s="18">
        <f t="shared" si="1"/>
        <v>28894.244765775889</v>
      </c>
      <c r="F28" s="22">
        <f t="shared" si="2"/>
        <v>6.6149827760475937</v>
      </c>
    </row>
    <row r="29" spans="1:6" x14ac:dyDescent="0.2">
      <c r="A29" s="20">
        <v>25</v>
      </c>
      <c r="B29" s="179" t="s">
        <v>22</v>
      </c>
      <c r="C29" s="180"/>
      <c r="D29" s="15">
        <f t="shared" si="0"/>
        <v>141648</v>
      </c>
      <c r="E29" s="18">
        <f t="shared" si="1"/>
        <v>907440.36597587529</v>
      </c>
      <c r="F29" s="22">
        <f t="shared" si="2"/>
        <v>6.4063055318527287</v>
      </c>
    </row>
    <row r="30" spans="1:6" x14ac:dyDescent="0.2">
      <c r="A30" s="20">
        <v>26</v>
      </c>
      <c r="B30" s="179" t="s">
        <v>23</v>
      </c>
      <c r="C30" s="180"/>
      <c r="D30" s="15">
        <f t="shared" si="0"/>
        <v>74256</v>
      </c>
      <c r="E30" s="18">
        <f t="shared" si="1"/>
        <v>675838.16101819021</v>
      </c>
      <c r="F30" s="22">
        <f t="shared" si="2"/>
        <v>9.101461983115037</v>
      </c>
    </row>
    <row r="31" spans="1:6" x14ac:dyDescent="0.2">
      <c r="A31" s="20">
        <v>28</v>
      </c>
      <c r="B31" s="179" t="s">
        <v>24</v>
      </c>
      <c r="C31" s="180"/>
      <c r="D31" s="15">
        <f t="shared" si="0"/>
        <v>55008</v>
      </c>
      <c r="E31" s="18">
        <f t="shared" si="1"/>
        <v>360665.59891845239</v>
      </c>
      <c r="F31" s="22">
        <f t="shared" si="2"/>
        <v>6.5566026563127613</v>
      </c>
    </row>
    <row r="32" spans="1:6" ht="15.75" customHeight="1" thickBot="1" x14ac:dyDescent="0.25">
      <c r="A32" s="23">
        <v>29</v>
      </c>
      <c r="B32" s="181" t="s">
        <v>25</v>
      </c>
      <c r="C32" s="182"/>
      <c r="D32" s="24">
        <f t="shared" si="0"/>
        <v>13776</v>
      </c>
      <c r="E32" s="25">
        <f t="shared" si="1"/>
        <v>90228.387338216271</v>
      </c>
      <c r="F32" s="26">
        <f t="shared" si="2"/>
        <v>6.5496796848298686</v>
      </c>
    </row>
    <row r="33" spans="1:6" x14ac:dyDescent="0.2">
      <c r="B33" s="31" t="s">
        <v>35</v>
      </c>
      <c r="C33" s="31"/>
      <c r="D33" s="61">
        <f>SUM(D5:D32)</f>
        <v>1154087</v>
      </c>
      <c r="E33" s="32">
        <f>SUM(E5:E32)</f>
        <v>9727429.0000000019</v>
      </c>
      <c r="F33" s="33">
        <f t="shared" si="2"/>
        <v>8.4286791203782752</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IF(F3="1",SUMIF(Data!A:A,'33'!$A$2,Data!CU:CU),0)</f>
        <v>5376</v>
      </c>
      <c r="E36" s="16">
        <f>IF(F3="1",SUMIF(Data!$A:$A,'33'!$A$2,Data!IO:IO),0)</f>
        <v>29372</v>
      </c>
      <c r="F36" s="21">
        <f t="shared" ref="F36:F64" si="3">IFERROR(E36/D36,"")</f>
        <v>5.463541666666667</v>
      </c>
    </row>
    <row r="37" spans="1:6" x14ac:dyDescent="0.2">
      <c r="A37" s="20">
        <v>2</v>
      </c>
      <c r="B37" s="179" t="s">
        <v>1</v>
      </c>
      <c r="C37" s="180"/>
      <c r="D37" s="15">
        <f>IF(F3="1",SUMIF(Data!A:A,'33'!$A$2,Data!CV:CV),0)</f>
        <v>14448</v>
      </c>
      <c r="E37" s="18">
        <f>IF(F3="1",SUMIF(Data!$A:$A,'33'!$A$2,Data!IP:IP),0)</f>
        <v>57314</v>
      </c>
      <c r="F37" s="22">
        <f t="shared" si="3"/>
        <v>3.9669158361018826</v>
      </c>
    </row>
    <row r="38" spans="1:6" ht="14.25" customHeight="1" x14ac:dyDescent="0.2">
      <c r="A38" s="20">
        <v>3</v>
      </c>
      <c r="B38" s="179" t="s">
        <v>2</v>
      </c>
      <c r="C38" s="180"/>
      <c r="D38" s="15">
        <f>IF(F3="1",SUMIF(Data!A:A,'33'!$A$2,Data!CW:CW),0)</f>
        <v>156064</v>
      </c>
      <c r="E38" s="18">
        <f>IF(F3="1",SUMIF(Data!$A:$A,'33'!$A$2,Data!IQ:IQ),0)</f>
        <v>87152</v>
      </c>
      <c r="F38" s="22">
        <f t="shared" si="3"/>
        <v>0.55843756407627643</v>
      </c>
    </row>
    <row r="39" spans="1:6" ht="14.25" customHeight="1" x14ac:dyDescent="0.2">
      <c r="A39" s="20">
        <v>4</v>
      </c>
      <c r="B39" s="179" t="s">
        <v>3</v>
      </c>
      <c r="C39" s="180"/>
      <c r="D39" s="15">
        <f>IF(F3="1",SUMIF(Data!A:A,'33'!$A$2,Data!CX:CX),0)</f>
        <v>66966</v>
      </c>
      <c r="E39" s="18">
        <f>IF(F3="1",SUMIF(Data!$A:$A,'33'!$A$2,Data!IR:IR),0)</f>
        <v>35627</v>
      </c>
      <c r="F39" s="22">
        <f t="shared" si="3"/>
        <v>0.53201624705074213</v>
      </c>
    </row>
    <row r="40" spans="1:6" x14ac:dyDescent="0.2">
      <c r="A40" s="20">
        <v>5</v>
      </c>
      <c r="B40" s="179" t="s">
        <v>4</v>
      </c>
      <c r="C40" s="180"/>
      <c r="D40" s="15">
        <f>IF(F3="1",SUMIF(Data!A:A,'33'!$A$2,Data!CY:CY),0)</f>
        <v>0</v>
      </c>
      <c r="E40" s="18">
        <f>IF(F3="1",SUMIF(Data!$A:$A,'33'!$A$2,Data!IS:IS),0)</f>
        <v>0</v>
      </c>
      <c r="F40" s="22" t="str">
        <f t="shared" si="3"/>
        <v/>
      </c>
    </row>
    <row r="41" spans="1:6" x14ac:dyDescent="0.2">
      <c r="A41" s="20">
        <v>6</v>
      </c>
      <c r="B41" s="179" t="s">
        <v>5</v>
      </c>
      <c r="C41" s="180"/>
      <c r="D41" s="15">
        <f>IF(F3="1",SUMIF(Data!A:A,'33'!$A$2,Data!CZ:CZ),0)</f>
        <v>4272</v>
      </c>
      <c r="E41" s="18">
        <f>IF(F3="1",SUMIF(Data!$A:$A,'33'!$A$2,Data!IT:IT),0)</f>
        <v>9457</v>
      </c>
      <c r="F41" s="22">
        <f t="shared" si="3"/>
        <v>2.2137172284644193</v>
      </c>
    </row>
    <row r="42" spans="1:6" x14ac:dyDescent="0.2">
      <c r="A42" s="20">
        <v>7</v>
      </c>
      <c r="B42" s="179" t="s">
        <v>6</v>
      </c>
      <c r="C42" s="180"/>
      <c r="D42" s="15">
        <f>IF(F3="1",SUMIF(Data!A:A,'33'!$A$2,Data!DA:DA),0)</f>
        <v>25875</v>
      </c>
      <c r="E42" s="18">
        <f>IF(F3="1",SUMIF(Data!$A:$A,'33'!$A$2,Data!IU:IU),0)</f>
        <v>37072</v>
      </c>
      <c r="F42" s="22">
        <f t="shared" si="3"/>
        <v>1.4327342995169081</v>
      </c>
    </row>
    <row r="43" spans="1:6" x14ac:dyDescent="0.2">
      <c r="A43" s="20">
        <v>8</v>
      </c>
      <c r="B43" s="179" t="s">
        <v>7</v>
      </c>
      <c r="C43" s="180"/>
      <c r="D43" s="15">
        <f>IF(F3="1",SUMIF(Data!A:A,'33'!$A$2,Data!DB:DB),0)</f>
        <v>7744</v>
      </c>
      <c r="E43" s="18">
        <f>IF(F3="1",SUMIF(Data!$A:$A,'33'!$A$2,Data!IV:IV),0)</f>
        <v>39715</v>
      </c>
      <c r="F43" s="22">
        <f t="shared" si="3"/>
        <v>5.1284865702479339</v>
      </c>
    </row>
    <row r="44" spans="1:6" x14ac:dyDescent="0.2">
      <c r="A44" s="20">
        <v>9</v>
      </c>
      <c r="B44" s="179" t="s">
        <v>8</v>
      </c>
      <c r="C44" s="180"/>
      <c r="D44" s="15">
        <f>IF(F3="1",SUMIF(Data!A:A,'33'!$A$2,Data!DC:DC),0)</f>
        <v>81314</v>
      </c>
      <c r="E44" s="18">
        <f>IF(F3="1",SUMIF(Data!$A:$A,'33'!$A$2,Data!IW:IW),0)</f>
        <v>39512</v>
      </c>
      <c r="F44" s="22">
        <f t="shared" si="3"/>
        <v>0.48591878397323957</v>
      </c>
    </row>
    <row r="45" spans="1:6" x14ac:dyDescent="0.2">
      <c r="A45" s="20">
        <v>10</v>
      </c>
      <c r="B45" s="179" t="s">
        <v>9</v>
      </c>
      <c r="C45" s="180"/>
      <c r="D45" s="15">
        <f>IF(F3="1",SUMIF(Data!A:A,'33'!$A$2,Data!DD:DD),0)</f>
        <v>0</v>
      </c>
      <c r="E45" s="18">
        <f>IF(F3="1",SUMIF(Data!$A:$A,'33'!$A$2,Data!IX:IX),0)</f>
        <v>0</v>
      </c>
      <c r="F45" s="22" t="str">
        <f t="shared" si="3"/>
        <v/>
      </c>
    </row>
    <row r="46" spans="1:6" x14ac:dyDescent="0.2">
      <c r="A46" s="20">
        <v>11</v>
      </c>
      <c r="B46" s="179" t="s">
        <v>10</v>
      </c>
      <c r="C46" s="180"/>
      <c r="D46" s="15">
        <f>IF(F3="1",SUMIF(Data!A:A,'33'!$A$2,Data!DE:DE),0)</f>
        <v>37312</v>
      </c>
      <c r="E46" s="18">
        <f>IF(F3="1",SUMIF(Data!$A:$A,'33'!$A$2,Data!IY:IY),0)</f>
        <v>87490</v>
      </c>
      <c r="F46" s="22">
        <f t="shared" si="3"/>
        <v>2.3448220411663807</v>
      </c>
    </row>
    <row r="47" spans="1:6" ht="14.25" customHeight="1" x14ac:dyDescent="0.2">
      <c r="A47" s="20">
        <v>12</v>
      </c>
      <c r="B47" s="179" t="s">
        <v>11</v>
      </c>
      <c r="C47" s="180"/>
      <c r="D47" s="15">
        <f>IF(F3="1",SUMIF(Data!A:A,'33'!$A$2,Data!DF:DF),0)</f>
        <v>84192</v>
      </c>
      <c r="E47" s="18">
        <f>IF(F3="1",SUMIF(Data!$A:$A,'33'!$A$2,Data!IZ:IZ),0)</f>
        <v>51440</v>
      </c>
      <c r="F47" s="22">
        <f t="shared" si="3"/>
        <v>0.61098441657164582</v>
      </c>
    </row>
    <row r="48" spans="1:6" x14ac:dyDescent="0.2">
      <c r="A48" s="20">
        <v>13</v>
      </c>
      <c r="B48" s="179" t="s">
        <v>12</v>
      </c>
      <c r="C48" s="180"/>
      <c r="D48" s="15">
        <f>IF(F3="1",SUMIF(Data!A:A,'33'!$A$2,Data!DG:DG),0)</f>
        <v>13770</v>
      </c>
      <c r="E48" s="18">
        <f>IF(F3="1",SUMIF(Data!$A:$A,'33'!$A$2,Data!JA:JA),0)</f>
        <v>7968</v>
      </c>
      <c r="F48" s="22">
        <f t="shared" si="3"/>
        <v>0.57864923747276686</v>
      </c>
    </row>
    <row r="49" spans="1:6" ht="14.25" customHeight="1" x14ac:dyDescent="0.2">
      <c r="A49" s="20">
        <v>14</v>
      </c>
      <c r="B49" s="179" t="s">
        <v>804</v>
      </c>
      <c r="C49" s="180"/>
      <c r="D49" s="15">
        <f>IF(F3="1",SUMIF(Data!A:A,'33'!$A$2,Data!DH:DH),0)</f>
        <v>124818</v>
      </c>
      <c r="E49" s="18">
        <f>IF(F3="1",SUMIF(Data!$A:$A,'33'!$A$2,Data!JB:JB),0)</f>
        <v>151205</v>
      </c>
      <c r="F49" s="22">
        <f t="shared" si="3"/>
        <v>1.2114038039385344</v>
      </c>
    </row>
    <row r="50" spans="1:6" x14ac:dyDescent="0.2">
      <c r="A50" s="20">
        <v>15</v>
      </c>
      <c r="B50" s="179" t="s">
        <v>13</v>
      </c>
      <c r="C50" s="180"/>
      <c r="D50" s="15">
        <f>IF(F3="1",SUMIF(Data!A:A,'33'!$A$2,Data!DI:DI),0)</f>
        <v>0</v>
      </c>
      <c r="E50" s="18">
        <f>IF(F3="1",SUMIF(Data!$A:$A,'33'!$A$2,Data!JC:JC),0)</f>
        <v>0</v>
      </c>
      <c r="F50" s="22" t="str">
        <f t="shared" si="3"/>
        <v/>
      </c>
    </row>
    <row r="51" spans="1:6" x14ac:dyDescent="0.2">
      <c r="A51" s="20">
        <v>16</v>
      </c>
      <c r="B51" s="179" t="s">
        <v>14</v>
      </c>
      <c r="C51" s="180"/>
      <c r="D51" s="15">
        <f>IF(F3="1",SUMIF(Data!A:A,'33'!$A$2,Data!DJ:DJ),0)</f>
        <v>94500</v>
      </c>
      <c r="E51" s="18">
        <f>IF(F3="1",SUMIF(Data!$A:$A,'33'!$A$2,Data!JD:JD),0)</f>
        <v>101089</v>
      </c>
      <c r="F51" s="22">
        <f t="shared" si="3"/>
        <v>1.0697248677248676</v>
      </c>
    </row>
    <row r="52" spans="1:6" x14ac:dyDescent="0.2">
      <c r="A52" s="20">
        <v>17</v>
      </c>
      <c r="B52" s="179" t="s">
        <v>15</v>
      </c>
      <c r="C52" s="180"/>
      <c r="D52" s="15">
        <f>IF(F3="1",SUMIF(Data!A:A,'33'!$A$2,Data!DK:DK),0)</f>
        <v>0</v>
      </c>
      <c r="E52" s="18">
        <f>IF(F3="1",SUMIF(Data!$A:$A,'33'!$A$2,Data!JE:JE),0)</f>
        <v>0</v>
      </c>
      <c r="F52" s="22" t="str">
        <f t="shared" si="3"/>
        <v/>
      </c>
    </row>
    <row r="53" spans="1:6" x14ac:dyDescent="0.2">
      <c r="A53" s="20">
        <v>18</v>
      </c>
      <c r="B53" s="179" t="s">
        <v>16</v>
      </c>
      <c r="C53" s="180"/>
      <c r="D53" s="15">
        <f>IF(F3="1",SUMIF(Data!A:A,'33'!$A$2,Data!DL:DL),0)</f>
        <v>75164</v>
      </c>
      <c r="E53" s="18">
        <f>IF(F3="1",SUMIF(Data!$A:$A,'33'!$A$2,Data!JF:JF),0)</f>
        <v>70044</v>
      </c>
      <c r="F53" s="22">
        <f t="shared" si="3"/>
        <v>0.93188228407216223</v>
      </c>
    </row>
    <row r="54" spans="1:6" x14ac:dyDescent="0.2">
      <c r="A54" s="20">
        <v>19</v>
      </c>
      <c r="B54" s="179" t="s">
        <v>17</v>
      </c>
      <c r="C54" s="180"/>
      <c r="D54" s="15">
        <f>IF(F3="1",SUMIF(Data!A:A,'33'!$A$2,Data!DM:DM),0)</f>
        <v>30752</v>
      </c>
      <c r="E54" s="18">
        <f>IF(F3="1",SUMIF(Data!$A:$A,'33'!$A$2,Data!JG:JG),0)</f>
        <v>47573</v>
      </c>
      <c r="F54" s="22">
        <f t="shared" si="3"/>
        <v>1.546988813735692</v>
      </c>
    </row>
    <row r="55" spans="1:6" x14ac:dyDescent="0.2">
      <c r="A55" s="20">
        <v>20</v>
      </c>
      <c r="B55" s="179" t="s">
        <v>18</v>
      </c>
      <c r="C55" s="180"/>
      <c r="D55" s="15">
        <f>IF(F3="1",SUMIF(Data!A:A,'33'!$A$2,Data!DN:DN),0)</f>
        <v>0</v>
      </c>
      <c r="E55" s="18">
        <f>IF(F3="1",SUMIF(Data!$A:$A,'33'!$A$2,Data!JH:JH),0)</f>
        <v>0</v>
      </c>
      <c r="F55" s="22" t="str">
        <f t="shared" si="3"/>
        <v/>
      </c>
    </row>
    <row r="56" spans="1:6" ht="14.25" customHeight="1" x14ac:dyDescent="0.2">
      <c r="A56" s="20">
        <v>21</v>
      </c>
      <c r="B56" s="179" t="s">
        <v>801</v>
      </c>
      <c r="C56" s="180"/>
      <c r="D56" s="15">
        <f>IF(F3="1",SUMIF(Data!A:A,'33'!$A$2,Data!DO:DO),0)</f>
        <v>1280</v>
      </c>
      <c r="E56" s="18">
        <f>IF(F3="1",SUMIF(Data!$A:$A,'33'!$A$2,Data!JI:JI),0)</f>
        <v>15985</v>
      </c>
      <c r="F56" s="22">
        <f t="shared" si="3"/>
        <v>12.48828125</v>
      </c>
    </row>
    <row r="57" spans="1:6" x14ac:dyDescent="0.2">
      <c r="A57" s="20">
        <v>22</v>
      </c>
      <c r="B57" s="179" t="s">
        <v>19</v>
      </c>
      <c r="C57" s="180"/>
      <c r="D57" s="15">
        <f>IF(F3="1",SUMIF(Data!A:A,'33'!$A$2,Data!DP:DP),0)</f>
        <v>1152</v>
      </c>
      <c r="E57" s="18">
        <f>IF(F3="1",SUMIF(Data!$A:$A,'33'!$A$2,Data!JJ:JJ),0)</f>
        <v>14386</v>
      </c>
      <c r="F57" s="22">
        <f t="shared" si="3"/>
        <v>12.487847222222221</v>
      </c>
    </row>
    <row r="58" spans="1:6" x14ac:dyDescent="0.2">
      <c r="A58" s="20">
        <v>23</v>
      </c>
      <c r="B58" s="179" t="s">
        <v>20</v>
      </c>
      <c r="C58" s="180"/>
      <c r="D58" s="15">
        <f>IF(F3="1",SUMIF(Data!A:A,'33'!$A$2,Data!DQ:DQ),0)</f>
        <v>40032</v>
      </c>
      <c r="E58" s="18">
        <f>IF(F3="1",SUMIF(Data!$A:$A,'33'!$A$2,Data!JK:JK),0)</f>
        <v>37994</v>
      </c>
      <c r="F58" s="22">
        <f t="shared" si="3"/>
        <v>0.94909072741806555</v>
      </c>
    </row>
    <row r="59" spans="1:6" x14ac:dyDescent="0.2">
      <c r="A59" s="20">
        <v>24</v>
      </c>
      <c r="B59" s="179" t="s">
        <v>21</v>
      </c>
      <c r="C59" s="180"/>
      <c r="D59" s="15">
        <f>IF(F3="1",SUMIF(Data!A:A,'33'!$A$2,Data!DR:DR),0)</f>
        <v>4368</v>
      </c>
      <c r="E59" s="18">
        <f>IF(F3="1",SUMIF(Data!$A:$A,'33'!$A$2,Data!JL:JL),0)</f>
        <v>1774</v>
      </c>
      <c r="F59" s="22">
        <f t="shared" si="3"/>
        <v>0.40613553113553114</v>
      </c>
    </row>
    <row r="60" spans="1:6" x14ac:dyDescent="0.2">
      <c r="A60" s="20">
        <v>25</v>
      </c>
      <c r="B60" s="179" t="s">
        <v>22</v>
      </c>
      <c r="C60" s="180"/>
      <c r="D60" s="15">
        <f>IF(F3="1",SUMIF(Data!A:A,'33'!$A$2,Data!DS:DS),0)</f>
        <v>141648</v>
      </c>
      <c r="E60" s="18">
        <f>IF(F3="1",SUMIF(Data!$A:$A,'33'!$A$2,Data!JM:JM),0)</f>
        <v>67351</v>
      </c>
      <c r="F60" s="22">
        <f t="shared" si="3"/>
        <v>0.47548147520614481</v>
      </c>
    </row>
    <row r="61" spans="1:6" x14ac:dyDescent="0.2">
      <c r="A61" s="20">
        <v>26</v>
      </c>
      <c r="B61" s="179" t="s">
        <v>23</v>
      </c>
      <c r="C61" s="180"/>
      <c r="D61" s="15">
        <f>IF(F3="1",SUMIF(Data!A:A,'33'!$A$2,Data!DT:DT),0)</f>
        <v>74256</v>
      </c>
      <c r="E61" s="18">
        <f>IF(F3="1",SUMIF(Data!$A:$A,'33'!$A$2,Data!JN:JN),0)</f>
        <v>85802</v>
      </c>
      <c r="F61" s="22">
        <f t="shared" si="3"/>
        <v>1.1554891187244127</v>
      </c>
    </row>
    <row r="62" spans="1:6" x14ac:dyDescent="0.2">
      <c r="A62" s="20">
        <v>28</v>
      </c>
      <c r="B62" s="179" t="s">
        <v>24</v>
      </c>
      <c r="C62" s="180"/>
      <c r="D62" s="15">
        <f>IF(F3="1",SUMIF(Data!A:A,'33'!$A$2,Data!DV:DV),0)</f>
        <v>55008</v>
      </c>
      <c r="E62" s="18">
        <f>IF(F3="1",SUMIF(Data!$A:$A,'33'!$A$2,Data!JP:JP),0)</f>
        <v>20935</v>
      </c>
      <c r="F62" s="22">
        <f t="shared" si="3"/>
        <v>0.38058100639906922</v>
      </c>
    </row>
    <row r="63" spans="1:6" ht="15.75" customHeight="1" thickBot="1" x14ac:dyDescent="0.25">
      <c r="A63" s="23">
        <v>29</v>
      </c>
      <c r="B63" s="181" t="s">
        <v>25</v>
      </c>
      <c r="C63" s="182"/>
      <c r="D63" s="24">
        <f>IF(F3="1",SUMIF(Data!A:A,'33'!$A$2,Data!DW:DW),0)</f>
        <v>13776</v>
      </c>
      <c r="E63" s="25">
        <f>IF(F3="1",SUMIF(Data!$A:$A,'33'!$A$2,Data!JQ:JQ),0)</f>
        <v>5230</v>
      </c>
      <c r="F63" s="26">
        <f t="shared" si="3"/>
        <v>0.37964576074332174</v>
      </c>
    </row>
    <row r="64" spans="1:6" x14ac:dyDescent="0.2">
      <c r="B64" s="31" t="s">
        <v>35</v>
      </c>
      <c r="C64" s="31"/>
      <c r="D64" s="61">
        <f>SUM(D36:D63)</f>
        <v>1154087</v>
      </c>
      <c r="E64" s="32">
        <f>SUM(E36:E63)</f>
        <v>1101487</v>
      </c>
      <c r="F64" s="33">
        <f t="shared" si="3"/>
        <v>0.95442284680444367</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5376</v>
      </c>
      <c r="E67" s="16">
        <f>IF(F3="1",SUMIF(Data!A:A,'33'!$A$2,Data!DY:DY),0)</f>
        <v>29894</v>
      </c>
      <c r="F67" s="21">
        <f>IFERROR(E67/D67,"")</f>
        <v>5.5606398809523814</v>
      </c>
    </row>
    <row r="68" spans="1:6" x14ac:dyDescent="0.2">
      <c r="A68" s="20">
        <v>2</v>
      </c>
      <c r="B68" s="179" t="s">
        <v>1</v>
      </c>
      <c r="C68" s="180"/>
      <c r="D68" s="15">
        <f t="shared" ref="D68:D94" si="4">D37</f>
        <v>14448</v>
      </c>
      <c r="E68" s="18">
        <f>IF(F3="1",SUMIF(Data!A:A,'33'!$A$2,Data!DZ:DZ),0)</f>
        <v>75920</v>
      </c>
      <c r="F68" s="22">
        <f t="shared" ref="F68:F95" si="5">IFERROR(E68/D68,"")</f>
        <v>5.254706533776301</v>
      </c>
    </row>
    <row r="69" spans="1:6" ht="14.25" customHeight="1" x14ac:dyDescent="0.2">
      <c r="A69" s="20">
        <v>3</v>
      </c>
      <c r="B69" s="179" t="s">
        <v>2</v>
      </c>
      <c r="C69" s="180"/>
      <c r="D69" s="15">
        <f t="shared" si="4"/>
        <v>156064</v>
      </c>
      <c r="E69" s="18">
        <f>IF(F3="1",SUMIF(Data!A:A,'33'!$A$2,Data!EA:EA),0)</f>
        <v>394971</v>
      </c>
      <c r="F69" s="22">
        <f t="shared" si="5"/>
        <v>2.5308270965757638</v>
      </c>
    </row>
    <row r="70" spans="1:6" ht="14.25" customHeight="1" x14ac:dyDescent="0.2">
      <c r="A70" s="20">
        <v>4</v>
      </c>
      <c r="B70" s="179" t="s">
        <v>3</v>
      </c>
      <c r="C70" s="180"/>
      <c r="D70" s="15">
        <f t="shared" si="4"/>
        <v>66966</v>
      </c>
      <c r="E70" s="18">
        <f>IF(F3="1",SUMIF(Data!A:A,'33'!$A$2,Data!EB:EB),0)</f>
        <v>185570</v>
      </c>
      <c r="F70" s="22">
        <f t="shared" si="5"/>
        <v>2.7711077263088733</v>
      </c>
    </row>
    <row r="71" spans="1:6" x14ac:dyDescent="0.2">
      <c r="A71" s="20">
        <v>5</v>
      </c>
      <c r="B71" s="179" t="s">
        <v>4</v>
      </c>
      <c r="C71" s="180"/>
      <c r="D71" s="15">
        <f t="shared" si="4"/>
        <v>0</v>
      </c>
      <c r="E71" s="18">
        <f>IF(F3="1",SUMIF(Data!A:A,'33'!$A$2,Data!EC:EC),0)</f>
        <v>0</v>
      </c>
      <c r="F71" s="22" t="str">
        <f t="shared" si="5"/>
        <v/>
      </c>
    </row>
    <row r="72" spans="1:6" x14ac:dyDescent="0.2">
      <c r="A72" s="20">
        <v>6</v>
      </c>
      <c r="B72" s="179" t="s">
        <v>5</v>
      </c>
      <c r="C72" s="180"/>
      <c r="D72" s="15">
        <f t="shared" si="4"/>
        <v>4272</v>
      </c>
      <c r="E72" s="18">
        <f>IF(F3="1",SUMIF(Data!A:A,'33'!$A$2,Data!ED:ED),0)</f>
        <v>45779</v>
      </c>
      <c r="F72" s="22">
        <f t="shared" si="5"/>
        <v>10.716058052434457</v>
      </c>
    </row>
    <row r="73" spans="1:6" x14ac:dyDescent="0.2">
      <c r="A73" s="20">
        <v>7</v>
      </c>
      <c r="B73" s="179" t="s">
        <v>6</v>
      </c>
      <c r="C73" s="180"/>
      <c r="D73" s="15">
        <f t="shared" si="4"/>
        <v>25875</v>
      </c>
      <c r="E73" s="18">
        <f>IF(F3="1",SUMIF(Data!A:A,'33'!$A$2,Data!EE:EE),0)</f>
        <v>257410</v>
      </c>
      <c r="F73" s="22">
        <f t="shared" si="5"/>
        <v>9.9482125603864731</v>
      </c>
    </row>
    <row r="74" spans="1:6" x14ac:dyDescent="0.2">
      <c r="A74" s="20">
        <v>8</v>
      </c>
      <c r="B74" s="179" t="s">
        <v>7</v>
      </c>
      <c r="C74" s="180"/>
      <c r="D74" s="15">
        <f t="shared" si="4"/>
        <v>7744</v>
      </c>
      <c r="E74" s="18">
        <f>IF(F3="1",SUMIF(Data!A:A,'33'!$A$2,Data!EF:EF),0)</f>
        <v>40992</v>
      </c>
      <c r="F74" s="22">
        <f t="shared" si="5"/>
        <v>5.2933884297520661</v>
      </c>
    </row>
    <row r="75" spans="1:6" x14ac:dyDescent="0.2">
      <c r="A75" s="20">
        <v>9</v>
      </c>
      <c r="B75" s="179" t="s">
        <v>8</v>
      </c>
      <c r="C75" s="180"/>
      <c r="D75" s="15">
        <f t="shared" si="4"/>
        <v>81314</v>
      </c>
      <c r="E75" s="18">
        <f>IF(F3="1",SUMIF(Data!A:A,'33'!$A$2,Data!EG:EG),0)</f>
        <v>180592</v>
      </c>
      <c r="F75" s="22">
        <f t="shared" si="5"/>
        <v>2.2209213665543448</v>
      </c>
    </row>
    <row r="76" spans="1:6" x14ac:dyDescent="0.2">
      <c r="A76" s="20">
        <v>10</v>
      </c>
      <c r="B76" s="179" t="s">
        <v>9</v>
      </c>
      <c r="C76" s="180"/>
      <c r="D76" s="15">
        <f t="shared" si="4"/>
        <v>0</v>
      </c>
      <c r="E76" s="18">
        <f>IF(F3="1",SUMIF(Data!A:A,'33'!$A$2,Data!EH:EH),0)</f>
        <v>0</v>
      </c>
      <c r="F76" s="22" t="str">
        <f t="shared" si="5"/>
        <v/>
      </c>
    </row>
    <row r="77" spans="1:6" x14ac:dyDescent="0.2">
      <c r="A77" s="20">
        <v>11</v>
      </c>
      <c r="B77" s="179" t="s">
        <v>10</v>
      </c>
      <c r="C77" s="180"/>
      <c r="D77" s="15">
        <f t="shared" si="4"/>
        <v>37312</v>
      </c>
      <c r="E77" s="18">
        <f>IF(F3="1",SUMIF(Data!A:A,'33'!$A$2,Data!EI:EI),0)</f>
        <v>88873</v>
      </c>
      <c r="F77" s="22">
        <f t="shared" si="5"/>
        <v>2.3818878644939967</v>
      </c>
    </row>
    <row r="78" spans="1:6" ht="14.25" customHeight="1" x14ac:dyDescent="0.2">
      <c r="A78" s="20">
        <v>12</v>
      </c>
      <c r="B78" s="179" t="s">
        <v>11</v>
      </c>
      <c r="C78" s="180"/>
      <c r="D78" s="15">
        <f t="shared" si="4"/>
        <v>84192</v>
      </c>
      <c r="E78" s="18">
        <f>IF(F3="1",SUMIF(Data!A:A,'33'!$A$2,Data!EJ:EJ),0)</f>
        <v>301556</v>
      </c>
      <c r="F78" s="22">
        <f t="shared" si="5"/>
        <v>3.5817654884074495</v>
      </c>
    </row>
    <row r="79" spans="1:6" x14ac:dyDescent="0.2">
      <c r="A79" s="20">
        <v>13</v>
      </c>
      <c r="B79" s="179" t="s">
        <v>12</v>
      </c>
      <c r="C79" s="180"/>
      <c r="D79" s="15">
        <f t="shared" si="4"/>
        <v>13770</v>
      </c>
      <c r="E79" s="18">
        <f>IF(F3="1",SUMIF(Data!A:A,'33'!$A$2,Data!EK:EK),0)</f>
        <v>55867</v>
      </c>
      <c r="F79" s="22">
        <f t="shared" si="5"/>
        <v>4.0571532316630359</v>
      </c>
    </row>
    <row r="80" spans="1:6" ht="14.25" customHeight="1" x14ac:dyDescent="0.2">
      <c r="A80" s="20">
        <v>14</v>
      </c>
      <c r="B80" s="179" t="s">
        <v>804</v>
      </c>
      <c r="C80" s="180"/>
      <c r="D80" s="15">
        <f t="shared" si="4"/>
        <v>124818</v>
      </c>
      <c r="E80" s="18">
        <f>IF(F3="1",SUMIF(Data!A:A,'33'!$A$2,Data!EL:EL),0)</f>
        <v>647953</v>
      </c>
      <c r="F80" s="22">
        <f t="shared" si="5"/>
        <v>5.1911823615183703</v>
      </c>
    </row>
    <row r="81" spans="1:6" x14ac:dyDescent="0.2">
      <c r="A81" s="20">
        <v>15</v>
      </c>
      <c r="B81" s="179" t="s">
        <v>13</v>
      </c>
      <c r="C81" s="180"/>
      <c r="D81" s="15">
        <f t="shared" si="4"/>
        <v>0</v>
      </c>
      <c r="E81" s="18">
        <f>IF(F3="1",SUMIF(Data!A:A,'33'!$A$2,Data!EM:EM),0)</f>
        <v>0</v>
      </c>
      <c r="F81" s="22" t="str">
        <f t="shared" si="5"/>
        <v/>
      </c>
    </row>
    <row r="82" spans="1:6" x14ac:dyDescent="0.2">
      <c r="A82" s="20">
        <v>16</v>
      </c>
      <c r="B82" s="179" t="s">
        <v>14</v>
      </c>
      <c r="C82" s="180"/>
      <c r="D82" s="15">
        <f t="shared" si="4"/>
        <v>94500</v>
      </c>
      <c r="E82" s="18">
        <f>IF(F3="1",SUMIF(Data!A:A,'33'!$A$2,Data!EN:EN),0)</f>
        <v>325249</v>
      </c>
      <c r="F82" s="22">
        <f t="shared" si="5"/>
        <v>3.4417883597883598</v>
      </c>
    </row>
    <row r="83" spans="1:6" x14ac:dyDescent="0.2">
      <c r="A83" s="20">
        <v>17</v>
      </c>
      <c r="B83" s="179" t="s">
        <v>15</v>
      </c>
      <c r="C83" s="180"/>
      <c r="D83" s="15">
        <f t="shared" si="4"/>
        <v>0</v>
      </c>
      <c r="E83" s="18">
        <f>IF(F3="1",SUMIF(Data!A:A,'33'!$A$2,Data!EO:EO),0)</f>
        <v>0</v>
      </c>
      <c r="F83" s="22" t="str">
        <f t="shared" si="5"/>
        <v/>
      </c>
    </row>
    <row r="84" spans="1:6" x14ac:dyDescent="0.2">
      <c r="A84" s="20">
        <v>18</v>
      </c>
      <c r="B84" s="179" t="s">
        <v>16</v>
      </c>
      <c r="C84" s="180"/>
      <c r="D84" s="15">
        <f t="shared" si="4"/>
        <v>75164</v>
      </c>
      <c r="E84" s="18">
        <f>IF(F3="1",SUMIF(Data!A:A,'33'!$A$2,Data!EP:EP),0)</f>
        <v>346580</v>
      </c>
      <c r="F84" s="22">
        <f t="shared" si="5"/>
        <v>4.610983981693364</v>
      </c>
    </row>
    <row r="85" spans="1:6" x14ac:dyDescent="0.2">
      <c r="A85" s="20">
        <v>19</v>
      </c>
      <c r="B85" s="179" t="s">
        <v>17</v>
      </c>
      <c r="C85" s="180"/>
      <c r="D85" s="15">
        <f t="shared" si="4"/>
        <v>30752</v>
      </c>
      <c r="E85" s="18">
        <f>IF(F3="1",SUMIF(Data!A:A,'33'!$A$2,Data!EQ:EQ),0)</f>
        <v>201054</v>
      </c>
      <c r="F85" s="22">
        <f t="shared" si="5"/>
        <v>6.5379162330905309</v>
      </c>
    </row>
    <row r="86" spans="1:6" x14ac:dyDescent="0.2">
      <c r="A86" s="20">
        <v>20</v>
      </c>
      <c r="B86" s="179" t="s">
        <v>18</v>
      </c>
      <c r="C86" s="180"/>
      <c r="D86" s="15">
        <f t="shared" si="4"/>
        <v>0</v>
      </c>
      <c r="E86" s="18">
        <f>IF(F3="1",SUMIF(Data!A:A,'33'!$A$2,Data!ER:ER),0)</f>
        <v>0</v>
      </c>
      <c r="F86" s="22" t="str">
        <f t="shared" si="5"/>
        <v/>
      </c>
    </row>
    <row r="87" spans="1:6" ht="14.25" customHeight="1" x14ac:dyDescent="0.2">
      <c r="A87" s="20">
        <v>21</v>
      </c>
      <c r="B87" s="179" t="s">
        <v>801</v>
      </c>
      <c r="C87" s="180"/>
      <c r="D87" s="15">
        <f t="shared" si="4"/>
        <v>1280</v>
      </c>
      <c r="E87" s="18">
        <f>IF(F3="1",SUMIF(Data!A:A,'33'!$A$2,Data!ES:ES),0)</f>
        <v>16270</v>
      </c>
      <c r="F87" s="22">
        <f t="shared" si="5"/>
        <v>12.7109375</v>
      </c>
    </row>
    <row r="88" spans="1:6" x14ac:dyDescent="0.2">
      <c r="A88" s="20">
        <v>22</v>
      </c>
      <c r="B88" s="179" t="s">
        <v>19</v>
      </c>
      <c r="C88" s="180"/>
      <c r="D88" s="15">
        <f t="shared" si="4"/>
        <v>1152</v>
      </c>
      <c r="E88" s="18">
        <f>IF(F3="1",SUMIF(Data!A:A,'33'!$A$2,Data!ET:ET),0)</f>
        <v>14643</v>
      </c>
      <c r="F88" s="22">
        <f t="shared" si="5"/>
        <v>12.7109375</v>
      </c>
    </row>
    <row r="89" spans="1:6" x14ac:dyDescent="0.2">
      <c r="A89" s="20">
        <v>23</v>
      </c>
      <c r="B89" s="179" t="s">
        <v>20</v>
      </c>
      <c r="C89" s="180"/>
      <c r="D89" s="15">
        <f t="shared" si="4"/>
        <v>40032</v>
      </c>
      <c r="E89" s="18">
        <f>IF(F3="1",SUMIF(Data!A:A,'33'!$A$2,Data!EU:EU),0)</f>
        <v>174235</v>
      </c>
      <c r="F89" s="22">
        <f t="shared" si="5"/>
        <v>4.3523930855315749</v>
      </c>
    </row>
    <row r="90" spans="1:6" x14ac:dyDescent="0.2">
      <c r="A90" s="20">
        <v>24</v>
      </c>
      <c r="B90" s="179" t="s">
        <v>21</v>
      </c>
      <c r="C90" s="180"/>
      <c r="D90" s="15">
        <f t="shared" si="4"/>
        <v>4368</v>
      </c>
      <c r="E90" s="18">
        <f>IF(F3="1",SUMIF(Data!A:A,'33'!$A$2,Data!EV:EV),0)</f>
        <v>10151</v>
      </c>
      <c r="F90" s="22">
        <f t="shared" si="5"/>
        <v>2.3239468864468864</v>
      </c>
    </row>
    <row r="91" spans="1:6" x14ac:dyDescent="0.2">
      <c r="A91" s="20">
        <v>25</v>
      </c>
      <c r="B91" s="179" t="s">
        <v>22</v>
      </c>
      <c r="C91" s="180"/>
      <c r="D91" s="15">
        <f t="shared" si="4"/>
        <v>141648</v>
      </c>
      <c r="E91" s="18">
        <f>IF(F3="1",SUMIF(Data!A:A,'33'!$A$2,Data!EW:EW),0)</f>
        <v>289801</v>
      </c>
      <c r="F91" s="22">
        <f t="shared" si="5"/>
        <v>2.0459236981814075</v>
      </c>
    </row>
    <row r="92" spans="1:6" x14ac:dyDescent="0.2">
      <c r="A92" s="20">
        <v>26</v>
      </c>
      <c r="B92" s="179" t="s">
        <v>23</v>
      </c>
      <c r="C92" s="180"/>
      <c r="D92" s="15">
        <f t="shared" si="4"/>
        <v>74256</v>
      </c>
      <c r="E92" s="18">
        <f>IF(F3="1",SUMIF(Data!A:A,'33'!$A$2,Data!EX:EX),0)</f>
        <v>301559</v>
      </c>
      <c r="F92" s="22">
        <f t="shared" si="5"/>
        <v>4.0610725059254467</v>
      </c>
    </row>
    <row r="93" spans="1:6" x14ac:dyDescent="0.2">
      <c r="A93" s="20">
        <v>28</v>
      </c>
      <c r="B93" s="179" t="s">
        <v>24</v>
      </c>
      <c r="C93" s="180"/>
      <c r="D93" s="15">
        <f t="shared" si="4"/>
        <v>55008</v>
      </c>
      <c r="E93" s="18">
        <f>IF(F3="1",SUMIF(Data!A:A,'33'!$A$2,Data!EZ:EZ),0)</f>
        <v>126030</v>
      </c>
      <c r="F93" s="22">
        <f t="shared" si="5"/>
        <v>2.2911212914485164</v>
      </c>
    </row>
    <row r="94" spans="1:6" ht="15.75" customHeight="1" thickBot="1" x14ac:dyDescent="0.25">
      <c r="A94" s="23">
        <v>29</v>
      </c>
      <c r="B94" s="181" t="s">
        <v>25</v>
      </c>
      <c r="C94" s="182"/>
      <c r="D94" s="24">
        <f t="shared" si="4"/>
        <v>13776</v>
      </c>
      <c r="E94" s="25">
        <f>IF(F3="1",SUMIF(Data!A:A,'33'!$A$2,Data!FA:FA),0)</f>
        <v>31480</v>
      </c>
      <c r="F94" s="26">
        <f t="shared" si="5"/>
        <v>2.2851335656213707</v>
      </c>
    </row>
    <row r="95" spans="1:6" x14ac:dyDescent="0.2">
      <c r="B95" s="31" t="s">
        <v>35</v>
      </c>
      <c r="C95" s="31"/>
      <c r="D95" s="61">
        <f>SUM(D67:D94)</f>
        <v>1154087</v>
      </c>
      <c r="E95" s="32">
        <f>SUM(E67:E94)</f>
        <v>4142429</v>
      </c>
      <c r="F95" s="33">
        <f t="shared" si="5"/>
        <v>3.5893559151086532</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IF(F3="1",SUMIF(Data!A:A,'33'!$A$2,Data!AH:AH),0)</f>
        <v>1560680</v>
      </c>
      <c r="F98" s="21">
        <f t="shared" ref="F98:F105" si="6">IFERROR(E98/$D$95,0)</f>
        <v>1.3523070617726394</v>
      </c>
    </row>
    <row r="99" spans="2:6" x14ac:dyDescent="0.2">
      <c r="B99" s="185" t="s">
        <v>31</v>
      </c>
      <c r="C99" s="186"/>
      <c r="D99" s="37"/>
      <c r="E99" s="18">
        <f>IF(F3="1",SUMIF(Data!A:A,'33'!$A$2,Data!AI:AI),0)</f>
        <v>851589</v>
      </c>
      <c r="F99" s="22">
        <f t="shared" si="6"/>
        <v>0.73788977780704579</v>
      </c>
    </row>
    <row r="100" spans="2:6" x14ac:dyDescent="0.2">
      <c r="B100" s="185" t="s">
        <v>32</v>
      </c>
      <c r="C100" s="186"/>
      <c r="D100" s="37"/>
      <c r="E100" s="18">
        <f>IF(F3="1",SUMIF(Data!A:A,'33'!$A$2,Data!AJ:AJ),0)</f>
        <v>1669139</v>
      </c>
      <c r="F100" s="22">
        <f t="shared" si="6"/>
        <v>1.4462852453931117</v>
      </c>
    </row>
    <row r="101" spans="2:6" x14ac:dyDescent="0.2">
      <c r="B101" s="185" t="s">
        <v>28</v>
      </c>
      <c r="C101" s="186"/>
      <c r="D101" s="37"/>
      <c r="E101" s="18">
        <f>IF(F3="1",SUMIF(Data!A:A,'33'!$A$2,Data!AK:AK),0)</f>
        <v>0</v>
      </c>
      <c r="F101" s="22">
        <f t="shared" si="6"/>
        <v>0</v>
      </c>
    </row>
    <row r="102" spans="2:6" x14ac:dyDescent="0.2">
      <c r="B102" s="185" t="s">
        <v>33</v>
      </c>
      <c r="C102" s="186"/>
      <c r="D102" s="37"/>
      <c r="E102" s="18">
        <f>IF(F3="1",SUMIF(Data!A:A,'33'!$A$2,Data!AL:AL),0)</f>
        <v>0</v>
      </c>
      <c r="F102" s="22">
        <f t="shared" si="6"/>
        <v>0</v>
      </c>
    </row>
    <row r="103" spans="2:6" x14ac:dyDescent="0.2">
      <c r="B103" s="187" t="s">
        <v>34</v>
      </c>
      <c r="C103" s="188"/>
      <c r="D103" s="37"/>
      <c r="E103" s="18">
        <f>IF(F3="1",SUMIF(Data!A:A,'33'!$A$2,Data!AM:AM),0)</f>
        <v>0</v>
      </c>
      <c r="F103" s="22">
        <f t="shared" si="6"/>
        <v>0</v>
      </c>
    </row>
    <row r="104" spans="2:6" ht="15.75" customHeight="1" thickBot="1" x14ac:dyDescent="0.25">
      <c r="B104" s="177" t="s">
        <v>29</v>
      </c>
      <c r="C104" s="178"/>
      <c r="D104" s="38"/>
      <c r="E104" s="25">
        <f>IF(F3="1",SUMIF(Data!A:A,'33'!$A$2,Data!Q:Q),0)</f>
        <v>402105</v>
      </c>
      <c r="F104" s="26">
        <f t="shared" si="6"/>
        <v>0.34841827349237969</v>
      </c>
    </row>
    <row r="105" spans="2:6" x14ac:dyDescent="0.2">
      <c r="B105" s="31" t="s">
        <v>35</v>
      </c>
      <c r="C105" s="31"/>
      <c r="D105" s="35">
        <f>D95</f>
        <v>1154087</v>
      </c>
      <c r="E105" s="32">
        <f>SUM(E98:E104)</f>
        <v>4483513</v>
      </c>
      <c r="F105" s="33">
        <f t="shared" si="6"/>
        <v>3.8849003584651762</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4265216</v>
      </c>
      <c r="D109" s="16">
        <f>IF(F3="1",SUMIF(Data!$A:$A,$A$2,Data!HJ:HJ),0)</f>
        <v>446847</v>
      </c>
      <c r="E109" s="16">
        <f>IF(F3="1",SUMIF(Data!$A:$A,$A$2,Data!IN:IN),0)</f>
        <v>531856</v>
      </c>
      <c r="F109" s="48">
        <f>SUM(C109:E109)</f>
        <v>5243919</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0</v>
      </c>
      <c r="D111" s="52"/>
      <c r="E111" s="51">
        <f>IF(F3="1",SUMIF(Data!A:A,$A$2,Data!AX:AX),0)</f>
        <v>0</v>
      </c>
      <c r="F111" s="49">
        <f t="shared" si="7"/>
        <v>0</v>
      </c>
    </row>
    <row r="112" spans="2:6" x14ac:dyDescent="0.2">
      <c r="B112" s="43" t="s">
        <v>32</v>
      </c>
      <c r="C112" s="51">
        <f>IF(F3="1",SUMIF(Data!A:A,$A$2,Data!V:V),0)</f>
        <v>1284347</v>
      </c>
      <c r="D112" s="52"/>
      <c r="E112" s="51">
        <f>IF(F3="1",SUMIF(Data!A:A,$A$2,Data!AC:AC),0)</f>
        <v>384792</v>
      </c>
      <c r="F112" s="49">
        <f t="shared" si="7"/>
        <v>1669139</v>
      </c>
    </row>
    <row r="113" spans="1:6" x14ac:dyDescent="0.2">
      <c r="B113" s="43" t="s">
        <v>31</v>
      </c>
      <c r="C113" s="51">
        <f>IF(F3="1",SUMIF(Data!A:A,$A$2,Data!U:U),0)</f>
        <v>722913</v>
      </c>
      <c r="D113" s="52"/>
      <c r="E113" s="51">
        <f>IF(F3="1",SUMIF(Data!A:A,$A$2,Data!AB:AB),0)</f>
        <v>128676</v>
      </c>
      <c r="F113" s="49">
        <f t="shared" si="7"/>
        <v>851589</v>
      </c>
    </row>
    <row r="114" spans="1:6" x14ac:dyDescent="0.2">
      <c r="B114" s="43" t="s">
        <v>1363</v>
      </c>
      <c r="C114" s="51">
        <f>IF(F3="1",SUMIF(Data!A:A,$A$2,Data!T:T),0)</f>
        <v>795831</v>
      </c>
      <c r="D114" s="52"/>
      <c r="E114" s="51">
        <f>IF(F3="1",SUMIF(Data!A:A,$A$2,Data!AA:AA),0)</f>
        <v>764849</v>
      </c>
      <c r="F114" s="49">
        <f t="shared" si="7"/>
        <v>1560680</v>
      </c>
    </row>
    <row r="115" spans="1:6" x14ac:dyDescent="0.2">
      <c r="B115" s="43" t="s">
        <v>1278</v>
      </c>
      <c r="C115" s="51">
        <f>IF(F3="1",SUMIF(Data!A:A,$A$2,Data!BI:BI),0)</f>
        <v>267474</v>
      </c>
      <c r="D115" s="51">
        <f>IF(F3="1",SUMIF(Data!A:A,$A$2,Data!BL:BL),0)</f>
        <v>78463</v>
      </c>
      <c r="E115" s="51">
        <f>IF(F3="1",SUMIF(Data!A:A,$A$2,Data!BU:BU),0)</f>
        <v>1240314</v>
      </c>
      <c r="F115" s="49">
        <f t="shared" si="7"/>
        <v>1586251</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402105</v>
      </c>
      <c r="E117" s="53"/>
      <c r="F117" s="50">
        <f>SUM(C117:E117)</f>
        <v>402105</v>
      </c>
    </row>
    <row r="118" spans="1:6" x14ac:dyDescent="0.2">
      <c r="B118" s="14" t="s">
        <v>35</v>
      </c>
      <c r="C118" s="5">
        <f>SUM(C109:C116)</f>
        <v>7335781</v>
      </c>
      <c r="D118" s="5">
        <f>SUM(D109:D116)</f>
        <v>525310</v>
      </c>
      <c r="E118" s="5">
        <f>SUM(E109:E116)</f>
        <v>3050487</v>
      </c>
      <c r="F118" s="5">
        <f>SUM(F109:F116)</f>
        <v>10911578</v>
      </c>
    </row>
    <row r="119" spans="1:6" ht="15" thickBot="1" x14ac:dyDescent="0.25"/>
    <row r="120" spans="1:6" ht="15" thickBot="1" x14ac:dyDescent="0.25">
      <c r="B120" s="57" t="s">
        <v>1283</v>
      </c>
      <c r="C120" s="55"/>
      <c r="D120" s="55"/>
      <c r="E120" s="55">
        <f>IF(F3="1",SUMIF(Data!A:A,'33'!$A$2,Data!AM:AM),0)</f>
        <v>0</v>
      </c>
      <c r="F120" s="56">
        <f>SUM(C120:E120)</f>
        <v>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510</v>
      </c>
      <c r="B2" s="60" t="str">
        <f>VLOOKUP(A2,Data!A:G,7,0)</f>
        <v>Paris Junior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7828</v>
      </c>
      <c r="E5" s="16">
        <f>E36+E67+IFERROR($E$105/$D$105*D5,0)</f>
        <v>74112.26078510104</v>
      </c>
      <c r="F5" s="21">
        <f>IFERROR(E5/D5,"")</f>
        <v>9.4675856904830145</v>
      </c>
    </row>
    <row r="6" spans="1:6" x14ac:dyDescent="0.2">
      <c r="A6" s="20">
        <v>2</v>
      </c>
      <c r="B6" s="179" t="s">
        <v>1</v>
      </c>
      <c r="C6" s="180"/>
      <c r="D6" s="15">
        <f t="shared" ref="D6:D32" si="0">D37</f>
        <v>227480</v>
      </c>
      <c r="E6" s="18">
        <f t="shared" ref="E6:E32" si="1">E37+E68+IFERROR($E$105/$D$105*D6,0)</f>
        <v>1416842.4521454759</v>
      </c>
      <c r="F6" s="22">
        <f t="shared" ref="F6:F33" si="2">IFERROR(E6/D6,"")</f>
        <v>6.2284264645044658</v>
      </c>
    </row>
    <row r="7" spans="1:6" ht="14.25" customHeight="1" x14ac:dyDescent="0.2">
      <c r="A7" s="20">
        <v>3</v>
      </c>
      <c r="B7" s="179" t="s">
        <v>2</v>
      </c>
      <c r="C7" s="180"/>
      <c r="D7" s="15">
        <f t="shared" si="0"/>
        <v>427184</v>
      </c>
      <c r="E7" s="18">
        <f t="shared" si="1"/>
        <v>1706349.5808920036</v>
      </c>
      <c r="F7" s="22">
        <f t="shared" si="2"/>
        <v>3.9944136037211218</v>
      </c>
    </row>
    <row r="8" spans="1:6" ht="14.25" customHeight="1" x14ac:dyDescent="0.2">
      <c r="A8" s="20">
        <v>4</v>
      </c>
      <c r="B8" s="179" t="s">
        <v>3</v>
      </c>
      <c r="C8" s="180"/>
      <c r="D8" s="15">
        <f t="shared" si="0"/>
        <v>128358</v>
      </c>
      <c r="E8" s="18">
        <f t="shared" si="1"/>
        <v>575054.65966453752</v>
      </c>
      <c r="F8" s="22">
        <f t="shared" si="2"/>
        <v>4.4800842928725713</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11888</v>
      </c>
      <c r="E10" s="18">
        <f t="shared" si="1"/>
        <v>74583.745556116657</v>
      </c>
      <c r="F10" s="22">
        <f t="shared" si="2"/>
        <v>6.2738682331861249</v>
      </c>
    </row>
    <row r="11" spans="1:6" x14ac:dyDescent="0.2">
      <c r="A11" s="20">
        <v>7</v>
      </c>
      <c r="B11" s="179" t="s">
        <v>6</v>
      </c>
      <c r="C11" s="180"/>
      <c r="D11" s="15">
        <f t="shared" si="0"/>
        <v>118337</v>
      </c>
      <c r="E11" s="18">
        <f t="shared" si="1"/>
        <v>601116.75057824503</v>
      </c>
      <c r="F11" s="22">
        <f t="shared" si="2"/>
        <v>5.0797024648102029</v>
      </c>
    </row>
    <row r="12" spans="1:6" x14ac:dyDescent="0.2">
      <c r="A12" s="20">
        <v>8</v>
      </c>
      <c r="B12" s="179" t="s">
        <v>7</v>
      </c>
      <c r="C12" s="180"/>
      <c r="D12" s="15">
        <f t="shared" si="0"/>
        <v>668</v>
      </c>
      <c r="E12" s="18">
        <f t="shared" si="1"/>
        <v>6128.7309918813862</v>
      </c>
      <c r="F12" s="22">
        <f t="shared" si="2"/>
        <v>9.1747469938344111</v>
      </c>
    </row>
    <row r="13" spans="1:6" x14ac:dyDescent="0.2">
      <c r="A13" s="20">
        <v>9</v>
      </c>
      <c r="B13" s="179" t="s">
        <v>8</v>
      </c>
      <c r="C13" s="180"/>
      <c r="D13" s="15">
        <f t="shared" si="0"/>
        <v>73675</v>
      </c>
      <c r="E13" s="18">
        <f t="shared" si="1"/>
        <v>473640.5296809299</v>
      </c>
      <c r="F13" s="22">
        <f t="shared" si="2"/>
        <v>6.4287822148751941</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285633</v>
      </c>
      <c r="E15" s="18">
        <f t="shared" si="1"/>
        <v>983031.98413780855</v>
      </c>
      <c r="F15" s="22">
        <f t="shared" si="2"/>
        <v>3.4415910771437774</v>
      </c>
    </row>
    <row r="16" spans="1:6" ht="14.25" customHeight="1" x14ac:dyDescent="0.2">
      <c r="A16" s="20">
        <v>12</v>
      </c>
      <c r="B16" s="179" t="s">
        <v>11</v>
      </c>
      <c r="C16" s="180"/>
      <c r="D16" s="15">
        <f t="shared" si="0"/>
        <v>299312</v>
      </c>
      <c r="E16" s="18">
        <f t="shared" si="1"/>
        <v>1420296.806350302</v>
      </c>
      <c r="F16" s="22">
        <f t="shared" si="2"/>
        <v>4.7452050246909643</v>
      </c>
    </row>
    <row r="17" spans="1:6" x14ac:dyDescent="0.2">
      <c r="A17" s="20">
        <v>13</v>
      </c>
      <c r="B17" s="179" t="s">
        <v>12</v>
      </c>
      <c r="C17" s="180"/>
      <c r="D17" s="15">
        <f t="shared" si="0"/>
        <v>47128</v>
      </c>
      <c r="E17" s="18">
        <f t="shared" si="1"/>
        <v>235703.63800207485</v>
      </c>
      <c r="F17" s="22">
        <f t="shared" si="2"/>
        <v>5.0013503225699125</v>
      </c>
    </row>
    <row r="18" spans="1:6" ht="14.25" customHeight="1" x14ac:dyDescent="0.2">
      <c r="A18" s="20">
        <v>14</v>
      </c>
      <c r="B18" s="179" t="s">
        <v>804</v>
      </c>
      <c r="C18" s="180"/>
      <c r="D18" s="15">
        <f t="shared" si="0"/>
        <v>59904</v>
      </c>
      <c r="E18" s="18">
        <f t="shared" si="1"/>
        <v>756222.84032584215</v>
      </c>
      <c r="F18" s="22">
        <f t="shared" si="2"/>
        <v>12.623912265054789</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195494</v>
      </c>
      <c r="E20" s="18">
        <f t="shared" si="1"/>
        <v>1167630.0127647603</v>
      </c>
      <c r="F20" s="22">
        <f t="shared" si="2"/>
        <v>5.9727153404440045</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86644</v>
      </c>
      <c r="E22" s="18">
        <f t="shared" si="1"/>
        <v>723704.96416253131</v>
      </c>
      <c r="F22" s="22">
        <f t="shared" si="2"/>
        <v>8.3526264272486408</v>
      </c>
    </row>
    <row r="23" spans="1:6" x14ac:dyDescent="0.2">
      <c r="A23" s="20">
        <v>19</v>
      </c>
      <c r="B23" s="179" t="s">
        <v>17</v>
      </c>
      <c r="C23" s="180"/>
      <c r="D23" s="15">
        <f t="shared" si="0"/>
        <v>120960</v>
      </c>
      <c r="E23" s="18">
        <f t="shared" si="1"/>
        <v>719392.40835025825</v>
      </c>
      <c r="F23" s="22">
        <f t="shared" si="2"/>
        <v>5.9473578732660242</v>
      </c>
    </row>
    <row r="24" spans="1:6" x14ac:dyDescent="0.2">
      <c r="A24" s="20">
        <v>20</v>
      </c>
      <c r="B24" s="179" t="s">
        <v>18</v>
      </c>
      <c r="C24" s="180"/>
      <c r="D24" s="15">
        <f t="shared" si="0"/>
        <v>0</v>
      </c>
      <c r="E24" s="18">
        <f t="shared" si="1"/>
        <v>0</v>
      </c>
      <c r="F24" s="22" t="str">
        <f t="shared" si="2"/>
        <v/>
      </c>
    </row>
    <row r="25" spans="1:6" ht="14.25" customHeight="1" x14ac:dyDescent="0.2">
      <c r="A25" s="20">
        <v>21</v>
      </c>
      <c r="B25" s="179" t="s">
        <v>801</v>
      </c>
      <c r="C25" s="180"/>
      <c r="D25" s="15">
        <f t="shared" si="0"/>
        <v>1764</v>
      </c>
      <c r="E25" s="18">
        <f t="shared" si="1"/>
        <v>44786.583038441269</v>
      </c>
      <c r="F25" s="22">
        <f t="shared" si="2"/>
        <v>25.389219409547206</v>
      </c>
    </row>
    <row r="26" spans="1:6" x14ac:dyDescent="0.2">
      <c r="A26" s="20">
        <v>22</v>
      </c>
      <c r="B26" s="179" t="s">
        <v>19</v>
      </c>
      <c r="C26" s="180"/>
      <c r="D26" s="15">
        <f t="shared" si="0"/>
        <v>4880</v>
      </c>
      <c r="E26" s="18">
        <f t="shared" si="1"/>
        <v>10529.735389792166</v>
      </c>
      <c r="F26" s="22">
        <f t="shared" si="2"/>
        <v>2.1577326618426569</v>
      </c>
    </row>
    <row r="27" spans="1:6" x14ac:dyDescent="0.2">
      <c r="A27" s="20">
        <v>23</v>
      </c>
      <c r="B27" s="179" t="s">
        <v>20</v>
      </c>
      <c r="C27" s="180"/>
      <c r="D27" s="15">
        <f t="shared" si="0"/>
        <v>116496</v>
      </c>
      <c r="E27" s="18">
        <f t="shared" si="1"/>
        <v>649278.46351828449</v>
      </c>
      <c r="F27" s="22">
        <f t="shared" si="2"/>
        <v>5.5733970567082514</v>
      </c>
    </row>
    <row r="28" spans="1:6" x14ac:dyDescent="0.2">
      <c r="A28" s="20">
        <v>24</v>
      </c>
      <c r="B28" s="179" t="s">
        <v>21</v>
      </c>
      <c r="C28" s="180"/>
      <c r="D28" s="15">
        <f t="shared" si="0"/>
        <v>45160</v>
      </c>
      <c r="E28" s="18">
        <f t="shared" si="1"/>
        <v>179849.43651701111</v>
      </c>
      <c r="F28" s="22">
        <f t="shared" si="2"/>
        <v>3.9824941655671195</v>
      </c>
    </row>
    <row r="29" spans="1:6" x14ac:dyDescent="0.2">
      <c r="A29" s="20">
        <v>25</v>
      </c>
      <c r="B29" s="179" t="s">
        <v>22</v>
      </c>
      <c r="C29" s="180"/>
      <c r="D29" s="15">
        <f t="shared" si="0"/>
        <v>458888</v>
      </c>
      <c r="E29" s="18">
        <f t="shared" si="1"/>
        <v>2063786.7535965056</v>
      </c>
      <c r="F29" s="22">
        <f t="shared" si="2"/>
        <v>4.4973648332414564</v>
      </c>
    </row>
    <row r="30" spans="1:6" x14ac:dyDescent="0.2">
      <c r="A30" s="20">
        <v>26</v>
      </c>
      <c r="B30" s="179" t="s">
        <v>23</v>
      </c>
      <c r="C30" s="180"/>
      <c r="D30" s="15">
        <f t="shared" si="0"/>
        <v>117152</v>
      </c>
      <c r="E30" s="18">
        <f t="shared" si="1"/>
        <v>645597.86401330575</v>
      </c>
      <c r="F30" s="22">
        <f t="shared" si="2"/>
        <v>5.5107711691930632</v>
      </c>
    </row>
    <row r="31" spans="1:6" x14ac:dyDescent="0.2">
      <c r="A31" s="20">
        <v>28</v>
      </c>
      <c r="B31" s="179" t="s">
        <v>24</v>
      </c>
      <c r="C31" s="180"/>
      <c r="D31" s="15">
        <f t="shared" si="0"/>
        <v>216912</v>
      </c>
      <c r="E31" s="18">
        <f t="shared" si="1"/>
        <v>796916.06124397507</v>
      </c>
      <c r="F31" s="22">
        <f t="shared" si="2"/>
        <v>3.6739141275907974</v>
      </c>
    </row>
    <row r="32" spans="1:6" ht="15.75" customHeight="1" thickBot="1" x14ac:dyDescent="0.25">
      <c r="A32" s="23">
        <v>29</v>
      </c>
      <c r="B32" s="181" t="s">
        <v>25</v>
      </c>
      <c r="C32" s="182"/>
      <c r="D32" s="24">
        <f t="shared" si="0"/>
        <v>118624</v>
      </c>
      <c r="E32" s="25">
        <f t="shared" si="1"/>
        <v>725800.73829481681</v>
      </c>
      <c r="F32" s="26">
        <f t="shared" si="2"/>
        <v>6.1184982659058607</v>
      </c>
    </row>
    <row r="33" spans="1:6" x14ac:dyDescent="0.2">
      <c r="B33" s="31" t="s">
        <v>35</v>
      </c>
      <c r="C33" s="31"/>
      <c r="D33" s="61">
        <f>SUM(D5:D32)</f>
        <v>3170369</v>
      </c>
      <c r="E33" s="32">
        <f>SUM(E5:E32)</f>
        <v>16050357.000000002</v>
      </c>
      <c r="F33" s="33">
        <f t="shared" si="2"/>
        <v>5.0626147934199466</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IF(F3="1",SUMIF(Data!A:A,'34'!$A$2,Data!CU:CU),0)</f>
        <v>7828</v>
      </c>
      <c r="E36" s="16">
        <f>IF(F3="1",SUMIF(Data!$A:$A,'34'!$A$2,Data!IO:IO),0)</f>
        <v>10740</v>
      </c>
      <c r="F36" s="21">
        <f t="shared" ref="F36:F64" si="3">IFERROR(E36/D36,"")</f>
        <v>1.3719979560551865</v>
      </c>
    </row>
    <row r="37" spans="1:6" x14ac:dyDescent="0.2">
      <c r="A37" s="20">
        <v>2</v>
      </c>
      <c r="B37" s="179" t="s">
        <v>1</v>
      </c>
      <c r="C37" s="180"/>
      <c r="D37" s="15">
        <f>IF(F3="1",SUMIF(Data!A:A,'34'!$A$2,Data!CV:CV),0)</f>
        <v>227480</v>
      </c>
      <c r="E37" s="18">
        <f>IF(F3="1",SUMIF(Data!$A:$A,'34'!$A$2,Data!IP:IP),0)</f>
        <v>277237</v>
      </c>
      <c r="F37" s="22">
        <f t="shared" si="3"/>
        <v>1.2187313170388605</v>
      </c>
    </row>
    <row r="38" spans="1:6" ht="14.25" customHeight="1" x14ac:dyDescent="0.2">
      <c r="A38" s="20">
        <v>3</v>
      </c>
      <c r="B38" s="179" t="s">
        <v>2</v>
      </c>
      <c r="C38" s="180"/>
      <c r="D38" s="15">
        <f>IF(F3="1",SUMIF(Data!A:A,'34'!$A$2,Data!CW:CW),0)</f>
        <v>427184</v>
      </c>
      <c r="E38" s="18">
        <f>IF(F3="1",SUMIF(Data!$A:$A,'34'!$A$2,Data!IQ:IQ),0)</f>
        <v>186475</v>
      </c>
      <c r="F38" s="22">
        <f t="shared" si="3"/>
        <v>0.43652149893254427</v>
      </c>
    </row>
    <row r="39" spans="1:6" ht="14.25" customHeight="1" x14ac:dyDescent="0.2">
      <c r="A39" s="20">
        <v>4</v>
      </c>
      <c r="B39" s="179" t="s">
        <v>3</v>
      </c>
      <c r="C39" s="180"/>
      <c r="D39" s="15">
        <f>IF(F3="1",SUMIF(Data!A:A,'34'!$A$2,Data!CX:CX),0)</f>
        <v>128358</v>
      </c>
      <c r="E39" s="18">
        <f>IF(F3="1",SUMIF(Data!$A:$A,'34'!$A$2,Data!IR:IR),0)</f>
        <v>71748</v>
      </c>
      <c r="F39" s="22">
        <f t="shared" si="3"/>
        <v>0.55896788669190856</v>
      </c>
    </row>
    <row r="40" spans="1:6" x14ac:dyDescent="0.2">
      <c r="A40" s="20">
        <v>5</v>
      </c>
      <c r="B40" s="179" t="s">
        <v>4</v>
      </c>
      <c r="C40" s="180"/>
      <c r="D40" s="15">
        <f>IF(F3="1",SUMIF(Data!A:A,'34'!$A$2,Data!CY:CY),0)</f>
        <v>0</v>
      </c>
      <c r="E40" s="18">
        <f>IF(F3="1",SUMIF(Data!$A:$A,'34'!$A$2,Data!IS:IS),0)</f>
        <v>0</v>
      </c>
      <c r="F40" s="22" t="str">
        <f t="shared" si="3"/>
        <v/>
      </c>
    </row>
    <row r="41" spans="1:6" x14ac:dyDescent="0.2">
      <c r="A41" s="20">
        <v>6</v>
      </c>
      <c r="B41" s="179" t="s">
        <v>5</v>
      </c>
      <c r="C41" s="180"/>
      <c r="D41" s="15">
        <f>IF(F3="1",SUMIF(Data!A:A,'34'!$A$2,Data!CZ:CZ),0)</f>
        <v>11888</v>
      </c>
      <c r="E41" s="18">
        <f>IF(F3="1",SUMIF(Data!$A:$A,'34'!$A$2,Data!IT:IT),0)</f>
        <v>10958</v>
      </c>
      <c r="F41" s="22">
        <f t="shared" si="3"/>
        <v>0.92176985195154781</v>
      </c>
    </row>
    <row r="42" spans="1:6" x14ac:dyDescent="0.2">
      <c r="A42" s="20">
        <v>7</v>
      </c>
      <c r="B42" s="179" t="s">
        <v>6</v>
      </c>
      <c r="C42" s="180"/>
      <c r="D42" s="15">
        <f>IF(F3="1",SUMIF(Data!A:A,'34'!$A$2,Data!DA:DA),0)</f>
        <v>118337</v>
      </c>
      <c r="E42" s="18">
        <f>IF(F3="1",SUMIF(Data!$A:$A,'34'!$A$2,Data!IU:IU),0)</f>
        <v>56610</v>
      </c>
      <c r="F42" s="22">
        <f t="shared" si="3"/>
        <v>0.47837954316908488</v>
      </c>
    </row>
    <row r="43" spans="1:6" x14ac:dyDescent="0.2">
      <c r="A43" s="20">
        <v>8</v>
      </c>
      <c r="B43" s="179" t="s">
        <v>7</v>
      </c>
      <c r="C43" s="180"/>
      <c r="D43" s="15">
        <f>IF(F3="1",SUMIF(Data!A:A,'34'!$A$2,Data!DB:DB),0)</f>
        <v>668</v>
      </c>
      <c r="E43" s="18">
        <f>IF(F3="1",SUMIF(Data!$A:$A,'34'!$A$2,Data!IV:IV),0)</f>
        <v>3389</v>
      </c>
      <c r="F43" s="22">
        <f t="shared" si="3"/>
        <v>5.0733532934131738</v>
      </c>
    </row>
    <row r="44" spans="1:6" x14ac:dyDescent="0.2">
      <c r="A44" s="20">
        <v>9</v>
      </c>
      <c r="B44" s="179" t="s">
        <v>8</v>
      </c>
      <c r="C44" s="180"/>
      <c r="D44" s="15">
        <f>IF(F3="1",SUMIF(Data!A:A,'34'!$A$2,Data!DC:DC),0)</f>
        <v>73675</v>
      </c>
      <c r="E44" s="18">
        <f>IF(F3="1",SUMIF(Data!$A:$A,'34'!$A$2,Data!IW:IW),0)</f>
        <v>75333</v>
      </c>
      <c r="F44" s="22">
        <f t="shared" si="3"/>
        <v>1.0225042416016288</v>
      </c>
    </row>
    <row r="45" spans="1:6" x14ac:dyDescent="0.2">
      <c r="A45" s="20">
        <v>10</v>
      </c>
      <c r="B45" s="179" t="s">
        <v>9</v>
      </c>
      <c r="C45" s="180"/>
      <c r="D45" s="15">
        <f>IF(F3="1",SUMIF(Data!A:A,'34'!$A$2,Data!DD:DD),0)</f>
        <v>0</v>
      </c>
      <c r="E45" s="18">
        <f>IF(F3="1",SUMIF(Data!$A:$A,'34'!$A$2,Data!IX:IX),0)</f>
        <v>0</v>
      </c>
      <c r="F45" s="22" t="str">
        <f t="shared" si="3"/>
        <v/>
      </c>
    </row>
    <row r="46" spans="1:6" x14ac:dyDescent="0.2">
      <c r="A46" s="20">
        <v>11</v>
      </c>
      <c r="B46" s="179" t="s">
        <v>10</v>
      </c>
      <c r="C46" s="180"/>
      <c r="D46" s="15">
        <f>IF(F3="1",SUMIF(Data!A:A,'34'!$A$2,Data!DE:DE),0)</f>
        <v>285633</v>
      </c>
      <c r="E46" s="18">
        <f>IF(F3="1",SUMIF(Data!$A:$A,'34'!$A$2,Data!IY:IY),0)</f>
        <v>114412</v>
      </c>
      <c r="F46" s="22">
        <f t="shared" si="3"/>
        <v>0.40055595817009937</v>
      </c>
    </row>
    <row r="47" spans="1:6" ht="14.25" customHeight="1" x14ac:dyDescent="0.2">
      <c r="A47" s="20">
        <v>12</v>
      </c>
      <c r="B47" s="179" t="s">
        <v>11</v>
      </c>
      <c r="C47" s="180"/>
      <c r="D47" s="15">
        <f>IF(F3="1",SUMIF(Data!A:A,'34'!$A$2,Data!DF:DF),0)</f>
        <v>299312</v>
      </c>
      <c r="E47" s="18">
        <f>IF(F3="1",SUMIF(Data!$A:$A,'34'!$A$2,Data!IZ:IZ),0)</f>
        <v>160299</v>
      </c>
      <c r="F47" s="22">
        <f t="shared" si="3"/>
        <v>0.53555821350296684</v>
      </c>
    </row>
    <row r="48" spans="1:6" x14ac:dyDescent="0.2">
      <c r="A48" s="20">
        <v>13</v>
      </c>
      <c r="B48" s="179" t="s">
        <v>12</v>
      </c>
      <c r="C48" s="180"/>
      <c r="D48" s="15">
        <f>IF(F3="1",SUMIF(Data!A:A,'34'!$A$2,Data!DG:DG),0)</f>
        <v>47128</v>
      </c>
      <c r="E48" s="18">
        <f>IF(F3="1",SUMIF(Data!$A:$A,'34'!$A$2,Data!JA:JA),0)</f>
        <v>18834</v>
      </c>
      <c r="F48" s="22">
        <f t="shared" si="3"/>
        <v>0.39963503649635035</v>
      </c>
    </row>
    <row r="49" spans="1:6" ht="14.25" customHeight="1" x14ac:dyDescent="0.2">
      <c r="A49" s="20">
        <v>14</v>
      </c>
      <c r="B49" s="179" t="s">
        <v>804</v>
      </c>
      <c r="C49" s="180"/>
      <c r="D49" s="15">
        <f>IF(F3="1",SUMIF(Data!A:A,'34'!$A$2,Data!DH:DH),0)</f>
        <v>59904</v>
      </c>
      <c r="E49" s="18">
        <f>IF(F3="1",SUMIF(Data!$A:$A,'34'!$A$2,Data!JB:JB),0)</f>
        <v>131443</v>
      </c>
      <c r="F49" s="22">
        <f t="shared" si="3"/>
        <v>2.1942274305555554</v>
      </c>
    </row>
    <row r="50" spans="1:6" x14ac:dyDescent="0.2">
      <c r="A50" s="20">
        <v>15</v>
      </c>
      <c r="B50" s="179" t="s">
        <v>13</v>
      </c>
      <c r="C50" s="180"/>
      <c r="D50" s="15">
        <f>IF(F3="1",SUMIF(Data!A:A,'34'!$A$2,Data!DI:DI),0)</f>
        <v>0</v>
      </c>
      <c r="E50" s="18">
        <f>IF(F3="1",SUMIF(Data!$A:$A,'34'!$A$2,Data!JC:JC),0)</f>
        <v>0</v>
      </c>
      <c r="F50" s="22" t="str">
        <f t="shared" si="3"/>
        <v/>
      </c>
    </row>
    <row r="51" spans="1:6" x14ac:dyDescent="0.2">
      <c r="A51" s="20">
        <v>16</v>
      </c>
      <c r="B51" s="179" t="s">
        <v>14</v>
      </c>
      <c r="C51" s="180"/>
      <c r="D51" s="15">
        <f>IF(F3="1",SUMIF(Data!A:A,'34'!$A$2,Data!DJ:DJ),0)</f>
        <v>195494</v>
      </c>
      <c r="E51" s="18">
        <f>IF(F3="1",SUMIF(Data!$A:$A,'34'!$A$2,Data!JD:JD),0)</f>
        <v>280209</v>
      </c>
      <c r="F51" s="22">
        <f t="shared" si="3"/>
        <v>1.4333381075634035</v>
      </c>
    </row>
    <row r="52" spans="1:6" x14ac:dyDescent="0.2">
      <c r="A52" s="20">
        <v>17</v>
      </c>
      <c r="B52" s="179" t="s">
        <v>15</v>
      </c>
      <c r="C52" s="180"/>
      <c r="D52" s="15">
        <f>IF(F3="1",SUMIF(Data!A:A,'34'!$A$2,Data!DK:DK),0)</f>
        <v>0</v>
      </c>
      <c r="E52" s="18">
        <f>IF(F3="1",SUMIF(Data!$A:$A,'34'!$A$2,Data!JE:JE),0)</f>
        <v>0</v>
      </c>
      <c r="F52" s="22" t="str">
        <f t="shared" si="3"/>
        <v/>
      </c>
    </row>
    <row r="53" spans="1:6" x14ac:dyDescent="0.2">
      <c r="A53" s="20">
        <v>18</v>
      </c>
      <c r="B53" s="179" t="s">
        <v>16</v>
      </c>
      <c r="C53" s="180"/>
      <c r="D53" s="15">
        <f>IF(F3="1",SUMIF(Data!A:A,'34'!$A$2,Data!DL:DL),0)</f>
        <v>86644</v>
      </c>
      <c r="E53" s="18">
        <f>IF(F3="1",SUMIF(Data!$A:$A,'34'!$A$2,Data!JF:JF),0)</f>
        <v>90011</v>
      </c>
      <c r="F53" s="22">
        <f t="shared" si="3"/>
        <v>1.038860163427358</v>
      </c>
    </row>
    <row r="54" spans="1:6" x14ac:dyDescent="0.2">
      <c r="A54" s="20">
        <v>19</v>
      </c>
      <c r="B54" s="179" t="s">
        <v>17</v>
      </c>
      <c r="C54" s="180"/>
      <c r="D54" s="15">
        <f>IF(F3="1",SUMIF(Data!A:A,'34'!$A$2,Data!DM:DM),0)</f>
        <v>120960</v>
      </c>
      <c r="E54" s="18">
        <f>IF(F3="1",SUMIF(Data!$A:$A,'34'!$A$2,Data!JG:JG),0)</f>
        <v>70126</v>
      </c>
      <c r="F54" s="22">
        <f t="shared" si="3"/>
        <v>0.57974537037037033</v>
      </c>
    </row>
    <row r="55" spans="1:6" x14ac:dyDescent="0.2">
      <c r="A55" s="20">
        <v>20</v>
      </c>
      <c r="B55" s="179" t="s">
        <v>18</v>
      </c>
      <c r="C55" s="180"/>
      <c r="D55" s="15">
        <f>IF(F3="1",SUMIF(Data!A:A,'34'!$A$2,Data!DN:DN),0)</f>
        <v>0</v>
      </c>
      <c r="E55" s="18">
        <f>IF(F3="1",SUMIF(Data!$A:$A,'34'!$A$2,Data!JH:JH),0)</f>
        <v>0</v>
      </c>
      <c r="F55" s="22" t="str">
        <f t="shared" si="3"/>
        <v/>
      </c>
    </row>
    <row r="56" spans="1:6" ht="14.25" customHeight="1" x14ac:dyDescent="0.2">
      <c r="A56" s="20">
        <v>21</v>
      </c>
      <c r="B56" s="179" t="s">
        <v>801</v>
      </c>
      <c r="C56" s="180"/>
      <c r="D56" s="15">
        <f>IF(F3="1",SUMIF(Data!A:A,'34'!$A$2,Data!DO:DO),0)</f>
        <v>1764</v>
      </c>
      <c r="E56" s="18">
        <f>IF(F3="1",SUMIF(Data!$A:$A,'34'!$A$2,Data!JI:JI),0)</f>
        <v>12325</v>
      </c>
      <c r="F56" s="22">
        <f t="shared" si="3"/>
        <v>6.9869614512471658</v>
      </c>
    </row>
    <row r="57" spans="1:6" x14ac:dyDescent="0.2">
      <c r="A57" s="20">
        <v>22</v>
      </c>
      <c r="B57" s="179" t="s">
        <v>19</v>
      </c>
      <c r="C57" s="180"/>
      <c r="D57" s="15">
        <f>IF(F3="1",SUMIF(Data!A:A,'34'!$A$2,Data!DP:DP),0)</f>
        <v>4880</v>
      </c>
      <c r="E57" s="18">
        <f>IF(F3="1",SUMIF(Data!$A:$A,'34'!$A$2,Data!JJ:JJ),0)</f>
        <v>731</v>
      </c>
      <c r="F57" s="22">
        <f t="shared" si="3"/>
        <v>0.14979508196721311</v>
      </c>
    </row>
    <row r="58" spans="1:6" x14ac:dyDescent="0.2">
      <c r="A58" s="20">
        <v>23</v>
      </c>
      <c r="B58" s="179" t="s">
        <v>20</v>
      </c>
      <c r="C58" s="180"/>
      <c r="D58" s="15">
        <f>IF(F3="1",SUMIF(Data!A:A,'34'!$A$2,Data!DQ:DQ),0)</f>
        <v>116496</v>
      </c>
      <c r="E58" s="18">
        <f>IF(F3="1",SUMIF(Data!$A:$A,'34'!$A$2,Data!JK:JK),0)</f>
        <v>82718</v>
      </c>
      <c r="F58" s="22">
        <f t="shared" si="3"/>
        <v>0.71005013047658294</v>
      </c>
    </row>
    <row r="59" spans="1:6" x14ac:dyDescent="0.2">
      <c r="A59" s="20">
        <v>24</v>
      </c>
      <c r="B59" s="179" t="s">
        <v>21</v>
      </c>
      <c r="C59" s="180"/>
      <c r="D59" s="15">
        <f>IF(F3="1",SUMIF(Data!A:A,'34'!$A$2,Data!DR:DR),0)</f>
        <v>45160</v>
      </c>
      <c r="E59" s="18">
        <f>IF(F3="1",SUMIF(Data!$A:$A,'34'!$A$2,Data!JL:JL),0)</f>
        <v>27809</v>
      </c>
      <c r="F59" s="22">
        <f t="shared" si="3"/>
        <v>0.61578830823737818</v>
      </c>
    </row>
    <row r="60" spans="1:6" x14ac:dyDescent="0.2">
      <c r="A60" s="20">
        <v>25</v>
      </c>
      <c r="B60" s="179" t="s">
        <v>22</v>
      </c>
      <c r="C60" s="180"/>
      <c r="D60" s="15">
        <f>IF(F3="1",SUMIF(Data!A:A,'34'!$A$2,Data!DS:DS),0)</f>
        <v>458888</v>
      </c>
      <c r="E60" s="18">
        <f>IF(F3="1",SUMIF(Data!$A:$A,'34'!$A$2,Data!JM:JM),0)</f>
        <v>154250</v>
      </c>
      <c r="F60" s="22">
        <f t="shared" si="3"/>
        <v>0.33613866564390438</v>
      </c>
    </row>
    <row r="61" spans="1:6" x14ac:dyDescent="0.2">
      <c r="A61" s="20">
        <v>26</v>
      </c>
      <c r="B61" s="179" t="s">
        <v>23</v>
      </c>
      <c r="C61" s="180"/>
      <c r="D61" s="15">
        <f>IF(F3="1",SUMIF(Data!A:A,'34'!$A$2,Data!DT:DT),0)</f>
        <v>117152</v>
      </c>
      <c r="E61" s="18">
        <f>IF(F3="1",SUMIF(Data!$A:$A,'34'!$A$2,Data!JN:JN),0)</f>
        <v>100219</v>
      </c>
      <c r="F61" s="22">
        <f t="shared" si="3"/>
        <v>0.8554612810707457</v>
      </c>
    </row>
    <row r="62" spans="1:6" x14ac:dyDescent="0.2">
      <c r="A62" s="20">
        <v>28</v>
      </c>
      <c r="B62" s="179" t="s">
        <v>24</v>
      </c>
      <c r="C62" s="180"/>
      <c r="D62" s="15">
        <f>IF(F3="1",SUMIF(Data!A:A,'34'!$A$2,Data!DV:DV),0)</f>
        <v>216912</v>
      </c>
      <c r="E62" s="18">
        <f>IF(F3="1",SUMIF(Data!$A:$A,'34'!$A$2,Data!JP:JP),0)</f>
        <v>80547</v>
      </c>
      <c r="F62" s="22">
        <f t="shared" si="3"/>
        <v>0.37133491922991813</v>
      </c>
    </row>
    <row r="63" spans="1:6" ht="15.75" customHeight="1" thickBot="1" x14ac:dyDescent="0.25">
      <c r="A63" s="23">
        <v>29</v>
      </c>
      <c r="B63" s="181" t="s">
        <v>25</v>
      </c>
      <c r="C63" s="182"/>
      <c r="D63" s="24">
        <f>IF(F3="1",SUMIF(Data!A:A,'34'!$A$2,Data!DW:DW),0)</f>
        <v>118624</v>
      </c>
      <c r="E63" s="25">
        <f>IF(F3="1",SUMIF(Data!$A:$A,'34'!$A$2,Data!JQ:JQ),0)</f>
        <v>150656</v>
      </c>
      <c r="F63" s="26">
        <f t="shared" si="3"/>
        <v>1.2700296735905046</v>
      </c>
    </row>
    <row r="64" spans="1:6" x14ac:dyDescent="0.2">
      <c r="B64" s="31" t="s">
        <v>35</v>
      </c>
      <c r="C64" s="31"/>
      <c r="D64" s="61">
        <f>SUM(D36:D63)</f>
        <v>3170369</v>
      </c>
      <c r="E64" s="32">
        <f>SUM(E36:E63)</f>
        <v>2167079</v>
      </c>
      <c r="F64" s="33">
        <f t="shared" si="3"/>
        <v>0.68354156882053796</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7828</v>
      </c>
      <c r="E67" s="16">
        <f>IF(F3="1",SUMIF(Data!A:A,'34'!$A$2,Data!DY:DY),0)</f>
        <v>48153</v>
      </c>
      <c r="F67" s="21">
        <f>IFERROR(E67/D67,"")</f>
        <v>6.1513796627491057</v>
      </c>
    </row>
    <row r="68" spans="1:6" x14ac:dyDescent="0.2">
      <c r="A68" s="20">
        <v>2</v>
      </c>
      <c r="B68" s="179" t="s">
        <v>1</v>
      </c>
      <c r="C68" s="180"/>
      <c r="D68" s="15">
        <f t="shared" ref="D68:D94" si="4">D37</f>
        <v>227480</v>
      </c>
      <c r="E68" s="18">
        <f>IF(F3="1",SUMIF(Data!A:A,'34'!$A$2,Data!DZ:DZ),0)</f>
        <v>697337</v>
      </c>
      <c r="F68" s="22">
        <f t="shared" ref="F68:F95" si="5">IFERROR(E68/D68,"")</f>
        <v>3.0654870757868822</v>
      </c>
    </row>
    <row r="69" spans="1:6" ht="14.25" customHeight="1" x14ac:dyDescent="0.2">
      <c r="A69" s="20">
        <v>3</v>
      </c>
      <c r="B69" s="179" t="s">
        <v>2</v>
      </c>
      <c r="C69" s="180"/>
      <c r="D69" s="15">
        <f t="shared" si="4"/>
        <v>427184</v>
      </c>
      <c r="E69" s="18">
        <f>IF(F3="1",SUMIF(Data!A:A,'34'!$A$2,Data!EA:EA),0)</f>
        <v>689340</v>
      </c>
      <c r="F69" s="22">
        <f t="shared" si="5"/>
        <v>1.6136840331098543</v>
      </c>
    </row>
    <row r="70" spans="1:6" ht="14.25" customHeight="1" x14ac:dyDescent="0.2">
      <c r="A70" s="20">
        <v>4</v>
      </c>
      <c r="B70" s="179" t="s">
        <v>3</v>
      </c>
      <c r="C70" s="180"/>
      <c r="D70" s="15">
        <f t="shared" si="4"/>
        <v>128358</v>
      </c>
      <c r="E70" s="18">
        <f>IF(F3="1",SUMIF(Data!A:A,'34'!$A$2,Data!EB:EB),0)</f>
        <v>253752</v>
      </c>
      <c r="F70" s="22">
        <f t="shared" si="5"/>
        <v>1.9769083345019398</v>
      </c>
    </row>
    <row r="71" spans="1:6" x14ac:dyDescent="0.2">
      <c r="A71" s="20">
        <v>5</v>
      </c>
      <c r="B71" s="179" t="s">
        <v>4</v>
      </c>
      <c r="C71" s="180"/>
      <c r="D71" s="15">
        <f t="shared" si="4"/>
        <v>0</v>
      </c>
      <c r="E71" s="18">
        <f>IF(F3="1",SUMIF(Data!A:A,'34'!$A$2,Data!EC:EC),0)</f>
        <v>0</v>
      </c>
      <c r="F71" s="22" t="str">
        <f t="shared" si="5"/>
        <v/>
      </c>
    </row>
    <row r="72" spans="1:6" x14ac:dyDescent="0.2">
      <c r="A72" s="20">
        <v>6</v>
      </c>
      <c r="B72" s="179" t="s">
        <v>5</v>
      </c>
      <c r="C72" s="180"/>
      <c r="D72" s="15">
        <f t="shared" si="4"/>
        <v>11888</v>
      </c>
      <c r="E72" s="18">
        <f>IF(F3="1",SUMIF(Data!A:A,'34'!$A$2,Data!ED:ED),0)</f>
        <v>40513</v>
      </c>
      <c r="F72" s="22">
        <f t="shared" si="5"/>
        <v>3.4078903095558548</v>
      </c>
    </row>
    <row r="73" spans="1:6" x14ac:dyDescent="0.2">
      <c r="A73" s="20">
        <v>7</v>
      </c>
      <c r="B73" s="179" t="s">
        <v>6</v>
      </c>
      <c r="C73" s="180"/>
      <c r="D73" s="15">
        <f t="shared" si="4"/>
        <v>118337</v>
      </c>
      <c r="E73" s="18">
        <f>IF(F3="1",SUMIF(Data!A:A,'34'!$A$2,Data!EE:EE),0)</f>
        <v>314435</v>
      </c>
      <c r="F73" s="22">
        <f t="shared" si="5"/>
        <v>2.6571148499623956</v>
      </c>
    </row>
    <row r="74" spans="1:6" x14ac:dyDescent="0.2">
      <c r="A74" s="20">
        <v>8</v>
      </c>
      <c r="B74" s="179" t="s">
        <v>7</v>
      </c>
      <c r="C74" s="180"/>
      <c r="D74" s="15">
        <f t="shared" si="4"/>
        <v>668</v>
      </c>
      <c r="E74" s="18">
        <f>IF(F3="1",SUMIF(Data!A:A,'34'!$A$2,Data!EF:EF),0)</f>
        <v>1441</v>
      </c>
      <c r="F74" s="22">
        <f t="shared" si="5"/>
        <v>2.1571856287425151</v>
      </c>
    </row>
    <row r="75" spans="1:6" x14ac:dyDescent="0.2">
      <c r="A75" s="20">
        <v>9</v>
      </c>
      <c r="B75" s="179" t="s">
        <v>8</v>
      </c>
      <c r="C75" s="180"/>
      <c r="D75" s="15">
        <f t="shared" si="4"/>
        <v>73675</v>
      </c>
      <c r="E75" s="18">
        <f>IF(F3="1",SUMIF(Data!A:A,'34'!$A$2,Data!EG:EG),0)</f>
        <v>255068</v>
      </c>
      <c r="F75" s="22">
        <f t="shared" si="5"/>
        <v>3.4620699015948424</v>
      </c>
    </row>
    <row r="76" spans="1:6" x14ac:dyDescent="0.2">
      <c r="A76" s="20">
        <v>10</v>
      </c>
      <c r="B76" s="179" t="s">
        <v>9</v>
      </c>
      <c r="C76" s="180"/>
      <c r="D76" s="15">
        <f t="shared" si="4"/>
        <v>0</v>
      </c>
      <c r="E76" s="18">
        <f>IF(F3="1",SUMIF(Data!A:A,'34'!$A$2,Data!EH:EH),0)</f>
        <v>0</v>
      </c>
      <c r="F76" s="22" t="str">
        <f t="shared" si="5"/>
        <v/>
      </c>
    </row>
    <row r="77" spans="1:6" x14ac:dyDescent="0.2">
      <c r="A77" s="20">
        <v>11</v>
      </c>
      <c r="B77" s="179" t="s">
        <v>10</v>
      </c>
      <c r="C77" s="180"/>
      <c r="D77" s="15">
        <f t="shared" si="4"/>
        <v>285633</v>
      </c>
      <c r="E77" s="18">
        <f>IF(F3="1",SUMIF(Data!A:A,'34'!$A$2,Data!EI:EI),0)</f>
        <v>313290</v>
      </c>
      <c r="F77" s="22">
        <f t="shared" si="5"/>
        <v>1.0968270472949555</v>
      </c>
    </row>
    <row r="78" spans="1:6" ht="14.25" customHeight="1" x14ac:dyDescent="0.2">
      <c r="A78" s="20">
        <v>12</v>
      </c>
      <c r="B78" s="179" t="s">
        <v>11</v>
      </c>
      <c r="C78" s="180"/>
      <c r="D78" s="15">
        <f t="shared" si="4"/>
        <v>299312</v>
      </c>
      <c r="E78" s="18">
        <f>IF(F3="1",SUMIF(Data!A:A,'34'!$A$2,Data!EJ:EJ),0)</f>
        <v>678073</v>
      </c>
      <c r="F78" s="22">
        <f t="shared" si="5"/>
        <v>2.2654387395092748</v>
      </c>
    </row>
    <row r="79" spans="1:6" x14ac:dyDescent="0.2">
      <c r="A79" s="20">
        <v>13</v>
      </c>
      <c r="B79" s="179" t="s">
        <v>12</v>
      </c>
      <c r="C79" s="180"/>
      <c r="D79" s="15">
        <f t="shared" si="4"/>
        <v>47128</v>
      </c>
      <c r="E79" s="18">
        <f>IF(F3="1",SUMIF(Data!A:A,'34'!$A$2,Data!EK:EK),0)</f>
        <v>125243</v>
      </c>
      <c r="F79" s="22">
        <f t="shared" si="5"/>
        <v>2.6575072143948395</v>
      </c>
    </row>
    <row r="80" spans="1:6" ht="14.25" customHeight="1" x14ac:dyDescent="0.2">
      <c r="A80" s="20">
        <v>14</v>
      </c>
      <c r="B80" s="179" t="s">
        <v>804</v>
      </c>
      <c r="C80" s="180"/>
      <c r="D80" s="15">
        <f t="shared" si="4"/>
        <v>59904</v>
      </c>
      <c r="E80" s="18">
        <f>IF(F3="1",SUMIF(Data!A:A,'34'!$A$2,Data!EL:EL),0)</f>
        <v>508314</v>
      </c>
      <c r="F80" s="22">
        <f t="shared" si="5"/>
        <v>8.4854767628205128</v>
      </c>
    </row>
    <row r="81" spans="1:6" x14ac:dyDescent="0.2">
      <c r="A81" s="20">
        <v>15</v>
      </c>
      <c r="B81" s="179" t="s">
        <v>13</v>
      </c>
      <c r="C81" s="180"/>
      <c r="D81" s="15">
        <f t="shared" si="4"/>
        <v>0</v>
      </c>
      <c r="E81" s="18">
        <f>IF(F3="1",SUMIF(Data!A:A,'34'!$A$2,Data!EM:EM),0)</f>
        <v>0</v>
      </c>
      <c r="F81" s="22" t="str">
        <f t="shared" si="5"/>
        <v/>
      </c>
    </row>
    <row r="82" spans="1:6" x14ac:dyDescent="0.2">
      <c r="A82" s="20">
        <v>16</v>
      </c>
      <c r="B82" s="179" t="s">
        <v>14</v>
      </c>
      <c r="C82" s="180"/>
      <c r="D82" s="15">
        <f t="shared" si="4"/>
        <v>195494</v>
      </c>
      <c r="E82" s="18">
        <f>IF(F3="1",SUMIF(Data!A:A,'34'!$A$2,Data!EN:EN),0)</f>
        <v>507340</v>
      </c>
      <c r="F82" s="22">
        <f t="shared" si="5"/>
        <v>2.5951691612018783</v>
      </c>
    </row>
    <row r="83" spans="1:6" x14ac:dyDescent="0.2">
      <c r="A83" s="20">
        <v>17</v>
      </c>
      <c r="B83" s="179" t="s">
        <v>15</v>
      </c>
      <c r="C83" s="180"/>
      <c r="D83" s="15">
        <f t="shared" si="4"/>
        <v>0</v>
      </c>
      <c r="E83" s="18">
        <f>IF(F3="1",SUMIF(Data!A:A,'34'!$A$2,Data!EO:EO),0)</f>
        <v>0</v>
      </c>
      <c r="F83" s="22" t="str">
        <f t="shared" si="5"/>
        <v/>
      </c>
    </row>
    <row r="84" spans="1:6" x14ac:dyDescent="0.2">
      <c r="A84" s="20">
        <v>18</v>
      </c>
      <c r="B84" s="179" t="s">
        <v>16</v>
      </c>
      <c r="C84" s="180"/>
      <c r="D84" s="15">
        <f t="shared" si="4"/>
        <v>86644</v>
      </c>
      <c r="E84" s="18">
        <f>IF(F3="1",SUMIF(Data!A:A,'34'!$A$2,Data!EP:EP),0)</f>
        <v>465240</v>
      </c>
      <c r="F84" s="22">
        <f t="shared" si="5"/>
        <v>5.3695581921425601</v>
      </c>
    </row>
    <row r="85" spans="1:6" x14ac:dyDescent="0.2">
      <c r="A85" s="20">
        <v>19</v>
      </c>
      <c r="B85" s="179" t="s">
        <v>17</v>
      </c>
      <c r="C85" s="180"/>
      <c r="D85" s="15">
        <f t="shared" si="4"/>
        <v>120960</v>
      </c>
      <c r="E85" s="18">
        <f>IF(F3="1",SUMIF(Data!A:A,'34'!$A$2,Data!EQ:EQ),0)</f>
        <v>414095</v>
      </c>
      <c r="F85" s="22">
        <f t="shared" si="5"/>
        <v>3.4234044312169312</v>
      </c>
    </row>
    <row r="86" spans="1:6" x14ac:dyDescent="0.2">
      <c r="A86" s="20">
        <v>20</v>
      </c>
      <c r="B86" s="179" t="s">
        <v>18</v>
      </c>
      <c r="C86" s="180"/>
      <c r="D86" s="15">
        <f t="shared" si="4"/>
        <v>0</v>
      </c>
      <c r="E86" s="18">
        <f>IF(F3="1",SUMIF(Data!A:A,'34'!$A$2,Data!ER:ER),0)</f>
        <v>0</v>
      </c>
      <c r="F86" s="22" t="str">
        <f t="shared" si="5"/>
        <v/>
      </c>
    </row>
    <row r="87" spans="1:6" ht="14.25" customHeight="1" x14ac:dyDescent="0.2">
      <c r="A87" s="20">
        <v>21</v>
      </c>
      <c r="B87" s="179" t="s">
        <v>801</v>
      </c>
      <c r="C87" s="180"/>
      <c r="D87" s="15">
        <f t="shared" si="4"/>
        <v>1764</v>
      </c>
      <c r="E87" s="18">
        <f>IF(F3="1",SUMIF(Data!A:A,'34'!$A$2,Data!ES:ES),0)</f>
        <v>29032</v>
      </c>
      <c r="F87" s="22">
        <f t="shared" si="5"/>
        <v>16.458049886621314</v>
      </c>
    </row>
    <row r="88" spans="1:6" x14ac:dyDescent="0.2">
      <c r="A88" s="20">
        <v>22</v>
      </c>
      <c r="B88" s="179" t="s">
        <v>19</v>
      </c>
      <c r="C88" s="180"/>
      <c r="D88" s="15">
        <f t="shared" si="4"/>
        <v>4880</v>
      </c>
      <c r="E88" s="18">
        <f>IF(F3="1",SUMIF(Data!A:A,'34'!$A$2,Data!ET:ET),0)</f>
        <v>311</v>
      </c>
      <c r="F88" s="22">
        <f t="shared" si="5"/>
        <v>6.372950819672131E-2</v>
      </c>
    </row>
    <row r="89" spans="1:6" x14ac:dyDescent="0.2">
      <c r="A89" s="20">
        <v>23</v>
      </c>
      <c r="B89" s="179" t="s">
        <v>20</v>
      </c>
      <c r="C89" s="180"/>
      <c r="D89" s="15">
        <f t="shared" si="4"/>
        <v>116496</v>
      </c>
      <c r="E89" s="18">
        <f>IF(F3="1",SUMIF(Data!A:A,'34'!$A$2,Data!EU:EU),0)</f>
        <v>340068</v>
      </c>
      <c r="F89" s="22">
        <f t="shared" si="5"/>
        <v>2.919138854552946</v>
      </c>
    </row>
    <row r="90" spans="1:6" x14ac:dyDescent="0.2">
      <c r="A90" s="20">
        <v>24</v>
      </c>
      <c r="B90" s="179" t="s">
        <v>21</v>
      </c>
      <c r="C90" s="180"/>
      <c r="D90" s="15">
        <f t="shared" si="4"/>
        <v>45160</v>
      </c>
      <c r="E90" s="18">
        <f>IF(F3="1",SUMIF(Data!A:A,'34'!$A$2,Data!EV:EV),0)</f>
        <v>64240</v>
      </c>
      <c r="F90" s="22">
        <f t="shared" si="5"/>
        <v>1.4224977856510186</v>
      </c>
    </row>
    <row r="91" spans="1:6" x14ac:dyDescent="0.2">
      <c r="A91" s="20">
        <v>25</v>
      </c>
      <c r="B91" s="179" t="s">
        <v>22</v>
      </c>
      <c r="C91" s="180"/>
      <c r="D91" s="15">
        <f t="shared" si="4"/>
        <v>458888</v>
      </c>
      <c r="E91" s="18">
        <f>IF(F3="1",SUMIF(Data!A:A,'34'!$A$2,Data!EW:EW),0)</f>
        <v>1017363</v>
      </c>
      <c r="F91" s="22">
        <f t="shared" si="5"/>
        <v>2.2170180959188297</v>
      </c>
    </row>
    <row r="92" spans="1:6" x14ac:dyDescent="0.2">
      <c r="A92" s="20">
        <v>26</v>
      </c>
      <c r="B92" s="179" t="s">
        <v>23</v>
      </c>
      <c r="C92" s="180"/>
      <c r="D92" s="15">
        <f t="shared" si="4"/>
        <v>117152</v>
      </c>
      <c r="E92" s="18">
        <f>IF(F3="1",SUMIF(Data!A:A,'34'!$A$2,Data!EX:EX),0)</f>
        <v>317611</v>
      </c>
      <c r="F92" s="22">
        <f t="shared" si="5"/>
        <v>2.7111018164435947</v>
      </c>
    </row>
    <row r="93" spans="1:6" x14ac:dyDescent="0.2">
      <c r="A93" s="20">
        <v>28</v>
      </c>
      <c r="B93" s="179" t="s">
        <v>24</v>
      </c>
      <c r="C93" s="180"/>
      <c r="D93" s="15">
        <f t="shared" si="4"/>
        <v>216912</v>
      </c>
      <c r="E93" s="18">
        <f>IF(F3="1",SUMIF(Data!A:A,'34'!$A$2,Data!EZ:EZ),0)</f>
        <v>294647</v>
      </c>
      <c r="F93" s="22">
        <f t="shared" si="5"/>
        <v>1.3583711366821569</v>
      </c>
    </row>
    <row r="94" spans="1:6" ht="15.75" customHeight="1" thickBot="1" x14ac:dyDescent="0.25">
      <c r="A94" s="23">
        <v>29</v>
      </c>
      <c r="B94" s="181" t="s">
        <v>25</v>
      </c>
      <c r="C94" s="182"/>
      <c r="D94" s="24">
        <f t="shared" si="4"/>
        <v>118624</v>
      </c>
      <c r="E94" s="25">
        <f>IF(F3="1",SUMIF(Data!A:A,'34'!$A$2,Data!FA:FA),0)</f>
        <v>344515</v>
      </c>
      <c r="F94" s="26">
        <f t="shared" si="5"/>
        <v>2.9042605206366332</v>
      </c>
    </row>
    <row r="95" spans="1:6" x14ac:dyDescent="0.2">
      <c r="B95" s="31" t="s">
        <v>35</v>
      </c>
      <c r="C95" s="31"/>
      <c r="D95" s="61">
        <f>SUM(D67:D94)</f>
        <v>3170369</v>
      </c>
      <c r="E95" s="32">
        <f>SUM(E67:E94)</f>
        <v>7719421</v>
      </c>
      <c r="F95" s="33">
        <f t="shared" si="5"/>
        <v>2.4348651529206853</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IF(F3="1",SUMIF(Data!A:A,'34'!$A$2,Data!AH:AH),0)</f>
        <v>2346389</v>
      </c>
      <c r="F98" s="21">
        <f t="shared" ref="F98:F105" si="6">IFERROR(E98/$D$95,0)</f>
        <v>0.74009965401503741</v>
      </c>
    </row>
    <row r="99" spans="2:6" x14ac:dyDescent="0.2">
      <c r="B99" s="185" t="s">
        <v>31</v>
      </c>
      <c r="C99" s="186"/>
      <c r="D99" s="37"/>
      <c r="E99" s="18">
        <f>IF(F3="1",SUMIF(Data!A:A,'34'!$A$2,Data!AI:AI),0)</f>
        <v>1294951</v>
      </c>
      <c r="F99" s="22">
        <f t="shared" si="6"/>
        <v>0.40845434711227618</v>
      </c>
    </row>
    <row r="100" spans="2:6" x14ac:dyDescent="0.2">
      <c r="B100" s="185" t="s">
        <v>32</v>
      </c>
      <c r="C100" s="186"/>
      <c r="D100" s="37"/>
      <c r="E100" s="18">
        <f>IF(F3="1",SUMIF(Data!A:A,'34'!$A$2,Data!AJ:AJ),0)</f>
        <v>1157145</v>
      </c>
      <c r="F100" s="22">
        <f t="shared" si="6"/>
        <v>0.36498748252963614</v>
      </c>
    </row>
    <row r="101" spans="2:6" x14ac:dyDescent="0.2">
      <c r="B101" s="185" t="s">
        <v>28</v>
      </c>
      <c r="C101" s="186"/>
      <c r="D101" s="37"/>
      <c r="E101" s="18">
        <f>IF(F3="1",SUMIF(Data!A:A,'34'!$A$2,Data!AK:AK),0)</f>
        <v>0</v>
      </c>
      <c r="F101" s="22">
        <f t="shared" si="6"/>
        <v>0</v>
      </c>
    </row>
    <row r="102" spans="2:6" x14ac:dyDescent="0.2">
      <c r="B102" s="185" t="s">
        <v>33</v>
      </c>
      <c r="C102" s="186"/>
      <c r="D102" s="37"/>
      <c r="E102" s="18">
        <f>IF(F3="1",SUMIF(Data!A:A,'34'!$A$2,Data!AL:AL),0)</f>
        <v>174102</v>
      </c>
      <c r="F102" s="22">
        <f t="shared" si="6"/>
        <v>5.4915374204075301E-2</v>
      </c>
    </row>
    <row r="103" spans="2:6" x14ac:dyDescent="0.2">
      <c r="B103" s="187" t="s">
        <v>34</v>
      </c>
      <c r="C103" s="188"/>
      <c r="D103" s="37"/>
      <c r="E103" s="18">
        <f>IF(F3="1",SUMIF(Data!A:A,'34'!$A$2,Data!AM:AM),0)</f>
        <v>702725</v>
      </c>
      <c r="F103" s="22">
        <f t="shared" si="6"/>
        <v>0.22165400935979376</v>
      </c>
    </row>
    <row r="104" spans="2:6" ht="15.75" customHeight="1" thickBot="1" x14ac:dyDescent="0.25">
      <c r="B104" s="177" t="s">
        <v>29</v>
      </c>
      <c r="C104" s="178"/>
      <c r="D104" s="38"/>
      <c r="E104" s="25">
        <f>IF(F3="1",SUMIF(Data!A:A,'34'!$A$2,Data!Q:Q),0)</f>
        <v>488545</v>
      </c>
      <c r="F104" s="26">
        <f t="shared" si="6"/>
        <v>0.15409720445790379</v>
      </c>
    </row>
    <row r="105" spans="2:6" x14ac:dyDescent="0.2">
      <c r="B105" s="31" t="s">
        <v>35</v>
      </c>
      <c r="C105" s="31"/>
      <c r="D105" s="35">
        <f>D95</f>
        <v>3170369</v>
      </c>
      <c r="E105" s="32">
        <f>SUM(E98:E104)</f>
        <v>6163857</v>
      </c>
      <c r="F105" s="33">
        <f t="shared" si="6"/>
        <v>1.9442080716787227</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7999843</v>
      </c>
      <c r="D109" s="16">
        <f>IF(F3="1",SUMIF(Data!$A:$A,$A$2,Data!HJ:HJ),0)</f>
        <v>1069590</v>
      </c>
      <c r="E109" s="16">
        <f>IF(F3="1",SUMIF(Data!$A:$A,$A$2,Data!IN:IN),0)</f>
        <v>830808</v>
      </c>
      <c r="F109" s="48">
        <f>SUM(C109:E109)</f>
        <v>9900241</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199091</v>
      </c>
      <c r="D111" s="52"/>
      <c r="E111" s="51">
        <f>IF(F3="1",SUMIF(Data!A:A,$A$2,Data!AX:AX),0)</f>
        <v>55191</v>
      </c>
      <c r="F111" s="49">
        <f t="shared" si="7"/>
        <v>254282</v>
      </c>
    </row>
    <row r="112" spans="2:6" x14ac:dyDescent="0.2">
      <c r="B112" s="43" t="s">
        <v>32</v>
      </c>
      <c r="C112" s="51">
        <f>IF(F3="1",SUMIF(Data!A:A,$A$2,Data!V:V),0)</f>
        <v>925739</v>
      </c>
      <c r="D112" s="52"/>
      <c r="E112" s="51">
        <f>IF(F3="1",SUMIF(Data!A:A,$A$2,Data!AC:AC),0)</f>
        <v>231406</v>
      </c>
      <c r="F112" s="49">
        <f t="shared" si="7"/>
        <v>1157145</v>
      </c>
    </row>
    <row r="113" spans="1:6" x14ac:dyDescent="0.2">
      <c r="B113" s="43" t="s">
        <v>31</v>
      </c>
      <c r="C113" s="51">
        <f>IF(F3="1",SUMIF(Data!A:A,$A$2,Data!U:U),0)</f>
        <v>1033578</v>
      </c>
      <c r="D113" s="52"/>
      <c r="E113" s="51">
        <f>IF(F3="1",SUMIF(Data!A:A,$A$2,Data!AB:AB),0)</f>
        <v>261373</v>
      </c>
      <c r="F113" s="49">
        <f t="shared" si="7"/>
        <v>1294951</v>
      </c>
    </row>
    <row r="114" spans="1:6" x14ac:dyDescent="0.2">
      <c r="B114" s="43" t="s">
        <v>1363</v>
      </c>
      <c r="C114" s="51">
        <f>IF(F3="1",SUMIF(Data!A:A,$A$2,Data!T:T),0)</f>
        <v>1407014</v>
      </c>
      <c r="D114" s="52"/>
      <c r="E114" s="51">
        <f>IF(F3="1",SUMIF(Data!A:A,$A$2,Data!AA:AA),0)</f>
        <v>939375</v>
      </c>
      <c r="F114" s="49">
        <f t="shared" si="7"/>
        <v>2346389</v>
      </c>
    </row>
    <row r="115" spans="1:6" x14ac:dyDescent="0.2">
      <c r="B115" s="43" t="s">
        <v>1278</v>
      </c>
      <c r="C115" s="51">
        <f>IF(F3="1",SUMIF(Data!A:A,$A$2,Data!BI:BI),0)</f>
        <v>831937</v>
      </c>
      <c r="D115" s="51">
        <f>IF(F3="1",SUMIF(Data!A:A,$A$2,Data!BL:BL),0)</f>
        <v>171994</v>
      </c>
      <c r="E115" s="51">
        <f>IF(F3="1",SUMIF(Data!A:A,$A$2,Data!BU:BU),0)</f>
        <v>1485279</v>
      </c>
      <c r="F115" s="49">
        <f t="shared" si="7"/>
        <v>2489210</v>
      </c>
    </row>
    <row r="116" spans="1:6" x14ac:dyDescent="0.2">
      <c r="B116" s="43" t="s">
        <v>33</v>
      </c>
      <c r="C116" s="51">
        <f>IF(F3="1",SUMIF(Data!A:A,$A$2,Data!X:X),0)</f>
        <v>0</v>
      </c>
      <c r="D116" s="51"/>
      <c r="E116" s="51">
        <f>E102</f>
        <v>174102</v>
      </c>
      <c r="F116" s="49">
        <f t="shared" si="7"/>
        <v>174102</v>
      </c>
    </row>
    <row r="117" spans="1:6" ht="15" thickBot="1" x14ac:dyDescent="0.25">
      <c r="B117" s="44" t="s">
        <v>1282</v>
      </c>
      <c r="C117" s="53"/>
      <c r="D117" s="53">
        <f>IF(F3="1",SUMIF(Data!A:A,$A$2,Data!Q:Q),0)</f>
        <v>488545</v>
      </c>
      <c r="E117" s="53"/>
      <c r="F117" s="50">
        <f>SUM(C117:E117)</f>
        <v>488545</v>
      </c>
    </row>
    <row r="118" spans="1:6" x14ac:dyDescent="0.2">
      <c r="B118" s="14" t="s">
        <v>35</v>
      </c>
      <c r="C118" s="5">
        <f>SUM(C109:C116)</f>
        <v>12397202</v>
      </c>
      <c r="D118" s="5">
        <f>SUM(D109:D116)</f>
        <v>1241584</v>
      </c>
      <c r="E118" s="5">
        <f>SUM(E109:E116)</f>
        <v>3977534</v>
      </c>
      <c r="F118" s="5">
        <f>SUM(F109:F116)</f>
        <v>17616320</v>
      </c>
    </row>
    <row r="119" spans="1:6" ht="15" thickBot="1" x14ac:dyDescent="0.25"/>
    <row r="120" spans="1:6" ht="15" thickBot="1" x14ac:dyDescent="0.25">
      <c r="B120" s="57" t="s">
        <v>1283</v>
      </c>
      <c r="C120" s="55"/>
      <c r="D120" s="55"/>
      <c r="E120" s="55">
        <f>IF(F3="1",SUMIF(Data!A:A,'34'!$A$2,Data!AM:AM),0)</f>
        <v>702725</v>
      </c>
      <c r="F120" s="56">
        <f>SUM(C120:E120)</f>
        <v>702725</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140625" style="11"/>
    <col min="12" max="14" width="6"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517</v>
      </c>
      <c r="B2" s="60" t="str">
        <f>VLOOKUP(A2,Data!A:G,7,0)</f>
        <v>Ranger College</v>
      </c>
      <c r="C2" s="60"/>
    </row>
    <row r="3" spans="1:6" ht="15" thickBot="1" x14ac:dyDescent="0.25">
      <c r="A3" s="4"/>
      <c r="F3" s="58">
        <f>IFERROR(VLOOKUP(A2,Data!A:C,3,0),"0")</f>
        <v>0</v>
      </c>
    </row>
    <row r="4" spans="1:6" ht="29.25" customHeight="1" x14ac:dyDescent="0.2">
      <c r="A4" s="27" t="s">
        <v>26</v>
      </c>
      <c r="B4" s="189" t="s">
        <v>805</v>
      </c>
      <c r="C4" s="190"/>
      <c r="D4" s="29" t="s">
        <v>27</v>
      </c>
      <c r="E4" s="29" t="s">
        <v>802</v>
      </c>
      <c r="F4" s="30" t="s">
        <v>803</v>
      </c>
    </row>
    <row r="5" spans="1:6" x14ac:dyDescent="0.2">
      <c r="A5" s="20">
        <v>1</v>
      </c>
      <c r="B5" s="179" t="s">
        <v>0</v>
      </c>
      <c r="C5" s="180"/>
      <c r="D5" s="15">
        <f>D36</f>
        <v>0</v>
      </c>
      <c r="E5" s="16">
        <f>E36+E67+IFERROR($E$105/$D$105*D5,0)</f>
        <v>0</v>
      </c>
      <c r="F5" s="21" t="str">
        <f>IFERROR(E5/D5,"")</f>
        <v/>
      </c>
    </row>
    <row r="6" spans="1:6" x14ac:dyDescent="0.2">
      <c r="A6" s="20">
        <v>2</v>
      </c>
      <c r="B6" s="179" t="s">
        <v>1</v>
      </c>
      <c r="C6" s="180"/>
      <c r="D6" s="15">
        <f t="shared" ref="D6:D32" si="0">D37</f>
        <v>0</v>
      </c>
      <c r="E6" s="18">
        <f t="shared" ref="E6:E32" si="1">E37+E68+IFERROR($E$105/$D$105*D6,0)</f>
        <v>0</v>
      </c>
      <c r="F6" s="22" t="str">
        <f t="shared" ref="F6:F33" si="2">IFERROR(E6/D6,"")</f>
        <v/>
      </c>
    </row>
    <row r="7" spans="1:6" ht="14.25" customHeight="1" x14ac:dyDescent="0.2">
      <c r="A7" s="20">
        <v>3</v>
      </c>
      <c r="B7" s="179" t="s">
        <v>2</v>
      </c>
      <c r="C7" s="180"/>
      <c r="D7" s="15">
        <f t="shared" si="0"/>
        <v>0</v>
      </c>
      <c r="E7" s="18">
        <f t="shared" si="1"/>
        <v>0</v>
      </c>
      <c r="F7" s="22" t="str">
        <f t="shared" si="2"/>
        <v/>
      </c>
    </row>
    <row r="8" spans="1:6" ht="14.25" customHeight="1" x14ac:dyDescent="0.2">
      <c r="A8" s="20">
        <v>4</v>
      </c>
      <c r="B8" s="179" t="s">
        <v>3</v>
      </c>
      <c r="C8" s="180"/>
      <c r="D8" s="15">
        <f t="shared" si="0"/>
        <v>0</v>
      </c>
      <c r="E8" s="18">
        <f t="shared" si="1"/>
        <v>0</v>
      </c>
      <c r="F8" s="22" t="str">
        <f t="shared" si="2"/>
        <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0</v>
      </c>
      <c r="E10" s="18">
        <f t="shared" si="1"/>
        <v>0</v>
      </c>
      <c r="F10" s="22" t="str">
        <f t="shared" si="2"/>
        <v/>
      </c>
    </row>
    <row r="11" spans="1:6" x14ac:dyDescent="0.2">
      <c r="A11" s="20">
        <v>7</v>
      </c>
      <c r="B11" s="179" t="s">
        <v>6</v>
      </c>
      <c r="C11" s="180"/>
      <c r="D11" s="15">
        <f t="shared" si="0"/>
        <v>0</v>
      </c>
      <c r="E11" s="18">
        <f t="shared" si="1"/>
        <v>0</v>
      </c>
      <c r="F11" s="22" t="str">
        <f t="shared" si="2"/>
        <v/>
      </c>
    </row>
    <row r="12" spans="1:6" x14ac:dyDescent="0.2">
      <c r="A12" s="20">
        <v>8</v>
      </c>
      <c r="B12" s="179" t="s">
        <v>7</v>
      </c>
      <c r="C12" s="180"/>
      <c r="D12" s="15">
        <f t="shared" si="0"/>
        <v>0</v>
      </c>
      <c r="E12" s="18">
        <f t="shared" si="1"/>
        <v>0</v>
      </c>
      <c r="F12" s="22" t="str">
        <f t="shared" si="2"/>
        <v/>
      </c>
    </row>
    <row r="13" spans="1:6" x14ac:dyDescent="0.2">
      <c r="A13" s="20">
        <v>9</v>
      </c>
      <c r="B13" s="179" t="s">
        <v>8</v>
      </c>
      <c r="C13" s="180"/>
      <c r="D13" s="15">
        <f t="shared" si="0"/>
        <v>0</v>
      </c>
      <c r="E13" s="18">
        <f t="shared" si="1"/>
        <v>0</v>
      </c>
      <c r="F13" s="22" t="str">
        <f t="shared" si="2"/>
        <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0</v>
      </c>
      <c r="E15" s="18">
        <f t="shared" si="1"/>
        <v>0</v>
      </c>
      <c r="F15" s="22" t="str">
        <f t="shared" si="2"/>
        <v/>
      </c>
    </row>
    <row r="16" spans="1:6" ht="14.25" customHeight="1" x14ac:dyDescent="0.2">
      <c r="A16" s="20">
        <v>12</v>
      </c>
      <c r="B16" s="179" t="s">
        <v>11</v>
      </c>
      <c r="C16" s="180"/>
      <c r="D16" s="15">
        <f t="shared" si="0"/>
        <v>0</v>
      </c>
      <c r="E16" s="18">
        <f t="shared" si="1"/>
        <v>0</v>
      </c>
      <c r="F16" s="22" t="str">
        <f t="shared" si="2"/>
        <v/>
      </c>
    </row>
    <row r="17" spans="1:6" x14ac:dyDescent="0.2">
      <c r="A17" s="20">
        <v>13</v>
      </c>
      <c r="B17" s="179" t="s">
        <v>12</v>
      </c>
      <c r="C17" s="180"/>
      <c r="D17" s="15">
        <f t="shared" si="0"/>
        <v>0</v>
      </c>
      <c r="E17" s="18">
        <f t="shared" si="1"/>
        <v>0</v>
      </c>
      <c r="F17" s="22" t="str">
        <f t="shared" si="2"/>
        <v/>
      </c>
    </row>
    <row r="18" spans="1:6" ht="14.25" customHeight="1" x14ac:dyDescent="0.2">
      <c r="A18" s="20">
        <v>14</v>
      </c>
      <c r="B18" s="179" t="s">
        <v>804</v>
      </c>
      <c r="C18" s="180"/>
      <c r="D18" s="15">
        <f t="shared" si="0"/>
        <v>0</v>
      </c>
      <c r="E18" s="18">
        <f t="shared" si="1"/>
        <v>0</v>
      </c>
      <c r="F18" s="22" t="str">
        <f t="shared" si="2"/>
        <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0</v>
      </c>
      <c r="E20" s="18">
        <f t="shared" si="1"/>
        <v>0</v>
      </c>
      <c r="F20" s="22" t="str">
        <f t="shared" si="2"/>
        <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0</v>
      </c>
      <c r="E22" s="18">
        <f t="shared" si="1"/>
        <v>0</v>
      </c>
      <c r="F22" s="22" t="str">
        <f t="shared" si="2"/>
        <v/>
      </c>
    </row>
    <row r="23" spans="1:6" x14ac:dyDescent="0.2">
      <c r="A23" s="20">
        <v>19</v>
      </c>
      <c r="B23" s="179" t="s">
        <v>17</v>
      </c>
      <c r="C23" s="180"/>
      <c r="D23" s="15">
        <f t="shared" si="0"/>
        <v>0</v>
      </c>
      <c r="E23" s="18">
        <f t="shared" si="1"/>
        <v>0</v>
      </c>
      <c r="F23" s="22" t="str">
        <f t="shared" si="2"/>
        <v/>
      </c>
    </row>
    <row r="24" spans="1:6" x14ac:dyDescent="0.2">
      <c r="A24" s="20">
        <v>20</v>
      </c>
      <c r="B24" s="179" t="s">
        <v>18</v>
      </c>
      <c r="C24" s="180"/>
      <c r="D24" s="15">
        <f t="shared" si="0"/>
        <v>0</v>
      </c>
      <c r="E24" s="18">
        <f t="shared" si="1"/>
        <v>0</v>
      </c>
      <c r="F24" s="22" t="str">
        <f t="shared" si="2"/>
        <v/>
      </c>
    </row>
    <row r="25" spans="1:6" ht="14.25" customHeight="1" x14ac:dyDescent="0.2">
      <c r="A25" s="20">
        <v>21</v>
      </c>
      <c r="B25" s="179" t="s">
        <v>801</v>
      </c>
      <c r="C25" s="180"/>
      <c r="D25" s="15">
        <f t="shared" si="0"/>
        <v>0</v>
      </c>
      <c r="E25" s="18">
        <f t="shared" si="1"/>
        <v>0</v>
      </c>
      <c r="F25" s="22" t="str">
        <f t="shared" si="2"/>
        <v/>
      </c>
    </row>
    <row r="26" spans="1:6" x14ac:dyDescent="0.2">
      <c r="A26" s="20">
        <v>22</v>
      </c>
      <c r="B26" s="179" t="s">
        <v>19</v>
      </c>
      <c r="C26" s="180"/>
      <c r="D26" s="15">
        <f t="shared" si="0"/>
        <v>0</v>
      </c>
      <c r="E26" s="18">
        <f t="shared" si="1"/>
        <v>0</v>
      </c>
      <c r="F26" s="22" t="str">
        <f t="shared" si="2"/>
        <v/>
      </c>
    </row>
    <row r="27" spans="1:6" x14ac:dyDescent="0.2">
      <c r="A27" s="20">
        <v>23</v>
      </c>
      <c r="B27" s="179" t="s">
        <v>20</v>
      </c>
      <c r="C27" s="180"/>
      <c r="D27" s="15">
        <f t="shared" si="0"/>
        <v>0</v>
      </c>
      <c r="E27" s="18">
        <f t="shared" si="1"/>
        <v>0</v>
      </c>
      <c r="F27" s="22" t="str">
        <f t="shared" si="2"/>
        <v/>
      </c>
    </row>
    <row r="28" spans="1:6" x14ac:dyDescent="0.2">
      <c r="A28" s="20">
        <v>24</v>
      </c>
      <c r="B28" s="179" t="s">
        <v>21</v>
      </c>
      <c r="C28" s="180"/>
      <c r="D28" s="15">
        <f t="shared" si="0"/>
        <v>0</v>
      </c>
      <c r="E28" s="18">
        <f t="shared" si="1"/>
        <v>0</v>
      </c>
      <c r="F28" s="22" t="str">
        <f t="shared" si="2"/>
        <v/>
      </c>
    </row>
    <row r="29" spans="1:6" x14ac:dyDescent="0.2">
      <c r="A29" s="20">
        <v>25</v>
      </c>
      <c r="B29" s="179" t="s">
        <v>22</v>
      </c>
      <c r="C29" s="180"/>
      <c r="D29" s="15">
        <f t="shared" si="0"/>
        <v>0</v>
      </c>
      <c r="E29" s="18">
        <f t="shared" si="1"/>
        <v>0</v>
      </c>
      <c r="F29" s="22" t="str">
        <f t="shared" si="2"/>
        <v/>
      </c>
    </row>
    <row r="30" spans="1:6" x14ac:dyDescent="0.2">
      <c r="A30" s="20">
        <v>26</v>
      </c>
      <c r="B30" s="179" t="s">
        <v>23</v>
      </c>
      <c r="C30" s="180"/>
      <c r="D30" s="15">
        <f t="shared" si="0"/>
        <v>0</v>
      </c>
      <c r="E30" s="18">
        <f t="shared" si="1"/>
        <v>0</v>
      </c>
      <c r="F30" s="22" t="str">
        <f t="shared" si="2"/>
        <v/>
      </c>
    </row>
    <row r="31" spans="1:6" x14ac:dyDescent="0.2">
      <c r="A31" s="20">
        <v>28</v>
      </c>
      <c r="B31" s="179" t="s">
        <v>24</v>
      </c>
      <c r="C31" s="180"/>
      <c r="D31" s="15">
        <f t="shared" si="0"/>
        <v>0</v>
      </c>
      <c r="E31" s="18">
        <f t="shared" si="1"/>
        <v>0</v>
      </c>
      <c r="F31" s="22" t="str">
        <f t="shared" si="2"/>
        <v/>
      </c>
    </row>
    <row r="32" spans="1:6" ht="15.75" customHeight="1" thickBot="1" x14ac:dyDescent="0.25">
      <c r="A32" s="23">
        <v>29</v>
      </c>
      <c r="B32" s="181" t="s">
        <v>25</v>
      </c>
      <c r="C32" s="182"/>
      <c r="D32" s="24">
        <f t="shared" si="0"/>
        <v>0</v>
      </c>
      <c r="E32" s="25">
        <f t="shared" si="1"/>
        <v>0</v>
      </c>
      <c r="F32" s="26" t="str">
        <f t="shared" si="2"/>
        <v/>
      </c>
    </row>
    <row r="33" spans="1:6" x14ac:dyDescent="0.2">
      <c r="B33" s="31" t="s">
        <v>35</v>
      </c>
      <c r="C33" s="31"/>
      <c r="D33" s="61">
        <f>SUM(D5:D32)</f>
        <v>0</v>
      </c>
      <c r="E33" s="32">
        <f>SUM(E5:E32)</f>
        <v>0</v>
      </c>
      <c r="F33" s="33" t="str">
        <f t="shared" si="2"/>
        <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IF(F3="1",SUMIF(Data!A:A,'35'!$A$2,Data!CU:CU),0)</f>
        <v>0</v>
      </c>
      <c r="E36" s="16">
        <f>IF(F3="1",SUMIF(Data!$A:$A,'35'!$A$2,Data!IO:IO),0)</f>
        <v>0</v>
      </c>
      <c r="F36" s="21" t="str">
        <f t="shared" ref="F36:F64" si="3">IFERROR(E36/D36,"")</f>
        <v/>
      </c>
    </row>
    <row r="37" spans="1:6" x14ac:dyDescent="0.2">
      <c r="A37" s="20">
        <v>2</v>
      </c>
      <c r="B37" s="179" t="s">
        <v>1</v>
      </c>
      <c r="C37" s="180"/>
      <c r="D37" s="15">
        <f>IF(F3="1",SUMIF(Data!A:A,'35'!$A$2,Data!CV:CV),0)</f>
        <v>0</v>
      </c>
      <c r="E37" s="18">
        <f>IF(F3="1",SUMIF(Data!$A:$A,'35'!$A$2,Data!IP:IP),0)</f>
        <v>0</v>
      </c>
      <c r="F37" s="22" t="str">
        <f t="shared" si="3"/>
        <v/>
      </c>
    </row>
    <row r="38" spans="1:6" ht="14.25" customHeight="1" x14ac:dyDescent="0.2">
      <c r="A38" s="20">
        <v>3</v>
      </c>
      <c r="B38" s="179" t="s">
        <v>2</v>
      </c>
      <c r="C38" s="180"/>
      <c r="D38" s="15">
        <f>IF(F3="1",SUMIF(Data!A:A,'35'!$A$2,Data!CW:CW),0)</f>
        <v>0</v>
      </c>
      <c r="E38" s="18">
        <f>IF(F3="1",SUMIF(Data!$A:$A,'35'!$A$2,Data!IQ:IQ),0)</f>
        <v>0</v>
      </c>
      <c r="F38" s="22" t="str">
        <f t="shared" si="3"/>
        <v/>
      </c>
    </row>
    <row r="39" spans="1:6" ht="14.25" customHeight="1" x14ac:dyDescent="0.2">
      <c r="A39" s="20">
        <v>4</v>
      </c>
      <c r="B39" s="179" t="s">
        <v>3</v>
      </c>
      <c r="C39" s="180"/>
      <c r="D39" s="15">
        <f>IF(F3="1",SUMIF(Data!A:A,'35'!$A$2,Data!CX:CX),0)</f>
        <v>0</v>
      </c>
      <c r="E39" s="18">
        <f>IF(F3="1",SUMIF(Data!$A:$A,'35'!$A$2,Data!IR:IR),0)</f>
        <v>0</v>
      </c>
      <c r="F39" s="22" t="str">
        <f t="shared" si="3"/>
        <v/>
      </c>
    </row>
    <row r="40" spans="1:6" x14ac:dyDescent="0.2">
      <c r="A40" s="20">
        <v>5</v>
      </c>
      <c r="B40" s="179" t="s">
        <v>4</v>
      </c>
      <c r="C40" s="180"/>
      <c r="D40" s="15">
        <f>IF(F3="1",SUMIF(Data!A:A,'35'!$A$2,Data!CY:CY),0)</f>
        <v>0</v>
      </c>
      <c r="E40" s="18">
        <f>IF(F3="1",SUMIF(Data!$A:$A,'35'!$A$2,Data!IS:IS),0)</f>
        <v>0</v>
      </c>
      <c r="F40" s="22" t="str">
        <f t="shared" si="3"/>
        <v/>
      </c>
    </row>
    <row r="41" spans="1:6" x14ac:dyDescent="0.2">
      <c r="A41" s="20">
        <v>6</v>
      </c>
      <c r="B41" s="179" t="s">
        <v>5</v>
      </c>
      <c r="C41" s="180"/>
      <c r="D41" s="15">
        <f>IF(F3="1",SUMIF(Data!A:A,'35'!$A$2,Data!CZ:CZ),0)</f>
        <v>0</v>
      </c>
      <c r="E41" s="18">
        <f>IF(F3="1",SUMIF(Data!$A:$A,'35'!$A$2,Data!IT:IT),0)</f>
        <v>0</v>
      </c>
      <c r="F41" s="22" t="str">
        <f t="shared" si="3"/>
        <v/>
      </c>
    </row>
    <row r="42" spans="1:6" x14ac:dyDescent="0.2">
      <c r="A42" s="20">
        <v>7</v>
      </c>
      <c r="B42" s="179" t="s">
        <v>6</v>
      </c>
      <c r="C42" s="180"/>
      <c r="D42" s="15">
        <f>IF(F3="1",SUMIF(Data!A:A,'35'!$A$2,Data!DA:DA),0)</f>
        <v>0</v>
      </c>
      <c r="E42" s="18">
        <f>IF(F3="1",SUMIF(Data!$A:$A,'35'!$A$2,Data!IU:IU),0)</f>
        <v>0</v>
      </c>
      <c r="F42" s="22" t="str">
        <f t="shared" si="3"/>
        <v/>
      </c>
    </row>
    <row r="43" spans="1:6" x14ac:dyDescent="0.2">
      <c r="A43" s="20">
        <v>8</v>
      </c>
      <c r="B43" s="179" t="s">
        <v>7</v>
      </c>
      <c r="C43" s="180"/>
      <c r="D43" s="15">
        <f>IF(F3="1",SUMIF(Data!A:A,'35'!$A$2,Data!DB:DB),0)</f>
        <v>0</v>
      </c>
      <c r="E43" s="18">
        <f>IF(F3="1",SUMIF(Data!$A:$A,'35'!$A$2,Data!IV:IV),0)</f>
        <v>0</v>
      </c>
      <c r="F43" s="22" t="str">
        <f t="shared" si="3"/>
        <v/>
      </c>
    </row>
    <row r="44" spans="1:6" x14ac:dyDescent="0.2">
      <c r="A44" s="20">
        <v>9</v>
      </c>
      <c r="B44" s="179" t="s">
        <v>8</v>
      </c>
      <c r="C44" s="180"/>
      <c r="D44" s="15">
        <f>IF(F3="1",SUMIF(Data!A:A,'35'!$A$2,Data!DC:DC),0)</f>
        <v>0</v>
      </c>
      <c r="E44" s="18">
        <f>IF(F3="1",SUMIF(Data!$A:$A,'35'!$A$2,Data!IW:IW),0)</f>
        <v>0</v>
      </c>
      <c r="F44" s="22" t="str">
        <f t="shared" si="3"/>
        <v/>
      </c>
    </row>
    <row r="45" spans="1:6" x14ac:dyDescent="0.2">
      <c r="A45" s="20">
        <v>10</v>
      </c>
      <c r="B45" s="179" t="s">
        <v>9</v>
      </c>
      <c r="C45" s="180"/>
      <c r="D45" s="15">
        <f>IF(F3="1",SUMIF(Data!A:A,'35'!$A$2,Data!DD:DD),0)</f>
        <v>0</v>
      </c>
      <c r="E45" s="18">
        <f>IF(F3="1",SUMIF(Data!$A:$A,'35'!$A$2,Data!IX:IX),0)</f>
        <v>0</v>
      </c>
      <c r="F45" s="22" t="str">
        <f t="shared" si="3"/>
        <v/>
      </c>
    </row>
    <row r="46" spans="1:6" x14ac:dyDescent="0.2">
      <c r="A46" s="20">
        <v>11</v>
      </c>
      <c r="B46" s="179" t="s">
        <v>10</v>
      </c>
      <c r="C46" s="180"/>
      <c r="D46" s="15">
        <f>IF(F3="1",SUMIF(Data!A:A,'35'!$A$2,Data!DE:DE),0)</f>
        <v>0</v>
      </c>
      <c r="E46" s="18">
        <f>IF(F3="1",SUMIF(Data!$A:$A,'35'!$A$2,Data!IY:IY),0)</f>
        <v>0</v>
      </c>
      <c r="F46" s="22" t="str">
        <f t="shared" si="3"/>
        <v/>
      </c>
    </row>
    <row r="47" spans="1:6" ht="14.25" customHeight="1" x14ac:dyDescent="0.2">
      <c r="A47" s="20">
        <v>12</v>
      </c>
      <c r="B47" s="179" t="s">
        <v>11</v>
      </c>
      <c r="C47" s="180"/>
      <c r="D47" s="15">
        <f>IF(F3="1",SUMIF(Data!A:A,'35'!$A$2,Data!DF:DF),0)</f>
        <v>0</v>
      </c>
      <c r="E47" s="18">
        <f>IF(F3="1",SUMIF(Data!$A:$A,'35'!$A$2,Data!IZ:IZ),0)</f>
        <v>0</v>
      </c>
      <c r="F47" s="22" t="str">
        <f t="shared" si="3"/>
        <v/>
      </c>
    </row>
    <row r="48" spans="1:6" x14ac:dyDescent="0.2">
      <c r="A48" s="20">
        <v>13</v>
      </c>
      <c r="B48" s="179" t="s">
        <v>12</v>
      </c>
      <c r="C48" s="180"/>
      <c r="D48" s="15">
        <f>IF(F3="1",SUMIF(Data!A:A,'35'!$A$2,Data!DG:DG),0)</f>
        <v>0</v>
      </c>
      <c r="E48" s="18">
        <f>IF(F3="1",SUMIF(Data!$A:$A,'35'!$A$2,Data!JA:JA),0)</f>
        <v>0</v>
      </c>
      <c r="F48" s="22" t="str">
        <f t="shared" si="3"/>
        <v/>
      </c>
    </row>
    <row r="49" spans="1:6" ht="14.25" customHeight="1" x14ac:dyDescent="0.2">
      <c r="A49" s="20">
        <v>14</v>
      </c>
      <c r="B49" s="179" t="s">
        <v>804</v>
      </c>
      <c r="C49" s="180"/>
      <c r="D49" s="15">
        <f>IF(F3="1",SUMIF(Data!A:A,'35'!$A$2,Data!DH:DH),0)</f>
        <v>0</v>
      </c>
      <c r="E49" s="18">
        <f>IF(F3="1",SUMIF(Data!$A:$A,'35'!$A$2,Data!JB:JB),0)</f>
        <v>0</v>
      </c>
      <c r="F49" s="22" t="str">
        <f t="shared" si="3"/>
        <v/>
      </c>
    </row>
    <row r="50" spans="1:6" x14ac:dyDescent="0.2">
      <c r="A50" s="20">
        <v>15</v>
      </c>
      <c r="B50" s="179" t="s">
        <v>13</v>
      </c>
      <c r="C50" s="180"/>
      <c r="D50" s="15">
        <f>IF(F3="1",SUMIF(Data!A:A,'35'!$A$2,Data!DI:DI),0)</f>
        <v>0</v>
      </c>
      <c r="E50" s="18">
        <f>IF(F3="1",SUMIF(Data!$A:$A,'35'!$A$2,Data!JC:JC),0)</f>
        <v>0</v>
      </c>
      <c r="F50" s="22" t="str">
        <f t="shared" si="3"/>
        <v/>
      </c>
    </row>
    <row r="51" spans="1:6" x14ac:dyDescent="0.2">
      <c r="A51" s="20">
        <v>16</v>
      </c>
      <c r="B51" s="179" t="s">
        <v>14</v>
      </c>
      <c r="C51" s="180"/>
      <c r="D51" s="15">
        <f>IF(F3="1",SUMIF(Data!A:A,'35'!$A$2,Data!DJ:DJ),0)</f>
        <v>0</v>
      </c>
      <c r="E51" s="18">
        <f>IF(F3="1",SUMIF(Data!$A:$A,'35'!$A$2,Data!JD:JD),0)</f>
        <v>0</v>
      </c>
      <c r="F51" s="22" t="str">
        <f t="shared" si="3"/>
        <v/>
      </c>
    </row>
    <row r="52" spans="1:6" x14ac:dyDescent="0.2">
      <c r="A52" s="20">
        <v>17</v>
      </c>
      <c r="B52" s="179" t="s">
        <v>15</v>
      </c>
      <c r="C52" s="180"/>
      <c r="D52" s="15">
        <f>IF(F3="1",SUMIF(Data!A:A,'35'!$A$2,Data!DK:DK),0)</f>
        <v>0</v>
      </c>
      <c r="E52" s="18">
        <f>IF(F3="1",SUMIF(Data!$A:$A,'35'!$A$2,Data!JE:JE),0)</f>
        <v>0</v>
      </c>
      <c r="F52" s="22" t="str">
        <f t="shared" si="3"/>
        <v/>
      </c>
    </row>
    <row r="53" spans="1:6" x14ac:dyDescent="0.2">
      <c r="A53" s="20">
        <v>18</v>
      </c>
      <c r="B53" s="179" t="s">
        <v>16</v>
      </c>
      <c r="C53" s="180"/>
      <c r="D53" s="15">
        <f>IF(F3="1",SUMIF(Data!A:A,'35'!$A$2,Data!DL:DL),0)</f>
        <v>0</v>
      </c>
      <c r="E53" s="18">
        <f>IF(F3="1",SUMIF(Data!$A:$A,'35'!$A$2,Data!JF:JF),0)</f>
        <v>0</v>
      </c>
      <c r="F53" s="22" t="str">
        <f t="shared" si="3"/>
        <v/>
      </c>
    </row>
    <row r="54" spans="1:6" x14ac:dyDescent="0.2">
      <c r="A54" s="20">
        <v>19</v>
      </c>
      <c r="B54" s="179" t="s">
        <v>17</v>
      </c>
      <c r="C54" s="180"/>
      <c r="D54" s="15">
        <f>IF(F3="1",SUMIF(Data!A:A,'35'!$A$2,Data!DM:DM),0)</f>
        <v>0</v>
      </c>
      <c r="E54" s="18">
        <f>IF(F3="1",SUMIF(Data!$A:$A,'35'!$A$2,Data!JG:JG),0)</f>
        <v>0</v>
      </c>
      <c r="F54" s="22" t="str">
        <f t="shared" si="3"/>
        <v/>
      </c>
    </row>
    <row r="55" spans="1:6" x14ac:dyDescent="0.2">
      <c r="A55" s="20">
        <v>20</v>
      </c>
      <c r="B55" s="179" t="s">
        <v>18</v>
      </c>
      <c r="C55" s="180"/>
      <c r="D55" s="15">
        <f>IF(F3="1",SUMIF(Data!A:A,'35'!$A$2,Data!DN:DN),0)</f>
        <v>0</v>
      </c>
      <c r="E55" s="18">
        <f>IF(F3="1",SUMIF(Data!$A:$A,'35'!$A$2,Data!JH:JH),0)</f>
        <v>0</v>
      </c>
      <c r="F55" s="22" t="str">
        <f t="shared" si="3"/>
        <v/>
      </c>
    </row>
    <row r="56" spans="1:6" ht="14.25" customHeight="1" x14ac:dyDescent="0.2">
      <c r="A56" s="20">
        <v>21</v>
      </c>
      <c r="B56" s="179" t="s">
        <v>801</v>
      </c>
      <c r="C56" s="180"/>
      <c r="D56" s="15">
        <f>IF(F3="1",SUMIF(Data!A:A,'35'!$A$2,Data!DO:DO),0)</f>
        <v>0</v>
      </c>
      <c r="E56" s="18">
        <f>IF(F3="1",SUMIF(Data!$A:$A,'35'!$A$2,Data!JI:JI),0)</f>
        <v>0</v>
      </c>
      <c r="F56" s="22" t="str">
        <f t="shared" si="3"/>
        <v/>
      </c>
    </row>
    <row r="57" spans="1:6" x14ac:dyDescent="0.2">
      <c r="A57" s="20">
        <v>22</v>
      </c>
      <c r="B57" s="179" t="s">
        <v>19</v>
      </c>
      <c r="C57" s="180"/>
      <c r="D57" s="15">
        <f>IF(F3="1",SUMIF(Data!A:A,'35'!$A$2,Data!DP:DP),0)</f>
        <v>0</v>
      </c>
      <c r="E57" s="18">
        <f>IF(F3="1",SUMIF(Data!$A:$A,'35'!$A$2,Data!JJ:JJ),0)</f>
        <v>0</v>
      </c>
      <c r="F57" s="22" t="str">
        <f t="shared" si="3"/>
        <v/>
      </c>
    </row>
    <row r="58" spans="1:6" x14ac:dyDescent="0.2">
      <c r="A58" s="20">
        <v>23</v>
      </c>
      <c r="B58" s="179" t="s">
        <v>20</v>
      </c>
      <c r="C58" s="180"/>
      <c r="D58" s="15">
        <f>IF(F3="1",SUMIF(Data!A:A,'35'!$A$2,Data!DQ:DQ),0)</f>
        <v>0</v>
      </c>
      <c r="E58" s="18">
        <f>IF(F3="1",SUMIF(Data!$A:$A,'35'!$A$2,Data!JK:JK),0)</f>
        <v>0</v>
      </c>
      <c r="F58" s="22" t="str">
        <f t="shared" si="3"/>
        <v/>
      </c>
    </row>
    <row r="59" spans="1:6" x14ac:dyDescent="0.2">
      <c r="A59" s="20">
        <v>24</v>
      </c>
      <c r="B59" s="179" t="s">
        <v>21</v>
      </c>
      <c r="C59" s="180"/>
      <c r="D59" s="15">
        <f>IF(F3="1",SUMIF(Data!A:A,'35'!$A$2,Data!DR:DR),0)</f>
        <v>0</v>
      </c>
      <c r="E59" s="18">
        <f>IF(F3="1",SUMIF(Data!$A:$A,'35'!$A$2,Data!JL:JL),0)</f>
        <v>0</v>
      </c>
      <c r="F59" s="22" t="str">
        <f t="shared" si="3"/>
        <v/>
      </c>
    </row>
    <row r="60" spans="1:6" x14ac:dyDescent="0.2">
      <c r="A60" s="20">
        <v>25</v>
      </c>
      <c r="B60" s="179" t="s">
        <v>22</v>
      </c>
      <c r="C60" s="180"/>
      <c r="D60" s="15">
        <f>IF(F3="1",SUMIF(Data!A:A,'35'!$A$2,Data!DS:DS),0)</f>
        <v>0</v>
      </c>
      <c r="E60" s="18">
        <f>IF(F3="1",SUMIF(Data!$A:$A,'35'!$A$2,Data!JM:JM),0)</f>
        <v>0</v>
      </c>
      <c r="F60" s="22" t="str">
        <f t="shared" si="3"/>
        <v/>
      </c>
    </row>
    <row r="61" spans="1:6" x14ac:dyDescent="0.2">
      <c r="A61" s="20">
        <v>26</v>
      </c>
      <c r="B61" s="179" t="s">
        <v>23</v>
      </c>
      <c r="C61" s="180"/>
      <c r="D61" s="15">
        <f>IF(F3="1",SUMIF(Data!A:A,'35'!$A$2,Data!DT:DT),0)</f>
        <v>0</v>
      </c>
      <c r="E61" s="18">
        <f>IF(F3="1",SUMIF(Data!$A:$A,'35'!$A$2,Data!JN:JN),0)</f>
        <v>0</v>
      </c>
      <c r="F61" s="22" t="str">
        <f t="shared" si="3"/>
        <v/>
      </c>
    </row>
    <row r="62" spans="1:6" x14ac:dyDescent="0.2">
      <c r="A62" s="20">
        <v>28</v>
      </c>
      <c r="B62" s="179" t="s">
        <v>24</v>
      </c>
      <c r="C62" s="180"/>
      <c r="D62" s="15">
        <f>IF(F3="1",SUMIF(Data!A:A,'35'!$A$2,Data!DV:DV),0)</f>
        <v>0</v>
      </c>
      <c r="E62" s="18">
        <f>IF(F3="1",SUMIF(Data!$A:$A,'35'!$A$2,Data!JP:JP),0)</f>
        <v>0</v>
      </c>
      <c r="F62" s="22" t="str">
        <f t="shared" si="3"/>
        <v/>
      </c>
    </row>
    <row r="63" spans="1:6" ht="15.75" customHeight="1" thickBot="1" x14ac:dyDescent="0.25">
      <c r="A63" s="23">
        <v>29</v>
      </c>
      <c r="B63" s="181" t="s">
        <v>25</v>
      </c>
      <c r="C63" s="182"/>
      <c r="D63" s="24">
        <f>IF(F3="1",SUMIF(Data!A:A,'35'!$A$2,Data!DW:DW),0)</f>
        <v>0</v>
      </c>
      <c r="E63" s="25">
        <f>IF(F3="1",SUMIF(Data!$A:$A,'35'!$A$2,Data!JQ:JQ),0)</f>
        <v>0</v>
      </c>
      <c r="F63" s="26" t="str">
        <f t="shared" si="3"/>
        <v/>
      </c>
    </row>
    <row r="64" spans="1:6" x14ac:dyDescent="0.2">
      <c r="B64" s="31" t="s">
        <v>35</v>
      </c>
      <c r="C64" s="31"/>
      <c r="D64" s="61">
        <f>SUM(D36:D63)</f>
        <v>0</v>
      </c>
      <c r="E64" s="32">
        <f>SUM(E36:E63)</f>
        <v>0</v>
      </c>
      <c r="F64" s="33" t="str">
        <f t="shared" si="3"/>
        <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0</v>
      </c>
      <c r="E67" s="16">
        <f>IF(F3="1",SUMIF(Data!A:A,'35'!$A$2,Data!DY:DY),0)</f>
        <v>0</v>
      </c>
      <c r="F67" s="21" t="str">
        <f>IFERROR(E67/D67,"")</f>
        <v/>
      </c>
    </row>
    <row r="68" spans="1:6" x14ac:dyDescent="0.2">
      <c r="A68" s="20">
        <v>2</v>
      </c>
      <c r="B68" s="179" t="s">
        <v>1</v>
      </c>
      <c r="C68" s="180"/>
      <c r="D68" s="15">
        <f t="shared" ref="D68:D94" si="4">D37</f>
        <v>0</v>
      </c>
      <c r="E68" s="18">
        <f>IF(F3="1",SUMIF(Data!A:A,'35'!$A$2,Data!DZ:DZ),0)</f>
        <v>0</v>
      </c>
      <c r="F68" s="22" t="str">
        <f t="shared" ref="F68:F95" si="5">IFERROR(E68/D68,"")</f>
        <v/>
      </c>
    </row>
    <row r="69" spans="1:6" ht="14.25" customHeight="1" x14ac:dyDescent="0.2">
      <c r="A69" s="20">
        <v>3</v>
      </c>
      <c r="B69" s="179" t="s">
        <v>2</v>
      </c>
      <c r="C69" s="180"/>
      <c r="D69" s="15">
        <f t="shared" si="4"/>
        <v>0</v>
      </c>
      <c r="E69" s="18">
        <f>IF(F3="1",SUMIF(Data!A:A,'35'!$A$2,Data!EA:EA),0)</f>
        <v>0</v>
      </c>
      <c r="F69" s="22" t="str">
        <f t="shared" si="5"/>
        <v/>
      </c>
    </row>
    <row r="70" spans="1:6" ht="14.25" customHeight="1" x14ac:dyDescent="0.2">
      <c r="A70" s="20">
        <v>4</v>
      </c>
      <c r="B70" s="179" t="s">
        <v>3</v>
      </c>
      <c r="C70" s="180"/>
      <c r="D70" s="15">
        <f t="shared" si="4"/>
        <v>0</v>
      </c>
      <c r="E70" s="18">
        <f>IF(F3="1",SUMIF(Data!A:A,'35'!$A$2,Data!EB:EB),0)</f>
        <v>0</v>
      </c>
      <c r="F70" s="22" t="str">
        <f t="shared" si="5"/>
        <v/>
      </c>
    </row>
    <row r="71" spans="1:6" x14ac:dyDescent="0.2">
      <c r="A71" s="20">
        <v>5</v>
      </c>
      <c r="B71" s="179" t="s">
        <v>4</v>
      </c>
      <c r="C71" s="180"/>
      <c r="D71" s="15">
        <f t="shared" si="4"/>
        <v>0</v>
      </c>
      <c r="E71" s="18">
        <f>IF(F3="1",SUMIF(Data!A:A,'35'!$A$2,Data!EC:EC),0)</f>
        <v>0</v>
      </c>
      <c r="F71" s="22" t="str">
        <f t="shared" si="5"/>
        <v/>
      </c>
    </row>
    <row r="72" spans="1:6" x14ac:dyDescent="0.2">
      <c r="A72" s="20">
        <v>6</v>
      </c>
      <c r="B72" s="179" t="s">
        <v>5</v>
      </c>
      <c r="C72" s="180"/>
      <c r="D72" s="15">
        <f t="shared" si="4"/>
        <v>0</v>
      </c>
      <c r="E72" s="18">
        <f>IF(F3="1",SUMIF(Data!A:A,'35'!$A$2,Data!ED:ED),0)</f>
        <v>0</v>
      </c>
      <c r="F72" s="22" t="str">
        <f t="shared" si="5"/>
        <v/>
      </c>
    </row>
    <row r="73" spans="1:6" x14ac:dyDescent="0.2">
      <c r="A73" s="20">
        <v>7</v>
      </c>
      <c r="B73" s="179" t="s">
        <v>6</v>
      </c>
      <c r="C73" s="180"/>
      <c r="D73" s="15">
        <f t="shared" si="4"/>
        <v>0</v>
      </c>
      <c r="E73" s="18">
        <f>IF(F3="1",SUMIF(Data!A:A,'35'!$A$2,Data!EE:EE),0)</f>
        <v>0</v>
      </c>
      <c r="F73" s="22" t="str">
        <f t="shared" si="5"/>
        <v/>
      </c>
    </row>
    <row r="74" spans="1:6" x14ac:dyDescent="0.2">
      <c r="A74" s="20">
        <v>8</v>
      </c>
      <c r="B74" s="179" t="s">
        <v>7</v>
      </c>
      <c r="C74" s="180"/>
      <c r="D74" s="15">
        <f t="shared" si="4"/>
        <v>0</v>
      </c>
      <c r="E74" s="18">
        <f>IF(F3="1",SUMIF(Data!A:A,'35'!$A$2,Data!EF:EF),0)</f>
        <v>0</v>
      </c>
      <c r="F74" s="22" t="str">
        <f t="shared" si="5"/>
        <v/>
      </c>
    </row>
    <row r="75" spans="1:6" x14ac:dyDescent="0.2">
      <c r="A75" s="20">
        <v>9</v>
      </c>
      <c r="B75" s="179" t="s">
        <v>8</v>
      </c>
      <c r="C75" s="180"/>
      <c r="D75" s="15">
        <f t="shared" si="4"/>
        <v>0</v>
      </c>
      <c r="E75" s="18">
        <f>IF(F3="1",SUMIF(Data!A:A,'35'!$A$2,Data!EG:EG),0)</f>
        <v>0</v>
      </c>
      <c r="F75" s="22" t="str">
        <f t="shared" si="5"/>
        <v/>
      </c>
    </row>
    <row r="76" spans="1:6" x14ac:dyDescent="0.2">
      <c r="A76" s="20">
        <v>10</v>
      </c>
      <c r="B76" s="179" t="s">
        <v>9</v>
      </c>
      <c r="C76" s="180"/>
      <c r="D76" s="15">
        <f t="shared" si="4"/>
        <v>0</v>
      </c>
      <c r="E76" s="18">
        <f>IF(F3="1",SUMIF(Data!A:A,'35'!$A$2,Data!EH:EH),0)</f>
        <v>0</v>
      </c>
      <c r="F76" s="22" t="str">
        <f t="shared" si="5"/>
        <v/>
      </c>
    </row>
    <row r="77" spans="1:6" x14ac:dyDescent="0.2">
      <c r="A77" s="20">
        <v>11</v>
      </c>
      <c r="B77" s="179" t="s">
        <v>10</v>
      </c>
      <c r="C77" s="180"/>
      <c r="D77" s="15">
        <f t="shared" si="4"/>
        <v>0</v>
      </c>
      <c r="E77" s="18">
        <f>IF(F3="1",SUMIF(Data!A:A,'35'!$A$2,Data!EI:EI),0)</f>
        <v>0</v>
      </c>
      <c r="F77" s="22" t="str">
        <f t="shared" si="5"/>
        <v/>
      </c>
    </row>
    <row r="78" spans="1:6" ht="14.25" customHeight="1" x14ac:dyDescent="0.2">
      <c r="A78" s="20">
        <v>12</v>
      </c>
      <c r="B78" s="179" t="s">
        <v>11</v>
      </c>
      <c r="C78" s="180"/>
      <c r="D78" s="15">
        <f t="shared" si="4"/>
        <v>0</v>
      </c>
      <c r="E78" s="18">
        <f>IF(F3="1",SUMIF(Data!A:A,'35'!$A$2,Data!EJ:EJ),0)</f>
        <v>0</v>
      </c>
      <c r="F78" s="22" t="str">
        <f t="shared" si="5"/>
        <v/>
      </c>
    </row>
    <row r="79" spans="1:6" x14ac:dyDescent="0.2">
      <c r="A79" s="20">
        <v>13</v>
      </c>
      <c r="B79" s="179" t="s">
        <v>12</v>
      </c>
      <c r="C79" s="180"/>
      <c r="D79" s="15">
        <f t="shared" si="4"/>
        <v>0</v>
      </c>
      <c r="E79" s="18">
        <f>IF(F3="1",SUMIF(Data!A:A,'35'!$A$2,Data!EK:EK),0)</f>
        <v>0</v>
      </c>
      <c r="F79" s="22" t="str">
        <f t="shared" si="5"/>
        <v/>
      </c>
    </row>
    <row r="80" spans="1:6" ht="14.25" customHeight="1" x14ac:dyDescent="0.2">
      <c r="A80" s="20">
        <v>14</v>
      </c>
      <c r="B80" s="179" t="s">
        <v>804</v>
      </c>
      <c r="C80" s="180"/>
      <c r="D80" s="15">
        <f t="shared" si="4"/>
        <v>0</v>
      </c>
      <c r="E80" s="18">
        <f>IF(F3="1",SUMIF(Data!A:A,'35'!$A$2,Data!EL:EL),0)</f>
        <v>0</v>
      </c>
      <c r="F80" s="22" t="str">
        <f t="shared" si="5"/>
        <v/>
      </c>
    </row>
    <row r="81" spans="1:6" x14ac:dyDescent="0.2">
      <c r="A81" s="20">
        <v>15</v>
      </c>
      <c r="B81" s="179" t="s">
        <v>13</v>
      </c>
      <c r="C81" s="180"/>
      <c r="D81" s="15">
        <f t="shared" si="4"/>
        <v>0</v>
      </c>
      <c r="E81" s="18">
        <f>IF(F3="1",SUMIF(Data!A:A,'35'!$A$2,Data!EM:EM),0)</f>
        <v>0</v>
      </c>
      <c r="F81" s="22" t="str">
        <f t="shared" si="5"/>
        <v/>
      </c>
    </row>
    <row r="82" spans="1:6" x14ac:dyDescent="0.2">
      <c r="A82" s="20">
        <v>16</v>
      </c>
      <c r="B82" s="179" t="s">
        <v>14</v>
      </c>
      <c r="C82" s="180"/>
      <c r="D82" s="15">
        <f t="shared" si="4"/>
        <v>0</v>
      </c>
      <c r="E82" s="18">
        <f>IF(F3="1",SUMIF(Data!A:A,'35'!$A$2,Data!EN:EN),0)</f>
        <v>0</v>
      </c>
      <c r="F82" s="22" t="str">
        <f t="shared" si="5"/>
        <v/>
      </c>
    </row>
    <row r="83" spans="1:6" x14ac:dyDescent="0.2">
      <c r="A83" s="20">
        <v>17</v>
      </c>
      <c r="B83" s="179" t="s">
        <v>15</v>
      </c>
      <c r="C83" s="180"/>
      <c r="D83" s="15">
        <f t="shared" si="4"/>
        <v>0</v>
      </c>
      <c r="E83" s="18">
        <f>IF(F3="1",SUMIF(Data!A:A,'35'!$A$2,Data!EO:EO),0)</f>
        <v>0</v>
      </c>
      <c r="F83" s="22" t="str">
        <f t="shared" si="5"/>
        <v/>
      </c>
    </row>
    <row r="84" spans="1:6" x14ac:dyDescent="0.2">
      <c r="A84" s="20">
        <v>18</v>
      </c>
      <c r="B84" s="179" t="s">
        <v>16</v>
      </c>
      <c r="C84" s="180"/>
      <c r="D84" s="15">
        <f t="shared" si="4"/>
        <v>0</v>
      </c>
      <c r="E84" s="18">
        <f>IF(F3="1",SUMIF(Data!A:A,'35'!$A$2,Data!EP:EP),0)</f>
        <v>0</v>
      </c>
      <c r="F84" s="22" t="str">
        <f t="shared" si="5"/>
        <v/>
      </c>
    </row>
    <row r="85" spans="1:6" x14ac:dyDescent="0.2">
      <c r="A85" s="20">
        <v>19</v>
      </c>
      <c r="B85" s="179" t="s">
        <v>17</v>
      </c>
      <c r="C85" s="180"/>
      <c r="D85" s="15">
        <f t="shared" si="4"/>
        <v>0</v>
      </c>
      <c r="E85" s="18">
        <f>IF(F3="1",SUMIF(Data!A:A,'35'!$A$2,Data!EQ:EQ),0)</f>
        <v>0</v>
      </c>
      <c r="F85" s="22" t="str">
        <f t="shared" si="5"/>
        <v/>
      </c>
    </row>
    <row r="86" spans="1:6" x14ac:dyDescent="0.2">
      <c r="A86" s="20">
        <v>20</v>
      </c>
      <c r="B86" s="179" t="s">
        <v>18</v>
      </c>
      <c r="C86" s="180"/>
      <c r="D86" s="15">
        <f t="shared" si="4"/>
        <v>0</v>
      </c>
      <c r="E86" s="18">
        <f>IF(F3="1",SUMIF(Data!A:A,'35'!$A$2,Data!ER:ER),0)</f>
        <v>0</v>
      </c>
      <c r="F86" s="22" t="str">
        <f t="shared" si="5"/>
        <v/>
      </c>
    </row>
    <row r="87" spans="1:6" ht="14.25" customHeight="1" x14ac:dyDescent="0.2">
      <c r="A87" s="20">
        <v>21</v>
      </c>
      <c r="B87" s="179" t="s">
        <v>801</v>
      </c>
      <c r="C87" s="180"/>
      <c r="D87" s="15">
        <f t="shared" si="4"/>
        <v>0</v>
      </c>
      <c r="E87" s="18">
        <f>IF(F3="1",SUMIF(Data!A:A,'35'!$A$2,Data!ES:ES),0)</f>
        <v>0</v>
      </c>
      <c r="F87" s="22" t="str">
        <f t="shared" si="5"/>
        <v/>
      </c>
    </row>
    <row r="88" spans="1:6" x14ac:dyDescent="0.2">
      <c r="A88" s="20">
        <v>22</v>
      </c>
      <c r="B88" s="179" t="s">
        <v>19</v>
      </c>
      <c r="C88" s="180"/>
      <c r="D88" s="15">
        <f t="shared" si="4"/>
        <v>0</v>
      </c>
      <c r="E88" s="18">
        <f>IF(F3="1",SUMIF(Data!A:A,'35'!$A$2,Data!ET:ET),0)</f>
        <v>0</v>
      </c>
      <c r="F88" s="22" t="str">
        <f t="shared" si="5"/>
        <v/>
      </c>
    </row>
    <row r="89" spans="1:6" x14ac:dyDescent="0.2">
      <c r="A89" s="20">
        <v>23</v>
      </c>
      <c r="B89" s="179" t="s">
        <v>20</v>
      </c>
      <c r="C89" s="180"/>
      <c r="D89" s="15">
        <f t="shared" si="4"/>
        <v>0</v>
      </c>
      <c r="E89" s="18">
        <f>IF(F3="1",SUMIF(Data!A:A,'35'!$A$2,Data!EU:EU),0)</f>
        <v>0</v>
      </c>
      <c r="F89" s="22" t="str">
        <f t="shared" si="5"/>
        <v/>
      </c>
    </row>
    <row r="90" spans="1:6" x14ac:dyDescent="0.2">
      <c r="A90" s="20">
        <v>24</v>
      </c>
      <c r="B90" s="179" t="s">
        <v>21</v>
      </c>
      <c r="C90" s="180"/>
      <c r="D90" s="15">
        <f t="shared" si="4"/>
        <v>0</v>
      </c>
      <c r="E90" s="18">
        <f>IF(F3="1",SUMIF(Data!A:A,'35'!$A$2,Data!EV:EV),0)</f>
        <v>0</v>
      </c>
      <c r="F90" s="22" t="str">
        <f t="shared" si="5"/>
        <v/>
      </c>
    </row>
    <row r="91" spans="1:6" x14ac:dyDescent="0.2">
      <c r="A91" s="20">
        <v>25</v>
      </c>
      <c r="B91" s="179" t="s">
        <v>22</v>
      </c>
      <c r="C91" s="180"/>
      <c r="D91" s="15">
        <f t="shared" si="4"/>
        <v>0</v>
      </c>
      <c r="E91" s="18">
        <f>IF(F3="1",SUMIF(Data!A:A,'35'!$A$2,Data!EW:EW),0)</f>
        <v>0</v>
      </c>
      <c r="F91" s="22" t="str">
        <f t="shared" si="5"/>
        <v/>
      </c>
    </row>
    <row r="92" spans="1:6" x14ac:dyDescent="0.2">
      <c r="A92" s="20">
        <v>26</v>
      </c>
      <c r="B92" s="179" t="s">
        <v>23</v>
      </c>
      <c r="C92" s="180"/>
      <c r="D92" s="15">
        <f t="shared" si="4"/>
        <v>0</v>
      </c>
      <c r="E92" s="18">
        <f>IF(F3="1",SUMIF(Data!A:A,'35'!$A$2,Data!EX:EX),0)</f>
        <v>0</v>
      </c>
      <c r="F92" s="22" t="str">
        <f t="shared" si="5"/>
        <v/>
      </c>
    </row>
    <row r="93" spans="1:6" x14ac:dyDescent="0.2">
      <c r="A93" s="20">
        <v>28</v>
      </c>
      <c r="B93" s="179" t="s">
        <v>24</v>
      </c>
      <c r="C93" s="180"/>
      <c r="D93" s="15">
        <f t="shared" si="4"/>
        <v>0</v>
      </c>
      <c r="E93" s="18">
        <f>IF(F3="1",SUMIF(Data!A:A,'35'!$A$2,Data!EZ:EZ),0)</f>
        <v>0</v>
      </c>
      <c r="F93" s="22" t="str">
        <f t="shared" si="5"/>
        <v/>
      </c>
    </row>
    <row r="94" spans="1:6" ht="15.75" customHeight="1" thickBot="1" x14ac:dyDescent="0.25">
      <c r="A94" s="23">
        <v>29</v>
      </c>
      <c r="B94" s="181" t="s">
        <v>25</v>
      </c>
      <c r="C94" s="182"/>
      <c r="D94" s="24">
        <f t="shared" si="4"/>
        <v>0</v>
      </c>
      <c r="E94" s="25">
        <f>IF(F3="1",SUMIF(Data!A:A,'35'!$A$2,Data!FA:FA),0)</f>
        <v>0</v>
      </c>
      <c r="F94" s="26" t="str">
        <f t="shared" si="5"/>
        <v/>
      </c>
    </row>
    <row r="95" spans="1:6" x14ac:dyDescent="0.2">
      <c r="B95" s="31" t="s">
        <v>35</v>
      </c>
      <c r="C95" s="31"/>
      <c r="D95" s="61">
        <f>SUM(D67:D94)</f>
        <v>0</v>
      </c>
      <c r="E95" s="32">
        <f>SUM(E67:E94)</f>
        <v>0</v>
      </c>
      <c r="F95" s="33" t="str">
        <f t="shared" si="5"/>
        <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IF(F3="1",SUMIF(Data!A:A,'35'!$A$2,Data!AH:AH),0)</f>
        <v>0</v>
      </c>
      <c r="F98" s="21">
        <f t="shared" ref="F98:F105" si="6">IFERROR(E98/$D$95,0)</f>
        <v>0</v>
      </c>
    </row>
    <row r="99" spans="2:6" x14ac:dyDescent="0.2">
      <c r="B99" s="185" t="s">
        <v>31</v>
      </c>
      <c r="C99" s="186"/>
      <c r="D99" s="37"/>
      <c r="E99" s="18">
        <f>IF(F3="1",SUMIF(Data!A:A,'35'!$A$2,Data!AI:AI),0)</f>
        <v>0</v>
      </c>
      <c r="F99" s="22">
        <f t="shared" si="6"/>
        <v>0</v>
      </c>
    </row>
    <row r="100" spans="2:6" x14ac:dyDescent="0.2">
      <c r="B100" s="185" t="s">
        <v>32</v>
      </c>
      <c r="C100" s="186"/>
      <c r="D100" s="37"/>
      <c r="E100" s="18">
        <f>IF(F3="1",SUMIF(Data!A:A,'35'!$A$2,Data!AJ:AJ),0)</f>
        <v>0</v>
      </c>
      <c r="F100" s="22">
        <f t="shared" si="6"/>
        <v>0</v>
      </c>
    </row>
    <row r="101" spans="2:6" x14ac:dyDescent="0.2">
      <c r="B101" s="185" t="s">
        <v>28</v>
      </c>
      <c r="C101" s="186"/>
      <c r="D101" s="37"/>
      <c r="E101" s="18">
        <f>IF(F3="1",SUMIF(Data!A:A,'35'!$A$2,Data!AK:AK),0)</f>
        <v>0</v>
      </c>
      <c r="F101" s="22">
        <f t="shared" si="6"/>
        <v>0</v>
      </c>
    </row>
    <row r="102" spans="2:6" x14ac:dyDescent="0.2">
      <c r="B102" s="185" t="s">
        <v>33</v>
      </c>
      <c r="C102" s="186"/>
      <c r="D102" s="37"/>
      <c r="E102" s="18">
        <f>IF(F3="1",SUMIF(Data!A:A,'35'!$A$2,Data!AL:AL),0)</f>
        <v>0</v>
      </c>
      <c r="F102" s="22">
        <f t="shared" si="6"/>
        <v>0</v>
      </c>
    </row>
    <row r="103" spans="2:6" x14ac:dyDescent="0.2">
      <c r="B103" s="187" t="s">
        <v>34</v>
      </c>
      <c r="C103" s="188"/>
      <c r="D103" s="37"/>
      <c r="E103" s="18">
        <f>IF(F3="1",SUMIF(Data!A:A,'35'!$A$2,Data!AM:AM),0)</f>
        <v>0</v>
      </c>
      <c r="F103" s="22">
        <f t="shared" si="6"/>
        <v>0</v>
      </c>
    </row>
    <row r="104" spans="2:6" ht="15.75" customHeight="1" thickBot="1" x14ac:dyDescent="0.25">
      <c r="B104" s="177" t="s">
        <v>29</v>
      </c>
      <c r="C104" s="178"/>
      <c r="D104" s="38"/>
      <c r="E104" s="25">
        <f>IF(F3="1",SUMIF(Data!A:A,'35'!$A$2,Data!Q:Q),0)</f>
        <v>0</v>
      </c>
      <c r="F104" s="26">
        <f t="shared" si="6"/>
        <v>0</v>
      </c>
    </row>
    <row r="105" spans="2:6" x14ac:dyDescent="0.2">
      <c r="B105" s="31" t="s">
        <v>35</v>
      </c>
      <c r="C105" s="31"/>
      <c r="D105" s="35">
        <f>D95</f>
        <v>0</v>
      </c>
      <c r="E105" s="32">
        <f>SUM(E98:E104)</f>
        <v>0</v>
      </c>
      <c r="F105" s="33">
        <f t="shared" si="6"/>
        <v>0</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0</v>
      </c>
      <c r="D109" s="16">
        <f>IF(F3="1",SUMIF(Data!$A:$A,$A$2,Data!HJ:HJ),0)</f>
        <v>0</v>
      </c>
      <c r="E109" s="16">
        <f>IF(F3="1",SUMIF(Data!$A:$A,$A$2,Data!IN:IN),0)</f>
        <v>0</v>
      </c>
      <c r="F109" s="48">
        <f>SUM(C109:E109)</f>
        <v>0</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1363</v>
      </c>
      <c r="C114" s="51">
        <f>IF(F3="1",SUMIF(Data!A:A,$A$2,Data!T:T),0)</f>
        <v>0</v>
      </c>
      <c r="D114" s="52"/>
      <c r="E114" s="51">
        <f>IF(F3="1",SUMIF(Data!A:A,$A$2,Data!AA:AA),0)</f>
        <v>0</v>
      </c>
      <c r="F114" s="49">
        <f t="shared" si="7"/>
        <v>0</v>
      </c>
    </row>
    <row r="115" spans="1:6" x14ac:dyDescent="0.2">
      <c r="B115" s="43" t="s">
        <v>1278</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0</v>
      </c>
      <c r="E117" s="53"/>
      <c r="F117" s="50">
        <f>SUM(C117:E117)</f>
        <v>0</v>
      </c>
    </row>
    <row r="118" spans="1:6" x14ac:dyDescent="0.2">
      <c r="B118" s="14" t="s">
        <v>35</v>
      </c>
      <c r="C118" s="5">
        <f>SUM(C109:C116)</f>
        <v>0</v>
      </c>
      <c r="D118" s="5">
        <f>SUM(D109:D116)</f>
        <v>0</v>
      </c>
      <c r="E118" s="5">
        <f>SUM(E109:E116)</f>
        <v>0</v>
      </c>
      <c r="F118" s="5">
        <f>SUM(F109:F116)</f>
        <v>0</v>
      </c>
    </row>
    <row r="119" spans="1:6" ht="15" thickBot="1" x14ac:dyDescent="0.25"/>
    <row r="120" spans="1:6" ht="15" thickBot="1" x14ac:dyDescent="0.25">
      <c r="B120" s="57" t="s">
        <v>1283</v>
      </c>
      <c r="C120" s="55"/>
      <c r="D120" s="55"/>
      <c r="E120" s="55">
        <f>IF(F3="1",SUMIF(Data!A:A,'35'!$A$2,Data!AM:AM),0)</f>
        <v>0</v>
      </c>
      <c r="F120" s="56">
        <f>SUM(C120:E120)</f>
        <v>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5703125" style="11" bestFit="1" customWidth="1"/>
    <col min="13" max="13" width="13.42578125" style="11" bestFit="1" customWidth="1"/>
    <col min="14"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532</v>
      </c>
      <c r="B2" s="60" t="str">
        <f>VLOOKUP(A2,Data!A:G,7,0)</f>
        <v>San Jacinto College District</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16416</v>
      </c>
      <c r="E5" s="16">
        <f>E36+E67+IFERROR($E$105/$D$105*D5,0)</f>
        <v>58970.213201753846</v>
      </c>
      <c r="F5" s="21">
        <f>IFERROR(E5/D5,"")</f>
        <v>3.5922400829528414</v>
      </c>
    </row>
    <row r="6" spans="1:6" x14ac:dyDescent="0.2">
      <c r="A6" s="20">
        <v>2</v>
      </c>
      <c r="B6" s="179" t="s">
        <v>1</v>
      </c>
      <c r="C6" s="180"/>
      <c r="D6" s="15">
        <f t="shared" ref="D6:D32" si="0">D37</f>
        <v>237652</v>
      </c>
      <c r="E6" s="18">
        <f t="shared" ref="E6:E32" si="1">E37+E68+IFERROR($E$105/$D$105*D6,0)</f>
        <v>1820644.0401939086</v>
      </c>
      <c r="F6" s="22">
        <f t="shared" ref="F6:F33" si="2">IFERROR(E6/D6,"")</f>
        <v>7.6609666242821799</v>
      </c>
    </row>
    <row r="7" spans="1:6" ht="14.25" customHeight="1" x14ac:dyDescent="0.2">
      <c r="A7" s="20">
        <v>3</v>
      </c>
      <c r="B7" s="179" t="s">
        <v>2</v>
      </c>
      <c r="C7" s="180"/>
      <c r="D7" s="15">
        <f t="shared" si="0"/>
        <v>1847048</v>
      </c>
      <c r="E7" s="18">
        <f t="shared" si="1"/>
        <v>12135555.860737879</v>
      </c>
      <c r="F7" s="22">
        <f t="shared" si="2"/>
        <v>6.5702439031026154</v>
      </c>
    </row>
    <row r="8" spans="1:6" ht="14.25" customHeight="1" x14ac:dyDescent="0.2">
      <c r="A8" s="20">
        <v>4</v>
      </c>
      <c r="B8" s="179" t="s">
        <v>3</v>
      </c>
      <c r="C8" s="180"/>
      <c r="D8" s="15">
        <f t="shared" si="0"/>
        <v>766004</v>
      </c>
      <c r="E8" s="18">
        <f t="shared" si="1"/>
        <v>5317088.2725022081</v>
      </c>
      <c r="F8" s="22">
        <f t="shared" si="2"/>
        <v>6.9413322547952863</v>
      </c>
    </row>
    <row r="9" spans="1:6" x14ac:dyDescent="0.2">
      <c r="A9" s="20">
        <v>5</v>
      </c>
      <c r="B9" s="179" t="s">
        <v>4</v>
      </c>
      <c r="C9" s="180"/>
      <c r="D9" s="15">
        <f t="shared" si="0"/>
        <v>36576</v>
      </c>
      <c r="E9" s="18">
        <f t="shared" si="1"/>
        <v>1154773.7732740832</v>
      </c>
      <c r="F9" s="22">
        <f t="shared" si="2"/>
        <v>31.571898875603761</v>
      </c>
    </row>
    <row r="10" spans="1:6" x14ac:dyDescent="0.2">
      <c r="A10" s="20">
        <v>6</v>
      </c>
      <c r="B10" s="179" t="s">
        <v>5</v>
      </c>
      <c r="C10" s="180"/>
      <c r="D10" s="15">
        <f t="shared" si="0"/>
        <v>76388</v>
      </c>
      <c r="E10" s="18">
        <f t="shared" si="1"/>
        <v>549372.03545660165</v>
      </c>
      <c r="F10" s="22">
        <f t="shared" si="2"/>
        <v>7.1918630603838514</v>
      </c>
    </row>
    <row r="11" spans="1:6" x14ac:dyDescent="0.2">
      <c r="A11" s="20">
        <v>7</v>
      </c>
      <c r="B11" s="179" t="s">
        <v>6</v>
      </c>
      <c r="C11" s="180"/>
      <c r="D11" s="15">
        <f t="shared" si="0"/>
        <v>262025</v>
      </c>
      <c r="E11" s="18">
        <f t="shared" si="1"/>
        <v>2401371.7077357182</v>
      </c>
      <c r="F11" s="22">
        <f t="shared" si="2"/>
        <v>9.1646663781536812</v>
      </c>
    </row>
    <row r="12" spans="1:6" x14ac:dyDescent="0.2">
      <c r="A12" s="20">
        <v>8</v>
      </c>
      <c r="B12" s="179" t="s">
        <v>7</v>
      </c>
      <c r="C12" s="180"/>
      <c r="D12" s="15">
        <f t="shared" si="0"/>
        <v>76013</v>
      </c>
      <c r="E12" s="18">
        <f t="shared" si="1"/>
        <v>321501.94542549434</v>
      </c>
      <c r="F12" s="22">
        <f t="shared" si="2"/>
        <v>4.2295652773274881</v>
      </c>
    </row>
    <row r="13" spans="1:6" x14ac:dyDescent="0.2">
      <c r="A13" s="20">
        <v>9</v>
      </c>
      <c r="B13" s="179" t="s">
        <v>8</v>
      </c>
      <c r="C13" s="180"/>
      <c r="D13" s="15">
        <f t="shared" si="0"/>
        <v>894574</v>
      </c>
      <c r="E13" s="18">
        <f t="shared" si="1"/>
        <v>7578797.579967455</v>
      </c>
      <c r="F13" s="22">
        <f t="shared" si="2"/>
        <v>8.471962721884891</v>
      </c>
    </row>
    <row r="14" spans="1:6" x14ac:dyDescent="0.2">
      <c r="A14" s="20">
        <v>10</v>
      </c>
      <c r="B14" s="179" t="s">
        <v>9</v>
      </c>
      <c r="C14" s="180"/>
      <c r="D14" s="15">
        <f t="shared" si="0"/>
        <v>0</v>
      </c>
      <c r="E14" s="18">
        <f t="shared" si="1"/>
        <v>805820</v>
      </c>
      <c r="F14" s="22" t="str">
        <f t="shared" si="2"/>
        <v/>
      </c>
    </row>
    <row r="15" spans="1:6" x14ac:dyDescent="0.2">
      <c r="A15" s="20">
        <v>11</v>
      </c>
      <c r="B15" s="179" t="s">
        <v>10</v>
      </c>
      <c r="C15" s="180"/>
      <c r="D15" s="15">
        <f t="shared" si="0"/>
        <v>335756</v>
      </c>
      <c r="E15" s="18">
        <f t="shared" si="1"/>
        <v>2417365.1612919141</v>
      </c>
      <c r="F15" s="22">
        <f t="shared" si="2"/>
        <v>7.1997675731540589</v>
      </c>
    </row>
    <row r="16" spans="1:6" ht="14.25" customHeight="1" x14ac:dyDescent="0.2">
      <c r="A16" s="20">
        <v>12</v>
      </c>
      <c r="B16" s="179" t="s">
        <v>11</v>
      </c>
      <c r="C16" s="180"/>
      <c r="D16" s="15">
        <f t="shared" si="0"/>
        <v>1368240</v>
      </c>
      <c r="E16" s="18">
        <f t="shared" si="1"/>
        <v>9833738.5710993968</v>
      </c>
      <c r="F16" s="22">
        <f t="shared" si="2"/>
        <v>7.1871444856892044</v>
      </c>
    </row>
    <row r="17" spans="1:6" x14ac:dyDescent="0.2">
      <c r="A17" s="20">
        <v>13</v>
      </c>
      <c r="B17" s="179" t="s">
        <v>12</v>
      </c>
      <c r="C17" s="180"/>
      <c r="D17" s="15">
        <f t="shared" si="0"/>
        <v>177640</v>
      </c>
      <c r="E17" s="18">
        <f t="shared" si="1"/>
        <v>1231571.5283357427</v>
      </c>
      <c r="F17" s="22">
        <f t="shared" si="2"/>
        <v>6.9329628931307283</v>
      </c>
    </row>
    <row r="18" spans="1:6" ht="14.25" customHeight="1" x14ac:dyDescent="0.2">
      <c r="A18" s="20">
        <v>14</v>
      </c>
      <c r="B18" s="179" t="s">
        <v>804</v>
      </c>
      <c r="C18" s="180"/>
      <c r="D18" s="15">
        <f t="shared" si="0"/>
        <v>404336</v>
      </c>
      <c r="E18" s="18">
        <f t="shared" si="1"/>
        <v>4371184.9861808196</v>
      </c>
      <c r="F18" s="22">
        <f t="shared" si="2"/>
        <v>10.810773678774137</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735638</v>
      </c>
      <c r="E20" s="18">
        <f t="shared" si="1"/>
        <v>7397504.3101432621</v>
      </c>
      <c r="F20" s="22">
        <f t="shared" si="2"/>
        <v>10.055902917118559</v>
      </c>
    </row>
    <row r="21" spans="1:6" x14ac:dyDescent="0.2">
      <c r="A21" s="20">
        <v>17</v>
      </c>
      <c r="B21" s="179" t="s">
        <v>15</v>
      </c>
      <c r="C21" s="180"/>
      <c r="D21" s="15">
        <f t="shared" si="0"/>
        <v>62848</v>
      </c>
      <c r="E21" s="18">
        <f t="shared" si="1"/>
        <v>654093.10473342019</v>
      </c>
      <c r="F21" s="22">
        <f t="shared" si="2"/>
        <v>10.407540490284816</v>
      </c>
    </row>
    <row r="22" spans="1:6" x14ac:dyDescent="0.2">
      <c r="A22" s="20">
        <v>18</v>
      </c>
      <c r="B22" s="179" t="s">
        <v>16</v>
      </c>
      <c r="C22" s="180"/>
      <c r="D22" s="15">
        <f t="shared" si="0"/>
        <v>268064</v>
      </c>
      <c r="E22" s="18">
        <f t="shared" si="1"/>
        <v>3144039.2455966705</v>
      </c>
      <c r="F22" s="22">
        <f t="shared" si="2"/>
        <v>11.728688841458274</v>
      </c>
    </row>
    <row r="23" spans="1:6" x14ac:dyDescent="0.2">
      <c r="A23" s="20">
        <v>19</v>
      </c>
      <c r="B23" s="179" t="s">
        <v>17</v>
      </c>
      <c r="C23" s="180"/>
      <c r="D23" s="15">
        <f t="shared" si="0"/>
        <v>801936</v>
      </c>
      <c r="E23" s="18">
        <f t="shared" si="1"/>
        <v>5989284.6431628698</v>
      </c>
      <c r="F23" s="22">
        <f t="shared" si="2"/>
        <v>7.4685319566185706</v>
      </c>
    </row>
    <row r="24" spans="1:6" x14ac:dyDescent="0.2">
      <c r="A24" s="20">
        <v>20</v>
      </c>
      <c r="B24" s="179" t="s">
        <v>18</v>
      </c>
      <c r="C24" s="180"/>
      <c r="D24" s="15">
        <f t="shared" si="0"/>
        <v>300568</v>
      </c>
      <c r="E24" s="18">
        <f t="shared" si="1"/>
        <v>3111629.4172529699</v>
      </c>
      <c r="F24" s="22">
        <f t="shared" si="2"/>
        <v>10.352497329233218</v>
      </c>
    </row>
    <row r="25" spans="1:6" ht="14.25" customHeight="1" x14ac:dyDescent="0.2">
      <c r="A25" s="20">
        <v>21</v>
      </c>
      <c r="B25" s="179" t="s">
        <v>801</v>
      </c>
      <c r="C25" s="180"/>
      <c r="D25" s="15">
        <f t="shared" si="0"/>
        <v>78209</v>
      </c>
      <c r="E25" s="18">
        <f t="shared" si="1"/>
        <v>800203.50464765879</v>
      </c>
      <c r="F25" s="22">
        <f t="shared" si="2"/>
        <v>10.231603839042295</v>
      </c>
    </row>
    <row r="26" spans="1:6" x14ac:dyDescent="0.2">
      <c r="A26" s="20">
        <v>22</v>
      </c>
      <c r="B26" s="179" t="s">
        <v>19</v>
      </c>
      <c r="C26" s="180"/>
      <c r="D26" s="15">
        <f t="shared" si="0"/>
        <v>18424</v>
      </c>
      <c r="E26" s="18">
        <f t="shared" si="1"/>
        <v>108836.43128832315</v>
      </c>
      <c r="F26" s="22">
        <f t="shared" si="2"/>
        <v>5.9073182418759851</v>
      </c>
    </row>
    <row r="27" spans="1:6" x14ac:dyDescent="0.2">
      <c r="A27" s="20">
        <v>23</v>
      </c>
      <c r="B27" s="179" t="s">
        <v>20</v>
      </c>
      <c r="C27" s="180"/>
      <c r="D27" s="15">
        <f t="shared" si="0"/>
        <v>585360</v>
      </c>
      <c r="E27" s="18">
        <f t="shared" si="1"/>
        <v>4436460.6549572758</v>
      </c>
      <c r="F27" s="22">
        <f t="shared" si="2"/>
        <v>7.5790294091794381</v>
      </c>
    </row>
    <row r="28" spans="1:6" x14ac:dyDescent="0.2">
      <c r="A28" s="20">
        <v>24</v>
      </c>
      <c r="B28" s="179" t="s">
        <v>21</v>
      </c>
      <c r="C28" s="180"/>
      <c r="D28" s="15">
        <f t="shared" si="0"/>
        <v>178576</v>
      </c>
      <c r="E28" s="18">
        <f t="shared" si="1"/>
        <v>1555915.8650533864</v>
      </c>
      <c r="F28" s="22">
        <f t="shared" si="2"/>
        <v>8.7129057939106396</v>
      </c>
    </row>
    <row r="29" spans="1:6" x14ac:dyDescent="0.2">
      <c r="A29" s="20">
        <v>25</v>
      </c>
      <c r="B29" s="179" t="s">
        <v>22</v>
      </c>
      <c r="C29" s="180"/>
      <c r="D29" s="15">
        <f t="shared" si="0"/>
        <v>2057040</v>
      </c>
      <c r="E29" s="18">
        <f t="shared" si="1"/>
        <v>14328016.540237313</v>
      </c>
      <c r="F29" s="22">
        <f t="shared" si="2"/>
        <v>6.9653563082085483</v>
      </c>
    </row>
    <row r="30" spans="1:6" x14ac:dyDescent="0.2">
      <c r="A30" s="20">
        <v>26</v>
      </c>
      <c r="B30" s="179" t="s">
        <v>23</v>
      </c>
      <c r="C30" s="180"/>
      <c r="D30" s="15">
        <f t="shared" si="0"/>
        <v>683568</v>
      </c>
      <c r="E30" s="18">
        <f t="shared" si="1"/>
        <v>6240894.3690239079</v>
      </c>
      <c r="F30" s="22">
        <f t="shared" si="2"/>
        <v>9.1298808151111643</v>
      </c>
    </row>
    <row r="31" spans="1:6" x14ac:dyDescent="0.2">
      <c r="A31" s="20">
        <v>28</v>
      </c>
      <c r="B31" s="179" t="s">
        <v>24</v>
      </c>
      <c r="C31" s="180"/>
      <c r="D31" s="15">
        <f t="shared" si="0"/>
        <v>733744</v>
      </c>
      <c r="E31" s="18">
        <f t="shared" si="1"/>
        <v>5118042.6074261498</v>
      </c>
      <c r="F31" s="22">
        <f t="shared" si="2"/>
        <v>6.975242874117062</v>
      </c>
    </row>
    <row r="32" spans="1:6" ht="15.75" customHeight="1" thickBot="1" x14ac:dyDescent="0.25">
      <c r="A32" s="23">
        <v>29</v>
      </c>
      <c r="B32" s="181" t="s">
        <v>25</v>
      </c>
      <c r="C32" s="182"/>
      <c r="D32" s="24">
        <f t="shared" si="0"/>
        <v>555904</v>
      </c>
      <c r="E32" s="25">
        <f t="shared" si="1"/>
        <v>3854200.6310738162</v>
      </c>
      <c r="F32" s="26">
        <f t="shared" si="2"/>
        <v>6.9332126249744848</v>
      </c>
    </row>
    <row r="33" spans="1:6" x14ac:dyDescent="0.2">
      <c r="B33" s="31" t="s">
        <v>35</v>
      </c>
      <c r="C33" s="31"/>
      <c r="D33" s="61">
        <f>SUM(D5:D32)</f>
        <v>13558547</v>
      </c>
      <c r="E33" s="32">
        <f>SUM(E5:E32)</f>
        <v>106736876.99999999</v>
      </c>
      <c r="F33" s="33">
        <f t="shared" si="2"/>
        <v>7.8722946492717831</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IF(F3="1",SUMIF(Data!A:A,'36'!$A$2,Data!CU:CU),0)</f>
        <v>16416</v>
      </c>
      <c r="E36" s="16">
        <f>IF(F3="1",SUMIF(Data!$A:$A,'36'!$A$2,Data!IO:IO),0)</f>
        <v>0</v>
      </c>
      <c r="F36" s="21">
        <f t="shared" ref="F36:F64" si="3">IFERROR(E36/D36,"")</f>
        <v>0</v>
      </c>
    </row>
    <row r="37" spans="1:6" x14ac:dyDescent="0.2">
      <c r="A37" s="20">
        <v>2</v>
      </c>
      <c r="B37" s="179" t="s">
        <v>1</v>
      </c>
      <c r="C37" s="180"/>
      <c r="D37" s="15">
        <f>IF(F3="1",SUMIF(Data!A:A,'36'!$A$2,Data!CV:CV),0)</f>
        <v>237652</v>
      </c>
      <c r="E37" s="18">
        <f>IF(F3="1",SUMIF(Data!$A:$A,'36'!$A$2,Data!IP:IP),0)</f>
        <v>312602</v>
      </c>
      <c r="F37" s="22">
        <f t="shared" si="3"/>
        <v>1.3153771060205679</v>
      </c>
    </row>
    <row r="38" spans="1:6" ht="14.25" customHeight="1" x14ac:dyDescent="0.2">
      <c r="A38" s="20">
        <v>3</v>
      </c>
      <c r="B38" s="179" t="s">
        <v>2</v>
      </c>
      <c r="C38" s="180"/>
      <c r="D38" s="15">
        <f>IF(F3="1",SUMIF(Data!A:A,'36'!$A$2,Data!CW:CW),0)</f>
        <v>1847048</v>
      </c>
      <c r="E38" s="18">
        <f>IF(F3="1",SUMIF(Data!$A:$A,'36'!$A$2,Data!IQ:IQ),0)</f>
        <v>1226491</v>
      </c>
      <c r="F38" s="22">
        <f t="shared" si="3"/>
        <v>0.66402768092653797</v>
      </c>
    </row>
    <row r="39" spans="1:6" ht="14.25" customHeight="1" x14ac:dyDescent="0.2">
      <c r="A39" s="20">
        <v>4</v>
      </c>
      <c r="B39" s="179" t="s">
        <v>3</v>
      </c>
      <c r="C39" s="180"/>
      <c r="D39" s="15">
        <f>IF(F3="1",SUMIF(Data!A:A,'36'!$A$2,Data!CX:CX),0)</f>
        <v>766004</v>
      </c>
      <c r="E39" s="18">
        <f>IF(F3="1",SUMIF(Data!$A:$A,'36'!$A$2,Data!IR:IR),0)</f>
        <v>520494</v>
      </c>
      <c r="F39" s="22">
        <f t="shared" si="3"/>
        <v>0.67949253528702203</v>
      </c>
    </row>
    <row r="40" spans="1:6" x14ac:dyDescent="0.2">
      <c r="A40" s="20">
        <v>5</v>
      </c>
      <c r="B40" s="179" t="s">
        <v>4</v>
      </c>
      <c r="C40" s="180"/>
      <c r="D40" s="15">
        <f>IF(F3="1",SUMIF(Data!A:A,'36'!$A$2,Data!CY:CY),0)</f>
        <v>36576</v>
      </c>
      <c r="E40" s="18">
        <f>IF(F3="1",SUMIF(Data!$A:$A,'36'!$A$2,Data!IS:IS),0)</f>
        <v>812433</v>
      </c>
      <c r="F40" s="22">
        <f t="shared" si="3"/>
        <v>22.212188320209975</v>
      </c>
    </row>
    <row r="41" spans="1:6" x14ac:dyDescent="0.2">
      <c r="A41" s="20">
        <v>6</v>
      </c>
      <c r="B41" s="179" t="s">
        <v>5</v>
      </c>
      <c r="C41" s="180"/>
      <c r="D41" s="15">
        <f>IF(F3="1",SUMIF(Data!A:A,'36'!$A$2,Data!CZ:CZ),0)</f>
        <v>76388</v>
      </c>
      <c r="E41" s="18">
        <f>IF(F3="1",SUMIF(Data!$A:$A,'36'!$A$2,Data!IT:IT),0)</f>
        <v>71180</v>
      </c>
      <c r="F41" s="22">
        <f t="shared" si="3"/>
        <v>0.93182175210766094</v>
      </c>
    </row>
    <row r="42" spans="1:6" x14ac:dyDescent="0.2">
      <c r="A42" s="20">
        <v>7</v>
      </c>
      <c r="B42" s="179" t="s">
        <v>6</v>
      </c>
      <c r="C42" s="180"/>
      <c r="D42" s="15">
        <f>IF(F3="1",SUMIF(Data!A:A,'36'!$A$2,Data!DA:DA),0)</f>
        <v>262025</v>
      </c>
      <c r="E42" s="18">
        <f>IF(F3="1",SUMIF(Data!$A:$A,'36'!$A$2,Data!IU:IU),0)</f>
        <v>235018</v>
      </c>
      <c r="F42" s="22">
        <f t="shared" si="3"/>
        <v>0.89692968228222503</v>
      </c>
    </row>
    <row r="43" spans="1:6" x14ac:dyDescent="0.2">
      <c r="A43" s="20">
        <v>8</v>
      </c>
      <c r="B43" s="179" t="s">
        <v>7</v>
      </c>
      <c r="C43" s="180"/>
      <c r="D43" s="15">
        <f>IF(F3="1",SUMIF(Data!A:A,'36'!$A$2,Data!DB:DB),0)</f>
        <v>76013</v>
      </c>
      <c r="E43" s="18">
        <f>IF(F3="1",SUMIF(Data!$A:$A,'36'!$A$2,Data!IV:IV),0)</f>
        <v>44949</v>
      </c>
      <c r="F43" s="22">
        <f t="shared" si="3"/>
        <v>0.59133306145001507</v>
      </c>
    </row>
    <row r="44" spans="1:6" x14ac:dyDescent="0.2">
      <c r="A44" s="20">
        <v>9</v>
      </c>
      <c r="B44" s="179" t="s">
        <v>8</v>
      </c>
      <c r="C44" s="180"/>
      <c r="D44" s="15">
        <f>IF(F3="1",SUMIF(Data!A:A,'36'!$A$2,Data!DC:DC),0)</f>
        <v>894574</v>
      </c>
      <c r="E44" s="18">
        <f>IF(F3="1",SUMIF(Data!$A:$A,'36'!$A$2,Data!IW:IW),0)</f>
        <v>1605785</v>
      </c>
      <c r="F44" s="22">
        <f t="shared" si="3"/>
        <v>1.7950275773720228</v>
      </c>
    </row>
    <row r="45" spans="1:6" x14ac:dyDescent="0.2">
      <c r="A45" s="20">
        <v>10</v>
      </c>
      <c r="B45" s="179" t="s">
        <v>9</v>
      </c>
      <c r="C45" s="180"/>
      <c r="D45" s="15">
        <f>IF(F3="1",SUMIF(Data!A:A,'36'!$A$2,Data!DD:DD),0)</f>
        <v>0</v>
      </c>
      <c r="E45" s="18">
        <f>IF(F3="1",SUMIF(Data!$A:$A,'36'!$A$2,Data!IX:IX),0)</f>
        <v>167545</v>
      </c>
      <c r="F45" s="22" t="str">
        <f t="shared" si="3"/>
        <v/>
      </c>
    </row>
    <row r="46" spans="1:6" x14ac:dyDescent="0.2">
      <c r="A46" s="20">
        <v>11</v>
      </c>
      <c r="B46" s="179" t="s">
        <v>10</v>
      </c>
      <c r="C46" s="180"/>
      <c r="D46" s="15">
        <f>IF(F3="1",SUMIF(Data!A:A,'36'!$A$2,Data!DE:DE),0)</f>
        <v>335756</v>
      </c>
      <c r="E46" s="18">
        <f>IF(F3="1",SUMIF(Data!$A:$A,'36'!$A$2,Data!IY:IY),0)</f>
        <v>312472</v>
      </c>
      <c r="F46" s="22">
        <f t="shared" si="3"/>
        <v>0.93065202111056844</v>
      </c>
    </row>
    <row r="47" spans="1:6" ht="14.25" customHeight="1" x14ac:dyDescent="0.2">
      <c r="A47" s="20">
        <v>12</v>
      </c>
      <c r="B47" s="179" t="s">
        <v>11</v>
      </c>
      <c r="C47" s="180"/>
      <c r="D47" s="15">
        <f>IF(F3="1",SUMIF(Data!A:A,'36'!$A$2,Data!DF:DF),0)</f>
        <v>1368240</v>
      </c>
      <c r="E47" s="18">
        <f>IF(F3="1",SUMIF(Data!$A:$A,'36'!$A$2,Data!IZ:IZ),0)</f>
        <v>608741</v>
      </c>
      <c r="F47" s="22">
        <f t="shared" si="3"/>
        <v>0.44490805706601183</v>
      </c>
    </row>
    <row r="48" spans="1:6" x14ac:dyDescent="0.2">
      <c r="A48" s="20">
        <v>13</v>
      </c>
      <c r="B48" s="179" t="s">
        <v>12</v>
      </c>
      <c r="C48" s="180"/>
      <c r="D48" s="15">
        <f>IF(F3="1",SUMIF(Data!A:A,'36'!$A$2,Data!DG:DG),0)</f>
        <v>177640</v>
      </c>
      <c r="E48" s="18">
        <f>IF(F3="1",SUMIF(Data!$A:$A,'36'!$A$2,Data!JA:JA),0)</f>
        <v>65292</v>
      </c>
      <c r="F48" s="22">
        <f t="shared" si="3"/>
        <v>0.36755235307363204</v>
      </c>
    </row>
    <row r="49" spans="1:6" ht="14.25" customHeight="1" x14ac:dyDescent="0.2">
      <c r="A49" s="20">
        <v>14</v>
      </c>
      <c r="B49" s="179" t="s">
        <v>804</v>
      </c>
      <c r="C49" s="180"/>
      <c r="D49" s="15">
        <f>IF(F3="1",SUMIF(Data!A:A,'36'!$A$2,Data!DH:DH),0)</f>
        <v>404336</v>
      </c>
      <c r="E49" s="18">
        <f>IF(F3="1",SUMIF(Data!$A:$A,'36'!$A$2,Data!JB:JB),0)</f>
        <v>584054</v>
      </c>
      <c r="F49" s="22">
        <f t="shared" si="3"/>
        <v>1.4444768707213802</v>
      </c>
    </row>
    <row r="50" spans="1:6" x14ac:dyDescent="0.2">
      <c r="A50" s="20">
        <v>15</v>
      </c>
      <c r="B50" s="179" t="s">
        <v>13</v>
      </c>
      <c r="C50" s="180"/>
      <c r="D50" s="15">
        <f>IF(F3="1",SUMIF(Data!A:A,'36'!$A$2,Data!DI:DI),0)</f>
        <v>0</v>
      </c>
      <c r="E50" s="18">
        <f>IF(F3="1",SUMIF(Data!$A:$A,'36'!$A$2,Data!JC:JC),0)</f>
        <v>0</v>
      </c>
      <c r="F50" s="22" t="str">
        <f t="shared" si="3"/>
        <v/>
      </c>
    </row>
    <row r="51" spans="1:6" x14ac:dyDescent="0.2">
      <c r="A51" s="20">
        <v>16</v>
      </c>
      <c r="B51" s="179" t="s">
        <v>14</v>
      </c>
      <c r="C51" s="180"/>
      <c r="D51" s="15">
        <f>IF(F3="1",SUMIF(Data!A:A,'36'!$A$2,Data!DJ:DJ),0)</f>
        <v>735638</v>
      </c>
      <c r="E51" s="18">
        <f>IF(F3="1",SUMIF(Data!$A:$A,'36'!$A$2,Data!JD:JD),0)</f>
        <v>868933</v>
      </c>
      <c r="F51" s="22">
        <f t="shared" si="3"/>
        <v>1.1811964580405037</v>
      </c>
    </row>
    <row r="52" spans="1:6" x14ac:dyDescent="0.2">
      <c r="A52" s="20">
        <v>17</v>
      </c>
      <c r="B52" s="179" t="s">
        <v>15</v>
      </c>
      <c r="C52" s="180"/>
      <c r="D52" s="15">
        <f>IF(F3="1",SUMIF(Data!A:A,'36'!$A$2,Data!DK:DK),0)</f>
        <v>62848</v>
      </c>
      <c r="E52" s="18">
        <f>IF(F3="1",SUMIF(Data!$A:$A,'36'!$A$2,Data!JE:JE),0)</f>
        <v>67902</v>
      </c>
      <c r="F52" s="22">
        <f t="shared" si="3"/>
        <v>1.0804162423625254</v>
      </c>
    </row>
    <row r="53" spans="1:6" x14ac:dyDescent="0.2">
      <c r="A53" s="20">
        <v>18</v>
      </c>
      <c r="B53" s="179" t="s">
        <v>16</v>
      </c>
      <c r="C53" s="180"/>
      <c r="D53" s="15">
        <f>IF(F3="1",SUMIF(Data!A:A,'36'!$A$2,Data!DL:DL),0)</f>
        <v>268064</v>
      </c>
      <c r="E53" s="18">
        <f>IF(F3="1",SUMIF(Data!$A:$A,'36'!$A$2,Data!JF:JF),0)</f>
        <v>340907</v>
      </c>
      <c r="F53" s="22">
        <f t="shared" si="3"/>
        <v>1.2717373463053598</v>
      </c>
    </row>
    <row r="54" spans="1:6" x14ac:dyDescent="0.2">
      <c r="A54" s="20">
        <v>19</v>
      </c>
      <c r="B54" s="179" t="s">
        <v>17</v>
      </c>
      <c r="C54" s="180"/>
      <c r="D54" s="15">
        <f>IF(F3="1",SUMIF(Data!A:A,'36'!$A$2,Data!DM:DM),0)</f>
        <v>801936</v>
      </c>
      <c r="E54" s="18">
        <f>IF(F3="1",SUMIF(Data!$A:$A,'36'!$A$2,Data!JG:JG),0)</f>
        <v>625307</v>
      </c>
      <c r="F54" s="22">
        <f t="shared" si="3"/>
        <v>0.77974676283394184</v>
      </c>
    </row>
    <row r="55" spans="1:6" x14ac:dyDescent="0.2">
      <c r="A55" s="20">
        <v>20</v>
      </c>
      <c r="B55" s="179" t="s">
        <v>18</v>
      </c>
      <c r="C55" s="180"/>
      <c r="D55" s="15">
        <f>IF(F3="1",SUMIF(Data!A:A,'36'!$A$2,Data!DN:DN),0)</f>
        <v>300568</v>
      </c>
      <c r="E55" s="18">
        <f>IF(F3="1",SUMIF(Data!$A:$A,'36'!$A$2,Data!JH:JH),0)</f>
        <v>507723</v>
      </c>
      <c r="F55" s="22">
        <f t="shared" si="3"/>
        <v>1.6892117590694951</v>
      </c>
    </row>
    <row r="56" spans="1:6" ht="14.25" customHeight="1" x14ac:dyDescent="0.2">
      <c r="A56" s="20">
        <v>21</v>
      </c>
      <c r="B56" s="179" t="s">
        <v>801</v>
      </c>
      <c r="C56" s="180"/>
      <c r="D56" s="15">
        <f>IF(F3="1",SUMIF(Data!A:A,'36'!$A$2,Data!DO:DO),0)</f>
        <v>78209</v>
      </c>
      <c r="E56" s="18">
        <f>IF(F3="1",SUMIF(Data!$A:$A,'36'!$A$2,Data!JI:JI),0)</f>
        <v>254327</v>
      </c>
      <c r="F56" s="22">
        <f t="shared" si="3"/>
        <v>3.251889168765743</v>
      </c>
    </row>
    <row r="57" spans="1:6" x14ac:dyDescent="0.2">
      <c r="A57" s="20">
        <v>22</v>
      </c>
      <c r="B57" s="179" t="s">
        <v>19</v>
      </c>
      <c r="C57" s="180"/>
      <c r="D57" s="15">
        <f>IF(F3="1",SUMIF(Data!A:A,'36'!$A$2,Data!DP:DP),0)</f>
        <v>18424</v>
      </c>
      <c r="E57" s="18">
        <f>IF(F3="1",SUMIF(Data!$A:$A,'36'!$A$2,Data!JJ:JJ),0)</f>
        <v>8567</v>
      </c>
      <c r="F57" s="22">
        <f t="shared" si="3"/>
        <v>0.46499131567520624</v>
      </c>
    </row>
    <row r="58" spans="1:6" x14ac:dyDescent="0.2">
      <c r="A58" s="20">
        <v>23</v>
      </c>
      <c r="B58" s="179" t="s">
        <v>20</v>
      </c>
      <c r="C58" s="180"/>
      <c r="D58" s="15">
        <f>IF(F3="1",SUMIF(Data!A:A,'36'!$A$2,Data!DQ:DQ),0)</f>
        <v>585360</v>
      </c>
      <c r="E58" s="18">
        <f>IF(F3="1",SUMIF(Data!$A:$A,'36'!$A$2,Data!JK:JK),0)</f>
        <v>397540</v>
      </c>
      <c r="F58" s="22">
        <f t="shared" si="3"/>
        <v>0.67913762470958039</v>
      </c>
    </row>
    <row r="59" spans="1:6" x14ac:dyDescent="0.2">
      <c r="A59" s="20">
        <v>24</v>
      </c>
      <c r="B59" s="179" t="s">
        <v>21</v>
      </c>
      <c r="C59" s="180"/>
      <c r="D59" s="15">
        <f>IF(F3="1",SUMIF(Data!A:A,'36'!$A$2,Data!DR:DR),0)</f>
        <v>178576</v>
      </c>
      <c r="E59" s="18">
        <f>IF(F3="1",SUMIF(Data!$A:$A,'36'!$A$2,Data!JL:JL),0)</f>
        <v>169154</v>
      </c>
      <c r="F59" s="22">
        <f t="shared" si="3"/>
        <v>0.94723815070334194</v>
      </c>
    </row>
    <row r="60" spans="1:6" x14ac:dyDescent="0.2">
      <c r="A60" s="20">
        <v>25</v>
      </c>
      <c r="B60" s="179" t="s">
        <v>22</v>
      </c>
      <c r="C60" s="180"/>
      <c r="D60" s="15">
        <f>IF(F3="1",SUMIF(Data!A:A,'36'!$A$2,Data!DS:DS),0)</f>
        <v>2057040</v>
      </c>
      <c r="E60" s="18">
        <f>IF(F3="1",SUMIF(Data!$A:$A,'36'!$A$2,Data!JM:JM),0)</f>
        <v>900541</v>
      </c>
      <c r="F60" s="22">
        <f t="shared" si="3"/>
        <v>0.43778487535487887</v>
      </c>
    </row>
    <row r="61" spans="1:6" x14ac:dyDescent="0.2">
      <c r="A61" s="20">
        <v>26</v>
      </c>
      <c r="B61" s="179" t="s">
        <v>23</v>
      </c>
      <c r="C61" s="180"/>
      <c r="D61" s="15">
        <f>IF(F3="1",SUMIF(Data!A:A,'36'!$A$2,Data!DT:DT),0)</f>
        <v>683568</v>
      </c>
      <c r="E61" s="18">
        <f>IF(F3="1",SUMIF(Data!$A:$A,'36'!$A$2,Data!JN:JN),0)</f>
        <v>782233</v>
      </c>
      <c r="F61" s="22">
        <f t="shared" si="3"/>
        <v>1.1443382370151909</v>
      </c>
    </row>
    <row r="62" spans="1:6" x14ac:dyDescent="0.2">
      <c r="A62" s="20">
        <v>28</v>
      </c>
      <c r="B62" s="179" t="s">
        <v>24</v>
      </c>
      <c r="C62" s="180"/>
      <c r="D62" s="15">
        <f>IF(F3="1",SUMIF(Data!A:A,'36'!$A$2,Data!DV:DV),0)</f>
        <v>733744</v>
      </c>
      <c r="E62" s="18">
        <f>IF(F3="1",SUMIF(Data!$A:$A,'36'!$A$2,Data!JP:JP),0)</f>
        <v>286898</v>
      </c>
      <c r="F62" s="22">
        <f t="shared" si="3"/>
        <v>0.39100558232844151</v>
      </c>
    </row>
    <row r="63" spans="1:6" ht="15.75" customHeight="1" thickBot="1" x14ac:dyDescent="0.25">
      <c r="A63" s="23">
        <v>29</v>
      </c>
      <c r="B63" s="181" t="s">
        <v>25</v>
      </c>
      <c r="C63" s="182"/>
      <c r="D63" s="24">
        <f>IF(F3="1",SUMIF(Data!A:A,'36'!$A$2,Data!DW:DW),0)</f>
        <v>555904</v>
      </c>
      <c r="E63" s="25">
        <f>IF(F3="1",SUMIF(Data!$A:$A,'36'!$A$2,Data!JQ:JQ),0)</f>
        <v>227333</v>
      </c>
      <c r="F63" s="26">
        <f t="shared" si="3"/>
        <v>0.40894291100621688</v>
      </c>
    </row>
    <row r="64" spans="1:6" x14ac:dyDescent="0.2">
      <c r="B64" s="31" t="s">
        <v>35</v>
      </c>
      <c r="C64" s="31"/>
      <c r="D64" s="61">
        <f>SUM(D36:D63)</f>
        <v>13558547</v>
      </c>
      <c r="E64" s="32">
        <f>SUM(E36:E63)</f>
        <v>12004421</v>
      </c>
      <c r="F64" s="33">
        <f t="shared" si="3"/>
        <v>0.88537665577292313</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16416</v>
      </c>
      <c r="E67" s="16">
        <f>IF(F3="1",SUMIF(Data!A:A,'36'!$A$2,Data!DY:DY),0)</f>
        <v>0</v>
      </c>
      <c r="F67" s="21">
        <f>IFERROR(E67/D67,"")</f>
        <v>0</v>
      </c>
    </row>
    <row r="68" spans="1:6" x14ac:dyDescent="0.2">
      <c r="A68" s="20">
        <v>2</v>
      </c>
      <c r="B68" s="179" t="s">
        <v>1</v>
      </c>
      <c r="C68" s="180"/>
      <c r="D68" s="15">
        <f t="shared" ref="D68:D94" si="4">D37</f>
        <v>237652</v>
      </c>
      <c r="E68" s="18">
        <f>IF(F3="1",SUMIF(Data!A:A,'36'!$A$2,Data!DZ:DZ),0)</f>
        <v>654339</v>
      </c>
      <c r="F68" s="22">
        <f t="shared" ref="F68:F95" si="5">IFERROR(E68/D68,"")</f>
        <v>2.7533494353087709</v>
      </c>
    </row>
    <row r="69" spans="1:6" ht="14.25" customHeight="1" x14ac:dyDescent="0.2">
      <c r="A69" s="20">
        <v>3</v>
      </c>
      <c r="B69" s="179" t="s">
        <v>2</v>
      </c>
      <c r="C69" s="180"/>
      <c r="D69" s="15">
        <f t="shared" si="4"/>
        <v>1847048</v>
      </c>
      <c r="E69" s="18">
        <f>IF(F3="1",SUMIF(Data!A:A,'36'!$A$2,Data!EA:EA),0)</f>
        <v>4274025</v>
      </c>
      <c r="F69" s="22">
        <f t="shared" si="5"/>
        <v>2.3139761392232363</v>
      </c>
    </row>
    <row r="70" spans="1:6" ht="14.25" customHeight="1" x14ac:dyDescent="0.2">
      <c r="A70" s="20">
        <v>4</v>
      </c>
      <c r="B70" s="179" t="s">
        <v>3</v>
      </c>
      <c r="C70" s="180"/>
      <c r="D70" s="15">
        <f t="shared" si="4"/>
        <v>766004</v>
      </c>
      <c r="E70" s="18">
        <f>IF(F3="1",SUMIF(Data!A:A,'36'!$A$2,Data!EB:EB),0)</f>
        <v>2044924</v>
      </c>
      <c r="F70" s="22">
        <f t="shared" si="5"/>
        <v>2.6695996365554229</v>
      </c>
    </row>
    <row r="71" spans="1:6" x14ac:dyDescent="0.2">
      <c r="A71" s="20">
        <v>5</v>
      </c>
      <c r="B71" s="179" t="s">
        <v>4</v>
      </c>
      <c r="C71" s="180"/>
      <c r="D71" s="15">
        <f t="shared" si="4"/>
        <v>36576</v>
      </c>
      <c r="E71" s="18">
        <f>IF(F3="1",SUMIF(Data!A:A,'36'!$A$2,Data!EC:EC),0)</f>
        <v>210951</v>
      </c>
      <c r="F71" s="22">
        <f t="shared" si="5"/>
        <v>5.7674704724409445</v>
      </c>
    </row>
    <row r="72" spans="1:6" x14ac:dyDescent="0.2">
      <c r="A72" s="20">
        <v>6</v>
      </c>
      <c r="B72" s="179" t="s">
        <v>5</v>
      </c>
      <c r="C72" s="180"/>
      <c r="D72" s="15">
        <f t="shared" si="4"/>
        <v>76388</v>
      </c>
      <c r="E72" s="18">
        <f>IF(F3="1",SUMIF(Data!A:A,'36'!$A$2,Data!ED:ED),0)</f>
        <v>203788</v>
      </c>
      <c r="F72" s="22">
        <f t="shared" si="5"/>
        <v>2.6678012253233492</v>
      </c>
    </row>
    <row r="73" spans="1:6" x14ac:dyDescent="0.2">
      <c r="A73" s="20">
        <v>7</v>
      </c>
      <c r="B73" s="179" t="s">
        <v>6</v>
      </c>
      <c r="C73" s="180"/>
      <c r="D73" s="15">
        <f t="shared" si="4"/>
        <v>262025</v>
      </c>
      <c r="E73" s="18">
        <f>IF(F3="1",SUMIF(Data!A:A,'36'!$A$2,Data!EE:EE),0)</f>
        <v>1225097</v>
      </c>
      <c r="F73" s="22">
        <f t="shared" si="5"/>
        <v>4.6754966129186144</v>
      </c>
    </row>
    <row r="74" spans="1:6" x14ac:dyDescent="0.2">
      <c r="A74" s="20">
        <v>8</v>
      </c>
      <c r="B74" s="179" t="s">
        <v>7</v>
      </c>
      <c r="C74" s="180"/>
      <c r="D74" s="15">
        <f t="shared" si="4"/>
        <v>76013</v>
      </c>
      <c r="E74" s="18">
        <f>IF(F3="1",SUMIF(Data!A:A,'36'!$A$2,Data!EF:EF),0)</f>
        <v>3496</v>
      </c>
      <c r="F74" s="22">
        <f t="shared" si="5"/>
        <v>4.5992132924631314E-2</v>
      </c>
    </row>
    <row r="75" spans="1:6" x14ac:dyDescent="0.2">
      <c r="A75" s="20">
        <v>9</v>
      </c>
      <c r="B75" s="179" t="s">
        <v>8</v>
      </c>
      <c r="C75" s="180"/>
      <c r="D75" s="15">
        <f t="shared" si="4"/>
        <v>894574</v>
      </c>
      <c r="E75" s="18">
        <f>IF(F3="1",SUMIF(Data!A:A,'36'!$A$2,Data!EG:EG),0)</f>
        <v>2759488</v>
      </c>
      <c r="F75" s="22">
        <f t="shared" si="5"/>
        <v>3.0846950615600273</v>
      </c>
    </row>
    <row r="76" spans="1:6" x14ac:dyDescent="0.2">
      <c r="A76" s="20">
        <v>10</v>
      </c>
      <c r="B76" s="179" t="s">
        <v>9</v>
      </c>
      <c r="C76" s="180"/>
      <c r="D76" s="15">
        <f t="shared" si="4"/>
        <v>0</v>
      </c>
      <c r="E76" s="18">
        <f>IF(F3="1",SUMIF(Data!A:A,'36'!$A$2,Data!EH:EH),0)</f>
        <v>638275</v>
      </c>
      <c r="F76" s="22" t="str">
        <f t="shared" si="5"/>
        <v/>
      </c>
    </row>
    <row r="77" spans="1:6" x14ac:dyDescent="0.2">
      <c r="A77" s="20">
        <v>11</v>
      </c>
      <c r="B77" s="179" t="s">
        <v>10</v>
      </c>
      <c r="C77" s="180"/>
      <c r="D77" s="15">
        <f t="shared" si="4"/>
        <v>335756</v>
      </c>
      <c r="E77" s="18">
        <f>IF(F3="1",SUMIF(Data!A:A,'36'!$A$2,Data!EI:EI),0)</f>
        <v>898777</v>
      </c>
      <c r="F77" s="22">
        <f t="shared" si="5"/>
        <v>2.6768754690906493</v>
      </c>
    </row>
    <row r="78" spans="1:6" ht="14.25" customHeight="1" x14ac:dyDescent="0.2">
      <c r="A78" s="20">
        <v>12</v>
      </c>
      <c r="B78" s="179" t="s">
        <v>11</v>
      </c>
      <c r="C78" s="180"/>
      <c r="D78" s="15">
        <f t="shared" si="4"/>
        <v>1368240</v>
      </c>
      <c r="E78" s="18">
        <f>IF(F3="1",SUMIF(Data!A:A,'36'!$A$2,Data!EJ:EJ),0)</f>
        <v>4309951</v>
      </c>
      <c r="F78" s="22">
        <f t="shared" si="5"/>
        <v>3.1499963456703504</v>
      </c>
    </row>
    <row r="79" spans="1:6" x14ac:dyDescent="0.2">
      <c r="A79" s="20">
        <v>13</v>
      </c>
      <c r="B79" s="179" t="s">
        <v>12</v>
      </c>
      <c r="C79" s="180"/>
      <c r="D79" s="15">
        <f t="shared" si="4"/>
        <v>177640</v>
      </c>
      <c r="E79" s="18">
        <f>IF(F3="1",SUMIF(Data!A:A,'36'!$A$2,Data!EK:EK),0)</f>
        <v>528154</v>
      </c>
      <c r="F79" s="22">
        <f t="shared" si="5"/>
        <v>2.9731704571042559</v>
      </c>
    </row>
    <row r="80" spans="1:6" ht="14.25" customHeight="1" x14ac:dyDescent="0.2">
      <c r="A80" s="20">
        <v>14</v>
      </c>
      <c r="B80" s="179" t="s">
        <v>804</v>
      </c>
      <c r="C80" s="180"/>
      <c r="D80" s="15">
        <f t="shared" si="4"/>
        <v>404336</v>
      </c>
      <c r="E80" s="18">
        <f>IF(F3="1",SUMIF(Data!A:A,'36'!$A$2,Data!EL:EL),0)</f>
        <v>2334659</v>
      </c>
      <c r="F80" s="22">
        <f t="shared" si="5"/>
        <v>5.7740567250999169</v>
      </c>
    </row>
    <row r="81" spans="1:6" x14ac:dyDescent="0.2">
      <c r="A81" s="20">
        <v>15</v>
      </c>
      <c r="B81" s="179" t="s">
        <v>13</v>
      </c>
      <c r="C81" s="180"/>
      <c r="D81" s="15">
        <f t="shared" si="4"/>
        <v>0</v>
      </c>
      <c r="E81" s="18">
        <f>IF(F3="1",SUMIF(Data!A:A,'36'!$A$2,Data!EM:EM),0)</f>
        <v>0</v>
      </c>
      <c r="F81" s="22" t="str">
        <f t="shared" si="5"/>
        <v/>
      </c>
    </row>
    <row r="82" spans="1:6" x14ac:dyDescent="0.2">
      <c r="A82" s="20">
        <v>16</v>
      </c>
      <c r="B82" s="179" t="s">
        <v>14</v>
      </c>
      <c r="C82" s="180"/>
      <c r="D82" s="15">
        <f t="shared" si="4"/>
        <v>735638</v>
      </c>
      <c r="E82" s="18">
        <f>IF(F3="1",SUMIF(Data!A:A,'36'!$A$2,Data!EN:EN),0)</f>
        <v>3885983</v>
      </c>
      <c r="F82" s="22">
        <f t="shared" si="5"/>
        <v>5.282466376125214</v>
      </c>
    </row>
    <row r="83" spans="1:6" x14ac:dyDescent="0.2">
      <c r="A83" s="20">
        <v>17</v>
      </c>
      <c r="B83" s="179" t="s">
        <v>15</v>
      </c>
      <c r="C83" s="180"/>
      <c r="D83" s="15">
        <f t="shared" si="4"/>
        <v>62848</v>
      </c>
      <c r="E83" s="18">
        <f>IF(F3="1",SUMIF(Data!A:A,'36'!$A$2,Data!EO:EO),0)</f>
        <v>360426</v>
      </c>
      <c r="F83" s="22">
        <f t="shared" si="5"/>
        <v>5.7348841649694497</v>
      </c>
    </row>
    <row r="84" spans="1:6" x14ac:dyDescent="0.2">
      <c r="A84" s="20">
        <v>18</v>
      </c>
      <c r="B84" s="179" t="s">
        <v>16</v>
      </c>
      <c r="C84" s="180"/>
      <c r="D84" s="15">
        <f t="shared" si="4"/>
        <v>268064</v>
      </c>
      <c r="E84" s="18">
        <f>IF(F3="1",SUMIF(Data!A:A,'36'!$A$2,Data!EP:EP),0)</f>
        <v>1840182</v>
      </c>
      <c r="F84" s="22">
        <f t="shared" si="5"/>
        <v>6.8647114122000712</v>
      </c>
    </row>
    <row r="85" spans="1:6" x14ac:dyDescent="0.2">
      <c r="A85" s="20">
        <v>19</v>
      </c>
      <c r="B85" s="179" t="s">
        <v>17</v>
      </c>
      <c r="C85" s="180"/>
      <c r="D85" s="15">
        <f t="shared" si="4"/>
        <v>801936</v>
      </c>
      <c r="E85" s="18">
        <f>IF(F3="1",SUMIF(Data!A:A,'36'!$A$2,Data!EQ:EQ),0)</f>
        <v>2483231</v>
      </c>
      <c r="F85" s="22">
        <f t="shared" si="5"/>
        <v>3.0965451108317872</v>
      </c>
    </row>
    <row r="86" spans="1:6" x14ac:dyDescent="0.2">
      <c r="A86" s="20">
        <v>20</v>
      </c>
      <c r="B86" s="179" t="s">
        <v>18</v>
      </c>
      <c r="C86" s="180"/>
      <c r="D86" s="15">
        <f t="shared" si="4"/>
        <v>300568</v>
      </c>
      <c r="E86" s="18">
        <f>IF(F3="1",SUMIF(Data!A:A,'36'!$A$2,Data!ER:ER),0)</f>
        <v>1524194</v>
      </c>
      <c r="F86" s="22">
        <f t="shared" si="5"/>
        <v>5.0710454872108803</v>
      </c>
    </row>
    <row r="87" spans="1:6" ht="14.25" customHeight="1" x14ac:dyDescent="0.2">
      <c r="A87" s="20">
        <v>21</v>
      </c>
      <c r="B87" s="179" t="s">
        <v>801</v>
      </c>
      <c r="C87" s="180"/>
      <c r="D87" s="15">
        <f t="shared" si="4"/>
        <v>78209</v>
      </c>
      <c r="E87" s="18">
        <f>IF(F3="1",SUMIF(Data!A:A,'36'!$A$2,Data!ES:ES),0)</f>
        <v>264931</v>
      </c>
      <c r="F87" s="22">
        <f t="shared" si="5"/>
        <v>3.3874745873237098</v>
      </c>
    </row>
    <row r="88" spans="1:6" x14ac:dyDescent="0.2">
      <c r="A88" s="20">
        <v>22</v>
      </c>
      <c r="B88" s="179" t="s">
        <v>19</v>
      </c>
      <c r="C88" s="180"/>
      <c r="D88" s="15">
        <f t="shared" si="4"/>
        <v>18424</v>
      </c>
      <c r="E88" s="18">
        <f>IF(F3="1",SUMIF(Data!A:A,'36'!$A$2,Data!ET:ET),0)</f>
        <v>34086</v>
      </c>
      <c r="F88" s="22">
        <f t="shared" si="5"/>
        <v>1.8500868432479374</v>
      </c>
    </row>
    <row r="89" spans="1:6" x14ac:dyDescent="0.2">
      <c r="A89" s="20">
        <v>23</v>
      </c>
      <c r="B89" s="179" t="s">
        <v>20</v>
      </c>
      <c r="C89" s="180"/>
      <c r="D89" s="15">
        <f t="shared" si="4"/>
        <v>585360</v>
      </c>
      <c r="E89" s="18">
        <f>IF(F3="1",SUMIF(Data!A:A,'36'!$A$2,Data!EU:EU),0)</f>
        <v>1936167</v>
      </c>
      <c r="F89" s="22">
        <f t="shared" si="5"/>
        <v>3.307651701517015</v>
      </c>
    </row>
    <row r="90" spans="1:6" x14ac:dyDescent="0.2">
      <c r="A90" s="20">
        <v>24</v>
      </c>
      <c r="B90" s="179" t="s">
        <v>21</v>
      </c>
      <c r="C90" s="180"/>
      <c r="D90" s="15">
        <f t="shared" si="4"/>
        <v>178576</v>
      </c>
      <c r="E90" s="18">
        <f>IF(F3="1",SUMIF(Data!A:A,'36'!$A$2,Data!EV:EV),0)</f>
        <v>745274</v>
      </c>
      <c r="F90" s="22">
        <f t="shared" si="5"/>
        <v>4.1734275602544573</v>
      </c>
    </row>
    <row r="91" spans="1:6" x14ac:dyDescent="0.2">
      <c r="A91" s="20">
        <v>25</v>
      </c>
      <c r="B91" s="179" t="s">
        <v>22</v>
      </c>
      <c r="C91" s="180"/>
      <c r="D91" s="15">
        <f t="shared" si="4"/>
        <v>2057040</v>
      </c>
      <c r="E91" s="18">
        <f>IF(F3="1",SUMIF(Data!A:A,'36'!$A$2,Data!EW:EW),0)</f>
        <v>6038094</v>
      </c>
      <c r="F91" s="22">
        <f t="shared" si="5"/>
        <v>2.9353313499008284</v>
      </c>
    </row>
    <row r="92" spans="1:6" x14ac:dyDescent="0.2">
      <c r="A92" s="20">
        <v>26</v>
      </c>
      <c r="B92" s="179" t="s">
        <v>23</v>
      </c>
      <c r="C92" s="180"/>
      <c r="D92" s="15">
        <f t="shared" si="4"/>
        <v>683568</v>
      </c>
      <c r="E92" s="18">
        <f>IF(F3="1",SUMIF(Data!A:A,'36'!$A$2,Data!EX:EX),0)</f>
        <v>3003121</v>
      </c>
      <c r="F92" s="22">
        <f t="shared" si="5"/>
        <v>4.3933024951431312</v>
      </c>
    </row>
    <row r="93" spans="1:6" x14ac:dyDescent="0.2">
      <c r="A93" s="20">
        <v>28</v>
      </c>
      <c r="B93" s="179" t="s">
        <v>24</v>
      </c>
      <c r="C93" s="180"/>
      <c r="D93" s="15">
        <f t="shared" si="4"/>
        <v>733744</v>
      </c>
      <c r="E93" s="18">
        <f>IF(F3="1",SUMIF(Data!A:A,'36'!$A$2,Data!EZ:EZ),0)</f>
        <v>2195360</v>
      </c>
      <c r="F93" s="22">
        <f t="shared" si="5"/>
        <v>2.9919972088357794</v>
      </c>
    </row>
    <row r="94" spans="1:6" ht="15.75" customHeight="1" thickBot="1" x14ac:dyDescent="0.25">
      <c r="A94" s="23">
        <v>29</v>
      </c>
      <c r="B94" s="181" t="s">
        <v>25</v>
      </c>
      <c r="C94" s="182"/>
      <c r="D94" s="24">
        <f t="shared" si="4"/>
        <v>555904</v>
      </c>
      <c r="E94" s="25">
        <f>IF(F3="1",SUMIF(Data!A:A,'36'!$A$2,Data!FA:FA),0)</f>
        <v>1629927</v>
      </c>
      <c r="F94" s="26">
        <f t="shared" si="5"/>
        <v>2.932029631015427</v>
      </c>
    </row>
    <row r="95" spans="1:6" x14ac:dyDescent="0.2">
      <c r="B95" s="31" t="s">
        <v>35</v>
      </c>
      <c r="C95" s="31"/>
      <c r="D95" s="61">
        <f>SUM(D67:D94)</f>
        <v>13558547</v>
      </c>
      <c r="E95" s="32">
        <f>SUM(E67:E94)</f>
        <v>46026900</v>
      </c>
      <c r="F95" s="33">
        <f t="shared" si="5"/>
        <v>3.3946779105460196</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IF(F3="1",SUMIF(Data!A:A,'36'!$A$2,Data!AH:AH),0)</f>
        <v>25882427</v>
      </c>
      <c r="F98" s="21">
        <f t="shared" ref="F98:F105" si="6">IFERROR(E98/$D$95,0)</f>
        <v>1.9089381037658386</v>
      </c>
    </row>
    <row r="99" spans="2:6" x14ac:dyDescent="0.2">
      <c r="B99" s="185" t="s">
        <v>31</v>
      </c>
      <c r="C99" s="186"/>
      <c r="D99" s="37"/>
      <c r="E99" s="18">
        <f>IF(F3="1",SUMIF(Data!A:A,'36'!$A$2,Data!AI:AI),0)</f>
        <v>9855794</v>
      </c>
      <c r="F99" s="22">
        <f t="shared" si="6"/>
        <v>0.72690635655870794</v>
      </c>
    </row>
    <row r="100" spans="2:6" x14ac:dyDescent="0.2">
      <c r="B100" s="185" t="s">
        <v>32</v>
      </c>
      <c r="C100" s="186"/>
      <c r="D100" s="37"/>
      <c r="E100" s="18">
        <f>IF(F3="1",SUMIF(Data!A:A,'36'!$A$2,Data!AJ:AJ),0)</f>
        <v>8610191</v>
      </c>
      <c r="F100" s="22">
        <f t="shared" si="6"/>
        <v>0.63503788422166474</v>
      </c>
    </row>
    <row r="101" spans="2:6" x14ac:dyDescent="0.2">
      <c r="B101" s="185" t="s">
        <v>28</v>
      </c>
      <c r="C101" s="186"/>
      <c r="D101" s="37"/>
      <c r="E101" s="18">
        <f>IF(F3="1",SUMIF(Data!A:A,'36'!$A$2,Data!AK:AK),0)</f>
        <v>0</v>
      </c>
      <c r="F101" s="22">
        <f t="shared" si="6"/>
        <v>0</v>
      </c>
    </row>
    <row r="102" spans="2:6" x14ac:dyDescent="0.2">
      <c r="B102" s="185" t="s">
        <v>33</v>
      </c>
      <c r="C102" s="186"/>
      <c r="D102" s="37"/>
      <c r="E102" s="18">
        <f>IF(F3="1",SUMIF(Data!A:A,'36'!$A$2,Data!AL:AL),0)</f>
        <v>0</v>
      </c>
      <c r="F102" s="22">
        <f t="shared" si="6"/>
        <v>0</v>
      </c>
    </row>
    <row r="103" spans="2:6" x14ac:dyDescent="0.2">
      <c r="B103" s="187" t="s">
        <v>34</v>
      </c>
      <c r="C103" s="188"/>
      <c r="D103" s="37"/>
      <c r="E103" s="18">
        <f>IF(F3="1",SUMIF(Data!A:A,'36'!$A$2,Data!AM:AM),0)</f>
        <v>0</v>
      </c>
      <c r="F103" s="22">
        <f t="shared" si="6"/>
        <v>0</v>
      </c>
    </row>
    <row r="104" spans="2:6" ht="15.75" customHeight="1" thickBot="1" x14ac:dyDescent="0.25">
      <c r="B104" s="177" t="s">
        <v>29</v>
      </c>
      <c r="C104" s="178"/>
      <c r="D104" s="38"/>
      <c r="E104" s="25">
        <f>IF(F3="1",SUMIF(Data!A:A,'36'!$A$2,Data!Q:Q),0)</f>
        <v>4357144</v>
      </c>
      <c r="F104" s="26">
        <f t="shared" si="6"/>
        <v>0.32135773840663012</v>
      </c>
    </row>
    <row r="105" spans="2:6" x14ac:dyDescent="0.2">
      <c r="B105" s="31" t="s">
        <v>35</v>
      </c>
      <c r="C105" s="31"/>
      <c r="D105" s="35">
        <f>D95</f>
        <v>13558547</v>
      </c>
      <c r="E105" s="32">
        <f>SUM(E98:E104)</f>
        <v>48705556</v>
      </c>
      <c r="F105" s="33">
        <f t="shared" si="6"/>
        <v>3.5922400829528414</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49045377</v>
      </c>
      <c r="D109" s="16">
        <f>IF(F3="1",SUMIF(Data!$A:$A,$A$2,Data!HJ:HJ),0)</f>
        <v>5371148</v>
      </c>
      <c r="E109" s="16">
        <f>IF(F3="1",SUMIF(Data!$A:$A,$A$2,Data!IN:IN),0)</f>
        <v>3614794</v>
      </c>
      <c r="F109" s="48">
        <f>SUM(C109:E109)</f>
        <v>58031319</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2081862</v>
      </c>
      <c r="D111" s="52"/>
      <c r="E111" s="51">
        <f>IF(F3="1",SUMIF(Data!A:A,$A$2,Data!AX:AX),0)</f>
        <v>1922175</v>
      </c>
      <c r="F111" s="49">
        <f t="shared" si="7"/>
        <v>4004037</v>
      </c>
    </row>
    <row r="112" spans="2:6" x14ac:dyDescent="0.2">
      <c r="B112" s="43" t="s">
        <v>32</v>
      </c>
      <c r="C112" s="51">
        <f>IF(F3="1",SUMIF(Data!A:A,$A$2,Data!V:V),0)</f>
        <v>6872001</v>
      </c>
      <c r="D112" s="52"/>
      <c r="E112" s="51">
        <f>IF(F3="1",SUMIF(Data!A:A,$A$2,Data!AC:AC),0)</f>
        <v>1738190</v>
      </c>
      <c r="F112" s="49">
        <f t="shared" si="7"/>
        <v>8610191</v>
      </c>
    </row>
    <row r="113" spans="1:6" x14ac:dyDescent="0.2">
      <c r="B113" s="43" t="s">
        <v>31</v>
      </c>
      <c r="C113" s="51">
        <f>IF(F3="1",SUMIF(Data!A:A,$A$2,Data!U:U),0)</f>
        <v>8491678</v>
      </c>
      <c r="D113" s="52"/>
      <c r="E113" s="51">
        <f>IF(F3="1",SUMIF(Data!A:A,$A$2,Data!AB:AB),0)</f>
        <v>1364116</v>
      </c>
      <c r="F113" s="49">
        <f t="shared" si="7"/>
        <v>9855794</v>
      </c>
    </row>
    <row r="114" spans="1:6" x14ac:dyDescent="0.2">
      <c r="B114" s="43" t="s">
        <v>1363</v>
      </c>
      <c r="C114" s="51">
        <f>IF(F3="1",SUMIF(Data!A:A,$A$2,Data!T:T),0)</f>
        <v>13643904</v>
      </c>
      <c r="D114" s="52"/>
      <c r="E114" s="51">
        <f>IF(F3="1",SUMIF(Data!A:A,$A$2,Data!AA:AA),0)</f>
        <v>12238523</v>
      </c>
      <c r="F114" s="49">
        <f t="shared" si="7"/>
        <v>25882427</v>
      </c>
    </row>
    <row r="115" spans="1:6" x14ac:dyDescent="0.2">
      <c r="B115" s="43" t="s">
        <v>1278</v>
      </c>
      <c r="C115" s="51">
        <f>IF(F3="1",SUMIF(Data!A:A,$A$2,Data!BI:BI),0)</f>
        <v>3180139</v>
      </c>
      <c r="D115" s="51">
        <f>IF(F3="1",SUMIF(Data!A:A,$A$2,Data!BL:BL),0)</f>
        <v>1728039</v>
      </c>
      <c r="E115" s="51">
        <f>IF(F3="1",SUMIF(Data!A:A,$A$2,Data!BU:BU),0)</f>
        <v>10578587</v>
      </c>
      <c r="F115" s="49">
        <f t="shared" si="7"/>
        <v>15486765</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4357144</v>
      </c>
      <c r="E117" s="53"/>
      <c r="F117" s="50">
        <f>SUM(C117:E117)</f>
        <v>4357144</v>
      </c>
    </row>
    <row r="118" spans="1:6" x14ac:dyDescent="0.2">
      <c r="B118" s="14" t="s">
        <v>35</v>
      </c>
      <c r="C118" s="5">
        <f>SUM(C109:C116)</f>
        <v>83314961</v>
      </c>
      <c r="D118" s="5">
        <f>SUM(D109:D116)</f>
        <v>7099187</v>
      </c>
      <c r="E118" s="5">
        <f>SUM(E109:E116)</f>
        <v>31456385</v>
      </c>
      <c r="F118" s="5">
        <f>SUM(F109:F116)</f>
        <v>121870533</v>
      </c>
    </row>
    <row r="119" spans="1:6" ht="15" thickBot="1" x14ac:dyDescent="0.25"/>
    <row r="120" spans="1:6" ht="15" thickBot="1" x14ac:dyDescent="0.25">
      <c r="B120" s="57" t="s">
        <v>1283</v>
      </c>
      <c r="C120" s="55"/>
      <c r="D120" s="55"/>
      <c r="E120" s="55">
        <f>IF(F3="1",SUMIF(Data!A:A,'36'!$A$2,Data!AM:AM),0)</f>
        <v>0</v>
      </c>
      <c r="F120" s="56">
        <f>SUM(C120:E120)</f>
        <v>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540</v>
      </c>
      <c r="B2" s="60" t="str">
        <f>VLOOKUP(A2,Data!A:G,7,0)</f>
        <v>South Plains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33980</v>
      </c>
      <c r="E5" s="16">
        <f>E36+E67+IFERROR($E$105/$D$105*D5,0)</f>
        <v>380141.71810047398</v>
      </c>
      <c r="F5" s="21">
        <f>IFERROR(E5/D5,"")</f>
        <v>11.187219485005119</v>
      </c>
    </row>
    <row r="6" spans="1:6" x14ac:dyDescent="0.2">
      <c r="A6" s="20">
        <v>2</v>
      </c>
      <c r="B6" s="179" t="s">
        <v>1</v>
      </c>
      <c r="C6" s="180"/>
      <c r="D6" s="15">
        <f t="shared" ref="D6:D32" si="0">D37</f>
        <v>71776</v>
      </c>
      <c r="E6" s="18">
        <f t="shared" ref="E6:E32" si="1">E37+E68+IFERROR($E$105/$D$105*D6,0)</f>
        <v>593795.71107650432</v>
      </c>
      <c r="F6" s="22">
        <f t="shared" ref="F6:F33" si="2">IFERROR(E6/D6,"")</f>
        <v>8.2729005667145614</v>
      </c>
    </row>
    <row r="7" spans="1:6" ht="14.25" customHeight="1" x14ac:dyDescent="0.2">
      <c r="A7" s="20">
        <v>3</v>
      </c>
      <c r="B7" s="179" t="s">
        <v>2</v>
      </c>
      <c r="C7" s="180"/>
      <c r="D7" s="15">
        <f t="shared" si="0"/>
        <v>527136</v>
      </c>
      <c r="E7" s="18">
        <f t="shared" si="1"/>
        <v>3115271.084067435</v>
      </c>
      <c r="F7" s="22">
        <f t="shared" si="2"/>
        <v>5.9098052192744088</v>
      </c>
    </row>
    <row r="8" spans="1:6" ht="14.25" customHeight="1" x14ac:dyDescent="0.2">
      <c r="A8" s="20">
        <v>4</v>
      </c>
      <c r="B8" s="179" t="s">
        <v>3</v>
      </c>
      <c r="C8" s="180"/>
      <c r="D8" s="15">
        <f t="shared" si="0"/>
        <v>182804</v>
      </c>
      <c r="E8" s="18">
        <f t="shared" si="1"/>
        <v>1539511.4382471759</v>
      </c>
      <c r="F8" s="22">
        <f t="shared" si="2"/>
        <v>8.4216507201547888</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135988</v>
      </c>
      <c r="E10" s="18">
        <f t="shared" si="1"/>
        <v>1118085.6949101605</v>
      </c>
      <c r="F10" s="22">
        <f t="shared" si="2"/>
        <v>8.2219438105579936</v>
      </c>
    </row>
    <row r="11" spans="1:6" x14ac:dyDescent="0.2">
      <c r="A11" s="20">
        <v>7</v>
      </c>
      <c r="B11" s="179" t="s">
        <v>6</v>
      </c>
      <c r="C11" s="180"/>
      <c r="D11" s="15">
        <f t="shared" si="0"/>
        <v>217629</v>
      </c>
      <c r="E11" s="18">
        <f t="shared" si="1"/>
        <v>1439290.3036929972</v>
      </c>
      <c r="F11" s="22">
        <f t="shared" si="2"/>
        <v>6.6135041915047958</v>
      </c>
    </row>
    <row r="12" spans="1:6" x14ac:dyDescent="0.2">
      <c r="A12" s="20">
        <v>8</v>
      </c>
      <c r="B12" s="179" t="s">
        <v>7</v>
      </c>
      <c r="C12" s="180"/>
      <c r="D12" s="15">
        <f t="shared" si="0"/>
        <v>21968</v>
      </c>
      <c r="E12" s="18">
        <f t="shared" si="1"/>
        <v>118016.77737584496</v>
      </c>
      <c r="F12" s="22">
        <f t="shared" si="2"/>
        <v>5.3722130997744433</v>
      </c>
    </row>
    <row r="13" spans="1:6" x14ac:dyDescent="0.2">
      <c r="A13" s="20">
        <v>9</v>
      </c>
      <c r="B13" s="179" t="s">
        <v>8</v>
      </c>
      <c r="C13" s="180"/>
      <c r="D13" s="15">
        <f t="shared" si="0"/>
        <v>171808</v>
      </c>
      <c r="E13" s="18">
        <f t="shared" si="1"/>
        <v>946351.72794014798</v>
      </c>
      <c r="F13" s="22">
        <f t="shared" si="2"/>
        <v>5.5081936111249066</v>
      </c>
    </row>
    <row r="14" spans="1:6" x14ac:dyDescent="0.2">
      <c r="A14" s="20">
        <v>10</v>
      </c>
      <c r="B14" s="179" t="s">
        <v>9</v>
      </c>
      <c r="C14" s="180"/>
      <c r="D14" s="15">
        <f t="shared" si="0"/>
        <v>6656</v>
      </c>
      <c r="E14" s="18">
        <f t="shared" si="1"/>
        <v>197569.39139719703</v>
      </c>
      <c r="F14" s="22">
        <f t="shared" si="2"/>
        <v>29.682901351742341</v>
      </c>
    </row>
    <row r="15" spans="1:6" x14ac:dyDescent="0.2">
      <c r="A15" s="20">
        <v>11</v>
      </c>
      <c r="B15" s="179" t="s">
        <v>10</v>
      </c>
      <c r="C15" s="180"/>
      <c r="D15" s="15">
        <f t="shared" si="0"/>
        <v>65040</v>
      </c>
      <c r="E15" s="18">
        <f t="shared" si="1"/>
        <v>469032.17555193719</v>
      </c>
      <c r="F15" s="22">
        <f t="shared" si="2"/>
        <v>7.21144181352917</v>
      </c>
    </row>
    <row r="16" spans="1:6" ht="14.25" customHeight="1" x14ac:dyDescent="0.2">
      <c r="A16" s="20">
        <v>12</v>
      </c>
      <c r="B16" s="179" t="s">
        <v>11</v>
      </c>
      <c r="C16" s="180"/>
      <c r="D16" s="15">
        <f t="shared" si="0"/>
        <v>369506</v>
      </c>
      <c r="E16" s="18">
        <f t="shared" si="1"/>
        <v>1438951.3491004629</v>
      </c>
      <c r="F16" s="22">
        <f t="shared" si="2"/>
        <v>3.8942570596971708</v>
      </c>
    </row>
    <row r="17" spans="1:6" x14ac:dyDescent="0.2">
      <c r="A17" s="20">
        <v>13</v>
      </c>
      <c r="B17" s="179" t="s">
        <v>12</v>
      </c>
      <c r="C17" s="180"/>
      <c r="D17" s="15">
        <f t="shared" si="0"/>
        <v>152784</v>
      </c>
      <c r="E17" s="18">
        <f t="shared" si="1"/>
        <v>1483384.8544515248</v>
      </c>
      <c r="F17" s="22">
        <f t="shared" si="2"/>
        <v>9.7090327158048275</v>
      </c>
    </row>
    <row r="18" spans="1:6" ht="14.25" customHeight="1" x14ac:dyDescent="0.2">
      <c r="A18" s="20">
        <v>14</v>
      </c>
      <c r="B18" s="179" t="s">
        <v>804</v>
      </c>
      <c r="C18" s="180"/>
      <c r="D18" s="15">
        <f t="shared" si="0"/>
        <v>114812</v>
      </c>
      <c r="E18" s="18">
        <f t="shared" si="1"/>
        <v>783819.14439528005</v>
      </c>
      <c r="F18" s="22">
        <f t="shared" si="2"/>
        <v>6.8269792739023796</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187185</v>
      </c>
      <c r="E20" s="18">
        <f t="shared" si="1"/>
        <v>1065263.3560222841</v>
      </c>
      <c r="F20" s="22">
        <f t="shared" si="2"/>
        <v>5.6909653873028505</v>
      </c>
    </row>
    <row r="21" spans="1:6" x14ac:dyDescent="0.2">
      <c r="A21" s="20">
        <v>17</v>
      </c>
      <c r="B21" s="179" t="s">
        <v>15</v>
      </c>
      <c r="C21" s="180"/>
      <c r="D21" s="15">
        <f t="shared" si="0"/>
        <v>25888</v>
      </c>
      <c r="E21" s="18">
        <f t="shared" si="1"/>
        <v>208107.83961698262</v>
      </c>
      <c r="F21" s="22">
        <f t="shared" si="2"/>
        <v>8.0387762522011208</v>
      </c>
    </row>
    <row r="22" spans="1:6" x14ac:dyDescent="0.2">
      <c r="A22" s="20">
        <v>18</v>
      </c>
      <c r="B22" s="179" t="s">
        <v>16</v>
      </c>
      <c r="C22" s="180"/>
      <c r="D22" s="15">
        <f t="shared" si="0"/>
        <v>198640</v>
      </c>
      <c r="E22" s="18">
        <f t="shared" si="1"/>
        <v>1266980.8682600986</v>
      </c>
      <c r="F22" s="22">
        <f t="shared" si="2"/>
        <v>6.3782766223323533</v>
      </c>
    </row>
    <row r="23" spans="1:6" x14ac:dyDescent="0.2">
      <c r="A23" s="20">
        <v>19</v>
      </c>
      <c r="B23" s="179" t="s">
        <v>17</v>
      </c>
      <c r="C23" s="180"/>
      <c r="D23" s="15">
        <f t="shared" si="0"/>
        <v>307228</v>
      </c>
      <c r="E23" s="18">
        <f t="shared" si="1"/>
        <v>1644028.1995459804</v>
      </c>
      <c r="F23" s="22">
        <f t="shared" si="2"/>
        <v>5.3511665588617587</v>
      </c>
    </row>
    <row r="24" spans="1:6" x14ac:dyDescent="0.2">
      <c r="A24" s="20">
        <v>20</v>
      </c>
      <c r="B24" s="179" t="s">
        <v>18</v>
      </c>
      <c r="C24" s="180"/>
      <c r="D24" s="15">
        <f t="shared" si="0"/>
        <v>88112</v>
      </c>
      <c r="E24" s="18">
        <f t="shared" si="1"/>
        <v>583404.5418854903</v>
      </c>
      <c r="F24" s="22">
        <f t="shared" si="2"/>
        <v>6.621170123087551</v>
      </c>
    </row>
    <row r="25" spans="1:6" ht="14.25" customHeight="1" x14ac:dyDescent="0.2">
      <c r="A25" s="20">
        <v>21</v>
      </c>
      <c r="B25" s="179" t="s">
        <v>801</v>
      </c>
      <c r="C25" s="180"/>
      <c r="D25" s="15">
        <f t="shared" si="0"/>
        <v>56272</v>
      </c>
      <c r="E25" s="18">
        <f t="shared" si="1"/>
        <v>265391.17919216806</v>
      </c>
      <c r="F25" s="22">
        <f t="shared" si="2"/>
        <v>4.716220841487206</v>
      </c>
    </row>
    <row r="26" spans="1:6" x14ac:dyDescent="0.2">
      <c r="A26" s="20">
        <v>22</v>
      </c>
      <c r="B26" s="179" t="s">
        <v>19</v>
      </c>
      <c r="C26" s="180"/>
      <c r="D26" s="15">
        <f t="shared" si="0"/>
        <v>5840</v>
      </c>
      <c r="E26" s="18">
        <f t="shared" si="1"/>
        <v>57163.52129802142</v>
      </c>
      <c r="F26" s="22">
        <f t="shared" si="2"/>
        <v>9.7882741948666823</v>
      </c>
    </row>
    <row r="27" spans="1:6" x14ac:dyDescent="0.2">
      <c r="A27" s="20">
        <v>23</v>
      </c>
      <c r="B27" s="179" t="s">
        <v>20</v>
      </c>
      <c r="C27" s="180"/>
      <c r="D27" s="15">
        <f t="shared" si="0"/>
        <v>114336</v>
      </c>
      <c r="E27" s="18">
        <f t="shared" si="1"/>
        <v>1392868.3868374275</v>
      </c>
      <c r="F27" s="22">
        <f t="shared" si="2"/>
        <v>12.182238200019482</v>
      </c>
    </row>
    <row r="28" spans="1:6" x14ac:dyDescent="0.2">
      <c r="A28" s="20">
        <v>24</v>
      </c>
      <c r="B28" s="179" t="s">
        <v>21</v>
      </c>
      <c r="C28" s="180"/>
      <c r="D28" s="15">
        <f t="shared" si="0"/>
        <v>303688</v>
      </c>
      <c r="E28" s="18">
        <f t="shared" si="1"/>
        <v>1194383.3219098509</v>
      </c>
      <c r="F28" s="22">
        <f t="shared" si="2"/>
        <v>3.932928933345575</v>
      </c>
    </row>
    <row r="29" spans="1:6" x14ac:dyDescent="0.2">
      <c r="A29" s="20">
        <v>25</v>
      </c>
      <c r="B29" s="179" t="s">
        <v>22</v>
      </c>
      <c r="C29" s="180"/>
      <c r="D29" s="15">
        <f t="shared" si="0"/>
        <v>889400</v>
      </c>
      <c r="E29" s="18">
        <f t="shared" si="1"/>
        <v>5541173.336037714</v>
      </c>
      <c r="F29" s="22">
        <f t="shared" si="2"/>
        <v>6.2302376164129907</v>
      </c>
    </row>
    <row r="30" spans="1:6" x14ac:dyDescent="0.2">
      <c r="A30" s="20">
        <v>26</v>
      </c>
      <c r="B30" s="179" t="s">
        <v>23</v>
      </c>
      <c r="C30" s="180"/>
      <c r="D30" s="15">
        <f t="shared" si="0"/>
        <v>310222</v>
      </c>
      <c r="E30" s="18">
        <f t="shared" si="1"/>
        <v>2859170.4435128085</v>
      </c>
      <c r="F30" s="22">
        <f t="shared" si="2"/>
        <v>9.2165302380643812</v>
      </c>
    </row>
    <row r="31" spans="1:6" x14ac:dyDescent="0.2">
      <c r="A31" s="20">
        <v>28</v>
      </c>
      <c r="B31" s="179" t="s">
        <v>24</v>
      </c>
      <c r="C31" s="180"/>
      <c r="D31" s="15">
        <f t="shared" si="0"/>
        <v>247008</v>
      </c>
      <c r="E31" s="18">
        <f t="shared" si="1"/>
        <v>1270216.2076680951</v>
      </c>
      <c r="F31" s="22">
        <f t="shared" si="2"/>
        <v>5.1424091837839061</v>
      </c>
    </row>
    <row r="32" spans="1:6" ht="15.75" customHeight="1" thickBot="1" x14ac:dyDescent="0.25">
      <c r="A32" s="23">
        <v>29</v>
      </c>
      <c r="B32" s="181" t="s">
        <v>25</v>
      </c>
      <c r="C32" s="182"/>
      <c r="D32" s="24">
        <f t="shared" si="0"/>
        <v>98928</v>
      </c>
      <c r="E32" s="25">
        <f t="shared" si="1"/>
        <v>636719.42790593544</v>
      </c>
      <c r="F32" s="26">
        <f t="shared" si="2"/>
        <v>6.4361902384151648</v>
      </c>
    </row>
    <row r="33" spans="1:6" x14ac:dyDescent="0.2">
      <c r="B33" s="31" t="s">
        <v>35</v>
      </c>
      <c r="C33" s="31"/>
      <c r="D33" s="61">
        <f>SUM(D5:D32)</f>
        <v>4904634</v>
      </c>
      <c r="E33" s="32">
        <f>SUM(E5:E32)</f>
        <v>31608092</v>
      </c>
      <c r="F33" s="33">
        <f t="shared" si="2"/>
        <v>6.4445363303357599</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IF(F3="1",SUMIF(Data!A:A,'37'!$A$2,Data!CU:CU),0)</f>
        <v>33980</v>
      </c>
      <c r="E36" s="16">
        <f>IF(F3="1",SUMIF(Data!$A:$A,'37'!$A$2,Data!IO:IO),0)</f>
        <v>34343</v>
      </c>
      <c r="F36" s="21">
        <f t="shared" ref="F36:F64" si="3">IFERROR(E36/D36,"")</f>
        <v>1.0106827545615067</v>
      </c>
    </row>
    <row r="37" spans="1:6" x14ac:dyDescent="0.2">
      <c r="A37" s="20">
        <v>2</v>
      </c>
      <c r="B37" s="179" t="s">
        <v>1</v>
      </c>
      <c r="C37" s="180"/>
      <c r="D37" s="15">
        <f>IF(F3="1",SUMIF(Data!A:A,'37'!$A$2,Data!CV:CV),0)</f>
        <v>71776</v>
      </c>
      <c r="E37" s="18">
        <f>IF(F3="1",SUMIF(Data!$A:$A,'37'!$A$2,Data!IP:IP),0)</f>
        <v>125538</v>
      </c>
      <c r="F37" s="22">
        <f t="shared" si="3"/>
        <v>1.7490247436469015</v>
      </c>
    </row>
    <row r="38" spans="1:6" ht="14.25" customHeight="1" x14ac:dyDescent="0.2">
      <c r="A38" s="20">
        <v>3</v>
      </c>
      <c r="B38" s="179" t="s">
        <v>2</v>
      </c>
      <c r="C38" s="180"/>
      <c r="D38" s="15">
        <f>IF(F3="1",SUMIF(Data!A:A,'37'!$A$2,Data!CW:CW),0)</f>
        <v>527136</v>
      </c>
      <c r="E38" s="18">
        <f>IF(F3="1",SUMIF(Data!$A:$A,'37'!$A$2,Data!IQ:IQ),0)</f>
        <v>253893</v>
      </c>
      <c r="F38" s="22">
        <f t="shared" si="3"/>
        <v>0.48164610271353125</v>
      </c>
    </row>
    <row r="39" spans="1:6" ht="14.25" customHeight="1" x14ac:dyDescent="0.2">
      <c r="A39" s="20">
        <v>4</v>
      </c>
      <c r="B39" s="179" t="s">
        <v>3</v>
      </c>
      <c r="C39" s="180"/>
      <c r="D39" s="15">
        <f>IF(F3="1",SUMIF(Data!A:A,'37'!$A$2,Data!CX:CX),0)</f>
        <v>182804</v>
      </c>
      <c r="E39" s="18">
        <f>IF(F3="1",SUMIF(Data!$A:$A,'37'!$A$2,Data!IR:IR),0)</f>
        <v>33814</v>
      </c>
      <c r="F39" s="22">
        <f t="shared" si="3"/>
        <v>0.18497407058926502</v>
      </c>
    </row>
    <row r="40" spans="1:6" x14ac:dyDescent="0.2">
      <c r="A40" s="20">
        <v>5</v>
      </c>
      <c r="B40" s="179" t="s">
        <v>4</v>
      </c>
      <c r="C40" s="180"/>
      <c r="D40" s="15">
        <f>IF(F3="1",SUMIF(Data!A:A,'37'!$A$2,Data!CY:CY),0)</f>
        <v>0</v>
      </c>
      <c r="E40" s="18">
        <f>IF(F3="1",SUMIF(Data!$A:$A,'37'!$A$2,Data!IS:IS),0)</f>
        <v>0</v>
      </c>
      <c r="F40" s="22" t="str">
        <f t="shared" si="3"/>
        <v/>
      </c>
    </row>
    <row r="41" spans="1:6" x14ac:dyDescent="0.2">
      <c r="A41" s="20">
        <v>6</v>
      </c>
      <c r="B41" s="179" t="s">
        <v>5</v>
      </c>
      <c r="C41" s="180"/>
      <c r="D41" s="15">
        <f>IF(F3="1",SUMIF(Data!A:A,'37'!$A$2,Data!CZ:CZ),0)</f>
        <v>135988</v>
      </c>
      <c r="E41" s="18">
        <f>IF(F3="1",SUMIF(Data!$A:$A,'37'!$A$2,Data!IT:IT),0)</f>
        <v>169102</v>
      </c>
      <c r="F41" s="22">
        <f t="shared" si="3"/>
        <v>1.2435067800100008</v>
      </c>
    </row>
    <row r="42" spans="1:6" x14ac:dyDescent="0.2">
      <c r="A42" s="20">
        <v>7</v>
      </c>
      <c r="B42" s="179" t="s">
        <v>6</v>
      </c>
      <c r="C42" s="180"/>
      <c r="D42" s="15">
        <f>IF(F3="1",SUMIF(Data!A:A,'37'!$A$2,Data!DA:DA),0)</f>
        <v>217629</v>
      </c>
      <c r="E42" s="18">
        <f>IF(F3="1",SUMIF(Data!$A:$A,'37'!$A$2,Data!IU:IU),0)</f>
        <v>307684</v>
      </c>
      <c r="F42" s="22">
        <f t="shared" si="3"/>
        <v>1.4138005504781073</v>
      </c>
    </row>
    <row r="43" spans="1:6" x14ac:dyDescent="0.2">
      <c r="A43" s="20">
        <v>8</v>
      </c>
      <c r="B43" s="179" t="s">
        <v>7</v>
      </c>
      <c r="C43" s="180"/>
      <c r="D43" s="15">
        <f>IF(F3="1",SUMIF(Data!A:A,'37'!$A$2,Data!DB:DB),0)</f>
        <v>21968</v>
      </c>
      <c r="E43" s="18">
        <f>IF(F3="1",SUMIF(Data!$A:$A,'37'!$A$2,Data!IV:IV),0)</f>
        <v>7841</v>
      </c>
      <c r="F43" s="22">
        <f t="shared" si="3"/>
        <v>0.35692825928623451</v>
      </c>
    </row>
    <row r="44" spans="1:6" x14ac:dyDescent="0.2">
      <c r="A44" s="20">
        <v>9</v>
      </c>
      <c r="B44" s="179" t="s">
        <v>8</v>
      </c>
      <c r="C44" s="180"/>
      <c r="D44" s="15">
        <f>IF(F3="1",SUMIF(Data!A:A,'37'!$A$2,Data!DC:DC),0)</f>
        <v>171808</v>
      </c>
      <c r="E44" s="18">
        <f>IF(F3="1",SUMIF(Data!$A:$A,'37'!$A$2,Data!IW:IW),0)</f>
        <v>81386</v>
      </c>
      <c r="F44" s="22">
        <f t="shared" si="3"/>
        <v>0.47370320357608492</v>
      </c>
    </row>
    <row r="45" spans="1:6" x14ac:dyDescent="0.2">
      <c r="A45" s="20">
        <v>10</v>
      </c>
      <c r="B45" s="179" t="s">
        <v>9</v>
      </c>
      <c r="C45" s="180"/>
      <c r="D45" s="15">
        <f>IF(F3="1",SUMIF(Data!A:A,'37'!$A$2,Data!DD:DD),0)</f>
        <v>6656</v>
      </c>
      <c r="E45" s="18">
        <f>IF(F3="1",SUMIF(Data!$A:$A,'37'!$A$2,Data!IX:IX),0)</f>
        <v>2200</v>
      </c>
      <c r="F45" s="22">
        <f t="shared" si="3"/>
        <v>0.33052884615384615</v>
      </c>
    </row>
    <row r="46" spans="1:6" x14ac:dyDescent="0.2">
      <c r="A46" s="20">
        <v>11</v>
      </c>
      <c r="B46" s="179" t="s">
        <v>10</v>
      </c>
      <c r="C46" s="180"/>
      <c r="D46" s="15">
        <f>IF(F3="1",SUMIF(Data!A:A,'37'!$A$2,Data!DE:DE),0)</f>
        <v>65040</v>
      </c>
      <c r="E46" s="18">
        <f>IF(F3="1",SUMIF(Data!$A:$A,'37'!$A$2,Data!IY:IY),0)</f>
        <v>32314</v>
      </c>
      <c r="F46" s="22">
        <f t="shared" si="3"/>
        <v>0.49683271832718329</v>
      </c>
    </row>
    <row r="47" spans="1:6" ht="14.25" customHeight="1" x14ac:dyDescent="0.2">
      <c r="A47" s="20">
        <v>12</v>
      </c>
      <c r="B47" s="179" t="s">
        <v>11</v>
      </c>
      <c r="C47" s="180"/>
      <c r="D47" s="15">
        <f>IF(F3="1",SUMIF(Data!A:A,'37'!$A$2,Data!DF:DF),0)</f>
        <v>369506</v>
      </c>
      <c r="E47" s="18">
        <f>IF(F3="1",SUMIF(Data!$A:$A,'37'!$A$2,Data!IZ:IZ),0)</f>
        <v>30415</v>
      </c>
      <c r="F47" s="22">
        <f t="shared" si="3"/>
        <v>8.231260114856051E-2</v>
      </c>
    </row>
    <row r="48" spans="1:6" x14ac:dyDescent="0.2">
      <c r="A48" s="20">
        <v>13</v>
      </c>
      <c r="B48" s="179" t="s">
        <v>12</v>
      </c>
      <c r="C48" s="180"/>
      <c r="D48" s="15">
        <f>IF(F3="1",SUMIF(Data!A:A,'37'!$A$2,Data!DG:DG),0)</f>
        <v>152784</v>
      </c>
      <c r="E48" s="18">
        <f>IF(F3="1",SUMIF(Data!$A:$A,'37'!$A$2,Data!JA:JA),0)</f>
        <v>8336</v>
      </c>
      <c r="F48" s="22">
        <f t="shared" si="3"/>
        <v>5.4560686982930151E-2</v>
      </c>
    </row>
    <row r="49" spans="1:6" ht="14.25" customHeight="1" x14ac:dyDescent="0.2">
      <c r="A49" s="20">
        <v>14</v>
      </c>
      <c r="B49" s="179" t="s">
        <v>804</v>
      </c>
      <c r="C49" s="180"/>
      <c r="D49" s="15">
        <f>IF(F3="1",SUMIF(Data!A:A,'37'!$A$2,Data!DH:DH),0)</f>
        <v>114812</v>
      </c>
      <c r="E49" s="18">
        <f>IF(F3="1",SUMIF(Data!$A:$A,'37'!$A$2,Data!JB:JB),0)</f>
        <v>83758</v>
      </c>
      <c r="F49" s="22">
        <f t="shared" si="3"/>
        <v>0.72952304637145948</v>
      </c>
    </row>
    <row r="50" spans="1:6" x14ac:dyDescent="0.2">
      <c r="A50" s="20">
        <v>15</v>
      </c>
      <c r="B50" s="179" t="s">
        <v>13</v>
      </c>
      <c r="C50" s="180"/>
      <c r="D50" s="15">
        <f>IF(F3="1",SUMIF(Data!A:A,'37'!$A$2,Data!DI:DI),0)</f>
        <v>0</v>
      </c>
      <c r="E50" s="18">
        <f>IF(F3="1",SUMIF(Data!$A:$A,'37'!$A$2,Data!JC:JC),0)</f>
        <v>0</v>
      </c>
      <c r="F50" s="22" t="str">
        <f t="shared" si="3"/>
        <v/>
      </c>
    </row>
    <row r="51" spans="1:6" x14ac:dyDescent="0.2">
      <c r="A51" s="20">
        <v>16</v>
      </c>
      <c r="B51" s="179" t="s">
        <v>14</v>
      </c>
      <c r="C51" s="180"/>
      <c r="D51" s="15">
        <f>IF(F3="1",SUMIF(Data!A:A,'37'!$A$2,Data!DJ:DJ),0)</f>
        <v>187185</v>
      </c>
      <c r="E51" s="18">
        <f>IF(F3="1",SUMIF(Data!$A:$A,'37'!$A$2,Data!JD:JD),0)</f>
        <v>48251</v>
      </c>
      <c r="F51" s="22">
        <f t="shared" si="3"/>
        <v>0.25777172316157809</v>
      </c>
    </row>
    <row r="52" spans="1:6" x14ac:dyDescent="0.2">
      <c r="A52" s="20">
        <v>17</v>
      </c>
      <c r="B52" s="179" t="s">
        <v>15</v>
      </c>
      <c r="C52" s="180"/>
      <c r="D52" s="15">
        <f>IF(F3="1",SUMIF(Data!A:A,'37'!$A$2,Data!DK:DK),0)</f>
        <v>25888</v>
      </c>
      <c r="E52" s="18">
        <f>IF(F3="1",SUMIF(Data!$A:$A,'37'!$A$2,Data!JE:JE),0)</f>
        <v>13821</v>
      </c>
      <c r="F52" s="22">
        <f t="shared" si="3"/>
        <v>0.53387669962917184</v>
      </c>
    </row>
    <row r="53" spans="1:6" x14ac:dyDescent="0.2">
      <c r="A53" s="20">
        <v>18</v>
      </c>
      <c r="B53" s="179" t="s">
        <v>16</v>
      </c>
      <c r="C53" s="180"/>
      <c r="D53" s="15">
        <f>IF(F3="1",SUMIF(Data!A:A,'37'!$A$2,Data!DL:DL),0)</f>
        <v>198640</v>
      </c>
      <c r="E53" s="18">
        <f>IF(F3="1",SUMIF(Data!$A:$A,'37'!$A$2,Data!JF:JF),0)</f>
        <v>73965</v>
      </c>
      <c r="F53" s="22">
        <f t="shared" si="3"/>
        <v>0.37235702778896496</v>
      </c>
    </row>
    <row r="54" spans="1:6" x14ac:dyDescent="0.2">
      <c r="A54" s="20">
        <v>19</v>
      </c>
      <c r="B54" s="179" t="s">
        <v>17</v>
      </c>
      <c r="C54" s="180"/>
      <c r="D54" s="15">
        <f>IF(F3="1",SUMIF(Data!A:A,'37'!$A$2,Data!DM:DM),0)</f>
        <v>307228</v>
      </c>
      <c r="E54" s="18">
        <f>IF(F3="1",SUMIF(Data!$A:$A,'37'!$A$2,Data!JG:JG),0)</f>
        <v>33046</v>
      </c>
      <c r="F54" s="22">
        <f t="shared" si="3"/>
        <v>0.10756181077245563</v>
      </c>
    </row>
    <row r="55" spans="1:6" x14ac:dyDescent="0.2">
      <c r="A55" s="20">
        <v>20</v>
      </c>
      <c r="B55" s="179" t="s">
        <v>18</v>
      </c>
      <c r="C55" s="180"/>
      <c r="D55" s="15">
        <f>IF(F3="1",SUMIF(Data!A:A,'37'!$A$2,Data!DN:DN),0)</f>
        <v>88112</v>
      </c>
      <c r="E55" s="18">
        <f>IF(F3="1",SUMIF(Data!$A:$A,'37'!$A$2,Data!JH:JH),0)</f>
        <v>82608</v>
      </c>
      <c r="F55" s="22">
        <f t="shared" si="3"/>
        <v>0.9375340475758126</v>
      </c>
    </row>
    <row r="56" spans="1:6" ht="14.25" customHeight="1" x14ac:dyDescent="0.2">
      <c r="A56" s="20">
        <v>21</v>
      </c>
      <c r="B56" s="179" t="s">
        <v>801</v>
      </c>
      <c r="C56" s="180"/>
      <c r="D56" s="15">
        <f>IF(F3="1",SUMIF(Data!A:A,'37'!$A$2,Data!DO:DO),0)</f>
        <v>56272</v>
      </c>
      <c r="E56" s="18">
        <f>IF(F3="1",SUMIF(Data!$A:$A,'37'!$A$2,Data!JI:JI),0)</f>
        <v>14595</v>
      </c>
      <c r="F56" s="22">
        <f t="shared" si="3"/>
        <v>0.25936522604492468</v>
      </c>
    </row>
    <row r="57" spans="1:6" x14ac:dyDescent="0.2">
      <c r="A57" s="20">
        <v>22</v>
      </c>
      <c r="B57" s="179" t="s">
        <v>19</v>
      </c>
      <c r="C57" s="180"/>
      <c r="D57" s="15">
        <f>IF(F3="1",SUMIF(Data!A:A,'37'!$A$2,Data!DP:DP),0)</f>
        <v>5840</v>
      </c>
      <c r="E57" s="18">
        <f>IF(F3="1",SUMIF(Data!$A:$A,'37'!$A$2,Data!JJ:JJ),0)</f>
        <v>27875</v>
      </c>
      <c r="F57" s="22">
        <f t="shared" si="3"/>
        <v>4.7731164383561646</v>
      </c>
    </row>
    <row r="58" spans="1:6" x14ac:dyDescent="0.2">
      <c r="A58" s="20">
        <v>23</v>
      </c>
      <c r="B58" s="179" t="s">
        <v>20</v>
      </c>
      <c r="C58" s="180"/>
      <c r="D58" s="15">
        <f>IF(F3="1",SUMIF(Data!A:A,'37'!$A$2,Data!DQ:DQ),0)</f>
        <v>114336</v>
      </c>
      <c r="E58" s="18">
        <f>IF(F3="1",SUMIF(Data!$A:$A,'37'!$A$2,Data!JK:JK),0)</f>
        <v>9191</v>
      </c>
      <c r="F58" s="22">
        <f t="shared" si="3"/>
        <v>8.0385880212706415E-2</v>
      </c>
    </row>
    <row r="59" spans="1:6" x14ac:dyDescent="0.2">
      <c r="A59" s="20">
        <v>24</v>
      </c>
      <c r="B59" s="179" t="s">
        <v>21</v>
      </c>
      <c r="C59" s="180"/>
      <c r="D59" s="15">
        <f>IF(F3="1",SUMIF(Data!A:A,'37'!$A$2,Data!DR:DR),0)</f>
        <v>303688</v>
      </c>
      <c r="E59" s="18">
        <f>IF(F3="1",SUMIF(Data!$A:$A,'37'!$A$2,Data!JL:JL),0)</f>
        <v>73961</v>
      </c>
      <c r="F59" s="22">
        <f t="shared" si="3"/>
        <v>0.24354271489159926</v>
      </c>
    </row>
    <row r="60" spans="1:6" x14ac:dyDescent="0.2">
      <c r="A60" s="20">
        <v>25</v>
      </c>
      <c r="B60" s="179" t="s">
        <v>22</v>
      </c>
      <c r="C60" s="180"/>
      <c r="D60" s="15">
        <f>IF(F3="1",SUMIF(Data!A:A,'37'!$A$2,Data!DS:DS),0)</f>
        <v>889400</v>
      </c>
      <c r="E60" s="18">
        <f>IF(F3="1",SUMIF(Data!$A:$A,'37'!$A$2,Data!JM:JM),0)</f>
        <v>80994</v>
      </c>
      <c r="F60" s="22">
        <f t="shared" si="3"/>
        <v>9.1065887114908928E-2</v>
      </c>
    </row>
    <row r="61" spans="1:6" x14ac:dyDescent="0.2">
      <c r="A61" s="20">
        <v>26</v>
      </c>
      <c r="B61" s="179" t="s">
        <v>23</v>
      </c>
      <c r="C61" s="180"/>
      <c r="D61" s="15">
        <f>IF(F3="1",SUMIF(Data!A:A,'37'!$A$2,Data!DT:DT),0)</f>
        <v>310222</v>
      </c>
      <c r="E61" s="18">
        <f>IF(F3="1",SUMIF(Data!$A:$A,'37'!$A$2,Data!JN:JN),0)</f>
        <v>142365</v>
      </c>
      <c r="F61" s="22">
        <f t="shared" si="3"/>
        <v>0.45891329435049738</v>
      </c>
    </row>
    <row r="62" spans="1:6" x14ac:dyDescent="0.2">
      <c r="A62" s="20">
        <v>28</v>
      </c>
      <c r="B62" s="179" t="s">
        <v>24</v>
      </c>
      <c r="C62" s="180"/>
      <c r="D62" s="15">
        <f>IF(F3="1",SUMIF(Data!A:A,'37'!$A$2,Data!DV:DV),0)</f>
        <v>247008</v>
      </c>
      <c r="E62" s="18">
        <f>IF(F3="1",SUMIF(Data!$A:$A,'37'!$A$2,Data!JP:JP),0)</f>
        <v>4799</v>
      </c>
      <c r="F62" s="22">
        <f t="shared" si="3"/>
        <v>1.9428520533747894E-2</v>
      </c>
    </row>
    <row r="63" spans="1:6" ht="15.75" customHeight="1" thickBot="1" x14ac:dyDescent="0.25">
      <c r="A63" s="23">
        <v>29</v>
      </c>
      <c r="B63" s="181" t="s">
        <v>25</v>
      </c>
      <c r="C63" s="182"/>
      <c r="D63" s="24">
        <f>IF(F3="1",SUMIF(Data!A:A,'37'!$A$2,Data!DW:DW),0)</f>
        <v>98928</v>
      </c>
      <c r="E63" s="25">
        <f>IF(F3="1",SUMIF(Data!$A:$A,'37'!$A$2,Data!JQ:JQ),0)</f>
        <v>33070</v>
      </c>
      <c r="F63" s="26">
        <f t="shared" si="3"/>
        <v>0.33428351932718747</v>
      </c>
    </row>
    <row r="64" spans="1:6" x14ac:dyDescent="0.2">
      <c r="B64" s="31" t="s">
        <v>35</v>
      </c>
      <c r="C64" s="31"/>
      <c r="D64" s="61">
        <f>SUM(D36:D63)</f>
        <v>4904634</v>
      </c>
      <c r="E64" s="32">
        <f>SUM(E36:E63)</f>
        <v>1809165</v>
      </c>
      <c r="F64" s="33">
        <f t="shared" si="3"/>
        <v>0.36886850272619731</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33980</v>
      </c>
      <c r="E67" s="16">
        <f>IF(F3="1",SUMIF(Data!A:A,'37'!$A$2,Data!DY:DY),0)</f>
        <v>259938</v>
      </c>
      <c r="F67" s="21">
        <f>IFERROR(E67/D67,"")</f>
        <v>7.6497351383166565</v>
      </c>
    </row>
    <row r="68" spans="1:6" x14ac:dyDescent="0.2">
      <c r="A68" s="20">
        <v>2</v>
      </c>
      <c r="B68" s="179" t="s">
        <v>1</v>
      </c>
      <c r="C68" s="180"/>
      <c r="D68" s="15">
        <f t="shared" ref="D68:D94" si="4">D37</f>
        <v>71776</v>
      </c>
      <c r="E68" s="18">
        <f>IF(F3="1",SUMIF(Data!A:A,'37'!$A$2,Data!DZ:DZ),0)</f>
        <v>286894</v>
      </c>
      <c r="F68" s="22">
        <f t="shared" ref="F68:F95" si="5">IFERROR(E68/D68,"")</f>
        <v>3.9970742309407044</v>
      </c>
    </row>
    <row r="69" spans="1:6" ht="14.25" customHeight="1" x14ac:dyDescent="0.2">
      <c r="A69" s="20">
        <v>3</v>
      </c>
      <c r="B69" s="179" t="s">
        <v>2</v>
      </c>
      <c r="C69" s="180"/>
      <c r="D69" s="15">
        <f t="shared" si="4"/>
        <v>527136</v>
      </c>
      <c r="E69" s="18">
        <f>IF(F3="1",SUMIF(Data!A:A,'37'!$A$2,Data!EA:EA),0)</f>
        <v>1529410</v>
      </c>
      <c r="F69" s="22">
        <f t="shared" si="5"/>
        <v>2.901357524433922</v>
      </c>
    </row>
    <row r="70" spans="1:6" ht="14.25" customHeight="1" x14ac:dyDescent="0.2">
      <c r="A70" s="20">
        <v>4</v>
      </c>
      <c r="B70" s="179" t="s">
        <v>3</v>
      </c>
      <c r="C70" s="180"/>
      <c r="D70" s="15">
        <f t="shared" si="4"/>
        <v>182804</v>
      </c>
      <c r="E70" s="18">
        <f>IF(F3="1",SUMIF(Data!A:A,'37'!$A$2,Data!EB:EB),0)</f>
        <v>1043788</v>
      </c>
      <c r="F70" s="22">
        <f t="shared" si="5"/>
        <v>5.7098750574385679</v>
      </c>
    </row>
    <row r="71" spans="1:6" x14ac:dyDescent="0.2">
      <c r="A71" s="20">
        <v>5</v>
      </c>
      <c r="B71" s="179" t="s">
        <v>4</v>
      </c>
      <c r="C71" s="180"/>
      <c r="D71" s="15">
        <f t="shared" si="4"/>
        <v>0</v>
      </c>
      <c r="E71" s="18">
        <f>IF(F3="1",SUMIF(Data!A:A,'37'!$A$2,Data!EC:EC),0)</f>
        <v>0</v>
      </c>
      <c r="F71" s="22" t="str">
        <f t="shared" si="5"/>
        <v/>
      </c>
    </row>
    <row r="72" spans="1:6" x14ac:dyDescent="0.2">
      <c r="A72" s="20">
        <v>6</v>
      </c>
      <c r="B72" s="179" t="s">
        <v>5</v>
      </c>
      <c r="C72" s="180"/>
      <c r="D72" s="15">
        <f t="shared" si="4"/>
        <v>135988</v>
      </c>
      <c r="E72" s="18">
        <f>IF(F3="1",SUMIF(Data!A:A,'37'!$A$2,Data!ED:ED),0)</f>
        <v>605369</v>
      </c>
      <c r="F72" s="22">
        <f t="shared" si="5"/>
        <v>4.4516354384210368</v>
      </c>
    </row>
    <row r="73" spans="1:6" x14ac:dyDescent="0.2">
      <c r="A73" s="20">
        <v>7</v>
      </c>
      <c r="B73" s="179" t="s">
        <v>6</v>
      </c>
      <c r="C73" s="180"/>
      <c r="D73" s="15">
        <f t="shared" si="4"/>
        <v>217629</v>
      </c>
      <c r="E73" s="18">
        <f>IF(F3="1",SUMIF(Data!A:A,'37'!$A$2,Data!EE:EE),0)</f>
        <v>581701</v>
      </c>
      <c r="F73" s="22">
        <f t="shared" si="5"/>
        <v>2.6729020488997328</v>
      </c>
    </row>
    <row r="74" spans="1:6" x14ac:dyDescent="0.2">
      <c r="A74" s="20">
        <v>8</v>
      </c>
      <c r="B74" s="179" t="s">
        <v>7</v>
      </c>
      <c r="C74" s="180"/>
      <c r="D74" s="15">
        <f t="shared" si="4"/>
        <v>21968</v>
      </c>
      <c r="E74" s="18">
        <f>IF(F3="1",SUMIF(Data!A:A,'37'!$A$2,Data!EF:EF),0)</f>
        <v>54667</v>
      </c>
      <c r="F74" s="22">
        <f t="shared" si="5"/>
        <v>2.4884832483612529</v>
      </c>
    </row>
    <row r="75" spans="1:6" x14ac:dyDescent="0.2">
      <c r="A75" s="20">
        <v>9</v>
      </c>
      <c r="B75" s="179" t="s">
        <v>8</v>
      </c>
      <c r="C75" s="180"/>
      <c r="D75" s="15">
        <f t="shared" si="4"/>
        <v>171808</v>
      </c>
      <c r="E75" s="18">
        <f>IF(F3="1",SUMIF(Data!A:A,'37'!$A$2,Data!EG:EG),0)</f>
        <v>430841</v>
      </c>
      <c r="F75" s="22">
        <f t="shared" si="5"/>
        <v>2.5076888154218664</v>
      </c>
    </row>
    <row r="76" spans="1:6" x14ac:dyDescent="0.2">
      <c r="A76" s="20">
        <v>10</v>
      </c>
      <c r="B76" s="179" t="s">
        <v>9</v>
      </c>
      <c r="C76" s="180"/>
      <c r="D76" s="15">
        <f t="shared" si="4"/>
        <v>6656</v>
      </c>
      <c r="E76" s="18">
        <f>IF(F3="1",SUMIF(Data!A:A,'37'!$A$2,Data!EH:EH),0)</f>
        <v>178551</v>
      </c>
      <c r="F76" s="22">
        <f t="shared" si="5"/>
        <v>26.82557091346154</v>
      </c>
    </row>
    <row r="77" spans="1:6" x14ac:dyDescent="0.2">
      <c r="A77" s="20">
        <v>11</v>
      </c>
      <c r="B77" s="179" t="s">
        <v>10</v>
      </c>
      <c r="C77" s="180"/>
      <c r="D77" s="15">
        <f t="shared" si="4"/>
        <v>65040</v>
      </c>
      <c r="E77" s="18">
        <f>IF(F3="1",SUMIF(Data!A:A,'37'!$A$2,Data!EI:EI),0)</f>
        <v>272375</v>
      </c>
      <c r="F77" s="22">
        <f t="shared" si="5"/>
        <v>4.1878075030750308</v>
      </c>
    </row>
    <row r="78" spans="1:6" ht="14.25" customHeight="1" x14ac:dyDescent="0.2">
      <c r="A78" s="20">
        <v>12</v>
      </c>
      <c r="B78" s="179" t="s">
        <v>11</v>
      </c>
      <c r="C78" s="180"/>
      <c r="D78" s="15">
        <f t="shared" si="4"/>
        <v>369506</v>
      </c>
      <c r="E78" s="18">
        <f>IF(F3="1",SUMIF(Data!A:A,'37'!$A$2,Data!EJ:EJ),0)</f>
        <v>474868</v>
      </c>
      <c r="F78" s="22">
        <f t="shared" si="5"/>
        <v>1.2851428664216549</v>
      </c>
    </row>
    <row r="79" spans="1:6" x14ac:dyDescent="0.2">
      <c r="A79" s="20">
        <v>13</v>
      </c>
      <c r="B79" s="179" t="s">
        <v>12</v>
      </c>
      <c r="C79" s="180"/>
      <c r="D79" s="15">
        <f t="shared" si="4"/>
        <v>152784</v>
      </c>
      <c r="E79" s="18">
        <f>IF(F3="1",SUMIF(Data!A:A,'37'!$A$2,Data!EK:EK),0)</f>
        <v>1088994</v>
      </c>
      <c r="F79" s="22">
        <f t="shared" si="5"/>
        <v>7.1276704366949417</v>
      </c>
    </row>
    <row r="80" spans="1:6" ht="14.25" customHeight="1" x14ac:dyDescent="0.2">
      <c r="A80" s="20">
        <v>14</v>
      </c>
      <c r="B80" s="179" t="s">
        <v>804</v>
      </c>
      <c r="C80" s="180"/>
      <c r="D80" s="15">
        <f t="shared" si="4"/>
        <v>114812</v>
      </c>
      <c r="E80" s="18">
        <f>IF(F3="1",SUMIF(Data!A:A,'37'!$A$2,Data!EL:EL),0)</f>
        <v>409954</v>
      </c>
      <c r="F80" s="22">
        <f t="shared" si="5"/>
        <v>3.5706546354039648</v>
      </c>
    </row>
    <row r="81" spans="1:6" x14ac:dyDescent="0.2">
      <c r="A81" s="20">
        <v>15</v>
      </c>
      <c r="B81" s="179" t="s">
        <v>13</v>
      </c>
      <c r="C81" s="180"/>
      <c r="D81" s="15">
        <f t="shared" si="4"/>
        <v>0</v>
      </c>
      <c r="E81" s="18">
        <f>IF(F3="1",SUMIF(Data!A:A,'37'!$A$2,Data!EM:EM),0)</f>
        <v>0</v>
      </c>
      <c r="F81" s="22" t="str">
        <f t="shared" si="5"/>
        <v/>
      </c>
    </row>
    <row r="82" spans="1:6" x14ac:dyDescent="0.2">
      <c r="A82" s="20">
        <v>16</v>
      </c>
      <c r="B82" s="179" t="s">
        <v>14</v>
      </c>
      <c r="C82" s="180"/>
      <c r="D82" s="15">
        <f t="shared" si="4"/>
        <v>187185</v>
      </c>
      <c r="E82" s="18">
        <f>IF(F3="1",SUMIF(Data!A:A,'37'!$A$2,Data!EN:EN),0)</f>
        <v>544033</v>
      </c>
      <c r="F82" s="22">
        <f t="shared" si="5"/>
        <v>2.9063920720143175</v>
      </c>
    </row>
    <row r="83" spans="1:6" x14ac:dyDescent="0.2">
      <c r="A83" s="20">
        <v>17</v>
      </c>
      <c r="B83" s="179" t="s">
        <v>15</v>
      </c>
      <c r="C83" s="180"/>
      <c r="D83" s="15">
        <f t="shared" si="4"/>
        <v>25888</v>
      </c>
      <c r="E83" s="18">
        <f>IF(F3="1",SUMIF(Data!A:A,'37'!$A$2,Data!EO:EO),0)</f>
        <v>128873</v>
      </c>
      <c r="F83" s="22">
        <f t="shared" si="5"/>
        <v>4.9780979604449938</v>
      </c>
    </row>
    <row r="84" spans="1:6" x14ac:dyDescent="0.2">
      <c r="A84" s="20">
        <v>18</v>
      </c>
      <c r="B84" s="179" t="s">
        <v>16</v>
      </c>
      <c r="C84" s="180"/>
      <c r="D84" s="15">
        <f t="shared" si="4"/>
        <v>198640</v>
      </c>
      <c r="E84" s="18">
        <f>IF(F3="1",SUMIF(Data!A:A,'37'!$A$2,Data!EP:EP),0)</f>
        <v>691092</v>
      </c>
      <c r="F84" s="22">
        <f t="shared" si="5"/>
        <v>3.4791180024164317</v>
      </c>
    </row>
    <row r="85" spans="1:6" x14ac:dyDescent="0.2">
      <c r="A85" s="20">
        <v>19</v>
      </c>
      <c r="B85" s="179" t="s">
        <v>17</v>
      </c>
      <c r="C85" s="180"/>
      <c r="D85" s="15">
        <f t="shared" si="4"/>
        <v>307228</v>
      </c>
      <c r="E85" s="18">
        <f>IF(F3="1",SUMIF(Data!A:A,'37'!$A$2,Data!EQ:EQ),0)</f>
        <v>834678</v>
      </c>
      <c r="F85" s="22">
        <f t="shared" si="5"/>
        <v>2.7168031559623471</v>
      </c>
    </row>
    <row r="86" spans="1:6" x14ac:dyDescent="0.2">
      <c r="A86" s="20">
        <v>20</v>
      </c>
      <c r="B86" s="179" t="s">
        <v>18</v>
      </c>
      <c r="C86" s="180"/>
      <c r="D86" s="15">
        <f t="shared" si="4"/>
        <v>88112</v>
      </c>
      <c r="E86" s="18">
        <f>IF(F3="1",SUMIF(Data!A:A,'37'!$A$2,Data!ER:ER),0)</f>
        <v>278155</v>
      </c>
      <c r="F86" s="22">
        <f t="shared" si="5"/>
        <v>3.1568344833847828</v>
      </c>
    </row>
    <row r="87" spans="1:6" ht="14.25" customHeight="1" x14ac:dyDescent="0.2">
      <c r="A87" s="20">
        <v>21</v>
      </c>
      <c r="B87" s="179" t="s">
        <v>801</v>
      </c>
      <c r="C87" s="180"/>
      <c r="D87" s="15">
        <f t="shared" si="4"/>
        <v>56272</v>
      </c>
      <c r="E87" s="18">
        <f>IF(F3="1",SUMIF(Data!A:A,'37'!$A$2,Data!ES:ES),0)</f>
        <v>108608</v>
      </c>
      <c r="F87" s="22">
        <f t="shared" si="5"/>
        <v>1.9300540233153256</v>
      </c>
    </row>
    <row r="88" spans="1:6" x14ac:dyDescent="0.2">
      <c r="A88" s="20">
        <v>22</v>
      </c>
      <c r="B88" s="179" t="s">
        <v>19</v>
      </c>
      <c r="C88" s="180"/>
      <c r="D88" s="15">
        <f t="shared" si="4"/>
        <v>5840</v>
      </c>
      <c r="E88" s="18">
        <f>IF(F3="1",SUMIF(Data!A:A,'37'!$A$2,Data!ET:ET),0)</f>
        <v>14532</v>
      </c>
      <c r="F88" s="22">
        <f t="shared" si="5"/>
        <v>2.4883561643835614</v>
      </c>
    </row>
    <row r="89" spans="1:6" x14ac:dyDescent="0.2">
      <c r="A89" s="20">
        <v>23</v>
      </c>
      <c r="B89" s="179" t="s">
        <v>20</v>
      </c>
      <c r="C89" s="180"/>
      <c r="D89" s="15">
        <f t="shared" si="4"/>
        <v>114336</v>
      </c>
      <c r="E89" s="18">
        <f>IF(F3="1",SUMIF(Data!A:A,'37'!$A$2,Data!EU:EU),0)</f>
        <v>1094773</v>
      </c>
      <c r="F89" s="22">
        <f t="shared" si="5"/>
        <v>9.5750507276798213</v>
      </c>
    </row>
    <row r="90" spans="1:6" x14ac:dyDescent="0.2">
      <c r="A90" s="20">
        <v>24</v>
      </c>
      <c r="B90" s="179" t="s">
        <v>21</v>
      </c>
      <c r="C90" s="180"/>
      <c r="D90" s="15">
        <f t="shared" si="4"/>
        <v>303688</v>
      </c>
      <c r="E90" s="18">
        <f>IF(F3="1",SUMIF(Data!A:A,'37'!$A$2,Data!EV:EV),0)</f>
        <v>353063</v>
      </c>
      <c r="F90" s="22">
        <f t="shared" si="5"/>
        <v>1.1625846263270199</v>
      </c>
    </row>
    <row r="91" spans="1:6" x14ac:dyDescent="0.2">
      <c r="A91" s="20">
        <v>25</v>
      </c>
      <c r="B91" s="179" t="s">
        <v>22</v>
      </c>
      <c r="C91" s="180"/>
      <c r="D91" s="15">
        <f t="shared" si="4"/>
        <v>889400</v>
      </c>
      <c r="E91" s="18">
        <f>IF(F3="1",SUMIF(Data!A:A,'37'!$A$2,Data!EW:EW),0)</f>
        <v>3212842</v>
      </c>
      <c r="F91" s="22">
        <f t="shared" si="5"/>
        <v>3.6123701371711268</v>
      </c>
    </row>
    <row r="92" spans="1:6" x14ac:dyDescent="0.2">
      <c r="A92" s="20">
        <v>26</v>
      </c>
      <c r="B92" s="179" t="s">
        <v>23</v>
      </c>
      <c r="C92" s="180"/>
      <c r="D92" s="15">
        <f t="shared" si="4"/>
        <v>310222</v>
      </c>
      <c r="E92" s="18">
        <f>IF(F3="1",SUMIF(Data!A:A,'37'!$A$2,Data!EX:EX),0)</f>
        <v>1932936</v>
      </c>
      <c r="F92" s="22">
        <f t="shared" si="5"/>
        <v>6.2308153515869282</v>
      </c>
    </row>
    <row r="93" spans="1:6" x14ac:dyDescent="0.2">
      <c r="A93" s="20">
        <v>28</v>
      </c>
      <c r="B93" s="179" t="s">
        <v>24</v>
      </c>
      <c r="C93" s="180"/>
      <c r="D93" s="15">
        <f t="shared" si="4"/>
        <v>247008</v>
      </c>
      <c r="E93" s="18">
        <f>IF(F3="1",SUMIF(Data!A:A,'37'!$A$2,Data!EZ:EZ),0)</f>
        <v>641277</v>
      </c>
      <c r="F93" s="22">
        <f t="shared" si="5"/>
        <v>2.5961790711232027</v>
      </c>
    </row>
    <row r="94" spans="1:6" ht="15.75" customHeight="1" thickBot="1" x14ac:dyDescent="0.25">
      <c r="A94" s="23">
        <v>29</v>
      </c>
      <c r="B94" s="181" t="s">
        <v>25</v>
      </c>
      <c r="C94" s="182"/>
      <c r="D94" s="24">
        <f t="shared" si="4"/>
        <v>98928</v>
      </c>
      <c r="E94" s="25">
        <f>IF(F3="1",SUMIF(Data!A:A,'37'!$A$2,Data!FA:FA),0)</f>
        <v>353678</v>
      </c>
      <c r="F94" s="26">
        <f t="shared" si="5"/>
        <v>3.5751051269610223</v>
      </c>
    </row>
    <row r="95" spans="1:6" x14ac:dyDescent="0.2">
      <c r="B95" s="31" t="s">
        <v>35</v>
      </c>
      <c r="C95" s="31"/>
      <c r="D95" s="61">
        <f>SUM(D67:D94)</f>
        <v>4904634</v>
      </c>
      <c r="E95" s="32">
        <f>SUM(E67:E94)</f>
        <v>17405890</v>
      </c>
      <c r="F95" s="33">
        <f t="shared" si="5"/>
        <v>3.548866235482607</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IF(F3="1",SUMIF(Data!A:A,'37'!$A$2,Data!AH:AH),0)</f>
        <v>3809021</v>
      </c>
      <c r="F98" s="21">
        <f t="shared" ref="F98:F105" si="6">IFERROR(E98/$D$95,0)</f>
        <v>0.77661676691879555</v>
      </c>
    </row>
    <row r="99" spans="2:6" x14ac:dyDescent="0.2">
      <c r="B99" s="185" t="s">
        <v>31</v>
      </c>
      <c r="C99" s="186"/>
      <c r="D99" s="37"/>
      <c r="E99" s="18">
        <f>IF(F3="1",SUMIF(Data!A:A,'37'!$A$2,Data!AI:AI),0)</f>
        <v>4064157</v>
      </c>
      <c r="F99" s="22">
        <f t="shared" si="6"/>
        <v>0.82863614288038623</v>
      </c>
    </row>
    <row r="100" spans="2:6" x14ac:dyDescent="0.2">
      <c r="B100" s="185" t="s">
        <v>32</v>
      </c>
      <c r="C100" s="186"/>
      <c r="D100" s="37"/>
      <c r="E100" s="18">
        <f>IF(F3="1",SUMIF(Data!A:A,'37'!$A$2,Data!AJ:AJ),0)</f>
        <v>1878424</v>
      </c>
      <c r="F100" s="22">
        <f t="shared" si="6"/>
        <v>0.3829896379627919</v>
      </c>
    </row>
    <row r="101" spans="2:6" x14ac:dyDescent="0.2">
      <c r="B101" s="185" t="s">
        <v>28</v>
      </c>
      <c r="C101" s="186"/>
      <c r="D101" s="37"/>
      <c r="E101" s="18">
        <f>IF(F3="1",SUMIF(Data!A:A,'37'!$A$2,Data!AK:AK),0)</f>
        <v>0</v>
      </c>
      <c r="F101" s="22">
        <f t="shared" si="6"/>
        <v>0</v>
      </c>
    </row>
    <row r="102" spans="2:6" x14ac:dyDescent="0.2">
      <c r="B102" s="185" t="s">
        <v>33</v>
      </c>
      <c r="C102" s="186"/>
      <c r="D102" s="37"/>
      <c r="E102" s="18">
        <f>IF(F3="1",SUMIF(Data!A:A,'37'!$A$2,Data!AL:AL),0)</f>
        <v>107786</v>
      </c>
      <c r="F102" s="22">
        <f t="shared" si="6"/>
        <v>2.19763595000157E-2</v>
      </c>
    </row>
    <row r="103" spans="2:6" x14ac:dyDescent="0.2">
      <c r="B103" s="187" t="s">
        <v>34</v>
      </c>
      <c r="C103" s="188"/>
      <c r="D103" s="37"/>
      <c r="E103" s="18">
        <f>IF(F3="1",SUMIF(Data!A:A,'37'!$A$2,Data!AM:AM),0)</f>
        <v>935586</v>
      </c>
      <c r="F103" s="22">
        <f t="shared" si="6"/>
        <v>0.19075551814875483</v>
      </c>
    </row>
    <row r="104" spans="2:6" ht="15.75" customHeight="1" thickBot="1" x14ac:dyDescent="0.25">
      <c r="B104" s="177" t="s">
        <v>29</v>
      </c>
      <c r="C104" s="178"/>
      <c r="D104" s="38"/>
      <c r="E104" s="25">
        <f>IF(F3="1",SUMIF(Data!A:A,'37'!$A$2,Data!Q:Q),0)</f>
        <v>1598063</v>
      </c>
      <c r="F104" s="26">
        <f t="shared" si="6"/>
        <v>0.32582716671621165</v>
      </c>
    </row>
    <row r="105" spans="2:6" x14ac:dyDescent="0.2">
      <c r="B105" s="31" t="s">
        <v>35</v>
      </c>
      <c r="C105" s="31"/>
      <c r="D105" s="35">
        <f>D95</f>
        <v>4904634</v>
      </c>
      <c r="E105" s="32">
        <f>SUM(E98:E104)</f>
        <v>12393037</v>
      </c>
      <c r="F105" s="33">
        <f t="shared" si="6"/>
        <v>2.5268015921269558</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17405890</v>
      </c>
      <c r="D109" s="16">
        <f>IF(F3="1",SUMIF(Data!$A:$A,$A$2,Data!HJ:HJ),0)</f>
        <v>2868816</v>
      </c>
      <c r="E109" s="16">
        <f>IF(F3="1",SUMIF(Data!$A:$A,$A$2,Data!IN:IN),0)</f>
        <v>1809165</v>
      </c>
      <c r="F109" s="48">
        <f>SUM(C109:E109)</f>
        <v>22083871</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493453</v>
      </c>
      <c r="D111" s="52"/>
      <c r="E111" s="51">
        <f>IF(F3="1",SUMIF(Data!A:A,$A$2,Data!AX:AX),0)</f>
        <v>452804</v>
      </c>
      <c r="F111" s="49">
        <f t="shared" si="7"/>
        <v>946257</v>
      </c>
    </row>
    <row r="112" spans="2:6" x14ac:dyDescent="0.2">
      <c r="B112" s="43" t="s">
        <v>32</v>
      </c>
      <c r="C112" s="51">
        <f>IF(F3="1",SUMIF(Data!A:A,$A$2,Data!V:V),0)</f>
        <v>1445110</v>
      </c>
      <c r="D112" s="52"/>
      <c r="E112" s="51">
        <f>IF(F3="1",SUMIF(Data!A:A,$A$2,Data!AC:AC),0)</f>
        <v>433314</v>
      </c>
      <c r="F112" s="49">
        <f t="shared" si="7"/>
        <v>1878424</v>
      </c>
    </row>
    <row r="113" spans="1:6" x14ac:dyDescent="0.2">
      <c r="B113" s="43" t="s">
        <v>31</v>
      </c>
      <c r="C113" s="51">
        <f>IF(F3="1",SUMIF(Data!A:A,$A$2,Data!U:U),0)</f>
        <v>2861325</v>
      </c>
      <c r="D113" s="52"/>
      <c r="E113" s="51">
        <f>IF(F3="1",SUMIF(Data!A:A,$A$2,Data!AB:AB),0)</f>
        <v>1202832</v>
      </c>
      <c r="F113" s="49">
        <f t="shared" si="7"/>
        <v>4064157</v>
      </c>
    </row>
    <row r="114" spans="1:6" x14ac:dyDescent="0.2">
      <c r="B114" s="43" t="s">
        <v>1363</v>
      </c>
      <c r="C114" s="51">
        <f>IF(F3="1",SUMIF(Data!A:A,$A$2,Data!T:T),0)</f>
        <v>2218404</v>
      </c>
      <c r="D114" s="52"/>
      <c r="E114" s="51">
        <f>IF(F3="1",SUMIF(Data!A:A,$A$2,Data!AA:AA),0)</f>
        <v>1590617</v>
      </c>
      <c r="F114" s="49">
        <f t="shared" si="7"/>
        <v>3809021</v>
      </c>
    </row>
    <row r="115" spans="1:6" x14ac:dyDescent="0.2">
      <c r="B115" s="43" t="s">
        <v>1278</v>
      </c>
      <c r="C115" s="51">
        <f>IF(F3="1",SUMIF(Data!A:A,$A$2,Data!BI:BI),0)</f>
        <v>1831856</v>
      </c>
      <c r="D115" s="51">
        <f>IF(F3="1",SUMIF(Data!A:A,$A$2,Data!BL:BL),0)</f>
        <v>978264</v>
      </c>
      <c r="E115" s="51">
        <f>IF(F3="1",SUMIF(Data!A:A,$A$2,Data!BU:BU),0)</f>
        <v>2813274</v>
      </c>
      <c r="F115" s="49">
        <f t="shared" si="7"/>
        <v>5623394</v>
      </c>
    </row>
    <row r="116" spans="1:6" x14ac:dyDescent="0.2">
      <c r="B116" s="43" t="s">
        <v>33</v>
      </c>
      <c r="C116" s="51">
        <f>IF(F3="1",SUMIF(Data!A:A,$A$2,Data!X:X),0)</f>
        <v>0</v>
      </c>
      <c r="D116" s="51"/>
      <c r="E116" s="51">
        <f>E102</f>
        <v>107786</v>
      </c>
      <c r="F116" s="49">
        <f t="shared" si="7"/>
        <v>107786</v>
      </c>
    </row>
    <row r="117" spans="1:6" ht="15" thickBot="1" x14ac:dyDescent="0.25">
      <c r="B117" s="44" t="s">
        <v>1282</v>
      </c>
      <c r="C117" s="53"/>
      <c r="D117" s="53">
        <f>IF(F3="1",SUMIF(Data!A:A,$A$2,Data!Q:Q),0)</f>
        <v>1598063</v>
      </c>
      <c r="E117" s="53"/>
      <c r="F117" s="50">
        <f>SUM(C117:E117)</f>
        <v>1598063</v>
      </c>
    </row>
    <row r="118" spans="1:6" x14ac:dyDescent="0.2">
      <c r="B118" s="14" t="s">
        <v>35</v>
      </c>
      <c r="C118" s="5">
        <f>SUM(C109:C116)</f>
        <v>26256038</v>
      </c>
      <c r="D118" s="5">
        <f>SUM(D109:D116)</f>
        <v>3847080</v>
      </c>
      <c r="E118" s="5">
        <f>SUM(E109:E116)</f>
        <v>8409792</v>
      </c>
      <c r="F118" s="5">
        <f>SUM(F109:F116)</f>
        <v>38512910</v>
      </c>
    </row>
    <row r="119" spans="1:6" ht="15" thickBot="1" x14ac:dyDescent="0.25"/>
    <row r="120" spans="1:6" ht="15" thickBot="1" x14ac:dyDescent="0.25">
      <c r="B120" s="57" t="s">
        <v>1283</v>
      </c>
      <c r="C120" s="55"/>
      <c r="D120" s="55"/>
      <c r="E120" s="55">
        <f>IF(F3="1",SUMIF(Data!A:A,'37'!$A$2,Data!AM:AM),0)</f>
        <v>935586</v>
      </c>
      <c r="F120" s="56">
        <f>SUM(C120:E120)</f>
        <v>935586</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5703125" style="11" bestFit="1" customWidth="1"/>
    <col min="13" max="13" width="13.42578125" style="11" bestFit="1" customWidth="1"/>
    <col min="14" max="14" width="13.5703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774</v>
      </c>
      <c r="B2" s="60" t="str">
        <f>VLOOKUP(A2,Data!A:G,7,0)</f>
        <v>South Texas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5952</v>
      </c>
      <c r="E5" s="16">
        <f>E36+E67+IFERROR($E$105/$D$105*D5,0)</f>
        <v>40693.831711255174</v>
      </c>
      <c r="F5" s="21">
        <f>IFERROR(E5/D5,"")</f>
        <v>6.8370012955737858</v>
      </c>
    </row>
    <row r="6" spans="1:6" x14ac:dyDescent="0.2">
      <c r="A6" s="20">
        <v>2</v>
      </c>
      <c r="B6" s="179" t="s">
        <v>1</v>
      </c>
      <c r="C6" s="180"/>
      <c r="D6" s="15">
        <f t="shared" ref="D6:D32" si="0">D37</f>
        <v>114032</v>
      </c>
      <c r="E6" s="18">
        <f t="shared" ref="E6:E32" si="1">E37+E68+IFERROR($E$105/$D$105*D6,0)</f>
        <v>1417892.7193712785</v>
      </c>
      <c r="F6" s="22">
        <f t="shared" ref="F6:F33" si="2">IFERROR(E6/D6,"")</f>
        <v>12.434165141111956</v>
      </c>
    </row>
    <row r="7" spans="1:6" ht="14.25" customHeight="1" x14ac:dyDescent="0.2">
      <c r="A7" s="20">
        <v>3</v>
      </c>
      <c r="B7" s="179" t="s">
        <v>2</v>
      </c>
      <c r="C7" s="180"/>
      <c r="D7" s="15">
        <f t="shared" si="0"/>
        <v>1455936</v>
      </c>
      <c r="E7" s="18">
        <f t="shared" si="1"/>
        <v>9954323.1247241274</v>
      </c>
      <c r="F7" s="22">
        <f t="shared" si="2"/>
        <v>6.83706091801022</v>
      </c>
    </row>
    <row r="8" spans="1:6" ht="14.25" customHeight="1" x14ac:dyDescent="0.2">
      <c r="A8" s="20">
        <v>4</v>
      </c>
      <c r="B8" s="179" t="s">
        <v>3</v>
      </c>
      <c r="C8" s="180"/>
      <c r="D8" s="15">
        <f t="shared" si="0"/>
        <v>676978</v>
      </c>
      <c r="E8" s="18">
        <f t="shared" si="1"/>
        <v>3851490.2651582835</v>
      </c>
      <c r="F8" s="22">
        <f t="shared" si="2"/>
        <v>5.6892399238354621</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50555</v>
      </c>
      <c r="E10" s="18">
        <f t="shared" si="1"/>
        <v>554716.70416036714</v>
      </c>
      <c r="F10" s="22">
        <f t="shared" si="2"/>
        <v>10.972538901401784</v>
      </c>
    </row>
    <row r="11" spans="1:6" x14ac:dyDescent="0.2">
      <c r="A11" s="20">
        <v>7</v>
      </c>
      <c r="B11" s="179" t="s">
        <v>6</v>
      </c>
      <c r="C11" s="180"/>
      <c r="D11" s="15">
        <f t="shared" si="0"/>
        <v>794878</v>
      </c>
      <c r="E11" s="18">
        <f t="shared" si="1"/>
        <v>5247951.9658903033</v>
      </c>
      <c r="F11" s="22">
        <f t="shared" si="2"/>
        <v>6.602210610798517</v>
      </c>
    </row>
    <row r="12" spans="1:6" x14ac:dyDescent="0.2">
      <c r="A12" s="20">
        <v>8</v>
      </c>
      <c r="B12" s="179" t="s">
        <v>7</v>
      </c>
      <c r="C12" s="180"/>
      <c r="D12" s="15">
        <f t="shared" si="0"/>
        <v>41965</v>
      </c>
      <c r="E12" s="18">
        <f t="shared" si="1"/>
        <v>881565.74038353888</v>
      </c>
      <c r="F12" s="22">
        <f t="shared" si="2"/>
        <v>21.007166457370161</v>
      </c>
    </row>
    <row r="13" spans="1:6" x14ac:dyDescent="0.2">
      <c r="A13" s="20">
        <v>9</v>
      </c>
      <c r="B13" s="179" t="s">
        <v>8</v>
      </c>
      <c r="C13" s="180"/>
      <c r="D13" s="15">
        <f t="shared" si="0"/>
        <v>307088</v>
      </c>
      <c r="E13" s="18">
        <f t="shared" si="1"/>
        <v>2915362.3092315067</v>
      </c>
      <c r="F13" s="22">
        <f t="shared" si="2"/>
        <v>9.4935728821429262</v>
      </c>
    </row>
    <row r="14" spans="1:6" x14ac:dyDescent="0.2">
      <c r="A14" s="20">
        <v>10</v>
      </c>
      <c r="B14" s="179" t="s">
        <v>9</v>
      </c>
      <c r="C14" s="180"/>
      <c r="D14" s="15">
        <f t="shared" si="0"/>
        <v>19712</v>
      </c>
      <c r="E14" s="18">
        <f t="shared" si="1"/>
        <v>161073.95878566228</v>
      </c>
      <c r="F14" s="22">
        <f t="shared" si="2"/>
        <v>8.1713656039804317</v>
      </c>
    </row>
    <row r="15" spans="1:6" x14ac:dyDescent="0.2">
      <c r="A15" s="20">
        <v>11</v>
      </c>
      <c r="B15" s="179" t="s">
        <v>10</v>
      </c>
      <c r="C15" s="180"/>
      <c r="D15" s="15">
        <f t="shared" si="0"/>
        <v>269593</v>
      </c>
      <c r="E15" s="18">
        <f t="shared" si="1"/>
        <v>1648437.3870182149</v>
      </c>
      <c r="F15" s="22">
        <f t="shared" si="2"/>
        <v>6.1145407596570198</v>
      </c>
    </row>
    <row r="16" spans="1:6" ht="14.25" customHeight="1" x14ac:dyDescent="0.2">
      <c r="A16" s="20">
        <v>12</v>
      </c>
      <c r="B16" s="179" t="s">
        <v>11</v>
      </c>
      <c r="C16" s="180"/>
      <c r="D16" s="15">
        <f t="shared" si="0"/>
        <v>1187650</v>
      </c>
      <c r="E16" s="18">
        <f t="shared" si="1"/>
        <v>10064960.914965088</v>
      </c>
      <c r="F16" s="22">
        <f t="shared" si="2"/>
        <v>8.4746860733087086</v>
      </c>
    </row>
    <row r="17" spans="1:6" x14ac:dyDescent="0.2">
      <c r="A17" s="20">
        <v>13</v>
      </c>
      <c r="B17" s="179" t="s">
        <v>12</v>
      </c>
      <c r="C17" s="180"/>
      <c r="D17" s="15">
        <f t="shared" si="0"/>
        <v>367168</v>
      </c>
      <c r="E17" s="18">
        <f t="shared" si="1"/>
        <v>2404122.1024459237</v>
      </c>
      <c r="F17" s="22">
        <f t="shared" si="2"/>
        <v>6.5477440911133966</v>
      </c>
    </row>
    <row r="18" spans="1:6" ht="14.25" customHeight="1" x14ac:dyDescent="0.2">
      <c r="A18" s="20">
        <v>14</v>
      </c>
      <c r="B18" s="179" t="s">
        <v>804</v>
      </c>
      <c r="C18" s="180"/>
      <c r="D18" s="15">
        <f t="shared" si="0"/>
        <v>311392</v>
      </c>
      <c r="E18" s="18">
        <f t="shared" si="1"/>
        <v>3771939.0827001296</v>
      </c>
      <c r="F18" s="22">
        <f t="shared" si="2"/>
        <v>12.113153461553699</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425977</v>
      </c>
      <c r="E20" s="18">
        <f t="shared" si="1"/>
        <v>4565122.884722</v>
      </c>
      <c r="F20" s="22">
        <f t="shared" si="2"/>
        <v>10.716829511269388</v>
      </c>
    </row>
    <row r="21" spans="1:6" x14ac:dyDescent="0.2">
      <c r="A21" s="20">
        <v>17</v>
      </c>
      <c r="B21" s="179" t="s">
        <v>15</v>
      </c>
      <c r="C21" s="180"/>
      <c r="D21" s="15">
        <f t="shared" si="0"/>
        <v>27200</v>
      </c>
      <c r="E21" s="18">
        <f t="shared" si="1"/>
        <v>550421.5535191769</v>
      </c>
      <c r="F21" s="22">
        <f t="shared" si="2"/>
        <v>20.236086526440328</v>
      </c>
    </row>
    <row r="22" spans="1:6" x14ac:dyDescent="0.2">
      <c r="A22" s="20">
        <v>18</v>
      </c>
      <c r="B22" s="179" t="s">
        <v>16</v>
      </c>
      <c r="C22" s="180"/>
      <c r="D22" s="15">
        <f t="shared" si="0"/>
        <v>223440</v>
      </c>
      <c r="E22" s="18">
        <f t="shared" si="1"/>
        <v>3241611.964644297</v>
      </c>
      <c r="F22" s="22">
        <f t="shared" si="2"/>
        <v>14.507751363427753</v>
      </c>
    </row>
    <row r="23" spans="1:6" x14ac:dyDescent="0.2">
      <c r="A23" s="20">
        <v>19</v>
      </c>
      <c r="B23" s="179" t="s">
        <v>17</v>
      </c>
      <c r="C23" s="180"/>
      <c r="D23" s="15">
        <f t="shared" si="0"/>
        <v>891600</v>
      </c>
      <c r="E23" s="18">
        <f t="shared" si="1"/>
        <v>5373725.8793271352</v>
      </c>
      <c r="F23" s="22">
        <f t="shared" si="2"/>
        <v>6.0270590840367149</v>
      </c>
    </row>
    <row r="24" spans="1:6" x14ac:dyDescent="0.2">
      <c r="A24" s="20">
        <v>20</v>
      </c>
      <c r="B24" s="179" t="s">
        <v>18</v>
      </c>
      <c r="C24" s="180"/>
      <c r="D24" s="15">
        <f t="shared" si="0"/>
        <v>194992</v>
      </c>
      <c r="E24" s="18">
        <f t="shared" si="1"/>
        <v>1610654.9786695344</v>
      </c>
      <c r="F24" s="22">
        <f t="shared" si="2"/>
        <v>8.2601079976077703</v>
      </c>
    </row>
    <row r="25" spans="1:6" ht="14.25" customHeight="1" x14ac:dyDescent="0.2">
      <c r="A25" s="20">
        <v>21</v>
      </c>
      <c r="B25" s="179" t="s">
        <v>801</v>
      </c>
      <c r="C25" s="180"/>
      <c r="D25" s="15">
        <f t="shared" si="0"/>
        <v>74582</v>
      </c>
      <c r="E25" s="18">
        <f t="shared" si="1"/>
        <v>631234.62612379587</v>
      </c>
      <c r="F25" s="22">
        <f t="shared" si="2"/>
        <v>8.4636323258131441</v>
      </c>
    </row>
    <row r="26" spans="1:6" x14ac:dyDescent="0.2">
      <c r="A26" s="20">
        <v>22</v>
      </c>
      <c r="B26" s="179" t="s">
        <v>19</v>
      </c>
      <c r="C26" s="180"/>
      <c r="D26" s="15">
        <f t="shared" si="0"/>
        <v>161891</v>
      </c>
      <c r="E26" s="18">
        <f t="shared" si="1"/>
        <v>1256147.7457269507</v>
      </c>
      <c r="F26" s="22">
        <f t="shared" si="2"/>
        <v>7.7592191395874428</v>
      </c>
    </row>
    <row r="27" spans="1:6" x14ac:dyDescent="0.2">
      <c r="A27" s="20">
        <v>23</v>
      </c>
      <c r="B27" s="179" t="s">
        <v>20</v>
      </c>
      <c r="C27" s="180"/>
      <c r="D27" s="15">
        <f t="shared" si="0"/>
        <v>101952</v>
      </c>
      <c r="E27" s="18">
        <f t="shared" si="1"/>
        <v>1004474.0206024677</v>
      </c>
      <c r="F27" s="22">
        <f t="shared" si="2"/>
        <v>9.8524209490982795</v>
      </c>
    </row>
    <row r="28" spans="1:6" x14ac:dyDescent="0.2">
      <c r="A28" s="20">
        <v>24</v>
      </c>
      <c r="B28" s="179" t="s">
        <v>21</v>
      </c>
      <c r="C28" s="180"/>
      <c r="D28" s="15">
        <f t="shared" si="0"/>
        <v>204753</v>
      </c>
      <c r="E28" s="18">
        <f t="shared" si="1"/>
        <v>1386274.046937942</v>
      </c>
      <c r="F28" s="22">
        <f t="shared" si="2"/>
        <v>6.770470014788267</v>
      </c>
    </row>
    <row r="29" spans="1:6" x14ac:dyDescent="0.2">
      <c r="A29" s="20">
        <v>25</v>
      </c>
      <c r="B29" s="179" t="s">
        <v>22</v>
      </c>
      <c r="C29" s="180"/>
      <c r="D29" s="15">
        <f t="shared" si="0"/>
        <v>1745664</v>
      </c>
      <c r="E29" s="18">
        <f t="shared" si="1"/>
        <v>12292179.674797807</v>
      </c>
      <c r="F29" s="22">
        <f t="shared" si="2"/>
        <v>7.041549619398582</v>
      </c>
    </row>
    <row r="30" spans="1:6" x14ac:dyDescent="0.2">
      <c r="A30" s="20">
        <v>26</v>
      </c>
      <c r="B30" s="179" t="s">
        <v>23</v>
      </c>
      <c r="C30" s="180"/>
      <c r="D30" s="15">
        <f t="shared" si="0"/>
        <v>393888</v>
      </c>
      <c r="E30" s="18">
        <f t="shared" si="1"/>
        <v>2992508.1050206446</v>
      </c>
      <c r="F30" s="22">
        <f t="shared" si="2"/>
        <v>7.5973578911280484</v>
      </c>
    </row>
    <row r="31" spans="1:6" x14ac:dyDescent="0.2">
      <c r="A31" s="20">
        <v>28</v>
      </c>
      <c r="B31" s="179" t="s">
        <v>24</v>
      </c>
      <c r="C31" s="180"/>
      <c r="D31" s="15">
        <f t="shared" si="0"/>
        <v>654848</v>
      </c>
      <c r="E31" s="18">
        <f t="shared" si="1"/>
        <v>4578435.9684899235</v>
      </c>
      <c r="F31" s="22">
        <f t="shared" si="2"/>
        <v>6.9916010562602677</v>
      </c>
    </row>
    <row r="32" spans="1:6" ht="15.75" customHeight="1" thickBot="1" x14ac:dyDescent="0.25">
      <c r="A32" s="23">
        <v>29</v>
      </c>
      <c r="B32" s="181" t="s">
        <v>25</v>
      </c>
      <c r="C32" s="182"/>
      <c r="D32" s="24">
        <f t="shared" si="0"/>
        <v>782608</v>
      </c>
      <c r="E32" s="25">
        <f t="shared" si="1"/>
        <v>5164477.4448726457</v>
      </c>
      <c r="F32" s="26">
        <f t="shared" si="2"/>
        <v>6.599060378724273</v>
      </c>
    </row>
    <row r="33" spans="1:6" x14ac:dyDescent="0.2">
      <c r="B33" s="31" t="s">
        <v>35</v>
      </c>
      <c r="C33" s="31"/>
      <c r="D33" s="61">
        <f>SUM(D5:D32)</f>
        <v>11486294</v>
      </c>
      <c r="E33" s="32">
        <f>SUM(E5:E32)</f>
        <v>87561798.999999985</v>
      </c>
      <c r="F33" s="33">
        <f t="shared" si="2"/>
        <v>7.6231549531990028</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IF(F3="1",SUMIF(Data!A:A,'38'!$A$2,Data!CU:CU),0)</f>
        <v>5952</v>
      </c>
      <c r="E36" s="16">
        <f>IF(F3="1",SUMIF(Data!$A:$A,'38'!$A$2,Data!IO:IO),0)</f>
        <v>5312</v>
      </c>
      <c r="F36" s="21">
        <f t="shared" ref="F36:F64" si="3">IFERROR(E36/D36,"")</f>
        <v>0.89247311827956988</v>
      </c>
    </row>
    <row r="37" spans="1:6" x14ac:dyDescent="0.2">
      <c r="A37" s="20">
        <v>2</v>
      </c>
      <c r="B37" s="179" t="s">
        <v>1</v>
      </c>
      <c r="C37" s="180"/>
      <c r="D37" s="15">
        <f>IF(F3="1",SUMIF(Data!A:A,'38'!$A$2,Data!CV:CV),0)</f>
        <v>114032</v>
      </c>
      <c r="E37" s="18">
        <f>IF(F3="1",SUMIF(Data!$A:$A,'38'!$A$2,Data!IP:IP),0)</f>
        <v>393575</v>
      </c>
      <c r="F37" s="22">
        <f t="shared" si="3"/>
        <v>3.451443454468921</v>
      </c>
    </row>
    <row r="38" spans="1:6" ht="14.25" customHeight="1" x14ac:dyDescent="0.2">
      <c r="A38" s="20">
        <v>3</v>
      </c>
      <c r="B38" s="179" t="s">
        <v>2</v>
      </c>
      <c r="C38" s="180"/>
      <c r="D38" s="15">
        <f>IF(F3="1",SUMIF(Data!A:A,'38'!$A$2,Data!CW:CW),0)</f>
        <v>1455936</v>
      </c>
      <c r="E38" s="18">
        <f>IF(F3="1",SUMIF(Data!$A:$A,'38'!$A$2,Data!IQ:IQ),0)</f>
        <v>1299377</v>
      </c>
      <c r="F38" s="22">
        <f t="shared" si="3"/>
        <v>0.89246848762582975</v>
      </c>
    </row>
    <row r="39" spans="1:6" ht="14.25" customHeight="1" x14ac:dyDescent="0.2">
      <c r="A39" s="20">
        <v>4</v>
      </c>
      <c r="B39" s="179" t="s">
        <v>3</v>
      </c>
      <c r="C39" s="180"/>
      <c r="D39" s="15">
        <f>IF(F3="1",SUMIF(Data!A:A,'38'!$A$2,Data!CX:CX),0)</f>
        <v>676978</v>
      </c>
      <c r="E39" s="18">
        <f>IF(F3="1",SUMIF(Data!$A:$A,'38'!$A$2,Data!IR:IR),0)</f>
        <v>404524</v>
      </c>
      <c r="F39" s="22">
        <f t="shared" si="3"/>
        <v>0.59754379019702264</v>
      </c>
    </row>
    <row r="40" spans="1:6" x14ac:dyDescent="0.2">
      <c r="A40" s="20">
        <v>5</v>
      </c>
      <c r="B40" s="179" t="s">
        <v>4</v>
      </c>
      <c r="C40" s="180"/>
      <c r="D40" s="15">
        <f>IF(F3="1",SUMIF(Data!A:A,'38'!$A$2,Data!CY:CY),0)</f>
        <v>0</v>
      </c>
      <c r="E40" s="18">
        <f>IF(F3="1",SUMIF(Data!$A:$A,'38'!$A$2,Data!IS:IS),0)</f>
        <v>0</v>
      </c>
      <c r="F40" s="22" t="str">
        <f t="shared" si="3"/>
        <v/>
      </c>
    </row>
    <row r="41" spans="1:6" x14ac:dyDescent="0.2">
      <c r="A41" s="20">
        <v>6</v>
      </c>
      <c r="B41" s="179" t="s">
        <v>5</v>
      </c>
      <c r="C41" s="180"/>
      <c r="D41" s="15">
        <f>IF(F3="1",SUMIF(Data!A:A,'38'!$A$2,Data!CZ:CZ),0)</f>
        <v>50555</v>
      </c>
      <c r="E41" s="18">
        <f>IF(F3="1",SUMIF(Data!$A:$A,'38'!$A$2,Data!IT:IT),0)</f>
        <v>265753</v>
      </c>
      <c r="F41" s="22">
        <f t="shared" si="3"/>
        <v>5.2567105133023437</v>
      </c>
    </row>
    <row r="42" spans="1:6" x14ac:dyDescent="0.2">
      <c r="A42" s="20">
        <v>7</v>
      </c>
      <c r="B42" s="179" t="s">
        <v>6</v>
      </c>
      <c r="C42" s="180"/>
      <c r="D42" s="15">
        <f>IF(F3="1",SUMIF(Data!A:A,'38'!$A$2,Data!DA:DA),0)</f>
        <v>794878</v>
      </c>
      <c r="E42" s="18">
        <f>IF(F3="1",SUMIF(Data!$A:$A,'38'!$A$2,Data!IU:IU),0)</f>
        <v>704572</v>
      </c>
      <c r="F42" s="22">
        <f t="shared" si="3"/>
        <v>0.88639011269653956</v>
      </c>
    </row>
    <row r="43" spans="1:6" x14ac:dyDescent="0.2">
      <c r="A43" s="20">
        <v>8</v>
      </c>
      <c r="B43" s="179" t="s">
        <v>7</v>
      </c>
      <c r="C43" s="180"/>
      <c r="D43" s="15">
        <f>IF(F3="1",SUMIF(Data!A:A,'38'!$A$2,Data!DB:DB),0)</f>
        <v>41965</v>
      </c>
      <c r="E43" s="18">
        <f>IF(F3="1",SUMIF(Data!$A:$A,'38'!$A$2,Data!IV:IV),0)</f>
        <v>280631</v>
      </c>
      <c r="F43" s="22">
        <f t="shared" si="3"/>
        <v>6.6872631955200763</v>
      </c>
    </row>
    <row r="44" spans="1:6" x14ac:dyDescent="0.2">
      <c r="A44" s="20">
        <v>9</v>
      </c>
      <c r="B44" s="179" t="s">
        <v>8</v>
      </c>
      <c r="C44" s="180"/>
      <c r="D44" s="15">
        <f>IF(F3="1",SUMIF(Data!A:A,'38'!$A$2,Data!DC:DC),0)</f>
        <v>307088</v>
      </c>
      <c r="E44" s="18">
        <f>IF(F3="1",SUMIF(Data!$A:$A,'38'!$A$2,Data!IW:IW),0)</f>
        <v>707507</v>
      </c>
      <c r="F44" s="22">
        <f t="shared" si="3"/>
        <v>2.3039226540926379</v>
      </c>
    </row>
    <row r="45" spans="1:6" x14ac:dyDescent="0.2">
      <c r="A45" s="20">
        <v>10</v>
      </c>
      <c r="B45" s="179" t="s">
        <v>9</v>
      </c>
      <c r="C45" s="180"/>
      <c r="D45" s="15">
        <f>IF(F3="1",SUMIF(Data!A:A,'38'!$A$2,Data!DD:DD),0)</f>
        <v>19712</v>
      </c>
      <c r="E45" s="18">
        <f>IF(F3="1",SUMIF(Data!$A:$A,'38'!$A$2,Data!IX:IX),0)</f>
        <v>33792</v>
      </c>
      <c r="F45" s="22">
        <f t="shared" si="3"/>
        <v>1.7142857142857142</v>
      </c>
    </row>
    <row r="46" spans="1:6" x14ac:dyDescent="0.2">
      <c r="A46" s="20">
        <v>11</v>
      </c>
      <c r="B46" s="179" t="s">
        <v>10</v>
      </c>
      <c r="C46" s="180"/>
      <c r="D46" s="15">
        <f>IF(F3="1",SUMIF(Data!A:A,'38'!$A$2,Data!DE:DE),0)</f>
        <v>269593</v>
      </c>
      <c r="E46" s="18">
        <f>IF(F3="1",SUMIF(Data!$A:$A,'38'!$A$2,Data!IY:IY),0)</f>
        <v>335701</v>
      </c>
      <c r="F46" s="22">
        <f t="shared" si="3"/>
        <v>1.2452140819680035</v>
      </c>
    </row>
    <row r="47" spans="1:6" ht="14.25" customHeight="1" x14ac:dyDescent="0.2">
      <c r="A47" s="20">
        <v>12</v>
      </c>
      <c r="B47" s="179" t="s">
        <v>11</v>
      </c>
      <c r="C47" s="180"/>
      <c r="D47" s="15">
        <f>IF(F3="1",SUMIF(Data!A:A,'38'!$A$2,Data!DF:DF),0)</f>
        <v>1187650</v>
      </c>
      <c r="E47" s="18">
        <f>IF(F3="1",SUMIF(Data!$A:$A,'38'!$A$2,Data!IZ:IZ),0)</f>
        <v>869704</v>
      </c>
      <c r="F47" s="22">
        <f t="shared" si="3"/>
        <v>0.73228981602323917</v>
      </c>
    </row>
    <row r="48" spans="1:6" x14ac:dyDescent="0.2">
      <c r="A48" s="20">
        <v>13</v>
      </c>
      <c r="B48" s="179" t="s">
        <v>12</v>
      </c>
      <c r="C48" s="180"/>
      <c r="D48" s="15">
        <f>IF(F3="1",SUMIF(Data!A:A,'38'!$A$2,Data!DG:DG),0)</f>
        <v>367168</v>
      </c>
      <c r="E48" s="18">
        <f>IF(F3="1",SUMIF(Data!$A:$A,'38'!$A$2,Data!JA:JA),0)</f>
        <v>160472</v>
      </c>
      <c r="F48" s="22">
        <f t="shared" si="3"/>
        <v>0.43705333798152346</v>
      </c>
    </row>
    <row r="49" spans="1:6" ht="14.25" customHeight="1" x14ac:dyDescent="0.2">
      <c r="A49" s="20">
        <v>14</v>
      </c>
      <c r="B49" s="179" t="s">
        <v>804</v>
      </c>
      <c r="C49" s="180"/>
      <c r="D49" s="15">
        <f>IF(F3="1",SUMIF(Data!A:A,'38'!$A$2,Data!DH:DH),0)</f>
        <v>311392</v>
      </c>
      <c r="E49" s="18">
        <f>IF(F3="1",SUMIF(Data!$A:$A,'38'!$A$2,Data!JB:JB),0)</f>
        <v>482329</v>
      </c>
      <c r="F49" s="22">
        <f t="shared" si="3"/>
        <v>1.5489447384647004</v>
      </c>
    </row>
    <row r="50" spans="1:6" x14ac:dyDescent="0.2">
      <c r="A50" s="20">
        <v>15</v>
      </c>
      <c r="B50" s="179" t="s">
        <v>13</v>
      </c>
      <c r="C50" s="180"/>
      <c r="D50" s="15">
        <f>IF(F3="1",SUMIF(Data!A:A,'38'!$A$2,Data!DI:DI),0)</f>
        <v>0</v>
      </c>
      <c r="E50" s="18">
        <f>IF(F3="1",SUMIF(Data!$A:$A,'38'!$A$2,Data!JC:JC),0)</f>
        <v>0</v>
      </c>
      <c r="F50" s="22" t="str">
        <f t="shared" si="3"/>
        <v/>
      </c>
    </row>
    <row r="51" spans="1:6" x14ac:dyDescent="0.2">
      <c r="A51" s="20">
        <v>16</v>
      </c>
      <c r="B51" s="179" t="s">
        <v>14</v>
      </c>
      <c r="C51" s="180"/>
      <c r="D51" s="15">
        <f>IF(F3="1",SUMIF(Data!A:A,'38'!$A$2,Data!DJ:DJ),0)</f>
        <v>425977</v>
      </c>
      <c r="E51" s="18">
        <f>IF(F3="1",SUMIF(Data!$A:$A,'38'!$A$2,Data!JD:JD),0)</f>
        <v>994614</v>
      </c>
      <c r="F51" s="22">
        <f t="shared" si="3"/>
        <v>2.3349007106017461</v>
      </c>
    </row>
    <row r="52" spans="1:6" x14ac:dyDescent="0.2">
      <c r="A52" s="20">
        <v>17</v>
      </c>
      <c r="B52" s="179" t="s">
        <v>15</v>
      </c>
      <c r="C52" s="180"/>
      <c r="D52" s="15">
        <f>IF(F3="1",SUMIF(Data!A:A,'38'!$A$2,Data!DK:DK),0)</f>
        <v>27200</v>
      </c>
      <c r="E52" s="18">
        <f>IF(F3="1",SUMIF(Data!$A:$A,'38'!$A$2,Data!JE:JE),0)</f>
        <v>168592</v>
      </c>
      <c r="F52" s="22">
        <f t="shared" si="3"/>
        <v>6.1982352941176471</v>
      </c>
    </row>
    <row r="53" spans="1:6" x14ac:dyDescent="0.2">
      <c r="A53" s="20">
        <v>18</v>
      </c>
      <c r="B53" s="179" t="s">
        <v>16</v>
      </c>
      <c r="C53" s="180"/>
      <c r="D53" s="15">
        <f>IF(F3="1",SUMIF(Data!A:A,'38'!$A$2,Data!DL:DL),0)</f>
        <v>223440</v>
      </c>
      <c r="E53" s="18">
        <f>IF(F3="1",SUMIF(Data!$A:$A,'38'!$A$2,Data!JF:JF),0)</f>
        <v>697530</v>
      </c>
      <c r="F53" s="22">
        <f t="shared" si="3"/>
        <v>3.1217776584317938</v>
      </c>
    </row>
    <row r="54" spans="1:6" x14ac:dyDescent="0.2">
      <c r="A54" s="20">
        <v>19</v>
      </c>
      <c r="B54" s="179" t="s">
        <v>17</v>
      </c>
      <c r="C54" s="180"/>
      <c r="D54" s="15">
        <f>IF(F3="1",SUMIF(Data!A:A,'38'!$A$2,Data!DM:DM),0)</f>
        <v>891600</v>
      </c>
      <c r="E54" s="18">
        <f>IF(F3="1",SUMIF(Data!$A:$A,'38'!$A$2,Data!JG:JG),0)</f>
        <v>474584</v>
      </c>
      <c r="F54" s="22">
        <f t="shared" si="3"/>
        <v>0.53228353521758631</v>
      </c>
    </row>
    <row r="55" spans="1:6" x14ac:dyDescent="0.2">
      <c r="A55" s="20">
        <v>20</v>
      </c>
      <c r="B55" s="179" t="s">
        <v>18</v>
      </c>
      <c r="C55" s="180"/>
      <c r="D55" s="15">
        <f>IF(F3="1",SUMIF(Data!A:A,'38'!$A$2,Data!DN:DN),0)</f>
        <v>194992</v>
      </c>
      <c r="E55" s="18">
        <f>IF(F3="1",SUMIF(Data!$A:$A,'38'!$A$2,Data!JH:JH),0)</f>
        <v>255965</v>
      </c>
      <c r="F55" s="22">
        <f t="shared" si="3"/>
        <v>1.31269487978994</v>
      </c>
    </row>
    <row r="56" spans="1:6" ht="14.25" customHeight="1" x14ac:dyDescent="0.2">
      <c r="A56" s="20">
        <v>21</v>
      </c>
      <c r="B56" s="179" t="s">
        <v>801</v>
      </c>
      <c r="C56" s="180"/>
      <c r="D56" s="15">
        <f>IF(F3="1",SUMIF(Data!A:A,'38'!$A$2,Data!DO:DO),0)</f>
        <v>74582</v>
      </c>
      <c r="E56" s="18">
        <f>IF(F3="1",SUMIF(Data!$A:$A,'38'!$A$2,Data!JI:JI),0)</f>
        <v>144062</v>
      </c>
      <c r="F56" s="22">
        <f t="shared" si="3"/>
        <v>1.9315920731543803</v>
      </c>
    </row>
    <row r="57" spans="1:6" x14ac:dyDescent="0.2">
      <c r="A57" s="20">
        <v>22</v>
      </c>
      <c r="B57" s="179" t="s">
        <v>19</v>
      </c>
      <c r="C57" s="180"/>
      <c r="D57" s="15">
        <f>IF(F3="1",SUMIF(Data!A:A,'38'!$A$2,Data!DP:DP),0)</f>
        <v>161891</v>
      </c>
      <c r="E57" s="18">
        <f>IF(F3="1",SUMIF(Data!$A:$A,'38'!$A$2,Data!JJ:JJ),0)</f>
        <v>203242</v>
      </c>
      <c r="F57" s="22">
        <f t="shared" si="3"/>
        <v>1.2554249464145628</v>
      </c>
    </row>
    <row r="58" spans="1:6" x14ac:dyDescent="0.2">
      <c r="A58" s="20">
        <v>23</v>
      </c>
      <c r="B58" s="179" t="s">
        <v>20</v>
      </c>
      <c r="C58" s="180"/>
      <c r="D58" s="15">
        <f>IF(F3="1",SUMIF(Data!A:A,'38'!$A$2,Data!DQ:DQ),0)</f>
        <v>101952</v>
      </c>
      <c r="E58" s="18">
        <f>IF(F3="1",SUMIF(Data!$A:$A,'38'!$A$2,Data!JK:JK),0)</f>
        <v>243809</v>
      </c>
      <c r="F58" s="22">
        <f t="shared" si="3"/>
        <v>2.3914096829880727</v>
      </c>
    </row>
    <row r="59" spans="1:6" x14ac:dyDescent="0.2">
      <c r="A59" s="20">
        <v>24</v>
      </c>
      <c r="B59" s="179" t="s">
        <v>21</v>
      </c>
      <c r="C59" s="180"/>
      <c r="D59" s="15">
        <f>IF(F3="1",SUMIF(Data!A:A,'38'!$A$2,Data!DR:DR),0)</f>
        <v>204753</v>
      </c>
      <c r="E59" s="18">
        <f>IF(F3="1",SUMIF(Data!$A:$A,'38'!$A$2,Data!JL:JL),0)</f>
        <v>91988</v>
      </c>
      <c r="F59" s="22">
        <f t="shared" si="3"/>
        <v>0.44926325865799283</v>
      </c>
    </row>
    <row r="60" spans="1:6" x14ac:dyDescent="0.2">
      <c r="A60" s="20">
        <v>25</v>
      </c>
      <c r="B60" s="179" t="s">
        <v>22</v>
      </c>
      <c r="C60" s="180"/>
      <c r="D60" s="15">
        <f>IF(F3="1",SUMIF(Data!A:A,'38'!$A$2,Data!DS:DS),0)</f>
        <v>1745664</v>
      </c>
      <c r="E60" s="18">
        <f>IF(F3="1",SUMIF(Data!$A:$A,'38'!$A$2,Data!JM:JM),0)</f>
        <v>849808</v>
      </c>
      <c r="F60" s="22">
        <f t="shared" si="3"/>
        <v>0.48681074937674146</v>
      </c>
    </row>
    <row r="61" spans="1:6" x14ac:dyDescent="0.2">
      <c r="A61" s="20">
        <v>26</v>
      </c>
      <c r="B61" s="179" t="s">
        <v>23</v>
      </c>
      <c r="C61" s="180"/>
      <c r="D61" s="15">
        <f>IF(F3="1",SUMIF(Data!A:A,'38'!$A$2,Data!DT:DT),0)</f>
        <v>393888</v>
      </c>
      <c r="E61" s="18">
        <f>IF(F3="1",SUMIF(Data!$A:$A,'38'!$A$2,Data!JN:JN),0)</f>
        <v>266955</v>
      </c>
      <c r="F61" s="22">
        <f t="shared" si="3"/>
        <v>0.67774341944918348</v>
      </c>
    </row>
    <row r="62" spans="1:6" x14ac:dyDescent="0.2">
      <c r="A62" s="20">
        <v>28</v>
      </c>
      <c r="B62" s="179" t="s">
        <v>24</v>
      </c>
      <c r="C62" s="180"/>
      <c r="D62" s="15">
        <f>IF(F3="1",SUMIF(Data!A:A,'38'!$A$2,Data!DV:DV),0)</f>
        <v>654848</v>
      </c>
      <c r="E62" s="18">
        <f>IF(F3="1",SUMIF(Data!$A:$A,'38'!$A$2,Data!JP:JP),0)</f>
        <v>311530</v>
      </c>
      <c r="F62" s="22">
        <f t="shared" si="3"/>
        <v>0.47572871872556682</v>
      </c>
    </row>
    <row r="63" spans="1:6" ht="15.75" customHeight="1" thickBot="1" x14ac:dyDescent="0.25">
      <c r="A63" s="23">
        <v>29</v>
      </c>
      <c r="B63" s="181" t="s">
        <v>25</v>
      </c>
      <c r="C63" s="182"/>
      <c r="D63" s="24">
        <f>IF(F3="1",SUMIF(Data!A:A,'38'!$A$2,Data!DW:DW),0)</f>
        <v>782608</v>
      </c>
      <c r="E63" s="25">
        <f>IF(F3="1",SUMIF(Data!$A:$A,'38'!$A$2,Data!JQ:JQ),0)</f>
        <v>333203</v>
      </c>
      <c r="F63" s="26">
        <f t="shared" si="3"/>
        <v>0.42575976734201543</v>
      </c>
    </row>
    <row r="64" spans="1:6" x14ac:dyDescent="0.2">
      <c r="B64" s="31" t="s">
        <v>35</v>
      </c>
      <c r="C64" s="31"/>
      <c r="D64" s="61">
        <f>SUM(D36:D63)</f>
        <v>11486294</v>
      </c>
      <c r="E64" s="32">
        <f>SUM(E36:E63)</f>
        <v>10979131</v>
      </c>
      <c r="F64" s="33">
        <f t="shared" si="3"/>
        <v>0.95584624596932655</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5952</v>
      </c>
      <c r="E67" s="16">
        <f>IF(F3="1",SUMIF(Data!A:A,'38'!$A$2,Data!DY:DY),0)</f>
        <v>16341</v>
      </c>
      <c r="F67" s="21">
        <f>IFERROR(E67/D67,"")</f>
        <v>2.7454637096774195</v>
      </c>
    </row>
    <row r="68" spans="1:6" x14ac:dyDescent="0.2">
      <c r="A68" s="20">
        <v>2</v>
      </c>
      <c r="B68" s="179" t="s">
        <v>1</v>
      </c>
      <c r="C68" s="180"/>
      <c r="D68" s="15">
        <f t="shared" ref="D68:D94" si="4">D37</f>
        <v>114032</v>
      </c>
      <c r="E68" s="18">
        <f>IF(F3="1",SUMIF(Data!A:A,'38'!$A$2,Data!DZ:DZ),0)</f>
        <v>659522</v>
      </c>
      <c r="F68" s="22">
        <f t="shared" ref="F68:F95" si="5">IFERROR(E68/D68,"")</f>
        <v>5.7836572190262379</v>
      </c>
    </row>
    <row r="69" spans="1:6" ht="14.25" customHeight="1" x14ac:dyDescent="0.2">
      <c r="A69" s="20">
        <v>3</v>
      </c>
      <c r="B69" s="179" t="s">
        <v>2</v>
      </c>
      <c r="C69" s="180"/>
      <c r="D69" s="15">
        <f t="shared" si="4"/>
        <v>1455936</v>
      </c>
      <c r="E69" s="18">
        <f>IF(F3="1",SUMIF(Data!A:A,'38'!$A$2,Data!EA:EA),0)</f>
        <v>3997313</v>
      </c>
      <c r="F69" s="22">
        <f t="shared" si="5"/>
        <v>2.7455279627675941</v>
      </c>
    </row>
    <row r="70" spans="1:6" ht="14.25" customHeight="1" x14ac:dyDescent="0.2">
      <c r="A70" s="20">
        <v>4</v>
      </c>
      <c r="B70" s="179" t="s">
        <v>3</v>
      </c>
      <c r="C70" s="180"/>
      <c r="D70" s="15">
        <f t="shared" si="4"/>
        <v>676978</v>
      </c>
      <c r="E70" s="18">
        <f>IF(F3="1",SUMIF(Data!A:A,'38'!$A$2,Data!EB:EB),0)</f>
        <v>1281270</v>
      </c>
      <c r="F70" s="22">
        <f t="shared" si="5"/>
        <v>1.8926316660216433</v>
      </c>
    </row>
    <row r="71" spans="1:6" x14ac:dyDescent="0.2">
      <c r="A71" s="20">
        <v>5</v>
      </c>
      <c r="B71" s="179" t="s">
        <v>4</v>
      </c>
      <c r="C71" s="180"/>
      <c r="D71" s="15">
        <f t="shared" si="4"/>
        <v>0</v>
      </c>
      <c r="E71" s="18">
        <f>IF(F3="1",SUMIF(Data!A:A,'38'!$A$2,Data!EC:EC),0)</f>
        <v>0</v>
      </c>
      <c r="F71" s="22" t="str">
        <f t="shared" si="5"/>
        <v/>
      </c>
    </row>
    <row r="72" spans="1:6" x14ac:dyDescent="0.2">
      <c r="A72" s="20">
        <v>6</v>
      </c>
      <c r="B72" s="179" t="s">
        <v>5</v>
      </c>
      <c r="C72" s="180"/>
      <c r="D72" s="15">
        <f t="shared" si="4"/>
        <v>50555</v>
      </c>
      <c r="E72" s="18">
        <f>IF(F3="1",SUMIF(Data!A:A,'38'!$A$2,Data!ED:ED),0)</f>
        <v>127235</v>
      </c>
      <c r="F72" s="22">
        <f t="shared" si="5"/>
        <v>2.5167639204826426</v>
      </c>
    </row>
    <row r="73" spans="1:6" x14ac:dyDescent="0.2">
      <c r="A73" s="20">
        <v>7</v>
      </c>
      <c r="B73" s="179" t="s">
        <v>6</v>
      </c>
      <c r="C73" s="180"/>
      <c r="D73" s="15">
        <f t="shared" si="4"/>
        <v>794878</v>
      </c>
      <c r="E73" s="18">
        <f>IF(F3="1",SUMIF(Data!A:A,'38'!$A$2,Data!EE:EE),0)</f>
        <v>2000514</v>
      </c>
      <c r="F73" s="22">
        <f t="shared" si="5"/>
        <v>2.5167560304851815</v>
      </c>
    </row>
    <row r="74" spans="1:6" x14ac:dyDescent="0.2">
      <c r="A74" s="20">
        <v>8</v>
      </c>
      <c r="B74" s="179" t="s">
        <v>7</v>
      </c>
      <c r="C74" s="180"/>
      <c r="D74" s="15">
        <f t="shared" si="4"/>
        <v>41965</v>
      </c>
      <c r="E74" s="18">
        <f>IF(F3="1",SUMIF(Data!A:A,'38'!$A$2,Data!EF:EF),0)</f>
        <v>466686</v>
      </c>
      <c r="F74" s="22">
        <f t="shared" si="5"/>
        <v>11.12083879423329</v>
      </c>
    </row>
    <row r="75" spans="1:6" x14ac:dyDescent="0.2">
      <c r="A75" s="20">
        <v>9</v>
      </c>
      <c r="B75" s="179" t="s">
        <v>8</v>
      </c>
      <c r="C75" s="180"/>
      <c r="D75" s="15">
        <f t="shared" si="4"/>
        <v>307088</v>
      </c>
      <c r="E75" s="18">
        <f>IF(F3="1",SUMIF(Data!A:A,'38'!$A$2,Data!EG:EG),0)</f>
        <v>1225461</v>
      </c>
      <c r="F75" s="22">
        <f t="shared" si="5"/>
        <v>3.9905857604334916</v>
      </c>
    </row>
    <row r="76" spans="1:6" x14ac:dyDescent="0.2">
      <c r="A76" s="20">
        <v>10</v>
      </c>
      <c r="B76" s="179" t="s">
        <v>9</v>
      </c>
      <c r="C76" s="180"/>
      <c r="D76" s="15">
        <f t="shared" si="4"/>
        <v>19712</v>
      </c>
      <c r="E76" s="18">
        <f>IF(F3="1",SUMIF(Data!A:A,'38'!$A$2,Data!EH:EH),0)</f>
        <v>64222</v>
      </c>
      <c r="F76" s="22">
        <f t="shared" si="5"/>
        <v>3.2580154220779223</v>
      </c>
    </row>
    <row r="77" spans="1:6" x14ac:dyDescent="0.2">
      <c r="A77" s="20">
        <v>11</v>
      </c>
      <c r="B77" s="179" t="s">
        <v>10</v>
      </c>
      <c r="C77" s="180"/>
      <c r="D77" s="15">
        <f t="shared" si="4"/>
        <v>269593</v>
      </c>
      <c r="E77" s="18">
        <f>IF(F3="1",SUMIF(Data!A:A,'38'!$A$2,Data!EI:EI),0)</f>
        <v>450291</v>
      </c>
      <c r="F77" s="22">
        <f t="shared" si="5"/>
        <v>1.67026221007222</v>
      </c>
    </row>
    <row r="78" spans="1:6" ht="14.25" customHeight="1" x14ac:dyDescent="0.2">
      <c r="A78" s="20">
        <v>12</v>
      </c>
      <c r="B78" s="179" t="s">
        <v>11</v>
      </c>
      <c r="C78" s="180"/>
      <c r="D78" s="15">
        <f t="shared" si="4"/>
        <v>1187650</v>
      </c>
      <c r="E78" s="18">
        <f>IF(F3="1",SUMIF(Data!A:A,'38'!$A$2,Data!EJ:EJ),0)</f>
        <v>5395888</v>
      </c>
      <c r="F78" s="22">
        <f t="shared" si="5"/>
        <v>4.5433317896686738</v>
      </c>
    </row>
    <row r="79" spans="1:6" x14ac:dyDescent="0.2">
      <c r="A79" s="20">
        <v>13</v>
      </c>
      <c r="B79" s="179" t="s">
        <v>12</v>
      </c>
      <c r="C79" s="180"/>
      <c r="D79" s="15">
        <f t="shared" si="4"/>
        <v>367168</v>
      </c>
      <c r="E79" s="18">
        <f>IF(F3="1",SUMIF(Data!A:A,'38'!$A$2,Data!EK:EK),0)</f>
        <v>1069056</v>
      </c>
      <c r="F79" s="22">
        <f t="shared" si="5"/>
        <v>2.9116262855150774</v>
      </c>
    </row>
    <row r="80" spans="1:6" ht="14.25" customHeight="1" x14ac:dyDescent="0.2">
      <c r="A80" s="20">
        <v>14</v>
      </c>
      <c r="B80" s="179" t="s">
        <v>804</v>
      </c>
      <c r="C80" s="180"/>
      <c r="D80" s="15">
        <f t="shared" si="4"/>
        <v>311392</v>
      </c>
      <c r="E80" s="18">
        <f>IF(F3="1",SUMIF(Data!A:A,'38'!$A$2,Data!EL:EL),0)</f>
        <v>2293447</v>
      </c>
      <c r="F80" s="22">
        <f t="shared" si="5"/>
        <v>7.3651442554722024</v>
      </c>
    </row>
    <row r="81" spans="1:6" x14ac:dyDescent="0.2">
      <c r="A81" s="20">
        <v>15</v>
      </c>
      <c r="B81" s="179" t="s">
        <v>13</v>
      </c>
      <c r="C81" s="180"/>
      <c r="D81" s="15">
        <f t="shared" si="4"/>
        <v>0</v>
      </c>
      <c r="E81" s="18">
        <f>IF(F3="1",SUMIF(Data!A:A,'38'!$A$2,Data!EM:EM),0)</f>
        <v>0</v>
      </c>
      <c r="F81" s="22" t="str">
        <f t="shared" si="5"/>
        <v/>
      </c>
    </row>
    <row r="82" spans="1:6" x14ac:dyDescent="0.2">
      <c r="A82" s="20">
        <v>16</v>
      </c>
      <c r="B82" s="179" t="s">
        <v>14</v>
      </c>
      <c r="C82" s="180"/>
      <c r="D82" s="15">
        <f t="shared" si="4"/>
        <v>425977</v>
      </c>
      <c r="E82" s="18">
        <f>IF(F3="1",SUMIF(Data!A:A,'38'!$A$2,Data!EN:EN),0)</f>
        <v>2207781</v>
      </c>
      <c r="F82" s="22">
        <f t="shared" si="5"/>
        <v>5.182864333050845</v>
      </c>
    </row>
    <row r="83" spans="1:6" x14ac:dyDescent="0.2">
      <c r="A83" s="20">
        <v>17</v>
      </c>
      <c r="B83" s="179" t="s">
        <v>15</v>
      </c>
      <c r="C83" s="180"/>
      <c r="D83" s="15">
        <f t="shared" si="4"/>
        <v>27200</v>
      </c>
      <c r="E83" s="18">
        <f>IF(F3="1",SUMIF(Data!A:A,'38'!$A$2,Data!EO:EO),0)</f>
        <v>294815</v>
      </c>
      <c r="F83" s="22">
        <f t="shared" si="5"/>
        <v>10.838786764705882</v>
      </c>
    </row>
    <row r="84" spans="1:6" x14ac:dyDescent="0.2">
      <c r="A84" s="20">
        <v>18</v>
      </c>
      <c r="B84" s="179" t="s">
        <v>16</v>
      </c>
      <c r="C84" s="180"/>
      <c r="D84" s="15">
        <f t="shared" si="4"/>
        <v>223440</v>
      </c>
      <c r="E84" s="18">
        <f>IF(F3="1",SUMIF(Data!A:A,'38'!$A$2,Data!EP:EP),0)</f>
        <v>1829283</v>
      </c>
      <c r="F84" s="22">
        <f t="shared" si="5"/>
        <v>8.1869092373791617</v>
      </c>
    </row>
    <row r="85" spans="1:6" x14ac:dyDescent="0.2">
      <c r="A85" s="20">
        <v>19</v>
      </c>
      <c r="B85" s="179" t="s">
        <v>17</v>
      </c>
      <c r="C85" s="180"/>
      <c r="D85" s="15">
        <f t="shared" si="4"/>
        <v>891600</v>
      </c>
      <c r="E85" s="18">
        <f>IF(F3="1",SUMIF(Data!A:A,'38'!$A$2,Data!EQ:EQ),0)</f>
        <v>2046856</v>
      </c>
      <c r="F85" s="22">
        <f t="shared" si="5"/>
        <v>2.2957110812023327</v>
      </c>
    </row>
    <row r="86" spans="1:6" x14ac:dyDescent="0.2">
      <c r="A86" s="20">
        <v>20</v>
      </c>
      <c r="B86" s="179" t="s">
        <v>18</v>
      </c>
      <c r="C86" s="180"/>
      <c r="D86" s="15">
        <f t="shared" si="4"/>
        <v>194992</v>
      </c>
      <c r="E86" s="18">
        <f>IF(F3="1",SUMIF(Data!A:A,'38'!$A$2,Data!ER:ER),0)</f>
        <v>730898</v>
      </c>
      <c r="F86" s="22">
        <f t="shared" si="5"/>
        <v>3.7483486502010339</v>
      </c>
    </row>
    <row r="87" spans="1:6" ht="14.25" customHeight="1" x14ac:dyDescent="0.2">
      <c r="A87" s="20">
        <v>21</v>
      </c>
      <c r="B87" s="179" t="s">
        <v>801</v>
      </c>
      <c r="C87" s="180"/>
      <c r="D87" s="15">
        <f t="shared" si="4"/>
        <v>74582</v>
      </c>
      <c r="E87" s="18">
        <f>IF(F3="1",SUMIF(Data!A:A,'38'!$A$2,Data!ES:ES),0)</f>
        <v>248580</v>
      </c>
      <c r="F87" s="22">
        <f t="shared" si="5"/>
        <v>3.3329757850419672</v>
      </c>
    </row>
    <row r="88" spans="1:6" x14ac:dyDescent="0.2">
      <c r="A88" s="20">
        <v>22</v>
      </c>
      <c r="B88" s="179" t="s">
        <v>19</v>
      </c>
      <c r="C88" s="180"/>
      <c r="D88" s="15">
        <f t="shared" si="4"/>
        <v>161891</v>
      </c>
      <c r="E88" s="18">
        <f>IF(F3="1",SUMIF(Data!A:A,'38'!$A$2,Data!ET:ET),0)</f>
        <v>535006</v>
      </c>
      <c r="F88" s="22">
        <f t="shared" si="5"/>
        <v>3.3047297255560841</v>
      </c>
    </row>
    <row r="89" spans="1:6" x14ac:dyDescent="0.2">
      <c r="A89" s="20">
        <v>23</v>
      </c>
      <c r="B89" s="179" t="s">
        <v>20</v>
      </c>
      <c r="C89" s="180"/>
      <c r="D89" s="15">
        <f t="shared" si="4"/>
        <v>101952</v>
      </c>
      <c r="E89" s="18">
        <f>IF(F3="1",SUMIF(Data!A:A,'38'!$A$2,Data!EU:EU),0)</f>
        <v>434514</v>
      </c>
      <c r="F89" s="22">
        <f t="shared" si="5"/>
        <v>4.2619467984934083</v>
      </c>
    </row>
    <row r="90" spans="1:6" x14ac:dyDescent="0.2">
      <c r="A90" s="20">
        <v>24</v>
      </c>
      <c r="B90" s="179" t="s">
        <v>21</v>
      </c>
      <c r="C90" s="180"/>
      <c r="D90" s="15">
        <f t="shared" si="4"/>
        <v>204753</v>
      </c>
      <c r="E90" s="18">
        <f>IF(F3="1",SUMIF(Data!A:A,'38'!$A$2,Data!EV:EV),0)</f>
        <v>639268</v>
      </c>
      <c r="F90" s="22">
        <f t="shared" si="5"/>
        <v>3.1221422885134773</v>
      </c>
    </row>
    <row r="91" spans="1:6" x14ac:dyDescent="0.2">
      <c r="A91" s="20">
        <v>25</v>
      </c>
      <c r="B91" s="179" t="s">
        <v>22</v>
      </c>
      <c r="C91" s="180"/>
      <c r="D91" s="15">
        <f t="shared" si="4"/>
        <v>1745664</v>
      </c>
      <c r="E91" s="18">
        <f>IF(F3="1",SUMIF(Data!A:A,'38'!$A$2,Data!EW:EW),0)</f>
        <v>5857880</v>
      </c>
      <c r="F91" s="22">
        <f t="shared" si="5"/>
        <v>3.3556744024050449</v>
      </c>
    </row>
    <row r="92" spans="1:6" x14ac:dyDescent="0.2">
      <c r="A92" s="20">
        <v>26</v>
      </c>
      <c r="B92" s="179" t="s">
        <v>23</v>
      </c>
      <c r="C92" s="180"/>
      <c r="D92" s="15">
        <f t="shared" si="4"/>
        <v>393888</v>
      </c>
      <c r="E92" s="18">
        <f>IF(F3="1",SUMIF(Data!A:A,'38'!$A$2,Data!EX:EX),0)</f>
        <v>1465480</v>
      </c>
      <c r="F92" s="22">
        <f t="shared" si="5"/>
        <v>3.7205500040620683</v>
      </c>
    </row>
    <row r="93" spans="1:6" x14ac:dyDescent="0.2">
      <c r="A93" s="20">
        <v>28</v>
      </c>
      <c r="B93" s="179" t="s">
        <v>24</v>
      </c>
      <c r="C93" s="180"/>
      <c r="D93" s="15">
        <f t="shared" si="4"/>
        <v>654848</v>
      </c>
      <c r="E93" s="18">
        <f>IF(F3="1",SUMIF(Data!A:A,'38'!$A$2,Data!EZ:EZ),0)</f>
        <v>2172005</v>
      </c>
      <c r="F93" s="22">
        <f t="shared" si="5"/>
        <v>3.3168078699179047</v>
      </c>
    </row>
    <row r="94" spans="1:6" ht="15.75" customHeight="1" thickBot="1" x14ac:dyDescent="0.25">
      <c r="A94" s="23">
        <v>29</v>
      </c>
      <c r="B94" s="181" t="s">
        <v>25</v>
      </c>
      <c r="C94" s="182"/>
      <c r="D94" s="24">
        <f t="shared" si="4"/>
        <v>782608</v>
      </c>
      <c r="E94" s="25">
        <f>IF(F3="1",SUMIF(Data!A:A,'38'!$A$2,Data!FA:FA),0)</f>
        <v>2327661</v>
      </c>
      <c r="F94" s="26">
        <f t="shared" si="5"/>
        <v>2.9742361437654612</v>
      </c>
    </row>
    <row r="95" spans="1:6" x14ac:dyDescent="0.2">
      <c r="B95" s="31" t="s">
        <v>35</v>
      </c>
      <c r="C95" s="31"/>
      <c r="D95" s="61">
        <f>SUM(D67:D94)</f>
        <v>11486294</v>
      </c>
      <c r="E95" s="32">
        <f>SUM(E67:E94)</f>
        <v>39837273</v>
      </c>
      <c r="F95" s="33">
        <f t="shared" si="5"/>
        <v>3.4682442396128814</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IF(F3="1",SUMIF(Data!A:A,'38'!$A$2,Data!AH:AH),0)</f>
        <v>16557448</v>
      </c>
      <c r="F98" s="21">
        <f t="shared" ref="F98:F105" si="6">IFERROR(E98/$D$95,0)</f>
        <v>1.4414960996122856</v>
      </c>
    </row>
    <row r="99" spans="2:6" x14ac:dyDescent="0.2">
      <c r="B99" s="185" t="s">
        <v>31</v>
      </c>
      <c r="C99" s="186"/>
      <c r="D99" s="37"/>
      <c r="E99" s="18">
        <f>IF(F3="1",SUMIF(Data!A:A,'38'!$A$2,Data!AI:AI),0)</f>
        <v>7483424</v>
      </c>
      <c r="F99" s="22">
        <f t="shared" si="6"/>
        <v>0.65150900716976246</v>
      </c>
    </row>
    <row r="100" spans="2:6" x14ac:dyDescent="0.2">
      <c r="B100" s="185" t="s">
        <v>32</v>
      </c>
      <c r="C100" s="186"/>
      <c r="D100" s="37"/>
      <c r="E100" s="18">
        <f>IF(F3="1",SUMIF(Data!A:A,'38'!$A$2,Data!AJ:AJ),0)</f>
        <v>7544863</v>
      </c>
      <c r="F100" s="22">
        <f t="shared" si="6"/>
        <v>0.65685790386350895</v>
      </c>
    </row>
    <row r="101" spans="2:6" x14ac:dyDescent="0.2">
      <c r="B101" s="185" t="s">
        <v>28</v>
      </c>
      <c r="C101" s="186"/>
      <c r="D101" s="37"/>
      <c r="E101" s="18">
        <f>IF(F3="1",SUMIF(Data!A:A,'38'!$A$2,Data!AK:AK),0)</f>
        <v>0</v>
      </c>
      <c r="F101" s="22">
        <f t="shared" si="6"/>
        <v>0</v>
      </c>
    </row>
    <row r="102" spans="2:6" x14ac:dyDescent="0.2">
      <c r="B102" s="185" t="s">
        <v>33</v>
      </c>
      <c r="C102" s="186"/>
      <c r="D102" s="37"/>
      <c r="E102" s="18">
        <f>IF(F3="1",SUMIF(Data!A:A,'38'!$A$2,Data!AL:AL),0)</f>
        <v>0</v>
      </c>
      <c r="F102" s="22">
        <f t="shared" si="6"/>
        <v>0</v>
      </c>
    </row>
    <row r="103" spans="2:6" x14ac:dyDescent="0.2">
      <c r="B103" s="187" t="s">
        <v>34</v>
      </c>
      <c r="C103" s="188"/>
      <c r="D103" s="37"/>
      <c r="E103" s="18">
        <f>IF(F3="1",SUMIF(Data!A:A,'38'!$A$2,Data!AM:AM),0)</f>
        <v>2241956</v>
      </c>
      <c r="F103" s="22">
        <f t="shared" si="6"/>
        <v>0.19518532261145327</v>
      </c>
    </row>
    <row r="104" spans="2:6" ht="15.75" customHeight="1" thickBot="1" x14ac:dyDescent="0.25">
      <c r="B104" s="177" t="s">
        <v>29</v>
      </c>
      <c r="C104" s="178"/>
      <c r="D104" s="38"/>
      <c r="E104" s="25">
        <f>IF(F3="1",SUMIF(Data!A:A,'38'!$A$2,Data!Q:Q),0)</f>
        <v>2917704</v>
      </c>
      <c r="F104" s="26">
        <f t="shared" si="6"/>
        <v>0.25401613435978565</v>
      </c>
    </row>
    <row r="105" spans="2:6" x14ac:dyDescent="0.2">
      <c r="B105" s="31" t="s">
        <v>35</v>
      </c>
      <c r="C105" s="31"/>
      <c r="D105" s="35">
        <f>D95</f>
        <v>11486294</v>
      </c>
      <c r="E105" s="32">
        <f>SUM(E98:E104)</f>
        <v>36745395</v>
      </c>
      <c r="F105" s="33">
        <f t="shared" si="6"/>
        <v>3.1990644676167963</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42834463</v>
      </c>
      <c r="D109" s="16">
        <f>IF(F3="1",SUMIF(Data!$A:$A,$A$2,Data!HJ:HJ),0)</f>
        <v>4898735</v>
      </c>
      <c r="E109" s="16">
        <f>IF(F3="1",SUMIF(Data!$A:$A,$A$2,Data!IN:IN),0)</f>
        <v>3083205</v>
      </c>
      <c r="F109" s="48">
        <f>SUM(C109:E109)</f>
        <v>50816403</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226554</v>
      </c>
      <c r="D111" s="52"/>
      <c r="E111" s="51">
        <f>IF(F3="1",SUMIF(Data!A:A,$A$2,Data!AX:AX),0)</f>
        <v>47710</v>
      </c>
      <c r="F111" s="49">
        <f t="shared" si="7"/>
        <v>274264</v>
      </c>
    </row>
    <row r="112" spans="2:6" x14ac:dyDescent="0.2">
      <c r="B112" s="43" t="s">
        <v>32</v>
      </c>
      <c r="C112" s="51">
        <f>IF(F3="1",SUMIF(Data!A:A,$A$2,Data!V:V),0)</f>
        <v>5964920</v>
      </c>
      <c r="D112" s="52"/>
      <c r="E112" s="51">
        <f>IF(F3="1",SUMIF(Data!A:A,$A$2,Data!AC:AC),0)</f>
        <v>1579943</v>
      </c>
      <c r="F112" s="49">
        <f t="shared" si="7"/>
        <v>7544863</v>
      </c>
    </row>
    <row r="113" spans="1:6" x14ac:dyDescent="0.2">
      <c r="B113" s="43" t="s">
        <v>31</v>
      </c>
      <c r="C113" s="51">
        <f>IF(F3="1",SUMIF(Data!A:A,$A$2,Data!U:U),0)</f>
        <v>6377535</v>
      </c>
      <c r="D113" s="52"/>
      <c r="E113" s="51">
        <f>IF(F3="1",SUMIF(Data!A:A,$A$2,Data!AB:AB),0)</f>
        <v>1105889</v>
      </c>
      <c r="F113" s="49">
        <f t="shared" si="7"/>
        <v>7483424</v>
      </c>
    </row>
    <row r="114" spans="1:6" x14ac:dyDescent="0.2">
      <c r="B114" s="43" t="s">
        <v>1363</v>
      </c>
      <c r="C114" s="51">
        <f>IF(F3="1",SUMIF(Data!A:A,$A$2,Data!T:T),0)</f>
        <v>9297108</v>
      </c>
      <c r="D114" s="52"/>
      <c r="E114" s="51">
        <f>IF(F3="1",SUMIF(Data!A:A,$A$2,Data!AA:AA),0)</f>
        <v>7260340</v>
      </c>
      <c r="F114" s="49">
        <f t="shared" si="7"/>
        <v>16557448</v>
      </c>
    </row>
    <row r="115" spans="1:6" x14ac:dyDescent="0.2">
      <c r="B115" s="43" t="s">
        <v>1278</v>
      </c>
      <c r="C115" s="51">
        <f>IF(F3="1",SUMIF(Data!A:A,$A$2,Data!BI:BI),0)</f>
        <v>2586617</v>
      </c>
      <c r="D115" s="51">
        <f>IF(F3="1",SUMIF(Data!A:A,$A$2,Data!BL:BL),0)</f>
        <v>848780</v>
      </c>
      <c r="E115" s="51">
        <f>IF(F3="1",SUMIF(Data!A:A,$A$2,Data!BU:BU),0)</f>
        <v>6901059</v>
      </c>
      <c r="F115" s="49">
        <f t="shared" si="7"/>
        <v>10336456</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2917704</v>
      </c>
      <c r="E117" s="53"/>
      <c r="F117" s="50">
        <f>SUM(C117:E117)</f>
        <v>2917704</v>
      </c>
    </row>
    <row r="118" spans="1:6" x14ac:dyDescent="0.2">
      <c r="B118" s="14" t="s">
        <v>35</v>
      </c>
      <c r="C118" s="5">
        <f>SUM(C109:C116)</f>
        <v>67287197</v>
      </c>
      <c r="D118" s="5">
        <f>SUM(D109:D116)</f>
        <v>5747515</v>
      </c>
      <c r="E118" s="5">
        <f>SUM(E109:E116)</f>
        <v>19978146</v>
      </c>
      <c r="F118" s="5">
        <f>SUM(F109:F116)</f>
        <v>93012858</v>
      </c>
    </row>
    <row r="119" spans="1:6" ht="15" thickBot="1" x14ac:dyDescent="0.25"/>
    <row r="120" spans="1:6" ht="15" thickBot="1" x14ac:dyDescent="0.25">
      <c r="B120" s="57" t="s">
        <v>1283</v>
      </c>
      <c r="C120" s="55"/>
      <c r="D120" s="55"/>
      <c r="E120" s="55">
        <f>IF(F3="1",SUMIF(Data!A:A,'38'!$A$2,Data!AM:AM),0)</f>
        <v>2241956</v>
      </c>
      <c r="F120" s="56">
        <f>SUM(C120:E120)</f>
        <v>2241956</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548</v>
      </c>
      <c r="B2" s="60" t="str">
        <f>VLOOKUP(A2,Data!A:G,7,0)</f>
        <v>Southwest Texas Junior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27648</v>
      </c>
      <c r="E5" s="16">
        <f>E36+E67+IFERROR($E$105/$D$105*D5,0)</f>
        <v>212198.58569547228</v>
      </c>
      <c r="F5" s="21">
        <f>IFERROR(E5/D5,"")</f>
        <v>7.6750067164160987</v>
      </c>
    </row>
    <row r="6" spans="1:6" x14ac:dyDescent="0.2">
      <c r="A6" s="20">
        <v>2</v>
      </c>
      <c r="B6" s="179" t="s">
        <v>1</v>
      </c>
      <c r="C6" s="180"/>
      <c r="D6" s="15">
        <f t="shared" ref="D6:D32" si="0">D37</f>
        <v>16544</v>
      </c>
      <c r="E6" s="18">
        <f t="shared" ref="E6:E32" si="1">E37+E68+IFERROR($E$105/$D$105*D6,0)</f>
        <v>156259.85625527683</v>
      </c>
      <c r="F6" s="22">
        <f t="shared" ref="F6:F33" si="2">IFERROR(E6/D6,"")</f>
        <v>9.4451073655268871</v>
      </c>
    </row>
    <row r="7" spans="1:6" ht="14.25" customHeight="1" x14ac:dyDescent="0.2">
      <c r="A7" s="20">
        <v>3</v>
      </c>
      <c r="B7" s="179" t="s">
        <v>2</v>
      </c>
      <c r="C7" s="180"/>
      <c r="D7" s="15">
        <f t="shared" si="0"/>
        <v>259168</v>
      </c>
      <c r="E7" s="18">
        <f t="shared" si="1"/>
        <v>1765075.5122079051</v>
      </c>
      <c r="F7" s="22">
        <f t="shared" si="2"/>
        <v>6.8105457163226362</v>
      </c>
    </row>
    <row r="8" spans="1:6" ht="14.25" customHeight="1" x14ac:dyDescent="0.2">
      <c r="A8" s="20">
        <v>4</v>
      </c>
      <c r="B8" s="179" t="s">
        <v>3</v>
      </c>
      <c r="C8" s="180"/>
      <c r="D8" s="15">
        <f t="shared" si="0"/>
        <v>141146</v>
      </c>
      <c r="E8" s="18">
        <f t="shared" si="1"/>
        <v>1100410.2976914472</v>
      </c>
      <c r="F8" s="22">
        <f t="shared" si="2"/>
        <v>7.7962556338220512</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8400</v>
      </c>
      <c r="E10" s="18">
        <f t="shared" si="1"/>
        <v>70057.842876228562</v>
      </c>
      <c r="F10" s="22">
        <f t="shared" si="2"/>
        <v>8.3402193900272099</v>
      </c>
    </row>
    <row r="11" spans="1:6" x14ac:dyDescent="0.2">
      <c r="A11" s="20">
        <v>7</v>
      </c>
      <c r="B11" s="179" t="s">
        <v>6</v>
      </c>
      <c r="C11" s="180"/>
      <c r="D11" s="15">
        <f t="shared" si="0"/>
        <v>122757</v>
      </c>
      <c r="E11" s="18">
        <f t="shared" si="1"/>
        <v>695934.42416157015</v>
      </c>
      <c r="F11" s="22">
        <f t="shared" si="2"/>
        <v>5.6692035823746929</v>
      </c>
    </row>
    <row r="12" spans="1:6" x14ac:dyDescent="0.2">
      <c r="A12" s="20">
        <v>8</v>
      </c>
      <c r="B12" s="179" t="s">
        <v>7</v>
      </c>
      <c r="C12" s="180"/>
      <c r="D12" s="15">
        <f t="shared" si="0"/>
        <v>10560</v>
      </c>
      <c r="E12" s="18">
        <f t="shared" si="1"/>
        <v>126921.71675868733</v>
      </c>
      <c r="F12" s="22">
        <f t="shared" si="2"/>
        <v>12.019101965784785</v>
      </c>
    </row>
    <row r="13" spans="1:6" x14ac:dyDescent="0.2">
      <c r="A13" s="20">
        <v>9</v>
      </c>
      <c r="B13" s="179" t="s">
        <v>8</v>
      </c>
      <c r="C13" s="180"/>
      <c r="D13" s="15">
        <f t="shared" si="0"/>
        <v>135005</v>
      </c>
      <c r="E13" s="18">
        <f t="shared" si="1"/>
        <v>896242.79791729001</v>
      </c>
      <c r="F13" s="22">
        <f t="shared" si="2"/>
        <v>6.638589666436725</v>
      </c>
    </row>
    <row r="14" spans="1:6" x14ac:dyDescent="0.2">
      <c r="A14" s="20">
        <v>10</v>
      </c>
      <c r="B14" s="179" t="s">
        <v>9</v>
      </c>
      <c r="C14" s="180"/>
      <c r="D14" s="15">
        <f t="shared" si="0"/>
        <v>512</v>
      </c>
      <c r="E14" s="18">
        <f t="shared" si="1"/>
        <v>5168.6589943605977</v>
      </c>
      <c r="F14" s="22">
        <f t="shared" si="2"/>
        <v>10.095037098360542</v>
      </c>
    </row>
    <row r="15" spans="1:6" x14ac:dyDescent="0.2">
      <c r="A15" s="20">
        <v>11</v>
      </c>
      <c r="B15" s="179" t="s">
        <v>10</v>
      </c>
      <c r="C15" s="180"/>
      <c r="D15" s="15">
        <f t="shared" si="0"/>
        <v>27776</v>
      </c>
      <c r="E15" s="18">
        <f t="shared" si="1"/>
        <v>193995.00044406243</v>
      </c>
      <c r="F15" s="22">
        <f t="shared" si="2"/>
        <v>6.984267009074828</v>
      </c>
    </row>
    <row r="16" spans="1:6" ht="14.25" customHeight="1" x14ac:dyDescent="0.2">
      <c r="A16" s="20">
        <v>12</v>
      </c>
      <c r="B16" s="179" t="s">
        <v>11</v>
      </c>
      <c r="C16" s="180"/>
      <c r="D16" s="15">
        <f t="shared" si="0"/>
        <v>277248</v>
      </c>
      <c r="E16" s="18">
        <f t="shared" si="1"/>
        <v>2323482.3454462634</v>
      </c>
      <c r="F16" s="22">
        <f t="shared" si="2"/>
        <v>8.3805197709136348</v>
      </c>
    </row>
    <row r="17" spans="1:6" x14ac:dyDescent="0.2">
      <c r="A17" s="20">
        <v>13</v>
      </c>
      <c r="B17" s="179" t="s">
        <v>12</v>
      </c>
      <c r="C17" s="180"/>
      <c r="D17" s="15">
        <f t="shared" si="0"/>
        <v>26688</v>
      </c>
      <c r="E17" s="18">
        <f t="shared" si="1"/>
        <v>92995.975081046156</v>
      </c>
      <c r="F17" s="22">
        <f t="shared" si="2"/>
        <v>3.4845614164061058</v>
      </c>
    </row>
    <row r="18" spans="1:6" ht="14.25" customHeight="1" x14ac:dyDescent="0.2">
      <c r="A18" s="20">
        <v>14</v>
      </c>
      <c r="B18" s="179" t="s">
        <v>804</v>
      </c>
      <c r="C18" s="180"/>
      <c r="D18" s="15">
        <f t="shared" si="0"/>
        <v>31824</v>
      </c>
      <c r="E18" s="18">
        <f t="shared" si="1"/>
        <v>564206.74186822586</v>
      </c>
      <c r="F18" s="22">
        <f t="shared" si="2"/>
        <v>17.728970018483718</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44105</v>
      </c>
      <c r="E20" s="18">
        <f t="shared" si="1"/>
        <v>437324.60536381672</v>
      </c>
      <c r="F20" s="22">
        <f t="shared" si="2"/>
        <v>9.9155335078520963</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99152</v>
      </c>
      <c r="E22" s="18">
        <f t="shared" si="1"/>
        <v>1070141.8996266446</v>
      </c>
      <c r="F22" s="22">
        <f t="shared" si="2"/>
        <v>10.792943154214182</v>
      </c>
    </row>
    <row r="23" spans="1:6" x14ac:dyDescent="0.2">
      <c r="A23" s="20">
        <v>19</v>
      </c>
      <c r="B23" s="179" t="s">
        <v>17</v>
      </c>
      <c r="C23" s="180"/>
      <c r="D23" s="15">
        <f t="shared" si="0"/>
        <v>114144</v>
      </c>
      <c r="E23" s="18">
        <f t="shared" si="1"/>
        <v>1111022.6020552658</v>
      </c>
      <c r="F23" s="22">
        <f t="shared" si="2"/>
        <v>9.7335173294721216</v>
      </c>
    </row>
    <row r="24" spans="1:6" x14ac:dyDescent="0.2">
      <c r="A24" s="20">
        <v>20</v>
      </c>
      <c r="B24" s="179" t="s">
        <v>18</v>
      </c>
      <c r="C24" s="180"/>
      <c r="D24" s="15">
        <f t="shared" si="0"/>
        <v>59712</v>
      </c>
      <c r="E24" s="18">
        <f t="shared" si="1"/>
        <v>494287.98021730472</v>
      </c>
      <c r="F24" s="22">
        <f t="shared" si="2"/>
        <v>8.2778667640893744</v>
      </c>
    </row>
    <row r="25" spans="1:6" ht="14.25" customHeight="1" x14ac:dyDescent="0.2">
      <c r="A25" s="20">
        <v>21</v>
      </c>
      <c r="B25" s="179" t="s">
        <v>801</v>
      </c>
      <c r="C25" s="180"/>
      <c r="D25" s="15">
        <f t="shared" si="0"/>
        <v>51348</v>
      </c>
      <c r="E25" s="18">
        <f t="shared" si="1"/>
        <v>601976.0352391171</v>
      </c>
      <c r="F25" s="22">
        <f t="shared" si="2"/>
        <v>11.723456322332265</v>
      </c>
    </row>
    <row r="26" spans="1:6" x14ac:dyDescent="0.2">
      <c r="A26" s="20">
        <v>22</v>
      </c>
      <c r="B26" s="179" t="s">
        <v>19</v>
      </c>
      <c r="C26" s="180"/>
      <c r="D26" s="15">
        <f t="shared" si="0"/>
        <v>8800</v>
      </c>
      <c r="E26" s="18">
        <f t="shared" si="1"/>
        <v>59663.263965572769</v>
      </c>
      <c r="F26" s="22">
        <f t="shared" si="2"/>
        <v>6.7799163597241785</v>
      </c>
    </row>
    <row r="27" spans="1:6" x14ac:dyDescent="0.2">
      <c r="A27" s="20">
        <v>23</v>
      </c>
      <c r="B27" s="179" t="s">
        <v>20</v>
      </c>
      <c r="C27" s="180"/>
      <c r="D27" s="15">
        <f t="shared" si="0"/>
        <v>77904</v>
      </c>
      <c r="E27" s="18">
        <f t="shared" si="1"/>
        <v>576889.05136067967</v>
      </c>
      <c r="F27" s="22">
        <f t="shared" si="2"/>
        <v>7.405127482037889</v>
      </c>
    </row>
    <row r="28" spans="1:6" x14ac:dyDescent="0.2">
      <c r="A28" s="20">
        <v>24</v>
      </c>
      <c r="B28" s="179" t="s">
        <v>21</v>
      </c>
      <c r="C28" s="180"/>
      <c r="D28" s="15">
        <f t="shared" si="0"/>
        <v>123088</v>
      </c>
      <c r="E28" s="18">
        <f t="shared" si="1"/>
        <v>781652.45761300251</v>
      </c>
      <c r="F28" s="22">
        <f t="shared" si="2"/>
        <v>6.3503546861838887</v>
      </c>
    </row>
    <row r="29" spans="1:6" x14ac:dyDescent="0.2">
      <c r="A29" s="20">
        <v>25</v>
      </c>
      <c r="B29" s="179" t="s">
        <v>22</v>
      </c>
      <c r="C29" s="180"/>
      <c r="D29" s="15">
        <f t="shared" si="0"/>
        <v>492120</v>
      </c>
      <c r="E29" s="18">
        <f t="shared" si="1"/>
        <v>3022255.2662201901</v>
      </c>
      <c r="F29" s="22">
        <f t="shared" si="2"/>
        <v>6.1412973791355565</v>
      </c>
    </row>
    <row r="30" spans="1:6" x14ac:dyDescent="0.2">
      <c r="A30" s="20">
        <v>26</v>
      </c>
      <c r="B30" s="179" t="s">
        <v>23</v>
      </c>
      <c r="C30" s="180"/>
      <c r="D30" s="15">
        <f t="shared" si="0"/>
        <v>80832</v>
      </c>
      <c r="E30" s="18">
        <f t="shared" si="1"/>
        <v>495837.41373467934</v>
      </c>
      <c r="F30" s="22">
        <f t="shared" si="2"/>
        <v>6.1341722799717848</v>
      </c>
    </row>
    <row r="31" spans="1:6" x14ac:dyDescent="0.2">
      <c r="A31" s="20">
        <v>28</v>
      </c>
      <c r="B31" s="179" t="s">
        <v>24</v>
      </c>
      <c r="C31" s="180"/>
      <c r="D31" s="15">
        <f t="shared" si="0"/>
        <v>177984</v>
      </c>
      <c r="E31" s="18">
        <f t="shared" si="1"/>
        <v>1090016.2079146029</v>
      </c>
      <c r="F31" s="22">
        <f t="shared" si="2"/>
        <v>6.1242370545363798</v>
      </c>
    </row>
    <row r="32" spans="1:6" ht="15.75" customHeight="1" thickBot="1" x14ac:dyDescent="0.25">
      <c r="A32" s="23">
        <v>29</v>
      </c>
      <c r="B32" s="181" t="s">
        <v>25</v>
      </c>
      <c r="C32" s="182"/>
      <c r="D32" s="24">
        <f t="shared" si="0"/>
        <v>209040</v>
      </c>
      <c r="E32" s="25">
        <f t="shared" si="1"/>
        <v>1158492.4612912878</v>
      </c>
      <c r="F32" s="26">
        <f t="shared" si="2"/>
        <v>5.5419654673329877</v>
      </c>
    </row>
    <row r="33" spans="1:6" x14ac:dyDescent="0.2">
      <c r="B33" s="31" t="s">
        <v>35</v>
      </c>
      <c r="C33" s="31"/>
      <c r="D33" s="61">
        <f>SUM(D5:D32)</f>
        <v>2623505</v>
      </c>
      <c r="E33" s="32">
        <f>SUM(E5:E32)</f>
        <v>19102508.999999996</v>
      </c>
      <c r="F33" s="33">
        <f t="shared" si="2"/>
        <v>7.2812931555304816</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IF(F3="1",SUMIF(Data!A:A,'39'!$A$2,Data!CU:CU),0)</f>
        <v>27648</v>
      </c>
      <c r="E36" s="16">
        <f>IF(F3="1",SUMIF(Data!$A:$A,'39'!$A$2,Data!IO:IO),0)</f>
        <v>22685</v>
      </c>
      <c r="F36" s="21">
        <f t="shared" ref="F36:F64" si="3">IFERROR(E36/D36,"")</f>
        <v>0.82049334490740744</v>
      </c>
    </row>
    <row r="37" spans="1:6" x14ac:dyDescent="0.2">
      <c r="A37" s="20">
        <v>2</v>
      </c>
      <c r="B37" s="179" t="s">
        <v>1</v>
      </c>
      <c r="C37" s="180"/>
      <c r="D37" s="15">
        <f>IF(F3="1",SUMIF(Data!A:A,'39'!$A$2,Data!CV:CV),0)</f>
        <v>16544</v>
      </c>
      <c r="E37" s="18">
        <f>IF(F3="1",SUMIF(Data!$A:$A,'39'!$A$2,Data!IP:IP),0)</f>
        <v>27393</v>
      </c>
      <c r="F37" s="22">
        <f t="shared" si="3"/>
        <v>1.6557664410058026</v>
      </c>
    </row>
    <row r="38" spans="1:6" ht="14.25" customHeight="1" x14ac:dyDescent="0.2">
      <c r="A38" s="20">
        <v>3</v>
      </c>
      <c r="B38" s="179" t="s">
        <v>2</v>
      </c>
      <c r="C38" s="180"/>
      <c r="D38" s="15">
        <f>IF(F3="1",SUMIF(Data!A:A,'39'!$A$2,Data!CW:CW),0)</f>
        <v>259168</v>
      </c>
      <c r="E38" s="18">
        <f>IF(F3="1",SUMIF(Data!$A:$A,'39'!$A$2,Data!IQ:IQ),0)</f>
        <v>174850</v>
      </c>
      <c r="F38" s="22">
        <f t="shared" si="3"/>
        <v>0.6746589085072231</v>
      </c>
    </row>
    <row r="39" spans="1:6" ht="14.25" customHeight="1" x14ac:dyDescent="0.2">
      <c r="A39" s="20">
        <v>4</v>
      </c>
      <c r="B39" s="179" t="s">
        <v>3</v>
      </c>
      <c r="C39" s="180"/>
      <c r="D39" s="15">
        <f>IF(F3="1",SUMIF(Data!A:A,'39'!$A$2,Data!CX:CX),0)</f>
        <v>141146</v>
      </c>
      <c r="E39" s="18">
        <f>IF(F3="1",SUMIF(Data!$A:$A,'39'!$A$2,Data!IR:IR),0)</f>
        <v>103277</v>
      </c>
      <c r="F39" s="22">
        <f t="shared" si="3"/>
        <v>0.73170334263811942</v>
      </c>
    </row>
    <row r="40" spans="1:6" x14ac:dyDescent="0.2">
      <c r="A40" s="20">
        <v>5</v>
      </c>
      <c r="B40" s="179" t="s">
        <v>4</v>
      </c>
      <c r="C40" s="180"/>
      <c r="D40" s="15">
        <f>IF(F3="1",SUMIF(Data!A:A,'39'!$A$2,Data!CY:CY),0)</f>
        <v>0</v>
      </c>
      <c r="E40" s="18">
        <f>IF(F3="1",SUMIF(Data!$A:$A,'39'!$A$2,Data!IS:IS),0)</f>
        <v>0</v>
      </c>
      <c r="F40" s="22" t="str">
        <f t="shared" si="3"/>
        <v/>
      </c>
    </row>
    <row r="41" spans="1:6" x14ac:dyDescent="0.2">
      <c r="A41" s="20">
        <v>6</v>
      </c>
      <c r="B41" s="179" t="s">
        <v>5</v>
      </c>
      <c r="C41" s="180"/>
      <c r="D41" s="15">
        <f>IF(F3="1",SUMIF(Data!A:A,'39'!$A$2,Data!CZ:CZ),0)</f>
        <v>8400</v>
      </c>
      <c r="E41" s="18">
        <f>IF(F3="1",SUMIF(Data!$A:$A,'39'!$A$2,Data!IT:IT),0)</f>
        <v>7609</v>
      </c>
      <c r="F41" s="22">
        <f t="shared" si="3"/>
        <v>0.90583333333333338</v>
      </c>
    </row>
    <row r="42" spans="1:6" x14ac:dyDescent="0.2">
      <c r="A42" s="20">
        <v>7</v>
      </c>
      <c r="B42" s="179" t="s">
        <v>6</v>
      </c>
      <c r="C42" s="180"/>
      <c r="D42" s="15">
        <f>IF(F3="1",SUMIF(Data!A:A,'39'!$A$2,Data!DA:DA),0)</f>
        <v>122757</v>
      </c>
      <c r="E42" s="18">
        <f>IF(F3="1",SUMIF(Data!$A:$A,'39'!$A$2,Data!IU:IU),0)</f>
        <v>63213</v>
      </c>
      <c r="F42" s="22">
        <f t="shared" si="3"/>
        <v>0.51494415797062487</v>
      </c>
    </row>
    <row r="43" spans="1:6" x14ac:dyDescent="0.2">
      <c r="A43" s="20">
        <v>8</v>
      </c>
      <c r="B43" s="179" t="s">
        <v>7</v>
      </c>
      <c r="C43" s="180"/>
      <c r="D43" s="15">
        <f>IF(F3="1",SUMIF(Data!A:A,'39'!$A$2,Data!DB:DB),0)</f>
        <v>10560</v>
      </c>
      <c r="E43" s="18">
        <f>IF(F3="1",SUMIF(Data!$A:$A,'39'!$A$2,Data!IV:IV),0)</f>
        <v>36923</v>
      </c>
      <c r="F43" s="22">
        <f t="shared" si="3"/>
        <v>3.4964962121212122</v>
      </c>
    </row>
    <row r="44" spans="1:6" x14ac:dyDescent="0.2">
      <c r="A44" s="20">
        <v>9</v>
      </c>
      <c r="B44" s="179" t="s">
        <v>8</v>
      </c>
      <c r="C44" s="180"/>
      <c r="D44" s="15">
        <f>IF(F3="1",SUMIF(Data!A:A,'39'!$A$2,Data!DC:DC),0)</f>
        <v>135005</v>
      </c>
      <c r="E44" s="18">
        <f>IF(F3="1",SUMIF(Data!$A:$A,'39'!$A$2,Data!IW:IW),0)</f>
        <v>100240</v>
      </c>
      <c r="F44" s="22">
        <f t="shared" si="3"/>
        <v>0.74249101885115365</v>
      </c>
    </row>
    <row r="45" spans="1:6" x14ac:dyDescent="0.2">
      <c r="A45" s="20">
        <v>10</v>
      </c>
      <c r="B45" s="179" t="s">
        <v>9</v>
      </c>
      <c r="C45" s="180"/>
      <c r="D45" s="15">
        <f>IF(F3="1",SUMIF(Data!A:A,'39'!$A$2,Data!DD:DD),0)</f>
        <v>512</v>
      </c>
      <c r="E45" s="18">
        <f>IF(F3="1",SUMIF(Data!$A:$A,'39'!$A$2,Data!IX:IX),0)</f>
        <v>747</v>
      </c>
      <c r="F45" s="22">
        <f t="shared" si="3"/>
        <v>1.458984375</v>
      </c>
    </row>
    <row r="46" spans="1:6" x14ac:dyDescent="0.2">
      <c r="A46" s="20">
        <v>11</v>
      </c>
      <c r="B46" s="179" t="s">
        <v>10</v>
      </c>
      <c r="C46" s="180"/>
      <c r="D46" s="15">
        <f>IF(F3="1",SUMIF(Data!A:A,'39'!$A$2,Data!DE:DE),0)</f>
        <v>27776</v>
      </c>
      <c r="E46" s="18">
        <f>IF(F3="1",SUMIF(Data!$A:$A,'39'!$A$2,Data!IY:IY),0)</f>
        <v>22404</v>
      </c>
      <c r="F46" s="22">
        <f t="shared" si="3"/>
        <v>0.80659562211981561</v>
      </c>
    </row>
    <row r="47" spans="1:6" ht="14.25" customHeight="1" x14ac:dyDescent="0.2">
      <c r="A47" s="20">
        <v>12</v>
      </c>
      <c r="B47" s="179" t="s">
        <v>11</v>
      </c>
      <c r="C47" s="180"/>
      <c r="D47" s="15">
        <f>IF(F3="1",SUMIF(Data!A:A,'39'!$A$2,Data!DF:DF),0)</f>
        <v>277248</v>
      </c>
      <c r="E47" s="18">
        <f>IF(F3="1",SUMIF(Data!$A:$A,'39'!$A$2,Data!IZ:IZ),0)</f>
        <v>270663</v>
      </c>
      <c r="F47" s="22">
        <f t="shared" si="3"/>
        <v>0.9762487015235457</v>
      </c>
    </row>
    <row r="48" spans="1:6" x14ac:dyDescent="0.2">
      <c r="A48" s="20">
        <v>13</v>
      </c>
      <c r="B48" s="179" t="s">
        <v>12</v>
      </c>
      <c r="C48" s="180"/>
      <c r="D48" s="15">
        <f>IF(F3="1",SUMIF(Data!A:A,'39'!$A$2,Data!DG:DG),0)</f>
        <v>26688</v>
      </c>
      <c r="E48" s="18">
        <f>IF(F3="1",SUMIF(Data!$A:$A,'39'!$A$2,Data!JA:JA),0)</f>
        <v>1028</v>
      </c>
      <c r="F48" s="22">
        <f t="shared" si="3"/>
        <v>3.8519184652278181E-2</v>
      </c>
    </row>
    <row r="49" spans="1:6" ht="14.25" customHeight="1" x14ac:dyDescent="0.2">
      <c r="A49" s="20">
        <v>14</v>
      </c>
      <c r="B49" s="179" t="s">
        <v>804</v>
      </c>
      <c r="C49" s="180"/>
      <c r="D49" s="15">
        <f>IF(F3="1",SUMIF(Data!A:A,'39'!$A$2,Data!DH:DH),0)</f>
        <v>31824</v>
      </c>
      <c r="E49" s="18">
        <f>IF(F3="1",SUMIF(Data!$A:$A,'39'!$A$2,Data!JB:JB),0)</f>
        <v>83578</v>
      </c>
      <c r="F49" s="22">
        <f t="shared" si="3"/>
        <v>2.6262569130216189</v>
      </c>
    </row>
    <row r="50" spans="1:6" x14ac:dyDescent="0.2">
      <c r="A50" s="20">
        <v>15</v>
      </c>
      <c r="B50" s="179" t="s">
        <v>13</v>
      </c>
      <c r="C50" s="180"/>
      <c r="D50" s="15">
        <f>IF(F3="1",SUMIF(Data!A:A,'39'!$A$2,Data!DI:DI),0)</f>
        <v>0</v>
      </c>
      <c r="E50" s="18">
        <f>IF(F3="1",SUMIF(Data!$A:$A,'39'!$A$2,Data!JC:JC),0)</f>
        <v>0</v>
      </c>
      <c r="F50" s="22" t="str">
        <f t="shared" si="3"/>
        <v/>
      </c>
    </row>
    <row r="51" spans="1:6" x14ac:dyDescent="0.2">
      <c r="A51" s="20">
        <v>16</v>
      </c>
      <c r="B51" s="179" t="s">
        <v>14</v>
      </c>
      <c r="C51" s="180"/>
      <c r="D51" s="15">
        <f>IF(F3="1",SUMIF(Data!A:A,'39'!$A$2,Data!DJ:DJ),0)</f>
        <v>44105</v>
      </c>
      <c r="E51" s="18">
        <f>IF(F3="1",SUMIF(Data!$A:$A,'39'!$A$2,Data!JD:JD),0)</f>
        <v>82529</v>
      </c>
      <c r="F51" s="22">
        <f t="shared" si="3"/>
        <v>1.8711937422060991</v>
      </c>
    </row>
    <row r="52" spans="1:6" x14ac:dyDescent="0.2">
      <c r="A52" s="20">
        <v>17</v>
      </c>
      <c r="B52" s="179" t="s">
        <v>15</v>
      </c>
      <c r="C52" s="180"/>
      <c r="D52" s="15">
        <f>IF(F3="1",SUMIF(Data!A:A,'39'!$A$2,Data!DK:DK),0)</f>
        <v>0</v>
      </c>
      <c r="E52" s="18">
        <f>IF(F3="1",SUMIF(Data!$A:$A,'39'!$A$2,Data!JE:JE),0)</f>
        <v>0</v>
      </c>
      <c r="F52" s="22" t="str">
        <f t="shared" si="3"/>
        <v/>
      </c>
    </row>
    <row r="53" spans="1:6" x14ac:dyDescent="0.2">
      <c r="A53" s="20">
        <v>18</v>
      </c>
      <c r="B53" s="179" t="s">
        <v>16</v>
      </c>
      <c r="C53" s="180"/>
      <c r="D53" s="15">
        <f>IF(F3="1",SUMIF(Data!A:A,'39'!$A$2,Data!DL:DL),0)</f>
        <v>99152</v>
      </c>
      <c r="E53" s="18">
        <f>IF(F3="1",SUMIF(Data!$A:$A,'39'!$A$2,Data!JF:JF),0)</f>
        <v>186076</v>
      </c>
      <c r="F53" s="22">
        <f t="shared" si="3"/>
        <v>1.8766741971921899</v>
      </c>
    </row>
    <row r="54" spans="1:6" x14ac:dyDescent="0.2">
      <c r="A54" s="20">
        <v>19</v>
      </c>
      <c r="B54" s="179" t="s">
        <v>17</v>
      </c>
      <c r="C54" s="180"/>
      <c r="D54" s="15">
        <f>IF(F3="1",SUMIF(Data!A:A,'39'!$A$2,Data!DM:DM),0)</f>
        <v>114144</v>
      </c>
      <c r="E54" s="18">
        <f>IF(F3="1",SUMIF(Data!$A:$A,'39'!$A$2,Data!JG:JG),0)</f>
        <v>185776</v>
      </c>
      <c r="F54" s="22">
        <f t="shared" si="3"/>
        <v>1.6275581721334456</v>
      </c>
    </row>
    <row r="55" spans="1:6" x14ac:dyDescent="0.2">
      <c r="A55" s="20">
        <v>20</v>
      </c>
      <c r="B55" s="179" t="s">
        <v>18</v>
      </c>
      <c r="C55" s="180"/>
      <c r="D55" s="15">
        <f>IF(F3="1",SUMIF(Data!A:A,'39'!$A$2,Data!DN:DN),0)</f>
        <v>59712</v>
      </c>
      <c r="E55" s="18">
        <f>IF(F3="1",SUMIF(Data!$A:$A,'39'!$A$2,Data!JH:JH),0)</f>
        <v>70539</v>
      </c>
      <c r="F55" s="22">
        <f t="shared" si="3"/>
        <v>1.1813203376205788</v>
      </c>
    </row>
    <row r="56" spans="1:6" ht="14.25" customHeight="1" x14ac:dyDescent="0.2">
      <c r="A56" s="20">
        <v>21</v>
      </c>
      <c r="B56" s="179" t="s">
        <v>801</v>
      </c>
      <c r="C56" s="180"/>
      <c r="D56" s="15">
        <f>IF(F3="1",SUMIF(Data!A:A,'39'!$A$2,Data!DO:DO),0)</f>
        <v>51348</v>
      </c>
      <c r="E56" s="18">
        <f>IF(F3="1",SUMIF(Data!$A:$A,'39'!$A$2,Data!JI:JI),0)</f>
        <v>248917</v>
      </c>
      <c r="F56" s="22">
        <f t="shared" si="3"/>
        <v>4.8476474254109219</v>
      </c>
    </row>
    <row r="57" spans="1:6" x14ac:dyDescent="0.2">
      <c r="A57" s="20">
        <v>22</v>
      </c>
      <c r="B57" s="179" t="s">
        <v>19</v>
      </c>
      <c r="C57" s="180"/>
      <c r="D57" s="15">
        <f>IF(F3="1",SUMIF(Data!A:A,'39'!$A$2,Data!DP:DP),0)</f>
        <v>8800</v>
      </c>
      <c r="E57" s="18">
        <f>IF(F3="1",SUMIF(Data!$A:$A,'39'!$A$2,Data!JJ:JJ),0)</f>
        <v>6721</v>
      </c>
      <c r="F57" s="22">
        <f t="shared" si="3"/>
        <v>0.76375000000000004</v>
      </c>
    </row>
    <row r="58" spans="1:6" x14ac:dyDescent="0.2">
      <c r="A58" s="20">
        <v>23</v>
      </c>
      <c r="B58" s="179" t="s">
        <v>20</v>
      </c>
      <c r="C58" s="180"/>
      <c r="D58" s="15">
        <f>IF(F3="1",SUMIF(Data!A:A,'39'!$A$2,Data!DQ:DQ),0)</f>
        <v>77904</v>
      </c>
      <c r="E58" s="18">
        <f>IF(F3="1",SUMIF(Data!$A:$A,'39'!$A$2,Data!JK:JK),0)</f>
        <v>102834</v>
      </c>
      <c r="F58" s="22">
        <f t="shared" si="3"/>
        <v>1.3200092421441774</v>
      </c>
    </row>
    <row r="59" spans="1:6" x14ac:dyDescent="0.2">
      <c r="A59" s="20">
        <v>24</v>
      </c>
      <c r="B59" s="179" t="s">
        <v>21</v>
      </c>
      <c r="C59" s="180"/>
      <c r="D59" s="15">
        <f>IF(F3="1",SUMIF(Data!A:A,'39'!$A$2,Data!DR:DR),0)</f>
        <v>123088</v>
      </c>
      <c r="E59" s="18">
        <f>IF(F3="1",SUMIF(Data!$A:$A,'39'!$A$2,Data!JL:JL),0)</f>
        <v>168452</v>
      </c>
      <c r="F59" s="22">
        <f t="shared" si="3"/>
        <v>1.3685493305602496</v>
      </c>
    </row>
    <row r="60" spans="1:6" x14ac:dyDescent="0.2">
      <c r="A60" s="20">
        <v>25</v>
      </c>
      <c r="B60" s="179" t="s">
        <v>22</v>
      </c>
      <c r="C60" s="180"/>
      <c r="D60" s="15">
        <f>IF(F3="1",SUMIF(Data!A:A,'39'!$A$2,Data!DS:DS),0)</f>
        <v>492120</v>
      </c>
      <c r="E60" s="18">
        <f>IF(F3="1",SUMIF(Data!$A:$A,'39'!$A$2,Data!JM:JM),0)</f>
        <v>230814</v>
      </c>
      <c r="F60" s="22">
        <f t="shared" si="3"/>
        <v>0.46901975128017559</v>
      </c>
    </row>
    <row r="61" spans="1:6" x14ac:dyDescent="0.2">
      <c r="A61" s="20">
        <v>26</v>
      </c>
      <c r="B61" s="179" t="s">
        <v>23</v>
      </c>
      <c r="C61" s="180"/>
      <c r="D61" s="15">
        <f>IF(F3="1",SUMIF(Data!A:A,'39'!$A$2,Data!DT:DT),0)</f>
        <v>80832</v>
      </c>
      <c r="E61" s="18">
        <f>IF(F3="1",SUMIF(Data!$A:$A,'39'!$A$2,Data!JN:JN),0)</f>
        <v>35049</v>
      </c>
      <c r="F61" s="22">
        <f t="shared" si="3"/>
        <v>0.43360302850356297</v>
      </c>
    </row>
    <row r="62" spans="1:6" x14ac:dyDescent="0.2">
      <c r="A62" s="20">
        <v>28</v>
      </c>
      <c r="B62" s="179" t="s">
        <v>24</v>
      </c>
      <c r="C62" s="180"/>
      <c r="D62" s="15">
        <f>IF(F3="1",SUMIF(Data!A:A,'39'!$A$2,Data!DV:DV),0)</f>
        <v>177984</v>
      </c>
      <c r="E62" s="18">
        <f>IF(F3="1",SUMIF(Data!$A:$A,'39'!$A$2,Data!JP:JP),0)</f>
        <v>243413</v>
      </c>
      <c r="F62" s="22">
        <f t="shared" si="3"/>
        <v>1.3676116954332973</v>
      </c>
    </row>
    <row r="63" spans="1:6" ht="15.75" customHeight="1" thickBot="1" x14ac:dyDescent="0.25">
      <c r="A63" s="23">
        <v>29</v>
      </c>
      <c r="B63" s="181" t="s">
        <v>25</v>
      </c>
      <c r="C63" s="182"/>
      <c r="D63" s="24">
        <f>IF(F3="1",SUMIF(Data!A:A,'39'!$A$2,Data!DW:DW),0)</f>
        <v>209040</v>
      </c>
      <c r="E63" s="25">
        <f>IF(F3="1",SUMIF(Data!$A:$A,'39'!$A$2,Data!JQ:JQ),0)</f>
        <v>238521</v>
      </c>
      <c r="F63" s="26">
        <f t="shared" si="3"/>
        <v>1.1410304247990815</v>
      </c>
    </row>
    <row r="64" spans="1:6" x14ac:dyDescent="0.2">
      <c r="B64" s="31" t="s">
        <v>35</v>
      </c>
      <c r="C64" s="31"/>
      <c r="D64" s="61">
        <f>SUM(D36:D63)</f>
        <v>2623505</v>
      </c>
      <c r="E64" s="32">
        <f>SUM(E36:E63)</f>
        <v>2714251</v>
      </c>
      <c r="F64" s="33">
        <f t="shared" si="3"/>
        <v>1.0345896043651528</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27648</v>
      </c>
      <c r="E67" s="16">
        <f>IF(F3="1",SUMIF(Data!A:A,'39'!$A$2,Data!DY:DY),0)</f>
        <v>102808</v>
      </c>
      <c r="F67" s="21">
        <f>IFERROR(E67/D67,"")</f>
        <v>3.7184606481481484</v>
      </c>
    </row>
    <row r="68" spans="1:6" x14ac:dyDescent="0.2">
      <c r="A68" s="20">
        <v>2</v>
      </c>
      <c r="B68" s="179" t="s">
        <v>1</v>
      </c>
      <c r="C68" s="180"/>
      <c r="D68" s="15">
        <f t="shared" ref="D68:D94" si="4">D37</f>
        <v>16544</v>
      </c>
      <c r="E68" s="18">
        <f>IF(F3="1",SUMIF(Data!A:A,'39'!$A$2,Data!DZ:DZ),0)</f>
        <v>76984</v>
      </c>
      <c r="F68" s="22">
        <f t="shared" ref="F68:F95" si="5">IFERROR(E68/D68,"")</f>
        <v>4.6532882011605414</v>
      </c>
    </row>
    <row r="69" spans="1:6" ht="14.25" customHeight="1" x14ac:dyDescent="0.2">
      <c r="A69" s="20">
        <v>3</v>
      </c>
      <c r="B69" s="179" t="s">
        <v>2</v>
      </c>
      <c r="C69" s="180"/>
      <c r="D69" s="15">
        <f t="shared" si="4"/>
        <v>259168</v>
      </c>
      <c r="E69" s="18">
        <f>IF(F3="1",SUMIF(Data!A:A,'39'!$A$2,Data!EA:EA),0)</f>
        <v>777461</v>
      </c>
      <c r="F69" s="22">
        <f t="shared" si="5"/>
        <v>2.999834084454871</v>
      </c>
    </row>
    <row r="70" spans="1:6" ht="14.25" customHeight="1" x14ac:dyDescent="0.2">
      <c r="A70" s="20">
        <v>4</v>
      </c>
      <c r="B70" s="179" t="s">
        <v>3</v>
      </c>
      <c r="C70" s="180"/>
      <c r="D70" s="15">
        <f t="shared" si="4"/>
        <v>141146</v>
      </c>
      <c r="E70" s="18">
        <f>IF(F3="1",SUMIF(Data!A:A,'39'!$A$2,Data!EB:EB),0)</f>
        <v>554492</v>
      </c>
      <c r="F70" s="22">
        <f t="shared" si="5"/>
        <v>3.9284995678233887</v>
      </c>
    </row>
    <row r="71" spans="1:6" x14ac:dyDescent="0.2">
      <c r="A71" s="20">
        <v>5</v>
      </c>
      <c r="B71" s="179" t="s">
        <v>4</v>
      </c>
      <c r="C71" s="180"/>
      <c r="D71" s="15">
        <f t="shared" si="4"/>
        <v>0</v>
      </c>
      <c r="E71" s="18">
        <f>IF(F3="1",SUMIF(Data!A:A,'39'!$A$2,Data!EC:EC),0)</f>
        <v>0</v>
      </c>
      <c r="F71" s="22" t="str">
        <f t="shared" si="5"/>
        <v/>
      </c>
    </row>
    <row r="72" spans="1:6" x14ac:dyDescent="0.2">
      <c r="A72" s="20">
        <v>6</v>
      </c>
      <c r="B72" s="179" t="s">
        <v>5</v>
      </c>
      <c r="C72" s="180"/>
      <c r="D72" s="15">
        <f t="shared" si="4"/>
        <v>8400</v>
      </c>
      <c r="E72" s="18">
        <f>IF(F3="1",SUMIF(Data!A:A,'39'!$A$2,Data!ED:ED),0)</f>
        <v>36106</v>
      </c>
      <c r="F72" s="22">
        <f t="shared" si="5"/>
        <v>4.2983333333333329</v>
      </c>
    </row>
    <row r="73" spans="1:6" x14ac:dyDescent="0.2">
      <c r="A73" s="20">
        <v>7</v>
      </c>
      <c r="B73" s="179" t="s">
        <v>6</v>
      </c>
      <c r="C73" s="180"/>
      <c r="D73" s="15">
        <f t="shared" si="4"/>
        <v>122757</v>
      </c>
      <c r="E73" s="18">
        <f>IF(F3="1",SUMIF(Data!A:A,'39'!$A$2,Data!EE:EE),0)</f>
        <v>247749</v>
      </c>
      <c r="F73" s="22">
        <f t="shared" si="5"/>
        <v>2.0182067010435252</v>
      </c>
    </row>
    <row r="74" spans="1:6" x14ac:dyDescent="0.2">
      <c r="A74" s="20">
        <v>8</v>
      </c>
      <c r="B74" s="179" t="s">
        <v>7</v>
      </c>
      <c r="C74" s="180"/>
      <c r="D74" s="15">
        <f t="shared" si="4"/>
        <v>10560</v>
      </c>
      <c r="E74" s="18">
        <f>IF(F3="1",SUMIF(Data!A:A,'39'!$A$2,Data!EF:EF),0)</f>
        <v>56882</v>
      </c>
      <c r="F74" s="22">
        <f t="shared" si="5"/>
        <v>5.3865530303030305</v>
      </c>
    </row>
    <row r="75" spans="1:6" x14ac:dyDescent="0.2">
      <c r="A75" s="20">
        <v>9</v>
      </c>
      <c r="B75" s="179" t="s">
        <v>8</v>
      </c>
      <c r="C75" s="180"/>
      <c r="D75" s="15">
        <f t="shared" si="4"/>
        <v>135005</v>
      </c>
      <c r="E75" s="18">
        <f>IF(F3="1",SUMIF(Data!A:A,'39'!$A$2,Data!EG:EG),0)</f>
        <v>372620</v>
      </c>
      <c r="F75" s="22">
        <f t="shared" si="5"/>
        <v>2.7600459242250288</v>
      </c>
    </row>
    <row r="76" spans="1:6" x14ac:dyDescent="0.2">
      <c r="A76" s="20">
        <v>10</v>
      </c>
      <c r="B76" s="179" t="s">
        <v>9</v>
      </c>
      <c r="C76" s="180"/>
      <c r="D76" s="15">
        <f t="shared" si="4"/>
        <v>512</v>
      </c>
      <c r="E76" s="18">
        <f>IF(F3="1",SUMIF(Data!A:A,'39'!$A$2,Data!EH:EH),0)</f>
        <v>2816</v>
      </c>
      <c r="F76" s="22">
        <f t="shared" si="5"/>
        <v>5.5</v>
      </c>
    </row>
    <row r="77" spans="1:6" x14ac:dyDescent="0.2">
      <c r="A77" s="20">
        <v>11</v>
      </c>
      <c r="B77" s="179" t="s">
        <v>10</v>
      </c>
      <c r="C77" s="180"/>
      <c r="D77" s="15">
        <f t="shared" si="4"/>
        <v>27776</v>
      </c>
      <c r="E77" s="18">
        <f>IF(F3="1",SUMIF(Data!A:A,'39'!$A$2,Data!EI:EI),0)</f>
        <v>84484</v>
      </c>
      <c r="F77" s="22">
        <f t="shared" si="5"/>
        <v>3.0416186635944702</v>
      </c>
    </row>
    <row r="78" spans="1:6" ht="14.25" customHeight="1" x14ac:dyDescent="0.2">
      <c r="A78" s="20">
        <v>12</v>
      </c>
      <c r="B78" s="179" t="s">
        <v>11</v>
      </c>
      <c r="C78" s="180"/>
      <c r="D78" s="15">
        <f t="shared" si="4"/>
        <v>277248</v>
      </c>
      <c r="E78" s="18">
        <f>IF(F3="1",SUMIF(Data!A:A,'39'!$A$2,Data!EJ:EJ),0)</f>
        <v>1183355</v>
      </c>
      <c r="F78" s="22">
        <f t="shared" si="5"/>
        <v>4.2682183460295473</v>
      </c>
    </row>
    <row r="79" spans="1:6" x14ac:dyDescent="0.2">
      <c r="A79" s="20">
        <v>13</v>
      </c>
      <c r="B79" s="179" t="s">
        <v>12</v>
      </c>
      <c r="C79" s="180"/>
      <c r="D79" s="15">
        <f t="shared" si="4"/>
        <v>26688</v>
      </c>
      <c r="E79" s="18">
        <f>IF(F3="1",SUMIF(Data!A:A,'39'!$A$2,Data!EK:EK),0)</f>
        <v>8273</v>
      </c>
      <c r="F79" s="22">
        <f t="shared" si="5"/>
        <v>0.30998950839328537</v>
      </c>
    </row>
    <row r="80" spans="1:6" ht="14.25" customHeight="1" x14ac:dyDescent="0.2">
      <c r="A80" s="20">
        <v>14</v>
      </c>
      <c r="B80" s="179" t="s">
        <v>804</v>
      </c>
      <c r="C80" s="180"/>
      <c r="D80" s="15">
        <f t="shared" si="4"/>
        <v>31824</v>
      </c>
      <c r="E80" s="18">
        <f>IF(F3="1",SUMIF(Data!A:A,'39'!$A$2,Data!EL:EL),0)</f>
        <v>380827</v>
      </c>
      <c r="F80" s="22">
        <f t="shared" si="5"/>
        <v>11.966660382101558</v>
      </c>
    </row>
    <row r="81" spans="1:6" x14ac:dyDescent="0.2">
      <c r="A81" s="20">
        <v>15</v>
      </c>
      <c r="B81" s="179" t="s">
        <v>13</v>
      </c>
      <c r="C81" s="180"/>
      <c r="D81" s="15">
        <f t="shared" si="4"/>
        <v>0</v>
      </c>
      <c r="E81" s="18">
        <f>IF(F3="1",SUMIF(Data!A:A,'39'!$A$2,Data!EM:EM),0)</f>
        <v>0</v>
      </c>
      <c r="F81" s="22" t="str">
        <f t="shared" si="5"/>
        <v/>
      </c>
    </row>
    <row r="82" spans="1:6" x14ac:dyDescent="0.2">
      <c r="A82" s="20">
        <v>16</v>
      </c>
      <c r="B82" s="179" t="s">
        <v>14</v>
      </c>
      <c r="C82" s="180"/>
      <c r="D82" s="15">
        <f t="shared" si="4"/>
        <v>44105</v>
      </c>
      <c r="E82" s="18">
        <f>IF(F3="1",SUMIF(Data!A:A,'39'!$A$2,Data!EN:EN),0)</f>
        <v>216480</v>
      </c>
      <c r="F82" s="22">
        <f t="shared" si="5"/>
        <v>4.9082870422854548</v>
      </c>
    </row>
    <row r="83" spans="1:6" x14ac:dyDescent="0.2">
      <c r="A83" s="20">
        <v>17</v>
      </c>
      <c r="B83" s="179" t="s">
        <v>15</v>
      </c>
      <c r="C83" s="180"/>
      <c r="D83" s="15">
        <f t="shared" si="4"/>
        <v>0</v>
      </c>
      <c r="E83" s="18">
        <f>IF(F3="1",SUMIF(Data!A:A,'39'!$A$2,Data!EO:EO),0)</f>
        <v>0</v>
      </c>
      <c r="F83" s="22" t="str">
        <f t="shared" si="5"/>
        <v/>
      </c>
    </row>
    <row r="84" spans="1:6" x14ac:dyDescent="0.2">
      <c r="A84" s="20">
        <v>18</v>
      </c>
      <c r="B84" s="179" t="s">
        <v>16</v>
      </c>
      <c r="C84" s="180"/>
      <c r="D84" s="15">
        <f t="shared" si="4"/>
        <v>99152</v>
      </c>
      <c r="E84" s="18">
        <f>IF(F3="1",SUMIF(Data!A:A,'39'!$A$2,Data!EP:EP),0)</f>
        <v>573120</v>
      </c>
      <c r="F84" s="22">
        <f t="shared" si="5"/>
        <v>5.7802162336614487</v>
      </c>
    </row>
    <row r="85" spans="1:6" x14ac:dyDescent="0.2">
      <c r="A85" s="20">
        <v>19</v>
      </c>
      <c r="B85" s="179" t="s">
        <v>17</v>
      </c>
      <c r="C85" s="180"/>
      <c r="D85" s="15">
        <f t="shared" si="4"/>
        <v>114144</v>
      </c>
      <c r="E85" s="18">
        <f>IF(F3="1",SUMIF(Data!A:A,'39'!$A$2,Data!EQ:EQ),0)</f>
        <v>567285</v>
      </c>
      <c r="F85" s="22">
        <f t="shared" si="5"/>
        <v>4.9699064339781325</v>
      </c>
    </row>
    <row r="86" spans="1:6" x14ac:dyDescent="0.2">
      <c r="A86" s="20">
        <v>20</v>
      </c>
      <c r="B86" s="179" t="s">
        <v>18</v>
      </c>
      <c r="C86" s="180"/>
      <c r="D86" s="15">
        <f t="shared" si="4"/>
        <v>59712</v>
      </c>
      <c r="E86" s="18">
        <f>IF(F3="1",SUMIF(Data!A:A,'39'!$A$2,Data!ER:ER),0)</f>
        <v>236489</v>
      </c>
      <c r="F86" s="22">
        <f t="shared" si="5"/>
        <v>3.960493703108253</v>
      </c>
    </row>
    <row r="87" spans="1:6" ht="14.25" customHeight="1" x14ac:dyDescent="0.2">
      <c r="A87" s="20">
        <v>21</v>
      </c>
      <c r="B87" s="179" t="s">
        <v>801</v>
      </c>
      <c r="C87" s="180"/>
      <c r="D87" s="15">
        <f t="shared" si="4"/>
        <v>51348</v>
      </c>
      <c r="E87" s="18">
        <f>IF(F3="1",SUMIF(Data!A:A,'39'!$A$2,Data!ES:ES),0)</f>
        <v>192029</v>
      </c>
      <c r="F87" s="22">
        <f t="shared" si="5"/>
        <v>3.7397561735608007</v>
      </c>
    </row>
    <row r="88" spans="1:6" x14ac:dyDescent="0.2">
      <c r="A88" s="20">
        <v>22</v>
      </c>
      <c r="B88" s="179" t="s">
        <v>19</v>
      </c>
      <c r="C88" s="180"/>
      <c r="D88" s="15">
        <f t="shared" si="4"/>
        <v>8800</v>
      </c>
      <c r="E88" s="18">
        <f>IF(F3="1",SUMIF(Data!A:A,'39'!$A$2,Data!ET:ET),0)</f>
        <v>25345</v>
      </c>
      <c r="F88" s="22">
        <f t="shared" si="5"/>
        <v>2.8801136363636362</v>
      </c>
    </row>
    <row r="89" spans="1:6" x14ac:dyDescent="0.2">
      <c r="A89" s="20">
        <v>23</v>
      </c>
      <c r="B89" s="179" t="s">
        <v>20</v>
      </c>
      <c r="C89" s="180"/>
      <c r="D89" s="15">
        <f t="shared" si="4"/>
        <v>77904</v>
      </c>
      <c r="E89" s="18">
        <f>IF(F3="1",SUMIF(Data!A:A,'39'!$A$2,Data!EU:EU),0)</f>
        <v>229744</v>
      </c>
      <c r="F89" s="22">
        <f t="shared" si="5"/>
        <v>2.9490655165331692</v>
      </c>
    </row>
    <row r="90" spans="1:6" x14ac:dyDescent="0.2">
      <c r="A90" s="20">
        <v>24</v>
      </c>
      <c r="B90" s="179" t="s">
        <v>21</v>
      </c>
      <c r="C90" s="180"/>
      <c r="D90" s="15">
        <f t="shared" si="4"/>
        <v>123088</v>
      </c>
      <c r="E90" s="18">
        <f>IF(F3="1",SUMIF(Data!A:A,'39'!$A$2,Data!EV:EV),0)</f>
        <v>227190</v>
      </c>
      <c r="F90" s="22">
        <f t="shared" si="5"/>
        <v>1.8457526322630964</v>
      </c>
    </row>
    <row r="91" spans="1:6" x14ac:dyDescent="0.2">
      <c r="A91" s="20">
        <v>25</v>
      </c>
      <c r="B91" s="179" t="s">
        <v>22</v>
      </c>
      <c r="C91" s="180"/>
      <c r="D91" s="15">
        <f t="shared" si="4"/>
        <v>492120</v>
      </c>
      <c r="E91" s="18">
        <f>IF(F3="1",SUMIF(Data!A:A,'39'!$A$2,Data!EW:EW),0)</f>
        <v>1248127</v>
      </c>
      <c r="F91" s="22">
        <f t="shared" si="5"/>
        <v>2.5362249044948388</v>
      </c>
    </row>
    <row r="92" spans="1:6" x14ac:dyDescent="0.2">
      <c r="A92" s="20">
        <v>26</v>
      </c>
      <c r="B92" s="179" t="s">
        <v>23</v>
      </c>
      <c r="C92" s="180"/>
      <c r="D92" s="15">
        <f t="shared" si="4"/>
        <v>80832</v>
      </c>
      <c r="E92" s="18">
        <f>IF(F3="1",SUMIF(Data!A:A,'39'!$A$2,Data!EX:EX),0)</f>
        <v>207295</v>
      </c>
      <c r="F92" s="22">
        <f t="shared" si="5"/>
        <v>2.56451652810768</v>
      </c>
    </row>
    <row r="93" spans="1:6" x14ac:dyDescent="0.2">
      <c r="A93" s="20">
        <v>28</v>
      </c>
      <c r="B93" s="179" t="s">
        <v>24</v>
      </c>
      <c r="C93" s="180"/>
      <c r="D93" s="15">
        <f t="shared" si="4"/>
        <v>177984</v>
      </c>
      <c r="E93" s="18">
        <f>IF(F3="1",SUMIF(Data!A:A,'39'!$A$2,Data!EZ:EZ),0)</f>
        <v>288436</v>
      </c>
      <c r="F93" s="22">
        <f t="shared" si="5"/>
        <v>1.6205726357425387</v>
      </c>
    </row>
    <row r="94" spans="1:6" ht="15.75" customHeight="1" thickBot="1" x14ac:dyDescent="0.25">
      <c r="A94" s="23">
        <v>29</v>
      </c>
      <c r="B94" s="181" t="s">
        <v>25</v>
      </c>
      <c r="C94" s="182"/>
      <c r="D94" s="24">
        <f t="shared" si="4"/>
        <v>209040</v>
      </c>
      <c r="E94" s="25">
        <f>IF(F3="1",SUMIF(Data!A:A,'39'!$A$2,Data!FA:FA),0)</f>
        <v>264411</v>
      </c>
      <c r="F94" s="26">
        <f t="shared" si="5"/>
        <v>1.264882319173364</v>
      </c>
    </row>
    <row r="95" spans="1:6" x14ac:dyDescent="0.2">
      <c r="B95" s="31" t="s">
        <v>35</v>
      </c>
      <c r="C95" s="31"/>
      <c r="D95" s="61">
        <f>SUM(D67:D94)</f>
        <v>2623505</v>
      </c>
      <c r="E95" s="32">
        <f>SUM(E67:E94)</f>
        <v>8160808</v>
      </c>
      <c r="F95" s="33">
        <f t="shared" si="5"/>
        <v>3.110650827804788</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IF(F3="1",SUMIF(Data!A:A,'39'!$A$2,Data!AH:AH),0)</f>
        <v>3693880</v>
      </c>
      <c r="F98" s="21">
        <f t="shared" ref="F98:F105" si="6">IFERROR(E98/$D$95,0)</f>
        <v>1.4079942672112309</v>
      </c>
    </row>
    <row r="99" spans="2:6" x14ac:dyDescent="0.2">
      <c r="B99" s="185" t="s">
        <v>31</v>
      </c>
      <c r="C99" s="186"/>
      <c r="D99" s="37"/>
      <c r="E99" s="18">
        <f>IF(F3="1",SUMIF(Data!A:A,'39'!$A$2,Data!AI:AI),0)</f>
        <v>1608244</v>
      </c>
      <c r="F99" s="22">
        <f t="shared" si="6"/>
        <v>0.61301350674002908</v>
      </c>
    </row>
    <row r="100" spans="2:6" x14ac:dyDescent="0.2">
      <c r="B100" s="185" t="s">
        <v>32</v>
      </c>
      <c r="C100" s="186"/>
      <c r="D100" s="37"/>
      <c r="E100" s="18">
        <f>IF(F3="1",SUMIF(Data!A:A,'39'!$A$2,Data!AJ:AJ),0)</f>
        <v>2149993</v>
      </c>
      <c r="F100" s="22">
        <f t="shared" si="6"/>
        <v>0.81951168379705774</v>
      </c>
    </row>
    <row r="101" spans="2:6" x14ac:dyDescent="0.2">
      <c r="B101" s="185" t="s">
        <v>28</v>
      </c>
      <c r="C101" s="186"/>
      <c r="D101" s="37"/>
      <c r="E101" s="18">
        <f>IF(F3="1",SUMIF(Data!A:A,'39'!$A$2,Data!AK:AK),0)</f>
        <v>0</v>
      </c>
      <c r="F101" s="22">
        <f t="shared" si="6"/>
        <v>0</v>
      </c>
    </row>
    <row r="102" spans="2:6" x14ac:dyDescent="0.2">
      <c r="B102" s="185" t="s">
        <v>33</v>
      </c>
      <c r="C102" s="186"/>
      <c r="D102" s="37"/>
      <c r="E102" s="18">
        <f>IF(F3="1",SUMIF(Data!A:A,'39'!$A$2,Data!AL:AL),0)</f>
        <v>0</v>
      </c>
      <c r="F102" s="22">
        <f t="shared" si="6"/>
        <v>0</v>
      </c>
    </row>
    <row r="103" spans="2:6" x14ac:dyDescent="0.2">
      <c r="B103" s="187" t="s">
        <v>34</v>
      </c>
      <c r="C103" s="188"/>
      <c r="D103" s="37"/>
      <c r="E103" s="18">
        <f>IF(F3="1",SUMIF(Data!A:A,'39'!$A$2,Data!AM:AM),0)</f>
        <v>307359</v>
      </c>
      <c r="F103" s="22">
        <f t="shared" si="6"/>
        <v>0.11715586591220524</v>
      </c>
    </row>
    <row r="104" spans="2:6" ht="15.75" customHeight="1" thickBot="1" x14ac:dyDescent="0.25">
      <c r="B104" s="177" t="s">
        <v>29</v>
      </c>
      <c r="C104" s="178"/>
      <c r="D104" s="38"/>
      <c r="E104" s="25">
        <f>IF(F3="1",SUMIF(Data!A:A,'39'!$A$2,Data!Q:Q),0)</f>
        <v>467974</v>
      </c>
      <c r="F104" s="26">
        <f t="shared" si="6"/>
        <v>0.17837739970001962</v>
      </c>
    </row>
    <row r="105" spans="2:6" x14ac:dyDescent="0.2">
      <c r="B105" s="31" t="s">
        <v>35</v>
      </c>
      <c r="C105" s="31"/>
      <c r="D105" s="35">
        <f>D95</f>
        <v>2623505</v>
      </c>
      <c r="E105" s="32">
        <f>SUM(E98:E104)</f>
        <v>8227450</v>
      </c>
      <c r="F105" s="33">
        <f t="shared" si="6"/>
        <v>3.1360527233605424</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8989881</v>
      </c>
      <c r="D109" s="16">
        <f>IF(F3="1",SUMIF(Data!$A:$A,$A$2,Data!HJ:HJ),0)</f>
        <v>782512</v>
      </c>
      <c r="E109" s="16">
        <f>IF(F3="1",SUMIF(Data!$A:$A,$A$2,Data!IN:IN),0)</f>
        <v>1102665</v>
      </c>
      <c r="F109" s="48">
        <f>SUM(C109:E109)</f>
        <v>10875058</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48611</v>
      </c>
      <c r="D111" s="52"/>
      <c r="E111" s="51">
        <f>IF(F3="1",SUMIF(Data!A:A,$A$2,Data!AX:AX),0)</f>
        <v>30653</v>
      </c>
      <c r="F111" s="49">
        <f t="shared" si="7"/>
        <v>79264</v>
      </c>
    </row>
    <row r="112" spans="2:6" x14ac:dyDescent="0.2">
      <c r="B112" s="43" t="s">
        <v>32</v>
      </c>
      <c r="C112" s="51">
        <f>IF(F3="1",SUMIF(Data!A:A,$A$2,Data!V:V),0)</f>
        <v>1751533</v>
      </c>
      <c r="D112" s="52"/>
      <c r="E112" s="51">
        <f>IF(F3="1",SUMIF(Data!A:A,$A$2,Data!AC:AC),0)</f>
        <v>398460</v>
      </c>
      <c r="F112" s="49">
        <f t="shared" si="7"/>
        <v>2149993</v>
      </c>
    </row>
    <row r="113" spans="1:6" x14ac:dyDescent="0.2">
      <c r="B113" s="43" t="s">
        <v>31</v>
      </c>
      <c r="C113" s="51">
        <f>IF(F3="1",SUMIF(Data!A:A,$A$2,Data!U:U),0)</f>
        <v>1314543</v>
      </c>
      <c r="D113" s="52"/>
      <c r="E113" s="51">
        <f>IF(F3="1",SUMIF(Data!A:A,$A$2,Data!AB:AB),0)</f>
        <v>293701</v>
      </c>
      <c r="F113" s="49">
        <f t="shared" si="7"/>
        <v>1608244</v>
      </c>
    </row>
    <row r="114" spans="1:6" x14ac:dyDescent="0.2">
      <c r="B114" s="43" t="s">
        <v>1363</v>
      </c>
      <c r="C114" s="51">
        <f>IF(F3="1",SUMIF(Data!A:A,$A$2,Data!T:T),0)</f>
        <v>2261621</v>
      </c>
      <c r="D114" s="52"/>
      <c r="E114" s="51">
        <f>IF(F3="1",SUMIF(Data!A:A,$A$2,Data!AA:AA),0)</f>
        <v>1432259</v>
      </c>
      <c r="F114" s="49">
        <f t="shared" si="7"/>
        <v>3693880</v>
      </c>
    </row>
    <row r="115" spans="1:6" x14ac:dyDescent="0.2">
      <c r="B115" s="43" t="s">
        <v>1278</v>
      </c>
      <c r="C115" s="51">
        <f>IF(F3="1",SUMIF(Data!A:A,$A$2,Data!BI:BI),0)</f>
        <v>927103</v>
      </c>
      <c r="D115" s="51">
        <f>IF(F3="1",SUMIF(Data!A:A,$A$2,Data!BL:BL),0)</f>
        <v>80698</v>
      </c>
      <c r="E115" s="51">
        <f>IF(F3="1",SUMIF(Data!A:A,$A$2,Data!BU:BU),0)</f>
        <v>2868798</v>
      </c>
      <c r="F115" s="49">
        <f t="shared" si="7"/>
        <v>3876599</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467974</v>
      </c>
      <c r="E117" s="53"/>
      <c r="F117" s="50">
        <f>SUM(C117:E117)</f>
        <v>467974</v>
      </c>
    </row>
    <row r="118" spans="1:6" x14ac:dyDescent="0.2">
      <c r="B118" s="14" t="s">
        <v>35</v>
      </c>
      <c r="C118" s="5">
        <f>SUM(C109:C116)</f>
        <v>15293292</v>
      </c>
      <c r="D118" s="5">
        <f>SUM(D109:D116)</f>
        <v>863210</v>
      </c>
      <c r="E118" s="5">
        <f>SUM(E109:E116)</f>
        <v>6126536</v>
      </c>
      <c r="F118" s="5">
        <f>SUM(F109:F116)</f>
        <v>22283038</v>
      </c>
    </row>
    <row r="119" spans="1:6" ht="15" thickBot="1" x14ac:dyDescent="0.25"/>
    <row r="120" spans="1:6" ht="15" thickBot="1" x14ac:dyDescent="0.25">
      <c r="B120" s="57" t="s">
        <v>1283</v>
      </c>
      <c r="C120" s="55"/>
      <c r="D120" s="55"/>
      <c r="E120" s="55">
        <f>IF(F3="1",SUMIF(Data!A:A,'39'!$A$2,Data!AM:AM),0)</f>
        <v>307359</v>
      </c>
      <c r="F120" s="56">
        <f>SUM(C120:E120)</f>
        <v>307359</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2" width="13.42578125" style="11" bestFit="1" customWidth="1"/>
    <col min="13" max="13" width="13.5703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557</v>
      </c>
      <c r="B2" s="60" t="str">
        <f>VLOOKUP(A2,Data!A:G,7,0)</f>
        <v>Tarrant County College District</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41468</v>
      </c>
      <c r="E5" s="16">
        <f>E36+E67+IFERROR($E$105/$D$105*D5,0)</f>
        <v>333321.30082903826</v>
      </c>
      <c r="F5" s="21">
        <f>IFERROR(E5/D5,"")</f>
        <v>8.0380365783022629</v>
      </c>
    </row>
    <row r="6" spans="1:6" x14ac:dyDescent="0.2">
      <c r="A6" s="20">
        <v>2</v>
      </c>
      <c r="B6" s="179" t="s">
        <v>1</v>
      </c>
      <c r="C6" s="180"/>
      <c r="D6" s="15">
        <f t="shared" ref="D6:D32" si="0">D37</f>
        <v>47894</v>
      </c>
      <c r="E6" s="18">
        <f t="shared" ref="E6:E32" si="1">E37+E68+IFERROR($E$105/$D$105*D6,0)</f>
        <v>854972.08005946653</v>
      </c>
      <c r="F6" s="22">
        <f t="shared" ref="F6:F33" si="2">IFERROR(E6/D6,"")</f>
        <v>17.851340043835691</v>
      </c>
    </row>
    <row r="7" spans="1:6" ht="14.25" customHeight="1" x14ac:dyDescent="0.2">
      <c r="A7" s="20">
        <v>3</v>
      </c>
      <c r="B7" s="179" t="s">
        <v>2</v>
      </c>
      <c r="C7" s="180"/>
      <c r="D7" s="15">
        <f t="shared" si="0"/>
        <v>2760288</v>
      </c>
      <c r="E7" s="18">
        <f t="shared" si="1"/>
        <v>22551901.344911363</v>
      </c>
      <c r="F7" s="22">
        <f t="shared" si="2"/>
        <v>8.170126213247082</v>
      </c>
    </row>
    <row r="8" spans="1:6" ht="14.25" customHeight="1" x14ac:dyDescent="0.2">
      <c r="A8" s="20">
        <v>4</v>
      </c>
      <c r="B8" s="179" t="s">
        <v>3</v>
      </c>
      <c r="C8" s="180"/>
      <c r="D8" s="15">
        <f t="shared" si="0"/>
        <v>1487342</v>
      </c>
      <c r="E8" s="18">
        <f t="shared" si="1"/>
        <v>10938770.509203807</v>
      </c>
      <c r="F8" s="22">
        <f t="shared" si="2"/>
        <v>7.3545764922955223</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407672</v>
      </c>
      <c r="E10" s="18">
        <f t="shared" si="1"/>
        <v>4126457.601996134</v>
      </c>
      <c r="F10" s="22">
        <f t="shared" si="2"/>
        <v>10.122003968867457</v>
      </c>
    </row>
    <row r="11" spans="1:6" x14ac:dyDescent="0.2">
      <c r="A11" s="20">
        <v>7</v>
      </c>
      <c r="B11" s="179" t="s">
        <v>6</v>
      </c>
      <c r="C11" s="180"/>
      <c r="D11" s="15">
        <f t="shared" si="0"/>
        <v>751026</v>
      </c>
      <c r="E11" s="18">
        <f t="shared" si="1"/>
        <v>7979364.1979943402</v>
      </c>
      <c r="F11" s="22">
        <f t="shared" si="2"/>
        <v>10.624617786860028</v>
      </c>
    </row>
    <row r="12" spans="1:6" x14ac:dyDescent="0.2">
      <c r="A12" s="20">
        <v>8</v>
      </c>
      <c r="B12" s="179" t="s">
        <v>7</v>
      </c>
      <c r="C12" s="180"/>
      <c r="D12" s="15">
        <f t="shared" si="0"/>
        <v>2028</v>
      </c>
      <c r="E12" s="18">
        <f t="shared" si="1"/>
        <v>11272.989150219197</v>
      </c>
      <c r="F12" s="22">
        <f t="shared" si="2"/>
        <v>5.5586731509956593</v>
      </c>
    </row>
    <row r="13" spans="1:6" x14ac:dyDescent="0.2">
      <c r="A13" s="20">
        <v>9</v>
      </c>
      <c r="B13" s="179" t="s">
        <v>8</v>
      </c>
      <c r="C13" s="180"/>
      <c r="D13" s="15">
        <f t="shared" si="0"/>
        <v>283608</v>
      </c>
      <c r="E13" s="18">
        <f t="shared" si="1"/>
        <v>2615666.0211614231</v>
      </c>
      <c r="F13" s="22">
        <f t="shared" si="2"/>
        <v>9.2228217157535148</v>
      </c>
    </row>
    <row r="14" spans="1:6" x14ac:dyDescent="0.2">
      <c r="A14" s="20">
        <v>10</v>
      </c>
      <c r="B14" s="179" t="s">
        <v>9</v>
      </c>
      <c r="C14" s="180"/>
      <c r="D14" s="15">
        <f t="shared" si="0"/>
        <v>16688</v>
      </c>
      <c r="E14" s="18">
        <f t="shared" si="1"/>
        <v>174422.62275091614</v>
      </c>
      <c r="F14" s="22">
        <f t="shared" si="2"/>
        <v>10.451978832149816</v>
      </c>
    </row>
    <row r="15" spans="1:6" x14ac:dyDescent="0.2">
      <c r="A15" s="20">
        <v>11</v>
      </c>
      <c r="B15" s="179" t="s">
        <v>10</v>
      </c>
      <c r="C15" s="180"/>
      <c r="D15" s="15">
        <f t="shared" si="0"/>
        <v>286937</v>
      </c>
      <c r="E15" s="18">
        <f t="shared" si="1"/>
        <v>3176450.3381639277</v>
      </c>
      <c r="F15" s="22">
        <f t="shared" si="2"/>
        <v>11.07020125729316</v>
      </c>
    </row>
    <row r="16" spans="1:6" ht="14.25" customHeight="1" x14ac:dyDescent="0.2">
      <c r="A16" s="20">
        <v>12</v>
      </c>
      <c r="B16" s="179" t="s">
        <v>11</v>
      </c>
      <c r="C16" s="180"/>
      <c r="D16" s="15">
        <f t="shared" si="0"/>
        <v>2859232</v>
      </c>
      <c r="E16" s="18">
        <f t="shared" si="1"/>
        <v>24069009.926015548</v>
      </c>
      <c r="F16" s="22">
        <f t="shared" si="2"/>
        <v>8.4179982337968902</v>
      </c>
    </row>
    <row r="17" spans="1:6" x14ac:dyDescent="0.2">
      <c r="A17" s="20">
        <v>13</v>
      </c>
      <c r="B17" s="179" t="s">
        <v>12</v>
      </c>
      <c r="C17" s="180"/>
      <c r="D17" s="15">
        <f t="shared" si="0"/>
        <v>553294</v>
      </c>
      <c r="E17" s="18">
        <f t="shared" si="1"/>
        <v>4485580.2657206012</v>
      </c>
      <c r="F17" s="22">
        <f t="shared" si="2"/>
        <v>8.1070466437745594</v>
      </c>
    </row>
    <row r="18" spans="1:6" ht="14.25" customHeight="1" x14ac:dyDescent="0.2">
      <c r="A18" s="20">
        <v>14</v>
      </c>
      <c r="B18" s="179" t="s">
        <v>804</v>
      </c>
      <c r="C18" s="180"/>
      <c r="D18" s="15">
        <f t="shared" si="0"/>
        <v>347971</v>
      </c>
      <c r="E18" s="18">
        <f t="shared" si="1"/>
        <v>5888521.55502511</v>
      </c>
      <c r="F18" s="22">
        <f t="shared" si="2"/>
        <v>16.922449155317857</v>
      </c>
    </row>
    <row r="19" spans="1:6" x14ac:dyDescent="0.2">
      <c r="A19" s="20">
        <v>15</v>
      </c>
      <c r="B19" s="179" t="s">
        <v>13</v>
      </c>
      <c r="C19" s="180"/>
      <c r="D19" s="15">
        <f t="shared" si="0"/>
        <v>33952</v>
      </c>
      <c r="E19" s="18">
        <f t="shared" si="1"/>
        <v>839360.40218355134</v>
      </c>
      <c r="F19" s="22">
        <f t="shared" si="2"/>
        <v>24.721972260354363</v>
      </c>
    </row>
    <row r="20" spans="1:6" x14ac:dyDescent="0.2">
      <c r="A20" s="20">
        <v>16</v>
      </c>
      <c r="B20" s="179" t="s">
        <v>14</v>
      </c>
      <c r="C20" s="180"/>
      <c r="D20" s="15">
        <f t="shared" si="0"/>
        <v>360728</v>
      </c>
      <c r="E20" s="18">
        <f t="shared" si="1"/>
        <v>4817920.3324360307</v>
      </c>
      <c r="F20" s="22">
        <f t="shared" si="2"/>
        <v>13.356103026202653</v>
      </c>
    </row>
    <row r="21" spans="1:6" x14ac:dyDescent="0.2">
      <c r="A21" s="20">
        <v>17</v>
      </c>
      <c r="B21" s="179" t="s">
        <v>15</v>
      </c>
      <c r="C21" s="180"/>
      <c r="D21" s="15">
        <f t="shared" si="0"/>
        <v>38816</v>
      </c>
      <c r="E21" s="18">
        <f t="shared" si="1"/>
        <v>753973.39194029011</v>
      </c>
      <c r="F21" s="22">
        <f t="shared" si="2"/>
        <v>19.424293897884638</v>
      </c>
    </row>
    <row r="22" spans="1:6" x14ac:dyDescent="0.2">
      <c r="A22" s="20">
        <v>18</v>
      </c>
      <c r="B22" s="179" t="s">
        <v>16</v>
      </c>
      <c r="C22" s="180"/>
      <c r="D22" s="15">
        <f t="shared" si="0"/>
        <v>0</v>
      </c>
      <c r="E22" s="18">
        <f t="shared" si="1"/>
        <v>0</v>
      </c>
      <c r="F22" s="22" t="str">
        <f t="shared" si="2"/>
        <v/>
      </c>
    </row>
    <row r="23" spans="1:6" x14ac:dyDescent="0.2">
      <c r="A23" s="20">
        <v>19</v>
      </c>
      <c r="B23" s="179" t="s">
        <v>17</v>
      </c>
      <c r="C23" s="180"/>
      <c r="D23" s="15">
        <f t="shared" si="0"/>
        <v>768493</v>
      </c>
      <c r="E23" s="18">
        <f t="shared" si="1"/>
        <v>6379443.2253547339</v>
      </c>
      <c r="F23" s="22">
        <f t="shared" si="2"/>
        <v>8.3012379102408662</v>
      </c>
    </row>
    <row r="24" spans="1:6" x14ac:dyDescent="0.2">
      <c r="A24" s="20">
        <v>20</v>
      </c>
      <c r="B24" s="179" t="s">
        <v>18</v>
      </c>
      <c r="C24" s="180"/>
      <c r="D24" s="15">
        <f t="shared" si="0"/>
        <v>126824</v>
      </c>
      <c r="E24" s="18">
        <f t="shared" si="1"/>
        <v>1446363.9566012817</v>
      </c>
      <c r="F24" s="22">
        <f t="shared" si="2"/>
        <v>11.404497229241166</v>
      </c>
    </row>
    <row r="25" spans="1:6" ht="14.25" customHeight="1" x14ac:dyDescent="0.2">
      <c r="A25" s="20">
        <v>21</v>
      </c>
      <c r="B25" s="179" t="s">
        <v>801</v>
      </c>
      <c r="C25" s="180"/>
      <c r="D25" s="15">
        <f t="shared" si="0"/>
        <v>212096</v>
      </c>
      <c r="E25" s="18">
        <f t="shared" si="1"/>
        <v>2209665.027024108</v>
      </c>
      <c r="F25" s="22">
        <f t="shared" si="2"/>
        <v>10.418230551373473</v>
      </c>
    </row>
    <row r="26" spans="1:6" x14ac:dyDescent="0.2">
      <c r="A26" s="20">
        <v>22</v>
      </c>
      <c r="B26" s="179" t="s">
        <v>19</v>
      </c>
      <c r="C26" s="180"/>
      <c r="D26" s="15">
        <f t="shared" si="0"/>
        <v>42828</v>
      </c>
      <c r="E26" s="18">
        <f t="shared" si="1"/>
        <v>201255.58743865273</v>
      </c>
      <c r="F26" s="22">
        <f t="shared" si="2"/>
        <v>4.6991591351137743</v>
      </c>
    </row>
    <row r="27" spans="1:6" x14ac:dyDescent="0.2">
      <c r="A27" s="20">
        <v>23</v>
      </c>
      <c r="B27" s="179" t="s">
        <v>20</v>
      </c>
      <c r="C27" s="180"/>
      <c r="D27" s="15">
        <f t="shared" si="0"/>
        <v>659472</v>
      </c>
      <c r="E27" s="18">
        <f t="shared" si="1"/>
        <v>5830519.637511516</v>
      </c>
      <c r="F27" s="22">
        <f t="shared" si="2"/>
        <v>8.8411936177904682</v>
      </c>
    </row>
    <row r="28" spans="1:6" x14ac:dyDescent="0.2">
      <c r="A28" s="20">
        <v>24</v>
      </c>
      <c r="B28" s="179" t="s">
        <v>21</v>
      </c>
      <c r="C28" s="180"/>
      <c r="D28" s="15">
        <f t="shared" si="0"/>
        <v>429064</v>
      </c>
      <c r="E28" s="18">
        <f t="shared" si="1"/>
        <v>5857309.0043144226</v>
      </c>
      <c r="F28" s="22">
        <f t="shared" si="2"/>
        <v>13.651364375278332</v>
      </c>
    </row>
    <row r="29" spans="1:6" x14ac:dyDescent="0.2">
      <c r="A29" s="20">
        <v>25</v>
      </c>
      <c r="B29" s="179" t="s">
        <v>22</v>
      </c>
      <c r="C29" s="180"/>
      <c r="D29" s="15">
        <f t="shared" si="0"/>
        <v>3946240</v>
      </c>
      <c r="E29" s="18">
        <f t="shared" si="1"/>
        <v>29981434.110533036</v>
      </c>
      <c r="F29" s="22">
        <f t="shared" si="2"/>
        <v>7.5974685043314745</v>
      </c>
    </row>
    <row r="30" spans="1:6" x14ac:dyDescent="0.2">
      <c r="A30" s="20">
        <v>26</v>
      </c>
      <c r="B30" s="179" t="s">
        <v>23</v>
      </c>
      <c r="C30" s="180"/>
      <c r="D30" s="15">
        <f t="shared" si="0"/>
        <v>1336964</v>
      </c>
      <c r="E30" s="18">
        <f t="shared" si="1"/>
        <v>13109537.322600422</v>
      </c>
      <c r="F30" s="22">
        <f t="shared" si="2"/>
        <v>9.8054527441280559</v>
      </c>
    </row>
    <row r="31" spans="1:6" x14ac:dyDescent="0.2">
      <c r="A31" s="20">
        <v>28</v>
      </c>
      <c r="B31" s="179" t="s">
        <v>24</v>
      </c>
      <c r="C31" s="180"/>
      <c r="D31" s="15">
        <f t="shared" si="0"/>
        <v>1311184</v>
      </c>
      <c r="E31" s="18">
        <f t="shared" si="1"/>
        <v>10884446.58083876</v>
      </c>
      <c r="F31" s="22">
        <f t="shared" si="2"/>
        <v>8.3012350523181802</v>
      </c>
    </row>
    <row r="32" spans="1:6" ht="15.75" customHeight="1" thickBot="1" x14ac:dyDescent="0.25">
      <c r="A32" s="23">
        <v>29</v>
      </c>
      <c r="B32" s="181" t="s">
        <v>25</v>
      </c>
      <c r="C32" s="182"/>
      <c r="D32" s="24">
        <f t="shared" si="0"/>
        <v>644880</v>
      </c>
      <c r="E32" s="25">
        <f t="shared" si="1"/>
        <v>5428599.6682412997</v>
      </c>
      <c r="F32" s="26">
        <f t="shared" si="2"/>
        <v>8.41799973365789</v>
      </c>
    </row>
    <row r="33" spans="1:6" x14ac:dyDescent="0.2">
      <c r="B33" s="31" t="s">
        <v>35</v>
      </c>
      <c r="C33" s="31"/>
      <c r="D33" s="61">
        <f>SUM(D5:D32)</f>
        <v>19756989</v>
      </c>
      <c r="E33" s="32">
        <f>SUM(E5:E32)</f>
        <v>174945539</v>
      </c>
      <c r="F33" s="33">
        <f t="shared" si="2"/>
        <v>8.8548684721138429</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IF(F3="1",SUMIF(Data!A:A,'40'!$A$2,Data!CU:CU),0)</f>
        <v>41468</v>
      </c>
      <c r="E36" s="16">
        <f>IF(F3="1",SUMIF(Data!$A:$A,'40'!$A$2,Data!IO:IO),0)</f>
        <v>70026</v>
      </c>
      <c r="F36" s="21">
        <f t="shared" ref="F36:F64" si="3">IFERROR(E36/D36,"")</f>
        <v>1.6886756052860037</v>
      </c>
    </row>
    <row r="37" spans="1:6" x14ac:dyDescent="0.2">
      <c r="A37" s="20">
        <v>2</v>
      </c>
      <c r="B37" s="179" t="s">
        <v>1</v>
      </c>
      <c r="C37" s="180"/>
      <c r="D37" s="15">
        <f>IF(F3="1",SUMIF(Data!A:A,'40'!$A$2,Data!CV:CV),0)</f>
        <v>47894</v>
      </c>
      <c r="E37" s="18">
        <f>IF(F3="1",SUMIF(Data!$A:$A,'40'!$A$2,Data!IP:IP),0)</f>
        <v>228489</v>
      </c>
      <c r="F37" s="22">
        <f t="shared" si="3"/>
        <v>4.7707228462855475</v>
      </c>
    </row>
    <row r="38" spans="1:6" ht="14.25" customHeight="1" x14ac:dyDescent="0.2">
      <c r="A38" s="20">
        <v>3</v>
      </c>
      <c r="B38" s="179" t="s">
        <v>2</v>
      </c>
      <c r="C38" s="180"/>
      <c r="D38" s="15">
        <f>IF(F3="1",SUMIF(Data!A:A,'40'!$A$2,Data!CW:CW),0)</f>
        <v>2760288</v>
      </c>
      <c r="E38" s="18">
        <f>IF(F3="1",SUMIF(Data!$A:$A,'40'!$A$2,Data!IQ:IQ),0)</f>
        <v>4379155</v>
      </c>
      <c r="F38" s="22">
        <f t="shared" si="3"/>
        <v>1.586484816077163</v>
      </c>
    </row>
    <row r="39" spans="1:6" ht="14.25" customHeight="1" x14ac:dyDescent="0.2">
      <c r="A39" s="20">
        <v>4</v>
      </c>
      <c r="B39" s="179" t="s">
        <v>3</v>
      </c>
      <c r="C39" s="180"/>
      <c r="D39" s="15">
        <f>IF(F3="1",SUMIF(Data!A:A,'40'!$A$2,Data!CX:CX),0)</f>
        <v>1487342</v>
      </c>
      <c r="E39" s="18">
        <f>IF(F3="1",SUMIF(Data!$A:$A,'40'!$A$2,Data!IR:IR),0)</f>
        <v>2320855</v>
      </c>
      <c r="F39" s="22">
        <f t="shared" si="3"/>
        <v>1.5604043992571983</v>
      </c>
    </row>
    <row r="40" spans="1:6" x14ac:dyDescent="0.2">
      <c r="A40" s="20">
        <v>5</v>
      </c>
      <c r="B40" s="179" t="s">
        <v>4</v>
      </c>
      <c r="C40" s="180"/>
      <c r="D40" s="15">
        <f>IF(F3="1",SUMIF(Data!A:A,'40'!$A$2,Data!CY:CY),0)</f>
        <v>0</v>
      </c>
      <c r="E40" s="18">
        <f>IF(F3="1",SUMIF(Data!$A:$A,'40'!$A$2,Data!IS:IS),0)</f>
        <v>0</v>
      </c>
      <c r="F40" s="22" t="str">
        <f t="shared" si="3"/>
        <v/>
      </c>
    </row>
    <row r="41" spans="1:6" x14ac:dyDescent="0.2">
      <c r="A41" s="20">
        <v>6</v>
      </c>
      <c r="B41" s="179" t="s">
        <v>5</v>
      </c>
      <c r="C41" s="180"/>
      <c r="D41" s="15">
        <f>IF(F3="1",SUMIF(Data!A:A,'40'!$A$2,Data!CZ:CZ),0)</f>
        <v>407672</v>
      </c>
      <c r="E41" s="18">
        <f>IF(F3="1",SUMIF(Data!$A:$A,'40'!$A$2,Data!IT:IT),0)</f>
        <v>1803083</v>
      </c>
      <c r="F41" s="22">
        <f t="shared" si="3"/>
        <v>4.4228767244255183</v>
      </c>
    </row>
    <row r="42" spans="1:6" x14ac:dyDescent="0.2">
      <c r="A42" s="20">
        <v>7</v>
      </c>
      <c r="B42" s="179" t="s">
        <v>6</v>
      </c>
      <c r="C42" s="180"/>
      <c r="D42" s="15">
        <f>IF(F3="1",SUMIF(Data!A:A,'40'!$A$2,Data!DA:DA),0)</f>
        <v>751026</v>
      </c>
      <c r="E42" s="18">
        <f>IF(F3="1",SUMIF(Data!$A:$A,'40'!$A$2,Data!IU:IU),0)</f>
        <v>1801740</v>
      </c>
      <c r="F42" s="22">
        <f t="shared" si="3"/>
        <v>2.3990381158575071</v>
      </c>
    </row>
    <row r="43" spans="1:6" x14ac:dyDescent="0.2">
      <c r="A43" s="20">
        <v>8</v>
      </c>
      <c r="B43" s="179" t="s">
        <v>7</v>
      </c>
      <c r="C43" s="180"/>
      <c r="D43" s="15">
        <f>IF(F3="1",SUMIF(Data!A:A,'40'!$A$2,Data!DB:DB),0)</f>
        <v>2028</v>
      </c>
      <c r="E43" s="18">
        <f>IF(F3="1",SUMIF(Data!$A:$A,'40'!$A$2,Data!IV:IV),0)</f>
        <v>3038</v>
      </c>
      <c r="F43" s="22">
        <f t="shared" si="3"/>
        <v>1.4980276134122288</v>
      </c>
    </row>
    <row r="44" spans="1:6" x14ac:dyDescent="0.2">
      <c r="A44" s="20">
        <v>9</v>
      </c>
      <c r="B44" s="179" t="s">
        <v>8</v>
      </c>
      <c r="C44" s="180"/>
      <c r="D44" s="15">
        <f>IF(F3="1",SUMIF(Data!A:A,'40'!$A$2,Data!DC:DC),0)</f>
        <v>283608</v>
      </c>
      <c r="E44" s="18">
        <f>IF(F3="1",SUMIF(Data!$A:$A,'40'!$A$2,Data!IW:IW),0)</f>
        <v>541567</v>
      </c>
      <c r="F44" s="22">
        <f t="shared" si="3"/>
        <v>1.9095617895122845</v>
      </c>
    </row>
    <row r="45" spans="1:6" x14ac:dyDescent="0.2">
      <c r="A45" s="20">
        <v>10</v>
      </c>
      <c r="B45" s="179" t="s">
        <v>9</v>
      </c>
      <c r="C45" s="180"/>
      <c r="D45" s="15">
        <f>IF(F3="1",SUMIF(Data!A:A,'40'!$A$2,Data!DD:DD),0)</f>
        <v>16688</v>
      </c>
      <c r="E45" s="18">
        <f>IF(F3="1",SUMIF(Data!$A:$A,'40'!$A$2,Data!IX:IX),0)</f>
        <v>36228</v>
      </c>
      <c r="F45" s="22">
        <f t="shared" si="3"/>
        <v>2.1709012464046022</v>
      </c>
    </row>
    <row r="46" spans="1:6" x14ac:dyDescent="0.2">
      <c r="A46" s="20">
        <v>11</v>
      </c>
      <c r="B46" s="179" t="s">
        <v>10</v>
      </c>
      <c r="C46" s="180"/>
      <c r="D46" s="15">
        <f>IF(F3="1",SUMIF(Data!A:A,'40'!$A$2,Data!DE:DE),0)</f>
        <v>286937</v>
      </c>
      <c r="E46" s="18">
        <f>IF(F3="1",SUMIF(Data!$A:$A,'40'!$A$2,Data!IY:IY),0)</f>
        <v>778652</v>
      </c>
      <c r="F46" s="22">
        <f t="shared" si="3"/>
        <v>2.7136688541387133</v>
      </c>
    </row>
    <row r="47" spans="1:6" ht="14.25" customHeight="1" x14ac:dyDescent="0.2">
      <c r="A47" s="20">
        <v>12</v>
      </c>
      <c r="B47" s="179" t="s">
        <v>11</v>
      </c>
      <c r="C47" s="180"/>
      <c r="D47" s="15">
        <f>IF(F3="1",SUMIF(Data!A:A,'40'!$A$2,Data!DF:DF),0)</f>
        <v>2859232</v>
      </c>
      <c r="E47" s="18">
        <f>IF(F3="1",SUMIF(Data!$A:$A,'40'!$A$2,Data!IZ:IZ),0)</f>
        <v>4707094</v>
      </c>
      <c r="F47" s="22">
        <f t="shared" si="3"/>
        <v>1.6462791406923258</v>
      </c>
    </row>
    <row r="48" spans="1:6" x14ac:dyDescent="0.2">
      <c r="A48" s="20">
        <v>13</v>
      </c>
      <c r="B48" s="179" t="s">
        <v>12</v>
      </c>
      <c r="C48" s="180"/>
      <c r="D48" s="15">
        <f>IF(F3="1",SUMIF(Data!A:A,'40'!$A$2,Data!DG:DG),0)</f>
        <v>553294</v>
      </c>
      <c r="E48" s="18">
        <f>IF(F3="1",SUMIF(Data!$A:$A,'40'!$A$2,Data!JA:JA),0)</f>
        <v>875788</v>
      </c>
      <c r="F48" s="22">
        <f t="shared" si="3"/>
        <v>1.5828619142806537</v>
      </c>
    </row>
    <row r="49" spans="1:6" ht="14.25" customHeight="1" x14ac:dyDescent="0.2">
      <c r="A49" s="20">
        <v>14</v>
      </c>
      <c r="B49" s="179" t="s">
        <v>804</v>
      </c>
      <c r="C49" s="180"/>
      <c r="D49" s="15">
        <f>IF(F3="1",SUMIF(Data!A:A,'40'!$A$2,Data!DH:DH),0)</f>
        <v>347971</v>
      </c>
      <c r="E49" s="18">
        <f>IF(F3="1",SUMIF(Data!$A:$A,'40'!$A$2,Data!JB:JB),0)</f>
        <v>1670505</v>
      </c>
      <c r="F49" s="22">
        <f t="shared" si="3"/>
        <v>4.8007017826198162</v>
      </c>
    </row>
    <row r="50" spans="1:6" x14ac:dyDescent="0.2">
      <c r="A50" s="20">
        <v>15</v>
      </c>
      <c r="B50" s="179" t="s">
        <v>13</v>
      </c>
      <c r="C50" s="180"/>
      <c r="D50" s="15">
        <f>IF(F3="1",SUMIF(Data!A:A,'40'!$A$2,Data!DI:DI),0)</f>
        <v>33952</v>
      </c>
      <c r="E50" s="18">
        <f>IF(F3="1",SUMIF(Data!$A:$A,'40'!$A$2,Data!JC:JC),0)</f>
        <v>197045</v>
      </c>
      <c r="F50" s="22">
        <f t="shared" si="3"/>
        <v>5.8036345428840717</v>
      </c>
    </row>
    <row r="51" spans="1:6" x14ac:dyDescent="0.2">
      <c r="A51" s="20">
        <v>16</v>
      </c>
      <c r="B51" s="179" t="s">
        <v>14</v>
      </c>
      <c r="C51" s="180"/>
      <c r="D51" s="15">
        <f>IF(F3="1",SUMIF(Data!A:A,'40'!$A$2,Data!DJ:DJ),0)</f>
        <v>360728</v>
      </c>
      <c r="E51" s="18">
        <f>IF(F3="1",SUMIF(Data!$A:$A,'40'!$A$2,Data!JD:JD),0)</f>
        <v>1644933</v>
      </c>
      <c r="F51" s="22">
        <f t="shared" si="3"/>
        <v>4.56003692532878</v>
      </c>
    </row>
    <row r="52" spans="1:6" x14ac:dyDescent="0.2">
      <c r="A52" s="20">
        <v>17</v>
      </c>
      <c r="B52" s="179" t="s">
        <v>15</v>
      </c>
      <c r="C52" s="180"/>
      <c r="D52" s="15">
        <f>IF(F3="1",SUMIF(Data!A:A,'40'!$A$2,Data!DK:DK),0)</f>
        <v>38816</v>
      </c>
      <c r="E52" s="18">
        <f>IF(F3="1",SUMIF(Data!$A:$A,'40'!$A$2,Data!JE:JE),0)</f>
        <v>172409</v>
      </c>
      <c r="F52" s="22">
        <f t="shared" si="3"/>
        <v>4.4416992992580377</v>
      </c>
    </row>
    <row r="53" spans="1:6" x14ac:dyDescent="0.2">
      <c r="A53" s="20">
        <v>18</v>
      </c>
      <c r="B53" s="179" t="s">
        <v>16</v>
      </c>
      <c r="C53" s="180"/>
      <c r="D53" s="15">
        <f>IF(F3="1",SUMIF(Data!A:A,'40'!$A$2,Data!DL:DL),0)</f>
        <v>0</v>
      </c>
      <c r="E53" s="18">
        <f>IF(F3="1",SUMIF(Data!$A:$A,'40'!$A$2,Data!JF:JF),0)</f>
        <v>0</v>
      </c>
      <c r="F53" s="22" t="str">
        <f t="shared" si="3"/>
        <v/>
      </c>
    </row>
    <row r="54" spans="1:6" x14ac:dyDescent="0.2">
      <c r="A54" s="20">
        <v>19</v>
      </c>
      <c r="B54" s="179" t="s">
        <v>17</v>
      </c>
      <c r="C54" s="180"/>
      <c r="D54" s="15">
        <f>IF(F3="1",SUMIF(Data!A:A,'40'!$A$2,Data!DM:DM),0)</f>
        <v>768493</v>
      </c>
      <c r="E54" s="18">
        <f>IF(F3="1",SUMIF(Data!$A:$A,'40'!$A$2,Data!JG:JG),0)</f>
        <v>1252006</v>
      </c>
      <c r="F54" s="22">
        <f t="shared" si="3"/>
        <v>1.6291703372704762</v>
      </c>
    </row>
    <row r="55" spans="1:6" x14ac:dyDescent="0.2">
      <c r="A55" s="20">
        <v>20</v>
      </c>
      <c r="B55" s="179" t="s">
        <v>18</v>
      </c>
      <c r="C55" s="180"/>
      <c r="D55" s="15">
        <f>IF(F3="1",SUMIF(Data!A:A,'40'!$A$2,Data!DN:DN),0)</f>
        <v>126824</v>
      </c>
      <c r="E55" s="18">
        <f>IF(F3="1",SUMIF(Data!$A:$A,'40'!$A$2,Data!JH:JH),0)</f>
        <v>361428</v>
      </c>
      <c r="F55" s="22">
        <f t="shared" si="3"/>
        <v>2.8498391471645745</v>
      </c>
    </row>
    <row r="56" spans="1:6" ht="14.25" customHeight="1" x14ac:dyDescent="0.2">
      <c r="A56" s="20">
        <v>21</v>
      </c>
      <c r="B56" s="179" t="s">
        <v>801</v>
      </c>
      <c r="C56" s="180"/>
      <c r="D56" s="15">
        <f>IF(F3="1",SUMIF(Data!A:A,'40'!$A$2,Data!DO:DO),0)</f>
        <v>212096</v>
      </c>
      <c r="E56" s="18">
        <f>IF(F3="1",SUMIF(Data!$A:$A,'40'!$A$2,Data!JI:JI),0)</f>
        <v>504146</v>
      </c>
      <c r="F56" s="22">
        <f t="shared" si="3"/>
        <v>2.3769708056729026</v>
      </c>
    </row>
    <row r="57" spans="1:6" x14ac:dyDescent="0.2">
      <c r="A57" s="20">
        <v>22</v>
      </c>
      <c r="B57" s="179" t="s">
        <v>19</v>
      </c>
      <c r="C57" s="180"/>
      <c r="D57" s="15">
        <f>IF(F3="1",SUMIF(Data!A:A,'40'!$A$2,Data!DP:DP),0)</f>
        <v>42828</v>
      </c>
      <c r="E57" s="18">
        <f>IF(F3="1",SUMIF(Data!$A:$A,'40'!$A$2,Data!JJ:JJ),0)</f>
        <v>36982</v>
      </c>
      <c r="F57" s="22">
        <f t="shared" si="3"/>
        <v>0.86350051368263747</v>
      </c>
    </row>
    <row r="58" spans="1:6" x14ac:dyDescent="0.2">
      <c r="A58" s="20">
        <v>23</v>
      </c>
      <c r="B58" s="179" t="s">
        <v>20</v>
      </c>
      <c r="C58" s="180"/>
      <c r="D58" s="15">
        <f>IF(F3="1",SUMIF(Data!A:A,'40'!$A$2,Data!DQ:DQ),0)</f>
        <v>659472</v>
      </c>
      <c r="E58" s="18">
        <f>IF(F3="1",SUMIF(Data!$A:$A,'40'!$A$2,Data!JK:JK),0)</f>
        <v>1180404</v>
      </c>
      <c r="F58" s="22">
        <f t="shared" si="3"/>
        <v>1.789922847368804</v>
      </c>
    </row>
    <row r="59" spans="1:6" x14ac:dyDescent="0.2">
      <c r="A59" s="20">
        <v>24</v>
      </c>
      <c r="B59" s="179" t="s">
        <v>21</v>
      </c>
      <c r="C59" s="180"/>
      <c r="D59" s="15">
        <f>IF(F3="1",SUMIF(Data!A:A,'40'!$A$2,Data!DR:DR),0)</f>
        <v>429064</v>
      </c>
      <c r="E59" s="18">
        <f>IF(F3="1",SUMIF(Data!$A:$A,'40'!$A$2,Data!JL:JL),0)</f>
        <v>2544806</v>
      </c>
      <c r="F59" s="22">
        <f t="shared" si="3"/>
        <v>5.9310638972274532</v>
      </c>
    </row>
    <row r="60" spans="1:6" x14ac:dyDescent="0.2">
      <c r="A60" s="20">
        <v>25</v>
      </c>
      <c r="B60" s="179" t="s">
        <v>22</v>
      </c>
      <c r="C60" s="180"/>
      <c r="D60" s="15">
        <f>IF(F3="1",SUMIF(Data!A:A,'40'!$A$2,Data!DS:DS),0)</f>
        <v>3946240</v>
      </c>
      <c r="E60" s="18">
        <f>IF(F3="1",SUMIF(Data!$A:$A,'40'!$A$2,Data!JM:JM),0)</f>
        <v>5653760</v>
      </c>
      <c r="F60" s="22">
        <f t="shared" si="3"/>
        <v>1.4326954265325982</v>
      </c>
    </row>
    <row r="61" spans="1:6" x14ac:dyDescent="0.2">
      <c r="A61" s="20">
        <v>26</v>
      </c>
      <c r="B61" s="179" t="s">
        <v>23</v>
      </c>
      <c r="C61" s="180"/>
      <c r="D61" s="15">
        <f>IF(F3="1",SUMIF(Data!A:A,'40'!$A$2,Data!DT:DT),0)</f>
        <v>1336964</v>
      </c>
      <c r="E61" s="18">
        <f>IF(F3="1",SUMIF(Data!$A:$A,'40'!$A$2,Data!JN:JN),0)</f>
        <v>2700831</v>
      </c>
      <c r="F61" s="22">
        <f t="shared" si="3"/>
        <v>2.020122456550812</v>
      </c>
    </row>
    <row r="62" spans="1:6" x14ac:dyDescent="0.2">
      <c r="A62" s="20">
        <v>28</v>
      </c>
      <c r="B62" s="179" t="s">
        <v>24</v>
      </c>
      <c r="C62" s="180"/>
      <c r="D62" s="15">
        <f>IF(F3="1",SUMIF(Data!A:A,'40'!$A$2,Data!DV:DV),0)</f>
        <v>1311184</v>
      </c>
      <c r="E62" s="18">
        <f>IF(F3="1",SUMIF(Data!$A:$A,'40'!$A$2,Data!JP:JP),0)</f>
        <v>2136141</v>
      </c>
      <c r="F62" s="22">
        <f t="shared" si="3"/>
        <v>1.6291695139660032</v>
      </c>
    </row>
    <row r="63" spans="1:6" ht="15.75" customHeight="1" thickBot="1" x14ac:dyDescent="0.25">
      <c r="A63" s="23">
        <v>29</v>
      </c>
      <c r="B63" s="181" t="s">
        <v>25</v>
      </c>
      <c r="C63" s="182"/>
      <c r="D63" s="24">
        <f>IF(F3="1",SUMIF(Data!A:A,'40'!$A$2,Data!DW:DW),0)</f>
        <v>644880</v>
      </c>
      <c r="E63" s="25">
        <f>IF(F3="1",SUMIF(Data!$A:$A,'40'!$A$2,Data!JQ:JQ),0)</f>
        <v>1061653</v>
      </c>
      <c r="F63" s="26">
        <f t="shared" si="3"/>
        <v>1.6462799280486291</v>
      </c>
    </row>
    <row r="64" spans="1:6" x14ac:dyDescent="0.2">
      <c r="B64" s="31" t="s">
        <v>35</v>
      </c>
      <c r="C64" s="31"/>
      <c r="D64" s="61">
        <f>SUM(D36:D63)</f>
        <v>19756989</v>
      </c>
      <c r="E64" s="32">
        <f>SUM(E36:E63)</f>
        <v>38662764</v>
      </c>
      <c r="F64" s="33">
        <f t="shared" si="3"/>
        <v>1.9569158033139564</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41468</v>
      </c>
      <c r="E67" s="16">
        <f>IF(F3="1",SUMIF(Data!A:A,'40'!$A$2,Data!DY:DY),0)</f>
        <v>107995</v>
      </c>
      <c r="F67" s="21">
        <f>IFERROR(E67/D67,"")</f>
        <v>2.6042972894762224</v>
      </c>
    </row>
    <row r="68" spans="1:6" x14ac:dyDescent="0.2">
      <c r="A68" s="20">
        <v>2</v>
      </c>
      <c r="B68" s="179" t="s">
        <v>1</v>
      </c>
      <c r="C68" s="180"/>
      <c r="D68" s="15">
        <f t="shared" ref="D68:D94" si="4">D37</f>
        <v>47894</v>
      </c>
      <c r="E68" s="18">
        <f>IF(F3="1",SUMIF(Data!A:A,'40'!$A$2,Data!DZ:DZ),0)</f>
        <v>447117</v>
      </c>
      <c r="F68" s="22">
        <f t="shared" ref="F68:F95" si="5">IFERROR(E68/D68,"")</f>
        <v>9.3355535140101065</v>
      </c>
    </row>
    <row r="69" spans="1:6" ht="14.25" customHeight="1" x14ac:dyDescent="0.2">
      <c r="A69" s="20">
        <v>3</v>
      </c>
      <c r="B69" s="179" t="s">
        <v>2</v>
      </c>
      <c r="C69" s="180"/>
      <c r="D69" s="15">
        <f t="shared" si="4"/>
        <v>2760288</v>
      </c>
      <c r="E69" s="18">
        <f>IF(F3="1",SUMIF(Data!A:A,'40'!$A$2,Data!EA:EA),0)</f>
        <v>7835292</v>
      </c>
      <c r="F69" s="22">
        <f t="shared" si="5"/>
        <v>2.8385777136298822</v>
      </c>
    </row>
    <row r="70" spans="1:6" ht="14.25" customHeight="1" x14ac:dyDescent="0.2">
      <c r="A70" s="20">
        <v>4</v>
      </c>
      <c r="B70" s="179" t="s">
        <v>3</v>
      </c>
      <c r="C70" s="180"/>
      <c r="D70" s="15">
        <f t="shared" si="4"/>
        <v>1487342</v>
      </c>
      <c r="E70" s="18">
        <f>IF(F3="1",SUMIF(Data!A:A,'40'!$A$2,Data!EB:EB),0)</f>
        <v>3047725</v>
      </c>
      <c r="F70" s="22">
        <f t="shared" si="5"/>
        <v>2.0491084094982863</v>
      </c>
    </row>
    <row r="71" spans="1:6" x14ac:dyDescent="0.2">
      <c r="A71" s="20">
        <v>5</v>
      </c>
      <c r="B71" s="179" t="s">
        <v>4</v>
      </c>
      <c r="C71" s="180"/>
      <c r="D71" s="15">
        <f t="shared" si="4"/>
        <v>0</v>
      </c>
      <c r="E71" s="18">
        <f>IF(F3="1",SUMIF(Data!A:A,'40'!$A$2,Data!EC:EC),0)</f>
        <v>0</v>
      </c>
      <c r="F71" s="22" t="str">
        <f t="shared" si="5"/>
        <v/>
      </c>
    </row>
    <row r="72" spans="1:6" x14ac:dyDescent="0.2">
      <c r="A72" s="20">
        <v>6</v>
      </c>
      <c r="B72" s="179" t="s">
        <v>5</v>
      </c>
      <c r="C72" s="180"/>
      <c r="D72" s="15">
        <f t="shared" si="4"/>
        <v>407672</v>
      </c>
      <c r="E72" s="18">
        <f>IF(F3="1",SUMIF(Data!A:A,'40'!$A$2,Data!ED:ED),0)</f>
        <v>796617</v>
      </c>
      <c r="F72" s="22">
        <f t="shared" si="5"/>
        <v>1.9540635609019015</v>
      </c>
    </row>
    <row r="73" spans="1:6" x14ac:dyDescent="0.2">
      <c r="A73" s="20">
        <v>7</v>
      </c>
      <c r="B73" s="179" t="s">
        <v>6</v>
      </c>
      <c r="C73" s="180"/>
      <c r="D73" s="15">
        <f t="shared" si="4"/>
        <v>751026</v>
      </c>
      <c r="E73" s="18">
        <f>IF(F3="1",SUMIF(Data!A:A,'40'!$A$2,Data!EE:EE),0)</f>
        <v>3364984</v>
      </c>
      <c r="F73" s="22">
        <f t="shared" si="5"/>
        <v>4.4805159874624847</v>
      </c>
    </row>
    <row r="74" spans="1:6" x14ac:dyDescent="0.2">
      <c r="A74" s="20">
        <v>8</v>
      </c>
      <c r="B74" s="179" t="s">
        <v>7</v>
      </c>
      <c r="C74" s="180"/>
      <c r="D74" s="15">
        <f t="shared" si="4"/>
        <v>2028</v>
      </c>
      <c r="E74" s="18">
        <f>IF(F3="1",SUMIF(Data!A:A,'40'!$A$2,Data!EF:EF),0)</f>
        <v>640</v>
      </c>
      <c r="F74" s="22">
        <f t="shared" si="5"/>
        <v>0.31558185404339251</v>
      </c>
    </row>
    <row r="75" spans="1:6" x14ac:dyDescent="0.2">
      <c r="A75" s="20">
        <v>9</v>
      </c>
      <c r="B75" s="179" t="s">
        <v>8</v>
      </c>
      <c r="C75" s="180"/>
      <c r="D75" s="15">
        <f t="shared" si="4"/>
        <v>283608</v>
      </c>
      <c r="E75" s="18">
        <f>IF(F3="1",SUMIF(Data!A:A,'40'!$A$2,Data!EG:EG),0)</f>
        <v>1011969</v>
      </c>
      <c r="F75" s="22">
        <f t="shared" si="5"/>
        <v>3.5681962427011933</v>
      </c>
    </row>
    <row r="76" spans="1:6" x14ac:dyDescent="0.2">
      <c r="A76" s="20">
        <v>10</v>
      </c>
      <c r="B76" s="179" t="s">
        <v>9</v>
      </c>
      <c r="C76" s="180"/>
      <c r="D76" s="15">
        <f t="shared" si="4"/>
        <v>16688</v>
      </c>
      <c r="E76" s="18">
        <f>IF(F3="1",SUMIF(Data!A:A,'40'!$A$2,Data!EH:EH),0)</f>
        <v>75697</v>
      </c>
      <c r="F76" s="22">
        <f t="shared" si="5"/>
        <v>4.5360139022051778</v>
      </c>
    </row>
    <row r="77" spans="1:6" x14ac:dyDescent="0.2">
      <c r="A77" s="20">
        <v>11</v>
      </c>
      <c r="B77" s="179" t="s">
        <v>10</v>
      </c>
      <c r="C77" s="180"/>
      <c r="D77" s="15">
        <f t="shared" si="4"/>
        <v>286937</v>
      </c>
      <c r="E77" s="18">
        <f>IF(F3="1",SUMIF(Data!A:A,'40'!$A$2,Data!EI:EI),0)</f>
        <v>1323201</v>
      </c>
      <c r="F77" s="22">
        <f t="shared" si="5"/>
        <v>4.6114687196144102</v>
      </c>
    </row>
    <row r="78" spans="1:6" ht="14.25" customHeight="1" x14ac:dyDescent="0.2">
      <c r="A78" s="20">
        <v>12</v>
      </c>
      <c r="B78" s="179" t="s">
        <v>11</v>
      </c>
      <c r="C78" s="180"/>
      <c r="D78" s="15">
        <f t="shared" si="4"/>
        <v>2859232</v>
      </c>
      <c r="E78" s="18">
        <f>IF(F3="1",SUMIF(Data!A:A,'40'!$A$2,Data!EJ:EJ),0)</f>
        <v>8653910</v>
      </c>
      <c r="F78" s="22">
        <f t="shared" si="5"/>
        <v>3.0266554095645266</v>
      </c>
    </row>
    <row r="79" spans="1:6" x14ac:dyDescent="0.2">
      <c r="A79" s="20">
        <v>13</v>
      </c>
      <c r="B79" s="179" t="s">
        <v>12</v>
      </c>
      <c r="C79" s="180"/>
      <c r="D79" s="15">
        <f t="shared" si="4"/>
        <v>553294</v>
      </c>
      <c r="E79" s="18">
        <f>IF(F3="1",SUMIF(Data!A:A,'40'!$A$2,Data!EK:EK),0)</f>
        <v>1537671</v>
      </c>
      <c r="F79" s="22">
        <f t="shared" si="5"/>
        <v>2.7791210459538691</v>
      </c>
    </row>
    <row r="80" spans="1:6" ht="14.25" customHeight="1" x14ac:dyDescent="0.2">
      <c r="A80" s="20">
        <v>14</v>
      </c>
      <c r="B80" s="179" t="s">
        <v>804</v>
      </c>
      <c r="C80" s="180"/>
      <c r="D80" s="15">
        <f t="shared" si="4"/>
        <v>347971</v>
      </c>
      <c r="E80" s="18">
        <f>IF(F3="1",SUMIF(Data!A:A,'40'!$A$2,Data!EL:EL),0)</f>
        <v>2914843</v>
      </c>
      <c r="F80" s="22">
        <f t="shared" si="5"/>
        <v>8.3766836891580052</v>
      </c>
    </row>
    <row r="81" spans="1:6" x14ac:dyDescent="0.2">
      <c r="A81" s="20">
        <v>15</v>
      </c>
      <c r="B81" s="179" t="s">
        <v>13</v>
      </c>
      <c r="C81" s="180"/>
      <c r="D81" s="15">
        <f t="shared" si="4"/>
        <v>33952</v>
      </c>
      <c r="E81" s="18">
        <f>IF(F3="1",SUMIF(Data!A:A,'40'!$A$2,Data!EM:EM),0)</f>
        <v>515163</v>
      </c>
      <c r="F81" s="22">
        <f t="shared" si="5"/>
        <v>15.173274033930255</v>
      </c>
    </row>
    <row r="82" spans="1:6" x14ac:dyDescent="0.2">
      <c r="A82" s="20">
        <v>16</v>
      </c>
      <c r="B82" s="179" t="s">
        <v>14</v>
      </c>
      <c r="C82" s="180"/>
      <c r="D82" s="15">
        <f t="shared" si="4"/>
        <v>360728</v>
      </c>
      <c r="E82" s="18">
        <f>IF(F3="1",SUMIF(Data!A:A,'40'!$A$2,Data!EN:EN),0)</f>
        <v>1822038</v>
      </c>
      <c r="F82" s="22">
        <f t="shared" si="5"/>
        <v>5.0510024173338364</v>
      </c>
    </row>
    <row r="83" spans="1:6" x14ac:dyDescent="0.2">
      <c r="A83" s="20">
        <v>17</v>
      </c>
      <c r="B83" s="179" t="s">
        <v>15</v>
      </c>
      <c r="C83" s="180"/>
      <c r="D83" s="15">
        <f t="shared" si="4"/>
        <v>38816</v>
      </c>
      <c r="E83" s="18">
        <f>IF(F3="1",SUMIF(Data!A:A,'40'!$A$2,Data!EO:EO),0)</f>
        <v>436196</v>
      </c>
      <c r="F83" s="22">
        <f t="shared" si="5"/>
        <v>11.237530915086563</v>
      </c>
    </row>
    <row r="84" spans="1:6" x14ac:dyDescent="0.2">
      <c r="A84" s="20">
        <v>18</v>
      </c>
      <c r="B84" s="179" t="s">
        <v>16</v>
      </c>
      <c r="C84" s="180"/>
      <c r="D84" s="15">
        <f t="shared" si="4"/>
        <v>0</v>
      </c>
      <c r="E84" s="18">
        <f>IF(F3="1",SUMIF(Data!A:A,'40'!$A$2,Data!EP:EP),0)</f>
        <v>0</v>
      </c>
      <c r="F84" s="22" t="str">
        <f t="shared" si="5"/>
        <v/>
      </c>
    </row>
    <row r="85" spans="1:6" x14ac:dyDescent="0.2">
      <c r="A85" s="20">
        <v>19</v>
      </c>
      <c r="B85" s="179" t="s">
        <v>17</v>
      </c>
      <c r="C85" s="180"/>
      <c r="D85" s="15">
        <f t="shared" si="4"/>
        <v>768493</v>
      </c>
      <c r="E85" s="18">
        <f>IF(F3="1",SUMIF(Data!A:A,'40'!$A$2,Data!EQ:EQ),0)</f>
        <v>2249382</v>
      </c>
      <c r="F85" s="22">
        <f t="shared" si="5"/>
        <v>2.9270038894303525</v>
      </c>
    </row>
    <row r="86" spans="1:6" x14ac:dyDescent="0.2">
      <c r="A86" s="20">
        <v>20</v>
      </c>
      <c r="B86" s="179" t="s">
        <v>18</v>
      </c>
      <c r="C86" s="180"/>
      <c r="D86" s="15">
        <f t="shared" si="4"/>
        <v>126824</v>
      </c>
      <c r="E86" s="18">
        <f>IF(F3="1",SUMIF(Data!A:A,'40'!$A$2,Data!ER:ER),0)</f>
        <v>609972</v>
      </c>
      <c r="F86" s="22">
        <f t="shared" si="5"/>
        <v>4.8095943985365546</v>
      </c>
    </row>
    <row r="87" spans="1:6" ht="14.25" customHeight="1" x14ac:dyDescent="0.2">
      <c r="A87" s="20">
        <v>21</v>
      </c>
      <c r="B87" s="179" t="s">
        <v>801</v>
      </c>
      <c r="C87" s="180"/>
      <c r="D87" s="15">
        <f t="shared" si="4"/>
        <v>212096</v>
      </c>
      <c r="E87" s="18">
        <f>IF(F3="1",SUMIF(Data!A:A,'40'!$A$2,Data!ES:ES),0)</f>
        <v>911206</v>
      </c>
      <c r="F87" s="22">
        <f t="shared" si="5"/>
        <v>4.2961960621605311</v>
      </c>
    </row>
    <row r="88" spans="1:6" x14ac:dyDescent="0.2">
      <c r="A88" s="20">
        <v>22</v>
      </c>
      <c r="B88" s="179" t="s">
        <v>19</v>
      </c>
      <c r="C88" s="180"/>
      <c r="D88" s="15">
        <f t="shared" si="4"/>
        <v>42828</v>
      </c>
      <c r="E88" s="18">
        <f>IF(F3="1",SUMIF(Data!A:A,'40'!$A$2,Data!ET:ET),0)</f>
        <v>3880</v>
      </c>
      <c r="F88" s="22">
        <f t="shared" si="5"/>
        <v>9.0594937891099278E-2</v>
      </c>
    </row>
    <row r="89" spans="1:6" x14ac:dyDescent="0.2">
      <c r="A89" s="20">
        <v>23</v>
      </c>
      <c r="B89" s="179" t="s">
        <v>20</v>
      </c>
      <c r="C89" s="180"/>
      <c r="D89" s="15">
        <f t="shared" si="4"/>
        <v>659472</v>
      </c>
      <c r="E89" s="18">
        <f>IF(F3="1",SUMIF(Data!A:A,'40'!$A$2,Data!EU:EU),0)</f>
        <v>2180351</v>
      </c>
      <c r="F89" s="22">
        <f t="shared" si="5"/>
        <v>3.3062070868816265</v>
      </c>
    </row>
    <row r="90" spans="1:6" x14ac:dyDescent="0.2">
      <c r="A90" s="20">
        <v>24</v>
      </c>
      <c r="B90" s="179" t="s">
        <v>21</v>
      </c>
      <c r="C90" s="180"/>
      <c r="D90" s="15">
        <f t="shared" si="4"/>
        <v>429064</v>
      </c>
      <c r="E90" s="18">
        <f>IF(F3="1",SUMIF(Data!A:A,'40'!$A$2,Data!EV:EV),0)</f>
        <v>1705631</v>
      </c>
      <c r="F90" s="22">
        <f t="shared" si="5"/>
        <v>3.9752367945108422</v>
      </c>
    </row>
    <row r="91" spans="1:6" x14ac:dyDescent="0.2">
      <c r="A91" s="20">
        <v>25</v>
      </c>
      <c r="B91" s="179" t="s">
        <v>22</v>
      </c>
      <c r="C91" s="180"/>
      <c r="D91" s="15">
        <f t="shared" si="4"/>
        <v>3946240</v>
      </c>
      <c r="E91" s="18">
        <f>IF(F3="1",SUMIF(Data!A:A,'40'!$A$2,Data!EW:EW),0)</f>
        <v>9548754</v>
      </c>
      <c r="F91" s="22">
        <f t="shared" si="5"/>
        <v>2.4197093942588386</v>
      </c>
    </row>
    <row r="92" spans="1:6" x14ac:dyDescent="0.2">
      <c r="A92" s="20">
        <v>26</v>
      </c>
      <c r="B92" s="179" t="s">
        <v>23</v>
      </c>
      <c r="C92" s="180"/>
      <c r="D92" s="15">
        <f t="shared" si="4"/>
        <v>1336964</v>
      </c>
      <c r="E92" s="18">
        <f>IF(F3="1",SUMIF(Data!A:A,'40'!$A$2,Data!EX:EX),0)</f>
        <v>5401691</v>
      </c>
      <c r="F92" s="22">
        <f t="shared" si="5"/>
        <v>4.0402666040372068</v>
      </c>
    </row>
    <row r="93" spans="1:6" x14ac:dyDescent="0.2">
      <c r="A93" s="20">
        <v>28</v>
      </c>
      <c r="B93" s="179" t="s">
        <v>24</v>
      </c>
      <c r="C93" s="180"/>
      <c r="D93" s="15">
        <f t="shared" si="4"/>
        <v>1311184</v>
      </c>
      <c r="E93" s="18">
        <f>IF(F3="1",SUMIF(Data!A:A,'40'!$A$2,Data!EZ:EZ),0)</f>
        <v>3837838</v>
      </c>
      <c r="F93" s="22">
        <f t="shared" si="5"/>
        <v>2.927001854812139</v>
      </c>
    </row>
    <row r="94" spans="1:6" ht="15.75" customHeight="1" thickBot="1" x14ac:dyDescent="0.25">
      <c r="A94" s="23">
        <v>29</v>
      </c>
      <c r="B94" s="181" t="s">
        <v>25</v>
      </c>
      <c r="C94" s="182"/>
      <c r="D94" s="24">
        <f t="shared" si="4"/>
        <v>644880</v>
      </c>
      <c r="E94" s="25">
        <f>IF(F3="1",SUMIF(Data!A:A,'40'!$A$2,Data!FA:FA),0)</f>
        <v>1951830</v>
      </c>
      <c r="F94" s="26">
        <f t="shared" si="5"/>
        <v>3.0266561220692223</v>
      </c>
    </row>
    <row r="95" spans="1:6" x14ac:dyDescent="0.2">
      <c r="B95" s="31" t="s">
        <v>35</v>
      </c>
      <c r="C95" s="31"/>
      <c r="D95" s="61">
        <f>SUM(D67:D94)</f>
        <v>19756989</v>
      </c>
      <c r="E95" s="32">
        <f>SUM(E67:E94)</f>
        <v>62291593</v>
      </c>
      <c r="F95" s="33">
        <f t="shared" si="5"/>
        <v>3.1528889852598492</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IF(F3="1",SUMIF(Data!A:A,'40'!$A$2,Data!AH:AH),0)</f>
        <v>21739487</v>
      </c>
      <c r="F98" s="21">
        <f t="shared" ref="F98:F105" si="6">IFERROR(E98/$D$95,0)</f>
        <v>1.1003441364471074</v>
      </c>
    </row>
    <row r="99" spans="2:6" x14ac:dyDescent="0.2">
      <c r="B99" s="185" t="s">
        <v>31</v>
      </c>
      <c r="C99" s="186"/>
      <c r="D99" s="37"/>
      <c r="E99" s="18">
        <f>IF(F3="1",SUMIF(Data!A:A,'40'!$A$2,Data!AI:AI),0)</f>
        <v>18537344</v>
      </c>
      <c r="F99" s="22">
        <f t="shared" si="6"/>
        <v>0.93826766821604246</v>
      </c>
    </row>
    <row r="100" spans="2:6" x14ac:dyDescent="0.2">
      <c r="B100" s="185" t="s">
        <v>32</v>
      </c>
      <c r="C100" s="186"/>
      <c r="D100" s="37"/>
      <c r="E100" s="18">
        <f>IF(F3="1",SUMIF(Data!A:A,'40'!$A$2,Data!AJ:AJ),0)</f>
        <v>16654972</v>
      </c>
      <c r="F100" s="22">
        <f t="shared" si="6"/>
        <v>0.84299140926787985</v>
      </c>
    </row>
    <row r="101" spans="2:6" x14ac:dyDescent="0.2">
      <c r="B101" s="185" t="s">
        <v>28</v>
      </c>
      <c r="C101" s="186"/>
      <c r="D101" s="37"/>
      <c r="E101" s="18">
        <f>IF(F3="1",SUMIF(Data!A:A,'40'!$A$2,Data!AK:AK),0)</f>
        <v>0</v>
      </c>
      <c r="F101" s="22">
        <f t="shared" si="6"/>
        <v>0</v>
      </c>
    </row>
    <row r="102" spans="2:6" x14ac:dyDescent="0.2">
      <c r="B102" s="185" t="s">
        <v>33</v>
      </c>
      <c r="C102" s="186"/>
      <c r="D102" s="37"/>
      <c r="E102" s="18">
        <f>IF(F3="1",SUMIF(Data!A:A,'40'!$A$2,Data!AL:AL),0)</f>
        <v>1171689</v>
      </c>
      <c r="F102" s="22">
        <f t="shared" si="6"/>
        <v>5.9305038839673391E-2</v>
      </c>
    </row>
    <row r="103" spans="2:6" x14ac:dyDescent="0.2">
      <c r="B103" s="187" t="s">
        <v>34</v>
      </c>
      <c r="C103" s="188"/>
      <c r="D103" s="37"/>
      <c r="E103" s="18">
        <f>IF(F3="1",SUMIF(Data!A:A,'40'!$A$2,Data!AM:AM),0)</f>
        <v>5110403</v>
      </c>
      <c r="F103" s="22">
        <f t="shared" si="6"/>
        <v>0.2586630483015403</v>
      </c>
    </row>
    <row r="104" spans="2:6" ht="15.75" customHeight="1" thickBot="1" x14ac:dyDescent="0.25">
      <c r="B104" s="177" t="s">
        <v>29</v>
      </c>
      <c r="C104" s="178"/>
      <c r="D104" s="38"/>
      <c r="E104" s="25">
        <f>IF(F3="1",SUMIF(Data!A:A,'40'!$A$2,Data!Q:Q),0)</f>
        <v>10777287</v>
      </c>
      <c r="F104" s="26">
        <f t="shared" si="6"/>
        <v>0.54549238246779408</v>
      </c>
    </row>
    <row r="105" spans="2:6" x14ac:dyDescent="0.2">
      <c r="B105" s="31" t="s">
        <v>35</v>
      </c>
      <c r="C105" s="31"/>
      <c r="D105" s="35">
        <f>D95</f>
        <v>19756989</v>
      </c>
      <c r="E105" s="32">
        <f>SUM(E98:E104)</f>
        <v>73991182</v>
      </c>
      <c r="F105" s="33">
        <f t="shared" si="6"/>
        <v>3.7450636835400375</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77417160</v>
      </c>
      <c r="D109" s="16">
        <f>IF(F3="1",SUMIF(Data!$A:$A,$A$2,Data!HJ:HJ),0)</f>
        <v>12978746</v>
      </c>
      <c r="E109" s="16">
        <f>IF(F3="1",SUMIF(Data!$A:$A,$A$2,Data!IN:IN),0)</f>
        <v>10558453</v>
      </c>
      <c r="F109" s="48">
        <f>SUM(C109:E109)</f>
        <v>100954359</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3168293</v>
      </c>
      <c r="D111" s="52"/>
      <c r="E111" s="51">
        <f>IF(F3="1",SUMIF(Data!A:A,$A$2,Data!AX:AX),0)</f>
        <v>788696</v>
      </c>
      <c r="F111" s="49">
        <f t="shared" si="7"/>
        <v>3956989</v>
      </c>
    </row>
    <row r="112" spans="2:6" x14ac:dyDescent="0.2">
      <c r="B112" s="43" t="s">
        <v>32</v>
      </c>
      <c r="C112" s="51">
        <f>IF(F3="1",SUMIF(Data!A:A,$A$2,Data!V:V),0)</f>
        <v>13887427</v>
      </c>
      <c r="D112" s="52"/>
      <c r="E112" s="51">
        <f>IF(F3="1",SUMIF(Data!A:A,$A$2,Data!AC:AC),0)</f>
        <v>2767545</v>
      </c>
      <c r="F112" s="49">
        <f t="shared" si="7"/>
        <v>16654972</v>
      </c>
    </row>
    <row r="113" spans="1:6" x14ac:dyDescent="0.2">
      <c r="B113" s="43" t="s">
        <v>31</v>
      </c>
      <c r="C113" s="51">
        <f>IF(F3="1",SUMIF(Data!A:A,$A$2,Data!U:U),0)</f>
        <v>14876756</v>
      </c>
      <c r="D113" s="52"/>
      <c r="E113" s="51">
        <f>IF(F3="1",SUMIF(Data!A:A,$A$2,Data!AB:AB),0)</f>
        <v>3660588</v>
      </c>
      <c r="F113" s="49">
        <f t="shared" si="7"/>
        <v>18537344</v>
      </c>
    </row>
    <row r="114" spans="1:6" x14ac:dyDescent="0.2">
      <c r="B114" s="43" t="s">
        <v>1363</v>
      </c>
      <c r="C114" s="51">
        <f>IF(F3="1",SUMIF(Data!A:A,$A$2,Data!T:T),0)</f>
        <v>14681491</v>
      </c>
      <c r="D114" s="52"/>
      <c r="E114" s="51">
        <f>IF(F3="1",SUMIF(Data!A:A,$A$2,Data!AA:AA),0)</f>
        <v>7057996</v>
      </c>
      <c r="F114" s="49">
        <f t="shared" si="7"/>
        <v>21739487</v>
      </c>
    </row>
    <row r="115" spans="1:6" x14ac:dyDescent="0.2">
      <c r="B115" s="43" t="s">
        <v>1278</v>
      </c>
      <c r="C115" s="51">
        <f>IF(F3="1",SUMIF(Data!A:A,$A$2,Data!BI:BI),0)</f>
        <v>8006056</v>
      </c>
      <c r="D115" s="51">
        <f>IF(F3="1",SUMIF(Data!A:A,$A$2,Data!BL:BL),0)</f>
        <v>3335542</v>
      </c>
      <c r="E115" s="51">
        <f>IF(F3="1",SUMIF(Data!A:A,$A$2,Data!BU:BU),0)</f>
        <v>24230239</v>
      </c>
      <c r="F115" s="49">
        <f t="shared" si="7"/>
        <v>35571837</v>
      </c>
    </row>
    <row r="116" spans="1:6" x14ac:dyDescent="0.2">
      <c r="B116" s="43" t="s">
        <v>33</v>
      </c>
      <c r="C116" s="51">
        <f>IF(F3="1",SUMIF(Data!A:A,$A$2,Data!X:X),0)</f>
        <v>0</v>
      </c>
      <c r="D116" s="51"/>
      <c r="E116" s="51">
        <f>E102</f>
        <v>1171689</v>
      </c>
      <c r="F116" s="49">
        <f t="shared" si="7"/>
        <v>1171689</v>
      </c>
    </row>
    <row r="117" spans="1:6" ht="15" thickBot="1" x14ac:dyDescent="0.25">
      <c r="B117" s="44" t="s">
        <v>1282</v>
      </c>
      <c r="C117" s="53"/>
      <c r="D117" s="53">
        <f>IF(F3="1",SUMIF(Data!A:A,$A$2,Data!Q:Q),0)</f>
        <v>10777287</v>
      </c>
      <c r="E117" s="53"/>
      <c r="F117" s="50">
        <f>SUM(C117:E117)</f>
        <v>10777287</v>
      </c>
    </row>
    <row r="118" spans="1:6" x14ac:dyDescent="0.2">
      <c r="B118" s="14" t="s">
        <v>35</v>
      </c>
      <c r="C118" s="5">
        <f>SUM(C109:C116)</f>
        <v>132037183</v>
      </c>
      <c r="D118" s="5">
        <f>SUM(D109:D116)</f>
        <v>16314288</v>
      </c>
      <c r="E118" s="5">
        <f>SUM(E109:E116)</f>
        <v>50235206</v>
      </c>
      <c r="F118" s="5">
        <f>SUM(F109:F116)</f>
        <v>198586677</v>
      </c>
    </row>
    <row r="119" spans="1:6" ht="15" thickBot="1" x14ac:dyDescent="0.25"/>
    <row r="120" spans="1:6" ht="15" thickBot="1" x14ac:dyDescent="0.25">
      <c r="B120" s="57" t="s">
        <v>1283</v>
      </c>
      <c r="C120" s="55"/>
      <c r="D120" s="55"/>
      <c r="E120" s="55">
        <f>IF(F3="1",SUMIF(Data!A:A,'40'!$A$2,Data!AM:AM),0)</f>
        <v>5110403</v>
      </c>
      <c r="F120" s="56">
        <f>SUM(C120:E120)</f>
        <v>5110403</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565</v>
      </c>
      <c r="B2" s="60" t="str">
        <f>VLOOKUP(A2,Data!A:G,7,0)</f>
        <v>Temple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16544</v>
      </c>
      <c r="E5" s="16">
        <f>E36+E67+IFERROR($E$105/$D$105*D5,0)</f>
        <v>117791.8488410553</v>
      </c>
      <c r="F5" s="21">
        <f>IFERROR(E5/D5,"")</f>
        <v>7.1199134937775206</v>
      </c>
    </row>
    <row r="6" spans="1:6" x14ac:dyDescent="0.2">
      <c r="A6" s="20">
        <v>2</v>
      </c>
      <c r="B6" s="179" t="s">
        <v>1</v>
      </c>
      <c r="C6" s="180"/>
      <c r="D6" s="15">
        <f t="shared" ref="D6:D32" si="0">D37</f>
        <v>0</v>
      </c>
      <c r="E6" s="18">
        <f t="shared" ref="E6:E32" si="1">E37+E68+IFERROR($E$105/$D$105*D6,0)</f>
        <v>0</v>
      </c>
      <c r="F6" s="22" t="str">
        <f t="shared" ref="F6:F33" si="2">IFERROR(E6/D6,"")</f>
        <v/>
      </c>
    </row>
    <row r="7" spans="1:6" ht="14.25" customHeight="1" x14ac:dyDescent="0.2">
      <c r="A7" s="20">
        <v>3</v>
      </c>
      <c r="B7" s="179" t="s">
        <v>2</v>
      </c>
      <c r="C7" s="180"/>
      <c r="D7" s="15">
        <f t="shared" si="0"/>
        <v>327728</v>
      </c>
      <c r="E7" s="18">
        <f t="shared" si="1"/>
        <v>2304021.7764132842</v>
      </c>
      <c r="F7" s="22">
        <f t="shared" si="2"/>
        <v>7.0302866291964197</v>
      </c>
    </row>
    <row r="8" spans="1:6" ht="14.25" customHeight="1" x14ac:dyDescent="0.2">
      <c r="A8" s="20">
        <v>4</v>
      </c>
      <c r="B8" s="179" t="s">
        <v>3</v>
      </c>
      <c r="C8" s="180"/>
      <c r="D8" s="15">
        <f t="shared" si="0"/>
        <v>203020</v>
      </c>
      <c r="E8" s="18">
        <f t="shared" si="1"/>
        <v>1170379.4920038108</v>
      </c>
      <c r="F8" s="22">
        <f t="shared" si="2"/>
        <v>5.7648482514225732</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2224</v>
      </c>
      <c r="E10" s="18">
        <f t="shared" si="1"/>
        <v>21157.034805519041</v>
      </c>
      <c r="F10" s="22">
        <f t="shared" si="2"/>
        <v>9.5130552183089208</v>
      </c>
    </row>
    <row r="11" spans="1:6" x14ac:dyDescent="0.2">
      <c r="A11" s="20">
        <v>7</v>
      </c>
      <c r="B11" s="179" t="s">
        <v>6</v>
      </c>
      <c r="C11" s="180"/>
      <c r="D11" s="15">
        <f t="shared" si="0"/>
        <v>132762</v>
      </c>
      <c r="E11" s="18">
        <f t="shared" si="1"/>
        <v>872751.62897945987</v>
      </c>
      <c r="F11" s="22">
        <f t="shared" si="2"/>
        <v>6.5738059759529071</v>
      </c>
    </row>
    <row r="12" spans="1:6" x14ac:dyDescent="0.2">
      <c r="A12" s="20">
        <v>8</v>
      </c>
      <c r="B12" s="179" t="s">
        <v>7</v>
      </c>
      <c r="C12" s="180"/>
      <c r="D12" s="15">
        <f t="shared" si="0"/>
        <v>0</v>
      </c>
      <c r="E12" s="18">
        <f t="shared" si="1"/>
        <v>0</v>
      </c>
      <c r="F12" s="22" t="str">
        <f t="shared" si="2"/>
        <v/>
      </c>
    </row>
    <row r="13" spans="1:6" x14ac:dyDescent="0.2">
      <c r="A13" s="20">
        <v>9</v>
      </c>
      <c r="B13" s="179" t="s">
        <v>8</v>
      </c>
      <c r="C13" s="180"/>
      <c r="D13" s="15">
        <f t="shared" si="0"/>
        <v>47067</v>
      </c>
      <c r="E13" s="18">
        <f t="shared" si="1"/>
        <v>316926.18039180059</v>
      </c>
      <c r="F13" s="22">
        <f t="shared" si="2"/>
        <v>6.7335113857224931</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32208</v>
      </c>
      <c r="E15" s="18">
        <f t="shared" si="1"/>
        <v>480943.97167992679</v>
      </c>
      <c r="F15" s="22">
        <f t="shared" si="2"/>
        <v>14.932438266266978</v>
      </c>
    </row>
    <row r="16" spans="1:6" ht="14.25" customHeight="1" x14ac:dyDescent="0.2">
      <c r="A16" s="20">
        <v>12</v>
      </c>
      <c r="B16" s="179" t="s">
        <v>11</v>
      </c>
      <c r="C16" s="180"/>
      <c r="D16" s="15">
        <f t="shared" si="0"/>
        <v>413888</v>
      </c>
      <c r="E16" s="18">
        <f t="shared" si="1"/>
        <v>2305081.8586270967</v>
      </c>
      <c r="F16" s="22">
        <f t="shared" si="2"/>
        <v>5.5693372570045439</v>
      </c>
    </row>
    <row r="17" spans="1:6" x14ac:dyDescent="0.2">
      <c r="A17" s="20">
        <v>13</v>
      </c>
      <c r="B17" s="179" t="s">
        <v>12</v>
      </c>
      <c r="C17" s="180"/>
      <c r="D17" s="15">
        <f t="shared" si="0"/>
        <v>26048</v>
      </c>
      <c r="E17" s="18">
        <f t="shared" si="1"/>
        <v>180477.88966464024</v>
      </c>
      <c r="F17" s="22">
        <f t="shared" si="2"/>
        <v>6.9286659115724909</v>
      </c>
    </row>
    <row r="18" spans="1:6" ht="14.25" customHeight="1" x14ac:dyDescent="0.2">
      <c r="A18" s="20">
        <v>14</v>
      </c>
      <c r="B18" s="179" t="s">
        <v>804</v>
      </c>
      <c r="C18" s="180"/>
      <c r="D18" s="15">
        <f t="shared" si="0"/>
        <v>112330</v>
      </c>
      <c r="E18" s="18">
        <f t="shared" si="1"/>
        <v>1137467.1725287561</v>
      </c>
      <c r="F18" s="22">
        <f t="shared" si="2"/>
        <v>10.126121005330331</v>
      </c>
    </row>
    <row r="19" spans="1:6" x14ac:dyDescent="0.2">
      <c r="A19" s="20">
        <v>15</v>
      </c>
      <c r="B19" s="179" t="s">
        <v>13</v>
      </c>
      <c r="C19" s="180"/>
      <c r="D19" s="15">
        <f t="shared" si="0"/>
        <v>18675</v>
      </c>
      <c r="E19" s="18">
        <f t="shared" si="1"/>
        <v>497252.15692134353</v>
      </c>
      <c r="F19" s="22">
        <f t="shared" si="2"/>
        <v>26.626621521892559</v>
      </c>
    </row>
    <row r="20" spans="1:6" x14ac:dyDescent="0.2">
      <c r="A20" s="20">
        <v>16</v>
      </c>
      <c r="B20" s="179" t="s">
        <v>14</v>
      </c>
      <c r="C20" s="180"/>
      <c r="D20" s="15">
        <f t="shared" si="0"/>
        <v>193306</v>
      </c>
      <c r="E20" s="18">
        <f t="shared" si="1"/>
        <v>1480183.7779297046</v>
      </c>
      <c r="F20" s="22">
        <f t="shared" si="2"/>
        <v>7.6572055597327795</v>
      </c>
    </row>
    <row r="21" spans="1:6" x14ac:dyDescent="0.2">
      <c r="A21" s="20">
        <v>17</v>
      </c>
      <c r="B21" s="179" t="s">
        <v>15</v>
      </c>
      <c r="C21" s="180"/>
      <c r="D21" s="15">
        <f t="shared" si="0"/>
        <v>32048</v>
      </c>
      <c r="E21" s="18">
        <f t="shared" si="1"/>
        <v>352791.83967952977</v>
      </c>
      <c r="F21" s="22">
        <f t="shared" si="2"/>
        <v>11.008232641023771</v>
      </c>
    </row>
    <row r="22" spans="1:6" x14ac:dyDescent="0.2">
      <c r="A22" s="20">
        <v>18</v>
      </c>
      <c r="B22" s="179" t="s">
        <v>16</v>
      </c>
      <c r="C22" s="180"/>
      <c r="D22" s="15">
        <f t="shared" si="0"/>
        <v>115888</v>
      </c>
      <c r="E22" s="18">
        <f t="shared" si="1"/>
        <v>1094053.0078875856</v>
      </c>
      <c r="F22" s="22">
        <f t="shared" si="2"/>
        <v>9.440606515666726</v>
      </c>
    </row>
    <row r="23" spans="1:6" x14ac:dyDescent="0.2">
      <c r="A23" s="20">
        <v>19</v>
      </c>
      <c r="B23" s="179" t="s">
        <v>17</v>
      </c>
      <c r="C23" s="180"/>
      <c r="D23" s="15">
        <f t="shared" si="0"/>
        <v>94108</v>
      </c>
      <c r="E23" s="18">
        <f t="shared" si="1"/>
        <v>694604.03933353676</v>
      </c>
      <c r="F23" s="22">
        <f t="shared" si="2"/>
        <v>7.3809244626762522</v>
      </c>
    </row>
    <row r="24" spans="1:6" x14ac:dyDescent="0.2">
      <c r="A24" s="20">
        <v>20</v>
      </c>
      <c r="B24" s="179" t="s">
        <v>18</v>
      </c>
      <c r="C24" s="180"/>
      <c r="D24" s="15">
        <f t="shared" si="0"/>
        <v>0</v>
      </c>
      <c r="E24" s="18">
        <f t="shared" si="1"/>
        <v>0</v>
      </c>
      <c r="F24" s="22" t="str">
        <f t="shared" si="2"/>
        <v/>
      </c>
    </row>
    <row r="25" spans="1:6" ht="14.25" customHeight="1" x14ac:dyDescent="0.2">
      <c r="A25" s="20">
        <v>21</v>
      </c>
      <c r="B25" s="179" t="s">
        <v>801</v>
      </c>
      <c r="C25" s="180"/>
      <c r="D25" s="15">
        <f t="shared" si="0"/>
        <v>355</v>
      </c>
      <c r="E25" s="18">
        <f t="shared" si="1"/>
        <v>2639.0428758809617</v>
      </c>
      <c r="F25" s="22">
        <f t="shared" si="2"/>
        <v>7.4339235940308779</v>
      </c>
    </row>
    <row r="26" spans="1:6" x14ac:dyDescent="0.2">
      <c r="A26" s="20">
        <v>22</v>
      </c>
      <c r="B26" s="179" t="s">
        <v>19</v>
      </c>
      <c r="C26" s="180"/>
      <c r="D26" s="15">
        <f t="shared" si="0"/>
        <v>9356</v>
      </c>
      <c r="E26" s="18">
        <f t="shared" si="1"/>
        <v>72028.518723217683</v>
      </c>
      <c r="F26" s="22">
        <f t="shared" si="2"/>
        <v>7.6986445834991111</v>
      </c>
    </row>
    <row r="27" spans="1:6" x14ac:dyDescent="0.2">
      <c r="A27" s="20">
        <v>23</v>
      </c>
      <c r="B27" s="179" t="s">
        <v>20</v>
      </c>
      <c r="C27" s="180"/>
      <c r="D27" s="15">
        <f t="shared" si="0"/>
        <v>68352</v>
      </c>
      <c r="E27" s="18">
        <f t="shared" si="1"/>
        <v>571882.99056962109</v>
      </c>
      <c r="F27" s="22">
        <f t="shared" si="2"/>
        <v>8.3667338273879484</v>
      </c>
    </row>
    <row r="28" spans="1:6" x14ac:dyDescent="0.2">
      <c r="A28" s="20">
        <v>24</v>
      </c>
      <c r="B28" s="179" t="s">
        <v>21</v>
      </c>
      <c r="C28" s="180"/>
      <c r="D28" s="15">
        <f t="shared" si="0"/>
        <v>86084</v>
      </c>
      <c r="E28" s="18">
        <f t="shared" si="1"/>
        <v>580796.21951362444</v>
      </c>
      <c r="F28" s="22">
        <f t="shared" si="2"/>
        <v>6.7468544620791837</v>
      </c>
    </row>
    <row r="29" spans="1:6" x14ac:dyDescent="0.2">
      <c r="A29" s="20">
        <v>25</v>
      </c>
      <c r="B29" s="179" t="s">
        <v>22</v>
      </c>
      <c r="C29" s="180"/>
      <c r="D29" s="15">
        <f t="shared" si="0"/>
        <v>393082</v>
      </c>
      <c r="E29" s="18">
        <f t="shared" si="1"/>
        <v>2435860.3936254652</v>
      </c>
      <c r="F29" s="22">
        <f t="shared" si="2"/>
        <v>6.1968250737135389</v>
      </c>
    </row>
    <row r="30" spans="1:6" x14ac:dyDescent="0.2">
      <c r="A30" s="20">
        <v>26</v>
      </c>
      <c r="B30" s="179" t="s">
        <v>23</v>
      </c>
      <c r="C30" s="180"/>
      <c r="D30" s="15">
        <f t="shared" si="0"/>
        <v>159184</v>
      </c>
      <c r="E30" s="18">
        <f t="shared" si="1"/>
        <v>1494897.5271950283</v>
      </c>
      <c r="F30" s="22">
        <f t="shared" si="2"/>
        <v>9.3910036636535601</v>
      </c>
    </row>
    <row r="31" spans="1:6" x14ac:dyDescent="0.2">
      <c r="A31" s="20">
        <v>28</v>
      </c>
      <c r="B31" s="179" t="s">
        <v>24</v>
      </c>
      <c r="C31" s="180"/>
      <c r="D31" s="15">
        <f t="shared" si="0"/>
        <v>143712</v>
      </c>
      <c r="E31" s="18">
        <f t="shared" si="1"/>
        <v>949425.16275663313</v>
      </c>
      <c r="F31" s="22">
        <f t="shared" si="2"/>
        <v>6.6064431832876389</v>
      </c>
    </row>
    <row r="32" spans="1:6" ht="15.75" customHeight="1" thickBot="1" x14ac:dyDescent="0.25">
      <c r="A32" s="23">
        <v>29</v>
      </c>
      <c r="B32" s="181" t="s">
        <v>25</v>
      </c>
      <c r="C32" s="182"/>
      <c r="D32" s="24">
        <f t="shared" si="0"/>
        <v>102144</v>
      </c>
      <c r="E32" s="25">
        <f t="shared" si="1"/>
        <v>761353.46905347868</v>
      </c>
      <c r="F32" s="26">
        <f t="shared" si="2"/>
        <v>7.4537267881958673</v>
      </c>
    </row>
    <row r="33" spans="1:6" x14ac:dyDescent="0.2">
      <c r="B33" s="31" t="s">
        <v>35</v>
      </c>
      <c r="C33" s="31"/>
      <c r="D33" s="61">
        <f>SUM(D5:D32)</f>
        <v>2730113</v>
      </c>
      <c r="E33" s="32">
        <f>SUM(E5:E32)</f>
        <v>19894767</v>
      </c>
      <c r="F33" s="33">
        <f t="shared" si="2"/>
        <v>7.2871588099100659</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IF(F3="1",SUMIF(Data!A:A,'41'!$A$2,Data!CU:CU),0)</f>
        <v>16544</v>
      </c>
      <c r="E36" s="16">
        <f>IF(F3="1",SUMIF(Data!$A:$A,'41'!$A$2,Data!IO:IO),0)</f>
        <v>12178</v>
      </c>
      <c r="F36" s="21">
        <f t="shared" ref="F36:F64" si="3">IFERROR(E36/D36,"")</f>
        <v>0.73609767891682787</v>
      </c>
    </row>
    <row r="37" spans="1:6" x14ac:dyDescent="0.2">
      <c r="A37" s="20">
        <v>2</v>
      </c>
      <c r="B37" s="179" t="s">
        <v>1</v>
      </c>
      <c r="C37" s="180"/>
      <c r="D37" s="15">
        <f>IF(F3="1",SUMIF(Data!A:A,'41'!$A$2,Data!CV:CV),0)</f>
        <v>0</v>
      </c>
      <c r="E37" s="18">
        <f>IF(F3="1",SUMIF(Data!$A:$A,'41'!$A$2,Data!IP:IP),0)</f>
        <v>0</v>
      </c>
      <c r="F37" s="22" t="str">
        <f t="shared" si="3"/>
        <v/>
      </c>
    </row>
    <row r="38" spans="1:6" ht="14.25" customHeight="1" x14ac:dyDescent="0.2">
      <c r="A38" s="20">
        <v>3</v>
      </c>
      <c r="B38" s="179" t="s">
        <v>2</v>
      </c>
      <c r="C38" s="180"/>
      <c r="D38" s="15">
        <f>IF(F3="1",SUMIF(Data!A:A,'41'!$A$2,Data!CW:CW),0)</f>
        <v>327728</v>
      </c>
      <c r="E38" s="18">
        <f>IF(F3="1",SUMIF(Data!$A:$A,'41'!$A$2,Data!IQ:IQ),0)</f>
        <v>301188</v>
      </c>
      <c r="F38" s="22">
        <f t="shared" si="3"/>
        <v>0.91901821022311181</v>
      </c>
    </row>
    <row r="39" spans="1:6" ht="14.25" customHeight="1" x14ac:dyDescent="0.2">
      <c r="A39" s="20">
        <v>4</v>
      </c>
      <c r="B39" s="179" t="s">
        <v>3</v>
      </c>
      <c r="C39" s="180"/>
      <c r="D39" s="15">
        <f>IF(F3="1",SUMIF(Data!A:A,'41'!$A$2,Data!CX:CX),0)</f>
        <v>203020</v>
      </c>
      <c r="E39" s="18">
        <f>IF(F3="1",SUMIF(Data!$A:$A,'41'!$A$2,Data!IR:IR),0)</f>
        <v>98869</v>
      </c>
      <c r="F39" s="22">
        <f t="shared" si="3"/>
        <v>0.48699142941582108</v>
      </c>
    </row>
    <row r="40" spans="1:6" x14ac:dyDescent="0.2">
      <c r="A40" s="20">
        <v>5</v>
      </c>
      <c r="B40" s="179" t="s">
        <v>4</v>
      </c>
      <c r="C40" s="180"/>
      <c r="D40" s="15">
        <f>IF(F3="1",SUMIF(Data!A:A,'41'!$A$2,Data!CY:CY),0)</f>
        <v>0</v>
      </c>
      <c r="E40" s="18">
        <f>IF(F3="1",SUMIF(Data!$A:$A,'41'!$A$2,Data!IS:IS),0)</f>
        <v>0</v>
      </c>
      <c r="F40" s="22" t="str">
        <f t="shared" si="3"/>
        <v/>
      </c>
    </row>
    <row r="41" spans="1:6" x14ac:dyDescent="0.2">
      <c r="A41" s="20">
        <v>6</v>
      </c>
      <c r="B41" s="179" t="s">
        <v>5</v>
      </c>
      <c r="C41" s="180"/>
      <c r="D41" s="15">
        <f>IF(F3="1",SUMIF(Data!A:A,'41'!$A$2,Data!CZ:CZ),0)</f>
        <v>2224</v>
      </c>
      <c r="E41" s="18">
        <f>IF(F3="1",SUMIF(Data!$A:$A,'41'!$A$2,Data!IT:IT),0)</f>
        <v>4146</v>
      </c>
      <c r="F41" s="22">
        <f t="shared" si="3"/>
        <v>1.8642086330935252</v>
      </c>
    </row>
    <row r="42" spans="1:6" x14ac:dyDescent="0.2">
      <c r="A42" s="20">
        <v>7</v>
      </c>
      <c r="B42" s="179" t="s">
        <v>6</v>
      </c>
      <c r="C42" s="180"/>
      <c r="D42" s="15">
        <f>IF(F3="1",SUMIF(Data!A:A,'41'!$A$2,Data!DA:DA),0)</f>
        <v>132762</v>
      </c>
      <c r="E42" s="18">
        <f>IF(F3="1",SUMIF(Data!$A:$A,'41'!$A$2,Data!IU:IU),0)</f>
        <v>109496</v>
      </c>
      <c r="F42" s="22">
        <f t="shared" si="3"/>
        <v>0.82475407119507083</v>
      </c>
    </row>
    <row r="43" spans="1:6" x14ac:dyDescent="0.2">
      <c r="A43" s="20">
        <v>8</v>
      </c>
      <c r="B43" s="179" t="s">
        <v>7</v>
      </c>
      <c r="C43" s="180"/>
      <c r="D43" s="15">
        <f>IF(F3="1",SUMIF(Data!A:A,'41'!$A$2,Data!DB:DB),0)</f>
        <v>0</v>
      </c>
      <c r="E43" s="18">
        <f>IF(F3="1",SUMIF(Data!$A:$A,'41'!$A$2,Data!IV:IV),0)</f>
        <v>0</v>
      </c>
      <c r="F43" s="22" t="str">
        <f t="shared" si="3"/>
        <v/>
      </c>
    </row>
    <row r="44" spans="1:6" x14ac:dyDescent="0.2">
      <c r="A44" s="20">
        <v>9</v>
      </c>
      <c r="B44" s="179" t="s">
        <v>8</v>
      </c>
      <c r="C44" s="180"/>
      <c r="D44" s="15">
        <f>IF(F3="1",SUMIF(Data!A:A,'41'!$A$2,Data!DC:DC),0)</f>
        <v>47067</v>
      </c>
      <c r="E44" s="18">
        <f>IF(F3="1",SUMIF(Data!$A:$A,'41'!$A$2,Data!IW:IW),0)</f>
        <v>43616</v>
      </c>
      <c r="F44" s="22">
        <f t="shared" si="3"/>
        <v>0.92667898952556993</v>
      </c>
    </row>
    <row r="45" spans="1:6" x14ac:dyDescent="0.2">
      <c r="A45" s="20">
        <v>10</v>
      </c>
      <c r="B45" s="179" t="s">
        <v>9</v>
      </c>
      <c r="C45" s="180"/>
      <c r="D45" s="15">
        <f>IF(F3="1",SUMIF(Data!A:A,'41'!$A$2,Data!DD:DD),0)</f>
        <v>0</v>
      </c>
      <c r="E45" s="18">
        <f>IF(F3="1",SUMIF(Data!$A:$A,'41'!$A$2,Data!IX:IX),0)</f>
        <v>0</v>
      </c>
      <c r="F45" s="22" t="str">
        <f t="shared" si="3"/>
        <v/>
      </c>
    </row>
    <row r="46" spans="1:6" x14ac:dyDescent="0.2">
      <c r="A46" s="20">
        <v>11</v>
      </c>
      <c r="B46" s="179" t="s">
        <v>10</v>
      </c>
      <c r="C46" s="180"/>
      <c r="D46" s="15">
        <f>IF(F3="1",SUMIF(Data!A:A,'41'!$A$2,Data!DE:DE),0)</f>
        <v>32208</v>
      </c>
      <c r="E46" s="18">
        <f>IF(F3="1",SUMIF(Data!$A:$A,'41'!$A$2,Data!IY:IY),0)</f>
        <v>285527</v>
      </c>
      <c r="F46" s="22">
        <f t="shared" si="3"/>
        <v>8.8650956284153004</v>
      </c>
    </row>
    <row r="47" spans="1:6" ht="14.25" customHeight="1" x14ac:dyDescent="0.2">
      <c r="A47" s="20">
        <v>12</v>
      </c>
      <c r="B47" s="179" t="s">
        <v>11</v>
      </c>
      <c r="C47" s="180"/>
      <c r="D47" s="15">
        <f>IF(F3="1",SUMIF(Data!A:A,'41'!$A$2,Data!DF:DF),0)</f>
        <v>413888</v>
      </c>
      <c r="E47" s="18">
        <f>IF(F3="1",SUMIF(Data!$A:$A,'41'!$A$2,Data!IZ:IZ),0)</f>
        <v>147984</v>
      </c>
      <c r="F47" s="22">
        <f t="shared" si="3"/>
        <v>0.35754600278336168</v>
      </c>
    </row>
    <row r="48" spans="1:6" x14ac:dyDescent="0.2">
      <c r="A48" s="20">
        <v>13</v>
      </c>
      <c r="B48" s="179" t="s">
        <v>12</v>
      </c>
      <c r="C48" s="180"/>
      <c r="D48" s="15">
        <f>IF(F3="1",SUMIF(Data!A:A,'41'!$A$2,Data!DG:DG),0)</f>
        <v>26048</v>
      </c>
      <c r="E48" s="18">
        <f>IF(F3="1",SUMIF(Data!$A:$A,'41'!$A$2,Data!JA:JA),0)</f>
        <v>16049</v>
      </c>
      <c r="F48" s="22">
        <f t="shared" si="3"/>
        <v>0.6161317567567568</v>
      </c>
    </row>
    <row r="49" spans="1:6" ht="14.25" customHeight="1" x14ac:dyDescent="0.2">
      <c r="A49" s="20">
        <v>14</v>
      </c>
      <c r="B49" s="179" t="s">
        <v>804</v>
      </c>
      <c r="C49" s="180"/>
      <c r="D49" s="15">
        <f>IF(F3="1",SUMIF(Data!A:A,'41'!$A$2,Data!DH:DH),0)</f>
        <v>112330</v>
      </c>
      <c r="E49" s="18">
        <f>IF(F3="1",SUMIF(Data!$A:$A,'41'!$A$2,Data!JB:JB),0)</f>
        <v>137863</v>
      </c>
      <c r="F49" s="22">
        <f t="shared" si="3"/>
        <v>1.2273034808154544</v>
      </c>
    </row>
    <row r="50" spans="1:6" x14ac:dyDescent="0.2">
      <c r="A50" s="20">
        <v>15</v>
      </c>
      <c r="B50" s="179" t="s">
        <v>13</v>
      </c>
      <c r="C50" s="180"/>
      <c r="D50" s="15">
        <f>IF(F3="1",SUMIF(Data!A:A,'41'!$A$2,Data!DI:DI),0)</f>
        <v>18675</v>
      </c>
      <c r="E50" s="18">
        <f>IF(F3="1",SUMIF(Data!$A:$A,'41'!$A$2,Data!JC:JC),0)</f>
        <v>119138</v>
      </c>
      <c r="F50" s="22">
        <f t="shared" si="3"/>
        <v>6.3795448460508704</v>
      </c>
    </row>
    <row r="51" spans="1:6" x14ac:dyDescent="0.2">
      <c r="A51" s="20">
        <v>16</v>
      </c>
      <c r="B51" s="179" t="s">
        <v>14</v>
      </c>
      <c r="C51" s="180"/>
      <c r="D51" s="15">
        <f>IF(F3="1",SUMIF(Data!A:A,'41'!$A$2,Data!DJ:DJ),0)</f>
        <v>193306</v>
      </c>
      <c r="E51" s="18">
        <f>IF(F3="1",SUMIF(Data!$A:$A,'41'!$A$2,Data!JD:JD),0)</f>
        <v>297739</v>
      </c>
      <c r="F51" s="22">
        <f t="shared" si="3"/>
        <v>1.5402470694132619</v>
      </c>
    </row>
    <row r="52" spans="1:6" x14ac:dyDescent="0.2">
      <c r="A52" s="20">
        <v>17</v>
      </c>
      <c r="B52" s="179" t="s">
        <v>15</v>
      </c>
      <c r="C52" s="180"/>
      <c r="D52" s="15">
        <f>IF(F3="1",SUMIF(Data!A:A,'41'!$A$2,Data!DK:DK),0)</f>
        <v>32048</v>
      </c>
      <c r="E52" s="18">
        <f>IF(F3="1",SUMIF(Data!$A:$A,'41'!$A$2,Data!JE:JE),0)</f>
        <v>54413</v>
      </c>
      <c r="F52" s="22">
        <f t="shared" si="3"/>
        <v>1.6978594608087869</v>
      </c>
    </row>
    <row r="53" spans="1:6" x14ac:dyDescent="0.2">
      <c r="A53" s="20">
        <v>18</v>
      </c>
      <c r="B53" s="179" t="s">
        <v>16</v>
      </c>
      <c r="C53" s="180"/>
      <c r="D53" s="15">
        <f>IF(F3="1",SUMIF(Data!A:A,'41'!$A$2,Data!DL:DL),0)</f>
        <v>115888</v>
      </c>
      <c r="E53" s="18">
        <f>IF(F3="1",SUMIF(Data!$A:$A,'41'!$A$2,Data!JF:JF),0)</f>
        <v>143798</v>
      </c>
      <c r="F53" s="22">
        <f t="shared" si="3"/>
        <v>1.2408359795664781</v>
      </c>
    </row>
    <row r="54" spans="1:6" x14ac:dyDescent="0.2">
      <c r="A54" s="20">
        <v>19</v>
      </c>
      <c r="B54" s="179" t="s">
        <v>17</v>
      </c>
      <c r="C54" s="180"/>
      <c r="D54" s="15">
        <f>IF(F3="1",SUMIF(Data!A:A,'41'!$A$2,Data!DM:DM),0)</f>
        <v>94108</v>
      </c>
      <c r="E54" s="18">
        <f>IF(F3="1",SUMIF(Data!$A:$A,'41'!$A$2,Data!JG:JG),0)</f>
        <v>56330</v>
      </c>
      <c r="F54" s="22">
        <f t="shared" si="3"/>
        <v>0.59856760317932589</v>
      </c>
    </row>
    <row r="55" spans="1:6" x14ac:dyDescent="0.2">
      <c r="A55" s="20">
        <v>20</v>
      </c>
      <c r="B55" s="179" t="s">
        <v>18</v>
      </c>
      <c r="C55" s="180"/>
      <c r="D55" s="15">
        <f>IF(F3="1",SUMIF(Data!A:A,'41'!$A$2,Data!DN:DN),0)</f>
        <v>0</v>
      </c>
      <c r="E55" s="18">
        <f>IF(F3="1",SUMIF(Data!$A:$A,'41'!$A$2,Data!JH:JH),0)</f>
        <v>0</v>
      </c>
      <c r="F55" s="22" t="str">
        <f t="shared" si="3"/>
        <v/>
      </c>
    </row>
    <row r="56" spans="1:6" ht="14.25" customHeight="1" x14ac:dyDescent="0.2">
      <c r="A56" s="20">
        <v>21</v>
      </c>
      <c r="B56" s="179" t="s">
        <v>801</v>
      </c>
      <c r="C56" s="180"/>
      <c r="D56" s="15">
        <f>IF(F3="1",SUMIF(Data!A:A,'41'!$A$2,Data!DO:DO),0)</f>
        <v>355</v>
      </c>
      <c r="E56" s="18">
        <f>IF(F3="1",SUMIF(Data!$A:$A,'41'!$A$2,Data!JI:JI),0)</f>
        <v>677</v>
      </c>
      <c r="F56" s="22">
        <f t="shared" si="3"/>
        <v>1.9070422535211267</v>
      </c>
    </row>
    <row r="57" spans="1:6" x14ac:dyDescent="0.2">
      <c r="A57" s="20">
        <v>22</v>
      </c>
      <c r="B57" s="179" t="s">
        <v>19</v>
      </c>
      <c r="C57" s="180"/>
      <c r="D57" s="15">
        <f>IF(F3="1",SUMIF(Data!A:A,'41'!$A$2,Data!DP:DP),0)</f>
        <v>9356</v>
      </c>
      <c r="E57" s="18">
        <f>IF(F3="1",SUMIF(Data!$A:$A,'41'!$A$2,Data!JJ:JJ),0)</f>
        <v>9824</v>
      </c>
      <c r="F57" s="22">
        <f t="shared" si="3"/>
        <v>1.0500213766566908</v>
      </c>
    </row>
    <row r="58" spans="1:6" x14ac:dyDescent="0.2">
      <c r="A58" s="20">
        <v>23</v>
      </c>
      <c r="B58" s="179" t="s">
        <v>20</v>
      </c>
      <c r="C58" s="180"/>
      <c r="D58" s="15">
        <f>IF(F3="1",SUMIF(Data!A:A,'41'!$A$2,Data!DQ:DQ),0)</f>
        <v>68352</v>
      </c>
      <c r="E58" s="18">
        <f>IF(F3="1",SUMIF(Data!$A:$A,'41'!$A$2,Data!JK:JK),0)</f>
        <v>45706</v>
      </c>
      <c r="F58" s="22">
        <f t="shared" si="3"/>
        <v>0.66868562734082393</v>
      </c>
    </row>
    <row r="59" spans="1:6" x14ac:dyDescent="0.2">
      <c r="A59" s="20">
        <v>24</v>
      </c>
      <c r="B59" s="179" t="s">
        <v>21</v>
      </c>
      <c r="C59" s="180"/>
      <c r="D59" s="15">
        <f>IF(F3="1",SUMIF(Data!A:A,'41'!$A$2,Data!DR:DR),0)</f>
        <v>86084</v>
      </c>
      <c r="E59" s="18">
        <f>IF(F3="1",SUMIF(Data!$A:$A,'41'!$A$2,Data!JL:JL),0)</f>
        <v>106958</v>
      </c>
      <c r="F59" s="22">
        <f t="shared" si="3"/>
        <v>1.2424840853120209</v>
      </c>
    </row>
    <row r="60" spans="1:6" x14ac:dyDescent="0.2">
      <c r="A60" s="20">
        <v>25</v>
      </c>
      <c r="B60" s="179" t="s">
        <v>22</v>
      </c>
      <c r="C60" s="180"/>
      <c r="D60" s="15">
        <f>IF(F3="1",SUMIF(Data!A:A,'41'!$A$2,Data!DS:DS),0)</f>
        <v>393082</v>
      </c>
      <c r="E60" s="18">
        <f>IF(F3="1",SUMIF(Data!$A:$A,'41'!$A$2,Data!JM:JM),0)</f>
        <v>209428</v>
      </c>
      <c r="F60" s="22">
        <f t="shared" si="3"/>
        <v>0.53278450806701905</v>
      </c>
    </row>
    <row r="61" spans="1:6" x14ac:dyDescent="0.2">
      <c r="A61" s="20">
        <v>26</v>
      </c>
      <c r="B61" s="179" t="s">
        <v>23</v>
      </c>
      <c r="C61" s="180"/>
      <c r="D61" s="15">
        <f>IF(F3="1",SUMIF(Data!A:A,'41'!$A$2,Data!DT:DT),0)</f>
        <v>159184</v>
      </c>
      <c r="E61" s="18">
        <f>IF(F3="1",SUMIF(Data!$A:$A,'41'!$A$2,Data!JN:JN),0)</f>
        <v>287391</v>
      </c>
      <c r="F61" s="22">
        <f t="shared" si="3"/>
        <v>1.8054012966127249</v>
      </c>
    </row>
    <row r="62" spans="1:6" x14ac:dyDescent="0.2">
      <c r="A62" s="20">
        <v>28</v>
      </c>
      <c r="B62" s="179" t="s">
        <v>24</v>
      </c>
      <c r="C62" s="180"/>
      <c r="D62" s="15">
        <f>IF(F3="1",SUMIF(Data!A:A,'41'!$A$2,Data!DV:DV),0)</f>
        <v>143712</v>
      </c>
      <c r="E62" s="18">
        <f>IF(F3="1",SUMIF(Data!$A:$A,'41'!$A$2,Data!JP:JP),0)</f>
        <v>66243</v>
      </c>
      <c r="F62" s="22">
        <f t="shared" si="3"/>
        <v>0.46094271877087506</v>
      </c>
    </row>
    <row r="63" spans="1:6" ht="15.75" customHeight="1" thickBot="1" x14ac:dyDescent="0.25">
      <c r="A63" s="23">
        <v>29</v>
      </c>
      <c r="B63" s="181" t="s">
        <v>25</v>
      </c>
      <c r="C63" s="182"/>
      <c r="D63" s="24">
        <f>IF(F3="1",SUMIF(Data!A:A,'41'!$A$2,Data!DW:DW),0)</f>
        <v>102144</v>
      </c>
      <c r="E63" s="25">
        <f>IF(F3="1",SUMIF(Data!$A:$A,'41'!$A$2,Data!JQ:JQ),0)</f>
        <v>57964</v>
      </c>
      <c r="F63" s="26">
        <f t="shared" si="3"/>
        <v>0.56747337092731831</v>
      </c>
    </row>
    <row r="64" spans="1:6" x14ac:dyDescent="0.2">
      <c r="B64" s="31" t="s">
        <v>35</v>
      </c>
      <c r="C64" s="31"/>
      <c r="D64" s="61">
        <f>SUM(D36:D63)</f>
        <v>2730113</v>
      </c>
      <c r="E64" s="32">
        <f>SUM(E36:E63)</f>
        <v>2612525</v>
      </c>
      <c r="F64" s="33">
        <f t="shared" si="3"/>
        <v>0.95692925530921247</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16544</v>
      </c>
      <c r="E67" s="16">
        <f>IF(F3="1",SUMIF(Data!A:A,'41'!$A$2,Data!DY:DY),0)</f>
        <v>55141</v>
      </c>
      <c r="F67" s="21">
        <f>IFERROR(E67/D67,"")</f>
        <v>3.3329908123791103</v>
      </c>
    </row>
    <row r="68" spans="1:6" x14ac:dyDescent="0.2">
      <c r="A68" s="20">
        <v>2</v>
      </c>
      <c r="B68" s="179" t="s">
        <v>1</v>
      </c>
      <c r="C68" s="180"/>
      <c r="D68" s="15">
        <f t="shared" ref="D68:D94" si="4">D37</f>
        <v>0</v>
      </c>
      <c r="E68" s="18">
        <f>IF(F3="1",SUMIF(Data!A:A,'41'!$A$2,Data!DZ:DZ),0)</f>
        <v>0</v>
      </c>
      <c r="F68" s="22" t="str">
        <f t="shared" ref="F68:F95" si="5">IFERROR(E68/D68,"")</f>
        <v/>
      </c>
    </row>
    <row r="69" spans="1:6" ht="14.25" customHeight="1" x14ac:dyDescent="0.2">
      <c r="A69" s="20">
        <v>3</v>
      </c>
      <c r="B69" s="179" t="s">
        <v>2</v>
      </c>
      <c r="C69" s="180"/>
      <c r="D69" s="15">
        <f t="shared" si="4"/>
        <v>327728</v>
      </c>
      <c r="E69" s="18">
        <f>IF(F3="1",SUMIF(Data!A:A,'41'!$A$2,Data!EA:EA),0)</f>
        <v>1002993</v>
      </c>
      <c r="F69" s="22">
        <f t="shared" si="5"/>
        <v>3.0604434164917249</v>
      </c>
    </row>
    <row r="70" spans="1:6" ht="14.25" customHeight="1" x14ac:dyDescent="0.2">
      <c r="A70" s="20">
        <v>4</v>
      </c>
      <c r="B70" s="179" t="s">
        <v>3</v>
      </c>
      <c r="C70" s="180"/>
      <c r="D70" s="15">
        <f t="shared" si="4"/>
        <v>203020</v>
      </c>
      <c r="E70" s="18">
        <f>IF(F3="1",SUMIF(Data!A:A,'41'!$A$2,Data!EB:EB),0)</f>
        <v>452132</v>
      </c>
      <c r="F70" s="22">
        <f t="shared" si="5"/>
        <v>2.2270318195251702</v>
      </c>
    </row>
    <row r="71" spans="1:6" x14ac:dyDescent="0.2">
      <c r="A71" s="20">
        <v>5</v>
      </c>
      <c r="B71" s="179" t="s">
        <v>4</v>
      </c>
      <c r="C71" s="180"/>
      <c r="D71" s="15">
        <f t="shared" si="4"/>
        <v>0</v>
      </c>
      <c r="E71" s="18">
        <f>IF(F3="1",SUMIF(Data!A:A,'41'!$A$2,Data!EC:EC),0)</f>
        <v>0</v>
      </c>
      <c r="F71" s="22" t="str">
        <f t="shared" si="5"/>
        <v/>
      </c>
    </row>
    <row r="72" spans="1:6" x14ac:dyDescent="0.2">
      <c r="A72" s="20">
        <v>6</v>
      </c>
      <c r="B72" s="179" t="s">
        <v>5</v>
      </c>
      <c r="C72" s="180"/>
      <c r="D72" s="15">
        <f t="shared" si="4"/>
        <v>2224</v>
      </c>
      <c r="E72" s="18">
        <f>IF(F3="1",SUMIF(Data!A:A,'41'!$A$2,Data!ED:ED),0)</f>
        <v>10226</v>
      </c>
      <c r="F72" s="22">
        <f t="shared" si="5"/>
        <v>4.5980215827338133</v>
      </c>
    </row>
    <row r="73" spans="1:6" x14ac:dyDescent="0.2">
      <c r="A73" s="20">
        <v>7</v>
      </c>
      <c r="B73" s="179" t="s">
        <v>6</v>
      </c>
      <c r="C73" s="180"/>
      <c r="D73" s="15">
        <f t="shared" si="4"/>
        <v>132762</v>
      </c>
      <c r="E73" s="18">
        <f>IF(F3="1",SUMIF(Data!A:A,'41'!$A$2,Data!EE:EE),0)</f>
        <v>358222</v>
      </c>
      <c r="F73" s="22">
        <f t="shared" si="5"/>
        <v>2.6982269022762537</v>
      </c>
    </row>
    <row r="74" spans="1:6" x14ac:dyDescent="0.2">
      <c r="A74" s="20">
        <v>8</v>
      </c>
      <c r="B74" s="179" t="s">
        <v>7</v>
      </c>
      <c r="C74" s="180"/>
      <c r="D74" s="15">
        <f t="shared" si="4"/>
        <v>0</v>
      </c>
      <c r="E74" s="18">
        <f>IF(F3="1",SUMIF(Data!A:A,'41'!$A$2,Data!EF:EF),0)</f>
        <v>0</v>
      </c>
      <c r="F74" s="22" t="str">
        <f t="shared" si="5"/>
        <v/>
      </c>
    </row>
    <row r="75" spans="1:6" x14ac:dyDescent="0.2">
      <c r="A75" s="20">
        <v>9</v>
      </c>
      <c r="B75" s="179" t="s">
        <v>8</v>
      </c>
      <c r="C75" s="180"/>
      <c r="D75" s="15">
        <f t="shared" si="4"/>
        <v>47067</v>
      </c>
      <c r="E75" s="18">
        <f>IF(F3="1",SUMIF(Data!A:A,'41'!$A$2,Data!EG:EG),0)</f>
        <v>129717</v>
      </c>
      <c r="F75" s="22">
        <f t="shared" si="5"/>
        <v>2.756007393715342</v>
      </c>
    </row>
    <row r="76" spans="1:6" x14ac:dyDescent="0.2">
      <c r="A76" s="20">
        <v>10</v>
      </c>
      <c r="B76" s="179" t="s">
        <v>9</v>
      </c>
      <c r="C76" s="180"/>
      <c r="D76" s="15">
        <f t="shared" si="4"/>
        <v>0</v>
      </c>
      <c r="E76" s="18">
        <f>IF(F3="1",SUMIF(Data!A:A,'41'!$A$2,Data!EH:EH),0)</f>
        <v>0</v>
      </c>
      <c r="F76" s="22" t="str">
        <f t="shared" si="5"/>
        <v/>
      </c>
    </row>
    <row r="77" spans="1:6" x14ac:dyDescent="0.2">
      <c r="A77" s="20">
        <v>11</v>
      </c>
      <c r="B77" s="179" t="s">
        <v>10</v>
      </c>
      <c r="C77" s="180"/>
      <c r="D77" s="15">
        <f t="shared" si="4"/>
        <v>32208</v>
      </c>
      <c r="E77" s="18">
        <f>IF(F3="1",SUMIF(Data!A:A,'41'!$A$2,Data!EI:EI),0)</f>
        <v>97156</v>
      </c>
      <c r="F77" s="22">
        <f t="shared" si="5"/>
        <v>3.0165176353700942</v>
      </c>
    </row>
    <row r="78" spans="1:6" ht="14.25" customHeight="1" x14ac:dyDescent="0.2">
      <c r="A78" s="20">
        <v>12</v>
      </c>
      <c r="B78" s="179" t="s">
        <v>11</v>
      </c>
      <c r="C78" s="180"/>
      <c r="D78" s="15">
        <f t="shared" si="4"/>
        <v>413888</v>
      </c>
      <c r="E78" s="18">
        <f>IF(F3="1",SUMIF(Data!A:A,'41'!$A$2,Data!EJ:EJ),0)</f>
        <v>894398</v>
      </c>
      <c r="F78" s="22">
        <f t="shared" si="5"/>
        <v>2.1609662517396009</v>
      </c>
    </row>
    <row r="79" spans="1:6" x14ac:dyDescent="0.2">
      <c r="A79" s="20">
        <v>13</v>
      </c>
      <c r="B79" s="179" t="s">
        <v>12</v>
      </c>
      <c r="C79" s="180"/>
      <c r="D79" s="15">
        <f t="shared" si="4"/>
        <v>26048</v>
      </c>
      <c r="E79" s="18">
        <f>IF(F3="1",SUMIF(Data!A:A,'41'!$A$2,Data!EK:EK),0)</f>
        <v>84961</v>
      </c>
      <c r="F79" s="22">
        <f t="shared" si="5"/>
        <v>3.2617091523341522</v>
      </c>
    </row>
    <row r="80" spans="1:6" ht="14.25" customHeight="1" x14ac:dyDescent="0.2">
      <c r="A80" s="20">
        <v>14</v>
      </c>
      <c r="B80" s="179" t="s">
        <v>804</v>
      </c>
      <c r="C80" s="180"/>
      <c r="D80" s="15">
        <f t="shared" si="4"/>
        <v>112330</v>
      </c>
      <c r="E80" s="18">
        <f>IF(F3="1",SUMIF(Data!A:A,'41'!$A$2,Data!EL:EL),0)</f>
        <v>656905</v>
      </c>
      <c r="F80" s="22">
        <f t="shared" si="5"/>
        <v>5.8479925220332944</v>
      </c>
    </row>
    <row r="81" spans="1:6" x14ac:dyDescent="0.2">
      <c r="A81" s="20">
        <v>15</v>
      </c>
      <c r="B81" s="179" t="s">
        <v>13</v>
      </c>
      <c r="C81" s="180"/>
      <c r="D81" s="15">
        <f t="shared" si="4"/>
        <v>18675</v>
      </c>
      <c r="E81" s="18">
        <f>IF(F3="1",SUMIF(Data!A:A,'41'!$A$2,Data!EM:EM),0)</f>
        <v>321140</v>
      </c>
      <c r="F81" s="22">
        <f t="shared" si="5"/>
        <v>17.196251673360106</v>
      </c>
    </row>
    <row r="82" spans="1:6" x14ac:dyDescent="0.2">
      <c r="A82" s="20">
        <v>16</v>
      </c>
      <c r="B82" s="179" t="s">
        <v>14</v>
      </c>
      <c r="C82" s="180"/>
      <c r="D82" s="15">
        <f t="shared" si="4"/>
        <v>193306</v>
      </c>
      <c r="E82" s="18">
        <f>IF(F3="1",SUMIF(Data!A:A,'41'!$A$2,Data!EN:EN),0)</f>
        <v>592702</v>
      </c>
      <c r="F82" s="22">
        <f t="shared" si="5"/>
        <v>3.0661334878379356</v>
      </c>
    </row>
    <row r="83" spans="1:6" x14ac:dyDescent="0.2">
      <c r="A83" s="20">
        <v>17</v>
      </c>
      <c r="B83" s="179" t="s">
        <v>15</v>
      </c>
      <c r="C83" s="180"/>
      <c r="D83" s="15">
        <f t="shared" si="4"/>
        <v>32048</v>
      </c>
      <c r="E83" s="18">
        <f>IF(F3="1",SUMIF(Data!A:A,'41'!$A$2,Data!EO:EO),0)</f>
        <v>200606</v>
      </c>
      <c r="F83" s="22">
        <f t="shared" si="5"/>
        <v>6.2595481777334001</v>
      </c>
    </row>
    <row r="84" spans="1:6" x14ac:dyDescent="0.2">
      <c r="A84" s="20">
        <v>18</v>
      </c>
      <c r="B84" s="179" t="s">
        <v>16</v>
      </c>
      <c r="C84" s="180"/>
      <c r="D84" s="15">
        <f t="shared" si="4"/>
        <v>115888</v>
      </c>
      <c r="E84" s="18">
        <f>IF(F3="1",SUMIF(Data!A:A,'41'!$A$2,Data!EP:EP),0)</f>
        <v>596701</v>
      </c>
      <c r="F84" s="22">
        <f t="shared" si="5"/>
        <v>5.148945533618666</v>
      </c>
    </row>
    <row r="85" spans="1:6" x14ac:dyDescent="0.2">
      <c r="A85" s="20">
        <v>19</v>
      </c>
      <c r="B85" s="179" t="s">
        <v>17</v>
      </c>
      <c r="C85" s="180"/>
      <c r="D85" s="15">
        <f t="shared" si="4"/>
        <v>94108</v>
      </c>
      <c r="E85" s="18">
        <f>IF(F3="1",SUMIF(Data!A:A,'41'!$A$2,Data!EQ:EQ),0)</f>
        <v>351167</v>
      </c>
      <c r="F85" s="22">
        <f t="shared" si="5"/>
        <v>3.731531857015344</v>
      </c>
    </row>
    <row r="86" spans="1:6" x14ac:dyDescent="0.2">
      <c r="A86" s="20">
        <v>20</v>
      </c>
      <c r="B86" s="179" t="s">
        <v>18</v>
      </c>
      <c r="C86" s="180"/>
      <c r="D86" s="15">
        <f t="shared" si="4"/>
        <v>0</v>
      </c>
      <c r="E86" s="18">
        <f>IF(F3="1",SUMIF(Data!A:A,'41'!$A$2,Data!ER:ER),0)</f>
        <v>0</v>
      </c>
      <c r="F86" s="22" t="str">
        <f t="shared" si="5"/>
        <v/>
      </c>
    </row>
    <row r="87" spans="1:6" ht="14.25" customHeight="1" x14ac:dyDescent="0.2">
      <c r="A87" s="20">
        <v>21</v>
      </c>
      <c r="B87" s="179" t="s">
        <v>801</v>
      </c>
      <c r="C87" s="180"/>
      <c r="D87" s="15">
        <f t="shared" si="4"/>
        <v>355</v>
      </c>
      <c r="E87" s="18">
        <f>IF(F3="1",SUMIF(Data!A:A,'41'!$A$2,Data!ES:ES),0)</f>
        <v>879</v>
      </c>
      <c r="F87" s="22">
        <f t="shared" si="5"/>
        <v>2.4760563380281688</v>
      </c>
    </row>
    <row r="88" spans="1:6" x14ac:dyDescent="0.2">
      <c r="A88" s="20">
        <v>22</v>
      </c>
      <c r="B88" s="179" t="s">
        <v>19</v>
      </c>
      <c r="C88" s="180"/>
      <c r="D88" s="15">
        <f t="shared" si="4"/>
        <v>9356</v>
      </c>
      <c r="E88" s="18">
        <f>IF(F3="1",SUMIF(Data!A:A,'41'!$A$2,Data!ET:ET),0)</f>
        <v>33661</v>
      </c>
      <c r="F88" s="22">
        <f t="shared" si="5"/>
        <v>3.5977982043608381</v>
      </c>
    </row>
    <row r="89" spans="1:6" x14ac:dyDescent="0.2">
      <c r="A89" s="20">
        <v>23</v>
      </c>
      <c r="B89" s="179" t="s">
        <v>20</v>
      </c>
      <c r="C89" s="180"/>
      <c r="D89" s="15">
        <f t="shared" si="4"/>
        <v>68352</v>
      </c>
      <c r="E89" s="18">
        <f>IF(F3="1",SUMIF(Data!A:A,'41'!$A$2,Data!EU:EU),0)</f>
        <v>317647</v>
      </c>
      <c r="F89" s="22">
        <f t="shared" si="5"/>
        <v>4.6472231975655429</v>
      </c>
    </row>
    <row r="90" spans="1:6" x14ac:dyDescent="0.2">
      <c r="A90" s="20">
        <v>24</v>
      </c>
      <c r="B90" s="179" t="s">
        <v>21</v>
      </c>
      <c r="C90" s="180"/>
      <c r="D90" s="15">
        <f t="shared" si="4"/>
        <v>86084</v>
      </c>
      <c r="E90" s="18">
        <f>IF(F3="1",SUMIF(Data!A:A,'41'!$A$2,Data!EV:EV),0)</f>
        <v>211211</v>
      </c>
      <c r="F90" s="22">
        <f t="shared" si="5"/>
        <v>2.4535453742855817</v>
      </c>
    </row>
    <row r="91" spans="1:6" x14ac:dyDescent="0.2">
      <c r="A91" s="20">
        <v>25</v>
      </c>
      <c r="B91" s="179" t="s">
        <v>22</v>
      </c>
      <c r="C91" s="180"/>
      <c r="D91" s="15">
        <f t="shared" si="4"/>
        <v>393082</v>
      </c>
      <c r="E91" s="18">
        <f>IF(F3="1",SUMIF(Data!A:A,'41'!$A$2,Data!EW:EW),0)</f>
        <v>1027208</v>
      </c>
      <c r="F91" s="22">
        <f t="shared" si="5"/>
        <v>2.6132155631649376</v>
      </c>
    </row>
    <row r="92" spans="1:6" x14ac:dyDescent="0.2">
      <c r="A92" s="20">
        <v>26</v>
      </c>
      <c r="B92" s="179" t="s">
        <v>23</v>
      </c>
      <c r="C92" s="180"/>
      <c r="D92" s="15">
        <f t="shared" si="4"/>
        <v>159184</v>
      </c>
      <c r="E92" s="18">
        <f>IF(F3="1",SUMIF(Data!A:A,'41'!$A$2,Data!EX:EX),0)</f>
        <v>721864</v>
      </c>
      <c r="F92" s="22">
        <f t="shared" si="5"/>
        <v>4.5347773645592522</v>
      </c>
    </row>
    <row r="93" spans="1:6" x14ac:dyDescent="0.2">
      <c r="A93" s="20">
        <v>28</v>
      </c>
      <c r="B93" s="179" t="s">
        <v>24</v>
      </c>
      <c r="C93" s="180"/>
      <c r="D93" s="15">
        <f t="shared" si="4"/>
        <v>143712</v>
      </c>
      <c r="E93" s="18">
        <f>IF(F3="1",SUMIF(Data!A:A,'41'!$A$2,Data!EZ:EZ),0)</f>
        <v>444742</v>
      </c>
      <c r="F93" s="22">
        <f t="shared" si="5"/>
        <v>3.0946754620351813</v>
      </c>
    </row>
    <row r="94" spans="1:6" ht="15.75" customHeight="1" thickBot="1" x14ac:dyDescent="0.25">
      <c r="A94" s="23">
        <v>29</v>
      </c>
      <c r="B94" s="181" t="s">
        <v>25</v>
      </c>
      <c r="C94" s="182"/>
      <c r="D94" s="24">
        <f t="shared" si="4"/>
        <v>102144</v>
      </c>
      <c r="E94" s="25">
        <f>IF(F3="1",SUMIF(Data!A:A,'41'!$A$2,Data!FA:FA),0)</f>
        <v>391766</v>
      </c>
      <c r="F94" s="26">
        <f t="shared" si="5"/>
        <v>3.8354284147869673</v>
      </c>
    </row>
    <row r="95" spans="1:6" x14ac:dyDescent="0.2">
      <c r="B95" s="31" t="s">
        <v>35</v>
      </c>
      <c r="C95" s="31"/>
      <c r="D95" s="61">
        <f>SUM(D67:D94)</f>
        <v>2730113</v>
      </c>
      <c r="E95" s="32">
        <f>SUM(E67:E94)</f>
        <v>8953145</v>
      </c>
      <c r="F95" s="33">
        <f t="shared" si="5"/>
        <v>3.2794045521192712</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IF(F3="1",SUMIF(Data!A:A,'41'!$A$2,Data!AH:AH),0)</f>
        <v>4005532</v>
      </c>
      <c r="F98" s="21">
        <f t="shared" ref="F98:F105" si="6">IFERROR(E98/$D$95,0)</f>
        <v>1.4671671099328123</v>
      </c>
    </row>
    <row r="99" spans="2:6" x14ac:dyDescent="0.2">
      <c r="B99" s="185" t="s">
        <v>31</v>
      </c>
      <c r="C99" s="186"/>
      <c r="D99" s="37"/>
      <c r="E99" s="18">
        <f>IF(F3="1",SUMIF(Data!A:A,'41'!$A$2,Data!AI:AI),0)</f>
        <v>1364963</v>
      </c>
      <c r="F99" s="22">
        <f t="shared" si="6"/>
        <v>0.49996575233332835</v>
      </c>
    </row>
    <row r="100" spans="2:6" x14ac:dyDescent="0.2">
      <c r="B100" s="185" t="s">
        <v>32</v>
      </c>
      <c r="C100" s="186"/>
      <c r="D100" s="37"/>
      <c r="E100" s="18">
        <f>IF(F3="1",SUMIF(Data!A:A,'41'!$A$2,Data!AJ:AJ),0)</f>
        <v>1881992</v>
      </c>
      <c r="F100" s="22">
        <f t="shared" si="6"/>
        <v>0.68934582561234647</v>
      </c>
    </row>
    <row r="101" spans="2:6" x14ac:dyDescent="0.2">
      <c r="B101" s="185" t="s">
        <v>28</v>
      </c>
      <c r="C101" s="186"/>
      <c r="D101" s="37"/>
      <c r="E101" s="18">
        <f>IF(F3="1",SUMIF(Data!A:A,'41'!$A$2,Data!AK:AK),0)</f>
        <v>0</v>
      </c>
      <c r="F101" s="22">
        <f t="shared" si="6"/>
        <v>0</v>
      </c>
    </row>
    <row r="102" spans="2:6" x14ac:dyDescent="0.2">
      <c r="B102" s="185" t="s">
        <v>33</v>
      </c>
      <c r="C102" s="186"/>
      <c r="D102" s="37"/>
      <c r="E102" s="18">
        <f>IF(F3="1",SUMIF(Data!A:A,'41'!$A$2,Data!AL:AL),0)</f>
        <v>0</v>
      </c>
      <c r="F102" s="22">
        <f t="shared" si="6"/>
        <v>0</v>
      </c>
    </row>
    <row r="103" spans="2:6" x14ac:dyDescent="0.2">
      <c r="B103" s="187" t="s">
        <v>34</v>
      </c>
      <c r="C103" s="188"/>
      <c r="D103" s="37"/>
      <c r="E103" s="18">
        <f>IF(F3="1",SUMIF(Data!A:A,'41'!$A$2,Data!AM:AM),0)</f>
        <v>308275</v>
      </c>
      <c r="F103" s="22">
        <f t="shared" si="6"/>
        <v>0.11291657158513219</v>
      </c>
    </row>
    <row r="104" spans="2:6" ht="15.75" customHeight="1" thickBot="1" x14ac:dyDescent="0.25">
      <c r="B104" s="177" t="s">
        <v>29</v>
      </c>
      <c r="C104" s="178"/>
      <c r="D104" s="38"/>
      <c r="E104" s="25">
        <f>IF(F3="1",SUMIF(Data!A:A,'41'!$A$2,Data!Q:Q),0)</f>
        <v>768335</v>
      </c>
      <c r="F104" s="26">
        <f t="shared" si="6"/>
        <v>0.28142974301796297</v>
      </c>
    </row>
    <row r="105" spans="2:6" x14ac:dyDescent="0.2">
      <c r="B105" s="31" t="s">
        <v>35</v>
      </c>
      <c r="C105" s="31"/>
      <c r="D105" s="35">
        <f>D95</f>
        <v>2730113</v>
      </c>
      <c r="E105" s="32">
        <f>SUM(E98:E104)</f>
        <v>8329097</v>
      </c>
      <c r="F105" s="33">
        <f t="shared" si="6"/>
        <v>3.0508250024815822</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9280136</v>
      </c>
      <c r="D109" s="16">
        <f>IF(F3="1",SUMIF(Data!$A:$A,$A$2,Data!HJ:HJ),0)</f>
        <v>1188858</v>
      </c>
      <c r="E109" s="16">
        <f>IF(F3="1",SUMIF(Data!$A:$A,$A$2,Data!IN:IN),0)</f>
        <v>1096678</v>
      </c>
      <c r="F109" s="48">
        <f>SUM(C109:E109)</f>
        <v>11565672</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239080</v>
      </c>
      <c r="D111" s="52"/>
      <c r="E111" s="51">
        <f>IF(F3="1",SUMIF(Data!A:A,$A$2,Data!AX:AX),0)</f>
        <v>100741</v>
      </c>
      <c r="F111" s="49">
        <f t="shared" si="7"/>
        <v>339821</v>
      </c>
    </row>
    <row r="112" spans="2:6" x14ac:dyDescent="0.2">
      <c r="B112" s="43" t="s">
        <v>32</v>
      </c>
      <c r="C112" s="51">
        <f>IF(F3="1",SUMIF(Data!A:A,$A$2,Data!V:V),0)</f>
        <v>1439773</v>
      </c>
      <c r="D112" s="52"/>
      <c r="E112" s="51">
        <f>IF(F3="1",SUMIF(Data!A:A,$A$2,Data!AC:AC),0)</f>
        <v>442219</v>
      </c>
      <c r="F112" s="49">
        <f t="shared" si="7"/>
        <v>1881992</v>
      </c>
    </row>
    <row r="113" spans="1:6" x14ac:dyDescent="0.2">
      <c r="B113" s="43" t="s">
        <v>31</v>
      </c>
      <c r="C113" s="51">
        <f>IF(F3="1",SUMIF(Data!A:A,$A$2,Data!U:U),0)</f>
        <v>1153257</v>
      </c>
      <c r="D113" s="52"/>
      <c r="E113" s="51">
        <f>IF(F3="1",SUMIF(Data!A:A,$A$2,Data!AB:AB),0)</f>
        <v>211706</v>
      </c>
      <c r="F113" s="49">
        <f t="shared" si="7"/>
        <v>1364963</v>
      </c>
    </row>
    <row r="114" spans="1:6" x14ac:dyDescent="0.2">
      <c r="B114" s="43" t="s">
        <v>1363</v>
      </c>
      <c r="C114" s="51">
        <f>IF(F3="1",SUMIF(Data!A:A,$A$2,Data!T:T),0)</f>
        <v>2506886</v>
      </c>
      <c r="D114" s="52"/>
      <c r="E114" s="51">
        <f>IF(F3="1",SUMIF(Data!A:A,$A$2,Data!AA:AA),0)</f>
        <v>1498646</v>
      </c>
      <c r="F114" s="49">
        <f t="shared" si="7"/>
        <v>4005532</v>
      </c>
    </row>
    <row r="115" spans="1:6" x14ac:dyDescent="0.2">
      <c r="B115" s="43" t="s">
        <v>1278</v>
      </c>
      <c r="C115" s="51">
        <f>IF(F3="1",SUMIF(Data!A:A,$A$2,Data!BI:BI),0)</f>
        <v>580940</v>
      </c>
      <c r="D115" s="51">
        <f>IF(F3="1",SUMIF(Data!A:A,$A$2,Data!BL:BL),0)</f>
        <v>243934</v>
      </c>
      <c r="E115" s="51">
        <f>IF(F3="1",SUMIF(Data!A:A,$A$2,Data!BU:BU),0)</f>
        <v>2194264</v>
      </c>
      <c r="F115" s="49">
        <f t="shared" si="7"/>
        <v>3019138</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768335</v>
      </c>
      <c r="E117" s="53"/>
      <c r="F117" s="50">
        <f>SUM(C117:E117)</f>
        <v>768335</v>
      </c>
    </row>
    <row r="118" spans="1:6" x14ac:dyDescent="0.2">
      <c r="B118" s="14" t="s">
        <v>35</v>
      </c>
      <c r="C118" s="5">
        <f>SUM(C109:C116)</f>
        <v>15200072</v>
      </c>
      <c r="D118" s="5">
        <f>SUM(D109:D116)</f>
        <v>1432792</v>
      </c>
      <c r="E118" s="5">
        <f>SUM(E109:E116)</f>
        <v>5544254</v>
      </c>
      <c r="F118" s="5">
        <f>SUM(F109:F116)</f>
        <v>22177118</v>
      </c>
    </row>
    <row r="119" spans="1:6" ht="15" thickBot="1" x14ac:dyDescent="0.25"/>
    <row r="120" spans="1:6" ht="15" thickBot="1" x14ac:dyDescent="0.25">
      <c r="B120" s="57" t="s">
        <v>1283</v>
      </c>
      <c r="C120" s="55"/>
      <c r="D120" s="55"/>
      <c r="E120" s="55">
        <f>IF(F3="1",SUMIF(Data!A:A,'41'!$A$2,Data!AM:AM),0)</f>
        <v>308275</v>
      </c>
      <c r="F120" s="56">
        <f>SUM(C120:E120)</f>
        <v>308275</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140625" style="11"/>
    <col min="12" max="14" width="6"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573</v>
      </c>
      <c r="B2" s="60" t="str">
        <f>VLOOKUP(A2,Data!A:G,7,0)</f>
        <v>Texarkana College</v>
      </c>
      <c r="C2" s="60"/>
    </row>
    <row r="3" spans="1:6" ht="15" thickBot="1" x14ac:dyDescent="0.25">
      <c r="A3" s="4"/>
      <c r="F3" s="58">
        <f>IFERROR(VLOOKUP(A2,Data!A:C,3,0),"0")</f>
        <v>0</v>
      </c>
    </row>
    <row r="4" spans="1:6" ht="29.25" customHeight="1" x14ac:dyDescent="0.2">
      <c r="A4" s="27" t="s">
        <v>26</v>
      </c>
      <c r="B4" s="189" t="s">
        <v>805</v>
      </c>
      <c r="C4" s="190"/>
      <c r="D4" s="29" t="s">
        <v>27</v>
      </c>
      <c r="E4" s="29" t="s">
        <v>802</v>
      </c>
      <c r="F4" s="30" t="s">
        <v>803</v>
      </c>
    </row>
    <row r="5" spans="1:6" x14ac:dyDescent="0.2">
      <c r="A5" s="20">
        <v>1</v>
      </c>
      <c r="B5" s="179" t="s">
        <v>0</v>
      </c>
      <c r="C5" s="180"/>
      <c r="D5" s="15">
        <f>D36</f>
        <v>0</v>
      </c>
      <c r="E5" s="16">
        <f>E36+E67+IFERROR($E$105/$D$105*D5,0)</f>
        <v>0</v>
      </c>
      <c r="F5" s="21" t="str">
        <f>IFERROR(E5/D5,"")</f>
        <v/>
      </c>
    </row>
    <row r="6" spans="1:6" x14ac:dyDescent="0.2">
      <c r="A6" s="20">
        <v>2</v>
      </c>
      <c r="B6" s="179" t="s">
        <v>1</v>
      </c>
      <c r="C6" s="180"/>
      <c r="D6" s="15">
        <f t="shared" ref="D6:D32" si="0">D37</f>
        <v>0</v>
      </c>
      <c r="E6" s="18">
        <f t="shared" ref="E6:E32" si="1">E37+E68+IFERROR($E$105/$D$105*D6,0)</f>
        <v>0</v>
      </c>
      <c r="F6" s="22" t="str">
        <f t="shared" ref="F6:F33" si="2">IFERROR(E6/D6,"")</f>
        <v/>
      </c>
    </row>
    <row r="7" spans="1:6" ht="14.25" customHeight="1" x14ac:dyDescent="0.2">
      <c r="A7" s="20">
        <v>3</v>
      </c>
      <c r="B7" s="179" t="s">
        <v>2</v>
      </c>
      <c r="C7" s="180"/>
      <c r="D7" s="15">
        <f t="shared" si="0"/>
        <v>0</v>
      </c>
      <c r="E7" s="18">
        <f t="shared" si="1"/>
        <v>0</v>
      </c>
      <c r="F7" s="22" t="str">
        <f t="shared" si="2"/>
        <v/>
      </c>
    </row>
    <row r="8" spans="1:6" ht="14.25" customHeight="1" x14ac:dyDescent="0.2">
      <c r="A8" s="20">
        <v>4</v>
      </c>
      <c r="B8" s="179" t="s">
        <v>3</v>
      </c>
      <c r="C8" s="180"/>
      <c r="D8" s="15">
        <f t="shared" si="0"/>
        <v>0</v>
      </c>
      <c r="E8" s="18">
        <f t="shared" si="1"/>
        <v>0</v>
      </c>
      <c r="F8" s="22" t="str">
        <f t="shared" si="2"/>
        <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0</v>
      </c>
      <c r="E10" s="18">
        <f t="shared" si="1"/>
        <v>0</v>
      </c>
      <c r="F10" s="22" t="str">
        <f t="shared" si="2"/>
        <v/>
      </c>
    </row>
    <row r="11" spans="1:6" x14ac:dyDescent="0.2">
      <c r="A11" s="20">
        <v>7</v>
      </c>
      <c r="B11" s="179" t="s">
        <v>6</v>
      </c>
      <c r="C11" s="180"/>
      <c r="D11" s="15">
        <f t="shared" si="0"/>
        <v>0</v>
      </c>
      <c r="E11" s="18">
        <f t="shared" si="1"/>
        <v>0</v>
      </c>
      <c r="F11" s="22" t="str">
        <f t="shared" si="2"/>
        <v/>
      </c>
    </row>
    <row r="12" spans="1:6" x14ac:dyDescent="0.2">
      <c r="A12" s="20">
        <v>8</v>
      </c>
      <c r="B12" s="179" t="s">
        <v>7</v>
      </c>
      <c r="C12" s="180"/>
      <c r="D12" s="15">
        <f t="shared" si="0"/>
        <v>0</v>
      </c>
      <c r="E12" s="18">
        <f t="shared" si="1"/>
        <v>0</v>
      </c>
      <c r="F12" s="22" t="str">
        <f t="shared" si="2"/>
        <v/>
      </c>
    </row>
    <row r="13" spans="1:6" x14ac:dyDescent="0.2">
      <c r="A13" s="20">
        <v>9</v>
      </c>
      <c r="B13" s="179" t="s">
        <v>8</v>
      </c>
      <c r="C13" s="180"/>
      <c r="D13" s="15">
        <f t="shared" si="0"/>
        <v>0</v>
      </c>
      <c r="E13" s="18">
        <f t="shared" si="1"/>
        <v>0</v>
      </c>
      <c r="F13" s="22" t="str">
        <f t="shared" si="2"/>
        <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0</v>
      </c>
      <c r="E15" s="18">
        <f t="shared" si="1"/>
        <v>0</v>
      </c>
      <c r="F15" s="22" t="str">
        <f t="shared" si="2"/>
        <v/>
      </c>
    </row>
    <row r="16" spans="1:6" ht="14.25" customHeight="1" x14ac:dyDescent="0.2">
      <c r="A16" s="20">
        <v>12</v>
      </c>
      <c r="B16" s="179" t="s">
        <v>11</v>
      </c>
      <c r="C16" s="180"/>
      <c r="D16" s="15">
        <f t="shared" si="0"/>
        <v>0</v>
      </c>
      <c r="E16" s="18">
        <f t="shared" si="1"/>
        <v>0</v>
      </c>
      <c r="F16" s="22" t="str">
        <f t="shared" si="2"/>
        <v/>
      </c>
    </row>
    <row r="17" spans="1:6" x14ac:dyDescent="0.2">
      <c r="A17" s="20">
        <v>13</v>
      </c>
      <c r="B17" s="179" t="s">
        <v>12</v>
      </c>
      <c r="C17" s="180"/>
      <c r="D17" s="15">
        <f t="shared" si="0"/>
        <v>0</v>
      </c>
      <c r="E17" s="18">
        <f t="shared" si="1"/>
        <v>0</v>
      </c>
      <c r="F17" s="22" t="str">
        <f t="shared" si="2"/>
        <v/>
      </c>
    </row>
    <row r="18" spans="1:6" ht="14.25" customHeight="1" x14ac:dyDescent="0.2">
      <c r="A18" s="20">
        <v>14</v>
      </c>
      <c r="B18" s="179" t="s">
        <v>804</v>
      </c>
      <c r="C18" s="180"/>
      <c r="D18" s="15">
        <f t="shared" si="0"/>
        <v>0</v>
      </c>
      <c r="E18" s="18">
        <f t="shared" si="1"/>
        <v>0</v>
      </c>
      <c r="F18" s="22" t="str">
        <f t="shared" si="2"/>
        <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0</v>
      </c>
      <c r="E20" s="18">
        <f t="shared" si="1"/>
        <v>0</v>
      </c>
      <c r="F20" s="22" t="str">
        <f t="shared" si="2"/>
        <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0</v>
      </c>
      <c r="E22" s="18">
        <f t="shared" si="1"/>
        <v>0</v>
      </c>
      <c r="F22" s="22" t="str">
        <f t="shared" si="2"/>
        <v/>
      </c>
    </row>
    <row r="23" spans="1:6" x14ac:dyDescent="0.2">
      <c r="A23" s="20">
        <v>19</v>
      </c>
      <c r="B23" s="179" t="s">
        <v>17</v>
      </c>
      <c r="C23" s="180"/>
      <c r="D23" s="15">
        <f t="shared" si="0"/>
        <v>0</v>
      </c>
      <c r="E23" s="18">
        <f t="shared" si="1"/>
        <v>0</v>
      </c>
      <c r="F23" s="22" t="str">
        <f t="shared" si="2"/>
        <v/>
      </c>
    </row>
    <row r="24" spans="1:6" x14ac:dyDescent="0.2">
      <c r="A24" s="20">
        <v>20</v>
      </c>
      <c r="B24" s="179" t="s">
        <v>18</v>
      </c>
      <c r="C24" s="180"/>
      <c r="D24" s="15">
        <f t="shared" si="0"/>
        <v>0</v>
      </c>
      <c r="E24" s="18">
        <f t="shared" si="1"/>
        <v>0</v>
      </c>
      <c r="F24" s="22" t="str">
        <f t="shared" si="2"/>
        <v/>
      </c>
    </row>
    <row r="25" spans="1:6" ht="14.25" customHeight="1" x14ac:dyDescent="0.2">
      <c r="A25" s="20">
        <v>21</v>
      </c>
      <c r="B25" s="179" t="s">
        <v>801</v>
      </c>
      <c r="C25" s="180"/>
      <c r="D25" s="15">
        <f t="shared" si="0"/>
        <v>0</v>
      </c>
      <c r="E25" s="18">
        <f t="shared" si="1"/>
        <v>0</v>
      </c>
      <c r="F25" s="22" t="str">
        <f t="shared" si="2"/>
        <v/>
      </c>
    </row>
    <row r="26" spans="1:6" x14ac:dyDescent="0.2">
      <c r="A26" s="20">
        <v>22</v>
      </c>
      <c r="B26" s="179" t="s">
        <v>19</v>
      </c>
      <c r="C26" s="180"/>
      <c r="D26" s="15">
        <f t="shared" si="0"/>
        <v>0</v>
      </c>
      <c r="E26" s="18">
        <f t="shared" si="1"/>
        <v>0</v>
      </c>
      <c r="F26" s="22" t="str">
        <f t="shared" si="2"/>
        <v/>
      </c>
    </row>
    <row r="27" spans="1:6" x14ac:dyDescent="0.2">
      <c r="A27" s="20">
        <v>23</v>
      </c>
      <c r="B27" s="179" t="s">
        <v>20</v>
      </c>
      <c r="C27" s="180"/>
      <c r="D27" s="15">
        <f t="shared" si="0"/>
        <v>0</v>
      </c>
      <c r="E27" s="18">
        <f t="shared" si="1"/>
        <v>0</v>
      </c>
      <c r="F27" s="22" t="str">
        <f t="shared" si="2"/>
        <v/>
      </c>
    </row>
    <row r="28" spans="1:6" x14ac:dyDescent="0.2">
      <c r="A28" s="20">
        <v>24</v>
      </c>
      <c r="B28" s="179" t="s">
        <v>21</v>
      </c>
      <c r="C28" s="180"/>
      <c r="D28" s="15">
        <f t="shared" si="0"/>
        <v>0</v>
      </c>
      <c r="E28" s="18">
        <f t="shared" si="1"/>
        <v>0</v>
      </c>
      <c r="F28" s="22" t="str">
        <f t="shared" si="2"/>
        <v/>
      </c>
    </row>
    <row r="29" spans="1:6" x14ac:dyDescent="0.2">
      <c r="A29" s="20">
        <v>25</v>
      </c>
      <c r="B29" s="179" t="s">
        <v>22</v>
      </c>
      <c r="C29" s="180"/>
      <c r="D29" s="15">
        <f t="shared" si="0"/>
        <v>0</v>
      </c>
      <c r="E29" s="18">
        <f t="shared" si="1"/>
        <v>0</v>
      </c>
      <c r="F29" s="22" t="str">
        <f t="shared" si="2"/>
        <v/>
      </c>
    </row>
    <row r="30" spans="1:6" x14ac:dyDescent="0.2">
      <c r="A30" s="20">
        <v>26</v>
      </c>
      <c r="B30" s="179" t="s">
        <v>23</v>
      </c>
      <c r="C30" s="180"/>
      <c r="D30" s="15">
        <f t="shared" si="0"/>
        <v>0</v>
      </c>
      <c r="E30" s="18">
        <f t="shared" si="1"/>
        <v>0</v>
      </c>
      <c r="F30" s="22" t="str">
        <f t="shared" si="2"/>
        <v/>
      </c>
    </row>
    <row r="31" spans="1:6" x14ac:dyDescent="0.2">
      <c r="A31" s="20">
        <v>28</v>
      </c>
      <c r="B31" s="179" t="s">
        <v>24</v>
      </c>
      <c r="C31" s="180"/>
      <c r="D31" s="15">
        <f t="shared" si="0"/>
        <v>0</v>
      </c>
      <c r="E31" s="18">
        <f t="shared" si="1"/>
        <v>0</v>
      </c>
      <c r="F31" s="22" t="str">
        <f t="shared" si="2"/>
        <v/>
      </c>
    </row>
    <row r="32" spans="1:6" ht="15.75" customHeight="1" thickBot="1" x14ac:dyDescent="0.25">
      <c r="A32" s="23">
        <v>29</v>
      </c>
      <c r="B32" s="181" t="s">
        <v>25</v>
      </c>
      <c r="C32" s="182"/>
      <c r="D32" s="24">
        <f t="shared" si="0"/>
        <v>0</v>
      </c>
      <c r="E32" s="25">
        <f t="shared" si="1"/>
        <v>0</v>
      </c>
      <c r="F32" s="26" t="str">
        <f t="shared" si="2"/>
        <v/>
      </c>
    </row>
    <row r="33" spans="1:6" x14ac:dyDescent="0.2">
      <c r="B33" s="31" t="s">
        <v>35</v>
      </c>
      <c r="C33" s="31"/>
      <c r="D33" s="61">
        <f>SUM(D5:D32)</f>
        <v>0</v>
      </c>
      <c r="E33" s="32">
        <f>SUM(E5:E32)</f>
        <v>0</v>
      </c>
      <c r="F33" s="33" t="str">
        <f t="shared" si="2"/>
        <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IF(F3="1",SUMIF(Data!A:A,'42'!$A$2,Data!CU:CU),0)</f>
        <v>0</v>
      </c>
      <c r="E36" s="16">
        <f>IF(F3="1",SUMIF(Data!$A:$A,'42'!$A$2,Data!IO:IO),0)</f>
        <v>0</v>
      </c>
      <c r="F36" s="21" t="str">
        <f t="shared" ref="F36:F64" si="3">IFERROR(E36/D36,"")</f>
        <v/>
      </c>
    </row>
    <row r="37" spans="1:6" x14ac:dyDescent="0.2">
      <c r="A37" s="20">
        <v>2</v>
      </c>
      <c r="B37" s="179" t="s">
        <v>1</v>
      </c>
      <c r="C37" s="180"/>
      <c r="D37" s="15">
        <f>IF(F3="1",SUMIF(Data!A:A,'42'!$A$2,Data!CV:CV),0)</f>
        <v>0</v>
      </c>
      <c r="E37" s="18">
        <f>IF(F3="1",SUMIF(Data!$A:$A,'42'!$A$2,Data!IP:IP),0)</f>
        <v>0</v>
      </c>
      <c r="F37" s="22" t="str">
        <f t="shared" si="3"/>
        <v/>
      </c>
    </row>
    <row r="38" spans="1:6" ht="14.25" customHeight="1" x14ac:dyDescent="0.2">
      <c r="A38" s="20">
        <v>3</v>
      </c>
      <c r="B38" s="179" t="s">
        <v>2</v>
      </c>
      <c r="C38" s="180"/>
      <c r="D38" s="15">
        <f>IF(F3="1",SUMIF(Data!A:A,'42'!$A$2,Data!CW:CW),0)</f>
        <v>0</v>
      </c>
      <c r="E38" s="18">
        <f>IF(F3="1",SUMIF(Data!$A:$A,'42'!$A$2,Data!IQ:IQ),0)</f>
        <v>0</v>
      </c>
      <c r="F38" s="22" t="str">
        <f t="shared" si="3"/>
        <v/>
      </c>
    </row>
    <row r="39" spans="1:6" ht="14.25" customHeight="1" x14ac:dyDescent="0.2">
      <c r="A39" s="20">
        <v>4</v>
      </c>
      <c r="B39" s="179" t="s">
        <v>3</v>
      </c>
      <c r="C39" s="180"/>
      <c r="D39" s="15">
        <f>IF(F3="1",SUMIF(Data!A:A,'42'!$A$2,Data!CX:CX),0)</f>
        <v>0</v>
      </c>
      <c r="E39" s="18">
        <f>IF(F3="1",SUMIF(Data!$A:$A,'42'!$A$2,Data!IR:IR),0)</f>
        <v>0</v>
      </c>
      <c r="F39" s="22" t="str">
        <f t="shared" si="3"/>
        <v/>
      </c>
    </row>
    <row r="40" spans="1:6" x14ac:dyDescent="0.2">
      <c r="A40" s="20">
        <v>5</v>
      </c>
      <c r="B40" s="179" t="s">
        <v>4</v>
      </c>
      <c r="C40" s="180"/>
      <c r="D40" s="15">
        <f>IF(F3="1",SUMIF(Data!A:A,'42'!$A$2,Data!CY:CY),0)</f>
        <v>0</v>
      </c>
      <c r="E40" s="18">
        <f>IF(F3="1",SUMIF(Data!$A:$A,'42'!$A$2,Data!IS:IS),0)</f>
        <v>0</v>
      </c>
      <c r="F40" s="22" t="str">
        <f t="shared" si="3"/>
        <v/>
      </c>
    </row>
    <row r="41" spans="1:6" x14ac:dyDescent="0.2">
      <c r="A41" s="20">
        <v>6</v>
      </c>
      <c r="B41" s="179" t="s">
        <v>5</v>
      </c>
      <c r="C41" s="180"/>
      <c r="D41" s="15">
        <f>IF(F3="1",SUMIF(Data!A:A,'42'!$A$2,Data!CZ:CZ),0)</f>
        <v>0</v>
      </c>
      <c r="E41" s="18">
        <f>IF(F3="1",SUMIF(Data!$A:$A,'42'!$A$2,Data!IT:IT),0)</f>
        <v>0</v>
      </c>
      <c r="F41" s="22" t="str">
        <f t="shared" si="3"/>
        <v/>
      </c>
    </row>
    <row r="42" spans="1:6" x14ac:dyDescent="0.2">
      <c r="A42" s="20">
        <v>7</v>
      </c>
      <c r="B42" s="179" t="s">
        <v>6</v>
      </c>
      <c r="C42" s="180"/>
      <c r="D42" s="15">
        <f>IF(F3="1",SUMIF(Data!A:A,'42'!$A$2,Data!DA:DA),0)</f>
        <v>0</v>
      </c>
      <c r="E42" s="18">
        <f>IF(F3="1",SUMIF(Data!$A:$A,'42'!$A$2,Data!IU:IU),0)</f>
        <v>0</v>
      </c>
      <c r="F42" s="22" t="str">
        <f t="shared" si="3"/>
        <v/>
      </c>
    </row>
    <row r="43" spans="1:6" x14ac:dyDescent="0.2">
      <c r="A43" s="20">
        <v>8</v>
      </c>
      <c r="B43" s="179" t="s">
        <v>7</v>
      </c>
      <c r="C43" s="180"/>
      <c r="D43" s="15">
        <f>IF(F3="1",SUMIF(Data!A:A,'42'!$A$2,Data!DB:DB),0)</f>
        <v>0</v>
      </c>
      <c r="E43" s="18">
        <f>IF(F3="1",SUMIF(Data!$A:$A,'42'!$A$2,Data!IV:IV),0)</f>
        <v>0</v>
      </c>
      <c r="F43" s="22" t="str">
        <f t="shared" si="3"/>
        <v/>
      </c>
    </row>
    <row r="44" spans="1:6" x14ac:dyDescent="0.2">
      <c r="A44" s="20">
        <v>9</v>
      </c>
      <c r="B44" s="179" t="s">
        <v>8</v>
      </c>
      <c r="C44" s="180"/>
      <c r="D44" s="15">
        <f>IF(F3="1",SUMIF(Data!A:A,'42'!$A$2,Data!DC:DC),0)</f>
        <v>0</v>
      </c>
      <c r="E44" s="18">
        <f>IF(F3="1",SUMIF(Data!$A:$A,'42'!$A$2,Data!IW:IW),0)</f>
        <v>0</v>
      </c>
      <c r="F44" s="22" t="str">
        <f t="shared" si="3"/>
        <v/>
      </c>
    </row>
    <row r="45" spans="1:6" x14ac:dyDescent="0.2">
      <c r="A45" s="20">
        <v>10</v>
      </c>
      <c r="B45" s="179" t="s">
        <v>9</v>
      </c>
      <c r="C45" s="180"/>
      <c r="D45" s="15">
        <f>IF(F3="1",SUMIF(Data!A:A,'42'!$A$2,Data!DD:DD),0)</f>
        <v>0</v>
      </c>
      <c r="E45" s="18">
        <f>IF(F3="1",SUMIF(Data!$A:$A,'42'!$A$2,Data!IX:IX),0)</f>
        <v>0</v>
      </c>
      <c r="F45" s="22" t="str">
        <f t="shared" si="3"/>
        <v/>
      </c>
    </row>
    <row r="46" spans="1:6" x14ac:dyDescent="0.2">
      <c r="A46" s="20">
        <v>11</v>
      </c>
      <c r="B46" s="179" t="s">
        <v>10</v>
      </c>
      <c r="C46" s="180"/>
      <c r="D46" s="15">
        <f>IF(F3="1",SUMIF(Data!A:A,'42'!$A$2,Data!DE:DE),0)</f>
        <v>0</v>
      </c>
      <c r="E46" s="18">
        <f>IF(F3="1",SUMIF(Data!$A:$A,'42'!$A$2,Data!IY:IY),0)</f>
        <v>0</v>
      </c>
      <c r="F46" s="22" t="str">
        <f t="shared" si="3"/>
        <v/>
      </c>
    </row>
    <row r="47" spans="1:6" ht="14.25" customHeight="1" x14ac:dyDescent="0.2">
      <c r="A47" s="20">
        <v>12</v>
      </c>
      <c r="B47" s="179" t="s">
        <v>11</v>
      </c>
      <c r="C47" s="180"/>
      <c r="D47" s="15">
        <f>IF(F3="1",SUMIF(Data!A:A,'42'!$A$2,Data!DF:DF),0)</f>
        <v>0</v>
      </c>
      <c r="E47" s="18">
        <f>IF(F3="1",SUMIF(Data!$A:$A,'42'!$A$2,Data!IZ:IZ),0)</f>
        <v>0</v>
      </c>
      <c r="F47" s="22" t="str">
        <f t="shared" si="3"/>
        <v/>
      </c>
    </row>
    <row r="48" spans="1:6" x14ac:dyDescent="0.2">
      <c r="A48" s="20">
        <v>13</v>
      </c>
      <c r="B48" s="179" t="s">
        <v>12</v>
      </c>
      <c r="C48" s="180"/>
      <c r="D48" s="15">
        <f>IF(F3="1",SUMIF(Data!A:A,'42'!$A$2,Data!DG:DG),0)</f>
        <v>0</v>
      </c>
      <c r="E48" s="18">
        <f>IF(F3="1",SUMIF(Data!$A:$A,'42'!$A$2,Data!JA:JA),0)</f>
        <v>0</v>
      </c>
      <c r="F48" s="22" t="str">
        <f t="shared" si="3"/>
        <v/>
      </c>
    </row>
    <row r="49" spans="1:6" ht="14.25" customHeight="1" x14ac:dyDescent="0.2">
      <c r="A49" s="20">
        <v>14</v>
      </c>
      <c r="B49" s="179" t="s">
        <v>804</v>
      </c>
      <c r="C49" s="180"/>
      <c r="D49" s="15">
        <f>IF(F3="1",SUMIF(Data!A:A,'42'!$A$2,Data!DH:DH),0)</f>
        <v>0</v>
      </c>
      <c r="E49" s="18">
        <f>IF(F3="1",SUMIF(Data!$A:$A,'42'!$A$2,Data!JB:JB),0)</f>
        <v>0</v>
      </c>
      <c r="F49" s="22" t="str">
        <f t="shared" si="3"/>
        <v/>
      </c>
    </row>
    <row r="50" spans="1:6" x14ac:dyDescent="0.2">
      <c r="A50" s="20">
        <v>15</v>
      </c>
      <c r="B50" s="179" t="s">
        <v>13</v>
      </c>
      <c r="C50" s="180"/>
      <c r="D50" s="15">
        <f>IF(F3="1",SUMIF(Data!A:A,'42'!$A$2,Data!DI:DI),0)</f>
        <v>0</v>
      </c>
      <c r="E50" s="18">
        <f>IF(F3="1",SUMIF(Data!$A:$A,'42'!$A$2,Data!JC:JC),0)</f>
        <v>0</v>
      </c>
      <c r="F50" s="22" t="str">
        <f t="shared" si="3"/>
        <v/>
      </c>
    </row>
    <row r="51" spans="1:6" x14ac:dyDescent="0.2">
      <c r="A51" s="20">
        <v>16</v>
      </c>
      <c r="B51" s="179" t="s">
        <v>14</v>
      </c>
      <c r="C51" s="180"/>
      <c r="D51" s="15">
        <f>IF(F3="1",SUMIF(Data!A:A,'42'!$A$2,Data!DJ:DJ),0)</f>
        <v>0</v>
      </c>
      <c r="E51" s="18">
        <f>IF(F3="1",SUMIF(Data!$A:$A,'42'!$A$2,Data!JD:JD),0)</f>
        <v>0</v>
      </c>
      <c r="F51" s="22" t="str">
        <f t="shared" si="3"/>
        <v/>
      </c>
    </row>
    <row r="52" spans="1:6" x14ac:dyDescent="0.2">
      <c r="A52" s="20">
        <v>17</v>
      </c>
      <c r="B52" s="179" t="s">
        <v>15</v>
      </c>
      <c r="C52" s="180"/>
      <c r="D52" s="15">
        <f>IF(F3="1",SUMIF(Data!A:A,'42'!$A$2,Data!DK:DK),0)</f>
        <v>0</v>
      </c>
      <c r="E52" s="18">
        <f>IF(F3="1",SUMIF(Data!$A:$A,'42'!$A$2,Data!JE:JE),0)</f>
        <v>0</v>
      </c>
      <c r="F52" s="22" t="str">
        <f t="shared" si="3"/>
        <v/>
      </c>
    </row>
    <row r="53" spans="1:6" x14ac:dyDescent="0.2">
      <c r="A53" s="20">
        <v>18</v>
      </c>
      <c r="B53" s="179" t="s">
        <v>16</v>
      </c>
      <c r="C53" s="180"/>
      <c r="D53" s="15">
        <f>IF(F3="1",SUMIF(Data!A:A,'42'!$A$2,Data!DL:DL),0)</f>
        <v>0</v>
      </c>
      <c r="E53" s="18">
        <f>IF(F3="1",SUMIF(Data!$A:$A,'42'!$A$2,Data!JF:JF),0)</f>
        <v>0</v>
      </c>
      <c r="F53" s="22" t="str">
        <f t="shared" si="3"/>
        <v/>
      </c>
    </row>
    <row r="54" spans="1:6" x14ac:dyDescent="0.2">
      <c r="A54" s="20">
        <v>19</v>
      </c>
      <c r="B54" s="179" t="s">
        <v>17</v>
      </c>
      <c r="C54" s="180"/>
      <c r="D54" s="15">
        <f>IF(F3="1",SUMIF(Data!A:A,'42'!$A$2,Data!DM:DM),0)</f>
        <v>0</v>
      </c>
      <c r="E54" s="18">
        <f>IF(F3="1",SUMIF(Data!$A:$A,'42'!$A$2,Data!JG:JG),0)</f>
        <v>0</v>
      </c>
      <c r="F54" s="22" t="str">
        <f t="shared" si="3"/>
        <v/>
      </c>
    </row>
    <row r="55" spans="1:6" x14ac:dyDescent="0.2">
      <c r="A55" s="20">
        <v>20</v>
      </c>
      <c r="B55" s="179" t="s">
        <v>18</v>
      </c>
      <c r="C55" s="180"/>
      <c r="D55" s="15">
        <f>IF(F3="1",SUMIF(Data!A:A,'42'!$A$2,Data!DN:DN),0)</f>
        <v>0</v>
      </c>
      <c r="E55" s="18">
        <f>IF(F3="1",SUMIF(Data!$A:$A,'42'!$A$2,Data!JH:JH),0)</f>
        <v>0</v>
      </c>
      <c r="F55" s="22" t="str">
        <f t="shared" si="3"/>
        <v/>
      </c>
    </row>
    <row r="56" spans="1:6" ht="14.25" customHeight="1" x14ac:dyDescent="0.2">
      <c r="A56" s="20">
        <v>21</v>
      </c>
      <c r="B56" s="179" t="s">
        <v>801</v>
      </c>
      <c r="C56" s="180"/>
      <c r="D56" s="15">
        <f>IF(F3="1",SUMIF(Data!A:A,'42'!$A$2,Data!DO:DO),0)</f>
        <v>0</v>
      </c>
      <c r="E56" s="18">
        <f>IF(F3="1",SUMIF(Data!$A:$A,'42'!$A$2,Data!JI:JI),0)</f>
        <v>0</v>
      </c>
      <c r="F56" s="22" t="str">
        <f t="shared" si="3"/>
        <v/>
      </c>
    </row>
    <row r="57" spans="1:6" x14ac:dyDescent="0.2">
      <c r="A57" s="20">
        <v>22</v>
      </c>
      <c r="B57" s="179" t="s">
        <v>19</v>
      </c>
      <c r="C57" s="180"/>
      <c r="D57" s="15">
        <f>IF(F3="1",SUMIF(Data!A:A,'42'!$A$2,Data!DP:DP),0)</f>
        <v>0</v>
      </c>
      <c r="E57" s="18">
        <f>IF(F3="1",SUMIF(Data!$A:$A,'42'!$A$2,Data!JJ:JJ),0)</f>
        <v>0</v>
      </c>
      <c r="F57" s="22" t="str">
        <f t="shared" si="3"/>
        <v/>
      </c>
    </row>
    <row r="58" spans="1:6" x14ac:dyDescent="0.2">
      <c r="A58" s="20">
        <v>23</v>
      </c>
      <c r="B58" s="179" t="s">
        <v>20</v>
      </c>
      <c r="C58" s="180"/>
      <c r="D58" s="15">
        <f>IF(F3="1",SUMIF(Data!A:A,'42'!$A$2,Data!DQ:DQ),0)</f>
        <v>0</v>
      </c>
      <c r="E58" s="18">
        <f>IF(F3="1",SUMIF(Data!$A:$A,'42'!$A$2,Data!JK:JK),0)</f>
        <v>0</v>
      </c>
      <c r="F58" s="22" t="str">
        <f t="shared" si="3"/>
        <v/>
      </c>
    </row>
    <row r="59" spans="1:6" x14ac:dyDescent="0.2">
      <c r="A59" s="20">
        <v>24</v>
      </c>
      <c r="B59" s="179" t="s">
        <v>21</v>
      </c>
      <c r="C59" s="180"/>
      <c r="D59" s="15">
        <f>IF(F3="1",SUMIF(Data!A:A,'42'!$A$2,Data!DR:DR),0)</f>
        <v>0</v>
      </c>
      <c r="E59" s="18">
        <f>IF(F3="1",SUMIF(Data!$A:$A,'42'!$A$2,Data!JL:JL),0)</f>
        <v>0</v>
      </c>
      <c r="F59" s="22" t="str">
        <f t="shared" si="3"/>
        <v/>
      </c>
    </row>
    <row r="60" spans="1:6" x14ac:dyDescent="0.2">
      <c r="A60" s="20">
        <v>25</v>
      </c>
      <c r="B60" s="179" t="s">
        <v>22</v>
      </c>
      <c r="C60" s="180"/>
      <c r="D60" s="15">
        <f>IF(F3="1",SUMIF(Data!A:A,'42'!$A$2,Data!DS:DS),0)</f>
        <v>0</v>
      </c>
      <c r="E60" s="18">
        <f>IF(F3="1",SUMIF(Data!$A:$A,'42'!$A$2,Data!JM:JM),0)</f>
        <v>0</v>
      </c>
      <c r="F60" s="22" t="str">
        <f t="shared" si="3"/>
        <v/>
      </c>
    </row>
    <row r="61" spans="1:6" x14ac:dyDescent="0.2">
      <c r="A61" s="20">
        <v>26</v>
      </c>
      <c r="B61" s="179" t="s">
        <v>23</v>
      </c>
      <c r="C61" s="180"/>
      <c r="D61" s="15">
        <f>IF(F3="1",SUMIF(Data!A:A,'42'!$A$2,Data!DT:DT),0)</f>
        <v>0</v>
      </c>
      <c r="E61" s="18">
        <f>IF(F3="1",SUMIF(Data!$A:$A,'42'!$A$2,Data!JN:JN),0)</f>
        <v>0</v>
      </c>
      <c r="F61" s="22" t="str">
        <f t="shared" si="3"/>
        <v/>
      </c>
    </row>
    <row r="62" spans="1:6" x14ac:dyDescent="0.2">
      <c r="A62" s="20">
        <v>28</v>
      </c>
      <c r="B62" s="179" t="s">
        <v>24</v>
      </c>
      <c r="C62" s="180"/>
      <c r="D62" s="15">
        <f>IF(F3="1",SUMIF(Data!A:A,'42'!$A$2,Data!DV:DV),0)</f>
        <v>0</v>
      </c>
      <c r="E62" s="18">
        <f>IF(F3="1",SUMIF(Data!$A:$A,'42'!$A$2,Data!JP:JP),0)</f>
        <v>0</v>
      </c>
      <c r="F62" s="22" t="str">
        <f t="shared" si="3"/>
        <v/>
      </c>
    </row>
    <row r="63" spans="1:6" ht="15.75" customHeight="1" thickBot="1" x14ac:dyDescent="0.25">
      <c r="A63" s="23">
        <v>29</v>
      </c>
      <c r="B63" s="181" t="s">
        <v>25</v>
      </c>
      <c r="C63" s="182"/>
      <c r="D63" s="24">
        <f>IF(F3="1",SUMIF(Data!A:A,'42'!$A$2,Data!DW:DW),0)</f>
        <v>0</v>
      </c>
      <c r="E63" s="25">
        <f>IF(F3="1",SUMIF(Data!$A:$A,'42'!$A$2,Data!JQ:JQ),0)</f>
        <v>0</v>
      </c>
      <c r="F63" s="26" t="str">
        <f t="shared" si="3"/>
        <v/>
      </c>
    </row>
    <row r="64" spans="1:6" x14ac:dyDescent="0.2">
      <c r="B64" s="31" t="s">
        <v>35</v>
      </c>
      <c r="C64" s="31"/>
      <c r="D64" s="61">
        <f>SUM(D36:D63)</f>
        <v>0</v>
      </c>
      <c r="E64" s="32">
        <f>SUM(E36:E63)</f>
        <v>0</v>
      </c>
      <c r="F64" s="33" t="str">
        <f t="shared" si="3"/>
        <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0</v>
      </c>
      <c r="E67" s="16">
        <f>IF(F3="1",SUMIF(Data!A:A,'42'!$A$2,Data!DY:DY),0)</f>
        <v>0</v>
      </c>
      <c r="F67" s="21" t="str">
        <f>IFERROR(E67/D67,"")</f>
        <v/>
      </c>
    </row>
    <row r="68" spans="1:6" x14ac:dyDescent="0.2">
      <c r="A68" s="20">
        <v>2</v>
      </c>
      <c r="B68" s="179" t="s">
        <v>1</v>
      </c>
      <c r="C68" s="180"/>
      <c r="D68" s="15">
        <f t="shared" ref="D68:D94" si="4">D37</f>
        <v>0</v>
      </c>
      <c r="E68" s="18">
        <f>IF(F3="1",SUMIF(Data!A:A,'42'!$A$2,Data!DZ:DZ),0)</f>
        <v>0</v>
      </c>
      <c r="F68" s="22" t="str">
        <f t="shared" ref="F68:F95" si="5">IFERROR(E68/D68,"")</f>
        <v/>
      </c>
    </row>
    <row r="69" spans="1:6" ht="14.25" customHeight="1" x14ac:dyDescent="0.2">
      <c r="A69" s="20">
        <v>3</v>
      </c>
      <c r="B69" s="179" t="s">
        <v>2</v>
      </c>
      <c r="C69" s="180"/>
      <c r="D69" s="15">
        <f t="shared" si="4"/>
        <v>0</v>
      </c>
      <c r="E69" s="18">
        <f>IF(F3="1",SUMIF(Data!A:A,'42'!$A$2,Data!EA:EA),0)</f>
        <v>0</v>
      </c>
      <c r="F69" s="22" t="str">
        <f t="shared" si="5"/>
        <v/>
      </c>
    </row>
    <row r="70" spans="1:6" ht="14.25" customHeight="1" x14ac:dyDescent="0.2">
      <c r="A70" s="20">
        <v>4</v>
      </c>
      <c r="B70" s="179" t="s">
        <v>3</v>
      </c>
      <c r="C70" s="180"/>
      <c r="D70" s="15">
        <f t="shared" si="4"/>
        <v>0</v>
      </c>
      <c r="E70" s="18">
        <f>IF(F3="1",SUMIF(Data!A:A,'42'!$A$2,Data!EB:EB),0)</f>
        <v>0</v>
      </c>
      <c r="F70" s="22" t="str">
        <f t="shared" si="5"/>
        <v/>
      </c>
    </row>
    <row r="71" spans="1:6" x14ac:dyDescent="0.2">
      <c r="A71" s="20">
        <v>5</v>
      </c>
      <c r="B71" s="179" t="s">
        <v>4</v>
      </c>
      <c r="C71" s="180"/>
      <c r="D71" s="15">
        <f t="shared" si="4"/>
        <v>0</v>
      </c>
      <c r="E71" s="18">
        <f>IF(F3="1",SUMIF(Data!A:A,'42'!$A$2,Data!EC:EC),0)</f>
        <v>0</v>
      </c>
      <c r="F71" s="22" t="str">
        <f t="shared" si="5"/>
        <v/>
      </c>
    </row>
    <row r="72" spans="1:6" x14ac:dyDescent="0.2">
      <c r="A72" s="20">
        <v>6</v>
      </c>
      <c r="B72" s="179" t="s">
        <v>5</v>
      </c>
      <c r="C72" s="180"/>
      <c r="D72" s="15">
        <f t="shared" si="4"/>
        <v>0</v>
      </c>
      <c r="E72" s="18">
        <f>IF(F3="1",SUMIF(Data!A:A,'42'!$A$2,Data!ED:ED),0)</f>
        <v>0</v>
      </c>
      <c r="F72" s="22" t="str">
        <f t="shared" si="5"/>
        <v/>
      </c>
    </row>
    <row r="73" spans="1:6" x14ac:dyDescent="0.2">
      <c r="A73" s="20">
        <v>7</v>
      </c>
      <c r="B73" s="179" t="s">
        <v>6</v>
      </c>
      <c r="C73" s="180"/>
      <c r="D73" s="15">
        <f t="shared" si="4"/>
        <v>0</v>
      </c>
      <c r="E73" s="18">
        <f>IF(F3="1",SUMIF(Data!A:A,'42'!$A$2,Data!EE:EE),0)</f>
        <v>0</v>
      </c>
      <c r="F73" s="22" t="str">
        <f t="shared" si="5"/>
        <v/>
      </c>
    </row>
    <row r="74" spans="1:6" x14ac:dyDescent="0.2">
      <c r="A74" s="20">
        <v>8</v>
      </c>
      <c r="B74" s="179" t="s">
        <v>7</v>
      </c>
      <c r="C74" s="180"/>
      <c r="D74" s="15">
        <f t="shared" si="4"/>
        <v>0</v>
      </c>
      <c r="E74" s="18">
        <f>IF(F3="1",SUMIF(Data!A:A,'42'!$A$2,Data!EF:EF),0)</f>
        <v>0</v>
      </c>
      <c r="F74" s="22" t="str">
        <f t="shared" si="5"/>
        <v/>
      </c>
    </row>
    <row r="75" spans="1:6" x14ac:dyDescent="0.2">
      <c r="A75" s="20">
        <v>9</v>
      </c>
      <c r="B75" s="179" t="s">
        <v>8</v>
      </c>
      <c r="C75" s="180"/>
      <c r="D75" s="15">
        <f t="shared" si="4"/>
        <v>0</v>
      </c>
      <c r="E75" s="18">
        <f>IF(F3="1",SUMIF(Data!A:A,'42'!$A$2,Data!EG:EG),0)</f>
        <v>0</v>
      </c>
      <c r="F75" s="22" t="str">
        <f t="shared" si="5"/>
        <v/>
      </c>
    </row>
    <row r="76" spans="1:6" x14ac:dyDescent="0.2">
      <c r="A76" s="20">
        <v>10</v>
      </c>
      <c r="B76" s="179" t="s">
        <v>9</v>
      </c>
      <c r="C76" s="180"/>
      <c r="D76" s="15">
        <f t="shared" si="4"/>
        <v>0</v>
      </c>
      <c r="E76" s="18">
        <f>IF(F3="1",SUMIF(Data!A:A,'42'!$A$2,Data!EH:EH),0)</f>
        <v>0</v>
      </c>
      <c r="F76" s="22" t="str">
        <f t="shared" si="5"/>
        <v/>
      </c>
    </row>
    <row r="77" spans="1:6" x14ac:dyDescent="0.2">
      <c r="A77" s="20">
        <v>11</v>
      </c>
      <c r="B77" s="179" t="s">
        <v>10</v>
      </c>
      <c r="C77" s="180"/>
      <c r="D77" s="15">
        <f t="shared" si="4"/>
        <v>0</v>
      </c>
      <c r="E77" s="18">
        <f>IF(F3="1",SUMIF(Data!A:A,'42'!$A$2,Data!EI:EI),0)</f>
        <v>0</v>
      </c>
      <c r="F77" s="22" t="str">
        <f t="shared" si="5"/>
        <v/>
      </c>
    </row>
    <row r="78" spans="1:6" ht="14.25" customHeight="1" x14ac:dyDescent="0.2">
      <c r="A78" s="20">
        <v>12</v>
      </c>
      <c r="B78" s="179" t="s">
        <v>11</v>
      </c>
      <c r="C78" s="180"/>
      <c r="D78" s="15">
        <f t="shared" si="4"/>
        <v>0</v>
      </c>
      <c r="E78" s="18">
        <f>IF(F3="1",SUMIF(Data!A:A,'42'!$A$2,Data!EJ:EJ),0)</f>
        <v>0</v>
      </c>
      <c r="F78" s="22" t="str">
        <f t="shared" si="5"/>
        <v/>
      </c>
    </row>
    <row r="79" spans="1:6" x14ac:dyDescent="0.2">
      <c r="A79" s="20">
        <v>13</v>
      </c>
      <c r="B79" s="179" t="s">
        <v>12</v>
      </c>
      <c r="C79" s="180"/>
      <c r="D79" s="15">
        <f t="shared" si="4"/>
        <v>0</v>
      </c>
      <c r="E79" s="18">
        <f>IF(F3="1",SUMIF(Data!A:A,'42'!$A$2,Data!EK:EK),0)</f>
        <v>0</v>
      </c>
      <c r="F79" s="22" t="str">
        <f t="shared" si="5"/>
        <v/>
      </c>
    </row>
    <row r="80" spans="1:6" ht="14.25" customHeight="1" x14ac:dyDescent="0.2">
      <c r="A80" s="20">
        <v>14</v>
      </c>
      <c r="B80" s="179" t="s">
        <v>804</v>
      </c>
      <c r="C80" s="180"/>
      <c r="D80" s="15">
        <f t="shared" si="4"/>
        <v>0</v>
      </c>
      <c r="E80" s="18">
        <f>IF(F3="1",SUMIF(Data!A:A,'42'!$A$2,Data!EL:EL),0)</f>
        <v>0</v>
      </c>
      <c r="F80" s="22" t="str">
        <f t="shared" si="5"/>
        <v/>
      </c>
    </row>
    <row r="81" spans="1:6" x14ac:dyDescent="0.2">
      <c r="A81" s="20">
        <v>15</v>
      </c>
      <c r="B81" s="179" t="s">
        <v>13</v>
      </c>
      <c r="C81" s="180"/>
      <c r="D81" s="15">
        <f t="shared" si="4"/>
        <v>0</v>
      </c>
      <c r="E81" s="18">
        <f>IF(F3="1",SUMIF(Data!A:A,'42'!$A$2,Data!EM:EM),0)</f>
        <v>0</v>
      </c>
      <c r="F81" s="22" t="str">
        <f t="shared" si="5"/>
        <v/>
      </c>
    </row>
    <row r="82" spans="1:6" x14ac:dyDescent="0.2">
      <c r="A82" s="20">
        <v>16</v>
      </c>
      <c r="B82" s="179" t="s">
        <v>14</v>
      </c>
      <c r="C82" s="180"/>
      <c r="D82" s="15">
        <f t="shared" si="4"/>
        <v>0</v>
      </c>
      <c r="E82" s="18">
        <f>IF(F3="1",SUMIF(Data!A:A,'42'!$A$2,Data!EN:EN),0)</f>
        <v>0</v>
      </c>
      <c r="F82" s="22" t="str">
        <f t="shared" si="5"/>
        <v/>
      </c>
    </row>
    <row r="83" spans="1:6" x14ac:dyDescent="0.2">
      <c r="A83" s="20">
        <v>17</v>
      </c>
      <c r="B83" s="179" t="s">
        <v>15</v>
      </c>
      <c r="C83" s="180"/>
      <c r="D83" s="15">
        <f t="shared" si="4"/>
        <v>0</v>
      </c>
      <c r="E83" s="18">
        <f>IF(F3="1",SUMIF(Data!A:A,'42'!$A$2,Data!EO:EO),0)</f>
        <v>0</v>
      </c>
      <c r="F83" s="22" t="str">
        <f t="shared" si="5"/>
        <v/>
      </c>
    </row>
    <row r="84" spans="1:6" x14ac:dyDescent="0.2">
      <c r="A84" s="20">
        <v>18</v>
      </c>
      <c r="B84" s="179" t="s">
        <v>16</v>
      </c>
      <c r="C84" s="180"/>
      <c r="D84" s="15">
        <f t="shared" si="4"/>
        <v>0</v>
      </c>
      <c r="E84" s="18">
        <f>IF(F3="1",SUMIF(Data!A:A,'42'!$A$2,Data!EP:EP),0)</f>
        <v>0</v>
      </c>
      <c r="F84" s="22" t="str">
        <f t="shared" si="5"/>
        <v/>
      </c>
    </row>
    <row r="85" spans="1:6" x14ac:dyDescent="0.2">
      <c r="A85" s="20">
        <v>19</v>
      </c>
      <c r="B85" s="179" t="s">
        <v>17</v>
      </c>
      <c r="C85" s="180"/>
      <c r="D85" s="15">
        <f t="shared" si="4"/>
        <v>0</v>
      </c>
      <c r="E85" s="18">
        <f>IF(F3="1",SUMIF(Data!A:A,'42'!$A$2,Data!EQ:EQ),0)</f>
        <v>0</v>
      </c>
      <c r="F85" s="22" t="str">
        <f t="shared" si="5"/>
        <v/>
      </c>
    </row>
    <row r="86" spans="1:6" x14ac:dyDescent="0.2">
      <c r="A86" s="20">
        <v>20</v>
      </c>
      <c r="B86" s="179" t="s">
        <v>18</v>
      </c>
      <c r="C86" s="180"/>
      <c r="D86" s="15">
        <f t="shared" si="4"/>
        <v>0</v>
      </c>
      <c r="E86" s="18">
        <f>IF(F3="1",SUMIF(Data!A:A,'42'!$A$2,Data!ER:ER),0)</f>
        <v>0</v>
      </c>
      <c r="F86" s="22" t="str">
        <f t="shared" si="5"/>
        <v/>
      </c>
    </row>
    <row r="87" spans="1:6" ht="14.25" customHeight="1" x14ac:dyDescent="0.2">
      <c r="A87" s="20">
        <v>21</v>
      </c>
      <c r="B87" s="179" t="s">
        <v>801</v>
      </c>
      <c r="C87" s="180"/>
      <c r="D87" s="15">
        <f t="shared" si="4"/>
        <v>0</v>
      </c>
      <c r="E87" s="18">
        <f>IF(F3="1",SUMIF(Data!A:A,'42'!$A$2,Data!ES:ES),0)</f>
        <v>0</v>
      </c>
      <c r="F87" s="22" t="str">
        <f t="shared" si="5"/>
        <v/>
      </c>
    </row>
    <row r="88" spans="1:6" x14ac:dyDescent="0.2">
      <c r="A88" s="20">
        <v>22</v>
      </c>
      <c r="B88" s="179" t="s">
        <v>19</v>
      </c>
      <c r="C88" s="180"/>
      <c r="D88" s="15">
        <f t="shared" si="4"/>
        <v>0</v>
      </c>
      <c r="E88" s="18">
        <f>IF(F3="1",SUMIF(Data!A:A,'42'!$A$2,Data!ET:ET),0)</f>
        <v>0</v>
      </c>
      <c r="F88" s="22" t="str">
        <f t="shared" si="5"/>
        <v/>
      </c>
    </row>
    <row r="89" spans="1:6" x14ac:dyDescent="0.2">
      <c r="A89" s="20">
        <v>23</v>
      </c>
      <c r="B89" s="179" t="s">
        <v>20</v>
      </c>
      <c r="C89" s="180"/>
      <c r="D89" s="15">
        <f t="shared" si="4"/>
        <v>0</v>
      </c>
      <c r="E89" s="18">
        <f>IF(F3="1",SUMIF(Data!A:A,'42'!$A$2,Data!EU:EU),0)</f>
        <v>0</v>
      </c>
      <c r="F89" s="22" t="str">
        <f t="shared" si="5"/>
        <v/>
      </c>
    </row>
    <row r="90" spans="1:6" x14ac:dyDescent="0.2">
      <c r="A90" s="20">
        <v>24</v>
      </c>
      <c r="B90" s="179" t="s">
        <v>21</v>
      </c>
      <c r="C90" s="180"/>
      <c r="D90" s="15">
        <f t="shared" si="4"/>
        <v>0</v>
      </c>
      <c r="E90" s="18">
        <f>IF(F3="1",SUMIF(Data!A:A,'42'!$A$2,Data!EV:EV),0)</f>
        <v>0</v>
      </c>
      <c r="F90" s="22" t="str">
        <f t="shared" si="5"/>
        <v/>
      </c>
    </row>
    <row r="91" spans="1:6" x14ac:dyDescent="0.2">
      <c r="A91" s="20">
        <v>25</v>
      </c>
      <c r="B91" s="179" t="s">
        <v>22</v>
      </c>
      <c r="C91" s="180"/>
      <c r="D91" s="15">
        <f t="shared" si="4"/>
        <v>0</v>
      </c>
      <c r="E91" s="18">
        <f>IF(F3="1",SUMIF(Data!A:A,'42'!$A$2,Data!EW:EW),0)</f>
        <v>0</v>
      </c>
      <c r="F91" s="22" t="str">
        <f t="shared" si="5"/>
        <v/>
      </c>
    </row>
    <row r="92" spans="1:6" x14ac:dyDescent="0.2">
      <c r="A92" s="20">
        <v>26</v>
      </c>
      <c r="B92" s="179" t="s">
        <v>23</v>
      </c>
      <c r="C92" s="180"/>
      <c r="D92" s="15">
        <f t="shared" si="4"/>
        <v>0</v>
      </c>
      <c r="E92" s="18">
        <f>IF(F3="1",SUMIF(Data!A:A,'42'!$A$2,Data!EX:EX),0)</f>
        <v>0</v>
      </c>
      <c r="F92" s="22" t="str">
        <f t="shared" si="5"/>
        <v/>
      </c>
    </row>
    <row r="93" spans="1:6" x14ac:dyDescent="0.2">
      <c r="A93" s="20">
        <v>28</v>
      </c>
      <c r="B93" s="179" t="s">
        <v>24</v>
      </c>
      <c r="C93" s="180"/>
      <c r="D93" s="15">
        <f t="shared" si="4"/>
        <v>0</v>
      </c>
      <c r="E93" s="18">
        <f>IF(F3="1",SUMIF(Data!A:A,'42'!$A$2,Data!EZ:EZ),0)</f>
        <v>0</v>
      </c>
      <c r="F93" s="22" t="str">
        <f t="shared" si="5"/>
        <v/>
      </c>
    </row>
    <row r="94" spans="1:6" ht="15.75" customHeight="1" thickBot="1" x14ac:dyDescent="0.25">
      <c r="A94" s="23">
        <v>29</v>
      </c>
      <c r="B94" s="181" t="s">
        <v>25</v>
      </c>
      <c r="C94" s="182"/>
      <c r="D94" s="24">
        <f t="shared" si="4"/>
        <v>0</v>
      </c>
      <c r="E94" s="25">
        <f>IF(F3="1",SUMIF(Data!A:A,'42'!$A$2,Data!FA:FA),0)</f>
        <v>0</v>
      </c>
      <c r="F94" s="26" t="str">
        <f t="shared" si="5"/>
        <v/>
      </c>
    </row>
    <row r="95" spans="1:6" x14ac:dyDescent="0.2">
      <c r="B95" s="31" t="s">
        <v>35</v>
      </c>
      <c r="C95" s="31"/>
      <c r="D95" s="61">
        <f>SUM(D67:D94)</f>
        <v>0</v>
      </c>
      <c r="E95" s="32">
        <f>SUM(E67:E94)</f>
        <v>0</v>
      </c>
      <c r="F95" s="33" t="str">
        <f t="shared" si="5"/>
        <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IF(F3="1",SUMIF(Data!A:A,'42'!$A$2,Data!AH:AH),0)</f>
        <v>0</v>
      </c>
      <c r="F98" s="21">
        <f t="shared" ref="F98:F105" si="6">IFERROR(E98/$D$95,0)</f>
        <v>0</v>
      </c>
    </row>
    <row r="99" spans="2:6" x14ac:dyDescent="0.2">
      <c r="B99" s="185" t="s">
        <v>31</v>
      </c>
      <c r="C99" s="186"/>
      <c r="D99" s="37"/>
      <c r="E99" s="18">
        <f>IF(F3="1",SUMIF(Data!A:A,'42'!$A$2,Data!AI:AI),0)</f>
        <v>0</v>
      </c>
      <c r="F99" s="22">
        <f t="shared" si="6"/>
        <v>0</v>
      </c>
    </row>
    <row r="100" spans="2:6" x14ac:dyDescent="0.2">
      <c r="B100" s="185" t="s">
        <v>32</v>
      </c>
      <c r="C100" s="186"/>
      <c r="D100" s="37"/>
      <c r="E100" s="18">
        <f>IF(F3="1",SUMIF(Data!A:A,'42'!$A$2,Data!AJ:AJ),0)</f>
        <v>0</v>
      </c>
      <c r="F100" s="22">
        <f t="shared" si="6"/>
        <v>0</v>
      </c>
    </row>
    <row r="101" spans="2:6" x14ac:dyDescent="0.2">
      <c r="B101" s="185" t="s">
        <v>28</v>
      </c>
      <c r="C101" s="186"/>
      <c r="D101" s="37"/>
      <c r="E101" s="18">
        <f>IF(F3="1",SUMIF(Data!A:A,'42'!$A$2,Data!AK:AK),0)</f>
        <v>0</v>
      </c>
      <c r="F101" s="22">
        <f t="shared" si="6"/>
        <v>0</v>
      </c>
    </row>
    <row r="102" spans="2:6" x14ac:dyDescent="0.2">
      <c r="B102" s="185" t="s">
        <v>33</v>
      </c>
      <c r="C102" s="186"/>
      <c r="D102" s="37"/>
      <c r="E102" s="18">
        <f>IF(F3="1",SUMIF(Data!A:A,'42'!$A$2,Data!AL:AL),0)</f>
        <v>0</v>
      </c>
      <c r="F102" s="22">
        <f t="shared" si="6"/>
        <v>0</v>
      </c>
    </row>
    <row r="103" spans="2:6" x14ac:dyDescent="0.2">
      <c r="B103" s="187" t="s">
        <v>34</v>
      </c>
      <c r="C103" s="188"/>
      <c r="D103" s="37"/>
      <c r="E103" s="18">
        <f>IF(F3="1",SUMIF(Data!A:A,'42'!$A$2,Data!AM:AM),0)</f>
        <v>0</v>
      </c>
      <c r="F103" s="22">
        <f t="shared" si="6"/>
        <v>0</v>
      </c>
    </row>
    <row r="104" spans="2:6" ht="15.75" customHeight="1" thickBot="1" x14ac:dyDescent="0.25">
      <c r="B104" s="177" t="s">
        <v>29</v>
      </c>
      <c r="C104" s="178"/>
      <c r="D104" s="38"/>
      <c r="E104" s="25">
        <f>IF(F3="1",SUMIF(Data!A:A,'42'!$A$2,Data!Q:Q),0)</f>
        <v>0</v>
      </c>
      <c r="F104" s="26">
        <f t="shared" si="6"/>
        <v>0</v>
      </c>
    </row>
    <row r="105" spans="2:6" x14ac:dyDescent="0.2">
      <c r="B105" s="31" t="s">
        <v>35</v>
      </c>
      <c r="C105" s="31"/>
      <c r="D105" s="35">
        <f>D95</f>
        <v>0</v>
      </c>
      <c r="E105" s="32">
        <f>SUM(E98:E104)</f>
        <v>0</v>
      </c>
      <c r="F105" s="33">
        <f t="shared" si="6"/>
        <v>0</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0</v>
      </c>
      <c r="D109" s="16">
        <f>IF(F3="1",SUMIF(Data!$A:$A,$A$2,Data!HJ:HJ),0)</f>
        <v>0</v>
      </c>
      <c r="E109" s="16">
        <f>IF(F3="1",SUMIF(Data!$A:$A,$A$2,Data!IN:IN),0)</f>
        <v>0</v>
      </c>
      <c r="F109" s="48">
        <f>SUM(C109:E109)</f>
        <v>0</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1363</v>
      </c>
      <c r="C114" s="51">
        <f>IF(F3="1",SUMIF(Data!A:A,$A$2,Data!T:T),0)</f>
        <v>0</v>
      </c>
      <c r="D114" s="52"/>
      <c r="E114" s="51">
        <f>IF(F3="1",SUMIF(Data!A:A,$A$2,Data!AA:AA),0)</f>
        <v>0</v>
      </c>
      <c r="F114" s="49">
        <f t="shared" si="7"/>
        <v>0</v>
      </c>
    </row>
    <row r="115" spans="1:6" x14ac:dyDescent="0.2">
      <c r="B115" s="43" t="s">
        <v>1278</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0</v>
      </c>
      <c r="E117" s="53"/>
      <c r="F117" s="50">
        <f>SUM(C117:E117)</f>
        <v>0</v>
      </c>
    </row>
    <row r="118" spans="1:6" x14ac:dyDescent="0.2">
      <c r="B118" s="14" t="s">
        <v>35</v>
      </c>
      <c r="C118" s="5">
        <f>SUM(C109:C116)</f>
        <v>0</v>
      </c>
      <c r="D118" s="5">
        <f>SUM(D109:D116)</f>
        <v>0</v>
      </c>
      <c r="E118" s="5">
        <f>SUM(E109:E116)</f>
        <v>0</v>
      </c>
      <c r="F118" s="5">
        <f>SUM(F109:F116)</f>
        <v>0</v>
      </c>
    </row>
    <row r="119" spans="1:6" ht="15" thickBot="1" x14ac:dyDescent="0.25"/>
    <row r="120" spans="1:6" ht="15" thickBot="1" x14ac:dyDescent="0.25">
      <c r="B120" s="57" t="s">
        <v>1283</v>
      </c>
      <c r="C120" s="55"/>
      <c r="D120" s="55"/>
      <c r="E120" s="55">
        <f>IF(F3="1",SUMIF(Data!A:A,'42'!$A$2,Data!AM:AM),0)</f>
        <v>0</v>
      </c>
      <c r="F120" s="56">
        <f>SUM(C120:E120)</f>
        <v>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140625" style="11"/>
    <col min="12" max="14" width="6"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588</v>
      </c>
      <c r="B2" s="60" t="str">
        <f>VLOOKUP(A2,Data!A:G,7,0)</f>
        <v>Texas Southmost College</v>
      </c>
      <c r="C2" s="60"/>
    </row>
    <row r="3" spans="1:6" ht="15" thickBot="1" x14ac:dyDescent="0.25">
      <c r="A3" s="4"/>
      <c r="F3" s="58">
        <f>IFERROR(VLOOKUP(A2,Data!A:C,3,0),"0")</f>
        <v>0</v>
      </c>
    </row>
    <row r="4" spans="1:6" ht="29.25" customHeight="1" x14ac:dyDescent="0.2">
      <c r="A4" s="27" t="s">
        <v>26</v>
      </c>
      <c r="B4" s="189" t="s">
        <v>805</v>
      </c>
      <c r="C4" s="190"/>
      <c r="D4" s="29" t="s">
        <v>27</v>
      </c>
      <c r="E4" s="29" t="s">
        <v>802</v>
      </c>
      <c r="F4" s="30" t="s">
        <v>803</v>
      </c>
    </row>
    <row r="5" spans="1:6" x14ac:dyDescent="0.2">
      <c r="A5" s="20">
        <v>1</v>
      </c>
      <c r="B5" s="179" t="s">
        <v>0</v>
      </c>
      <c r="C5" s="180"/>
      <c r="D5" s="15">
        <f>D36</f>
        <v>0</v>
      </c>
      <c r="E5" s="16">
        <f>E36+E67+IFERROR($E$105/$D$105*D5,0)</f>
        <v>0</v>
      </c>
      <c r="F5" s="21" t="str">
        <f>IFERROR(E5/D5,"")</f>
        <v/>
      </c>
    </row>
    <row r="6" spans="1:6" x14ac:dyDescent="0.2">
      <c r="A6" s="20">
        <v>2</v>
      </c>
      <c r="B6" s="179" t="s">
        <v>1</v>
      </c>
      <c r="C6" s="180"/>
      <c r="D6" s="15">
        <f t="shared" ref="D6:D32" si="0">D37</f>
        <v>0</v>
      </c>
      <c r="E6" s="18">
        <f t="shared" ref="E6:E32" si="1">E37+E68+IFERROR($E$105/$D$105*D6,0)</f>
        <v>0</v>
      </c>
      <c r="F6" s="22" t="str">
        <f t="shared" ref="F6:F33" si="2">IFERROR(E6/D6,"")</f>
        <v/>
      </c>
    </row>
    <row r="7" spans="1:6" ht="14.25" customHeight="1" x14ac:dyDescent="0.2">
      <c r="A7" s="20">
        <v>3</v>
      </c>
      <c r="B7" s="179" t="s">
        <v>2</v>
      </c>
      <c r="C7" s="180"/>
      <c r="D7" s="15">
        <f t="shared" si="0"/>
        <v>0</v>
      </c>
      <c r="E7" s="18">
        <f t="shared" si="1"/>
        <v>0</v>
      </c>
      <c r="F7" s="22" t="str">
        <f t="shared" si="2"/>
        <v/>
      </c>
    </row>
    <row r="8" spans="1:6" ht="14.25" customHeight="1" x14ac:dyDescent="0.2">
      <c r="A8" s="20">
        <v>4</v>
      </c>
      <c r="B8" s="179" t="s">
        <v>3</v>
      </c>
      <c r="C8" s="180"/>
      <c r="D8" s="15">
        <f t="shared" si="0"/>
        <v>0</v>
      </c>
      <c r="E8" s="18">
        <f t="shared" si="1"/>
        <v>0</v>
      </c>
      <c r="F8" s="22" t="str">
        <f t="shared" si="2"/>
        <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0</v>
      </c>
      <c r="E10" s="18">
        <f t="shared" si="1"/>
        <v>0</v>
      </c>
      <c r="F10" s="22" t="str">
        <f t="shared" si="2"/>
        <v/>
      </c>
    </row>
    <row r="11" spans="1:6" x14ac:dyDescent="0.2">
      <c r="A11" s="20">
        <v>7</v>
      </c>
      <c r="B11" s="179" t="s">
        <v>6</v>
      </c>
      <c r="C11" s="180"/>
      <c r="D11" s="15">
        <f t="shared" si="0"/>
        <v>0</v>
      </c>
      <c r="E11" s="18">
        <f t="shared" si="1"/>
        <v>0</v>
      </c>
      <c r="F11" s="22" t="str">
        <f t="shared" si="2"/>
        <v/>
      </c>
    </row>
    <row r="12" spans="1:6" x14ac:dyDescent="0.2">
      <c r="A12" s="20">
        <v>8</v>
      </c>
      <c r="B12" s="179" t="s">
        <v>7</v>
      </c>
      <c r="C12" s="180"/>
      <c r="D12" s="15">
        <f t="shared" si="0"/>
        <v>0</v>
      </c>
      <c r="E12" s="18">
        <f t="shared" si="1"/>
        <v>0</v>
      </c>
      <c r="F12" s="22" t="str">
        <f t="shared" si="2"/>
        <v/>
      </c>
    </row>
    <row r="13" spans="1:6" x14ac:dyDescent="0.2">
      <c r="A13" s="20">
        <v>9</v>
      </c>
      <c r="B13" s="179" t="s">
        <v>8</v>
      </c>
      <c r="C13" s="180"/>
      <c r="D13" s="15">
        <f t="shared" si="0"/>
        <v>0</v>
      </c>
      <c r="E13" s="18">
        <f t="shared" si="1"/>
        <v>0</v>
      </c>
      <c r="F13" s="22" t="str">
        <f t="shared" si="2"/>
        <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0</v>
      </c>
      <c r="E15" s="18">
        <f t="shared" si="1"/>
        <v>0</v>
      </c>
      <c r="F15" s="22" t="str">
        <f t="shared" si="2"/>
        <v/>
      </c>
    </row>
    <row r="16" spans="1:6" ht="14.25" customHeight="1" x14ac:dyDescent="0.2">
      <c r="A16" s="20">
        <v>12</v>
      </c>
      <c r="B16" s="179" t="s">
        <v>11</v>
      </c>
      <c r="C16" s="180"/>
      <c r="D16" s="15">
        <f t="shared" si="0"/>
        <v>0</v>
      </c>
      <c r="E16" s="18">
        <f t="shared" si="1"/>
        <v>0</v>
      </c>
      <c r="F16" s="22" t="str">
        <f t="shared" si="2"/>
        <v/>
      </c>
    </row>
    <row r="17" spans="1:6" x14ac:dyDescent="0.2">
      <c r="A17" s="20">
        <v>13</v>
      </c>
      <c r="B17" s="179" t="s">
        <v>12</v>
      </c>
      <c r="C17" s="180"/>
      <c r="D17" s="15">
        <f t="shared" si="0"/>
        <v>0</v>
      </c>
      <c r="E17" s="18">
        <f t="shared" si="1"/>
        <v>0</v>
      </c>
      <c r="F17" s="22" t="str">
        <f t="shared" si="2"/>
        <v/>
      </c>
    </row>
    <row r="18" spans="1:6" ht="14.25" customHeight="1" x14ac:dyDescent="0.2">
      <c r="A18" s="20">
        <v>14</v>
      </c>
      <c r="B18" s="179" t="s">
        <v>804</v>
      </c>
      <c r="C18" s="180"/>
      <c r="D18" s="15">
        <f t="shared" si="0"/>
        <v>0</v>
      </c>
      <c r="E18" s="18">
        <f t="shared" si="1"/>
        <v>0</v>
      </c>
      <c r="F18" s="22" t="str">
        <f t="shared" si="2"/>
        <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0</v>
      </c>
      <c r="E20" s="18">
        <f t="shared" si="1"/>
        <v>0</v>
      </c>
      <c r="F20" s="22" t="str">
        <f t="shared" si="2"/>
        <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0</v>
      </c>
      <c r="E22" s="18">
        <f t="shared" si="1"/>
        <v>0</v>
      </c>
      <c r="F22" s="22" t="str">
        <f t="shared" si="2"/>
        <v/>
      </c>
    </row>
    <row r="23" spans="1:6" x14ac:dyDescent="0.2">
      <c r="A23" s="20">
        <v>19</v>
      </c>
      <c r="B23" s="179" t="s">
        <v>17</v>
      </c>
      <c r="C23" s="180"/>
      <c r="D23" s="15">
        <f t="shared" si="0"/>
        <v>0</v>
      </c>
      <c r="E23" s="18">
        <f t="shared" si="1"/>
        <v>0</v>
      </c>
      <c r="F23" s="22" t="str">
        <f t="shared" si="2"/>
        <v/>
      </c>
    </row>
    <row r="24" spans="1:6" x14ac:dyDescent="0.2">
      <c r="A24" s="20">
        <v>20</v>
      </c>
      <c r="B24" s="179" t="s">
        <v>18</v>
      </c>
      <c r="C24" s="180"/>
      <c r="D24" s="15">
        <f t="shared" si="0"/>
        <v>0</v>
      </c>
      <c r="E24" s="18">
        <f t="shared" si="1"/>
        <v>0</v>
      </c>
      <c r="F24" s="22" t="str">
        <f t="shared" si="2"/>
        <v/>
      </c>
    </row>
    <row r="25" spans="1:6" ht="14.25" customHeight="1" x14ac:dyDescent="0.2">
      <c r="A25" s="20">
        <v>21</v>
      </c>
      <c r="B25" s="179" t="s">
        <v>801</v>
      </c>
      <c r="C25" s="180"/>
      <c r="D25" s="15">
        <f t="shared" si="0"/>
        <v>0</v>
      </c>
      <c r="E25" s="18">
        <f t="shared" si="1"/>
        <v>0</v>
      </c>
      <c r="F25" s="22" t="str">
        <f t="shared" si="2"/>
        <v/>
      </c>
    </row>
    <row r="26" spans="1:6" x14ac:dyDescent="0.2">
      <c r="A26" s="20">
        <v>22</v>
      </c>
      <c r="B26" s="179" t="s">
        <v>19</v>
      </c>
      <c r="C26" s="180"/>
      <c r="D26" s="15">
        <f t="shared" si="0"/>
        <v>0</v>
      </c>
      <c r="E26" s="18">
        <f t="shared" si="1"/>
        <v>0</v>
      </c>
      <c r="F26" s="22" t="str">
        <f t="shared" si="2"/>
        <v/>
      </c>
    </row>
    <row r="27" spans="1:6" x14ac:dyDescent="0.2">
      <c r="A27" s="20">
        <v>23</v>
      </c>
      <c r="B27" s="179" t="s">
        <v>20</v>
      </c>
      <c r="C27" s="180"/>
      <c r="D27" s="15">
        <f t="shared" si="0"/>
        <v>0</v>
      </c>
      <c r="E27" s="18">
        <f t="shared" si="1"/>
        <v>0</v>
      </c>
      <c r="F27" s="22" t="str">
        <f t="shared" si="2"/>
        <v/>
      </c>
    </row>
    <row r="28" spans="1:6" x14ac:dyDescent="0.2">
      <c r="A28" s="20">
        <v>24</v>
      </c>
      <c r="B28" s="179" t="s">
        <v>21</v>
      </c>
      <c r="C28" s="180"/>
      <c r="D28" s="15">
        <f t="shared" si="0"/>
        <v>0</v>
      </c>
      <c r="E28" s="18">
        <f t="shared" si="1"/>
        <v>0</v>
      </c>
      <c r="F28" s="22" t="str">
        <f t="shared" si="2"/>
        <v/>
      </c>
    </row>
    <row r="29" spans="1:6" x14ac:dyDescent="0.2">
      <c r="A29" s="20">
        <v>25</v>
      </c>
      <c r="B29" s="179" t="s">
        <v>22</v>
      </c>
      <c r="C29" s="180"/>
      <c r="D29" s="15">
        <f t="shared" si="0"/>
        <v>0</v>
      </c>
      <c r="E29" s="18">
        <f t="shared" si="1"/>
        <v>0</v>
      </c>
      <c r="F29" s="22" t="str">
        <f t="shared" si="2"/>
        <v/>
      </c>
    </row>
    <row r="30" spans="1:6" x14ac:dyDescent="0.2">
      <c r="A30" s="20">
        <v>26</v>
      </c>
      <c r="B30" s="179" t="s">
        <v>23</v>
      </c>
      <c r="C30" s="180"/>
      <c r="D30" s="15">
        <f t="shared" si="0"/>
        <v>0</v>
      </c>
      <c r="E30" s="18">
        <f t="shared" si="1"/>
        <v>0</v>
      </c>
      <c r="F30" s="22" t="str">
        <f t="shared" si="2"/>
        <v/>
      </c>
    </row>
    <row r="31" spans="1:6" x14ac:dyDescent="0.2">
      <c r="A31" s="20">
        <v>28</v>
      </c>
      <c r="B31" s="179" t="s">
        <v>24</v>
      </c>
      <c r="C31" s="180"/>
      <c r="D31" s="15">
        <f t="shared" si="0"/>
        <v>0</v>
      </c>
      <c r="E31" s="18">
        <f t="shared" si="1"/>
        <v>0</v>
      </c>
      <c r="F31" s="22" t="str">
        <f t="shared" si="2"/>
        <v/>
      </c>
    </row>
    <row r="32" spans="1:6" ht="15.75" customHeight="1" thickBot="1" x14ac:dyDescent="0.25">
      <c r="A32" s="23">
        <v>29</v>
      </c>
      <c r="B32" s="181" t="s">
        <v>25</v>
      </c>
      <c r="C32" s="182"/>
      <c r="D32" s="24">
        <f t="shared" si="0"/>
        <v>0</v>
      </c>
      <c r="E32" s="25">
        <f t="shared" si="1"/>
        <v>0</v>
      </c>
      <c r="F32" s="26" t="str">
        <f t="shared" si="2"/>
        <v/>
      </c>
    </row>
    <row r="33" spans="1:6" x14ac:dyDescent="0.2">
      <c r="B33" s="31" t="s">
        <v>35</v>
      </c>
      <c r="C33" s="31"/>
      <c r="D33" s="61">
        <f>SUM(D5:D32)</f>
        <v>0</v>
      </c>
      <c r="E33" s="32">
        <f>SUM(E5:E32)</f>
        <v>0</v>
      </c>
      <c r="F33" s="33" t="str">
        <f t="shared" si="2"/>
        <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IF(F3="1",SUMIF(Data!A:A,'43'!$A$2,Data!CU:CU),0)</f>
        <v>0</v>
      </c>
      <c r="E36" s="16">
        <f>IF(F3="1",SUMIF(Data!$A:$A,'43'!$A$2,Data!IO:IO),0)</f>
        <v>0</v>
      </c>
      <c r="F36" s="21" t="str">
        <f t="shared" ref="F36:F64" si="3">IFERROR(E36/D36,"")</f>
        <v/>
      </c>
    </row>
    <row r="37" spans="1:6" x14ac:dyDescent="0.2">
      <c r="A37" s="20">
        <v>2</v>
      </c>
      <c r="B37" s="179" t="s">
        <v>1</v>
      </c>
      <c r="C37" s="180"/>
      <c r="D37" s="15">
        <f>IF(F3="1",SUMIF(Data!A:A,'43'!$A$2,Data!CV:CV),0)</f>
        <v>0</v>
      </c>
      <c r="E37" s="18">
        <f>IF(F3="1",SUMIF(Data!$A:$A,'43'!$A$2,Data!IP:IP),0)</f>
        <v>0</v>
      </c>
      <c r="F37" s="22" t="str">
        <f t="shared" si="3"/>
        <v/>
      </c>
    </row>
    <row r="38" spans="1:6" ht="14.25" customHeight="1" x14ac:dyDescent="0.2">
      <c r="A38" s="20">
        <v>3</v>
      </c>
      <c r="B38" s="179" t="s">
        <v>2</v>
      </c>
      <c r="C38" s="180"/>
      <c r="D38" s="15">
        <f>IF(F3="1",SUMIF(Data!A:A,'43'!$A$2,Data!CW:CW),0)</f>
        <v>0</v>
      </c>
      <c r="E38" s="18">
        <f>IF(F3="1",SUMIF(Data!$A:$A,'43'!$A$2,Data!IQ:IQ),0)</f>
        <v>0</v>
      </c>
      <c r="F38" s="22" t="str">
        <f t="shared" si="3"/>
        <v/>
      </c>
    </row>
    <row r="39" spans="1:6" ht="14.25" customHeight="1" x14ac:dyDescent="0.2">
      <c r="A39" s="20">
        <v>4</v>
      </c>
      <c r="B39" s="179" t="s">
        <v>3</v>
      </c>
      <c r="C39" s="180"/>
      <c r="D39" s="15">
        <f>IF(F3="1",SUMIF(Data!A:A,'43'!$A$2,Data!CX:CX),0)</f>
        <v>0</v>
      </c>
      <c r="E39" s="18">
        <f>IF(F3="1",SUMIF(Data!$A:$A,'43'!$A$2,Data!IR:IR),0)</f>
        <v>0</v>
      </c>
      <c r="F39" s="22" t="str">
        <f t="shared" si="3"/>
        <v/>
      </c>
    </row>
    <row r="40" spans="1:6" x14ac:dyDescent="0.2">
      <c r="A40" s="20">
        <v>5</v>
      </c>
      <c r="B40" s="179" t="s">
        <v>4</v>
      </c>
      <c r="C40" s="180"/>
      <c r="D40" s="15">
        <f>IF(F3="1",SUMIF(Data!A:A,'43'!$A$2,Data!CY:CY),0)</f>
        <v>0</v>
      </c>
      <c r="E40" s="18">
        <f>IF(F3="1",SUMIF(Data!$A:$A,'43'!$A$2,Data!IS:IS),0)</f>
        <v>0</v>
      </c>
      <c r="F40" s="22" t="str">
        <f t="shared" si="3"/>
        <v/>
      </c>
    </row>
    <row r="41" spans="1:6" x14ac:dyDescent="0.2">
      <c r="A41" s="20">
        <v>6</v>
      </c>
      <c r="B41" s="179" t="s">
        <v>5</v>
      </c>
      <c r="C41" s="180"/>
      <c r="D41" s="15">
        <f>IF(F3="1",SUMIF(Data!A:A,'43'!$A$2,Data!CZ:CZ),0)</f>
        <v>0</v>
      </c>
      <c r="E41" s="18">
        <f>IF(F3="1",SUMIF(Data!$A:$A,'43'!$A$2,Data!IT:IT),0)</f>
        <v>0</v>
      </c>
      <c r="F41" s="22" t="str">
        <f t="shared" si="3"/>
        <v/>
      </c>
    </row>
    <row r="42" spans="1:6" x14ac:dyDescent="0.2">
      <c r="A42" s="20">
        <v>7</v>
      </c>
      <c r="B42" s="179" t="s">
        <v>6</v>
      </c>
      <c r="C42" s="180"/>
      <c r="D42" s="15">
        <f>IF(F3="1",SUMIF(Data!A:A,'43'!$A$2,Data!DA:DA),0)</f>
        <v>0</v>
      </c>
      <c r="E42" s="18">
        <f>IF(F3="1",SUMIF(Data!$A:$A,'43'!$A$2,Data!IU:IU),0)</f>
        <v>0</v>
      </c>
      <c r="F42" s="22" t="str">
        <f t="shared" si="3"/>
        <v/>
      </c>
    </row>
    <row r="43" spans="1:6" x14ac:dyDescent="0.2">
      <c r="A43" s="20">
        <v>8</v>
      </c>
      <c r="B43" s="179" t="s">
        <v>7</v>
      </c>
      <c r="C43" s="180"/>
      <c r="D43" s="15">
        <f>IF(F3="1",SUMIF(Data!A:A,'43'!$A$2,Data!DB:DB),0)</f>
        <v>0</v>
      </c>
      <c r="E43" s="18">
        <f>IF(F3="1",SUMIF(Data!$A:$A,'43'!$A$2,Data!IV:IV),0)</f>
        <v>0</v>
      </c>
      <c r="F43" s="22" t="str">
        <f t="shared" si="3"/>
        <v/>
      </c>
    </row>
    <row r="44" spans="1:6" x14ac:dyDescent="0.2">
      <c r="A44" s="20">
        <v>9</v>
      </c>
      <c r="B44" s="179" t="s">
        <v>8</v>
      </c>
      <c r="C44" s="180"/>
      <c r="D44" s="15">
        <f>IF(F3="1",SUMIF(Data!A:A,'43'!$A$2,Data!DC:DC),0)</f>
        <v>0</v>
      </c>
      <c r="E44" s="18">
        <f>IF(F3="1",SUMIF(Data!$A:$A,'43'!$A$2,Data!IW:IW),0)</f>
        <v>0</v>
      </c>
      <c r="F44" s="22" t="str">
        <f t="shared" si="3"/>
        <v/>
      </c>
    </row>
    <row r="45" spans="1:6" x14ac:dyDescent="0.2">
      <c r="A45" s="20">
        <v>10</v>
      </c>
      <c r="B45" s="179" t="s">
        <v>9</v>
      </c>
      <c r="C45" s="180"/>
      <c r="D45" s="15">
        <f>IF(F3="1",SUMIF(Data!A:A,'43'!$A$2,Data!DD:DD),0)</f>
        <v>0</v>
      </c>
      <c r="E45" s="18">
        <f>IF(F3="1",SUMIF(Data!$A:$A,'43'!$A$2,Data!IX:IX),0)</f>
        <v>0</v>
      </c>
      <c r="F45" s="22" t="str">
        <f t="shared" si="3"/>
        <v/>
      </c>
    </row>
    <row r="46" spans="1:6" x14ac:dyDescent="0.2">
      <c r="A46" s="20">
        <v>11</v>
      </c>
      <c r="B46" s="179" t="s">
        <v>10</v>
      </c>
      <c r="C46" s="180"/>
      <c r="D46" s="15">
        <f>IF(F3="1",SUMIF(Data!A:A,'43'!$A$2,Data!DE:DE),0)</f>
        <v>0</v>
      </c>
      <c r="E46" s="18">
        <f>IF(F3="1",SUMIF(Data!$A:$A,'43'!$A$2,Data!IY:IY),0)</f>
        <v>0</v>
      </c>
      <c r="F46" s="22" t="str">
        <f t="shared" si="3"/>
        <v/>
      </c>
    </row>
    <row r="47" spans="1:6" ht="14.25" customHeight="1" x14ac:dyDescent="0.2">
      <c r="A47" s="20">
        <v>12</v>
      </c>
      <c r="B47" s="179" t="s">
        <v>11</v>
      </c>
      <c r="C47" s="180"/>
      <c r="D47" s="15">
        <f>IF(F3="1",SUMIF(Data!A:A,'43'!$A$2,Data!DF:DF),0)</f>
        <v>0</v>
      </c>
      <c r="E47" s="18">
        <f>IF(F3="1",SUMIF(Data!$A:$A,'43'!$A$2,Data!IZ:IZ),0)</f>
        <v>0</v>
      </c>
      <c r="F47" s="22" t="str">
        <f t="shared" si="3"/>
        <v/>
      </c>
    </row>
    <row r="48" spans="1:6" x14ac:dyDescent="0.2">
      <c r="A48" s="20">
        <v>13</v>
      </c>
      <c r="B48" s="179" t="s">
        <v>12</v>
      </c>
      <c r="C48" s="180"/>
      <c r="D48" s="15">
        <f>IF(F3="1",SUMIF(Data!A:A,'43'!$A$2,Data!DG:DG),0)</f>
        <v>0</v>
      </c>
      <c r="E48" s="18">
        <f>IF(F3="1",SUMIF(Data!$A:$A,'43'!$A$2,Data!JA:JA),0)</f>
        <v>0</v>
      </c>
      <c r="F48" s="22" t="str">
        <f t="shared" si="3"/>
        <v/>
      </c>
    </row>
    <row r="49" spans="1:6" ht="14.25" customHeight="1" x14ac:dyDescent="0.2">
      <c r="A49" s="20">
        <v>14</v>
      </c>
      <c r="B49" s="179" t="s">
        <v>804</v>
      </c>
      <c r="C49" s="180"/>
      <c r="D49" s="15">
        <f>IF(F3="1",SUMIF(Data!A:A,'43'!$A$2,Data!DH:DH),0)</f>
        <v>0</v>
      </c>
      <c r="E49" s="18">
        <f>IF(F3="1",SUMIF(Data!$A:$A,'43'!$A$2,Data!JB:JB),0)</f>
        <v>0</v>
      </c>
      <c r="F49" s="22" t="str">
        <f t="shared" si="3"/>
        <v/>
      </c>
    </row>
    <row r="50" spans="1:6" x14ac:dyDescent="0.2">
      <c r="A50" s="20">
        <v>15</v>
      </c>
      <c r="B50" s="179" t="s">
        <v>13</v>
      </c>
      <c r="C50" s="180"/>
      <c r="D50" s="15">
        <f>IF(F3="1",SUMIF(Data!A:A,'43'!$A$2,Data!DI:DI),0)</f>
        <v>0</v>
      </c>
      <c r="E50" s="18">
        <f>IF(F3="1",SUMIF(Data!$A:$A,'43'!$A$2,Data!JC:JC),0)</f>
        <v>0</v>
      </c>
      <c r="F50" s="22" t="str">
        <f t="shared" si="3"/>
        <v/>
      </c>
    </row>
    <row r="51" spans="1:6" x14ac:dyDescent="0.2">
      <c r="A51" s="20">
        <v>16</v>
      </c>
      <c r="B51" s="179" t="s">
        <v>14</v>
      </c>
      <c r="C51" s="180"/>
      <c r="D51" s="15">
        <f>IF(F3="1",SUMIF(Data!A:A,'43'!$A$2,Data!DJ:DJ),0)</f>
        <v>0</v>
      </c>
      <c r="E51" s="18">
        <f>IF(F3="1",SUMIF(Data!$A:$A,'43'!$A$2,Data!JD:JD),0)</f>
        <v>0</v>
      </c>
      <c r="F51" s="22" t="str">
        <f t="shared" si="3"/>
        <v/>
      </c>
    </row>
    <row r="52" spans="1:6" x14ac:dyDescent="0.2">
      <c r="A52" s="20">
        <v>17</v>
      </c>
      <c r="B52" s="179" t="s">
        <v>15</v>
      </c>
      <c r="C52" s="180"/>
      <c r="D52" s="15">
        <f>IF(F3="1",SUMIF(Data!A:A,'43'!$A$2,Data!DK:DK),0)</f>
        <v>0</v>
      </c>
      <c r="E52" s="18">
        <f>IF(F3="1",SUMIF(Data!$A:$A,'43'!$A$2,Data!JE:JE),0)</f>
        <v>0</v>
      </c>
      <c r="F52" s="22" t="str">
        <f t="shared" si="3"/>
        <v/>
      </c>
    </row>
    <row r="53" spans="1:6" x14ac:dyDescent="0.2">
      <c r="A53" s="20">
        <v>18</v>
      </c>
      <c r="B53" s="179" t="s">
        <v>16</v>
      </c>
      <c r="C53" s="180"/>
      <c r="D53" s="15">
        <f>IF(F3="1",SUMIF(Data!A:A,'43'!$A$2,Data!DL:DL),0)</f>
        <v>0</v>
      </c>
      <c r="E53" s="18">
        <f>IF(F3="1",SUMIF(Data!$A:$A,'43'!$A$2,Data!JF:JF),0)</f>
        <v>0</v>
      </c>
      <c r="F53" s="22" t="str">
        <f t="shared" si="3"/>
        <v/>
      </c>
    </row>
    <row r="54" spans="1:6" x14ac:dyDescent="0.2">
      <c r="A54" s="20">
        <v>19</v>
      </c>
      <c r="B54" s="179" t="s">
        <v>17</v>
      </c>
      <c r="C54" s="180"/>
      <c r="D54" s="15">
        <f>IF(F3="1",SUMIF(Data!A:A,'43'!$A$2,Data!DM:DM),0)</f>
        <v>0</v>
      </c>
      <c r="E54" s="18">
        <f>IF(F3="1",SUMIF(Data!$A:$A,'43'!$A$2,Data!JG:JG),0)</f>
        <v>0</v>
      </c>
      <c r="F54" s="22" t="str">
        <f t="shared" si="3"/>
        <v/>
      </c>
    </row>
    <row r="55" spans="1:6" x14ac:dyDescent="0.2">
      <c r="A55" s="20">
        <v>20</v>
      </c>
      <c r="B55" s="179" t="s">
        <v>18</v>
      </c>
      <c r="C55" s="180"/>
      <c r="D55" s="15">
        <f>IF(F3="1",SUMIF(Data!A:A,'43'!$A$2,Data!DN:DN),0)</f>
        <v>0</v>
      </c>
      <c r="E55" s="18">
        <f>IF(F3="1",SUMIF(Data!$A:$A,'43'!$A$2,Data!JH:JH),0)</f>
        <v>0</v>
      </c>
      <c r="F55" s="22" t="str">
        <f t="shared" si="3"/>
        <v/>
      </c>
    </row>
    <row r="56" spans="1:6" ht="14.25" customHeight="1" x14ac:dyDescent="0.2">
      <c r="A56" s="20">
        <v>21</v>
      </c>
      <c r="B56" s="179" t="s">
        <v>801</v>
      </c>
      <c r="C56" s="180"/>
      <c r="D56" s="15">
        <f>IF(F3="1",SUMIF(Data!A:A,'43'!$A$2,Data!DO:DO),0)</f>
        <v>0</v>
      </c>
      <c r="E56" s="18">
        <f>IF(F3="1",SUMIF(Data!$A:$A,'43'!$A$2,Data!JI:JI),0)</f>
        <v>0</v>
      </c>
      <c r="F56" s="22" t="str">
        <f t="shared" si="3"/>
        <v/>
      </c>
    </row>
    <row r="57" spans="1:6" x14ac:dyDescent="0.2">
      <c r="A57" s="20">
        <v>22</v>
      </c>
      <c r="B57" s="179" t="s">
        <v>19</v>
      </c>
      <c r="C57" s="180"/>
      <c r="D57" s="15">
        <f>IF(F3="1",SUMIF(Data!A:A,'43'!$A$2,Data!DP:DP),0)</f>
        <v>0</v>
      </c>
      <c r="E57" s="18">
        <f>IF(F3="1",SUMIF(Data!$A:$A,'43'!$A$2,Data!JJ:JJ),0)</f>
        <v>0</v>
      </c>
      <c r="F57" s="22" t="str">
        <f t="shared" si="3"/>
        <v/>
      </c>
    </row>
    <row r="58" spans="1:6" x14ac:dyDescent="0.2">
      <c r="A58" s="20">
        <v>23</v>
      </c>
      <c r="B58" s="179" t="s">
        <v>20</v>
      </c>
      <c r="C58" s="180"/>
      <c r="D58" s="15">
        <f>IF(F3="1",SUMIF(Data!A:A,'43'!$A$2,Data!DQ:DQ),0)</f>
        <v>0</v>
      </c>
      <c r="E58" s="18">
        <f>IF(F3="1",SUMIF(Data!$A:$A,'43'!$A$2,Data!JK:JK),0)</f>
        <v>0</v>
      </c>
      <c r="F58" s="22" t="str">
        <f t="shared" si="3"/>
        <v/>
      </c>
    </row>
    <row r="59" spans="1:6" x14ac:dyDescent="0.2">
      <c r="A59" s="20">
        <v>24</v>
      </c>
      <c r="B59" s="179" t="s">
        <v>21</v>
      </c>
      <c r="C59" s="180"/>
      <c r="D59" s="15">
        <f>IF(F3="1",SUMIF(Data!A:A,'43'!$A$2,Data!DR:DR),0)</f>
        <v>0</v>
      </c>
      <c r="E59" s="18">
        <f>IF(F3="1",SUMIF(Data!$A:$A,'43'!$A$2,Data!JL:JL),0)</f>
        <v>0</v>
      </c>
      <c r="F59" s="22" t="str">
        <f t="shared" si="3"/>
        <v/>
      </c>
    </row>
    <row r="60" spans="1:6" x14ac:dyDescent="0.2">
      <c r="A60" s="20">
        <v>25</v>
      </c>
      <c r="B60" s="179" t="s">
        <v>22</v>
      </c>
      <c r="C60" s="180"/>
      <c r="D60" s="15">
        <f>IF(F3="1",SUMIF(Data!A:A,'43'!$A$2,Data!DS:DS),0)</f>
        <v>0</v>
      </c>
      <c r="E60" s="18">
        <f>IF(F3="1",SUMIF(Data!$A:$A,'43'!$A$2,Data!JM:JM),0)</f>
        <v>0</v>
      </c>
      <c r="F60" s="22" t="str">
        <f t="shared" si="3"/>
        <v/>
      </c>
    </row>
    <row r="61" spans="1:6" x14ac:dyDescent="0.2">
      <c r="A61" s="20">
        <v>26</v>
      </c>
      <c r="B61" s="179" t="s">
        <v>23</v>
      </c>
      <c r="C61" s="180"/>
      <c r="D61" s="15">
        <f>IF(F3="1",SUMIF(Data!A:A,'43'!$A$2,Data!DT:DT),0)</f>
        <v>0</v>
      </c>
      <c r="E61" s="18">
        <f>IF(F3="1",SUMIF(Data!$A:$A,'43'!$A$2,Data!JN:JN),0)</f>
        <v>0</v>
      </c>
      <c r="F61" s="22" t="str">
        <f t="shared" si="3"/>
        <v/>
      </c>
    </row>
    <row r="62" spans="1:6" x14ac:dyDescent="0.2">
      <c r="A62" s="20">
        <v>28</v>
      </c>
      <c r="B62" s="179" t="s">
        <v>24</v>
      </c>
      <c r="C62" s="180"/>
      <c r="D62" s="15">
        <f>IF(F3="1",SUMIF(Data!A:A,'43'!$A$2,Data!DV:DV),0)</f>
        <v>0</v>
      </c>
      <c r="E62" s="18">
        <f>IF(F3="1",SUMIF(Data!$A:$A,'43'!$A$2,Data!JP:JP),0)</f>
        <v>0</v>
      </c>
      <c r="F62" s="22" t="str">
        <f t="shared" si="3"/>
        <v/>
      </c>
    </row>
    <row r="63" spans="1:6" ht="15.75" customHeight="1" thickBot="1" x14ac:dyDescent="0.25">
      <c r="A63" s="23">
        <v>29</v>
      </c>
      <c r="B63" s="181" t="s">
        <v>25</v>
      </c>
      <c r="C63" s="182"/>
      <c r="D63" s="24">
        <f>IF(F3="1",SUMIF(Data!A:A,'43'!$A$2,Data!DW:DW),0)</f>
        <v>0</v>
      </c>
      <c r="E63" s="25">
        <f>IF(F3="1",SUMIF(Data!$A:$A,'43'!$A$2,Data!JQ:JQ),0)</f>
        <v>0</v>
      </c>
      <c r="F63" s="26" t="str">
        <f t="shared" si="3"/>
        <v/>
      </c>
    </row>
    <row r="64" spans="1:6" x14ac:dyDescent="0.2">
      <c r="B64" s="31" t="s">
        <v>35</v>
      </c>
      <c r="C64" s="31"/>
      <c r="D64" s="61">
        <f>SUM(D36:D63)</f>
        <v>0</v>
      </c>
      <c r="E64" s="32">
        <f>SUM(E36:E63)</f>
        <v>0</v>
      </c>
      <c r="F64" s="33" t="str">
        <f t="shared" si="3"/>
        <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0</v>
      </c>
      <c r="E67" s="16">
        <f>IF(F3="1",SUMIF(Data!A:A,'43'!$A$2,Data!DY:DY),0)</f>
        <v>0</v>
      </c>
      <c r="F67" s="21" t="str">
        <f>IFERROR(E67/D67,"")</f>
        <v/>
      </c>
    </row>
    <row r="68" spans="1:6" x14ac:dyDescent="0.2">
      <c r="A68" s="20">
        <v>2</v>
      </c>
      <c r="B68" s="179" t="s">
        <v>1</v>
      </c>
      <c r="C68" s="180"/>
      <c r="D68" s="15">
        <f t="shared" ref="D68:D94" si="4">D37</f>
        <v>0</v>
      </c>
      <c r="E68" s="18">
        <f>IF(F3="1",SUMIF(Data!A:A,'43'!$A$2,Data!DZ:DZ),0)</f>
        <v>0</v>
      </c>
      <c r="F68" s="22" t="str">
        <f t="shared" ref="F68:F95" si="5">IFERROR(E68/D68,"")</f>
        <v/>
      </c>
    </row>
    <row r="69" spans="1:6" ht="14.25" customHeight="1" x14ac:dyDescent="0.2">
      <c r="A69" s="20">
        <v>3</v>
      </c>
      <c r="B69" s="179" t="s">
        <v>2</v>
      </c>
      <c r="C69" s="180"/>
      <c r="D69" s="15">
        <f t="shared" si="4"/>
        <v>0</v>
      </c>
      <c r="E69" s="18">
        <f>IF(F3="1",SUMIF(Data!A:A,'43'!$A$2,Data!EA:EA),0)</f>
        <v>0</v>
      </c>
      <c r="F69" s="22" t="str">
        <f t="shared" si="5"/>
        <v/>
      </c>
    </row>
    <row r="70" spans="1:6" ht="14.25" customHeight="1" x14ac:dyDescent="0.2">
      <c r="A70" s="20">
        <v>4</v>
      </c>
      <c r="B70" s="179" t="s">
        <v>3</v>
      </c>
      <c r="C70" s="180"/>
      <c r="D70" s="15">
        <f t="shared" si="4"/>
        <v>0</v>
      </c>
      <c r="E70" s="18">
        <f>IF(F3="1",SUMIF(Data!A:A,'43'!$A$2,Data!EB:EB),0)</f>
        <v>0</v>
      </c>
      <c r="F70" s="22" t="str">
        <f t="shared" si="5"/>
        <v/>
      </c>
    </row>
    <row r="71" spans="1:6" x14ac:dyDescent="0.2">
      <c r="A71" s="20">
        <v>5</v>
      </c>
      <c r="B71" s="179" t="s">
        <v>4</v>
      </c>
      <c r="C71" s="180"/>
      <c r="D71" s="15">
        <f t="shared" si="4"/>
        <v>0</v>
      </c>
      <c r="E71" s="18">
        <f>IF(F3="1",SUMIF(Data!A:A,'43'!$A$2,Data!EC:EC),0)</f>
        <v>0</v>
      </c>
      <c r="F71" s="22" t="str">
        <f t="shared" si="5"/>
        <v/>
      </c>
    </row>
    <row r="72" spans="1:6" x14ac:dyDescent="0.2">
      <c r="A72" s="20">
        <v>6</v>
      </c>
      <c r="B72" s="179" t="s">
        <v>5</v>
      </c>
      <c r="C72" s="180"/>
      <c r="D72" s="15">
        <f t="shared" si="4"/>
        <v>0</v>
      </c>
      <c r="E72" s="18">
        <f>IF(F3="1",SUMIF(Data!A:A,'43'!$A$2,Data!ED:ED),0)</f>
        <v>0</v>
      </c>
      <c r="F72" s="22" t="str">
        <f t="shared" si="5"/>
        <v/>
      </c>
    </row>
    <row r="73" spans="1:6" x14ac:dyDescent="0.2">
      <c r="A73" s="20">
        <v>7</v>
      </c>
      <c r="B73" s="179" t="s">
        <v>6</v>
      </c>
      <c r="C73" s="180"/>
      <c r="D73" s="15">
        <f t="shared" si="4"/>
        <v>0</v>
      </c>
      <c r="E73" s="18">
        <f>IF(F3="1",SUMIF(Data!A:A,'43'!$A$2,Data!EE:EE),0)</f>
        <v>0</v>
      </c>
      <c r="F73" s="22" t="str">
        <f t="shared" si="5"/>
        <v/>
      </c>
    </row>
    <row r="74" spans="1:6" x14ac:dyDescent="0.2">
      <c r="A74" s="20">
        <v>8</v>
      </c>
      <c r="B74" s="179" t="s">
        <v>7</v>
      </c>
      <c r="C74" s="180"/>
      <c r="D74" s="15">
        <f t="shared" si="4"/>
        <v>0</v>
      </c>
      <c r="E74" s="18">
        <f>IF(F3="1",SUMIF(Data!A:A,'43'!$A$2,Data!EF:EF),0)</f>
        <v>0</v>
      </c>
      <c r="F74" s="22" t="str">
        <f t="shared" si="5"/>
        <v/>
      </c>
    </row>
    <row r="75" spans="1:6" x14ac:dyDescent="0.2">
      <c r="A75" s="20">
        <v>9</v>
      </c>
      <c r="B75" s="179" t="s">
        <v>8</v>
      </c>
      <c r="C75" s="180"/>
      <c r="D75" s="15">
        <f t="shared" si="4"/>
        <v>0</v>
      </c>
      <c r="E75" s="18">
        <f>IF(F3="1",SUMIF(Data!A:A,'43'!$A$2,Data!EG:EG),0)</f>
        <v>0</v>
      </c>
      <c r="F75" s="22" t="str">
        <f t="shared" si="5"/>
        <v/>
      </c>
    </row>
    <row r="76" spans="1:6" x14ac:dyDescent="0.2">
      <c r="A76" s="20">
        <v>10</v>
      </c>
      <c r="B76" s="179" t="s">
        <v>9</v>
      </c>
      <c r="C76" s="180"/>
      <c r="D76" s="15">
        <f t="shared" si="4"/>
        <v>0</v>
      </c>
      <c r="E76" s="18">
        <f>IF(F3="1",SUMIF(Data!A:A,'43'!$A$2,Data!EH:EH),0)</f>
        <v>0</v>
      </c>
      <c r="F76" s="22" t="str">
        <f t="shared" si="5"/>
        <v/>
      </c>
    </row>
    <row r="77" spans="1:6" x14ac:dyDescent="0.2">
      <c r="A77" s="20">
        <v>11</v>
      </c>
      <c r="B77" s="179" t="s">
        <v>10</v>
      </c>
      <c r="C77" s="180"/>
      <c r="D77" s="15">
        <f t="shared" si="4"/>
        <v>0</v>
      </c>
      <c r="E77" s="18">
        <f>IF(F3="1",SUMIF(Data!A:A,'43'!$A$2,Data!EI:EI),0)</f>
        <v>0</v>
      </c>
      <c r="F77" s="22" t="str">
        <f t="shared" si="5"/>
        <v/>
      </c>
    </row>
    <row r="78" spans="1:6" ht="14.25" customHeight="1" x14ac:dyDescent="0.2">
      <c r="A78" s="20">
        <v>12</v>
      </c>
      <c r="B78" s="179" t="s">
        <v>11</v>
      </c>
      <c r="C78" s="180"/>
      <c r="D78" s="15">
        <f t="shared" si="4"/>
        <v>0</v>
      </c>
      <c r="E78" s="18">
        <f>IF(F3="1",SUMIF(Data!A:A,'43'!$A$2,Data!EJ:EJ),0)</f>
        <v>0</v>
      </c>
      <c r="F78" s="22" t="str">
        <f t="shared" si="5"/>
        <v/>
      </c>
    </row>
    <row r="79" spans="1:6" x14ac:dyDescent="0.2">
      <c r="A79" s="20">
        <v>13</v>
      </c>
      <c r="B79" s="179" t="s">
        <v>12</v>
      </c>
      <c r="C79" s="180"/>
      <c r="D79" s="15">
        <f t="shared" si="4"/>
        <v>0</v>
      </c>
      <c r="E79" s="18">
        <f>IF(F3="1",SUMIF(Data!A:A,'43'!$A$2,Data!EK:EK),0)</f>
        <v>0</v>
      </c>
      <c r="F79" s="22" t="str">
        <f t="shared" si="5"/>
        <v/>
      </c>
    </row>
    <row r="80" spans="1:6" ht="14.25" customHeight="1" x14ac:dyDescent="0.2">
      <c r="A80" s="20">
        <v>14</v>
      </c>
      <c r="B80" s="179" t="s">
        <v>804</v>
      </c>
      <c r="C80" s="180"/>
      <c r="D80" s="15">
        <f t="shared" si="4"/>
        <v>0</v>
      </c>
      <c r="E80" s="18">
        <f>IF(F3="1",SUMIF(Data!A:A,'43'!$A$2,Data!EL:EL),0)</f>
        <v>0</v>
      </c>
      <c r="F80" s="22" t="str">
        <f t="shared" si="5"/>
        <v/>
      </c>
    </row>
    <row r="81" spans="1:6" x14ac:dyDescent="0.2">
      <c r="A81" s="20">
        <v>15</v>
      </c>
      <c r="B81" s="179" t="s">
        <v>13</v>
      </c>
      <c r="C81" s="180"/>
      <c r="D81" s="15">
        <f t="shared" si="4"/>
        <v>0</v>
      </c>
      <c r="E81" s="18">
        <f>IF(F3="1",SUMIF(Data!A:A,'43'!$A$2,Data!EM:EM),0)</f>
        <v>0</v>
      </c>
      <c r="F81" s="22" t="str">
        <f t="shared" si="5"/>
        <v/>
      </c>
    </row>
    <row r="82" spans="1:6" x14ac:dyDescent="0.2">
      <c r="A82" s="20">
        <v>16</v>
      </c>
      <c r="B82" s="179" t="s">
        <v>14</v>
      </c>
      <c r="C82" s="180"/>
      <c r="D82" s="15">
        <f t="shared" si="4"/>
        <v>0</v>
      </c>
      <c r="E82" s="18">
        <f>IF(F3="1",SUMIF(Data!A:A,'43'!$A$2,Data!EN:EN),0)</f>
        <v>0</v>
      </c>
      <c r="F82" s="22" t="str">
        <f t="shared" si="5"/>
        <v/>
      </c>
    </row>
    <row r="83" spans="1:6" x14ac:dyDescent="0.2">
      <c r="A83" s="20">
        <v>17</v>
      </c>
      <c r="B83" s="179" t="s">
        <v>15</v>
      </c>
      <c r="C83" s="180"/>
      <c r="D83" s="15">
        <f t="shared" si="4"/>
        <v>0</v>
      </c>
      <c r="E83" s="18">
        <f>IF(F3="1",SUMIF(Data!A:A,'43'!$A$2,Data!EO:EO),0)</f>
        <v>0</v>
      </c>
      <c r="F83" s="22" t="str">
        <f t="shared" si="5"/>
        <v/>
      </c>
    </row>
    <row r="84" spans="1:6" x14ac:dyDescent="0.2">
      <c r="A84" s="20">
        <v>18</v>
      </c>
      <c r="B84" s="179" t="s">
        <v>16</v>
      </c>
      <c r="C84" s="180"/>
      <c r="D84" s="15">
        <f t="shared" si="4"/>
        <v>0</v>
      </c>
      <c r="E84" s="18">
        <f>IF(F3="1",SUMIF(Data!A:A,'43'!$A$2,Data!EP:EP),0)</f>
        <v>0</v>
      </c>
      <c r="F84" s="22" t="str">
        <f t="shared" si="5"/>
        <v/>
      </c>
    </row>
    <row r="85" spans="1:6" x14ac:dyDescent="0.2">
      <c r="A85" s="20">
        <v>19</v>
      </c>
      <c r="B85" s="179" t="s">
        <v>17</v>
      </c>
      <c r="C85" s="180"/>
      <c r="D85" s="15">
        <f t="shared" si="4"/>
        <v>0</v>
      </c>
      <c r="E85" s="18">
        <f>IF(F3="1",SUMIF(Data!A:A,'43'!$A$2,Data!EQ:EQ),0)</f>
        <v>0</v>
      </c>
      <c r="F85" s="22" t="str">
        <f t="shared" si="5"/>
        <v/>
      </c>
    </row>
    <row r="86" spans="1:6" x14ac:dyDescent="0.2">
      <c r="A86" s="20">
        <v>20</v>
      </c>
      <c r="B86" s="179" t="s">
        <v>18</v>
      </c>
      <c r="C86" s="180"/>
      <c r="D86" s="15">
        <f t="shared" si="4"/>
        <v>0</v>
      </c>
      <c r="E86" s="18">
        <f>IF(F3="1",SUMIF(Data!A:A,'43'!$A$2,Data!ER:ER),0)</f>
        <v>0</v>
      </c>
      <c r="F86" s="22" t="str">
        <f t="shared" si="5"/>
        <v/>
      </c>
    </row>
    <row r="87" spans="1:6" ht="14.25" customHeight="1" x14ac:dyDescent="0.2">
      <c r="A87" s="20">
        <v>21</v>
      </c>
      <c r="B87" s="179" t="s">
        <v>801</v>
      </c>
      <c r="C87" s="180"/>
      <c r="D87" s="15">
        <f t="shared" si="4"/>
        <v>0</v>
      </c>
      <c r="E87" s="18">
        <f>IF(F3="1",SUMIF(Data!A:A,'43'!$A$2,Data!ES:ES),0)</f>
        <v>0</v>
      </c>
      <c r="F87" s="22" t="str">
        <f t="shared" si="5"/>
        <v/>
      </c>
    </row>
    <row r="88" spans="1:6" x14ac:dyDescent="0.2">
      <c r="A88" s="20">
        <v>22</v>
      </c>
      <c r="B88" s="179" t="s">
        <v>19</v>
      </c>
      <c r="C88" s="180"/>
      <c r="D88" s="15">
        <f t="shared" si="4"/>
        <v>0</v>
      </c>
      <c r="E88" s="18">
        <f>IF(F3="1",SUMIF(Data!A:A,'43'!$A$2,Data!ET:ET),0)</f>
        <v>0</v>
      </c>
      <c r="F88" s="22" t="str">
        <f t="shared" si="5"/>
        <v/>
      </c>
    </row>
    <row r="89" spans="1:6" x14ac:dyDescent="0.2">
      <c r="A89" s="20">
        <v>23</v>
      </c>
      <c r="B89" s="179" t="s">
        <v>20</v>
      </c>
      <c r="C89" s="180"/>
      <c r="D89" s="15">
        <f t="shared" si="4"/>
        <v>0</v>
      </c>
      <c r="E89" s="18">
        <f>IF(F3="1",SUMIF(Data!A:A,'43'!$A$2,Data!EU:EU),0)</f>
        <v>0</v>
      </c>
      <c r="F89" s="22" t="str">
        <f t="shared" si="5"/>
        <v/>
      </c>
    </row>
    <row r="90" spans="1:6" x14ac:dyDescent="0.2">
      <c r="A90" s="20">
        <v>24</v>
      </c>
      <c r="B90" s="179" t="s">
        <v>21</v>
      </c>
      <c r="C90" s="180"/>
      <c r="D90" s="15">
        <f t="shared" si="4"/>
        <v>0</v>
      </c>
      <c r="E90" s="18">
        <f>IF(F3="1",SUMIF(Data!A:A,'43'!$A$2,Data!EV:EV),0)</f>
        <v>0</v>
      </c>
      <c r="F90" s="22" t="str">
        <f t="shared" si="5"/>
        <v/>
      </c>
    </row>
    <row r="91" spans="1:6" x14ac:dyDescent="0.2">
      <c r="A91" s="20">
        <v>25</v>
      </c>
      <c r="B91" s="179" t="s">
        <v>22</v>
      </c>
      <c r="C91" s="180"/>
      <c r="D91" s="15">
        <f t="shared" si="4"/>
        <v>0</v>
      </c>
      <c r="E91" s="18">
        <f>IF(F3="1",SUMIF(Data!A:A,'43'!$A$2,Data!EW:EW),0)</f>
        <v>0</v>
      </c>
      <c r="F91" s="22" t="str">
        <f t="shared" si="5"/>
        <v/>
      </c>
    </row>
    <row r="92" spans="1:6" x14ac:dyDescent="0.2">
      <c r="A92" s="20">
        <v>26</v>
      </c>
      <c r="B92" s="179" t="s">
        <v>23</v>
      </c>
      <c r="C92" s="180"/>
      <c r="D92" s="15">
        <f t="shared" si="4"/>
        <v>0</v>
      </c>
      <c r="E92" s="18">
        <f>IF(F3="1",SUMIF(Data!A:A,'43'!$A$2,Data!EX:EX),0)</f>
        <v>0</v>
      </c>
      <c r="F92" s="22" t="str">
        <f t="shared" si="5"/>
        <v/>
      </c>
    </row>
    <row r="93" spans="1:6" x14ac:dyDescent="0.2">
      <c r="A93" s="20">
        <v>28</v>
      </c>
      <c r="B93" s="179" t="s">
        <v>24</v>
      </c>
      <c r="C93" s="180"/>
      <c r="D93" s="15">
        <f t="shared" si="4"/>
        <v>0</v>
      </c>
      <c r="E93" s="18">
        <f>IF(F3="1",SUMIF(Data!A:A,'43'!$A$2,Data!EZ:EZ),0)</f>
        <v>0</v>
      </c>
      <c r="F93" s="22" t="str">
        <f t="shared" si="5"/>
        <v/>
      </c>
    </row>
    <row r="94" spans="1:6" ht="15.75" customHeight="1" thickBot="1" x14ac:dyDescent="0.25">
      <c r="A94" s="23">
        <v>29</v>
      </c>
      <c r="B94" s="181" t="s">
        <v>25</v>
      </c>
      <c r="C94" s="182"/>
      <c r="D94" s="24">
        <f t="shared" si="4"/>
        <v>0</v>
      </c>
      <c r="E94" s="25">
        <f>IF(F3="1",SUMIF(Data!A:A,'43'!$A$2,Data!FA:FA),0)</f>
        <v>0</v>
      </c>
      <c r="F94" s="26" t="str">
        <f t="shared" si="5"/>
        <v/>
      </c>
    </row>
    <row r="95" spans="1:6" x14ac:dyDescent="0.2">
      <c r="B95" s="31" t="s">
        <v>35</v>
      </c>
      <c r="C95" s="31"/>
      <c r="D95" s="61">
        <f>SUM(D67:D94)</f>
        <v>0</v>
      </c>
      <c r="E95" s="32">
        <f>SUM(E67:E94)</f>
        <v>0</v>
      </c>
      <c r="F95" s="33" t="str">
        <f t="shared" si="5"/>
        <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IF(F3="1",SUMIF(Data!A:A,'43'!$A$2,Data!AH:AH),0)</f>
        <v>0</v>
      </c>
      <c r="F98" s="21">
        <f t="shared" ref="F98:F105" si="6">IFERROR(E98/$D$95,0)</f>
        <v>0</v>
      </c>
    </row>
    <row r="99" spans="2:6" x14ac:dyDescent="0.2">
      <c r="B99" s="185" t="s">
        <v>31</v>
      </c>
      <c r="C99" s="186"/>
      <c r="D99" s="37"/>
      <c r="E99" s="18">
        <f>IF(F3="1",SUMIF(Data!A:A,'43'!$A$2,Data!AI:AI),0)</f>
        <v>0</v>
      </c>
      <c r="F99" s="22">
        <f t="shared" si="6"/>
        <v>0</v>
      </c>
    </row>
    <row r="100" spans="2:6" x14ac:dyDescent="0.2">
      <c r="B100" s="185" t="s">
        <v>32</v>
      </c>
      <c r="C100" s="186"/>
      <c r="D100" s="37"/>
      <c r="E100" s="18">
        <f>IF(F3="1",SUMIF(Data!A:A,'43'!$A$2,Data!AJ:AJ),0)</f>
        <v>0</v>
      </c>
      <c r="F100" s="22">
        <f t="shared" si="6"/>
        <v>0</v>
      </c>
    </row>
    <row r="101" spans="2:6" x14ac:dyDescent="0.2">
      <c r="B101" s="185" t="s">
        <v>28</v>
      </c>
      <c r="C101" s="186"/>
      <c r="D101" s="37"/>
      <c r="E101" s="18">
        <f>IF(F3="1",SUMIF(Data!A:A,'43'!$A$2,Data!AK:AK),0)</f>
        <v>0</v>
      </c>
      <c r="F101" s="22">
        <f t="shared" si="6"/>
        <v>0</v>
      </c>
    </row>
    <row r="102" spans="2:6" x14ac:dyDescent="0.2">
      <c r="B102" s="185" t="s">
        <v>33</v>
      </c>
      <c r="C102" s="186"/>
      <c r="D102" s="37"/>
      <c r="E102" s="18">
        <f>IF(F3="1",SUMIF(Data!A:A,'43'!$A$2,Data!AL:AL),0)</f>
        <v>0</v>
      </c>
      <c r="F102" s="22">
        <f t="shared" si="6"/>
        <v>0</v>
      </c>
    </row>
    <row r="103" spans="2:6" x14ac:dyDescent="0.2">
      <c r="B103" s="187" t="s">
        <v>34</v>
      </c>
      <c r="C103" s="188"/>
      <c r="D103" s="37"/>
      <c r="E103" s="18">
        <f>IF(F3="1",SUMIF(Data!A:A,'43'!$A$2,Data!AM:AM),0)</f>
        <v>0</v>
      </c>
      <c r="F103" s="22">
        <f t="shared" si="6"/>
        <v>0</v>
      </c>
    </row>
    <row r="104" spans="2:6" ht="15.75" customHeight="1" thickBot="1" x14ac:dyDescent="0.25">
      <c r="B104" s="177" t="s">
        <v>29</v>
      </c>
      <c r="C104" s="178"/>
      <c r="D104" s="38"/>
      <c r="E104" s="25">
        <f>IF(F3="1",SUMIF(Data!A:A,'43'!$A$2,Data!Q:Q),0)</f>
        <v>0</v>
      </c>
      <c r="F104" s="26">
        <f t="shared" si="6"/>
        <v>0</v>
      </c>
    </row>
    <row r="105" spans="2:6" x14ac:dyDescent="0.2">
      <c r="B105" s="31" t="s">
        <v>35</v>
      </c>
      <c r="C105" s="31"/>
      <c r="D105" s="35">
        <f>D95</f>
        <v>0</v>
      </c>
      <c r="E105" s="32">
        <f>SUM(E98:E104)</f>
        <v>0</v>
      </c>
      <c r="F105" s="33">
        <f t="shared" si="6"/>
        <v>0</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0</v>
      </c>
      <c r="D109" s="16">
        <f>IF(F3="1",SUMIF(Data!$A:$A,$A$2,Data!HJ:HJ),0)</f>
        <v>0</v>
      </c>
      <c r="E109" s="16">
        <f>IF(F3="1",SUMIF(Data!$A:$A,$A$2,Data!IN:IN),0)</f>
        <v>0</v>
      </c>
      <c r="F109" s="48">
        <f>SUM(C109:E109)</f>
        <v>0</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0</v>
      </c>
      <c r="D111" s="52"/>
      <c r="E111" s="51">
        <f>IF(F3="1",SUMIF(Data!A:A,$A$2,Data!AX:AX),0)</f>
        <v>0</v>
      </c>
      <c r="F111" s="49">
        <f t="shared" si="7"/>
        <v>0</v>
      </c>
    </row>
    <row r="112" spans="2:6" x14ac:dyDescent="0.2">
      <c r="B112" s="43" t="s">
        <v>32</v>
      </c>
      <c r="C112" s="51">
        <f>IF(F3="1",SUMIF(Data!A:A,$A$2,Data!V:V),0)</f>
        <v>0</v>
      </c>
      <c r="D112" s="52"/>
      <c r="E112" s="51">
        <f>IF(F3="1",SUMIF(Data!A:A,$A$2,Data!AC:AC),0)</f>
        <v>0</v>
      </c>
      <c r="F112" s="49">
        <f t="shared" si="7"/>
        <v>0</v>
      </c>
    </row>
    <row r="113" spans="1:6" x14ac:dyDescent="0.2">
      <c r="B113" s="43" t="s">
        <v>31</v>
      </c>
      <c r="C113" s="51">
        <f>IF(F3="1",SUMIF(Data!A:A,$A$2,Data!U:U),0)</f>
        <v>0</v>
      </c>
      <c r="D113" s="52"/>
      <c r="E113" s="51">
        <f>IF(F3="1",SUMIF(Data!A:A,$A$2,Data!AB:AB),0)</f>
        <v>0</v>
      </c>
      <c r="F113" s="49">
        <f t="shared" si="7"/>
        <v>0</v>
      </c>
    </row>
    <row r="114" spans="1:6" x14ac:dyDescent="0.2">
      <c r="B114" s="43" t="s">
        <v>1363</v>
      </c>
      <c r="C114" s="51">
        <f>IF(F3="1",SUMIF(Data!A:A,$A$2,Data!T:T),0)</f>
        <v>0</v>
      </c>
      <c r="D114" s="52"/>
      <c r="E114" s="51">
        <f>IF(F3="1",SUMIF(Data!A:A,$A$2,Data!AA:AA),0)</f>
        <v>0</v>
      </c>
      <c r="F114" s="49">
        <f t="shared" si="7"/>
        <v>0</v>
      </c>
    </row>
    <row r="115" spans="1:6" x14ac:dyDescent="0.2">
      <c r="B115" s="43" t="s">
        <v>1278</v>
      </c>
      <c r="C115" s="51">
        <f>IF(F3="1",SUMIF(Data!A:A,$A$2,Data!BI:BI),0)</f>
        <v>0</v>
      </c>
      <c r="D115" s="51">
        <f>IF(F3="1",SUMIF(Data!A:A,$A$2,Data!BL:BL),0)</f>
        <v>0</v>
      </c>
      <c r="E115" s="51">
        <f>IF(F3="1",SUMIF(Data!A:A,$A$2,Data!BU:BU),0)</f>
        <v>0</v>
      </c>
      <c r="F115" s="49">
        <f t="shared" si="7"/>
        <v>0</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0</v>
      </c>
      <c r="E117" s="53"/>
      <c r="F117" s="50">
        <f>SUM(C117:E117)</f>
        <v>0</v>
      </c>
    </row>
    <row r="118" spans="1:6" x14ac:dyDescent="0.2">
      <c r="B118" s="14" t="s">
        <v>35</v>
      </c>
      <c r="C118" s="5">
        <f>SUM(C109:C116)</f>
        <v>0</v>
      </c>
      <c r="D118" s="5">
        <f>SUM(D109:D116)</f>
        <v>0</v>
      </c>
      <c r="E118" s="5">
        <f>SUM(E109:E116)</f>
        <v>0</v>
      </c>
      <c r="F118" s="5">
        <f>SUM(F109:F116)</f>
        <v>0</v>
      </c>
    </row>
    <row r="119" spans="1:6" ht="15" thickBot="1" x14ac:dyDescent="0.25"/>
    <row r="120" spans="1:6" ht="15" thickBot="1" x14ac:dyDescent="0.25">
      <c r="B120" s="57" t="s">
        <v>1283</v>
      </c>
      <c r="C120" s="55"/>
      <c r="D120" s="55"/>
      <c r="E120" s="55">
        <f>IF(F3="1",SUMIF(Data!A:A,'43'!$A$2,Data!AM:AM),0)</f>
        <v>0</v>
      </c>
      <c r="F120" s="56">
        <f>SUM(C120:E120)</f>
        <v>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3" width="12.425781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431</v>
      </c>
      <c r="B2" s="60" t="str">
        <f>VLOOKUP(A2,Data!A:G,7,0)</f>
        <v>Trinity Valley Community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90144</v>
      </c>
      <c r="E5" s="16">
        <f>E36+E67+IFERROR($E$105/$D$105*D5,0)</f>
        <v>523393.91704891995</v>
      </c>
      <c r="F5" s="21">
        <f>IFERROR(E5/D5,"")</f>
        <v>5.8061980503296944</v>
      </c>
    </row>
    <row r="6" spans="1:6" x14ac:dyDescent="0.2">
      <c r="A6" s="20">
        <v>2</v>
      </c>
      <c r="B6" s="179" t="s">
        <v>1</v>
      </c>
      <c r="C6" s="180"/>
      <c r="D6" s="15">
        <f t="shared" ref="D6:D32" si="0">D37</f>
        <v>124336</v>
      </c>
      <c r="E6" s="18">
        <f t="shared" ref="E6:E32" si="1">E37+E68+IFERROR($E$105/$D$105*D6,0)</f>
        <v>607305.73311806121</v>
      </c>
      <c r="F6" s="22">
        <f t="shared" ref="F6:F33" si="2">IFERROR(E6/D6,"")</f>
        <v>4.8843917539414266</v>
      </c>
    </row>
    <row r="7" spans="1:6" ht="14.25" customHeight="1" x14ac:dyDescent="0.2">
      <c r="A7" s="20">
        <v>3</v>
      </c>
      <c r="B7" s="179" t="s">
        <v>2</v>
      </c>
      <c r="C7" s="180"/>
      <c r="D7" s="15">
        <f t="shared" si="0"/>
        <v>408708</v>
      </c>
      <c r="E7" s="18">
        <f t="shared" si="1"/>
        <v>2341121.7449106984</v>
      </c>
      <c r="F7" s="22">
        <f t="shared" si="2"/>
        <v>5.7281035480360023</v>
      </c>
    </row>
    <row r="8" spans="1:6" ht="14.25" customHeight="1" x14ac:dyDescent="0.2">
      <c r="A8" s="20">
        <v>4</v>
      </c>
      <c r="B8" s="179" t="s">
        <v>3</v>
      </c>
      <c r="C8" s="180"/>
      <c r="D8" s="15">
        <f t="shared" si="0"/>
        <v>442435</v>
      </c>
      <c r="E8" s="18">
        <f t="shared" si="1"/>
        <v>2668957.8101763725</v>
      </c>
      <c r="F8" s="22">
        <f t="shared" si="2"/>
        <v>6.0324291933874408</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8243</v>
      </c>
      <c r="E10" s="18">
        <f t="shared" si="1"/>
        <v>100554.66854404339</v>
      </c>
      <c r="F10" s="22">
        <f t="shared" si="2"/>
        <v>12.198795164872424</v>
      </c>
    </row>
    <row r="11" spans="1:6" x14ac:dyDescent="0.2">
      <c r="A11" s="20">
        <v>7</v>
      </c>
      <c r="B11" s="179" t="s">
        <v>6</v>
      </c>
      <c r="C11" s="180"/>
      <c r="D11" s="15">
        <f t="shared" si="0"/>
        <v>108556</v>
      </c>
      <c r="E11" s="18">
        <f t="shared" si="1"/>
        <v>525804.99617459346</v>
      </c>
      <c r="F11" s="22">
        <f t="shared" si="2"/>
        <v>4.8436290594218052</v>
      </c>
    </row>
    <row r="12" spans="1:6" x14ac:dyDescent="0.2">
      <c r="A12" s="20">
        <v>8</v>
      </c>
      <c r="B12" s="179" t="s">
        <v>7</v>
      </c>
      <c r="C12" s="180"/>
      <c r="D12" s="15">
        <f t="shared" si="0"/>
        <v>98186</v>
      </c>
      <c r="E12" s="18">
        <f t="shared" si="1"/>
        <v>547616.79008436785</v>
      </c>
      <c r="F12" s="22">
        <f t="shared" si="2"/>
        <v>5.5773408641187938</v>
      </c>
    </row>
    <row r="13" spans="1:6" x14ac:dyDescent="0.2">
      <c r="A13" s="20">
        <v>9</v>
      </c>
      <c r="B13" s="179" t="s">
        <v>8</v>
      </c>
      <c r="C13" s="180"/>
      <c r="D13" s="15">
        <f t="shared" si="0"/>
        <v>200328</v>
      </c>
      <c r="E13" s="18">
        <f t="shared" si="1"/>
        <v>1105581.8042085557</v>
      </c>
      <c r="F13" s="22">
        <f t="shared" si="2"/>
        <v>5.5188580937689977</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166372</v>
      </c>
      <c r="E15" s="18">
        <f t="shared" si="1"/>
        <v>838934.2057514966</v>
      </c>
      <c r="F15" s="22">
        <f t="shared" si="2"/>
        <v>5.0425204105949115</v>
      </c>
    </row>
    <row r="16" spans="1:6" ht="14.25" customHeight="1" x14ac:dyDescent="0.2">
      <c r="A16" s="20">
        <v>12</v>
      </c>
      <c r="B16" s="179" t="s">
        <v>11</v>
      </c>
      <c r="C16" s="180"/>
      <c r="D16" s="15">
        <f t="shared" si="0"/>
        <v>357256</v>
      </c>
      <c r="E16" s="18">
        <f t="shared" si="1"/>
        <v>1968016.2000935054</v>
      </c>
      <c r="F16" s="22">
        <f t="shared" si="2"/>
        <v>5.5087002040371766</v>
      </c>
    </row>
    <row r="17" spans="1:6" x14ac:dyDescent="0.2">
      <c r="A17" s="20">
        <v>13</v>
      </c>
      <c r="B17" s="179" t="s">
        <v>12</v>
      </c>
      <c r="C17" s="180"/>
      <c r="D17" s="15">
        <f t="shared" si="0"/>
        <v>51584</v>
      </c>
      <c r="E17" s="18">
        <f t="shared" si="1"/>
        <v>251159.02246462868</v>
      </c>
      <c r="F17" s="22">
        <f t="shared" si="2"/>
        <v>4.8689326625432052</v>
      </c>
    </row>
    <row r="18" spans="1:6" ht="14.25" customHeight="1" x14ac:dyDescent="0.2">
      <c r="A18" s="20">
        <v>14</v>
      </c>
      <c r="B18" s="179" t="s">
        <v>804</v>
      </c>
      <c r="C18" s="180"/>
      <c r="D18" s="15">
        <f t="shared" si="0"/>
        <v>217400</v>
      </c>
      <c r="E18" s="18">
        <f t="shared" si="1"/>
        <v>1688866.5799435924</v>
      </c>
      <c r="F18" s="22">
        <f t="shared" si="2"/>
        <v>7.7684755287193763</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167003</v>
      </c>
      <c r="E20" s="18">
        <f t="shared" si="1"/>
        <v>881650.32996007265</v>
      </c>
      <c r="F20" s="22">
        <f t="shared" si="2"/>
        <v>5.2792484563754698</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88076</v>
      </c>
      <c r="E22" s="18">
        <f t="shared" si="1"/>
        <v>582269.43390575831</v>
      </c>
      <c r="F22" s="22">
        <f t="shared" si="2"/>
        <v>6.6109886223915515</v>
      </c>
    </row>
    <row r="23" spans="1:6" x14ac:dyDescent="0.2">
      <c r="A23" s="20">
        <v>19</v>
      </c>
      <c r="B23" s="179" t="s">
        <v>17</v>
      </c>
      <c r="C23" s="180"/>
      <c r="D23" s="15">
        <f t="shared" si="0"/>
        <v>149472</v>
      </c>
      <c r="E23" s="18">
        <f t="shared" si="1"/>
        <v>928030.96149645187</v>
      </c>
      <c r="F23" s="22">
        <f t="shared" si="2"/>
        <v>6.2087277984937099</v>
      </c>
    </row>
    <row r="24" spans="1:6" x14ac:dyDescent="0.2">
      <c r="A24" s="20">
        <v>20</v>
      </c>
      <c r="B24" s="179" t="s">
        <v>18</v>
      </c>
      <c r="C24" s="180"/>
      <c r="D24" s="15">
        <f t="shared" si="0"/>
        <v>111776</v>
      </c>
      <c r="E24" s="18">
        <f t="shared" si="1"/>
        <v>555903.82969537715</v>
      </c>
      <c r="F24" s="22">
        <f t="shared" si="2"/>
        <v>4.9733737984484785</v>
      </c>
    </row>
    <row r="25" spans="1:6" ht="14.25" customHeight="1" x14ac:dyDescent="0.2">
      <c r="A25" s="20">
        <v>21</v>
      </c>
      <c r="B25" s="179" t="s">
        <v>801</v>
      </c>
      <c r="C25" s="180"/>
      <c r="D25" s="15">
        <f t="shared" si="0"/>
        <v>0</v>
      </c>
      <c r="E25" s="18">
        <f t="shared" si="1"/>
        <v>0</v>
      </c>
      <c r="F25" s="22" t="str">
        <f t="shared" si="2"/>
        <v/>
      </c>
    </row>
    <row r="26" spans="1:6" x14ac:dyDescent="0.2">
      <c r="A26" s="20">
        <v>22</v>
      </c>
      <c r="B26" s="179" t="s">
        <v>19</v>
      </c>
      <c r="C26" s="180"/>
      <c r="D26" s="15">
        <f t="shared" si="0"/>
        <v>2456</v>
      </c>
      <c r="E26" s="18">
        <f t="shared" si="1"/>
        <v>17259.705318957971</v>
      </c>
      <c r="F26" s="22">
        <f t="shared" si="2"/>
        <v>7.0275673122793041</v>
      </c>
    </row>
    <row r="27" spans="1:6" x14ac:dyDescent="0.2">
      <c r="A27" s="20">
        <v>23</v>
      </c>
      <c r="B27" s="179" t="s">
        <v>20</v>
      </c>
      <c r="C27" s="180"/>
      <c r="D27" s="15">
        <f t="shared" si="0"/>
        <v>61560</v>
      </c>
      <c r="E27" s="18">
        <f t="shared" si="1"/>
        <v>482746.84830417461</v>
      </c>
      <c r="F27" s="22">
        <f t="shared" si="2"/>
        <v>7.8418916228748312</v>
      </c>
    </row>
    <row r="28" spans="1:6" x14ac:dyDescent="0.2">
      <c r="A28" s="20">
        <v>24</v>
      </c>
      <c r="B28" s="179" t="s">
        <v>21</v>
      </c>
      <c r="C28" s="180"/>
      <c r="D28" s="15">
        <f t="shared" si="0"/>
        <v>62969</v>
      </c>
      <c r="E28" s="18">
        <f t="shared" si="1"/>
        <v>373085.46955597086</v>
      </c>
      <c r="F28" s="22">
        <f t="shared" si="2"/>
        <v>5.9249070106873356</v>
      </c>
    </row>
    <row r="29" spans="1:6" x14ac:dyDescent="0.2">
      <c r="A29" s="20">
        <v>25</v>
      </c>
      <c r="B29" s="179" t="s">
        <v>22</v>
      </c>
      <c r="C29" s="180"/>
      <c r="D29" s="15">
        <f t="shared" si="0"/>
        <v>582432</v>
      </c>
      <c r="E29" s="18">
        <f t="shared" si="1"/>
        <v>3146814.6450860463</v>
      </c>
      <c r="F29" s="22">
        <f t="shared" si="2"/>
        <v>5.4028876247974811</v>
      </c>
    </row>
    <row r="30" spans="1:6" x14ac:dyDescent="0.2">
      <c r="A30" s="20">
        <v>26</v>
      </c>
      <c r="B30" s="179" t="s">
        <v>23</v>
      </c>
      <c r="C30" s="180"/>
      <c r="D30" s="15">
        <f t="shared" si="0"/>
        <v>183968</v>
      </c>
      <c r="E30" s="18">
        <f t="shared" si="1"/>
        <v>1399103.7866930212</v>
      </c>
      <c r="F30" s="22">
        <f t="shared" si="2"/>
        <v>7.605147562038078</v>
      </c>
    </row>
    <row r="31" spans="1:6" x14ac:dyDescent="0.2">
      <c r="A31" s="20">
        <v>28</v>
      </c>
      <c r="B31" s="179" t="s">
        <v>24</v>
      </c>
      <c r="C31" s="180"/>
      <c r="D31" s="15">
        <f t="shared" si="0"/>
        <v>179152</v>
      </c>
      <c r="E31" s="18">
        <f t="shared" si="1"/>
        <v>985297.90525324049</v>
      </c>
      <c r="F31" s="22">
        <f t="shared" si="2"/>
        <v>5.4997873607508732</v>
      </c>
    </row>
    <row r="32" spans="1:6" ht="15.75" customHeight="1" thickBot="1" x14ac:dyDescent="0.25">
      <c r="A32" s="23">
        <v>29</v>
      </c>
      <c r="B32" s="181" t="s">
        <v>25</v>
      </c>
      <c r="C32" s="182"/>
      <c r="D32" s="24">
        <f t="shared" si="0"/>
        <v>81744</v>
      </c>
      <c r="E32" s="25">
        <f t="shared" si="1"/>
        <v>558263.61221209308</v>
      </c>
      <c r="F32" s="26">
        <f t="shared" si="2"/>
        <v>6.8294139289989859</v>
      </c>
    </row>
    <row r="33" spans="1:6" x14ac:dyDescent="0.2">
      <c r="B33" s="31" t="s">
        <v>35</v>
      </c>
      <c r="C33" s="31"/>
      <c r="D33" s="61">
        <f>SUM(D5:D32)</f>
        <v>3944156</v>
      </c>
      <c r="E33" s="32">
        <f>SUM(E5:E32)</f>
        <v>23077740</v>
      </c>
      <c r="F33" s="33">
        <f t="shared" si="2"/>
        <v>5.8511225215229823</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IF(F3="1",SUMIF(Data!A:A,'44'!$A$2,Data!CU:CU),0)</f>
        <v>90144</v>
      </c>
      <c r="E36" s="16">
        <f>IF(F3="1",SUMIF(Data!$A:$A,'44'!$A$2,Data!IO:IO),0)</f>
        <v>65911</v>
      </c>
      <c r="F36" s="21">
        <f t="shared" ref="F36:F64" si="3">IFERROR(E36/D36,"")</f>
        <v>0.73117456514022006</v>
      </c>
    </row>
    <row r="37" spans="1:6" x14ac:dyDescent="0.2">
      <c r="A37" s="20">
        <v>2</v>
      </c>
      <c r="B37" s="179" t="s">
        <v>1</v>
      </c>
      <c r="C37" s="180"/>
      <c r="D37" s="15">
        <f>IF(F3="1",SUMIF(Data!A:A,'44'!$A$2,Data!CV:CV),0)</f>
        <v>124336</v>
      </c>
      <c r="E37" s="18">
        <f>IF(F3="1",SUMIF(Data!$A:$A,'44'!$A$2,Data!IP:IP),0)</f>
        <v>83150</v>
      </c>
      <c r="F37" s="22">
        <f t="shared" si="3"/>
        <v>0.66875241281688325</v>
      </c>
    </row>
    <row r="38" spans="1:6" ht="14.25" customHeight="1" x14ac:dyDescent="0.2">
      <c r="A38" s="20">
        <v>3</v>
      </c>
      <c r="B38" s="179" t="s">
        <v>2</v>
      </c>
      <c r="C38" s="180"/>
      <c r="D38" s="15">
        <f>IF(F3="1",SUMIF(Data!A:A,'44'!$A$2,Data!CW:CW),0)</f>
        <v>408708</v>
      </c>
      <c r="E38" s="18">
        <f>IF(F3="1",SUMIF(Data!$A:$A,'44'!$A$2,Data!IQ:IQ),0)</f>
        <v>244710</v>
      </c>
      <c r="F38" s="22">
        <f t="shared" si="3"/>
        <v>0.59874042103408787</v>
      </c>
    </row>
    <row r="39" spans="1:6" ht="14.25" customHeight="1" x14ac:dyDescent="0.2">
      <c r="A39" s="20">
        <v>4</v>
      </c>
      <c r="B39" s="179" t="s">
        <v>3</v>
      </c>
      <c r="C39" s="180"/>
      <c r="D39" s="15">
        <f>IF(F3="1",SUMIF(Data!A:A,'44'!$A$2,Data!CX:CX),0)</f>
        <v>442435</v>
      </c>
      <c r="E39" s="18">
        <f>IF(F3="1",SUMIF(Data!$A:$A,'44'!$A$2,Data!IR:IR),0)</f>
        <v>339865</v>
      </c>
      <c r="F39" s="22">
        <f t="shared" si="3"/>
        <v>0.76816933560862044</v>
      </c>
    </row>
    <row r="40" spans="1:6" x14ac:dyDescent="0.2">
      <c r="A40" s="20">
        <v>5</v>
      </c>
      <c r="B40" s="179" t="s">
        <v>4</v>
      </c>
      <c r="C40" s="180"/>
      <c r="D40" s="15">
        <f>IF(F3="1",SUMIF(Data!A:A,'44'!$A$2,Data!CY:CY),0)</f>
        <v>0</v>
      </c>
      <c r="E40" s="18">
        <f>IF(F3="1",SUMIF(Data!$A:$A,'44'!$A$2,Data!IS:IS),0)</f>
        <v>0</v>
      </c>
      <c r="F40" s="22" t="str">
        <f t="shared" si="3"/>
        <v/>
      </c>
    </row>
    <row r="41" spans="1:6" x14ac:dyDescent="0.2">
      <c r="A41" s="20">
        <v>6</v>
      </c>
      <c r="B41" s="179" t="s">
        <v>5</v>
      </c>
      <c r="C41" s="180"/>
      <c r="D41" s="15">
        <f>IF(F3="1",SUMIF(Data!A:A,'44'!$A$2,Data!CZ:CZ),0)</f>
        <v>8243</v>
      </c>
      <c r="E41" s="18">
        <f>IF(F3="1",SUMIF(Data!$A:$A,'44'!$A$2,Data!IT:IT),0)</f>
        <v>22208</v>
      </c>
      <c r="F41" s="22">
        <f t="shared" si="3"/>
        <v>2.6941647458449594</v>
      </c>
    </row>
    <row r="42" spans="1:6" x14ac:dyDescent="0.2">
      <c r="A42" s="20">
        <v>7</v>
      </c>
      <c r="B42" s="179" t="s">
        <v>6</v>
      </c>
      <c r="C42" s="180"/>
      <c r="D42" s="15">
        <f>IF(F3="1",SUMIF(Data!A:A,'44'!$A$2,Data!DA:DA),0)</f>
        <v>108556</v>
      </c>
      <c r="E42" s="18">
        <f>IF(F3="1",SUMIF(Data!$A:$A,'44'!$A$2,Data!IU:IU),0)</f>
        <v>35140</v>
      </c>
      <c r="F42" s="22">
        <f t="shared" si="3"/>
        <v>0.32370389476399281</v>
      </c>
    </row>
    <row r="43" spans="1:6" x14ac:dyDescent="0.2">
      <c r="A43" s="20">
        <v>8</v>
      </c>
      <c r="B43" s="179" t="s">
        <v>7</v>
      </c>
      <c r="C43" s="180"/>
      <c r="D43" s="15">
        <f>IF(F3="1",SUMIF(Data!A:A,'44'!$A$2,Data!DB:DB),0)</f>
        <v>98186</v>
      </c>
      <c r="E43" s="18">
        <f>IF(F3="1",SUMIF(Data!$A:$A,'44'!$A$2,Data!IV:IV),0)</f>
        <v>45746</v>
      </c>
      <c r="F43" s="22">
        <f t="shared" si="3"/>
        <v>0.46591163709693845</v>
      </c>
    </row>
    <row r="44" spans="1:6" x14ac:dyDescent="0.2">
      <c r="A44" s="20">
        <v>9</v>
      </c>
      <c r="B44" s="179" t="s">
        <v>8</v>
      </c>
      <c r="C44" s="180"/>
      <c r="D44" s="15">
        <f>IF(F3="1",SUMIF(Data!A:A,'44'!$A$2,Data!DC:DC),0)</f>
        <v>200328</v>
      </c>
      <c r="E44" s="18">
        <f>IF(F3="1",SUMIF(Data!$A:$A,'44'!$A$2,Data!IW:IW),0)</f>
        <v>154278</v>
      </c>
      <c r="F44" s="22">
        <f t="shared" si="3"/>
        <v>0.77012699173355692</v>
      </c>
    </row>
    <row r="45" spans="1:6" x14ac:dyDescent="0.2">
      <c r="A45" s="20">
        <v>10</v>
      </c>
      <c r="B45" s="179" t="s">
        <v>9</v>
      </c>
      <c r="C45" s="180"/>
      <c r="D45" s="15">
        <f>IF(F3="1",SUMIF(Data!A:A,'44'!$A$2,Data!DD:DD),0)</f>
        <v>0</v>
      </c>
      <c r="E45" s="18">
        <f>IF(F3="1",SUMIF(Data!$A:$A,'44'!$A$2,Data!IX:IX),0)</f>
        <v>0</v>
      </c>
      <c r="F45" s="22" t="str">
        <f t="shared" si="3"/>
        <v/>
      </c>
    </row>
    <row r="46" spans="1:6" x14ac:dyDescent="0.2">
      <c r="A46" s="20">
        <v>11</v>
      </c>
      <c r="B46" s="179" t="s">
        <v>10</v>
      </c>
      <c r="C46" s="180"/>
      <c r="D46" s="15">
        <f>IF(F3="1",SUMIF(Data!A:A,'44'!$A$2,Data!DE:DE),0)</f>
        <v>166372</v>
      </c>
      <c r="E46" s="18">
        <f>IF(F3="1",SUMIF(Data!$A:$A,'44'!$A$2,Data!IY:IY),0)</f>
        <v>89856</v>
      </c>
      <c r="F46" s="22">
        <f t="shared" si="3"/>
        <v>0.54009088067703703</v>
      </c>
    </row>
    <row r="47" spans="1:6" ht="14.25" customHeight="1" x14ac:dyDescent="0.2">
      <c r="A47" s="20">
        <v>12</v>
      </c>
      <c r="B47" s="179" t="s">
        <v>11</v>
      </c>
      <c r="C47" s="180"/>
      <c r="D47" s="15">
        <f>IF(F3="1",SUMIF(Data!A:A,'44'!$A$2,Data!DF:DF),0)</f>
        <v>357256</v>
      </c>
      <c r="E47" s="18">
        <f>IF(F3="1",SUMIF(Data!$A:$A,'44'!$A$2,Data!IZ:IZ),0)</f>
        <v>160217</v>
      </c>
      <c r="F47" s="22">
        <f t="shared" si="3"/>
        <v>0.44846552612132479</v>
      </c>
    </row>
    <row r="48" spans="1:6" x14ac:dyDescent="0.2">
      <c r="A48" s="20">
        <v>13</v>
      </c>
      <c r="B48" s="179" t="s">
        <v>12</v>
      </c>
      <c r="C48" s="180"/>
      <c r="D48" s="15">
        <f>IF(F3="1",SUMIF(Data!A:A,'44'!$A$2,Data!DG:DG),0)</f>
        <v>51584</v>
      </c>
      <c r="E48" s="18">
        <f>IF(F3="1",SUMIF(Data!$A:$A,'44'!$A$2,Data!JA:JA),0)</f>
        <v>17825</v>
      </c>
      <c r="F48" s="22">
        <f t="shared" si="3"/>
        <v>0.34555288461538464</v>
      </c>
    </row>
    <row r="49" spans="1:6" ht="14.25" customHeight="1" x14ac:dyDescent="0.2">
      <c r="A49" s="20">
        <v>14</v>
      </c>
      <c r="B49" s="179" t="s">
        <v>804</v>
      </c>
      <c r="C49" s="180"/>
      <c r="D49" s="15">
        <f>IF(F3="1",SUMIF(Data!A:A,'44'!$A$2,Data!DH:DH),0)</f>
        <v>217400</v>
      </c>
      <c r="E49" s="18">
        <f>IF(F3="1",SUMIF(Data!$A:$A,'44'!$A$2,Data!JB:JB),0)</f>
        <v>237826</v>
      </c>
      <c r="F49" s="22">
        <f t="shared" si="3"/>
        <v>1.0939558417663293</v>
      </c>
    </row>
    <row r="50" spans="1:6" x14ac:dyDescent="0.2">
      <c r="A50" s="20">
        <v>15</v>
      </c>
      <c r="B50" s="179" t="s">
        <v>13</v>
      </c>
      <c r="C50" s="180"/>
      <c r="D50" s="15">
        <f>IF(F3="1",SUMIF(Data!A:A,'44'!$A$2,Data!DI:DI),0)</f>
        <v>0</v>
      </c>
      <c r="E50" s="18">
        <f>IF(F3="1",SUMIF(Data!$A:$A,'44'!$A$2,Data!JC:JC),0)</f>
        <v>0</v>
      </c>
      <c r="F50" s="22" t="str">
        <f t="shared" si="3"/>
        <v/>
      </c>
    </row>
    <row r="51" spans="1:6" x14ac:dyDescent="0.2">
      <c r="A51" s="20">
        <v>16</v>
      </c>
      <c r="B51" s="179" t="s">
        <v>14</v>
      </c>
      <c r="C51" s="180"/>
      <c r="D51" s="15">
        <f>IF(F3="1",SUMIF(Data!A:A,'44'!$A$2,Data!DJ:DJ),0)</f>
        <v>167003</v>
      </c>
      <c r="E51" s="18">
        <f>IF(F3="1",SUMIF(Data!$A:$A,'44'!$A$2,Data!JD:JD),0)</f>
        <v>126086</v>
      </c>
      <c r="F51" s="22">
        <f t="shared" si="3"/>
        <v>0.75499242528577326</v>
      </c>
    </row>
    <row r="52" spans="1:6" x14ac:dyDescent="0.2">
      <c r="A52" s="20">
        <v>17</v>
      </c>
      <c r="B52" s="179" t="s">
        <v>15</v>
      </c>
      <c r="C52" s="180"/>
      <c r="D52" s="15">
        <f>IF(F3="1",SUMIF(Data!A:A,'44'!$A$2,Data!DK:DK),0)</f>
        <v>0</v>
      </c>
      <c r="E52" s="18">
        <f>IF(F3="1",SUMIF(Data!$A:$A,'44'!$A$2,Data!JE:JE),0)</f>
        <v>0</v>
      </c>
      <c r="F52" s="22" t="str">
        <f t="shared" si="3"/>
        <v/>
      </c>
    </row>
    <row r="53" spans="1:6" x14ac:dyDescent="0.2">
      <c r="A53" s="20">
        <v>18</v>
      </c>
      <c r="B53" s="179" t="s">
        <v>16</v>
      </c>
      <c r="C53" s="180"/>
      <c r="D53" s="15">
        <f>IF(F3="1",SUMIF(Data!A:A,'44'!$A$2,Data!DL:DL),0)</f>
        <v>88076</v>
      </c>
      <c r="E53" s="18">
        <f>IF(F3="1",SUMIF(Data!$A:$A,'44'!$A$2,Data!JF:JF),0)</f>
        <v>108400</v>
      </c>
      <c r="F53" s="22">
        <f t="shared" si="3"/>
        <v>1.2307552568236524</v>
      </c>
    </row>
    <row r="54" spans="1:6" x14ac:dyDescent="0.2">
      <c r="A54" s="20">
        <v>19</v>
      </c>
      <c r="B54" s="179" t="s">
        <v>17</v>
      </c>
      <c r="C54" s="180"/>
      <c r="D54" s="15">
        <f>IF(F3="1",SUMIF(Data!A:A,'44'!$A$2,Data!DM:DM),0)</f>
        <v>149472</v>
      </c>
      <c r="E54" s="18">
        <f>IF(F3="1",SUMIF(Data!$A:$A,'44'!$A$2,Data!JG:JG),0)</f>
        <v>123144</v>
      </c>
      <c r="F54" s="22">
        <f t="shared" si="3"/>
        <v>0.82385998715478481</v>
      </c>
    </row>
    <row r="55" spans="1:6" x14ac:dyDescent="0.2">
      <c r="A55" s="20">
        <v>20</v>
      </c>
      <c r="B55" s="179" t="s">
        <v>18</v>
      </c>
      <c r="C55" s="180"/>
      <c r="D55" s="15">
        <f>IF(F3="1",SUMIF(Data!A:A,'44'!$A$2,Data!DN:DN),0)</f>
        <v>111776</v>
      </c>
      <c r="E55" s="18">
        <f>IF(F3="1",SUMIF(Data!$A:$A,'44'!$A$2,Data!JH:JH),0)</f>
        <v>66335</v>
      </c>
      <c r="F55" s="22">
        <f t="shared" si="3"/>
        <v>0.5934637131405669</v>
      </c>
    </row>
    <row r="56" spans="1:6" ht="14.25" customHeight="1" x14ac:dyDescent="0.2">
      <c r="A56" s="20">
        <v>21</v>
      </c>
      <c r="B56" s="179" t="s">
        <v>801</v>
      </c>
      <c r="C56" s="180"/>
      <c r="D56" s="15">
        <f>IF(F3="1",SUMIF(Data!A:A,'44'!$A$2,Data!DO:DO),0)</f>
        <v>0</v>
      </c>
      <c r="E56" s="18">
        <f>IF(F3="1",SUMIF(Data!$A:$A,'44'!$A$2,Data!JI:JI),0)</f>
        <v>0</v>
      </c>
      <c r="F56" s="22" t="str">
        <f t="shared" si="3"/>
        <v/>
      </c>
    </row>
    <row r="57" spans="1:6" x14ac:dyDescent="0.2">
      <c r="A57" s="20">
        <v>22</v>
      </c>
      <c r="B57" s="179" t="s">
        <v>19</v>
      </c>
      <c r="C57" s="180"/>
      <c r="D57" s="15">
        <f>IF(F3="1",SUMIF(Data!A:A,'44'!$A$2,Data!DP:DP),0)</f>
        <v>2456</v>
      </c>
      <c r="E57" s="18">
        <f>IF(F3="1",SUMIF(Data!$A:$A,'44'!$A$2,Data!JJ:JJ),0)</f>
        <v>1455</v>
      </c>
      <c r="F57" s="22">
        <f t="shared" si="3"/>
        <v>0.59242671009771986</v>
      </c>
    </row>
    <row r="58" spans="1:6" x14ac:dyDescent="0.2">
      <c r="A58" s="20">
        <v>23</v>
      </c>
      <c r="B58" s="179" t="s">
        <v>20</v>
      </c>
      <c r="C58" s="180"/>
      <c r="D58" s="15">
        <f>IF(F3="1",SUMIF(Data!A:A,'44'!$A$2,Data!DQ:DQ),0)</f>
        <v>61560</v>
      </c>
      <c r="E58" s="18">
        <f>IF(F3="1",SUMIF(Data!$A:$A,'44'!$A$2,Data!JK:JK),0)</f>
        <v>51928</v>
      </c>
      <c r="F58" s="22">
        <f t="shared" si="3"/>
        <v>0.84353476283300843</v>
      </c>
    </row>
    <row r="59" spans="1:6" x14ac:dyDescent="0.2">
      <c r="A59" s="20">
        <v>24</v>
      </c>
      <c r="B59" s="179" t="s">
        <v>21</v>
      </c>
      <c r="C59" s="180"/>
      <c r="D59" s="15">
        <f>IF(F3="1",SUMIF(Data!A:A,'44'!$A$2,Data!DR:DR),0)</f>
        <v>62969</v>
      </c>
      <c r="E59" s="18">
        <f>IF(F3="1",SUMIF(Data!$A:$A,'44'!$A$2,Data!JL:JL),0)</f>
        <v>33617</v>
      </c>
      <c r="F59" s="22">
        <f t="shared" si="3"/>
        <v>0.53386587050771017</v>
      </c>
    </row>
    <row r="60" spans="1:6" x14ac:dyDescent="0.2">
      <c r="A60" s="20">
        <v>25</v>
      </c>
      <c r="B60" s="179" t="s">
        <v>22</v>
      </c>
      <c r="C60" s="180"/>
      <c r="D60" s="15">
        <f>IF(F3="1",SUMIF(Data!A:A,'44'!$A$2,Data!DS:DS),0)</f>
        <v>582432</v>
      </c>
      <c r="E60" s="18">
        <f>IF(F3="1",SUMIF(Data!$A:$A,'44'!$A$2,Data!JM:JM),0)</f>
        <v>258901</v>
      </c>
      <c r="F60" s="22">
        <f t="shared" si="3"/>
        <v>0.44451712817977035</v>
      </c>
    </row>
    <row r="61" spans="1:6" x14ac:dyDescent="0.2">
      <c r="A61" s="20">
        <v>26</v>
      </c>
      <c r="B61" s="179" t="s">
        <v>23</v>
      </c>
      <c r="C61" s="180"/>
      <c r="D61" s="15">
        <f>IF(F3="1",SUMIF(Data!A:A,'44'!$A$2,Data!DT:DT),0)</f>
        <v>183968</v>
      </c>
      <c r="E61" s="18">
        <f>IF(F3="1",SUMIF(Data!$A:$A,'44'!$A$2,Data!JN:JN),0)</f>
        <v>226303</v>
      </c>
      <c r="F61" s="22">
        <f t="shared" si="3"/>
        <v>1.230121542877022</v>
      </c>
    </row>
    <row r="62" spans="1:6" x14ac:dyDescent="0.2">
      <c r="A62" s="20">
        <v>28</v>
      </c>
      <c r="B62" s="179" t="s">
        <v>24</v>
      </c>
      <c r="C62" s="180"/>
      <c r="D62" s="15">
        <f>IF(F3="1",SUMIF(Data!A:A,'44'!$A$2,Data!DV:DV),0)</f>
        <v>179152</v>
      </c>
      <c r="E62" s="18">
        <f>IF(F3="1",SUMIF(Data!$A:$A,'44'!$A$2,Data!JP:JP),0)</f>
        <v>85835</v>
      </c>
      <c r="F62" s="22">
        <f t="shared" si="3"/>
        <v>0.47911829061355721</v>
      </c>
    </row>
    <row r="63" spans="1:6" ht="15.75" customHeight="1" thickBot="1" x14ac:dyDescent="0.25">
      <c r="A63" s="23">
        <v>29</v>
      </c>
      <c r="B63" s="181" t="s">
        <v>25</v>
      </c>
      <c r="C63" s="182"/>
      <c r="D63" s="24">
        <f>IF(F3="1",SUMIF(Data!A:A,'44'!$A$2,Data!DW:DW),0)</f>
        <v>81744</v>
      </c>
      <c r="E63" s="25">
        <f>IF(F3="1",SUMIF(Data!$A:$A,'44'!$A$2,Data!JQ:JQ),0)</f>
        <v>59799</v>
      </c>
      <c r="F63" s="26">
        <f t="shared" si="3"/>
        <v>0.73153992953611269</v>
      </c>
    </row>
    <row r="64" spans="1:6" x14ac:dyDescent="0.2">
      <c r="B64" s="31" t="s">
        <v>35</v>
      </c>
      <c r="C64" s="31"/>
      <c r="D64" s="61">
        <f>SUM(D36:D63)</f>
        <v>3944156</v>
      </c>
      <c r="E64" s="32">
        <f>SUM(E36:E63)</f>
        <v>2638535</v>
      </c>
      <c r="F64" s="33">
        <f t="shared" si="3"/>
        <v>0.66897328604649509</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90144</v>
      </c>
      <c r="E67" s="16">
        <f>IF(F3="1",SUMIF(Data!A:A,'44'!$A$2,Data!DY:DY),0)</f>
        <v>229748</v>
      </c>
      <c r="F67" s="21">
        <f>IFERROR(E67/D67,"")</f>
        <v>2.5486776712815051</v>
      </c>
    </row>
    <row r="68" spans="1:6" x14ac:dyDescent="0.2">
      <c r="A68" s="20">
        <v>2</v>
      </c>
      <c r="B68" s="179" t="s">
        <v>1</v>
      </c>
      <c r="C68" s="180"/>
      <c r="D68" s="15">
        <f t="shared" ref="D68:D94" si="4">D37</f>
        <v>124336</v>
      </c>
      <c r="E68" s="18">
        <f>IF(F3="1",SUMIF(Data!A:A,'44'!$A$2,Data!DZ:DZ),0)</f>
        <v>210040</v>
      </c>
      <c r="F68" s="22">
        <f t="shared" ref="F68:F95" si="5">IFERROR(E68/D68,"")</f>
        <v>1.6892935272165746</v>
      </c>
    </row>
    <row r="69" spans="1:6" ht="14.25" customHeight="1" x14ac:dyDescent="0.2">
      <c r="A69" s="20">
        <v>3</v>
      </c>
      <c r="B69" s="179" t="s">
        <v>2</v>
      </c>
      <c r="C69" s="180"/>
      <c r="D69" s="15">
        <f t="shared" si="4"/>
        <v>408708</v>
      </c>
      <c r="E69" s="18">
        <f>IF(F3="1",SUMIF(Data!A:A,'44'!$A$2,Data!EA:EA),0)</f>
        <v>1063874</v>
      </c>
      <c r="F69" s="22">
        <f t="shared" si="5"/>
        <v>2.6030173130939449</v>
      </c>
    </row>
    <row r="70" spans="1:6" ht="14.25" customHeight="1" x14ac:dyDescent="0.2">
      <c r="A70" s="20">
        <v>4</v>
      </c>
      <c r="B70" s="179" t="s">
        <v>3</v>
      </c>
      <c r="C70" s="180"/>
      <c r="D70" s="15">
        <f t="shared" si="4"/>
        <v>442435</v>
      </c>
      <c r="E70" s="18">
        <f>IF(F3="1",SUMIF(Data!A:A,'44'!$A$2,Data!EB:EB),0)</f>
        <v>1211349</v>
      </c>
      <c r="F70" s="22">
        <f t="shared" si="5"/>
        <v>2.7379140438708509</v>
      </c>
    </row>
    <row r="71" spans="1:6" x14ac:dyDescent="0.2">
      <c r="A71" s="20">
        <v>5</v>
      </c>
      <c r="B71" s="179" t="s">
        <v>4</v>
      </c>
      <c r="C71" s="180"/>
      <c r="D71" s="15">
        <f t="shared" si="4"/>
        <v>0</v>
      </c>
      <c r="E71" s="18">
        <f>IF(F3="1",SUMIF(Data!A:A,'44'!$A$2,Data!EC:EC),0)</f>
        <v>0</v>
      </c>
      <c r="F71" s="22" t="str">
        <f t="shared" si="5"/>
        <v/>
      </c>
    </row>
    <row r="72" spans="1:6" x14ac:dyDescent="0.2">
      <c r="A72" s="20">
        <v>6</v>
      </c>
      <c r="B72" s="179" t="s">
        <v>5</v>
      </c>
      <c r="C72" s="180"/>
      <c r="D72" s="15">
        <f t="shared" si="4"/>
        <v>8243</v>
      </c>
      <c r="E72" s="18">
        <f>IF(F3="1",SUMIF(Data!A:A,'44'!$A$2,Data!ED:ED),0)</f>
        <v>57522</v>
      </c>
      <c r="F72" s="22">
        <f t="shared" si="5"/>
        <v>6.9782846051194953</v>
      </c>
    </row>
    <row r="73" spans="1:6" x14ac:dyDescent="0.2">
      <c r="A73" s="20">
        <v>7</v>
      </c>
      <c r="B73" s="179" t="s">
        <v>6</v>
      </c>
      <c r="C73" s="180"/>
      <c r="D73" s="15">
        <f t="shared" si="4"/>
        <v>108556</v>
      </c>
      <c r="E73" s="18">
        <f>IF(F3="1",SUMIF(Data!A:A,'44'!$A$2,Data!EE:EE),0)</f>
        <v>216415</v>
      </c>
      <c r="F73" s="22">
        <f t="shared" si="5"/>
        <v>1.9935793507498434</v>
      </c>
    </row>
    <row r="74" spans="1:6" x14ac:dyDescent="0.2">
      <c r="A74" s="20">
        <v>8</v>
      </c>
      <c r="B74" s="179" t="s">
        <v>7</v>
      </c>
      <c r="C74" s="180"/>
      <c r="D74" s="15">
        <f t="shared" si="4"/>
        <v>98186</v>
      </c>
      <c r="E74" s="18">
        <f>IF(F3="1",SUMIF(Data!A:A,'44'!$A$2,Data!EF:EF),0)</f>
        <v>253819</v>
      </c>
      <c r="F74" s="22">
        <f t="shared" si="5"/>
        <v>2.5850834131138858</v>
      </c>
    </row>
    <row r="75" spans="1:6" x14ac:dyDescent="0.2">
      <c r="A75" s="20">
        <v>9</v>
      </c>
      <c r="B75" s="179" t="s">
        <v>8</v>
      </c>
      <c r="C75" s="180"/>
      <c r="D75" s="15">
        <f t="shared" si="4"/>
        <v>200328</v>
      </c>
      <c r="E75" s="18">
        <f>IF(F3="1",SUMIF(Data!A:A,'44'!$A$2,Data!EG:EG),0)</f>
        <v>445206</v>
      </c>
      <c r="F75" s="22">
        <f t="shared" si="5"/>
        <v>2.2223852881274708</v>
      </c>
    </row>
    <row r="76" spans="1:6" x14ac:dyDescent="0.2">
      <c r="A76" s="20">
        <v>10</v>
      </c>
      <c r="B76" s="179" t="s">
        <v>9</v>
      </c>
      <c r="C76" s="180"/>
      <c r="D76" s="15">
        <f t="shared" si="4"/>
        <v>0</v>
      </c>
      <c r="E76" s="18">
        <f>IF(F3="1",SUMIF(Data!A:A,'44'!$A$2,Data!EH:EH),0)</f>
        <v>0</v>
      </c>
      <c r="F76" s="22" t="str">
        <f t="shared" si="5"/>
        <v/>
      </c>
    </row>
    <row r="77" spans="1:6" x14ac:dyDescent="0.2">
      <c r="A77" s="20">
        <v>11</v>
      </c>
      <c r="B77" s="179" t="s">
        <v>10</v>
      </c>
      <c r="C77" s="180"/>
      <c r="D77" s="15">
        <f t="shared" si="4"/>
        <v>166372</v>
      </c>
      <c r="E77" s="18">
        <f>IF(F3="1",SUMIF(Data!A:A,'44'!$A$2,Data!EI:EI),0)</f>
        <v>328765</v>
      </c>
      <c r="F77" s="22">
        <f t="shared" si="5"/>
        <v>1.9760837160099056</v>
      </c>
    </row>
    <row r="78" spans="1:6" ht="14.25" customHeight="1" x14ac:dyDescent="0.2">
      <c r="A78" s="20">
        <v>12</v>
      </c>
      <c r="B78" s="179" t="s">
        <v>11</v>
      </c>
      <c r="C78" s="180"/>
      <c r="D78" s="15">
        <f t="shared" si="4"/>
        <v>357256</v>
      </c>
      <c r="E78" s="18">
        <f>IF(F3="1",SUMIF(Data!A:A,'44'!$A$2,Data!EJ:EJ),0)</f>
        <v>905247</v>
      </c>
      <c r="F78" s="22">
        <f t="shared" si="5"/>
        <v>2.5338888640078823</v>
      </c>
    </row>
    <row r="79" spans="1:6" x14ac:dyDescent="0.2">
      <c r="A79" s="20">
        <v>13</v>
      </c>
      <c r="B79" s="179" t="s">
        <v>12</v>
      </c>
      <c r="C79" s="180"/>
      <c r="D79" s="15">
        <f t="shared" si="4"/>
        <v>51584</v>
      </c>
      <c r="E79" s="18">
        <f>IF(F3="1",SUMIF(Data!A:A,'44'!$A$2,Data!EK:EK),0)</f>
        <v>103015</v>
      </c>
      <c r="F79" s="22">
        <f t="shared" si="5"/>
        <v>1.9970339640198511</v>
      </c>
    </row>
    <row r="80" spans="1:6" ht="14.25" customHeight="1" x14ac:dyDescent="0.2">
      <c r="A80" s="20">
        <v>14</v>
      </c>
      <c r="B80" s="179" t="s">
        <v>804</v>
      </c>
      <c r="C80" s="180"/>
      <c r="D80" s="15">
        <f t="shared" si="4"/>
        <v>217400</v>
      </c>
      <c r="E80" s="18">
        <f>IF(F3="1",SUMIF(Data!A:A,'44'!$A$2,Data!EL:EL),0)</f>
        <v>901813</v>
      </c>
      <c r="F80" s="22">
        <f t="shared" si="5"/>
        <v>4.1481738730450779</v>
      </c>
    </row>
    <row r="81" spans="1:6" x14ac:dyDescent="0.2">
      <c r="A81" s="20">
        <v>15</v>
      </c>
      <c r="B81" s="179" t="s">
        <v>13</v>
      </c>
      <c r="C81" s="180"/>
      <c r="D81" s="15">
        <f t="shared" si="4"/>
        <v>0</v>
      </c>
      <c r="E81" s="18">
        <f>IF(F3="1",SUMIF(Data!A:A,'44'!$A$2,Data!EM:EM),0)</f>
        <v>0</v>
      </c>
      <c r="F81" s="22" t="str">
        <f t="shared" si="5"/>
        <v/>
      </c>
    </row>
    <row r="82" spans="1:6" x14ac:dyDescent="0.2">
      <c r="A82" s="20">
        <v>16</v>
      </c>
      <c r="B82" s="179" t="s">
        <v>14</v>
      </c>
      <c r="C82" s="180"/>
      <c r="D82" s="15">
        <f t="shared" si="4"/>
        <v>167003</v>
      </c>
      <c r="E82" s="18">
        <f>IF(F3="1",SUMIF(Data!A:A,'44'!$A$2,Data!EN:EN),0)</f>
        <v>333657</v>
      </c>
      <c r="F82" s="22">
        <f t="shared" si="5"/>
        <v>1.9979102171817273</v>
      </c>
    </row>
    <row r="83" spans="1:6" x14ac:dyDescent="0.2">
      <c r="A83" s="20">
        <v>17</v>
      </c>
      <c r="B83" s="179" t="s">
        <v>15</v>
      </c>
      <c r="C83" s="180"/>
      <c r="D83" s="15">
        <f t="shared" si="4"/>
        <v>0</v>
      </c>
      <c r="E83" s="18">
        <f>IF(F3="1",SUMIF(Data!A:A,'44'!$A$2,Data!EO:EO),0)</f>
        <v>0</v>
      </c>
      <c r="F83" s="22" t="str">
        <f t="shared" si="5"/>
        <v/>
      </c>
    </row>
    <row r="84" spans="1:6" x14ac:dyDescent="0.2">
      <c r="A84" s="20">
        <v>18</v>
      </c>
      <c r="B84" s="179" t="s">
        <v>16</v>
      </c>
      <c r="C84" s="180"/>
      <c r="D84" s="15">
        <f t="shared" si="4"/>
        <v>88076</v>
      </c>
      <c r="E84" s="18">
        <f>IF(F3="1",SUMIF(Data!A:A,'44'!$A$2,Data!EP:EP),0)</f>
        <v>251359</v>
      </c>
      <c r="F84" s="22">
        <f t="shared" si="5"/>
        <v>2.85388755165993</v>
      </c>
    </row>
    <row r="85" spans="1:6" x14ac:dyDescent="0.2">
      <c r="A85" s="20">
        <v>19</v>
      </c>
      <c r="B85" s="179" t="s">
        <v>17</v>
      </c>
      <c r="C85" s="180"/>
      <c r="D85" s="15">
        <f t="shared" si="4"/>
        <v>149472</v>
      </c>
      <c r="E85" s="18">
        <f>IF(F3="1",SUMIF(Data!A:A,'44'!$A$2,Data!EQ:EQ),0)</f>
        <v>427269</v>
      </c>
      <c r="F85" s="22">
        <f t="shared" si="5"/>
        <v>2.858521997430957</v>
      </c>
    </row>
    <row r="86" spans="1:6" x14ac:dyDescent="0.2">
      <c r="A86" s="20">
        <v>20</v>
      </c>
      <c r="B86" s="179" t="s">
        <v>18</v>
      </c>
      <c r="C86" s="180"/>
      <c r="D86" s="15">
        <f t="shared" si="4"/>
        <v>111776</v>
      </c>
      <c r="E86" s="18">
        <f>IF(F3="1",SUMIF(Data!A:A,'44'!$A$2,Data!ER:ER),0)</f>
        <v>207184</v>
      </c>
      <c r="F86" s="22">
        <f t="shared" si="5"/>
        <v>1.8535642713999427</v>
      </c>
    </row>
    <row r="87" spans="1:6" ht="14.25" customHeight="1" x14ac:dyDescent="0.2">
      <c r="A87" s="20">
        <v>21</v>
      </c>
      <c r="B87" s="179" t="s">
        <v>801</v>
      </c>
      <c r="C87" s="180"/>
      <c r="D87" s="15">
        <f t="shared" si="4"/>
        <v>0</v>
      </c>
      <c r="E87" s="18">
        <f>IF(F3="1",SUMIF(Data!A:A,'44'!$A$2,Data!ES:ES),0)</f>
        <v>0</v>
      </c>
      <c r="F87" s="22" t="str">
        <f t="shared" si="5"/>
        <v/>
      </c>
    </row>
    <row r="88" spans="1:6" x14ac:dyDescent="0.2">
      <c r="A88" s="20">
        <v>22</v>
      </c>
      <c r="B88" s="179" t="s">
        <v>19</v>
      </c>
      <c r="C88" s="180"/>
      <c r="D88" s="15">
        <f t="shared" si="4"/>
        <v>2456</v>
      </c>
      <c r="E88" s="18">
        <f>IF(F3="1",SUMIF(Data!A:A,'44'!$A$2,Data!ET:ET),0)</f>
        <v>9600</v>
      </c>
      <c r="F88" s="22">
        <f t="shared" si="5"/>
        <v>3.9087947882736156</v>
      </c>
    </row>
    <row r="89" spans="1:6" x14ac:dyDescent="0.2">
      <c r="A89" s="20">
        <v>23</v>
      </c>
      <c r="B89" s="179" t="s">
        <v>20</v>
      </c>
      <c r="C89" s="180"/>
      <c r="D89" s="15">
        <f t="shared" si="4"/>
        <v>61560</v>
      </c>
      <c r="E89" s="18">
        <f>IF(F3="1",SUMIF(Data!A:A,'44'!$A$2,Data!EU:EU),0)</f>
        <v>275297</v>
      </c>
      <c r="F89" s="22">
        <f t="shared" si="5"/>
        <v>4.4720110461338534</v>
      </c>
    </row>
    <row r="90" spans="1:6" x14ac:dyDescent="0.2">
      <c r="A90" s="20">
        <v>24</v>
      </c>
      <c r="B90" s="179" t="s">
        <v>21</v>
      </c>
      <c r="C90" s="180"/>
      <c r="D90" s="15">
        <f t="shared" si="4"/>
        <v>62969</v>
      </c>
      <c r="E90" s="18">
        <f>IF(F3="1",SUMIF(Data!A:A,'44'!$A$2,Data!EV:EV),0)</f>
        <v>180387</v>
      </c>
      <c r="F90" s="22">
        <f t="shared" si="5"/>
        <v>2.8646953262716575</v>
      </c>
    </row>
    <row r="91" spans="1:6" x14ac:dyDescent="0.2">
      <c r="A91" s="20">
        <v>25</v>
      </c>
      <c r="B91" s="179" t="s">
        <v>22</v>
      </c>
      <c r="C91" s="180"/>
      <c r="D91" s="15">
        <f t="shared" si="4"/>
        <v>582432</v>
      </c>
      <c r="E91" s="18">
        <f>IF(F3="1",SUMIF(Data!A:A,'44'!$A$2,Data!EW:EW),0)</f>
        <v>1416489</v>
      </c>
      <c r="F91" s="22">
        <f t="shared" si="5"/>
        <v>2.4320246827097414</v>
      </c>
    </row>
    <row r="92" spans="1:6" x14ac:dyDescent="0.2">
      <c r="A92" s="20">
        <v>26</v>
      </c>
      <c r="B92" s="179" t="s">
        <v>23</v>
      </c>
      <c r="C92" s="180"/>
      <c r="D92" s="15">
        <f t="shared" si="4"/>
        <v>183968</v>
      </c>
      <c r="E92" s="18">
        <f>IF(F3="1",SUMIF(Data!A:A,'44'!$A$2,Data!EX:EX),0)</f>
        <v>708034</v>
      </c>
      <c r="F92" s="22">
        <f t="shared" si="5"/>
        <v>3.8486802052530873</v>
      </c>
    </row>
    <row r="93" spans="1:6" x14ac:dyDescent="0.2">
      <c r="A93" s="20">
        <v>28</v>
      </c>
      <c r="B93" s="179" t="s">
        <v>24</v>
      </c>
      <c r="C93" s="180"/>
      <c r="D93" s="15">
        <f t="shared" si="4"/>
        <v>179152</v>
      </c>
      <c r="E93" s="18">
        <f>IF(F3="1",SUMIF(Data!A:A,'44'!$A$2,Data!EZ:EZ),0)</f>
        <v>446863</v>
      </c>
      <c r="F93" s="22">
        <f t="shared" si="5"/>
        <v>2.4943232562293471</v>
      </c>
    </row>
    <row r="94" spans="1:6" ht="15.75" customHeight="1" thickBot="1" x14ac:dyDescent="0.25">
      <c r="A94" s="23">
        <v>29</v>
      </c>
      <c r="B94" s="181" t="s">
        <v>25</v>
      </c>
      <c r="C94" s="182"/>
      <c r="D94" s="24">
        <f t="shared" si="4"/>
        <v>81744</v>
      </c>
      <c r="E94" s="25">
        <f>IF(F3="1",SUMIF(Data!A:A,'44'!$A$2,Data!FA:FA),0)</f>
        <v>291951</v>
      </c>
      <c r="F94" s="26">
        <f t="shared" si="5"/>
        <v>3.5715281855549033</v>
      </c>
    </row>
    <row r="95" spans="1:6" x14ac:dyDescent="0.2">
      <c r="B95" s="31" t="s">
        <v>35</v>
      </c>
      <c r="C95" s="31"/>
      <c r="D95" s="61">
        <f>SUM(D67:D94)</f>
        <v>3944156</v>
      </c>
      <c r="E95" s="32">
        <f>SUM(E67:E94)</f>
        <v>10474903</v>
      </c>
      <c r="F95" s="33">
        <f t="shared" si="5"/>
        <v>2.655803421568518</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IF(F3="1",SUMIF(Data!A:A,'44'!$A$2,Data!AH:AH),0)</f>
        <v>2846064</v>
      </c>
      <c r="F98" s="21">
        <f t="shared" ref="F98:F105" si="6">IFERROR(E98/$D$95,0)</f>
        <v>0.7215901196605814</v>
      </c>
    </row>
    <row r="99" spans="2:6" x14ac:dyDescent="0.2">
      <c r="B99" s="185" t="s">
        <v>31</v>
      </c>
      <c r="C99" s="186"/>
      <c r="D99" s="37"/>
      <c r="E99" s="18">
        <f>IF(F3="1",SUMIF(Data!A:A,'44'!$A$2,Data!AI:AI),0)</f>
        <v>2256706</v>
      </c>
      <c r="F99" s="22">
        <f t="shared" si="6"/>
        <v>0.57216448842287171</v>
      </c>
    </row>
    <row r="100" spans="2:6" x14ac:dyDescent="0.2">
      <c r="B100" s="185" t="s">
        <v>32</v>
      </c>
      <c r="C100" s="186"/>
      <c r="D100" s="37"/>
      <c r="E100" s="18">
        <f>IF(F3="1",SUMIF(Data!A:A,'44'!$A$2,Data!AJ:AJ),0)</f>
        <v>3244079</v>
      </c>
      <c r="F100" s="22">
        <f t="shared" si="6"/>
        <v>0.82250271033904343</v>
      </c>
    </row>
    <row r="101" spans="2:6" x14ac:dyDescent="0.2">
      <c r="B101" s="185" t="s">
        <v>28</v>
      </c>
      <c r="C101" s="186"/>
      <c r="D101" s="37"/>
      <c r="E101" s="18">
        <f>IF(F3="1",SUMIF(Data!A:A,'44'!$A$2,Data!AK:AK),0)</f>
        <v>0</v>
      </c>
      <c r="F101" s="22">
        <f t="shared" si="6"/>
        <v>0</v>
      </c>
    </row>
    <row r="102" spans="2:6" x14ac:dyDescent="0.2">
      <c r="B102" s="185" t="s">
        <v>33</v>
      </c>
      <c r="C102" s="186"/>
      <c r="D102" s="37"/>
      <c r="E102" s="18">
        <f>IF(F3="1",SUMIF(Data!A:A,'44'!$A$2,Data!AL:AL),0)</f>
        <v>2150</v>
      </c>
      <c r="F102" s="22">
        <f t="shared" si="6"/>
        <v>5.4511028468448E-4</v>
      </c>
    </row>
    <row r="103" spans="2:6" x14ac:dyDescent="0.2">
      <c r="B103" s="187" t="s">
        <v>34</v>
      </c>
      <c r="C103" s="188"/>
      <c r="D103" s="37"/>
      <c r="E103" s="18">
        <f>IF(F3="1",SUMIF(Data!A:A,'44'!$A$2,Data!AM:AM),0)</f>
        <v>482738</v>
      </c>
      <c r="F103" s="22">
        <f t="shared" si="6"/>
        <v>0.12239323191070536</v>
      </c>
    </row>
    <row r="104" spans="2:6" ht="15.75" customHeight="1" thickBot="1" x14ac:dyDescent="0.25">
      <c r="B104" s="177" t="s">
        <v>29</v>
      </c>
      <c r="C104" s="178"/>
      <c r="D104" s="38"/>
      <c r="E104" s="25">
        <f>IF(F3="1",SUMIF(Data!A:A,'44'!$A$2,Data!Q:Q),0)</f>
        <v>1132565</v>
      </c>
      <c r="F104" s="26">
        <f t="shared" si="6"/>
        <v>0.28715015329008287</v>
      </c>
    </row>
    <row r="105" spans="2:6" x14ac:dyDescent="0.2">
      <c r="B105" s="31" t="s">
        <v>35</v>
      </c>
      <c r="C105" s="31"/>
      <c r="D105" s="35">
        <f>D95</f>
        <v>3944156</v>
      </c>
      <c r="E105" s="32">
        <f>SUM(E98:E104)</f>
        <v>9964302</v>
      </c>
      <c r="F105" s="33">
        <f t="shared" si="6"/>
        <v>2.5263458139079691</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10595089</v>
      </c>
      <c r="D109" s="16">
        <f>IF(F3="1",SUMIF(Data!$A:$A,$A$2,Data!HJ:HJ),0)</f>
        <v>1605361</v>
      </c>
      <c r="E109" s="16">
        <f>IF(F3="1",SUMIF(Data!$A:$A,$A$2,Data!IN:IN),0)</f>
        <v>912990</v>
      </c>
      <c r="F109" s="48">
        <f>SUM(C109:E109)</f>
        <v>13113440</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256093</v>
      </c>
      <c r="D111" s="52"/>
      <c r="E111" s="51">
        <f>IF(F3="1",SUMIF(Data!A:A,$A$2,Data!AX:AX),0)</f>
        <v>45099</v>
      </c>
      <c r="F111" s="49">
        <f t="shared" si="7"/>
        <v>301192</v>
      </c>
    </row>
    <row r="112" spans="2:6" x14ac:dyDescent="0.2">
      <c r="B112" s="43" t="s">
        <v>32</v>
      </c>
      <c r="C112" s="51">
        <f>IF(F3="1",SUMIF(Data!A:A,$A$2,Data!V:V),0)</f>
        <v>2114067</v>
      </c>
      <c r="D112" s="52"/>
      <c r="E112" s="51">
        <f>IF(F3="1",SUMIF(Data!A:A,$A$2,Data!AC:AC),0)</f>
        <v>1130012</v>
      </c>
      <c r="F112" s="49">
        <f t="shared" si="7"/>
        <v>3244079</v>
      </c>
    </row>
    <row r="113" spans="1:6" x14ac:dyDescent="0.2">
      <c r="B113" s="43" t="s">
        <v>31</v>
      </c>
      <c r="C113" s="51">
        <f>IF(F3="1",SUMIF(Data!A:A,$A$2,Data!U:U),0)</f>
        <v>1823363</v>
      </c>
      <c r="D113" s="52"/>
      <c r="E113" s="51">
        <f>IF(F3="1",SUMIF(Data!A:A,$A$2,Data!AB:AB),0)</f>
        <v>433343</v>
      </c>
      <c r="F113" s="49">
        <f t="shared" si="7"/>
        <v>2256706</v>
      </c>
    </row>
    <row r="114" spans="1:6" x14ac:dyDescent="0.2">
      <c r="B114" s="43" t="s">
        <v>1363</v>
      </c>
      <c r="C114" s="51">
        <f>IF(F3="1",SUMIF(Data!A:A,$A$2,Data!T:T),0)</f>
        <v>2160834</v>
      </c>
      <c r="D114" s="52"/>
      <c r="E114" s="51">
        <f>IF(F3="1",SUMIF(Data!A:A,$A$2,Data!AA:AA),0)</f>
        <v>685230</v>
      </c>
      <c r="F114" s="49">
        <f t="shared" si="7"/>
        <v>2846064</v>
      </c>
    </row>
    <row r="115" spans="1:6" x14ac:dyDescent="0.2">
      <c r="B115" s="43" t="s">
        <v>1278</v>
      </c>
      <c r="C115" s="51">
        <f>IF(F3="1",SUMIF(Data!A:A,$A$2,Data!BI:BI),0)</f>
        <v>1003515</v>
      </c>
      <c r="D115" s="51">
        <f>IF(F3="1",SUMIF(Data!A:A,$A$2,Data!BL:BL),0)</f>
        <v>457963</v>
      </c>
      <c r="E115" s="51">
        <f>IF(F3="1",SUMIF(Data!A:A,$A$2,Data!BU:BU),0)</f>
        <v>1550877</v>
      </c>
      <c r="F115" s="49">
        <f t="shared" si="7"/>
        <v>3012355</v>
      </c>
    </row>
    <row r="116" spans="1:6" x14ac:dyDescent="0.2">
      <c r="B116" s="43" t="s">
        <v>33</v>
      </c>
      <c r="C116" s="51">
        <f>IF(F3="1",SUMIF(Data!A:A,$A$2,Data!X:X),0)</f>
        <v>0</v>
      </c>
      <c r="D116" s="51"/>
      <c r="E116" s="51">
        <f>E102</f>
        <v>2150</v>
      </c>
      <c r="F116" s="49">
        <f t="shared" si="7"/>
        <v>2150</v>
      </c>
    </row>
    <row r="117" spans="1:6" ht="15" thickBot="1" x14ac:dyDescent="0.25">
      <c r="B117" s="44" t="s">
        <v>1282</v>
      </c>
      <c r="C117" s="53"/>
      <c r="D117" s="53">
        <f>IF(F3="1",SUMIF(Data!A:A,$A$2,Data!Q:Q),0)</f>
        <v>1132565</v>
      </c>
      <c r="E117" s="53"/>
      <c r="F117" s="50">
        <f>SUM(C117:E117)</f>
        <v>1132565</v>
      </c>
    </row>
    <row r="118" spans="1:6" x14ac:dyDescent="0.2">
      <c r="B118" s="14" t="s">
        <v>35</v>
      </c>
      <c r="C118" s="5">
        <f>SUM(C109:C116)</f>
        <v>17952961</v>
      </c>
      <c r="D118" s="5">
        <f>SUM(D109:D116)</f>
        <v>2063324</v>
      </c>
      <c r="E118" s="5">
        <f>SUM(E109:E116)</f>
        <v>4759701</v>
      </c>
      <c r="F118" s="5">
        <f>SUM(F109:F116)</f>
        <v>24775986</v>
      </c>
    </row>
    <row r="119" spans="1:6" ht="15" thickBot="1" x14ac:dyDescent="0.25"/>
    <row r="120" spans="1:6" ht="15" thickBot="1" x14ac:dyDescent="0.25">
      <c r="B120" s="57" t="s">
        <v>1283</v>
      </c>
      <c r="C120" s="55"/>
      <c r="D120" s="55"/>
      <c r="E120" s="55">
        <f>IF(F3="1",SUMIF(Data!A:A,'44'!$A$2,Data!AM:AM),0)</f>
        <v>482738</v>
      </c>
      <c r="F120" s="56">
        <f>SUM(C120:E120)</f>
        <v>482738</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2.140625" style="11" bestFit="1" customWidth="1"/>
    <col min="12" max="12" width="13.42578125" style="11" bestFit="1" customWidth="1"/>
    <col min="13"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595</v>
      </c>
      <c r="B2" s="60" t="str">
        <f>VLOOKUP(A2,Data!A:G,7,0)</f>
        <v>Tyler Junior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42288</v>
      </c>
      <c r="E5" s="16">
        <f>E36+E67+IFERROR($E$105/$D$105*D5,0)</f>
        <v>239095.14745497509</v>
      </c>
      <c r="F5" s="21">
        <f>IFERROR(E5/D5,"")</f>
        <v>5.6539715156776174</v>
      </c>
    </row>
    <row r="6" spans="1:6" x14ac:dyDescent="0.2">
      <c r="A6" s="20">
        <v>2</v>
      </c>
      <c r="B6" s="179" t="s">
        <v>1</v>
      </c>
      <c r="C6" s="180"/>
      <c r="D6" s="15">
        <f t="shared" ref="D6:D32" si="0">D37</f>
        <v>47004</v>
      </c>
      <c r="E6" s="18">
        <f t="shared" ref="E6:E32" si="1">E37+E68+IFERROR($E$105/$D$105*D6,0)</f>
        <v>452523.92297989142</v>
      </c>
      <c r="F6" s="22">
        <f t="shared" ref="F6:F33" si="2">IFERROR(E6/D6,"")</f>
        <v>9.6273492251700148</v>
      </c>
    </row>
    <row r="7" spans="1:6" ht="14.25" customHeight="1" x14ac:dyDescent="0.2">
      <c r="A7" s="20">
        <v>3</v>
      </c>
      <c r="B7" s="179" t="s">
        <v>2</v>
      </c>
      <c r="C7" s="180"/>
      <c r="D7" s="15">
        <f t="shared" si="0"/>
        <v>899968</v>
      </c>
      <c r="E7" s="18">
        <f t="shared" si="1"/>
        <v>6146858.5622578273</v>
      </c>
      <c r="F7" s="22">
        <f t="shared" si="2"/>
        <v>6.8300856944444996</v>
      </c>
    </row>
    <row r="8" spans="1:6" ht="14.25" customHeight="1" x14ac:dyDescent="0.2">
      <c r="A8" s="20">
        <v>4</v>
      </c>
      <c r="B8" s="179" t="s">
        <v>3</v>
      </c>
      <c r="C8" s="180"/>
      <c r="D8" s="15">
        <f t="shared" si="0"/>
        <v>447535</v>
      </c>
      <c r="E8" s="18">
        <f t="shared" si="1"/>
        <v>2784798.8245427134</v>
      </c>
      <c r="F8" s="22">
        <f t="shared" si="2"/>
        <v>6.2225274549313756</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61848</v>
      </c>
      <c r="E10" s="18">
        <f t="shared" si="1"/>
        <v>1032023.1935252388</v>
      </c>
      <c r="F10" s="22">
        <f t="shared" si="2"/>
        <v>16.686444081057413</v>
      </c>
    </row>
    <row r="11" spans="1:6" x14ac:dyDescent="0.2">
      <c r="A11" s="20">
        <v>7</v>
      </c>
      <c r="B11" s="179" t="s">
        <v>6</v>
      </c>
      <c r="C11" s="180"/>
      <c r="D11" s="15">
        <f t="shared" si="0"/>
        <v>229884</v>
      </c>
      <c r="E11" s="18">
        <f t="shared" si="1"/>
        <v>2326136.7524957312</v>
      </c>
      <c r="F11" s="22">
        <f t="shared" si="2"/>
        <v>10.118741419566961</v>
      </c>
    </row>
    <row r="12" spans="1:6" x14ac:dyDescent="0.2">
      <c r="A12" s="20">
        <v>8</v>
      </c>
      <c r="B12" s="179" t="s">
        <v>7</v>
      </c>
      <c r="C12" s="180"/>
      <c r="D12" s="15">
        <f t="shared" si="0"/>
        <v>13372</v>
      </c>
      <c r="E12" s="18">
        <f t="shared" si="1"/>
        <v>72249.366055806051</v>
      </c>
      <c r="F12" s="22">
        <f t="shared" si="2"/>
        <v>5.4030336565813677</v>
      </c>
    </row>
    <row r="13" spans="1:6" x14ac:dyDescent="0.2">
      <c r="A13" s="20">
        <v>9</v>
      </c>
      <c r="B13" s="179" t="s">
        <v>8</v>
      </c>
      <c r="C13" s="180"/>
      <c r="D13" s="15">
        <f t="shared" si="0"/>
        <v>114459</v>
      </c>
      <c r="E13" s="18">
        <f t="shared" si="1"/>
        <v>877563.12633723498</v>
      </c>
      <c r="F13" s="22">
        <f t="shared" si="2"/>
        <v>7.6670521875714011</v>
      </c>
    </row>
    <row r="14" spans="1:6" x14ac:dyDescent="0.2">
      <c r="A14" s="20">
        <v>10</v>
      </c>
      <c r="B14" s="179" t="s">
        <v>9</v>
      </c>
      <c r="C14" s="180"/>
      <c r="D14" s="15">
        <f t="shared" si="0"/>
        <v>4672</v>
      </c>
      <c r="E14" s="18">
        <f t="shared" si="1"/>
        <v>25242.566423326796</v>
      </c>
      <c r="F14" s="22">
        <f t="shared" si="2"/>
        <v>5.4029465803353585</v>
      </c>
    </row>
    <row r="15" spans="1:6" x14ac:dyDescent="0.2">
      <c r="A15" s="20">
        <v>11</v>
      </c>
      <c r="B15" s="179" t="s">
        <v>10</v>
      </c>
      <c r="C15" s="180"/>
      <c r="D15" s="15">
        <f t="shared" si="0"/>
        <v>169418</v>
      </c>
      <c r="E15" s="18">
        <f t="shared" si="1"/>
        <v>1364416.9448431463</v>
      </c>
      <c r="F15" s="22">
        <f t="shared" si="2"/>
        <v>8.0535536061289008</v>
      </c>
    </row>
    <row r="16" spans="1:6" ht="14.25" customHeight="1" x14ac:dyDescent="0.2">
      <c r="A16" s="20">
        <v>12</v>
      </c>
      <c r="B16" s="179" t="s">
        <v>11</v>
      </c>
      <c r="C16" s="180"/>
      <c r="D16" s="15">
        <f t="shared" si="0"/>
        <v>503616</v>
      </c>
      <c r="E16" s="18">
        <f t="shared" si="1"/>
        <v>3942403.9751391583</v>
      </c>
      <c r="F16" s="22">
        <f t="shared" si="2"/>
        <v>7.8281944480301622</v>
      </c>
    </row>
    <row r="17" spans="1:6" x14ac:dyDescent="0.2">
      <c r="A17" s="20">
        <v>13</v>
      </c>
      <c r="B17" s="179" t="s">
        <v>12</v>
      </c>
      <c r="C17" s="180"/>
      <c r="D17" s="15">
        <f t="shared" si="0"/>
        <v>139193</v>
      </c>
      <c r="E17" s="18">
        <f t="shared" si="1"/>
        <v>873303.94267168804</v>
      </c>
      <c r="F17" s="22">
        <f t="shared" si="2"/>
        <v>6.2740507257670144</v>
      </c>
    </row>
    <row r="18" spans="1:6" ht="14.25" customHeight="1" x14ac:dyDescent="0.2">
      <c r="A18" s="20">
        <v>14</v>
      </c>
      <c r="B18" s="179" t="s">
        <v>804</v>
      </c>
      <c r="C18" s="180"/>
      <c r="D18" s="15">
        <f t="shared" si="0"/>
        <v>215217</v>
      </c>
      <c r="E18" s="18">
        <f t="shared" si="1"/>
        <v>2300369.8685635966</v>
      </c>
      <c r="F18" s="22">
        <f t="shared" si="2"/>
        <v>10.688606701903645</v>
      </c>
    </row>
    <row r="19" spans="1:6" x14ac:dyDescent="0.2">
      <c r="A19" s="20">
        <v>15</v>
      </c>
      <c r="B19" s="179" t="s">
        <v>13</v>
      </c>
      <c r="C19" s="180"/>
      <c r="D19" s="15">
        <f t="shared" si="0"/>
        <v>40472</v>
      </c>
      <c r="E19" s="18">
        <f t="shared" si="1"/>
        <v>610512.9718075518</v>
      </c>
      <c r="F19" s="22">
        <f t="shared" si="2"/>
        <v>15.084823379312903</v>
      </c>
    </row>
    <row r="20" spans="1:6" x14ac:dyDescent="0.2">
      <c r="A20" s="20">
        <v>16</v>
      </c>
      <c r="B20" s="179" t="s">
        <v>14</v>
      </c>
      <c r="C20" s="180"/>
      <c r="D20" s="15">
        <f t="shared" si="0"/>
        <v>355795</v>
      </c>
      <c r="E20" s="18">
        <f t="shared" si="1"/>
        <v>3126077.8477285011</v>
      </c>
      <c r="F20" s="22">
        <f t="shared" si="2"/>
        <v>8.7861770056591606</v>
      </c>
    </row>
    <row r="21" spans="1:6" x14ac:dyDescent="0.2">
      <c r="A21" s="20">
        <v>17</v>
      </c>
      <c r="B21" s="179" t="s">
        <v>15</v>
      </c>
      <c r="C21" s="180"/>
      <c r="D21" s="15">
        <f t="shared" si="0"/>
        <v>60880</v>
      </c>
      <c r="E21" s="18">
        <f t="shared" si="1"/>
        <v>549647.59329026868</v>
      </c>
      <c r="F21" s="22">
        <f t="shared" si="2"/>
        <v>9.0283770251358195</v>
      </c>
    </row>
    <row r="22" spans="1:6" x14ac:dyDescent="0.2">
      <c r="A22" s="20">
        <v>18</v>
      </c>
      <c r="B22" s="179" t="s">
        <v>16</v>
      </c>
      <c r="C22" s="180"/>
      <c r="D22" s="15">
        <f t="shared" si="0"/>
        <v>297584</v>
      </c>
      <c r="E22" s="18">
        <f t="shared" si="1"/>
        <v>2223800.7565323804</v>
      </c>
      <c r="F22" s="22">
        <f t="shared" si="2"/>
        <v>7.4728505448289573</v>
      </c>
    </row>
    <row r="23" spans="1:6" x14ac:dyDescent="0.2">
      <c r="A23" s="20">
        <v>19</v>
      </c>
      <c r="B23" s="179" t="s">
        <v>17</v>
      </c>
      <c r="C23" s="180"/>
      <c r="D23" s="15">
        <f t="shared" si="0"/>
        <v>291480</v>
      </c>
      <c r="E23" s="18">
        <f t="shared" si="1"/>
        <v>2139301.2938936846</v>
      </c>
      <c r="F23" s="22">
        <f t="shared" si="2"/>
        <v>7.3394445378540025</v>
      </c>
    </row>
    <row r="24" spans="1:6" x14ac:dyDescent="0.2">
      <c r="A24" s="20">
        <v>20</v>
      </c>
      <c r="B24" s="179" t="s">
        <v>18</v>
      </c>
      <c r="C24" s="180"/>
      <c r="D24" s="15">
        <f t="shared" si="0"/>
        <v>90607</v>
      </c>
      <c r="E24" s="18">
        <f t="shared" si="1"/>
        <v>747002.59244828147</v>
      </c>
      <c r="F24" s="22">
        <f t="shared" si="2"/>
        <v>8.2444247403432573</v>
      </c>
    </row>
    <row r="25" spans="1:6" ht="14.25" customHeight="1" x14ac:dyDescent="0.2">
      <c r="A25" s="20">
        <v>21</v>
      </c>
      <c r="B25" s="179" t="s">
        <v>801</v>
      </c>
      <c r="C25" s="180"/>
      <c r="D25" s="15">
        <f t="shared" si="0"/>
        <v>21132</v>
      </c>
      <c r="E25" s="18">
        <f t="shared" si="1"/>
        <v>113888.97124523584</v>
      </c>
      <c r="F25" s="22">
        <f t="shared" si="2"/>
        <v>5.3894080657408594</v>
      </c>
    </row>
    <row r="26" spans="1:6" x14ac:dyDescent="0.2">
      <c r="A26" s="20">
        <v>22</v>
      </c>
      <c r="B26" s="179" t="s">
        <v>19</v>
      </c>
      <c r="C26" s="180"/>
      <c r="D26" s="15">
        <f t="shared" si="0"/>
        <v>40864</v>
      </c>
      <c r="E26" s="18">
        <f t="shared" si="1"/>
        <v>220679.65289444054</v>
      </c>
      <c r="F26" s="22">
        <f t="shared" si="2"/>
        <v>5.4003438942453146</v>
      </c>
    </row>
    <row r="27" spans="1:6" x14ac:dyDescent="0.2">
      <c r="A27" s="20">
        <v>23</v>
      </c>
      <c r="B27" s="179" t="s">
        <v>20</v>
      </c>
      <c r="C27" s="180"/>
      <c r="D27" s="15">
        <f t="shared" si="0"/>
        <v>119958</v>
      </c>
      <c r="E27" s="18">
        <f t="shared" si="1"/>
        <v>1565987.7138290745</v>
      </c>
      <c r="F27" s="22">
        <f t="shared" si="2"/>
        <v>13.054466678579791</v>
      </c>
    </row>
    <row r="28" spans="1:6" x14ac:dyDescent="0.2">
      <c r="A28" s="20">
        <v>24</v>
      </c>
      <c r="B28" s="179" t="s">
        <v>21</v>
      </c>
      <c r="C28" s="180"/>
      <c r="D28" s="15">
        <f t="shared" si="0"/>
        <v>95930</v>
      </c>
      <c r="E28" s="18">
        <f t="shared" si="1"/>
        <v>786911.34353376273</v>
      </c>
      <c r="F28" s="22">
        <f t="shared" si="2"/>
        <v>8.2029744973810352</v>
      </c>
    </row>
    <row r="29" spans="1:6" x14ac:dyDescent="0.2">
      <c r="A29" s="20">
        <v>25</v>
      </c>
      <c r="B29" s="179" t="s">
        <v>22</v>
      </c>
      <c r="C29" s="180"/>
      <c r="D29" s="15">
        <f t="shared" si="0"/>
        <v>794832</v>
      </c>
      <c r="E29" s="18">
        <f t="shared" si="1"/>
        <v>5554515.0144233052</v>
      </c>
      <c r="F29" s="22">
        <f t="shared" si="2"/>
        <v>6.9882881092146585</v>
      </c>
    </row>
    <row r="30" spans="1:6" x14ac:dyDescent="0.2">
      <c r="A30" s="20">
        <v>26</v>
      </c>
      <c r="B30" s="179" t="s">
        <v>23</v>
      </c>
      <c r="C30" s="180"/>
      <c r="D30" s="15">
        <f t="shared" si="0"/>
        <v>384040</v>
      </c>
      <c r="E30" s="18">
        <f t="shared" si="1"/>
        <v>3250494.4403284295</v>
      </c>
      <c r="F30" s="22">
        <f t="shared" si="2"/>
        <v>8.4639476104791935</v>
      </c>
    </row>
    <row r="31" spans="1:6" x14ac:dyDescent="0.2">
      <c r="A31" s="20">
        <v>28</v>
      </c>
      <c r="B31" s="179" t="s">
        <v>24</v>
      </c>
      <c r="C31" s="180"/>
      <c r="D31" s="15">
        <f t="shared" si="0"/>
        <v>247792</v>
      </c>
      <c r="E31" s="18">
        <f t="shared" si="1"/>
        <v>1897680.8568426785</v>
      </c>
      <c r="F31" s="22">
        <f t="shared" si="2"/>
        <v>7.6583620812725126</v>
      </c>
    </row>
    <row r="32" spans="1:6" ht="15.75" customHeight="1" thickBot="1" x14ac:dyDescent="0.25">
      <c r="A32" s="23">
        <v>29</v>
      </c>
      <c r="B32" s="181" t="s">
        <v>25</v>
      </c>
      <c r="C32" s="182"/>
      <c r="D32" s="24">
        <f t="shared" si="0"/>
        <v>323696</v>
      </c>
      <c r="E32" s="25">
        <f t="shared" si="1"/>
        <v>2001466.7579120698</v>
      </c>
      <c r="F32" s="26">
        <f t="shared" si="2"/>
        <v>6.1831680277546521</v>
      </c>
    </row>
    <row r="33" spans="1:6" x14ac:dyDescent="0.2">
      <c r="B33" s="31" t="s">
        <v>35</v>
      </c>
      <c r="C33" s="31"/>
      <c r="D33" s="61">
        <f>SUM(D5:D32)</f>
        <v>6053536</v>
      </c>
      <c r="E33" s="32">
        <f>SUM(E5:E32)</f>
        <v>47224953.999999993</v>
      </c>
      <c r="F33" s="33">
        <f t="shared" si="2"/>
        <v>7.8012179988687596</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IF(F3="1",SUMIF(Data!A:A,'45'!$A$2,Data!CU:CU),0)</f>
        <v>42288</v>
      </c>
      <c r="E36" s="16">
        <f>IF(F3="1",SUMIF(Data!$A:$A,'45'!$A$2,Data!IO:IO),0)</f>
        <v>37333</v>
      </c>
      <c r="F36" s="21">
        <f t="shared" ref="F36:F64" si="3">IFERROR(E36/D36,"")</f>
        <v>0.88282727960650775</v>
      </c>
    </row>
    <row r="37" spans="1:6" x14ac:dyDescent="0.2">
      <c r="A37" s="20">
        <v>2</v>
      </c>
      <c r="B37" s="179" t="s">
        <v>1</v>
      </c>
      <c r="C37" s="180"/>
      <c r="D37" s="15">
        <f>IF(F3="1",SUMIF(Data!A:A,'45'!$A$2,Data!CV:CV),0)</f>
        <v>47004</v>
      </c>
      <c r="E37" s="18">
        <f>IF(F3="1",SUMIF(Data!$A:$A,'45'!$A$2,Data!IP:IP),0)</f>
        <v>112416</v>
      </c>
      <c r="F37" s="22">
        <f t="shared" si="3"/>
        <v>2.3916262445749297</v>
      </c>
    </row>
    <row r="38" spans="1:6" ht="14.25" customHeight="1" x14ac:dyDescent="0.2">
      <c r="A38" s="20">
        <v>3</v>
      </c>
      <c r="B38" s="179" t="s">
        <v>2</v>
      </c>
      <c r="C38" s="180"/>
      <c r="D38" s="15">
        <f>IF(F3="1",SUMIF(Data!A:A,'45'!$A$2,Data!CW:CW),0)</f>
        <v>899968</v>
      </c>
      <c r="E38" s="18">
        <f>IF(F3="1",SUMIF(Data!$A:$A,'45'!$A$2,Data!IQ:IQ),0)</f>
        <v>1303550</v>
      </c>
      <c r="F38" s="22">
        <f t="shared" si="3"/>
        <v>1.4484403889916087</v>
      </c>
    </row>
    <row r="39" spans="1:6" ht="14.25" customHeight="1" x14ac:dyDescent="0.2">
      <c r="A39" s="20">
        <v>4</v>
      </c>
      <c r="B39" s="179" t="s">
        <v>3</v>
      </c>
      <c r="C39" s="180"/>
      <c r="D39" s="15">
        <f>IF(F3="1",SUMIF(Data!A:A,'45'!$A$2,Data!CX:CX),0)</f>
        <v>447535</v>
      </c>
      <c r="E39" s="18">
        <f>IF(F3="1",SUMIF(Data!$A:$A,'45'!$A$2,Data!IR:IR),0)</f>
        <v>366886</v>
      </c>
      <c r="F39" s="22">
        <f t="shared" si="3"/>
        <v>0.81979286536248563</v>
      </c>
    </row>
    <row r="40" spans="1:6" x14ac:dyDescent="0.2">
      <c r="A40" s="20">
        <v>5</v>
      </c>
      <c r="B40" s="179" t="s">
        <v>4</v>
      </c>
      <c r="C40" s="180"/>
      <c r="D40" s="15">
        <f>IF(F3="1",SUMIF(Data!A:A,'45'!$A$2,Data!CY:CY),0)</f>
        <v>0</v>
      </c>
      <c r="E40" s="18">
        <f>IF(F3="1",SUMIF(Data!$A:$A,'45'!$A$2,Data!IS:IS),0)</f>
        <v>0</v>
      </c>
      <c r="F40" s="22" t="str">
        <f t="shared" si="3"/>
        <v/>
      </c>
    </row>
    <row r="41" spans="1:6" x14ac:dyDescent="0.2">
      <c r="A41" s="20">
        <v>6</v>
      </c>
      <c r="B41" s="179" t="s">
        <v>5</v>
      </c>
      <c r="C41" s="180"/>
      <c r="D41" s="15">
        <f>IF(F3="1",SUMIF(Data!A:A,'45'!$A$2,Data!CZ:CZ),0)</f>
        <v>61848</v>
      </c>
      <c r="E41" s="18">
        <f>IF(F3="1",SUMIF(Data!$A:$A,'45'!$A$2,Data!IT:IT),0)</f>
        <v>144396</v>
      </c>
      <c r="F41" s="22">
        <f t="shared" si="3"/>
        <v>2.3346915017462164</v>
      </c>
    </row>
    <row r="42" spans="1:6" x14ac:dyDescent="0.2">
      <c r="A42" s="20">
        <v>7</v>
      </c>
      <c r="B42" s="179" t="s">
        <v>6</v>
      </c>
      <c r="C42" s="180"/>
      <c r="D42" s="15">
        <f>IF(F3="1",SUMIF(Data!A:A,'45'!$A$2,Data!DA:DA),0)</f>
        <v>229884</v>
      </c>
      <c r="E42" s="18">
        <f>IF(F3="1",SUMIF(Data!$A:$A,'45'!$A$2,Data!IU:IU),0)</f>
        <v>274199</v>
      </c>
      <c r="F42" s="22">
        <f t="shared" si="3"/>
        <v>1.1927711367472291</v>
      </c>
    </row>
    <row r="43" spans="1:6" x14ac:dyDescent="0.2">
      <c r="A43" s="20">
        <v>8</v>
      </c>
      <c r="B43" s="179" t="s">
        <v>7</v>
      </c>
      <c r="C43" s="180"/>
      <c r="D43" s="15">
        <f>IF(F3="1",SUMIF(Data!A:A,'45'!$A$2,Data!DB:DB),0)</f>
        <v>13372</v>
      </c>
      <c r="E43" s="18">
        <f>IF(F3="1",SUMIF(Data!$A:$A,'45'!$A$2,Data!IV:IV),0)</f>
        <v>22305</v>
      </c>
      <c r="F43" s="22">
        <f t="shared" si="3"/>
        <v>1.6680376906969787</v>
      </c>
    </row>
    <row r="44" spans="1:6" x14ac:dyDescent="0.2">
      <c r="A44" s="20">
        <v>9</v>
      </c>
      <c r="B44" s="179" t="s">
        <v>8</v>
      </c>
      <c r="C44" s="180"/>
      <c r="D44" s="15">
        <f>IF(F3="1",SUMIF(Data!A:A,'45'!$A$2,Data!DC:DC),0)</f>
        <v>114459</v>
      </c>
      <c r="E44" s="18">
        <f>IF(F3="1",SUMIF(Data!$A:$A,'45'!$A$2,Data!IW:IW),0)</f>
        <v>304163</v>
      </c>
      <c r="F44" s="22">
        <f t="shared" si="3"/>
        <v>2.6573969718414454</v>
      </c>
    </row>
    <row r="45" spans="1:6" x14ac:dyDescent="0.2">
      <c r="A45" s="20">
        <v>10</v>
      </c>
      <c r="B45" s="179" t="s">
        <v>9</v>
      </c>
      <c r="C45" s="180"/>
      <c r="D45" s="15">
        <f>IF(F3="1",SUMIF(Data!A:A,'45'!$A$2,Data!DD:DD),0)</f>
        <v>4672</v>
      </c>
      <c r="E45" s="18">
        <f>IF(F3="1",SUMIF(Data!$A:$A,'45'!$A$2,Data!IX:IX),0)</f>
        <v>7793</v>
      </c>
      <c r="F45" s="22">
        <f t="shared" si="3"/>
        <v>1.6680222602739727</v>
      </c>
    </row>
    <row r="46" spans="1:6" x14ac:dyDescent="0.2">
      <c r="A46" s="20">
        <v>11</v>
      </c>
      <c r="B46" s="179" t="s">
        <v>10</v>
      </c>
      <c r="C46" s="180"/>
      <c r="D46" s="15">
        <f>IF(F3="1",SUMIF(Data!A:A,'45'!$A$2,Data!DE:DE),0)</f>
        <v>169418</v>
      </c>
      <c r="E46" s="18">
        <f>IF(F3="1",SUMIF(Data!$A:$A,'45'!$A$2,Data!IY:IY),0)</f>
        <v>247133</v>
      </c>
      <c r="F46" s="22">
        <f t="shared" si="3"/>
        <v>1.4587174916478769</v>
      </c>
    </row>
    <row r="47" spans="1:6" ht="14.25" customHeight="1" x14ac:dyDescent="0.2">
      <c r="A47" s="20">
        <v>12</v>
      </c>
      <c r="B47" s="179" t="s">
        <v>11</v>
      </c>
      <c r="C47" s="180"/>
      <c r="D47" s="15">
        <f>IF(F3="1",SUMIF(Data!A:A,'45'!$A$2,Data!DF:DF),0)</f>
        <v>503616</v>
      </c>
      <c r="E47" s="18">
        <f>IF(F3="1",SUMIF(Data!$A:$A,'45'!$A$2,Data!IZ:IZ),0)</f>
        <v>543830</v>
      </c>
      <c r="F47" s="22">
        <f t="shared" si="3"/>
        <v>1.0798505210318974</v>
      </c>
    </row>
    <row r="48" spans="1:6" x14ac:dyDescent="0.2">
      <c r="A48" s="20">
        <v>13</v>
      </c>
      <c r="B48" s="179" t="s">
        <v>12</v>
      </c>
      <c r="C48" s="180"/>
      <c r="D48" s="15">
        <f>IF(F3="1",SUMIF(Data!A:A,'45'!$A$2,Data!DG:DG),0)</f>
        <v>139193</v>
      </c>
      <c r="E48" s="18">
        <f>IF(F3="1",SUMIF(Data!$A:$A,'45'!$A$2,Data!JA:JA),0)</f>
        <v>150189</v>
      </c>
      <c r="F48" s="22">
        <f t="shared" si="3"/>
        <v>1.0789982254854771</v>
      </c>
    </row>
    <row r="49" spans="1:6" ht="14.25" customHeight="1" x14ac:dyDescent="0.2">
      <c r="A49" s="20">
        <v>14</v>
      </c>
      <c r="B49" s="179" t="s">
        <v>804</v>
      </c>
      <c r="C49" s="180"/>
      <c r="D49" s="15">
        <f>IF(F3="1",SUMIF(Data!A:A,'45'!$A$2,Data!DH:DH),0)</f>
        <v>215217</v>
      </c>
      <c r="E49" s="18">
        <f>IF(F3="1",SUMIF(Data!$A:$A,'45'!$A$2,Data!JB:JB),0)</f>
        <v>336104</v>
      </c>
      <c r="F49" s="22">
        <f t="shared" si="3"/>
        <v>1.5616981929866136</v>
      </c>
    </row>
    <row r="50" spans="1:6" x14ac:dyDescent="0.2">
      <c r="A50" s="20">
        <v>15</v>
      </c>
      <c r="B50" s="179" t="s">
        <v>13</v>
      </c>
      <c r="C50" s="180"/>
      <c r="D50" s="15">
        <f>IF(F3="1",SUMIF(Data!A:A,'45'!$A$2,Data!DI:DI),0)</f>
        <v>40472</v>
      </c>
      <c r="E50" s="18">
        <f>IF(F3="1",SUMIF(Data!$A:$A,'45'!$A$2,Data!JC:JC),0)</f>
        <v>124258</v>
      </c>
      <c r="F50" s="22">
        <f t="shared" si="3"/>
        <v>3.0702213876260132</v>
      </c>
    </row>
    <row r="51" spans="1:6" x14ac:dyDescent="0.2">
      <c r="A51" s="20">
        <v>16</v>
      </c>
      <c r="B51" s="179" t="s">
        <v>14</v>
      </c>
      <c r="C51" s="180"/>
      <c r="D51" s="15">
        <f>IF(F3="1",SUMIF(Data!A:A,'45'!$A$2,Data!DJ:DJ),0)</f>
        <v>355795</v>
      </c>
      <c r="E51" s="18">
        <f>IF(F3="1",SUMIF(Data!$A:$A,'45'!$A$2,Data!JD:JD),0)</f>
        <v>492597</v>
      </c>
      <c r="F51" s="22">
        <f t="shared" si="3"/>
        <v>1.3844966905099847</v>
      </c>
    </row>
    <row r="52" spans="1:6" x14ac:dyDescent="0.2">
      <c r="A52" s="20">
        <v>17</v>
      </c>
      <c r="B52" s="179" t="s">
        <v>15</v>
      </c>
      <c r="C52" s="180"/>
      <c r="D52" s="15">
        <f>IF(F3="1",SUMIF(Data!A:A,'45'!$A$2,Data!DK:DK),0)</f>
        <v>60880</v>
      </c>
      <c r="E52" s="18">
        <f>IF(F3="1",SUMIF(Data!$A:$A,'45'!$A$2,Data!JE:JE),0)</f>
        <v>78610</v>
      </c>
      <c r="F52" s="22">
        <f t="shared" si="3"/>
        <v>1.2912286465177398</v>
      </c>
    </row>
    <row r="53" spans="1:6" x14ac:dyDescent="0.2">
      <c r="A53" s="20">
        <v>18</v>
      </c>
      <c r="B53" s="179" t="s">
        <v>16</v>
      </c>
      <c r="C53" s="180"/>
      <c r="D53" s="15">
        <f>IF(F3="1",SUMIF(Data!A:A,'45'!$A$2,Data!DL:DL),0)</f>
        <v>297584</v>
      </c>
      <c r="E53" s="18">
        <f>IF(F3="1",SUMIF(Data!$A:$A,'45'!$A$2,Data!JF:JF),0)</f>
        <v>352211</v>
      </c>
      <c r="F53" s="22">
        <f t="shared" si="3"/>
        <v>1.183568337007366</v>
      </c>
    </row>
    <row r="54" spans="1:6" x14ac:dyDescent="0.2">
      <c r="A54" s="20">
        <v>19</v>
      </c>
      <c r="B54" s="179" t="s">
        <v>17</v>
      </c>
      <c r="C54" s="180"/>
      <c r="D54" s="15">
        <f>IF(F3="1",SUMIF(Data!A:A,'45'!$A$2,Data!DM:DM),0)</f>
        <v>291480</v>
      </c>
      <c r="E54" s="18">
        <f>IF(F3="1",SUMIF(Data!$A:$A,'45'!$A$2,Data!JG:JG),0)</f>
        <v>248030</v>
      </c>
      <c r="F54" s="22">
        <f t="shared" si="3"/>
        <v>0.85093316865651158</v>
      </c>
    </row>
    <row r="55" spans="1:6" x14ac:dyDescent="0.2">
      <c r="A55" s="20">
        <v>20</v>
      </c>
      <c r="B55" s="179" t="s">
        <v>18</v>
      </c>
      <c r="C55" s="180"/>
      <c r="D55" s="15">
        <f>IF(F3="1",SUMIF(Data!A:A,'45'!$A$2,Data!DN:DN),0)</f>
        <v>90607</v>
      </c>
      <c r="E55" s="18">
        <f>IF(F3="1",SUMIF(Data!$A:$A,'45'!$A$2,Data!JH:JH),0)</f>
        <v>113413</v>
      </c>
      <c r="F55" s="22">
        <f t="shared" si="3"/>
        <v>1.2517024070987892</v>
      </c>
    </row>
    <row r="56" spans="1:6" ht="14.25" customHeight="1" x14ac:dyDescent="0.2">
      <c r="A56" s="20">
        <v>21</v>
      </c>
      <c r="B56" s="179" t="s">
        <v>801</v>
      </c>
      <c r="C56" s="180"/>
      <c r="D56" s="15">
        <f>IF(F3="1",SUMIF(Data!A:A,'45'!$A$2,Data!DO:DO),0)</f>
        <v>21132</v>
      </c>
      <c r="E56" s="18">
        <f>IF(F3="1",SUMIF(Data!$A:$A,'45'!$A$2,Data!JI:JI),0)</f>
        <v>34986</v>
      </c>
      <c r="F56" s="22">
        <f t="shared" si="3"/>
        <v>1.6555934128336172</v>
      </c>
    </row>
    <row r="57" spans="1:6" x14ac:dyDescent="0.2">
      <c r="A57" s="20">
        <v>22</v>
      </c>
      <c r="B57" s="179" t="s">
        <v>19</v>
      </c>
      <c r="C57" s="180"/>
      <c r="D57" s="15">
        <f>IF(F3="1",SUMIF(Data!A:A,'45'!$A$2,Data!DP:DP),0)</f>
        <v>40864</v>
      </c>
      <c r="E57" s="18">
        <f>IF(F3="1",SUMIF(Data!$A:$A,'45'!$A$2,Data!JJ:JJ),0)</f>
        <v>68053</v>
      </c>
      <c r="F57" s="22">
        <f t="shared" si="3"/>
        <v>1.6653533672670322</v>
      </c>
    </row>
    <row r="58" spans="1:6" x14ac:dyDescent="0.2">
      <c r="A58" s="20">
        <v>23</v>
      </c>
      <c r="B58" s="179" t="s">
        <v>20</v>
      </c>
      <c r="C58" s="180"/>
      <c r="D58" s="15">
        <f>IF(F3="1",SUMIF(Data!A:A,'45'!$A$2,Data!DQ:DQ),0)</f>
        <v>119958</v>
      </c>
      <c r="E58" s="18">
        <f>IF(F3="1",SUMIF(Data!$A:$A,'45'!$A$2,Data!JK:JK),0)</f>
        <v>152770</v>
      </c>
      <c r="F58" s="22">
        <f t="shared" si="3"/>
        <v>1.2735290685073108</v>
      </c>
    </row>
    <row r="59" spans="1:6" x14ac:dyDescent="0.2">
      <c r="A59" s="20">
        <v>24</v>
      </c>
      <c r="B59" s="179" t="s">
        <v>21</v>
      </c>
      <c r="C59" s="180"/>
      <c r="D59" s="15">
        <f>IF(F3="1",SUMIF(Data!A:A,'45'!$A$2,Data!DR:DR),0)</f>
        <v>95930</v>
      </c>
      <c r="E59" s="18">
        <f>IF(F3="1",SUMIF(Data!$A:$A,'45'!$A$2,Data!JL:JL),0)</f>
        <v>162391</v>
      </c>
      <c r="F59" s="22">
        <f t="shared" si="3"/>
        <v>1.6928072552903159</v>
      </c>
    </row>
    <row r="60" spans="1:6" x14ac:dyDescent="0.2">
      <c r="A60" s="20">
        <v>25</v>
      </c>
      <c r="B60" s="179" t="s">
        <v>22</v>
      </c>
      <c r="C60" s="180"/>
      <c r="D60" s="15">
        <f>IF(F3="1",SUMIF(Data!A:A,'45'!$A$2,Data!DS:DS),0)</f>
        <v>794832</v>
      </c>
      <c r="E60" s="18">
        <f>IF(F3="1",SUMIF(Data!$A:$A,'45'!$A$2,Data!JM:JM),0)</f>
        <v>668633</v>
      </c>
      <c r="F60" s="22">
        <f t="shared" si="3"/>
        <v>0.84122556716387864</v>
      </c>
    </row>
    <row r="61" spans="1:6" x14ac:dyDescent="0.2">
      <c r="A61" s="20">
        <v>26</v>
      </c>
      <c r="B61" s="179" t="s">
        <v>23</v>
      </c>
      <c r="C61" s="180"/>
      <c r="D61" s="15">
        <f>IF(F3="1",SUMIF(Data!A:A,'45'!$A$2,Data!DT:DT),0)</f>
        <v>384040</v>
      </c>
      <c r="E61" s="18">
        <f>IF(F3="1",SUMIF(Data!$A:$A,'45'!$A$2,Data!JN:JN),0)</f>
        <v>657346</v>
      </c>
      <c r="F61" s="22">
        <f t="shared" si="3"/>
        <v>1.711660243724612</v>
      </c>
    </row>
    <row r="62" spans="1:6" x14ac:dyDescent="0.2">
      <c r="A62" s="20">
        <v>28</v>
      </c>
      <c r="B62" s="179" t="s">
        <v>24</v>
      </c>
      <c r="C62" s="180"/>
      <c r="D62" s="15">
        <f>IF(F3="1",SUMIF(Data!A:A,'45'!$A$2,Data!DV:DV),0)</f>
        <v>247792</v>
      </c>
      <c r="E62" s="18">
        <f>IF(F3="1",SUMIF(Data!$A:$A,'45'!$A$2,Data!JP:JP),0)</f>
        <v>236076</v>
      </c>
      <c r="F62" s="22">
        <f t="shared" si="3"/>
        <v>0.95271840898818361</v>
      </c>
    </row>
    <row r="63" spans="1:6" ht="15.75" customHeight="1" thickBot="1" x14ac:dyDescent="0.25">
      <c r="A63" s="23">
        <v>29</v>
      </c>
      <c r="B63" s="181" t="s">
        <v>25</v>
      </c>
      <c r="C63" s="182"/>
      <c r="D63" s="24">
        <f>IF(F3="1",SUMIF(Data!A:A,'45'!$A$2,Data!DW:DW),0)</f>
        <v>323696</v>
      </c>
      <c r="E63" s="25">
        <f>IF(F3="1",SUMIF(Data!$A:$A,'45'!$A$2,Data!JQ:JQ),0)</f>
        <v>251620</v>
      </c>
      <c r="F63" s="26">
        <f t="shared" si="3"/>
        <v>0.77733428896248336</v>
      </c>
    </row>
    <row r="64" spans="1:6" x14ac:dyDescent="0.2">
      <c r="B64" s="31" t="s">
        <v>35</v>
      </c>
      <c r="C64" s="31"/>
      <c r="D64" s="61">
        <f>SUM(D36:D63)</f>
        <v>6053536</v>
      </c>
      <c r="E64" s="32">
        <f>SUM(E36:E63)</f>
        <v>7491291</v>
      </c>
      <c r="F64" s="33">
        <f t="shared" si="3"/>
        <v>1.2375066407468296</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42288</v>
      </c>
      <c r="E67" s="16">
        <f>IF(F3="1",SUMIF(Data!A:A,'45'!$A$2,Data!DY:DY),0)</f>
        <v>51631</v>
      </c>
      <c r="F67" s="21">
        <f>IFERROR(E67/D67,"")</f>
        <v>1.2209373817631479</v>
      </c>
    </row>
    <row r="68" spans="1:6" x14ac:dyDescent="0.2">
      <c r="A68" s="20">
        <v>2</v>
      </c>
      <c r="B68" s="179" t="s">
        <v>1</v>
      </c>
      <c r="C68" s="180"/>
      <c r="D68" s="15">
        <f t="shared" ref="D68:D94" si="4">D37</f>
        <v>47004</v>
      </c>
      <c r="E68" s="18">
        <f>IF(F3="1",SUMIF(Data!A:A,'45'!$A$2,Data!DZ:DZ),0)</f>
        <v>173234</v>
      </c>
      <c r="F68" s="22">
        <f t="shared" ref="F68:F95" si="5">IFERROR(E68/D68,"")</f>
        <v>3.6855161262871245</v>
      </c>
    </row>
    <row r="69" spans="1:6" ht="14.25" customHeight="1" x14ac:dyDescent="0.2">
      <c r="A69" s="20">
        <v>3</v>
      </c>
      <c r="B69" s="179" t="s">
        <v>2</v>
      </c>
      <c r="C69" s="180"/>
      <c r="D69" s="15">
        <f t="shared" si="4"/>
        <v>899968</v>
      </c>
      <c r="E69" s="18">
        <f>IF(F3="1",SUMIF(Data!A:A,'45'!$A$2,Data!EA:EA),0)</f>
        <v>1648236</v>
      </c>
      <c r="F69" s="22">
        <f t="shared" si="5"/>
        <v>1.8314384511449295</v>
      </c>
    </row>
    <row r="70" spans="1:6" ht="14.25" customHeight="1" x14ac:dyDescent="0.2">
      <c r="A70" s="20">
        <v>4</v>
      </c>
      <c r="B70" s="179" t="s">
        <v>3</v>
      </c>
      <c r="C70" s="180"/>
      <c r="D70" s="15">
        <f t="shared" si="4"/>
        <v>447535</v>
      </c>
      <c r="E70" s="18">
        <f>IF(F3="1",SUMIF(Data!A:A,'45'!$A$2,Data!EB:EB),0)</f>
        <v>829071</v>
      </c>
      <c r="F70" s="22">
        <f t="shared" si="5"/>
        <v>1.8525277352609293</v>
      </c>
    </row>
    <row r="71" spans="1:6" x14ac:dyDescent="0.2">
      <c r="A71" s="20">
        <v>5</v>
      </c>
      <c r="B71" s="179" t="s">
        <v>4</v>
      </c>
      <c r="C71" s="180"/>
      <c r="D71" s="15">
        <f t="shared" si="4"/>
        <v>0</v>
      </c>
      <c r="E71" s="18">
        <f>IF(F3="1",SUMIF(Data!A:A,'45'!$A$2,Data!EC:EC),0)</f>
        <v>0</v>
      </c>
      <c r="F71" s="22" t="str">
        <f t="shared" si="5"/>
        <v/>
      </c>
    </row>
    <row r="72" spans="1:6" x14ac:dyDescent="0.2">
      <c r="A72" s="20">
        <v>6</v>
      </c>
      <c r="B72" s="179" t="s">
        <v>5</v>
      </c>
      <c r="C72" s="180"/>
      <c r="D72" s="15">
        <f t="shared" si="4"/>
        <v>61848</v>
      </c>
      <c r="E72" s="18">
        <f>IF(F3="1",SUMIF(Data!A:A,'45'!$A$2,Data!ED:ED),0)</f>
        <v>668054</v>
      </c>
      <c r="F72" s="22">
        <f t="shared" si="5"/>
        <v>10.801545725003233</v>
      </c>
    </row>
    <row r="73" spans="1:6" x14ac:dyDescent="0.2">
      <c r="A73" s="20">
        <v>7</v>
      </c>
      <c r="B73" s="179" t="s">
        <v>6</v>
      </c>
      <c r="C73" s="180"/>
      <c r="D73" s="15">
        <f t="shared" si="4"/>
        <v>229884</v>
      </c>
      <c r="E73" s="18">
        <f>IF(F3="1",SUMIF(Data!A:A,'45'!$A$2,Data!EE:EE),0)</f>
        <v>1235802</v>
      </c>
      <c r="F73" s="22">
        <f t="shared" si="5"/>
        <v>5.375763428511771</v>
      </c>
    </row>
    <row r="74" spans="1:6" x14ac:dyDescent="0.2">
      <c r="A74" s="20">
        <v>8</v>
      </c>
      <c r="B74" s="179" t="s">
        <v>7</v>
      </c>
      <c r="C74" s="180"/>
      <c r="D74" s="15">
        <f t="shared" si="4"/>
        <v>13372</v>
      </c>
      <c r="E74" s="18">
        <f>IF(F3="1",SUMIF(Data!A:A,'45'!$A$2,Data!EF:EF),0)</f>
        <v>2471</v>
      </c>
      <c r="F74" s="22">
        <f t="shared" si="5"/>
        <v>0.18478911157642836</v>
      </c>
    </row>
    <row r="75" spans="1:6" x14ac:dyDescent="0.2">
      <c r="A75" s="20">
        <v>9</v>
      </c>
      <c r="B75" s="179" t="s">
        <v>8</v>
      </c>
      <c r="C75" s="180"/>
      <c r="D75" s="15">
        <f t="shared" si="4"/>
        <v>114459</v>
      </c>
      <c r="E75" s="18">
        <f>IF(F3="1",SUMIF(Data!A:A,'45'!$A$2,Data!EG:EG),0)</f>
        <v>167047</v>
      </c>
      <c r="F75" s="22">
        <f t="shared" si="5"/>
        <v>1.459448361421994</v>
      </c>
    </row>
    <row r="76" spans="1:6" x14ac:dyDescent="0.2">
      <c r="A76" s="20">
        <v>10</v>
      </c>
      <c r="B76" s="179" t="s">
        <v>9</v>
      </c>
      <c r="C76" s="180"/>
      <c r="D76" s="15">
        <f t="shared" si="4"/>
        <v>4672</v>
      </c>
      <c r="E76" s="18">
        <f>IF(F3="1",SUMIF(Data!A:A,'45'!$A$2,Data!EH:EH),0)</f>
        <v>863</v>
      </c>
      <c r="F76" s="22">
        <f t="shared" si="5"/>
        <v>0.18471746575342465</v>
      </c>
    </row>
    <row r="77" spans="1:6" x14ac:dyDescent="0.2">
      <c r="A77" s="20">
        <v>11</v>
      </c>
      <c r="B77" s="179" t="s">
        <v>10</v>
      </c>
      <c r="C77" s="180"/>
      <c r="D77" s="15">
        <f t="shared" si="4"/>
        <v>169418</v>
      </c>
      <c r="E77" s="18">
        <f>IF(F3="1",SUMIF(Data!A:A,'45'!$A$2,Data!EI:EI),0)</f>
        <v>515815</v>
      </c>
      <c r="F77" s="22">
        <f t="shared" si="5"/>
        <v>3.0446292601730631</v>
      </c>
    </row>
    <row r="78" spans="1:6" ht="14.25" customHeight="1" x14ac:dyDescent="0.2">
      <c r="A78" s="20">
        <v>12</v>
      </c>
      <c r="B78" s="179" t="s">
        <v>11</v>
      </c>
      <c r="C78" s="180"/>
      <c r="D78" s="15">
        <f t="shared" si="4"/>
        <v>503616</v>
      </c>
      <c r="E78" s="18">
        <f>IF(F3="1",SUMIF(Data!A:A,'45'!$A$2,Data!EJ:EJ),0)</f>
        <v>1610633</v>
      </c>
      <c r="F78" s="22">
        <f t="shared" si="5"/>
        <v>3.1981370726903036</v>
      </c>
    </row>
    <row r="79" spans="1:6" x14ac:dyDescent="0.2">
      <c r="A79" s="20">
        <v>13</v>
      </c>
      <c r="B79" s="179" t="s">
        <v>12</v>
      </c>
      <c r="C79" s="180"/>
      <c r="D79" s="15">
        <f t="shared" si="4"/>
        <v>139193</v>
      </c>
      <c r="E79" s="18">
        <f>IF(F3="1",SUMIF(Data!A:A,'45'!$A$2,Data!EK:EK),0)</f>
        <v>228951</v>
      </c>
      <c r="F79" s="22">
        <f t="shared" si="5"/>
        <v>1.6448456459735763</v>
      </c>
    </row>
    <row r="80" spans="1:6" ht="14.25" customHeight="1" x14ac:dyDescent="0.2">
      <c r="A80" s="20">
        <v>14</v>
      </c>
      <c r="B80" s="179" t="s">
        <v>804</v>
      </c>
      <c r="C80" s="180"/>
      <c r="D80" s="15">
        <f t="shared" si="4"/>
        <v>215217</v>
      </c>
      <c r="E80" s="18">
        <f>IF(F3="1",SUMIF(Data!A:A,'45'!$A$2,Data!EL:EL),0)</f>
        <v>1200201</v>
      </c>
      <c r="F80" s="22">
        <f t="shared" si="5"/>
        <v>5.5767016546090691</v>
      </c>
    </row>
    <row r="81" spans="1:6" x14ac:dyDescent="0.2">
      <c r="A81" s="20">
        <v>15</v>
      </c>
      <c r="B81" s="179" t="s">
        <v>13</v>
      </c>
      <c r="C81" s="180"/>
      <c r="D81" s="15">
        <f t="shared" si="4"/>
        <v>40472</v>
      </c>
      <c r="E81" s="18">
        <f>IF(F3="1",SUMIF(Data!A:A,'45'!$A$2,Data!EM:EM),0)</f>
        <v>342571</v>
      </c>
      <c r="F81" s="22">
        <f t="shared" si="5"/>
        <v>8.4643951373789292</v>
      </c>
    </row>
    <row r="82" spans="1:6" x14ac:dyDescent="0.2">
      <c r="A82" s="20">
        <v>16</v>
      </c>
      <c r="B82" s="179" t="s">
        <v>14</v>
      </c>
      <c r="C82" s="180"/>
      <c r="D82" s="15">
        <f t="shared" si="4"/>
        <v>355795</v>
      </c>
      <c r="E82" s="18">
        <f>IF(F3="1",SUMIF(Data!A:A,'45'!$A$2,Data!EN:EN),0)</f>
        <v>1370335</v>
      </c>
      <c r="F82" s="22">
        <f t="shared" si="5"/>
        <v>3.8514734608412149</v>
      </c>
    </row>
    <row r="83" spans="1:6" x14ac:dyDescent="0.2">
      <c r="A83" s="20">
        <v>17</v>
      </c>
      <c r="B83" s="179" t="s">
        <v>15</v>
      </c>
      <c r="C83" s="180"/>
      <c r="D83" s="15">
        <f t="shared" si="4"/>
        <v>60880</v>
      </c>
      <c r="E83" s="18">
        <f>IF(F3="1",SUMIF(Data!A:A,'45'!$A$2,Data!EO:EO),0)</f>
        <v>254901</v>
      </c>
      <c r="F83" s="22">
        <f t="shared" si="5"/>
        <v>4.186941524310118</v>
      </c>
    </row>
    <row r="84" spans="1:6" x14ac:dyDescent="0.2">
      <c r="A84" s="20">
        <v>18</v>
      </c>
      <c r="B84" s="179" t="s">
        <v>16</v>
      </c>
      <c r="C84" s="180"/>
      <c r="D84" s="15">
        <f t="shared" si="4"/>
        <v>297584</v>
      </c>
      <c r="E84" s="18">
        <f>IF(F3="1",SUMIF(Data!A:A,'45'!$A$2,Data!EP:EP),0)</f>
        <v>815105</v>
      </c>
      <c r="F84" s="22">
        <f t="shared" si="5"/>
        <v>2.7390753535136296</v>
      </c>
    </row>
    <row r="85" spans="1:6" x14ac:dyDescent="0.2">
      <c r="A85" s="20">
        <v>19</v>
      </c>
      <c r="B85" s="179" t="s">
        <v>17</v>
      </c>
      <c r="C85" s="180"/>
      <c r="D85" s="15">
        <f t="shared" si="4"/>
        <v>291480</v>
      </c>
      <c r="E85" s="18">
        <f>IF(F3="1",SUMIF(Data!A:A,'45'!$A$2,Data!EQ:EQ),0)</f>
        <v>856457</v>
      </c>
      <c r="F85" s="22">
        <f t="shared" si="5"/>
        <v>2.9383045148895293</v>
      </c>
    </row>
    <row r="86" spans="1:6" x14ac:dyDescent="0.2">
      <c r="A86" s="20">
        <v>20</v>
      </c>
      <c r="B86" s="179" t="s">
        <v>18</v>
      </c>
      <c r="C86" s="180"/>
      <c r="D86" s="15">
        <f t="shared" si="4"/>
        <v>90607</v>
      </c>
      <c r="E86" s="18">
        <f>IF(F3="1",SUMIF(Data!A:A,'45'!$A$2,Data!ER:ER),0)</f>
        <v>311916</v>
      </c>
      <c r="F86" s="22">
        <f t="shared" si="5"/>
        <v>3.4425154789365062</v>
      </c>
    </row>
    <row r="87" spans="1:6" ht="14.25" customHeight="1" x14ac:dyDescent="0.2">
      <c r="A87" s="20">
        <v>21</v>
      </c>
      <c r="B87" s="179" t="s">
        <v>801</v>
      </c>
      <c r="C87" s="180"/>
      <c r="D87" s="15">
        <f t="shared" si="4"/>
        <v>21132</v>
      </c>
      <c r="E87" s="18">
        <f>IF(F3="1",SUMIF(Data!A:A,'45'!$A$2,Data!ES:ES),0)</f>
        <v>3880</v>
      </c>
      <c r="F87" s="22">
        <f t="shared" si="5"/>
        <v>0.18360779859928072</v>
      </c>
    </row>
    <row r="88" spans="1:6" x14ac:dyDescent="0.2">
      <c r="A88" s="20">
        <v>22</v>
      </c>
      <c r="B88" s="179" t="s">
        <v>19</v>
      </c>
      <c r="C88" s="180"/>
      <c r="D88" s="15">
        <f t="shared" si="4"/>
        <v>40864</v>
      </c>
      <c r="E88" s="18">
        <f>IF(F3="1",SUMIF(Data!A:A,'45'!$A$2,Data!ET:ET),0)</f>
        <v>7551</v>
      </c>
      <c r="F88" s="22">
        <f t="shared" si="5"/>
        <v>0.18478367267032106</v>
      </c>
    </row>
    <row r="89" spans="1:6" x14ac:dyDescent="0.2">
      <c r="A89" s="20">
        <v>23</v>
      </c>
      <c r="B89" s="179" t="s">
        <v>20</v>
      </c>
      <c r="C89" s="180"/>
      <c r="D89" s="15">
        <f t="shared" si="4"/>
        <v>119958</v>
      </c>
      <c r="E89" s="18">
        <f>IF(F3="1",SUMIF(Data!A:A,'45'!$A$2,Data!EU:EU),0)</f>
        <v>987342</v>
      </c>
      <c r="F89" s="22">
        <f t="shared" si="5"/>
        <v>8.2307307557645171</v>
      </c>
    </row>
    <row r="90" spans="1:6" x14ac:dyDescent="0.2">
      <c r="A90" s="20">
        <v>24</v>
      </c>
      <c r="B90" s="179" t="s">
        <v>21</v>
      </c>
      <c r="C90" s="180"/>
      <c r="D90" s="15">
        <f t="shared" si="4"/>
        <v>95930</v>
      </c>
      <c r="E90" s="18">
        <f>IF(F3="1",SUMIF(Data!A:A,'45'!$A$2,Data!EV:EV),0)</f>
        <v>283949</v>
      </c>
      <c r="F90" s="22">
        <f t="shared" si="5"/>
        <v>2.9599603877827581</v>
      </c>
    </row>
    <row r="91" spans="1:6" x14ac:dyDescent="0.2">
      <c r="A91" s="20">
        <v>25</v>
      </c>
      <c r="B91" s="179" t="s">
        <v>22</v>
      </c>
      <c r="C91" s="180"/>
      <c r="D91" s="15">
        <f t="shared" si="4"/>
        <v>794832</v>
      </c>
      <c r="E91" s="18">
        <f>IF(F3="1",SUMIF(Data!A:A,'45'!$A$2,Data!EW:EW),0)</f>
        <v>2064064</v>
      </c>
      <c r="F91" s="22">
        <f t="shared" si="5"/>
        <v>2.5968556877428188</v>
      </c>
    </row>
    <row r="92" spans="1:6" x14ac:dyDescent="0.2">
      <c r="A92" s="20">
        <v>26</v>
      </c>
      <c r="B92" s="179" t="s">
        <v>23</v>
      </c>
      <c r="C92" s="180"/>
      <c r="D92" s="15">
        <f t="shared" si="4"/>
        <v>384040</v>
      </c>
      <c r="E92" s="18">
        <f>IF(F3="1",SUMIF(Data!A:A,'45'!$A$2,Data!EX:EX),0)</f>
        <v>1229727</v>
      </c>
      <c r="F92" s="22">
        <f t="shared" si="5"/>
        <v>3.2020805124466203</v>
      </c>
    </row>
    <row r="93" spans="1:6" x14ac:dyDescent="0.2">
      <c r="A93" s="20">
        <v>28</v>
      </c>
      <c r="B93" s="179" t="s">
        <v>24</v>
      </c>
      <c r="C93" s="180"/>
      <c r="D93" s="15">
        <f t="shared" si="4"/>
        <v>247792</v>
      </c>
      <c r="E93" s="18">
        <f>IF(F3="1",SUMIF(Data!A:A,'45'!$A$2,Data!EZ:EZ),0)</f>
        <v>781892</v>
      </c>
      <c r="F93" s="22">
        <f t="shared" si="5"/>
        <v>3.1554368179763674</v>
      </c>
    </row>
    <row r="94" spans="1:6" ht="15.75" customHeight="1" thickBot="1" x14ac:dyDescent="0.25">
      <c r="A94" s="23">
        <v>29</v>
      </c>
      <c r="B94" s="181" t="s">
        <v>25</v>
      </c>
      <c r="C94" s="182"/>
      <c r="D94" s="24">
        <f t="shared" si="4"/>
        <v>323696</v>
      </c>
      <c r="E94" s="25">
        <f>IF(F3="1",SUMIF(Data!A:A,'45'!$A$2,Data!FA:FA),0)</f>
        <v>600659</v>
      </c>
      <c r="F94" s="26">
        <f t="shared" si="5"/>
        <v>1.8556268844842074</v>
      </c>
    </row>
    <row r="95" spans="1:6" x14ac:dyDescent="0.2">
      <c r="B95" s="31" t="s">
        <v>35</v>
      </c>
      <c r="C95" s="31"/>
      <c r="D95" s="61">
        <f>SUM(D67:D94)</f>
        <v>6053536</v>
      </c>
      <c r="E95" s="32">
        <f>SUM(E67:E94)</f>
        <v>18242358</v>
      </c>
      <c r="F95" s="33">
        <f t="shared" si="5"/>
        <v>3.0135045038139694</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IF(F3="1",SUMIF(Data!A:A,'45'!$A$2,Data!AH:AH),0)</f>
        <v>8137397</v>
      </c>
      <c r="F98" s="21">
        <f t="shared" ref="F98:F105" si="6">IFERROR(E98/$D$95,0)</f>
        <v>1.3442386400279109</v>
      </c>
    </row>
    <row r="99" spans="2:6" x14ac:dyDescent="0.2">
      <c r="B99" s="185" t="s">
        <v>31</v>
      </c>
      <c r="C99" s="186"/>
      <c r="D99" s="37"/>
      <c r="E99" s="18">
        <f>IF(F3="1",SUMIF(Data!A:A,'45'!$A$2,Data!AI:AI),0)</f>
        <v>6247731</v>
      </c>
      <c r="F99" s="22">
        <f t="shared" si="6"/>
        <v>1.032079597775581</v>
      </c>
    </row>
    <row r="100" spans="2:6" x14ac:dyDescent="0.2">
      <c r="B100" s="185" t="s">
        <v>32</v>
      </c>
      <c r="C100" s="186"/>
      <c r="D100" s="37"/>
      <c r="E100" s="18">
        <f>IF(F3="1",SUMIF(Data!A:A,'45'!$A$2,Data!AJ:AJ),0)</f>
        <v>2320829</v>
      </c>
      <c r="F100" s="22">
        <f t="shared" si="6"/>
        <v>0.38338402546875083</v>
      </c>
    </row>
    <row r="101" spans="2:6" x14ac:dyDescent="0.2">
      <c r="B101" s="185" t="s">
        <v>28</v>
      </c>
      <c r="C101" s="186"/>
      <c r="D101" s="37"/>
      <c r="E101" s="18">
        <f>IF(F3="1",SUMIF(Data!A:A,'45'!$A$2,Data!AK:AK),0)</f>
        <v>0</v>
      </c>
      <c r="F101" s="22">
        <f t="shared" si="6"/>
        <v>0</v>
      </c>
    </row>
    <row r="102" spans="2:6" x14ac:dyDescent="0.2">
      <c r="B102" s="185" t="s">
        <v>33</v>
      </c>
      <c r="C102" s="186"/>
      <c r="D102" s="37"/>
      <c r="E102" s="18">
        <f>IF(F3="1",SUMIF(Data!A:A,'45'!$A$2,Data!AL:AL),0)</f>
        <v>1330893</v>
      </c>
      <c r="F102" s="22">
        <f t="shared" si="6"/>
        <v>0.21985381766954057</v>
      </c>
    </row>
    <row r="103" spans="2:6" x14ac:dyDescent="0.2">
      <c r="B103" s="187" t="s">
        <v>34</v>
      </c>
      <c r="C103" s="188"/>
      <c r="D103" s="37"/>
      <c r="E103" s="18">
        <f>IF(F3="1",SUMIF(Data!A:A,'45'!$A$2,Data!AM:AM),0)</f>
        <v>939677</v>
      </c>
      <c r="F103" s="22">
        <f t="shared" si="6"/>
        <v>0.15522778752781846</v>
      </c>
    </row>
    <row r="104" spans="2:6" ht="15.75" customHeight="1" thickBot="1" x14ac:dyDescent="0.25">
      <c r="B104" s="177" t="s">
        <v>29</v>
      </c>
      <c r="C104" s="178"/>
      <c r="D104" s="38"/>
      <c r="E104" s="25">
        <f>IF(F3="1",SUMIF(Data!A:A,'45'!$A$2,Data!Q:Q),0)</f>
        <v>2514778</v>
      </c>
      <c r="F104" s="26">
        <f t="shared" si="6"/>
        <v>0.41542298583835957</v>
      </c>
    </row>
    <row r="105" spans="2:6" x14ac:dyDescent="0.2">
      <c r="B105" s="31" t="s">
        <v>35</v>
      </c>
      <c r="C105" s="31"/>
      <c r="D105" s="35">
        <f>D95</f>
        <v>6053536</v>
      </c>
      <c r="E105" s="32">
        <f>SUM(E98:E104)</f>
        <v>21491305</v>
      </c>
      <c r="F105" s="33">
        <f t="shared" si="6"/>
        <v>3.5502068543079615</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20027077</v>
      </c>
      <c r="D109" s="16">
        <f>IF(F3="1",SUMIF(Data!$A:$A,$A$2,Data!HJ:HJ),0)</f>
        <v>830007</v>
      </c>
      <c r="E109" s="16">
        <f>IF(F3="1",SUMIF(Data!$A:$A,$A$2,Data!IN:IN),0)</f>
        <v>4876565</v>
      </c>
      <c r="F109" s="48">
        <f>SUM(C109:E109)</f>
        <v>25733649</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44803</v>
      </c>
      <c r="D111" s="52"/>
      <c r="E111" s="51">
        <f>IF(F3="1",SUMIF(Data!A:A,$A$2,Data!AX:AX),0)</f>
        <v>50182</v>
      </c>
      <c r="F111" s="49">
        <f t="shared" si="7"/>
        <v>94985</v>
      </c>
    </row>
    <row r="112" spans="2:6" x14ac:dyDescent="0.2">
      <c r="B112" s="43" t="s">
        <v>32</v>
      </c>
      <c r="C112" s="51">
        <f>IF(F3="1",SUMIF(Data!A:A,$A$2,Data!V:V),0)</f>
        <v>1771382</v>
      </c>
      <c r="D112" s="52"/>
      <c r="E112" s="51">
        <f>IF(F3="1",SUMIF(Data!A:A,$A$2,Data!AC:AC),0)</f>
        <v>549447</v>
      </c>
      <c r="F112" s="49">
        <f t="shared" si="7"/>
        <v>2320829</v>
      </c>
    </row>
    <row r="113" spans="1:6" x14ac:dyDescent="0.2">
      <c r="B113" s="43" t="s">
        <v>31</v>
      </c>
      <c r="C113" s="51">
        <f>IF(F3="1",SUMIF(Data!A:A,$A$2,Data!U:U),0)</f>
        <v>4063978</v>
      </c>
      <c r="D113" s="52"/>
      <c r="E113" s="51">
        <f>IF(F3="1",SUMIF(Data!A:A,$A$2,Data!AB:AB),0)</f>
        <v>2183753</v>
      </c>
      <c r="F113" s="49">
        <f t="shared" si="7"/>
        <v>6247731</v>
      </c>
    </row>
    <row r="114" spans="1:6" x14ac:dyDescent="0.2">
      <c r="B114" s="43" t="s">
        <v>1363</v>
      </c>
      <c r="C114" s="51">
        <f>IF(F3="1",SUMIF(Data!A:A,$A$2,Data!T:T),0)</f>
        <v>4711089</v>
      </c>
      <c r="D114" s="52"/>
      <c r="E114" s="51">
        <f>IF(F3="1",SUMIF(Data!A:A,$A$2,Data!AA:AA),0)</f>
        <v>3426308</v>
      </c>
      <c r="F114" s="49">
        <f t="shared" si="7"/>
        <v>8137397</v>
      </c>
    </row>
    <row r="115" spans="1:6" x14ac:dyDescent="0.2">
      <c r="B115" s="43" t="s">
        <v>1278</v>
      </c>
      <c r="C115" s="51">
        <f>IF(F3="1",SUMIF(Data!A:A,$A$2,Data!BI:BI),0)</f>
        <v>994746</v>
      </c>
      <c r="D115" s="51">
        <f>IF(F3="1",SUMIF(Data!A:A,$A$2,Data!BL:BL),0)</f>
        <v>334209</v>
      </c>
      <c r="E115" s="51">
        <f>IF(F3="1",SUMIF(Data!A:A,$A$2,Data!BU:BU),0)</f>
        <v>3802829</v>
      </c>
      <c r="F115" s="49">
        <f t="shared" si="7"/>
        <v>5131784</v>
      </c>
    </row>
    <row r="116" spans="1:6" x14ac:dyDescent="0.2">
      <c r="B116" s="43" t="s">
        <v>33</v>
      </c>
      <c r="C116" s="51">
        <f>IF(F3="1",SUMIF(Data!A:A,$A$2,Data!X:X),0)</f>
        <v>0</v>
      </c>
      <c r="D116" s="51"/>
      <c r="E116" s="51">
        <f>E102</f>
        <v>1330893</v>
      </c>
      <c r="F116" s="49">
        <f t="shared" si="7"/>
        <v>1330893</v>
      </c>
    </row>
    <row r="117" spans="1:6" ht="15" thickBot="1" x14ac:dyDescent="0.25">
      <c r="B117" s="44" t="s">
        <v>1282</v>
      </c>
      <c r="C117" s="53"/>
      <c r="D117" s="53">
        <f>IF(F3="1",SUMIF(Data!A:A,$A$2,Data!Q:Q),0)</f>
        <v>2514778</v>
      </c>
      <c r="E117" s="53"/>
      <c r="F117" s="50">
        <f>SUM(C117:E117)</f>
        <v>2514778</v>
      </c>
    </row>
    <row r="118" spans="1:6" x14ac:dyDescent="0.2">
      <c r="B118" s="14" t="s">
        <v>35</v>
      </c>
      <c r="C118" s="5">
        <f>SUM(C109:C116)</f>
        <v>31613075</v>
      </c>
      <c r="D118" s="5">
        <f>SUM(D109:D116)</f>
        <v>1164216</v>
      </c>
      <c r="E118" s="5">
        <f>SUM(E109:E116)</f>
        <v>16219977</v>
      </c>
      <c r="F118" s="5">
        <f>SUM(F109:F116)</f>
        <v>48997268</v>
      </c>
    </row>
    <row r="119" spans="1:6" ht="15" thickBot="1" x14ac:dyDescent="0.25"/>
    <row r="120" spans="1:6" ht="15" thickBot="1" x14ac:dyDescent="0.25">
      <c r="B120" s="57" t="s">
        <v>1283</v>
      </c>
      <c r="C120" s="55"/>
      <c r="D120" s="55"/>
      <c r="E120" s="55">
        <f>IF(F3="1",SUMIF(Data!A:A,'45'!$A$2,Data!AM:AM),0)</f>
        <v>939677</v>
      </c>
      <c r="F120" s="56">
        <f>SUM(C120:E120)</f>
        <v>939677</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140625" style="11" bestFit="1" customWidth="1"/>
    <col min="13" max="13" width="10.57031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696</v>
      </c>
      <c r="B2" s="60" t="str">
        <f>VLOOKUP(A2,Data!A:G,7,0)</f>
        <v>Vernon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13040</v>
      </c>
      <c r="E5" s="16">
        <f>E36+E67+IFERROR($E$105/$D$105*D5,0)</f>
        <v>101174.77922171203</v>
      </c>
      <c r="F5" s="21">
        <f>IFERROR(E5/D5,"")</f>
        <v>7.7588020875546038</v>
      </c>
    </row>
    <row r="6" spans="1:6" x14ac:dyDescent="0.2">
      <c r="A6" s="20">
        <v>2</v>
      </c>
      <c r="B6" s="179" t="s">
        <v>1</v>
      </c>
      <c r="C6" s="180"/>
      <c r="D6" s="15">
        <f t="shared" ref="D6:D32" si="0">D37</f>
        <v>33696</v>
      </c>
      <c r="E6" s="18">
        <f t="shared" ref="E6:E32" si="1">E37+E68+IFERROR($E$105/$D$105*D6,0)</f>
        <v>243565.96937536873</v>
      </c>
      <c r="F6" s="22">
        <f t="shared" ref="F6:F33" si="2">IFERROR(E6/D6,"")</f>
        <v>7.2283347986517308</v>
      </c>
    </row>
    <row r="7" spans="1:6" ht="14.25" customHeight="1" x14ac:dyDescent="0.2">
      <c r="A7" s="20">
        <v>3</v>
      </c>
      <c r="B7" s="179" t="s">
        <v>2</v>
      </c>
      <c r="C7" s="180"/>
      <c r="D7" s="15">
        <f t="shared" si="0"/>
        <v>135648</v>
      </c>
      <c r="E7" s="18">
        <f t="shared" si="1"/>
        <v>823872.69722904847</v>
      </c>
      <c r="F7" s="22">
        <f t="shared" si="2"/>
        <v>6.0736074046727451</v>
      </c>
    </row>
    <row r="8" spans="1:6" ht="14.25" customHeight="1" x14ac:dyDescent="0.2">
      <c r="A8" s="20">
        <v>4</v>
      </c>
      <c r="B8" s="179" t="s">
        <v>3</v>
      </c>
      <c r="C8" s="180"/>
      <c r="D8" s="15">
        <f t="shared" si="0"/>
        <v>320002</v>
      </c>
      <c r="E8" s="18">
        <f t="shared" si="1"/>
        <v>1160268.5445173536</v>
      </c>
      <c r="F8" s="22">
        <f t="shared" si="2"/>
        <v>3.6258165402633535</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2010</v>
      </c>
      <c r="E10" s="18">
        <f t="shared" si="1"/>
        <v>12470.643116230152</v>
      </c>
      <c r="F10" s="22">
        <f t="shared" si="2"/>
        <v>6.2043000578259466</v>
      </c>
    </row>
    <row r="11" spans="1:6" x14ac:dyDescent="0.2">
      <c r="A11" s="20">
        <v>7</v>
      </c>
      <c r="B11" s="179" t="s">
        <v>6</v>
      </c>
      <c r="C11" s="180"/>
      <c r="D11" s="15">
        <f t="shared" si="0"/>
        <v>84672</v>
      </c>
      <c r="E11" s="18">
        <f t="shared" si="1"/>
        <v>516650.33330220863</v>
      </c>
      <c r="F11" s="22">
        <f t="shared" si="2"/>
        <v>6.101784926566145</v>
      </c>
    </row>
    <row r="12" spans="1:6" x14ac:dyDescent="0.2">
      <c r="A12" s="20">
        <v>8</v>
      </c>
      <c r="B12" s="179" t="s">
        <v>7</v>
      </c>
      <c r="C12" s="180"/>
      <c r="D12" s="15">
        <f t="shared" si="0"/>
        <v>5680</v>
      </c>
      <c r="E12" s="18">
        <f t="shared" si="1"/>
        <v>42436.314875715056</v>
      </c>
      <c r="F12" s="22">
        <f t="shared" si="2"/>
        <v>7.4711821964287068</v>
      </c>
    </row>
    <row r="13" spans="1:6" x14ac:dyDescent="0.2">
      <c r="A13" s="20">
        <v>9</v>
      </c>
      <c r="B13" s="179" t="s">
        <v>8</v>
      </c>
      <c r="C13" s="180"/>
      <c r="D13" s="15">
        <f t="shared" si="0"/>
        <v>96430</v>
      </c>
      <c r="E13" s="18">
        <f t="shared" si="1"/>
        <v>607324.06751147937</v>
      </c>
      <c r="F13" s="22">
        <f t="shared" si="2"/>
        <v>6.2980822100122307</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27175</v>
      </c>
      <c r="E15" s="18">
        <f t="shared" si="1"/>
        <v>139762.4237231614</v>
      </c>
      <c r="F15" s="22">
        <f t="shared" si="2"/>
        <v>5.1430514709535009</v>
      </c>
    </row>
    <row r="16" spans="1:6" ht="14.25" customHeight="1" x14ac:dyDescent="0.2">
      <c r="A16" s="20">
        <v>12</v>
      </c>
      <c r="B16" s="179" t="s">
        <v>11</v>
      </c>
      <c r="C16" s="180"/>
      <c r="D16" s="15">
        <f t="shared" si="0"/>
        <v>148608</v>
      </c>
      <c r="E16" s="18">
        <f t="shared" si="1"/>
        <v>1005917.9931426519</v>
      </c>
      <c r="F16" s="22">
        <f t="shared" si="2"/>
        <v>6.7689356773703429</v>
      </c>
    </row>
    <row r="17" spans="1:6" x14ac:dyDescent="0.2">
      <c r="A17" s="20">
        <v>13</v>
      </c>
      <c r="B17" s="179" t="s">
        <v>12</v>
      </c>
      <c r="C17" s="180"/>
      <c r="D17" s="15">
        <f t="shared" si="0"/>
        <v>22950</v>
      </c>
      <c r="E17" s="18">
        <f t="shared" si="1"/>
        <v>142799.14901367261</v>
      </c>
      <c r="F17" s="22">
        <f t="shared" si="2"/>
        <v>6.222185142207957</v>
      </c>
    </row>
    <row r="18" spans="1:6" ht="14.25" customHeight="1" x14ac:dyDescent="0.2">
      <c r="A18" s="20">
        <v>14</v>
      </c>
      <c r="B18" s="179" t="s">
        <v>804</v>
      </c>
      <c r="C18" s="180"/>
      <c r="D18" s="15">
        <f t="shared" si="0"/>
        <v>150399</v>
      </c>
      <c r="E18" s="18">
        <f t="shared" si="1"/>
        <v>1101375.4632029347</v>
      </c>
      <c r="F18" s="22">
        <f t="shared" si="2"/>
        <v>7.3230238445929476</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125464</v>
      </c>
      <c r="E20" s="18">
        <f t="shared" si="1"/>
        <v>857089.57210681576</v>
      </c>
      <c r="F20" s="22">
        <f t="shared" si="2"/>
        <v>6.8313585738284743</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210800</v>
      </c>
      <c r="E22" s="18">
        <f t="shared" si="1"/>
        <v>1391048.5168663263</v>
      </c>
      <c r="F22" s="22">
        <f t="shared" si="2"/>
        <v>6.5989018826675823</v>
      </c>
    </row>
    <row r="23" spans="1:6" x14ac:dyDescent="0.2">
      <c r="A23" s="20">
        <v>19</v>
      </c>
      <c r="B23" s="179" t="s">
        <v>17</v>
      </c>
      <c r="C23" s="180"/>
      <c r="D23" s="15">
        <f t="shared" si="0"/>
        <v>54696</v>
      </c>
      <c r="E23" s="18">
        <f t="shared" si="1"/>
        <v>471105.83775389276</v>
      </c>
      <c r="F23" s="22">
        <f t="shared" si="2"/>
        <v>8.6131680150996921</v>
      </c>
    </row>
    <row r="24" spans="1:6" x14ac:dyDescent="0.2">
      <c r="A24" s="20">
        <v>20</v>
      </c>
      <c r="B24" s="179" t="s">
        <v>18</v>
      </c>
      <c r="C24" s="180"/>
      <c r="D24" s="15">
        <f t="shared" si="0"/>
        <v>10432</v>
      </c>
      <c r="E24" s="18">
        <f t="shared" si="1"/>
        <v>87152.823377369612</v>
      </c>
      <c r="F24" s="22">
        <f t="shared" si="2"/>
        <v>8.3543734065730071</v>
      </c>
    </row>
    <row r="25" spans="1:6" ht="14.25" customHeight="1" x14ac:dyDescent="0.2">
      <c r="A25" s="20">
        <v>21</v>
      </c>
      <c r="B25" s="179" t="s">
        <v>801</v>
      </c>
      <c r="C25" s="180"/>
      <c r="D25" s="15">
        <f t="shared" si="0"/>
        <v>160</v>
      </c>
      <c r="E25" s="18">
        <f t="shared" si="1"/>
        <v>504.96661621732551</v>
      </c>
      <c r="F25" s="22">
        <f t="shared" si="2"/>
        <v>3.1560413513582843</v>
      </c>
    </row>
    <row r="26" spans="1:6" x14ac:dyDescent="0.2">
      <c r="A26" s="20">
        <v>22</v>
      </c>
      <c r="B26" s="179" t="s">
        <v>19</v>
      </c>
      <c r="C26" s="180"/>
      <c r="D26" s="15">
        <f t="shared" si="0"/>
        <v>8384</v>
      </c>
      <c r="E26" s="18">
        <f t="shared" si="1"/>
        <v>71465.250689787848</v>
      </c>
      <c r="F26" s="22">
        <f t="shared" si="2"/>
        <v>8.5240041376178262</v>
      </c>
    </row>
    <row r="27" spans="1:6" x14ac:dyDescent="0.2">
      <c r="A27" s="20">
        <v>23</v>
      </c>
      <c r="B27" s="179" t="s">
        <v>20</v>
      </c>
      <c r="C27" s="180"/>
      <c r="D27" s="15">
        <f t="shared" si="0"/>
        <v>29856</v>
      </c>
      <c r="E27" s="18">
        <f t="shared" si="1"/>
        <v>185976.77058615294</v>
      </c>
      <c r="F27" s="22">
        <f t="shared" si="2"/>
        <v>6.2291254885501388</v>
      </c>
    </row>
    <row r="28" spans="1:6" x14ac:dyDescent="0.2">
      <c r="A28" s="20">
        <v>24</v>
      </c>
      <c r="B28" s="179" t="s">
        <v>21</v>
      </c>
      <c r="C28" s="180"/>
      <c r="D28" s="15">
        <f t="shared" si="0"/>
        <v>105208</v>
      </c>
      <c r="E28" s="18">
        <f t="shared" si="1"/>
        <v>651397.79849370243</v>
      </c>
      <c r="F28" s="22">
        <f t="shared" si="2"/>
        <v>6.1915234439748161</v>
      </c>
    </row>
    <row r="29" spans="1:6" x14ac:dyDescent="0.2">
      <c r="A29" s="20">
        <v>25</v>
      </c>
      <c r="B29" s="179" t="s">
        <v>22</v>
      </c>
      <c r="C29" s="180"/>
      <c r="D29" s="15">
        <f t="shared" si="0"/>
        <v>236496</v>
      </c>
      <c r="E29" s="18">
        <f t="shared" si="1"/>
        <v>1488457.1554308287</v>
      </c>
      <c r="F29" s="22">
        <f t="shared" si="2"/>
        <v>6.2937942097575803</v>
      </c>
    </row>
    <row r="30" spans="1:6" x14ac:dyDescent="0.2">
      <c r="A30" s="20">
        <v>26</v>
      </c>
      <c r="B30" s="179" t="s">
        <v>23</v>
      </c>
      <c r="C30" s="180"/>
      <c r="D30" s="15">
        <f t="shared" si="0"/>
        <v>40496</v>
      </c>
      <c r="E30" s="18">
        <f t="shared" si="1"/>
        <v>276306.0505646051</v>
      </c>
      <c r="F30" s="22">
        <f t="shared" si="2"/>
        <v>6.8230454999161667</v>
      </c>
    </row>
    <row r="31" spans="1:6" x14ac:dyDescent="0.2">
      <c r="A31" s="20">
        <v>28</v>
      </c>
      <c r="B31" s="179" t="s">
        <v>24</v>
      </c>
      <c r="C31" s="180"/>
      <c r="D31" s="15">
        <f t="shared" si="0"/>
        <v>61600</v>
      </c>
      <c r="E31" s="18">
        <f t="shared" si="1"/>
        <v>349249.1472436703</v>
      </c>
      <c r="F31" s="22">
        <f t="shared" si="2"/>
        <v>5.6696290136959462</v>
      </c>
    </row>
    <row r="32" spans="1:6" ht="15.75" customHeight="1" thickBot="1" x14ac:dyDescent="0.25">
      <c r="A32" s="23">
        <v>29</v>
      </c>
      <c r="B32" s="181" t="s">
        <v>25</v>
      </c>
      <c r="C32" s="182"/>
      <c r="D32" s="24">
        <f t="shared" si="0"/>
        <v>25248</v>
      </c>
      <c r="E32" s="25">
        <f t="shared" si="1"/>
        <v>151524.73203909397</v>
      </c>
      <c r="F32" s="26">
        <f t="shared" si="2"/>
        <v>6.0014548494571436</v>
      </c>
    </row>
    <row r="33" spans="1:6" x14ac:dyDescent="0.2">
      <c r="B33" s="31" t="s">
        <v>35</v>
      </c>
      <c r="C33" s="31"/>
      <c r="D33" s="61">
        <f>SUM(D5:D32)</f>
        <v>1949150</v>
      </c>
      <c r="E33" s="32">
        <f>SUM(E5:E32)</f>
        <v>11878897.000000002</v>
      </c>
      <c r="F33" s="33">
        <f t="shared" si="2"/>
        <v>6.0943985839981538</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IF(F3="1",SUMIF(Data!A:A,'46'!$A$2,Data!CU:CU),0)</f>
        <v>13040</v>
      </c>
      <c r="E36" s="16">
        <f>IF(F3="1",SUMIF(Data!$A:$A,'46'!$A$2,Data!IO:IO),0)</f>
        <v>8912</v>
      </c>
      <c r="F36" s="21">
        <f t="shared" ref="F36:F64" si="3">IFERROR(E36/D36,"")</f>
        <v>0.68343558282208594</v>
      </c>
    </row>
    <row r="37" spans="1:6" x14ac:dyDescent="0.2">
      <c r="A37" s="20">
        <v>2</v>
      </c>
      <c r="B37" s="179" t="s">
        <v>1</v>
      </c>
      <c r="C37" s="180"/>
      <c r="D37" s="15">
        <f>IF(F3="1",SUMIF(Data!A:A,'46'!$A$2,Data!CV:CV),0)</f>
        <v>33696</v>
      </c>
      <c r="E37" s="18">
        <f>IF(F3="1",SUMIF(Data!$A:$A,'46'!$A$2,Data!IP:IP),0)</f>
        <v>35202</v>
      </c>
      <c r="F37" s="22">
        <f t="shared" si="3"/>
        <v>1.0446937321937322</v>
      </c>
    </row>
    <row r="38" spans="1:6" ht="14.25" customHeight="1" x14ac:dyDescent="0.2">
      <c r="A38" s="20">
        <v>3</v>
      </c>
      <c r="B38" s="179" t="s">
        <v>2</v>
      </c>
      <c r="C38" s="180"/>
      <c r="D38" s="15">
        <f>IF(F3="1",SUMIF(Data!A:A,'46'!$A$2,Data!CW:CW),0)</f>
        <v>135648</v>
      </c>
      <c r="E38" s="18">
        <f>IF(F3="1",SUMIF(Data!$A:$A,'46'!$A$2,Data!IQ:IQ),0)</f>
        <v>67699</v>
      </c>
      <c r="F38" s="22">
        <f t="shared" si="3"/>
        <v>0.49907849728709602</v>
      </c>
    </row>
    <row r="39" spans="1:6" ht="14.25" customHeight="1" x14ac:dyDescent="0.2">
      <c r="A39" s="20">
        <v>4</v>
      </c>
      <c r="B39" s="179" t="s">
        <v>3</v>
      </c>
      <c r="C39" s="180"/>
      <c r="D39" s="15">
        <f>IF(F3="1",SUMIF(Data!A:A,'46'!$A$2,Data!CX:CX),0)</f>
        <v>320002</v>
      </c>
      <c r="E39" s="18">
        <f>IF(F3="1",SUMIF(Data!$A:$A,'46'!$A$2,Data!IR:IR),0)</f>
        <v>31567</v>
      </c>
      <c r="F39" s="22">
        <f t="shared" si="3"/>
        <v>9.8646258460884623E-2</v>
      </c>
    </row>
    <row r="40" spans="1:6" x14ac:dyDescent="0.2">
      <c r="A40" s="20">
        <v>5</v>
      </c>
      <c r="B40" s="179" t="s">
        <v>4</v>
      </c>
      <c r="C40" s="180"/>
      <c r="D40" s="15">
        <f>IF(F3="1",SUMIF(Data!A:A,'46'!$A$2,Data!CY:CY),0)</f>
        <v>0</v>
      </c>
      <c r="E40" s="18">
        <f>IF(F3="1",SUMIF(Data!$A:$A,'46'!$A$2,Data!IS:IS),0)</f>
        <v>0</v>
      </c>
      <c r="F40" s="22" t="str">
        <f t="shared" si="3"/>
        <v/>
      </c>
    </row>
    <row r="41" spans="1:6" x14ac:dyDescent="0.2">
      <c r="A41" s="20">
        <v>6</v>
      </c>
      <c r="B41" s="179" t="s">
        <v>5</v>
      </c>
      <c r="C41" s="180"/>
      <c r="D41" s="15">
        <f>IF(F3="1",SUMIF(Data!A:A,'46'!$A$2,Data!CZ:CZ),0)</f>
        <v>2010</v>
      </c>
      <c r="E41" s="18">
        <f>IF(F3="1",SUMIF(Data!$A:$A,'46'!$A$2,Data!IT:IT),0)</f>
        <v>912</v>
      </c>
      <c r="F41" s="22">
        <f t="shared" si="3"/>
        <v>0.45373134328358211</v>
      </c>
    </row>
    <row r="42" spans="1:6" x14ac:dyDescent="0.2">
      <c r="A42" s="20">
        <v>7</v>
      </c>
      <c r="B42" s="179" t="s">
        <v>6</v>
      </c>
      <c r="C42" s="180"/>
      <c r="D42" s="15">
        <f>IF(F3="1",SUMIF(Data!A:A,'46'!$A$2,Data!DA:DA),0)</f>
        <v>84672</v>
      </c>
      <c r="E42" s="18">
        <f>IF(F3="1",SUMIF(Data!$A:$A,'46'!$A$2,Data!IU:IU),0)</f>
        <v>37117</v>
      </c>
      <c r="F42" s="22">
        <f t="shared" si="3"/>
        <v>0.43836215041572185</v>
      </c>
    </row>
    <row r="43" spans="1:6" x14ac:dyDescent="0.2">
      <c r="A43" s="20">
        <v>8</v>
      </c>
      <c r="B43" s="179" t="s">
        <v>7</v>
      </c>
      <c r="C43" s="180"/>
      <c r="D43" s="15">
        <f>IF(F3="1",SUMIF(Data!A:A,'46'!$A$2,Data!DB:DB),0)</f>
        <v>5680</v>
      </c>
      <c r="E43" s="18">
        <f>IF(F3="1",SUMIF(Data!$A:$A,'46'!$A$2,Data!IV:IV),0)</f>
        <v>5983</v>
      </c>
      <c r="F43" s="22">
        <f t="shared" si="3"/>
        <v>1.0533450704225351</v>
      </c>
    </row>
    <row r="44" spans="1:6" x14ac:dyDescent="0.2">
      <c r="A44" s="20">
        <v>9</v>
      </c>
      <c r="B44" s="179" t="s">
        <v>8</v>
      </c>
      <c r="C44" s="180"/>
      <c r="D44" s="15">
        <f>IF(F3="1",SUMIF(Data!A:A,'46'!$A$2,Data!DC:DC),0)</f>
        <v>96430</v>
      </c>
      <c r="E44" s="18">
        <f>IF(F3="1",SUMIF(Data!$A:$A,'46'!$A$2,Data!IW:IW),0)</f>
        <v>57174</v>
      </c>
      <c r="F44" s="22">
        <f t="shared" si="3"/>
        <v>0.59290677175152962</v>
      </c>
    </row>
    <row r="45" spans="1:6" x14ac:dyDescent="0.2">
      <c r="A45" s="20">
        <v>10</v>
      </c>
      <c r="B45" s="179" t="s">
        <v>9</v>
      </c>
      <c r="C45" s="180"/>
      <c r="D45" s="15">
        <f>IF(F3="1",SUMIF(Data!A:A,'46'!$A$2,Data!DD:DD),0)</f>
        <v>0</v>
      </c>
      <c r="E45" s="18">
        <f>IF(F3="1",SUMIF(Data!$A:$A,'46'!$A$2,Data!IX:IX),0)</f>
        <v>0</v>
      </c>
      <c r="F45" s="22" t="str">
        <f t="shared" si="3"/>
        <v/>
      </c>
    </row>
    <row r="46" spans="1:6" x14ac:dyDescent="0.2">
      <c r="A46" s="20">
        <v>11</v>
      </c>
      <c r="B46" s="179" t="s">
        <v>10</v>
      </c>
      <c r="C46" s="180"/>
      <c r="D46" s="15">
        <f>IF(F3="1",SUMIF(Data!A:A,'46'!$A$2,Data!DE:DE),0)</f>
        <v>27175</v>
      </c>
      <c r="E46" s="18">
        <f>IF(F3="1",SUMIF(Data!$A:$A,'46'!$A$2,Data!IY:IY),0)</f>
        <v>14901</v>
      </c>
      <c r="F46" s="22">
        <f t="shared" si="3"/>
        <v>0.54833486660533581</v>
      </c>
    </row>
    <row r="47" spans="1:6" ht="14.25" customHeight="1" x14ac:dyDescent="0.2">
      <c r="A47" s="20">
        <v>12</v>
      </c>
      <c r="B47" s="179" t="s">
        <v>11</v>
      </c>
      <c r="C47" s="180"/>
      <c r="D47" s="15">
        <f>IF(F3="1",SUMIF(Data!A:A,'46'!$A$2,Data!DF:DF),0)</f>
        <v>148608</v>
      </c>
      <c r="E47" s="18">
        <f>IF(F3="1",SUMIF(Data!$A:$A,'46'!$A$2,Data!IZ:IZ),0)</f>
        <v>66593</v>
      </c>
      <c r="F47" s="22">
        <f t="shared" si="3"/>
        <v>0.44811181093884583</v>
      </c>
    </row>
    <row r="48" spans="1:6" x14ac:dyDescent="0.2">
      <c r="A48" s="20">
        <v>13</v>
      </c>
      <c r="B48" s="179" t="s">
        <v>12</v>
      </c>
      <c r="C48" s="180"/>
      <c r="D48" s="15">
        <f>IF(F3="1",SUMIF(Data!A:A,'46'!$A$2,Data!DG:DG),0)</f>
        <v>22950</v>
      </c>
      <c r="E48" s="18">
        <f>IF(F3="1",SUMIF(Data!$A:$A,'46'!$A$2,Data!JA:JA),0)</f>
        <v>7488</v>
      </c>
      <c r="F48" s="22">
        <f t="shared" si="3"/>
        <v>0.32627450980392159</v>
      </c>
    </row>
    <row r="49" spans="1:6" ht="14.25" customHeight="1" x14ac:dyDescent="0.2">
      <c r="A49" s="20">
        <v>14</v>
      </c>
      <c r="B49" s="179" t="s">
        <v>804</v>
      </c>
      <c r="C49" s="180"/>
      <c r="D49" s="15">
        <f>IF(F3="1",SUMIF(Data!A:A,'46'!$A$2,Data!DH:DH),0)</f>
        <v>150399</v>
      </c>
      <c r="E49" s="18">
        <f>IF(F3="1",SUMIF(Data!$A:$A,'46'!$A$2,Data!JB:JB),0)</f>
        <v>106445</v>
      </c>
      <c r="F49" s="22">
        <f t="shared" si="3"/>
        <v>0.70775071642763587</v>
      </c>
    </row>
    <row r="50" spans="1:6" x14ac:dyDescent="0.2">
      <c r="A50" s="20">
        <v>15</v>
      </c>
      <c r="B50" s="179" t="s">
        <v>13</v>
      </c>
      <c r="C50" s="180"/>
      <c r="D50" s="15">
        <f>IF(F3="1",SUMIF(Data!A:A,'46'!$A$2,Data!DI:DI),0)</f>
        <v>0</v>
      </c>
      <c r="E50" s="18">
        <f>IF(F3="1",SUMIF(Data!$A:$A,'46'!$A$2,Data!JC:JC),0)</f>
        <v>0</v>
      </c>
      <c r="F50" s="22" t="str">
        <f t="shared" si="3"/>
        <v/>
      </c>
    </row>
    <row r="51" spans="1:6" x14ac:dyDescent="0.2">
      <c r="A51" s="20">
        <v>16</v>
      </c>
      <c r="B51" s="179" t="s">
        <v>14</v>
      </c>
      <c r="C51" s="180"/>
      <c r="D51" s="15">
        <f>IF(F3="1",SUMIF(Data!A:A,'46'!$A$2,Data!DJ:DJ),0)</f>
        <v>125464</v>
      </c>
      <c r="E51" s="18">
        <f>IF(F3="1",SUMIF(Data!$A:$A,'46'!$A$2,Data!JD:JD),0)</f>
        <v>72260</v>
      </c>
      <c r="F51" s="22">
        <f t="shared" si="3"/>
        <v>0.57594210291398329</v>
      </c>
    </row>
    <row r="52" spans="1:6" x14ac:dyDescent="0.2">
      <c r="A52" s="20">
        <v>17</v>
      </c>
      <c r="B52" s="179" t="s">
        <v>15</v>
      </c>
      <c r="C52" s="180"/>
      <c r="D52" s="15">
        <f>IF(F3="1",SUMIF(Data!A:A,'46'!$A$2,Data!DK:DK),0)</f>
        <v>0</v>
      </c>
      <c r="E52" s="18">
        <f>IF(F3="1",SUMIF(Data!$A:$A,'46'!$A$2,Data!JE:JE),0)</f>
        <v>0</v>
      </c>
      <c r="F52" s="22" t="str">
        <f t="shared" si="3"/>
        <v/>
      </c>
    </row>
    <row r="53" spans="1:6" x14ac:dyDescent="0.2">
      <c r="A53" s="20">
        <v>18</v>
      </c>
      <c r="B53" s="179" t="s">
        <v>16</v>
      </c>
      <c r="C53" s="180"/>
      <c r="D53" s="15">
        <f>IF(F3="1",SUMIF(Data!A:A,'46'!$A$2,Data!DL:DL),0)</f>
        <v>210800</v>
      </c>
      <c r="E53" s="18">
        <f>IF(F3="1",SUMIF(Data!$A:$A,'46'!$A$2,Data!JF:JF),0)</f>
        <v>92987</v>
      </c>
      <c r="F53" s="22">
        <f t="shared" si="3"/>
        <v>0.44111480075901327</v>
      </c>
    </row>
    <row r="54" spans="1:6" x14ac:dyDescent="0.2">
      <c r="A54" s="20">
        <v>19</v>
      </c>
      <c r="B54" s="179" t="s">
        <v>17</v>
      </c>
      <c r="C54" s="180"/>
      <c r="D54" s="15">
        <f>IF(F3="1",SUMIF(Data!A:A,'46'!$A$2,Data!DM:DM),0)</f>
        <v>54696</v>
      </c>
      <c r="E54" s="18">
        <f>IF(F3="1",SUMIF(Data!$A:$A,'46'!$A$2,Data!JG:JG),0)</f>
        <v>35595</v>
      </c>
      <c r="F54" s="22">
        <f t="shared" si="3"/>
        <v>0.65077885037297056</v>
      </c>
    </row>
    <row r="55" spans="1:6" x14ac:dyDescent="0.2">
      <c r="A55" s="20">
        <v>20</v>
      </c>
      <c r="B55" s="179" t="s">
        <v>18</v>
      </c>
      <c r="C55" s="180"/>
      <c r="D55" s="15">
        <f>IF(F3="1",SUMIF(Data!A:A,'46'!$A$2,Data!DN:DN),0)</f>
        <v>10432</v>
      </c>
      <c r="E55" s="18">
        <f>IF(F3="1",SUMIF(Data!$A:$A,'46'!$A$2,Data!JH:JH),0)</f>
        <v>10798</v>
      </c>
      <c r="F55" s="22">
        <f t="shared" si="3"/>
        <v>1.0350843558282208</v>
      </c>
    </row>
    <row r="56" spans="1:6" ht="14.25" customHeight="1" x14ac:dyDescent="0.2">
      <c r="A56" s="20">
        <v>21</v>
      </c>
      <c r="B56" s="179" t="s">
        <v>801</v>
      </c>
      <c r="C56" s="180"/>
      <c r="D56" s="15">
        <f>IF(F3="1",SUMIF(Data!A:A,'46'!$A$2,Data!DO:DO),0)</f>
        <v>160</v>
      </c>
      <c r="E56" s="18">
        <f>IF(F3="1",SUMIF(Data!$A:$A,'46'!$A$2,Data!JI:JI),0)</f>
        <v>0</v>
      </c>
      <c r="F56" s="22">
        <f t="shared" si="3"/>
        <v>0</v>
      </c>
    </row>
    <row r="57" spans="1:6" x14ac:dyDescent="0.2">
      <c r="A57" s="20">
        <v>22</v>
      </c>
      <c r="B57" s="179" t="s">
        <v>19</v>
      </c>
      <c r="C57" s="180"/>
      <c r="D57" s="15">
        <f>IF(F3="1",SUMIF(Data!A:A,'46'!$A$2,Data!DP:DP),0)</f>
        <v>8384</v>
      </c>
      <c r="E57" s="18">
        <f>IF(F3="1",SUMIF(Data!$A:$A,'46'!$A$2,Data!JJ:JJ),0)</f>
        <v>10987</v>
      </c>
      <c r="F57" s="22">
        <f t="shared" si="3"/>
        <v>1.3104723282442747</v>
      </c>
    </row>
    <row r="58" spans="1:6" x14ac:dyDescent="0.2">
      <c r="A58" s="20">
        <v>23</v>
      </c>
      <c r="B58" s="179" t="s">
        <v>20</v>
      </c>
      <c r="C58" s="180"/>
      <c r="D58" s="15">
        <f>IF(F3="1",SUMIF(Data!A:A,'46'!$A$2,Data!DQ:DQ),0)</f>
        <v>29856</v>
      </c>
      <c r="E58" s="18">
        <f>IF(F3="1",SUMIF(Data!$A:$A,'46'!$A$2,Data!JK:JK),0)</f>
        <v>12827</v>
      </c>
      <c r="F58" s="22">
        <f t="shared" si="3"/>
        <v>0.42962888531618437</v>
      </c>
    </row>
    <row r="59" spans="1:6" x14ac:dyDescent="0.2">
      <c r="A59" s="20">
        <v>24</v>
      </c>
      <c r="B59" s="179" t="s">
        <v>21</v>
      </c>
      <c r="C59" s="180"/>
      <c r="D59" s="15">
        <f>IF(F3="1",SUMIF(Data!A:A,'46'!$A$2,Data!DR:DR),0)</f>
        <v>105208</v>
      </c>
      <c r="E59" s="18">
        <f>IF(F3="1",SUMIF(Data!$A:$A,'46'!$A$2,Data!JL:JL),0)</f>
        <v>81594</v>
      </c>
      <c r="F59" s="22">
        <f t="shared" si="3"/>
        <v>0.77554938787924876</v>
      </c>
    </row>
    <row r="60" spans="1:6" x14ac:dyDescent="0.2">
      <c r="A60" s="20">
        <v>25</v>
      </c>
      <c r="B60" s="179" t="s">
        <v>22</v>
      </c>
      <c r="C60" s="180"/>
      <c r="D60" s="15">
        <f>IF(F3="1",SUMIF(Data!A:A,'46'!$A$2,Data!DS:DS),0)</f>
        <v>236496</v>
      </c>
      <c r="E60" s="18">
        <f>IF(F3="1",SUMIF(Data!$A:$A,'46'!$A$2,Data!JM:JM),0)</f>
        <v>84764</v>
      </c>
      <c r="F60" s="22">
        <f t="shared" si="3"/>
        <v>0.35841620999932344</v>
      </c>
    </row>
    <row r="61" spans="1:6" x14ac:dyDescent="0.2">
      <c r="A61" s="20">
        <v>26</v>
      </c>
      <c r="B61" s="179" t="s">
        <v>23</v>
      </c>
      <c r="C61" s="180"/>
      <c r="D61" s="15">
        <f>IF(F3="1",SUMIF(Data!A:A,'46'!$A$2,Data!DT:DT),0)</f>
        <v>40496</v>
      </c>
      <c r="E61" s="18">
        <f>IF(F3="1",SUMIF(Data!$A:$A,'46'!$A$2,Data!JN:JN),0)</f>
        <v>23496</v>
      </c>
      <c r="F61" s="22">
        <f t="shared" si="3"/>
        <v>0.58020545239035959</v>
      </c>
    </row>
    <row r="62" spans="1:6" x14ac:dyDescent="0.2">
      <c r="A62" s="20">
        <v>28</v>
      </c>
      <c r="B62" s="179" t="s">
        <v>24</v>
      </c>
      <c r="C62" s="180"/>
      <c r="D62" s="15">
        <f>IF(F3="1",SUMIF(Data!A:A,'46'!$A$2,Data!DV:DV),0)</f>
        <v>61600</v>
      </c>
      <c r="E62" s="18">
        <f>IF(F3="1",SUMIF(Data!$A:$A,'46'!$A$2,Data!JP:JP),0)</f>
        <v>18465</v>
      </c>
      <c r="F62" s="22">
        <f t="shared" si="3"/>
        <v>0.29975649350649353</v>
      </c>
    </row>
    <row r="63" spans="1:6" ht="15.75" customHeight="1" thickBot="1" x14ac:dyDescent="0.25">
      <c r="A63" s="23">
        <v>29</v>
      </c>
      <c r="B63" s="181" t="s">
        <v>25</v>
      </c>
      <c r="C63" s="182"/>
      <c r="D63" s="24">
        <f>IF(F3="1",SUMIF(Data!A:A,'46'!$A$2,Data!DW:DW),0)</f>
        <v>25248</v>
      </c>
      <c r="E63" s="25">
        <f>IF(F3="1",SUMIF(Data!$A:$A,'46'!$A$2,Data!JQ:JQ),0)</f>
        <v>8910</v>
      </c>
      <c r="F63" s="26">
        <f t="shared" si="3"/>
        <v>0.35289923954372626</v>
      </c>
    </row>
    <row r="64" spans="1:6" x14ac:dyDescent="0.2">
      <c r="B64" s="31" t="s">
        <v>35</v>
      </c>
      <c r="C64" s="31"/>
      <c r="D64" s="61">
        <f>SUM(D36:D63)</f>
        <v>1949150</v>
      </c>
      <c r="E64" s="32">
        <f>SUM(E36:E63)</f>
        <v>892676</v>
      </c>
      <c r="F64" s="33">
        <f t="shared" si="3"/>
        <v>0.45798219736808354</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13040</v>
      </c>
      <c r="E67" s="16">
        <f>IF(F3="1",SUMIF(Data!A:A,'46'!$A$2,Data!DY:DY),0)</f>
        <v>51108</v>
      </c>
      <c r="F67" s="21">
        <f>IFERROR(E67/D67,"")</f>
        <v>3.919325153374233</v>
      </c>
    </row>
    <row r="68" spans="1:6" x14ac:dyDescent="0.2">
      <c r="A68" s="20">
        <v>2</v>
      </c>
      <c r="B68" s="179" t="s">
        <v>1</v>
      </c>
      <c r="C68" s="180"/>
      <c r="D68" s="15">
        <f t="shared" ref="D68:D94" si="4">D37</f>
        <v>33696</v>
      </c>
      <c r="E68" s="18">
        <f>IF(F3="1",SUMIF(Data!A:A,'46'!$A$2,Data!DZ:DZ),0)</f>
        <v>102018</v>
      </c>
      <c r="F68" s="22">
        <f t="shared" ref="F68:F95" si="5">IFERROR(E68/D68,"")</f>
        <v>3.0275997150997149</v>
      </c>
    </row>
    <row r="69" spans="1:6" ht="14.25" customHeight="1" x14ac:dyDescent="0.2">
      <c r="A69" s="20">
        <v>3</v>
      </c>
      <c r="B69" s="179" t="s">
        <v>2</v>
      </c>
      <c r="C69" s="180"/>
      <c r="D69" s="15">
        <f t="shared" si="4"/>
        <v>135648</v>
      </c>
      <c r="E69" s="18">
        <f>IF(F3="1",SUMIF(Data!A:A,'46'!$A$2,Data!EA:EA),0)</f>
        <v>328063</v>
      </c>
      <c r="F69" s="22">
        <f t="shared" si="5"/>
        <v>2.4184875560273649</v>
      </c>
    </row>
    <row r="70" spans="1:6" ht="14.25" customHeight="1" x14ac:dyDescent="0.2">
      <c r="A70" s="20">
        <v>4</v>
      </c>
      <c r="B70" s="179" t="s">
        <v>3</v>
      </c>
      <c r="C70" s="180"/>
      <c r="D70" s="15">
        <f t="shared" si="4"/>
        <v>320002</v>
      </c>
      <c r="E70" s="18">
        <f>IF(F3="1",SUMIF(Data!A:A,'46'!$A$2,Data!EB:EB),0)</f>
        <v>118762</v>
      </c>
      <c r="F70" s="22">
        <f t="shared" si="5"/>
        <v>0.37112893044418471</v>
      </c>
    </row>
    <row r="71" spans="1:6" x14ac:dyDescent="0.2">
      <c r="A71" s="20">
        <v>5</v>
      </c>
      <c r="B71" s="179" t="s">
        <v>4</v>
      </c>
      <c r="C71" s="180"/>
      <c r="D71" s="15">
        <f t="shared" si="4"/>
        <v>0</v>
      </c>
      <c r="E71" s="18">
        <f>IF(F3="1",SUMIF(Data!A:A,'46'!$A$2,Data!EC:EC),0)</f>
        <v>0</v>
      </c>
      <c r="F71" s="22" t="str">
        <f t="shared" si="5"/>
        <v/>
      </c>
    </row>
    <row r="72" spans="1:6" x14ac:dyDescent="0.2">
      <c r="A72" s="20">
        <v>6</v>
      </c>
      <c r="B72" s="179" t="s">
        <v>5</v>
      </c>
      <c r="C72" s="180"/>
      <c r="D72" s="15">
        <f t="shared" si="4"/>
        <v>2010</v>
      </c>
      <c r="E72" s="18">
        <f>IF(F3="1",SUMIF(Data!A:A,'46'!$A$2,Data!ED:ED),0)</f>
        <v>5215</v>
      </c>
      <c r="F72" s="22">
        <f t="shared" si="5"/>
        <v>2.5945273631840795</v>
      </c>
    </row>
    <row r="73" spans="1:6" x14ac:dyDescent="0.2">
      <c r="A73" s="20">
        <v>7</v>
      </c>
      <c r="B73" s="179" t="s">
        <v>6</v>
      </c>
      <c r="C73" s="180"/>
      <c r="D73" s="15">
        <f t="shared" si="4"/>
        <v>84672</v>
      </c>
      <c r="E73" s="18">
        <f>IF(F3="1",SUMIF(Data!A:A,'46'!$A$2,Data!EE:EE),0)</f>
        <v>212305</v>
      </c>
      <c r="F73" s="22">
        <f t="shared" si="5"/>
        <v>2.5073814247921389</v>
      </c>
    </row>
    <row r="74" spans="1:6" x14ac:dyDescent="0.2">
      <c r="A74" s="20">
        <v>8</v>
      </c>
      <c r="B74" s="179" t="s">
        <v>7</v>
      </c>
      <c r="C74" s="180"/>
      <c r="D74" s="15">
        <f t="shared" si="4"/>
        <v>5680</v>
      </c>
      <c r="E74" s="18">
        <f>IF(F3="1",SUMIF(Data!A:A,'46'!$A$2,Data!EF:EF),0)</f>
        <v>18527</v>
      </c>
      <c r="F74" s="22">
        <f t="shared" si="5"/>
        <v>3.2617957746478874</v>
      </c>
    </row>
    <row r="75" spans="1:6" x14ac:dyDescent="0.2">
      <c r="A75" s="20">
        <v>9</v>
      </c>
      <c r="B75" s="179" t="s">
        <v>8</v>
      </c>
      <c r="C75" s="180"/>
      <c r="D75" s="15">
        <f t="shared" si="4"/>
        <v>96430</v>
      </c>
      <c r="E75" s="18">
        <f>IF(F3="1",SUMIF(Data!A:A,'46'!$A$2,Data!EG:EG),0)</f>
        <v>245813</v>
      </c>
      <c r="F75" s="22">
        <f t="shared" si="5"/>
        <v>2.5491340869024164</v>
      </c>
    </row>
    <row r="76" spans="1:6" x14ac:dyDescent="0.2">
      <c r="A76" s="20">
        <v>10</v>
      </c>
      <c r="B76" s="179" t="s">
        <v>9</v>
      </c>
      <c r="C76" s="180"/>
      <c r="D76" s="15">
        <f t="shared" si="4"/>
        <v>0</v>
      </c>
      <c r="E76" s="18">
        <f>IF(F3="1",SUMIF(Data!A:A,'46'!$A$2,Data!EH:EH),0)</f>
        <v>0</v>
      </c>
      <c r="F76" s="22" t="str">
        <f t="shared" si="5"/>
        <v/>
      </c>
    </row>
    <row r="77" spans="1:6" x14ac:dyDescent="0.2">
      <c r="A77" s="20">
        <v>11</v>
      </c>
      <c r="B77" s="179" t="s">
        <v>10</v>
      </c>
      <c r="C77" s="180"/>
      <c r="D77" s="15">
        <f t="shared" si="4"/>
        <v>27175</v>
      </c>
      <c r="E77" s="18">
        <f>IF(F3="1",SUMIF(Data!A:A,'46'!$A$2,Data!EI:EI),0)</f>
        <v>39096</v>
      </c>
      <c r="F77" s="22">
        <f t="shared" si="5"/>
        <v>1.4386752529898803</v>
      </c>
    </row>
    <row r="78" spans="1:6" ht="14.25" customHeight="1" x14ac:dyDescent="0.2">
      <c r="A78" s="20">
        <v>12</v>
      </c>
      <c r="B78" s="179" t="s">
        <v>11</v>
      </c>
      <c r="C78" s="180"/>
      <c r="D78" s="15">
        <f t="shared" si="4"/>
        <v>148608</v>
      </c>
      <c r="E78" s="18">
        <f>IF(F3="1",SUMIF(Data!A:A,'46'!$A$2,Data!EJ:EJ),0)</f>
        <v>470312</v>
      </c>
      <c r="F78" s="22">
        <f t="shared" si="5"/>
        <v>3.1647825150732127</v>
      </c>
    </row>
    <row r="79" spans="1:6" x14ac:dyDescent="0.2">
      <c r="A79" s="20">
        <v>13</v>
      </c>
      <c r="B79" s="179" t="s">
        <v>12</v>
      </c>
      <c r="C79" s="180"/>
      <c r="D79" s="15">
        <f t="shared" si="4"/>
        <v>22950</v>
      </c>
      <c r="E79" s="18">
        <f>IF(F3="1",SUMIF(Data!A:A,'46'!$A$2,Data!EK:EK),0)</f>
        <v>62880</v>
      </c>
      <c r="F79" s="22">
        <f t="shared" si="5"/>
        <v>2.7398692810457517</v>
      </c>
    </row>
    <row r="80" spans="1:6" ht="14.25" customHeight="1" x14ac:dyDescent="0.2">
      <c r="A80" s="20">
        <v>14</v>
      </c>
      <c r="B80" s="179" t="s">
        <v>804</v>
      </c>
      <c r="C80" s="180"/>
      <c r="D80" s="15">
        <f t="shared" si="4"/>
        <v>150399</v>
      </c>
      <c r="E80" s="18">
        <f>IF(F3="1",SUMIF(Data!A:A,'46'!$A$2,Data!EL:EL),0)</f>
        <v>520265</v>
      </c>
      <c r="F80" s="22">
        <f t="shared" si="5"/>
        <v>3.4592317768070266</v>
      </c>
    </row>
    <row r="81" spans="1:6" x14ac:dyDescent="0.2">
      <c r="A81" s="20">
        <v>15</v>
      </c>
      <c r="B81" s="179" t="s">
        <v>13</v>
      </c>
      <c r="C81" s="180"/>
      <c r="D81" s="15">
        <f t="shared" si="4"/>
        <v>0</v>
      </c>
      <c r="E81" s="18">
        <f>IF(F3="1",SUMIF(Data!A:A,'46'!$A$2,Data!EM:EM),0)</f>
        <v>0</v>
      </c>
      <c r="F81" s="22" t="str">
        <f t="shared" si="5"/>
        <v/>
      </c>
    </row>
    <row r="82" spans="1:6" x14ac:dyDescent="0.2">
      <c r="A82" s="20">
        <v>16</v>
      </c>
      <c r="B82" s="179" t="s">
        <v>14</v>
      </c>
      <c r="C82" s="180"/>
      <c r="D82" s="15">
        <f t="shared" si="4"/>
        <v>125464</v>
      </c>
      <c r="E82" s="18">
        <f>IF(F3="1",SUMIF(Data!A:A,'46'!$A$2,Data!EN:EN),0)</f>
        <v>388860</v>
      </c>
      <c r="F82" s="22">
        <f t="shared" si="5"/>
        <v>3.0993751195562074</v>
      </c>
    </row>
    <row r="83" spans="1:6" x14ac:dyDescent="0.2">
      <c r="A83" s="20">
        <v>17</v>
      </c>
      <c r="B83" s="179" t="s">
        <v>15</v>
      </c>
      <c r="C83" s="180"/>
      <c r="D83" s="15">
        <f t="shared" si="4"/>
        <v>0</v>
      </c>
      <c r="E83" s="18">
        <f>IF(F3="1",SUMIF(Data!A:A,'46'!$A$2,Data!EO:EO),0)</f>
        <v>0</v>
      </c>
      <c r="F83" s="22" t="str">
        <f t="shared" si="5"/>
        <v/>
      </c>
    </row>
    <row r="84" spans="1:6" x14ac:dyDescent="0.2">
      <c r="A84" s="20">
        <v>18</v>
      </c>
      <c r="B84" s="179" t="s">
        <v>16</v>
      </c>
      <c r="C84" s="180"/>
      <c r="D84" s="15">
        <f t="shared" si="4"/>
        <v>210800</v>
      </c>
      <c r="E84" s="18">
        <f>IF(F3="1",SUMIF(Data!A:A,'46'!$A$2,Data!EP:EP),0)</f>
        <v>632768</v>
      </c>
      <c r="F84" s="22">
        <f t="shared" si="5"/>
        <v>3.0017457305502848</v>
      </c>
    </row>
    <row r="85" spans="1:6" x14ac:dyDescent="0.2">
      <c r="A85" s="20">
        <v>19</v>
      </c>
      <c r="B85" s="179" t="s">
        <v>17</v>
      </c>
      <c r="C85" s="180"/>
      <c r="D85" s="15">
        <f t="shared" si="4"/>
        <v>54696</v>
      </c>
      <c r="E85" s="18">
        <f>IF(F3="1",SUMIF(Data!A:A,'46'!$A$2,Data!EQ:EQ),0)</f>
        <v>262888</v>
      </c>
      <c r="F85" s="22">
        <f t="shared" si="5"/>
        <v>4.8063478133684363</v>
      </c>
    </row>
    <row r="86" spans="1:6" x14ac:dyDescent="0.2">
      <c r="A86" s="20">
        <v>20</v>
      </c>
      <c r="B86" s="179" t="s">
        <v>18</v>
      </c>
      <c r="C86" s="180"/>
      <c r="D86" s="15">
        <f t="shared" si="4"/>
        <v>10432</v>
      </c>
      <c r="E86" s="18">
        <f>IF(F3="1",SUMIF(Data!A:A,'46'!$A$2,Data!ER:ER),0)</f>
        <v>43431</v>
      </c>
      <c r="F86" s="22">
        <f t="shared" si="5"/>
        <v>4.1632476993865026</v>
      </c>
    </row>
    <row r="87" spans="1:6" ht="14.25" customHeight="1" x14ac:dyDescent="0.2">
      <c r="A87" s="20">
        <v>21</v>
      </c>
      <c r="B87" s="179" t="s">
        <v>801</v>
      </c>
      <c r="C87" s="180"/>
      <c r="D87" s="15">
        <f t="shared" si="4"/>
        <v>160</v>
      </c>
      <c r="E87" s="18">
        <f>IF(F3="1",SUMIF(Data!A:A,'46'!$A$2,Data!ES:ES),0)</f>
        <v>0</v>
      </c>
      <c r="F87" s="22">
        <f t="shared" si="5"/>
        <v>0</v>
      </c>
    </row>
    <row r="88" spans="1:6" x14ac:dyDescent="0.2">
      <c r="A88" s="20">
        <v>22</v>
      </c>
      <c r="B88" s="179" t="s">
        <v>19</v>
      </c>
      <c r="C88" s="180"/>
      <c r="D88" s="15">
        <f t="shared" si="4"/>
        <v>8384</v>
      </c>
      <c r="E88" s="18">
        <f>IF(F3="1",SUMIF(Data!A:A,'46'!$A$2,Data!ET:ET),0)</f>
        <v>34018</v>
      </c>
      <c r="F88" s="22">
        <f t="shared" si="5"/>
        <v>4.0574904580152671</v>
      </c>
    </row>
    <row r="89" spans="1:6" x14ac:dyDescent="0.2">
      <c r="A89" s="20">
        <v>23</v>
      </c>
      <c r="B89" s="179" t="s">
        <v>20</v>
      </c>
      <c r="C89" s="180"/>
      <c r="D89" s="15">
        <f t="shared" si="4"/>
        <v>29856</v>
      </c>
      <c r="E89" s="18">
        <f>IF(F3="1",SUMIF(Data!A:A,'46'!$A$2,Data!EU:EU),0)</f>
        <v>78923</v>
      </c>
      <c r="F89" s="22">
        <f t="shared" si="5"/>
        <v>2.64345525187567</v>
      </c>
    </row>
    <row r="90" spans="1:6" x14ac:dyDescent="0.2">
      <c r="A90" s="20">
        <v>24</v>
      </c>
      <c r="B90" s="179" t="s">
        <v>21</v>
      </c>
      <c r="C90" s="180"/>
      <c r="D90" s="15">
        <f t="shared" si="4"/>
        <v>105208</v>
      </c>
      <c r="E90" s="18">
        <f>IF(F3="1",SUMIF(Data!A:A,'46'!$A$2,Data!EV:EV),0)</f>
        <v>237763</v>
      </c>
      <c r="F90" s="22">
        <f t="shared" si="5"/>
        <v>2.2599327047372824</v>
      </c>
    </row>
    <row r="91" spans="1:6" x14ac:dyDescent="0.2">
      <c r="A91" s="20">
        <v>25</v>
      </c>
      <c r="B91" s="179" t="s">
        <v>22</v>
      </c>
      <c r="C91" s="180"/>
      <c r="D91" s="15">
        <f t="shared" si="4"/>
        <v>236496</v>
      </c>
      <c r="E91" s="18">
        <f>IF(F3="1",SUMIF(Data!A:A,'46'!$A$2,Data!EW:EW),0)</f>
        <v>657302</v>
      </c>
      <c r="F91" s="22">
        <f t="shared" si="5"/>
        <v>2.7793366483999731</v>
      </c>
    </row>
    <row r="92" spans="1:6" x14ac:dyDescent="0.2">
      <c r="A92" s="20">
        <v>26</v>
      </c>
      <c r="B92" s="179" t="s">
        <v>23</v>
      </c>
      <c r="C92" s="180"/>
      <c r="D92" s="15">
        <f t="shared" si="4"/>
        <v>40496</v>
      </c>
      <c r="E92" s="18">
        <f>IF(F3="1",SUMIF(Data!A:A,'46'!$A$2,Data!EX:EX),0)</f>
        <v>125003</v>
      </c>
      <c r="F92" s="22">
        <f t="shared" si="5"/>
        <v>3.0867986961675227</v>
      </c>
    </row>
    <row r="93" spans="1:6" x14ac:dyDescent="0.2">
      <c r="A93" s="20">
        <v>28</v>
      </c>
      <c r="B93" s="179" t="s">
        <v>24</v>
      </c>
      <c r="C93" s="180"/>
      <c r="D93" s="15">
        <f t="shared" si="4"/>
        <v>61600</v>
      </c>
      <c r="E93" s="18">
        <f>IF(F3="1",SUMIF(Data!A:A,'46'!$A$2,Data!EZ:EZ),0)</f>
        <v>136372</v>
      </c>
      <c r="F93" s="22">
        <f t="shared" si="5"/>
        <v>2.2138311688311689</v>
      </c>
    </row>
    <row r="94" spans="1:6" ht="15.75" customHeight="1" thickBot="1" x14ac:dyDescent="0.25">
      <c r="A94" s="23">
        <v>29</v>
      </c>
      <c r="B94" s="181" t="s">
        <v>25</v>
      </c>
      <c r="C94" s="182"/>
      <c r="D94" s="24">
        <f t="shared" si="4"/>
        <v>25248</v>
      </c>
      <c r="E94" s="25">
        <f>IF(F3="1",SUMIF(Data!A:A,'46'!$A$2,Data!FA:FA),0)</f>
        <v>62931</v>
      </c>
      <c r="F94" s="26">
        <f t="shared" si="5"/>
        <v>2.4925142585551332</v>
      </c>
    </row>
    <row r="95" spans="1:6" x14ac:dyDescent="0.2">
      <c r="B95" s="31" t="s">
        <v>35</v>
      </c>
      <c r="C95" s="31"/>
      <c r="D95" s="61">
        <f>SUM(D67:D94)</f>
        <v>1949150</v>
      </c>
      <c r="E95" s="32">
        <f>SUM(E67:E94)</f>
        <v>4834623</v>
      </c>
      <c r="F95" s="33">
        <f t="shared" si="5"/>
        <v>2.480375035271785</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IF(F3="1",SUMIF(Data!A:A,'46'!$A$2,Data!AH:AH),0)</f>
        <v>2311853</v>
      </c>
      <c r="F98" s="21">
        <f t="shared" ref="F98:F105" si="6">IFERROR(E98/$D$95,0)</f>
        <v>1.1860826514121541</v>
      </c>
    </row>
    <row r="99" spans="2:6" x14ac:dyDescent="0.2">
      <c r="B99" s="185" t="s">
        <v>31</v>
      </c>
      <c r="C99" s="186"/>
      <c r="D99" s="37"/>
      <c r="E99" s="18">
        <f>IF(F3="1",SUMIF(Data!A:A,'46'!$A$2,Data!AI:AI),0)</f>
        <v>1291969</v>
      </c>
      <c r="F99" s="22">
        <f t="shared" si="6"/>
        <v>0.66283713413539236</v>
      </c>
    </row>
    <row r="100" spans="2:6" x14ac:dyDescent="0.2">
      <c r="B100" s="185" t="s">
        <v>32</v>
      </c>
      <c r="C100" s="186"/>
      <c r="D100" s="37"/>
      <c r="E100" s="18">
        <f>IF(F3="1",SUMIF(Data!A:A,'46'!$A$2,Data!AJ:AJ),0)</f>
        <v>1941213</v>
      </c>
      <c r="F100" s="22">
        <f t="shared" si="6"/>
        <v>0.99592796860169819</v>
      </c>
    </row>
    <row r="101" spans="2:6" x14ac:dyDescent="0.2">
      <c r="B101" s="185" t="s">
        <v>28</v>
      </c>
      <c r="C101" s="186"/>
      <c r="D101" s="37"/>
      <c r="E101" s="18">
        <f>IF(F3="1",SUMIF(Data!A:A,'46'!$A$2,Data!AK:AK),0)</f>
        <v>0</v>
      </c>
      <c r="F101" s="22">
        <f t="shared" si="6"/>
        <v>0</v>
      </c>
    </row>
    <row r="102" spans="2:6" x14ac:dyDescent="0.2">
      <c r="B102" s="185" t="s">
        <v>33</v>
      </c>
      <c r="C102" s="186"/>
      <c r="D102" s="37"/>
      <c r="E102" s="18">
        <f>IF(F3="1",SUMIF(Data!A:A,'46'!$A$2,Data!AL:AL),0)</f>
        <v>0</v>
      </c>
      <c r="F102" s="22">
        <f t="shared" si="6"/>
        <v>0</v>
      </c>
    </row>
    <row r="103" spans="2:6" x14ac:dyDescent="0.2">
      <c r="B103" s="187" t="s">
        <v>34</v>
      </c>
      <c r="C103" s="188"/>
      <c r="D103" s="37"/>
      <c r="E103" s="18">
        <f>IF(F3="1",SUMIF(Data!A:A,'46'!$A$2,Data!AM:AM),0)</f>
        <v>204099</v>
      </c>
      <c r="F103" s="22">
        <f t="shared" si="6"/>
        <v>0.10471179745017059</v>
      </c>
    </row>
    <row r="104" spans="2:6" ht="15.75" customHeight="1" thickBot="1" x14ac:dyDescent="0.25">
      <c r="B104" s="177" t="s">
        <v>29</v>
      </c>
      <c r="C104" s="178"/>
      <c r="D104" s="38"/>
      <c r="E104" s="25">
        <f>IF(F3="1",SUMIF(Data!A:A,'46'!$A$2,Data!Q:Q),0)</f>
        <v>402464</v>
      </c>
      <c r="F104" s="26">
        <f t="shared" si="6"/>
        <v>0.20648179975886924</v>
      </c>
    </row>
    <row r="105" spans="2:6" x14ac:dyDescent="0.2">
      <c r="B105" s="31" t="s">
        <v>35</v>
      </c>
      <c r="C105" s="31"/>
      <c r="D105" s="35">
        <f>D95</f>
        <v>1949150</v>
      </c>
      <c r="E105" s="32">
        <f>SUM(E98:E104)</f>
        <v>6151598</v>
      </c>
      <c r="F105" s="33">
        <f t="shared" si="6"/>
        <v>3.1560413513582843</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4834623</v>
      </c>
      <c r="D109" s="16">
        <f>IF(F3="1",SUMIF(Data!$A:$A,$A$2,Data!HJ:HJ),0)</f>
        <v>499529</v>
      </c>
      <c r="E109" s="16">
        <f>IF(F3="1",SUMIF(Data!$A:$A,$A$2,Data!IN:IN),0)</f>
        <v>393147</v>
      </c>
      <c r="F109" s="48">
        <f>SUM(C109:E109)</f>
        <v>5727299</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91251</v>
      </c>
      <c r="D111" s="52"/>
      <c r="E111" s="51">
        <f>IF(F3="1",SUMIF(Data!A:A,$A$2,Data!AX:AX),0)</f>
        <v>49033</v>
      </c>
      <c r="F111" s="49">
        <f t="shared" si="7"/>
        <v>140284</v>
      </c>
    </row>
    <row r="112" spans="2:6" x14ac:dyDescent="0.2">
      <c r="B112" s="43" t="s">
        <v>32</v>
      </c>
      <c r="C112" s="51">
        <f>IF(F3="1",SUMIF(Data!A:A,$A$2,Data!V:V),0)</f>
        <v>1518592</v>
      </c>
      <c r="D112" s="52"/>
      <c r="E112" s="51">
        <f>IF(F3="1",SUMIF(Data!A:A,$A$2,Data!AC:AC),0)</f>
        <v>422621</v>
      </c>
      <c r="F112" s="49">
        <f t="shared" si="7"/>
        <v>1941213</v>
      </c>
    </row>
    <row r="113" spans="1:6" x14ac:dyDescent="0.2">
      <c r="B113" s="43" t="s">
        <v>31</v>
      </c>
      <c r="C113" s="51">
        <f>IF(F3="1",SUMIF(Data!A:A,$A$2,Data!U:U),0)</f>
        <v>1151001</v>
      </c>
      <c r="D113" s="52"/>
      <c r="E113" s="51">
        <f>IF(F3="1",SUMIF(Data!A:A,$A$2,Data!AB:AB),0)</f>
        <v>140968</v>
      </c>
      <c r="F113" s="49">
        <f t="shared" si="7"/>
        <v>1291969</v>
      </c>
    </row>
    <row r="114" spans="1:6" x14ac:dyDescent="0.2">
      <c r="B114" s="43" t="s">
        <v>1363</v>
      </c>
      <c r="C114" s="51">
        <f>IF(F3="1",SUMIF(Data!A:A,$A$2,Data!T:T),0)</f>
        <v>1285545</v>
      </c>
      <c r="D114" s="52"/>
      <c r="E114" s="51">
        <f>IF(F3="1",SUMIF(Data!A:A,$A$2,Data!AA:AA),0)</f>
        <v>1026308</v>
      </c>
      <c r="F114" s="49">
        <f t="shared" si="7"/>
        <v>2311853</v>
      </c>
    </row>
    <row r="115" spans="1:6" x14ac:dyDescent="0.2">
      <c r="B115" s="43" t="s">
        <v>1278</v>
      </c>
      <c r="C115" s="51">
        <f>IF(F3="1",SUMIF(Data!A:A,$A$2,Data!BI:BI),0)</f>
        <v>692066</v>
      </c>
      <c r="D115" s="51">
        <f>IF(F3="1",SUMIF(Data!A:A,$A$2,Data!BL:BL),0)</f>
        <v>65929</v>
      </c>
      <c r="E115" s="51">
        <f>IF(F3="1",SUMIF(Data!A:A,$A$2,Data!BU:BU),0)</f>
        <v>1106589</v>
      </c>
      <c r="F115" s="49">
        <f t="shared" si="7"/>
        <v>1864584</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402464</v>
      </c>
      <c r="E117" s="53"/>
      <c r="F117" s="50">
        <f>SUM(C117:E117)</f>
        <v>402464</v>
      </c>
    </row>
    <row r="118" spans="1:6" x14ac:dyDescent="0.2">
      <c r="B118" s="14" t="s">
        <v>35</v>
      </c>
      <c r="C118" s="5">
        <f>SUM(C109:C116)</f>
        <v>9573078</v>
      </c>
      <c r="D118" s="5">
        <f>SUM(D109:D116)</f>
        <v>565458</v>
      </c>
      <c r="E118" s="5">
        <f>SUM(E109:E116)</f>
        <v>3138666</v>
      </c>
      <c r="F118" s="5">
        <f>SUM(F109:F116)</f>
        <v>13277202</v>
      </c>
    </row>
    <row r="119" spans="1:6" ht="15" thickBot="1" x14ac:dyDescent="0.25"/>
    <row r="120" spans="1:6" ht="15" thickBot="1" x14ac:dyDescent="0.25">
      <c r="B120" s="57" t="s">
        <v>1283</v>
      </c>
      <c r="C120" s="55"/>
      <c r="D120" s="55"/>
      <c r="E120" s="55">
        <f>IF(F3="1",SUMIF(Data!A:A,'46'!$A$2,Data!AM:AM),0)</f>
        <v>204099</v>
      </c>
      <c r="F120" s="56">
        <f>SUM(C120:E120)</f>
        <v>204099</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3" width="12.425781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603</v>
      </c>
      <c r="B2" s="60" t="str">
        <f>VLOOKUP(A2,Data!A:G,7,0)</f>
        <v>Victoria College, The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11520</v>
      </c>
      <c r="E5" s="16">
        <f>E36+E67+IFERROR($E$105/$D$105*D5,0)</f>
        <v>48263.584782170656</v>
      </c>
      <c r="F5" s="21">
        <f>IFERROR(E5/D5,"")</f>
        <v>4.1895472901189805</v>
      </c>
    </row>
    <row r="6" spans="1:6" x14ac:dyDescent="0.2">
      <c r="A6" s="20">
        <v>2</v>
      </c>
      <c r="B6" s="179" t="s">
        <v>1</v>
      </c>
      <c r="C6" s="180"/>
      <c r="D6" s="15">
        <f t="shared" ref="D6:D32" si="0">D37</f>
        <v>22947</v>
      </c>
      <c r="E6" s="18">
        <f t="shared" ref="E6:E32" si="1">E37+E68+IFERROR($E$105/$D$105*D6,0)</f>
        <v>193336.54166636025</v>
      </c>
      <c r="F6" s="22">
        <f t="shared" ref="F6:F33" si="2">IFERROR(E6/D6,"")</f>
        <v>8.4253515346825409</v>
      </c>
    </row>
    <row r="7" spans="1:6" ht="14.25" customHeight="1" x14ac:dyDescent="0.2">
      <c r="A7" s="20">
        <v>3</v>
      </c>
      <c r="B7" s="179" t="s">
        <v>2</v>
      </c>
      <c r="C7" s="180"/>
      <c r="D7" s="15">
        <f t="shared" si="0"/>
        <v>260071</v>
      </c>
      <c r="E7" s="18">
        <f t="shared" si="1"/>
        <v>2107107.7532885335</v>
      </c>
      <c r="F7" s="22">
        <f t="shared" si="2"/>
        <v>8.1020481072035473</v>
      </c>
    </row>
    <row r="8" spans="1:6" ht="14.25" customHeight="1" x14ac:dyDescent="0.2">
      <c r="A8" s="20">
        <v>4</v>
      </c>
      <c r="B8" s="179" t="s">
        <v>3</v>
      </c>
      <c r="C8" s="180"/>
      <c r="D8" s="15">
        <f t="shared" si="0"/>
        <v>116346</v>
      </c>
      <c r="E8" s="18">
        <f t="shared" si="1"/>
        <v>822123.06901618291</v>
      </c>
      <c r="F8" s="22">
        <f t="shared" si="2"/>
        <v>7.0661910939454984</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1433</v>
      </c>
      <c r="E10" s="18">
        <f t="shared" si="1"/>
        <v>14485.621266740498</v>
      </c>
      <c r="F10" s="22">
        <f t="shared" si="2"/>
        <v>10.108598232198533</v>
      </c>
    </row>
    <row r="11" spans="1:6" x14ac:dyDescent="0.2">
      <c r="A11" s="20">
        <v>7</v>
      </c>
      <c r="B11" s="179" t="s">
        <v>6</v>
      </c>
      <c r="C11" s="180"/>
      <c r="D11" s="15">
        <f t="shared" si="0"/>
        <v>67870</v>
      </c>
      <c r="E11" s="18">
        <f t="shared" si="1"/>
        <v>847609.57458037522</v>
      </c>
      <c r="F11" s="22">
        <f t="shared" si="2"/>
        <v>12.488722183297115</v>
      </c>
    </row>
    <row r="12" spans="1:6" x14ac:dyDescent="0.2">
      <c r="A12" s="20">
        <v>8</v>
      </c>
      <c r="B12" s="179" t="s">
        <v>7</v>
      </c>
      <c r="C12" s="180"/>
      <c r="D12" s="15">
        <f t="shared" si="0"/>
        <v>8918</v>
      </c>
      <c r="E12" s="18">
        <f t="shared" si="1"/>
        <v>183482.38273328106</v>
      </c>
      <c r="F12" s="22">
        <f t="shared" si="2"/>
        <v>20.574386940264752</v>
      </c>
    </row>
    <row r="13" spans="1:6" x14ac:dyDescent="0.2">
      <c r="A13" s="20">
        <v>9</v>
      </c>
      <c r="B13" s="179" t="s">
        <v>8</v>
      </c>
      <c r="C13" s="180"/>
      <c r="D13" s="15">
        <f t="shared" si="0"/>
        <v>15378</v>
      </c>
      <c r="E13" s="18">
        <f t="shared" si="1"/>
        <v>66092.858227449673</v>
      </c>
      <c r="F13" s="22">
        <f t="shared" si="2"/>
        <v>4.297883874850414</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72821</v>
      </c>
      <c r="E15" s="18">
        <f t="shared" si="1"/>
        <v>437797.02321375429</v>
      </c>
      <c r="F15" s="22">
        <f t="shared" si="2"/>
        <v>6.0119611542515798</v>
      </c>
    </row>
    <row r="16" spans="1:6" ht="14.25" customHeight="1" x14ac:dyDescent="0.2">
      <c r="A16" s="20">
        <v>12</v>
      </c>
      <c r="B16" s="179" t="s">
        <v>11</v>
      </c>
      <c r="C16" s="180"/>
      <c r="D16" s="15">
        <f t="shared" si="0"/>
        <v>196183</v>
      </c>
      <c r="E16" s="18">
        <f t="shared" si="1"/>
        <v>1801409.956017412</v>
      </c>
      <c r="F16" s="22">
        <f t="shared" si="2"/>
        <v>9.1822938583741305</v>
      </c>
    </row>
    <row r="17" spans="1:6" x14ac:dyDescent="0.2">
      <c r="A17" s="20">
        <v>13</v>
      </c>
      <c r="B17" s="179" t="s">
        <v>12</v>
      </c>
      <c r="C17" s="180"/>
      <c r="D17" s="15">
        <f t="shared" si="0"/>
        <v>13164</v>
      </c>
      <c r="E17" s="18">
        <f t="shared" si="1"/>
        <v>55151.200527126261</v>
      </c>
      <c r="F17" s="22">
        <f t="shared" si="2"/>
        <v>4.1895472901189805</v>
      </c>
    </row>
    <row r="18" spans="1:6" ht="14.25" customHeight="1" x14ac:dyDescent="0.2">
      <c r="A18" s="20">
        <v>14</v>
      </c>
      <c r="B18" s="179" t="s">
        <v>804</v>
      </c>
      <c r="C18" s="180"/>
      <c r="D18" s="15">
        <f t="shared" si="0"/>
        <v>159152</v>
      </c>
      <c r="E18" s="18">
        <f t="shared" si="1"/>
        <v>1968463.830317016</v>
      </c>
      <c r="F18" s="22">
        <f t="shared" si="2"/>
        <v>12.368451733669801</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116007</v>
      </c>
      <c r="E20" s="18">
        <f t="shared" si="1"/>
        <v>1089923.8124848325</v>
      </c>
      <c r="F20" s="22">
        <f t="shared" si="2"/>
        <v>9.395327975767259</v>
      </c>
    </row>
    <row r="21" spans="1:6" x14ac:dyDescent="0.2">
      <c r="A21" s="20">
        <v>17</v>
      </c>
      <c r="B21" s="179" t="s">
        <v>15</v>
      </c>
      <c r="C21" s="180"/>
      <c r="D21" s="15">
        <f t="shared" si="0"/>
        <v>31888</v>
      </c>
      <c r="E21" s="18">
        <f t="shared" si="1"/>
        <v>418590.28398731409</v>
      </c>
      <c r="F21" s="22">
        <f t="shared" si="2"/>
        <v>13.126890491323197</v>
      </c>
    </row>
    <row r="22" spans="1:6" x14ac:dyDescent="0.2">
      <c r="A22" s="20">
        <v>18</v>
      </c>
      <c r="B22" s="179" t="s">
        <v>16</v>
      </c>
      <c r="C22" s="180"/>
      <c r="D22" s="15">
        <f t="shared" si="0"/>
        <v>202672</v>
      </c>
      <c r="E22" s="18">
        <f t="shared" si="1"/>
        <v>2057665.9283829941</v>
      </c>
      <c r="F22" s="22">
        <f t="shared" si="2"/>
        <v>10.152689707423789</v>
      </c>
    </row>
    <row r="23" spans="1:6" x14ac:dyDescent="0.2">
      <c r="A23" s="20">
        <v>19</v>
      </c>
      <c r="B23" s="179" t="s">
        <v>17</v>
      </c>
      <c r="C23" s="180"/>
      <c r="D23" s="15">
        <f t="shared" si="0"/>
        <v>78384</v>
      </c>
      <c r="E23" s="18">
        <f t="shared" si="1"/>
        <v>715982.47478868614</v>
      </c>
      <c r="F23" s="22">
        <f t="shared" si="2"/>
        <v>9.1342936669305743</v>
      </c>
    </row>
    <row r="24" spans="1:6" x14ac:dyDescent="0.2">
      <c r="A24" s="20">
        <v>20</v>
      </c>
      <c r="B24" s="179" t="s">
        <v>18</v>
      </c>
      <c r="C24" s="180"/>
      <c r="D24" s="15">
        <f t="shared" si="0"/>
        <v>1670</v>
      </c>
      <c r="E24" s="18">
        <f t="shared" si="1"/>
        <v>6996.5439744986979</v>
      </c>
      <c r="F24" s="22">
        <f t="shared" si="2"/>
        <v>4.1895472901189805</v>
      </c>
    </row>
    <row r="25" spans="1:6" ht="14.25" customHeight="1" x14ac:dyDescent="0.2">
      <c r="A25" s="20">
        <v>21</v>
      </c>
      <c r="B25" s="179" t="s">
        <v>801</v>
      </c>
      <c r="C25" s="180"/>
      <c r="D25" s="15">
        <f t="shared" si="0"/>
        <v>5148</v>
      </c>
      <c r="E25" s="18">
        <f t="shared" si="1"/>
        <v>21789.789449532513</v>
      </c>
      <c r="F25" s="22">
        <f t="shared" si="2"/>
        <v>4.2326708332425236</v>
      </c>
    </row>
    <row r="26" spans="1:6" x14ac:dyDescent="0.2">
      <c r="A26" s="20">
        <v>22</v>
      </c>
      <c r="B26" s="179" t="s">
        <v>19</v>
      </c>
      <c r="C26" s="180"/>
      <c r="D26" s="15">
        <f t="shared" si="0"/>
        <v>1728</v>
      </c>
      <c r="E26" s="18">
        <f t="shared" si="1"/>
        <v>7239.5377173255984</v>
      </c>
      <c r="F26" s="22">
        <f t="shared" si="2"/>
        <v>4.1895472901189805</v>
      </c>
    </row>
    <row r="27" spans="1:6" x14ac:dyDescent="0.2">
      <c r="A27" s="20">
        <v>23</v>
      </c>
      <c r="B27" s="179" t="s">
        <v>20</v>
      </c>
      <c r="C27" s="180"/>
      <c r="D27" s="15">
        <f t="shared" si="0"/>
        <v>69792</v>
      </c>
      <c r="E27" s="18">
        <f t="shared" si="1"/>
        <v>537006.88447198388</v>
      </c>
      <c r="F27" s="22">
        <f t="shared" si="2"/>
        <v>7.6943902520630427</v>
      </c>
    </row>
    <row r="28" spans="1:6" x14ac:dyDescent="0.2">
      <c r="A28" s="20">
        <v>24</v>
      </c>
      <c r="B28" s="179" t="s">
        <v>21</v>
      </c>
      <c r="C28" s="180"/>
      <c r="D28" s="15">
        <f t="shared" si="0"/>
        <v>72879</v>
      </c>
      <c r="E28" s="18">
        <f t="shared" si="1"/>
        <v>663934.01695658127</v>
      </c>
      <c r="F28" s="22">
        <f t="shared" si="2"/>
        <v>9.1100868145361655</v>
      </c>
    </row>
    <row r="29" spans="1:6" x14ac:dyDescent="0.2">
      <c r="A29" s="20">
        <v>25</v>
      </c>
      <c r="B29" s="179" t="s">
        <v>22</v>
      </c>
      <c r="C29" s="180"/>
      <c r="D29" s="15">
        <f t="shared" si="0"/>
        <v>316560</v>
      </c>
      <c r="E29" s="18">
        <f t="shared" si="1"/>
        <v>2184650.0901600644</v>
      </c>
      <c r="F29" s="22">
        <f t="shared" si="2"/>
        <v>6.9012196429115003</v>
      </c>
    </row>
    <row r="30" spans="1:6" x14ac:dyDescent="0.2">
      <c r="A30" s="20">
        <v>26</v>
      </c>
      <c r="B30" s="179" t="s">
        <v>23</v>
      </c>
      <c r="C30" s="180"/>
      <c r="D30" s="15">
        <f t="shared" si="0"/>
        <v>71416</v>
      </c>
      <c r="E30" s="18">
        <f t="shared" si="1"/>
        <v>806934.70927113714</v>
      </c>
      <c r="F30" s="22">
        <f t="shared" si="2"/>
        <v>11.299074566919698</v>
      </c>
    </row>
    <row r="31" spans="1:6" x14ac:dyDescent="0.2">
      <c r="A31" s="20">
        <v>28</v>
      </c>
      <c r="B31" s="179" t="s">
        <v>24</v>
      </c>
      <c r="C31" s="180"/>
      <c r="D31" s="15">
        <f t="shared" si="0"/>
        <v>85472</v>
      </c>
      <c r="E31" s="18">
        <f t="shared" si="1"/>
        <v>694816.98598104948</v>
      </c>
      <c r="F31" s="22">
        <f t="shared" si="2"/>
        <v>8.1291766424214895</v>
      </c>
    </row>
    <row r="32" spans="1:6" ht="15.75" customHeight="1" thickBot="1" x14ac:dyDescent="0.25">
      <c r="A32" s="23">
        <v>29</v>
      </c>
      <c r="B32" s="181" t="s">
        <v>25</v>
      </c>
      <c r="C32" s="182"/>
      <c r="D32" s="24">
        <f t="shared" si="0"/>
        <v>40320</v>
      </c>
      <c r="E32" s="25">
        <f t="shared" si="1"/>
        <v>331827.54673759732</v>
      </c>
      <c r="F32" s="26">
        <f t="shared" si="2"/>
        <v>8.2298498694840614</v>
      </c>
    </row>
    <row r="33" spans="1:6" x14ac:dyDescent="0.2">
      <c r="B33" s="31" t="s">
        <v>35</v>
      </c>
      <c r="C33" s="31"/>
      <c r="D33" s="61">
        <f>SUM(D5:D32)</f>
        <v>2039739</v>
      </c>
      <c r="E33" s="32">
        <f>SUM(E5:E32)</f>
        <v>18082682</v>
      </c>
      <c r="F33" s="33">
        <f t="shared" si="2"/>
        <v>8.8651940272750576</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IF(F3="1",SUMIF(Data!A:A,'47'!$A$2,Data!CU:CU),0)</f>
        <v>11520</v>
      </c>
      <c r="E36" s="16">
        <f>IF(F3="1",SUMIF(Data!$A:$A,'47'!$A$2,Data!IO:IO),0)</f>
        <v>0</v>
      </c>
      <c r="F36" s="21">
        <f t="shared" ref="F36:F64" si="3">IFERROR(E36/D36,"")</f>
        <v>0</v>
      </c>
    </row>
    <row r="37" spans="1:6" x14ac:dyDescent="0.2">
      <c r="A37" s="20">
        <v>2</v>
      </c>
      <c r="B37" s="179" t="s">
        <v>1</v>
      </c>
      <c r="C37" s="180"/>
      <c r="D37" s="15">
        <f>IF(F3="1",SUMIF(Data!A:A,'47'!$A$2,Data!CV:CV),0)</f>
        <v>22947</v>
      </c>
      <c r="E37" s="18">
        <f>IF(F3="1",SUMIF(Data!$A:$A,'47'!$A$2,Data!IP:IP),0)</f>
        <v>31310</v>
      </c>
      <c r="F37" s="22">
        <f t="shared" si="3"/>
        <v>1.3644485117880334</v>
      </c>
    </row>
    <row r="38" spans="1:6" ht="14.25" customHeight="1" x14ac:dyDescent="0.2">
      <c r="A38" s="20">
        <v>3</v>
      </c>
      <c r="B38" s="179" t="s">
        <v>2</v>
      </c>
      <c r="C38" s="180"/>
      <c r="D38" s="15">
        <f>IF(F3="1",SUMIF(Data!A:A,'47'!$A$2,Data!CW:CW),0)</f>
        <v>260071</v>
      </c>
      <c r="E38" s="18">
        <f>IF(F3="1",SUMIF(Data!$A:$A,'47'!$A$2,Data!IQ:IQ),0)</f>
        <v>238350</v>
      </c>
      <c r="F38" s="22">
        <f t="shared" si="3"/>
        <v>0.9164804995558905</v>
      </c>
    </row>
    <row r="39" spans="1:6" ht="14.25" customHeight="1" x14ac:dyDescent="0.2">
      <c r="A39" s="20">
        <v>4</v>
      </c>
      <c r="B39" s="179" t="s">
        <v>3</v>
      </c>
      <c r="C39" s="180"/>
      <c r="D39" s="15">
        <f>IF(F3="1",SUMIF(Data!A:A,'47'!$A$2,Data!CX:CX),0)</f>
        <v>116346</v>
      </c>
      <c r="E39" s="18">
        <f>IF(F3="1",SUMIF(Data!$A:$A,'47'!$A$2,Data!IR:IR),0)</f>
        <v>94715</v>
      </c>
      <c r="F39" s="22">
        <f t="shared" si="3"/>
        <v>0.81408041531294584</v>
      </c>
    </row>
    <row r="40" spans="1:6" x14ac:dyDescent="0.2">
      <c r="A40" s="20">
        <v>5</v>
      </c>
      <c r="B40" s="179" t="s">
        <v>4</v>
      </c>
      <c r="C40" s="180"/>
      <c r="D40" s="15">
        <f>IF(F3="1",SUMIF(Data!A:A,'47'!$A$2,Data!CY:CY),0)</f>
        <v>0</v>
      </c>
      <c r="E40" s="18">
        <f>IF(F3="1",SUMIF(Data!$A:$A,'47'!$A$2,Data!IS:IS),0)</f>
        <v>0</v>
      </c>
      <c r="F40" s="22" t="str">
        <f t="shared" si="3"/>
        <v/>
      </c>
    </row>
    <row r="41" spans="1:6" x14ac:dyDescent="0.2">
      <c r="A41" s="20">
        <v>6</v>
      </c>
      <c r="B41" s="179" t="s">
        <v>5</v>
      </c>
      <c r="C41" s="180"/>
      <c r="D41" s="15">
        <f>IF(F3="1",SUMIF(Data!A:A,'47'!$A$2,Data!CZ:CZ),0)</f>
        <v>1433</v>
      </c>
      <c r="E41" s="18">
        <f>IF(F3="1",SUMIF(Data!$A:$A,'47'!$A$2,Data!IT:IT),0)</f>
        <v>829</v>
      </c>
      <c r="F41" s="22">
        <f t="shared" si="3"/>
        <v>0.57850662944870901</v>
      </c>
    </row>
    <row r="42" spans="1:6" x14ac:dyDescent="0.2">
      <c r="A42" s="20">
        <v>7</v>
      </c>
      <c r="B42" s="179" t="s">
        <v>6</v>
      </c>
      <c r="C42" s="180"/>
      <c r="D42" s="15">
        <f>IF(F3="1",SUMIF(Data!A:A,'47'!$A$2,Data!DA:DA),0)</f>
        <v>67870</v>
      </c>
      <c r="E42" s="18">
        <f>IF(F3="1",SUMIF(Data!$A:$A,'47'!$A$2,Data!IU:IU),0)</f>
        <v>204166</v>
      </c>
      <c r="F42" s="22">
        <f t="shared" si="3"/>
        <v>3.0081921320170917</v>
      </c>
    </row>
    <row r="43" spans="1:6" x14ac:dyDescent="0.2">
      <c r="A43" s="20">
        <v>8</v>
      </c>
      <c r="B43" s="179" t="s">
        <v>7</v>
      </c>
      <c r="C43" s="180"/>
      <c r="D43" s="15">
        <f>IF(F3="1",SUMIF(Data!A:A,'47'!$A$2,Data!DB:DB),0)</f>
        <v>8918</v>
      </c>
      <c r="E43" s="18">
        <f>IF(F3="1",SUMIF(Data!$A:$A,'47'!$A$2,Data!IV:IV),0)</f>
        <v>82500</v>
      </c>
      <c r="F43" s="22">
        <f t="shared" si="3"/>
        <v>9.2509531285041486</v>
      </c>
    </row>
    <row r="44" spans="1:6" x14ac:dyDescent="0.2">
      <c r="A44" s="20">
        <v>9</v>
      </c>
      <c r="B44" s="179" t="s">
        <v>8</v>
      </c>
      <c r="C44" s="180"/>
      <c r="D44" s="15">
        <f>IF(F3="1",SUMIF(Data!A:A,'47'!$A$2,Data!DC:DC),0)</f>
        <v>15378</v>
      </c>
      <c r="E44" s="18">
        <f>IF(F3="1",SUMIF(Data!$A:$A,'47'!$A$2,Data!IW:IW),0)</f>
        <v>1546</v>
      </c>
      <c r="F44" s="22">
        <f t="shared" si="3"/>
        <v>0.10053322928859409</v>
      </c>
    </row>
    <row r="45" spans="1:6" x14ac:dyDescent="0.2">
      <c r="A45" s="20">
        <v>10</v>
      </c>
      <c r="B45" s="179" t="s">
        <v>9</v>
      </c>
      <c r="C45" s="180"/>
      <c r="D45" s="15">
        <f>IF(F3="1",SUMIF(Data!A:A,'47'!$A$2,Data!DD:DD),0)</f>
        <v>0</v>
      </c>
      <c r="E45" s="18">
        <f>IF(F3="1",SUMIF(Data!$A:$A,'47'!$A$2,Data!IX:IX),0)</f>
        <v>0</v>
      </c>
      <c r="F45" s="22" t="str">
        <f t="shared" si="3"/>
        <v/>
      </c>
    </row>
    <row r="46" spans="1:6" x14ac:dyDescent="0.2">
      <c r="A46" s="20">
        <v>11</v>
      </c>
      <c r="B46" s="179" t="s">
        <v>10</v>
      </c>
      <c r="C46" s="180"/>
      <c r="D46" s="15">
        <f>IF(F3="1",SUMIF(Data!A:A,'47'!$A$2,Data!DE:DE),0)</f>
        <v>72821</v>
      </c>
      <c r="E46" s="18">
        <f>IF(F3="1",SUMIF(Data!$A:$A,'47'!$A$2,Data!IY:IY),0)</f>
        <v>34458</v>
      </c>
      <c r="F46" s="22">
        <f t="shared" si="3"/>
        <v>0.47318767937820133</v>
      </c>
    </row>
    <row r="47" spans="1:6" ht="14.25" customHeight="1" x14ac:dyDescent="0.2">
      <c r="A47" s="20">
        <v>12</v>
      </c>
      <c r="B47" s="179" t="s">
        <v>11</v>
      </c>
      <c r="C47" s="180"/>
      <c r="D47" s="15">
        <f>IF(F3="1",SUMIF(Data!A:A,'47'!$A$2,Data!DF:DF),0)</f>
        <v>196183</v>
      </c>
      <c r="E47" s="18">
        <f>IF(F3="1",SUMIF(Data!$A:$A,'47'!$A$2,Data!IZ:IZ),0)</f>
        <v>256823</v>
      </c>
      <c r="F47" s="22">
        <f t="shared" si="3"/>
        <v>1.3090991574193482</v>
      </c>
    </row>
    <row r="48" spans="1:6" x14ac:dyDescent="0.2">
      <c r="A48" s="20">
        <v>13</v>
      </c>
      <c r="B48" s="179" t="s">
        <v>12</v>
      </c>
      <c r="C48" s="180"/>
      <c r="D48" s="15">
        <f>IF(F3="1",SUMIF(Data!A:A,'47'!$A$2,Data!DG:DG),0)</f>
        <v>13164</v>
      </c>
      <c r="E48" s="18">
        <f>IF(F3="1",SUMIF(Data!$A:$A,'47'!$A$2,Data!JA:JA),0)</f>
        <v>0</v>
      </c>
      <c r="F48" s="22">
        <f t="shared" si="3"/>
        <v>0</v>
      </c>
    </row>
    <row r="49" spans="1:6" ht="14.25" customHeight="1" x14ac:dyDescent="0.2">
      <c r="A49" s="20">
        <v>14</v>
      </c>
      <c r="B49" s="179" t="s">
        <v>804</v>
      </c>
      <c r="C49" s="180"/>
      <c r="D49" s="15">
        <f>IF(F3="1",SUMIF(Data!A:A,'47'!$A$2,Data!DH:DH),0)</f>
        <v>159152</v>
      </c>
      <c r="E49" s="18">
        <f>IF(F3="1",SUMIF(Data!$A:$A,'47'!$A$2,Data!JB:JB),0)</f>
        <v>398607</v>
      </c>
      <c r="F49" s="22">
        <f t="shared" si="3"/>
        <v>2.5045679601890019</v>
      </c>
    </row>
    <row r="50" spans="1:6" x14ac:dyDescent="0.2">
      <c r="A50" s="20">
        <v>15</v>
      </c>
      <c r="B50" s="179" t="s">
        <v>13</v>
      </c>
      <c r="C50" s="180"/>
      <c r="D50" s="15">
        <f>IF(F3="1",SUMIF(Data!A:A,'47'!$A$2,Data!DI:DI),0)</f>
        <v>0</v>
      </c>
      <c r="E50" s="18">
        <f>IF(F3="1",SUMIF(Data!$A:$A,'47'!$A$2,Data!JC:JC),0)</f>
        <v>0</v>
      </c>
      <c r="F50" s="22" t="str">
        <f t="shared" si="3"/>
        <v/>
      </c>
    </row>
    <row r="51" spans="1:6" x14ac:dyDescent="0.2">
      <c r="A51" s="20">
        <v>16</v>
      </c>
      <c r="B51" s="179" t="s">
        <v>14</v>
      </c>
      <c r="C51" s="180"/>
      <c r="D51" s="15">
        <f>IF(F3="1",SUMIF(Data!A:A,'47'!$A$2,Data!DJ:DJ),0)</f>
        <v>116007</v>
      </c>
      <c r="E51" s="18">
        <f>IF(F3="1",SUMIF(Data!$A:$A,'47'!$A$2,Data!JD:JD),0)</f>
        <v>181250</v>
      </c>
      <c r="F51" s="22">
        <f t="shared" si="3"/>
        <v>1.5624057168963943</v>
      </c>
    </row>
    <row r="52" spans="1:6" x14ac:dyDescent="0.2">
      <c r="A52" s="20">
        <v>17</v>
      </c>
      <c r="B52" s="179" t="s">
        <v>15</v>
      </c>
      <c r="C52" s="180"/>
      <c r="D52" s="15">
        <f>IF(F3="1",SUMIF(Data!A:A,'47'!$A$2,Data!DK:DK),0)</f>
        <v>31888</v>
      </c>
      <c r="E52" s="18">
        <f>IF(F3="1",SUMIF(Data!$A:$A,'47'!$A$2,Data!JE:JE),0)</f>
        <v>74506</v>
      </c>
      <c r="F52" s="22">
        <f t="shared" si="3"/>
        <v>2.336490215755143</v>
      </c>
    </row>
    <row r="53" spans="1:6" x14ac:dyDescent="0.2">
      <c r="A53" s="20">
        <v>18</v>
      </c>
      <c r="B53" s="179" t="s">
        <v>16</v>
      </c>
      <c r="C53" s="180"/>
      <c r="D53" s="15">
        <f>IF(F3="1",SUMIF(Data!A:A,'47'!$A$2,Data!DL:DL),0)</f>
        <v>202672</v>
      </c>
      <c r="E53" s="18">
        <f>IF(F3="1",SUMIF(Data!$A:$A,'47'!$A$2,Data!JF:JF),0)</f>
        <v>335164</v>
      </c>
      <c r="F53" s="22">
        <f t="shared" si="3"/>
        <v>1.6537262177311123</v>
      </c>
    </row>
    <row r="54" spans="1:6" x14ac:dyDescent="0.2">
      <c r="A54" s="20">
        <v>19</v>
      </c>
      <c r="B54" s="179" t="s">
        <v>17</v>
      </c>
      <c r="C54" s="180"/>
      <c r="D54" s="15">
        <f>IF(F3="1",SUMIF(Data!A:A,'47'!$A$2,Data!DM:DM),0)</f>
        <v>78384</v>
      </c>
      <c r="E54" s="18">
        <f>IF(F3="1",SUMIF(Data!$A:$A,'47'!$A$2,Data!JG:JG),0)</f>
        <v>91818</v>
      </c>
      <c r="F54" s="22">
        <f t="shared" si="3"/>
        <v>1.1713870177587262</v>
      </c>
    </row>
    <row r="55" spans="1:6" x14ac:dyDescent="0.2">
      <c r="A55" s="20">
        <v>20</v>
      </c>
      <c r="B55" s="179" t="s">
        <v>18</v>
      </c>
      <c r="C55" s="180"/>
      <c r="D55" s="15">
        <f>IF(F3="1",SUMIF(Data!A:A,'47'!$A$2,Data!DN:DN),0)</f>
        <v>1670</v>
      </c>
      <c r="E55" s="18">
        <f>IF(F3="1",SUMIF(Data!$A:$A,'47'!$A$2,Data!JH:JH),0)</f>
        <v>0</v>
      </c>
      <c r="F55" s="22">
        <f t="shared" si="3"/>
        <v>0</v>
      </c>
    </row>
    <row r="56" spans="1:6" ht="14.25" customHeight="1" x14ac:dyDescent="0.2">
      <c r="A56" s="20">
        <v>21</v>
      </c>
      <c r="B56" s="179" t="s">
        <v>801</v>
      </c>
      <c r="C56" s="180"/>
      <c r="D56" s="15">
        <f>IF(F3="1",SUMIF(Data!A:A,'47'!$A$2,Data!DO:DO),0)</f>
        <v>5148</v>
      </c>
      <c r="E56" s="18">
        <f>IF(F3="1",SUMIF(Data!$A:$A,'47'!$A$2,Data!JI:JI),0)</f>
        <v>22</v>
      </c>
      <c r="F56" s="22">
        <f t="shared" si="3"/>
        <v>4.2735042735042739E-3</v>
      </c>
    </row>
    <row r="57" spans="1:6" x14ac:dyDescent="0.2">
      <c r="A57" s="20">
        <v>22</v>
      </c>
      <c r="B57" s="179" t="s">
        <v>19</v>
      </c>
      <c r="C57" s="180"/>
      <c r="D57" s="15">
        <f>IF(F3="1",SUMIF(Data!A:A,'47'!$A$2,Data!DP:DP),0)</f>
        <v>1728</v>
      </c>
      <c r="E57" s="18">
        <f>IF(F3="1",SUMIF(Data!$A:$A,'47'!$A$2,Data!JJ:JJ),0)</f>
        <v>0</v>
      </c>
      <c r="F57" s="22">
        <f t="shared" si="3"/>
        <v>0</v>
      </c>
    </row>
    <row r="58" spans="1:6" x14ac:dyDescent="0.2">
      <c r="A58" s="20">
        <v>23</v>
      </c>
      <c r="B58" s="179" t="s">
        <v>20</v>
      </c>
      <c r="C58" s="180"/>
      <c r="D58" s="15">
        <f>IF(F3="1",SUMIF(Data!A:A,'47'!$A$2,Data!DQ:DQ),0)</f>
        <v>69792</v>
      </c>
      <c r="E58" s="18">
        <f>IF(F3="1",SUMIF(Data!$A:$A,'47'!$A$2,Data!JK:JK),0)</f>
        <v>40325</v>
      </c>
      <c r="F58" s="22">
        <f t="shared" si="3"/>
        <v>0.57778828519027969</v>
      </c>
    </row>
    <row r="59" spans="1:6" x14ac:dyDescent="0.2">
      <c r="A59" s="20">
        <v>24</v>
      </c>
      <c r="B59" s="179" t="s">
        <v>21</v>
      </c>
      <c r="C59" s="180"/>
      <c r="D59" s="15">
        <f>IF(F3="1",SUMIF(Data!A:A,'47'!$A$2,Data!DR:DR),0)</f>
        <v>72879</v>
      </c>
      <c r="E59" s="18">
        <f>IF(F3="1",SUMIF(Data!$A:$A,'47'!$A$2,Data!JL:JL),0)</f>
        <v>195186</v>
      </c>
      <c r="F59" s="22">
        <f t="shared" si="3"/>
        <v>2.6782200633927471</v>
      </c>
    </row>
    <row r="60" spans="1:6" x14ac:dyDescent="0.2">
      <c r="A60" s="20">
        <v>25</v>
      </c>
      <c r="B60" s="179" t="s">
        <v>22</v>
      </c>
      <c r="C60" s="180"/>
      <c r="D60" s="15">
        <f>IF(F3="1",SUMIF(Data!A:A,'47'!$A$2,Data!DS:DS),0)</f>
        <v>316560</v>
      </c>
      <c r="E60" s="18">
        <f>IF(F3="1",SUMIF(Data!$A:$A,'47'!$A$2,Data!JM:JM),0)</f>
        <v>139752</v>
      </c>
      <c r="F60" s="22">
        <f t="shared" si="3"/>
        <v>0.44147081122062171</v>
      </c>
    </row>
    <row r="61" spans="1:6" x14ac:dyDescent="0.2">
      <c r="A61" s="20">
        <v>26</v>
      </c>
      <c r="B61" s="179" t="s">
        <v>23</v>
      </c>
      <c r="C61" s="180"/>
      <c r="D61" s="15">
        <f>IF(F3="1",SUMIF(Data!A:A,'47'!$A$2,Data!DT:DT),0)</f>
        <v>71416</v>
      </c>
      <c r="E61" s="18">
        <f>IF(F3="1",SUMIF(Data!$A:$A,'47'!$A$2,Data!JN:JN),0)</f>
        <v>154194</v>
      </c>
      <c r="F61" s="22">
        <f t="shared" si="3"/>
        <v>2.1590960008961577</v>
      </c>
    </row>
    <row r="62" spans="1:6" x14ac:dyDescent="0.2">
      <c r="A62" s="20">
        <v>28</v>
      </c>
      <c r="B62" s="179" t="s">
        <v>24</v>
      </c>
      <c r="C62" s="180"/>
      <c r="D62" s="15">
        <f>IF(F3="1",SUMIF(Data!A:A,'47'!$A$2,Data!DV:DV),0)</f>
        <v>85472</v>
      </c>
      <c r="E62" s="18">
        <f>IF(F3="1",SUMIF(Data!$A:$A,'47'!$A$2,Data!JP:JP),0)</f>
        <v>129559</v>
      </c>
      <c r="F62" s="22">
        <f t="shared" si="3"/>
        <v>1.515806345937851</v>
      </c>
    </row>
    <row r="63" spans="1:6" ht="15.75" customHeight="1" thickBot="1" x14ac:dyDescent="0.25">
      <c r="A63" s="23">
        <v>29</v>
      </c>
      <c r="B63" s="181" t="s">
        <v>25</v>
      </c>
      <c r="C63" s="182"/>
      <c r="D63" s="24">
        <f>IF(F3="1",SUMIF(Data!A:A,'47'!$A$2,Data!DW:DW),0)</f>
        <v>40320</v>
      </c>
      <c r="E63" s="25">
        <f>IF(F3="1",SUMIF(Data!$A:$A,'47'!$A$2,Data!JQ:JQ),0)</f>
        <v>22866</v>
      </c>
      <c r="F63" s="26">
        <f t="shared" si="3"/>
        <v>0.56711309523809528</v>
      </c>
    </row>
    <row r="64" spans="1:6" x14ac:dyDescent="0.2">
      <c r="B64" s="31" t="s">
        <v>35</v>
      </c>
      <c r="C64" s="31"/>
      <c r="D64" s="61">
        <f>SUM(D36:D63)</f>
        <v>2039739</v>
      </c>
      <c r="E64" s="32">
        <f>SUM(E36:E63)</f>
        <v>2707946</v>
      </c>
      <c r="F64" s="33">
        <f t="shared" si="3"/>
        <v>1.3275943637887004</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11520</v>
      </c>
      <c r="E67" s="16">
        <f>IF(F3="1",SUMIF(Data!A:A,'47'!$A$2,Data!DY:DY),0)</f>
        <v>0</v>
      </c>
      <c r="F67" s="21">
        <f>IFERROR(E67/D67,"")</f>
        <v>0</v>
      </c>
    </row>
    <row r="68" spans="1:6" x14ac:dyDescent="0.2">
      <c r="A68" s="20">
        <v>2</v>
      </c>
      <c r="B68" s="179" t="s">
        <v>1</v>
      </c>
      <c r="C68" s="180"/>
      <c r="D68" s="15">
        <f t="shared" ref="D68:D94" si="4">D37</f>
        <v>22947</v>
      </c>
      <c r="E68" s="18">
        <f>IF(F3="1",SUMIF(Data!A:A,'47'!$A$2,Data!DZ:DZ),0)</f>
        <v>65889</v>
      </c>
      <c r="F68" s="22">
        <f t="shared" ref="F68:F95" si="5">IFERROR(E68/D68,"")</f>
        <v>2.8713557327755264</v>
      </c>
    </row>
    <row r="69" spans="1:6" ht="14.25" customHeight="1" x14ac:dyDescent="0.2">
      <c r="A69" s="20">
        <v>3</v>
      </c>
      <c r="B69" s="179" t="s">
        <v>2</v>
      </c>
      <c r="C69" s="180"/>
      <c r="D69" s="15">
        <f t="shared" si="4"/>
        <v>260071</v>
      </c>
      <c r="E69" s="18">
        <f>IF(F3="1",SUMIF(Data!A:A,'47'!$A$2,Data!EA:EA),0)</f>
        <v>779178</v>
      </c>
      <c r="F69" s="22">
        <f t="shared" si="5"/>
        <v>2.996020317528675</v>
      </c>
    </row>
    <row r="70" spans="1:6" ht="14.25" customHeight="1" x14ac:dyDescent="0.2">
      <c r="A70" s="20">
        <v>4</v>
      </c>
      <c r="B70" s="179" t="s">
        <v>3</v>
      </c>
      <c r="C70" s="180"/>
      <c r="D70" s="15">
        <f t="shared" si="4"/>
        <v>116346</v>
      </c>
      <c r="E70" s="18">
        <f>IF(F3="1",SUMIF(Data!A:A,'47'!$A$2,Data!EB:EB),0)</f>
        <v>239971</v>
      </c>
      <c r="F70" s="22">
        <f t="shared" si="5"/>
        <v>2.0625633885135715</v>
      </c>
    </row>
    <row r="71" spans="1:6" x14ac:dyDescent="0.2">
      <c r="A71" s="20">
        <v>5</v>
      </c>
      <c r="B71" s="179" t="s">
        <v>4</v>
      </c>
      <c r="C71" s="180"/>
      <c r="D71" s="15">
        <f t="shared" si="4"/>
        <v>0</v>
      </c>
      <c r="E71" s="18">
        <f>IF(F3="1",SUMIF(Data!A:A,'47'!$A$2,Data!EC:EC),0)</f>
        <v>0</v>
      </c>
      <c r="F71" s="22" t="str">
        <f t="shared" si="5"/>
        <v/>
      </c>
    </row>
    <row r="72" spans="1:6" x14ac:dyDescent="0.2">
      <c r="A72" s="20">
        <v>6</v>
      </c>
      <c r="B72" s="179" t="s">
        <v>5</v>
      </c>
      <c r="C72" s="180"/>
      <c r="D72" s="15">
        <f t="shared" si="4"/>
        <v>1433</v>
      </c>
      <c r="E72" s="18">
        <f>IF(F3="1",SUMIF(Data!A:A,'47'!$A$2,Data!ED:ED),0)</f>
        <v>7653</v>
      </c>
      <c r="F72" s="22">
        <f t="shared" si="5"/>
        <v>5.3405443126308443</v>
      </c>
    </row>
    <row r="73" spans="1:6" x14ac:dyDescent="0.2">
      <c r="A73" s="20">
        <v>7</v>
      </c>
      <c r="B73" s="179" t="s">
        <v>6</v>
      </c>
      <c r="C73" s="180"/>
      <c r="D73" s="15">
        <f t="shared" si="4"/>
        <v>67870</v>
      </c>
      <c r="E73" s="18">
        <f>IF(F3="1",SUMIF(Data!A:A,'47'!$A$2,Data!EE:EE),0)</f>
        <v>359099</v>
      </c>
      <c r="F73" s="22">
        <f t="shared" si="5"/>
        <v>5.2909827611610432</v>
      </c>
    </row>
    <row r="74" spans="1:6" x14ac:dyDescent="0.2">
      <c r="A74" s="20">
        <v>8</v>
      </c>
      <c r="B74" s="179" t="s">
        <v>7</v>
      </c>
      <c r="C74" s="180"/>
      <c r="D74" s="15">
        <f t="shared" si="4"/>
        <v>8918</v>
      </c>
      <c r="E74" s="18">
        <f>IF(F3="1",SUMIF(Data!A:A,'47'!$A$2,Data!EF:EF),0)</f>
        <v>63620</v>
      </c>
      <c r="F74" s="22">
        <f t="shared" si="5"/>
        <v>7.1338865216416236</v>
      </c>
    </row>
    <row r="75" spans="1:6" x14ac:dyDescent="0.2">
      <c r="A75" s="20">
        <v>9</v>
      </c>
      <c r="B75" s="179" t="s">
        <v>8</v>
      </c>
      <c r="C75" s="180"/>
      <c r="D75" s="15">
        <f t="shared" si="4"/>
        <v>15378</v>
      </c>
      <c r="E75" s="18">
        <f>IF(F3="1",SUMIF(Data!A:A,'47'!$A$2,Data!EG:EG),0)</f>
        <v>120</v>
      </c>
      <c r="F75" s="22">
        <f t="shared" si="5"/>
        <v>7.8033554428404211E-3</v>
      </c>
    </row>
    <row r="76" spans="1:6" x14ac:dyDescent="0.2">
      <c r="A76" s="20">
        <v>10</v>
      </c>
      <c r="B76" s="179" t="s">
        <v>9</v>
      </c>
      <c r="C76" s="180"/>
      <c r="D76" s="15">
        <f t="shared" si="4"/>
        <v>0</v>
      </c>
      <c r="E76" s="18">
        <f>IF(F3="1",SUMIF(Data!A:A,'47'!$A$2,Data!EH:EH),0)</f>
        <v>0</v>
      </c>
      <c r="F76" s="22" t="str">
        <f t="shared" si="5"/>
        <v/>
      </c>
    </row>
    <row r="77" spans="1:6" x14ac:dyDescent="0.2">
      <c r="A77" s="20">
        <v>11</v>
      </c>
      <c r="B77" s="179" t="s">
        <v>10</v>
      </c>
      <c r="C77" s="180"/>
      <c r="D77" s="15">
        <f t="shared" si="4"/>
        <v>72821</v>
      </c>
      <c r="E77" s="18">
        <f>IF(F3="1",SUMIF(Data!A:A,'47'!$A$2,Data!EI:EI),0)</f>
        <v>98252</v>
      </c>
      <c r="F77" s="22">
        <f t="shared" si="5"/>
        <v>1.3492261847543978</v>
      </c>
    </row>
    <row r="78" spans="1:6" ht="14.25" customHeight="1" x14ac:dyDescent="0.2">
      <c r="A78" s="20">
        <v>12</v>
      </c>
      <c r="B78" s="179" t="s">
        <v>11</v>
      </c>
      <c r="C78" s="180"/>
      <c r="D78" s="15">
        <f t="shared" si="4"/>
        <v>196183</v>
      </c>
      <c r="E78" s="18">
        <f>IF(F3="1",SUMIF(Data!A:A,'47'!$A$2,Data!EJ:EJ),0)</f>
        <v>722669</v>
      </c>
      <c r="F78" s="22">
        <f t="shared" si="5"/>
        <v>3.6836474108358011</v>
      </c>
    </row>
    <row r="79" spans="1:6" x14ac:dyDescent="0.2">
      <c r="A79" s="20">
        <v>13</v>
      </c>
      <c r="B79" s="179" t="s">
        <v>12</v>
      </c>
      <c r="C79" s="180"/>
      <c r="D79" s="15">
        <f t="shared" si="4"/>
        <v>13164</v>
      </c>
      <c r="E79" s="18">
        <f>IF(F3="1",SUMIF(Data!A:A,'47'!$A$2,Data!EK:EK),0)</f>
        <v>0</v>
      </c>
      <c r="F79" s="22">
        <f t="shared" si="5"/>
        <v>0</v>
      </c>
    </row>
    <row r="80" spans="1:6" ht="14.25" customHeight="1" x14ac:dyDescent="0.2">
      <c r="A80" s="20">
        <v>14</v>
      </c>
      <c r="B80" s="179" t="s">
        <v>804</v>
      </c>
      <c r="C80" s="180"/>
      <c r="D80" s="15">
        <f t="shared" si="4"/>
        <v>159152</v>
      </c>
      <c r="E80" s="18">
        <f>IF(F3="1",SUMIF(Data!A:A,'47'!$A$2,Data!EL:EL),0)</f>
        <v>903082</v>
      </c>
      <c r="F80" s="22">
        <f t="shared" si="5"/>
        <v>5.6743364833618175</v>
      </c>
    </row>
    <row r="81" spans="1:6" x14ac:dyDescent="0.2">
      <c r="A81" s="20">
        <v>15</v>
      </c>
      <c r="B81" s="179" t="s">
        <v>13</v>
      </c>
      <c r="C81" s="180"/>
      <c r="D81" s="15">
        <f t="shared" si="4"/>
        <v>0</v>
      </c>
      <c r="E81" s="18">
        <f>IF(F3="1",SUMIF(Data!A:A,'47'!$A$2,Data!EM:EM),0)</f>
        <v>0</v>
      </c>
      <c r="F81" s="22" t="str">
        <f t="shared" si="5"/>
        <v/>
      </c>
    </row>
    <row r="82" spans="1:6" x14ac:dyDescent="0.2">
      <c r="A82" s="20">
        <v>16</v>
      </c>
      <c r="B82" s="179" t="s">
        <v>14</v>
      </c>
      <c r="C82" s="180"/>
      <c r="D82" s="15">
        <f t="shared" si="4"/>
        <v>116007</v>
      </c>
      <c r="E82" s="18">
        <f>IF(F3="1",SUMIF(Data!A:A,'47'!$A$2,Data!EN:EN),0)</f>
        <v>422657</v>
      </c>
      <c r="F82" s="22">
        <f t="shared" si="5"/>
        <v>3.6433749687518855</v>
      </c>
    </row>
    <row r="83" spans="1:6" x14ac:dyDescent="0.2">
      <c r="A83" s="20">
        <v>17</v>
      </c>
      <c r="B83" s="179" t="s">
        <v>15</v>
      </c>
      <c r="C83" s="180"/>
      <c r="D83" s="15">
        <f t="shared" si="4"/>
        <v>31888</v>
      </c>
      <c r="E83" s="18">
        <f>IF(F3="1",SUMIF(Data!A:A,'47'!$A$2,Data!EO:EO),0)</f>
        <v>210488</v>
      </c>
      <c r="F83" s="22">
        <f t="shared" si="5"/>
        <v>6.6008529854490714</v>
      </c>
    </row>
    <row r="84" spans="1:6" x14ac:dyDescent="0.2">
      <c r="A84" s="20">
        <v>18</v>
      </c>
      <c r="B84" s="179" t="s">
        <v>16</v>
      </c>
      <c r="C84" s="180"/>
      <c r="D84" s="15">
        <f t="shared" si="4"/>
        <v>202672</v>
      </c>
      <c r="E84" s="18">
        <f>IF(F3="1",SUMIF(Data!A:A,'47'!$A$2,Data!EP:EP),0)</f>
        <v>873398</v>
      </c>
      <c r="F84" s="22">
        <f t="shared" si="5"/>
        <v>4.309416199573695</v>
      </c>
    </row>
    <row r="85" spans="1:6" x14ac:dyDescent="0.2">
      <c r="A85" s="20">
        <v>19</v>
      </c>
      <c r="B85" s="179" t="s">
        <v>17</v>
      </c>
      <c r="C85" s="180"/>
      <c r="D85" s="15">
        <f t="shared" si="4"/>
        <v>78384</v>
      </c>
      <c r="E85" s="18">
        <f>IF(F3="1",SUMIF(Data!A:A,'47'!$A$2,Data!EQ:EQ),0)</f>
        <v>295771</v>
      </c>
      <c r="F85" s="22">
        <f t="shared" si="5"/>
        <v>3.773359359052868</v>
      </c>
    </row>
    <row r="86" spans="1:6" x14ac:dyDescent="0.2">
      <c r="A86" s="20">
        <v>20</v>
      </c>
      <c r="B86" s="179" t="s">
        <v>18</v>
      </c>
      <c r="C86" s="180"/>
      <c r="D86" s="15">
        <f t="shared" si="4"/>
        <v>1670</v>
      </c>
      <c r="E86" s="18">
        <f>IF(F3="1",SUMIF(Data!A:A,'47'!$A$2,Data!ER:ER),0)</f>
        <v>0</v>
      </c>
      <c r="F86" s="22">
        <f t="shared" si="5"/>
        <v>0</v>
      </c>
    </row>
    <row r="87" spans="1:6" ht="14.25" customHeight="1" x14ac:dyDescent="0.2">
      <c r="A87" s="20">
        <v>21</v>
      </c>
      <c r="B87" s="179" t="s">
        <v>801</v>
      </c>
      <c r="C87" s="180"/>
      <c r="D87" s="15">
        <f t="shared" si="4"/>
        <v>5148</v>
      </c>
      <c r="E87" s="18">
        <f>IF(F3="1",SUMIF(Data!A:A,'47'!$A$2,Data!ES:ES),0)</f>
        <v>200</v>
      </c>
      <c r="F87" s="22">
        <f t="shared" si="5"/>
        <v>3.8850038850038848E-2</v>
      </c>
    </row>
    <row r="88" spans="1:6" x14ac:dyDescent="0.2">
      <c r="A88" s="20">
        <v>22</v>
      </c>
      <c r="B88" s="179" t="s">
        <v>19</v>
      </c>
      <c r="C88" s="180"/>
      <c r="D88" s="15">
        <f t="shared" si="4"/>
        <v>1728</v>
      </c>
      <c r="E88" s="18">
        <f>IF(F3="1",SUMIF(Data!A:A,'47'!$A$2,Data!ET:ET),0)</f>
        <v>0</v>
      </c>
      <c r="F88" s="22">
        <f t="shared" si="5"/>
        <v>0</v>
      </c>
    </row>
    <row r="89" spans="1:6" x14ac:dyDescent="0.2">
      <c r="A89" s="20">
        <v>23</v>
      </c>
      <c r="B89" s="179" t="s">
        <v>20</v>
      </c>
      <c r="C89" s="180"/>
      <c r="D89" s="15">
        <f t="shared" si="4"/>
        <v>69792</v>
      </c>
      <c r="E89" s="18">
        <f>IF(F3="1",SUMIF(Data!A:A,'47'!$A$2,Data!EU:EU),0)</f>
        <v>204285</v>
      </c>
      <c r="F89" s="22">
        <f t="shared" si="5"/>
        <v>2.9270546767537828</v>
      </c>
    </row>
    <row r="90" spans="1:6" x14ac:dyDescent="0.2">
      <c r="A90" s="20">
        <v>24</v>
      </c>
      <c r="B90" s="179" t="s">
        <v>21</v>
      </c>
      <c r="C90" s="180"/>
      <c r="D90" s="15">
        <f t="shared" si="4"/>
        <v>72879</v>
      </c>
      <c r="E90" s="18">
        <f>IF(F3="1",SUMIF(Data!A:A,'47'!$A$2,Data!EV:EV),0)</f>
        <v>163418</v>
      </c>
      <c r="F90" s="22">
        <f t="shared" si="5"/>
        <v>2.2423194610244379</v>
      </c>
    </row>
    <row r="91" spans="1:6" x14ac:dyDescent="0.2">
      <c r="A91" s="20">
        <v>25</v>
      </c>
      <c r="B91" s="179" t="s">
        <v>22</v>
      </c>
      <c r="C91" s="180"/>
      <c r="D91" s="15">
        <f t="shared" si="4"/>
        <v>316560</v>
      </c>
      <c r="E91" s="18">
        <f>IF(F3="1",SUMIF(Data!A:A,'47'!$A$2,Data!EW:EW),0)</f>
        <v>718655</v>
      </c>
      <c r="F91" s="22">
        <f t="shared" si="5"/>
        <v>2.2702015415718977</v>
      </c>
    </row>
    <row r="92" spans="1:6" x14ac:dyDescent="0.2">
      <c r="A92" s="20">
        <v>26</v>
      </c>
      <c r="B92" s="179" t="s">
        <v>23</v>
      </c>
      <c r="C92" s="180"/>
      <c r="D92" s="15">
        <f t="shared" si="4"/>
        <v>71416</v>
      </c>
      <c r="E92" s="18">
        <f>IF(F3="1",SUMIF(Data!A:A,'47'!$A$2,Data!EX:EX),0)</f>
        <v>353540</v>
      </c>
      <c r="F92" s="22">
        <f t="shared" si="5"/>
        <v>4.9504312759045588</v>
      </c>
    </row>
    <row r="93" spans="1:6" x14ac:dyDescent="0.2">
      <c r="A93" s="20">
        <v>28</v>
      </c>
      <c r="B93" s="179" t="s">
        <v>24</v>
      </c>
      <c r="C93" s="180"/>
      <c r="D93" s="15">
        <f t="shared" si="4"/>
        <v>85472</v>
      </c>
      <c r="E93" s="18">
        <f>IF(F3="1",SUMIF(Data!A:A,'47'!$A$2,Data!EZ:EZ),0)</f>
        <v>207169</v>
      </c>
      <c r="F93" s="22">
        <f t="shared" si="5"/>
        <v>2.4238230063646573</v>
      </c>
    </row>
    <row r="94" spans="1:6" ht="15.75" customHeight="1" thickBot="1" x14ac:dyDescent="0.25">
      <c r="A94" s="23">
        <v>29</v>
      </c>
      <c r="B94" s="181" t="s">
        <v>25</v>
      </c>
      <c r="C94" s="182"/>
      <c r="D94" s="24">
        <f t="shared" si="4"/>
        <v>40320</v>
      </c>
      <c r="E94" s="25">
        <f>IF(F3="1",SUMIF(Data!A:A,'47'!$A$2,Data!FA:FA),0)</f>
        <v>140039</v>
      </c>
      <c r="F94" s="26">
        <f t="shared" si="5"/>
        <v>3.4731894841269839</v>
      </c>
    </row>
    <row r="95" spans="1:6" x14ac:dyDescent="0.2">
      <c r="B95" s="31" t="s">
        <v>35</v>
      </c>
      <c r="C95" s="31"/>
      <c r="D95" s="61">
        <f>SUM(D67:D94)</f>
        <v>2039739</v>
      </c>
      <c r="E95" s="32">
        <f>SUM(E67:E94)</f>
        <v>6829153</v>
      </c>
      <c r="F95" s="33">
        <f t="shared" si="5"/>
        <v>3.348052373367377</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IF(F3="1",SUMIF(Data!A:A,'47'!$A$2,Data!AH:AH),0)</f>
        <v>3307023</v>
      </c>
      <c r="F98" s="21">
        <f t="shared" ref="F98:F105" si="6">IFERROR(E98/$D$95,0)</f>
        <v>1.621297136545411</v>
      </c>
    </row>
    <row r="99" spans="2:6" x14ac:dyDescent="0.2">
      <c r="B99" s="185" t="s">
        <v>31</v>
      </c>
      <c r="C99" s="186"/>
      <c r="D99" s="37"/>
      <c r="E99" s="18">
        <f>IF(F3="1",SUMIF(Data!A:A,'47'!$A$2,Data!AI:AI),0)</f>
        <v>1843734</v>
      </c>
      <c r="F99" s="22">
        <f t="shared" si="6"/>
        <v>0.90390682337299033</v>
      </c>
    </row>
    <row r="100" spans="2:6" x14ac:dyDescent="0.2">
      <c r="B100" s="185" t="s">
        <v>32</v>
      </c>
      <c r="C100" s="186"/>
      <c r="D100" s="37"/>
      <c r="E100" s="18">
        <f>IF(F3="1",SUMIF(Data!A:A,'47'!$A$2,Data!AJ:AJ),0)</f>
        <v>1924213</v>
      </c>
      <c r="F100" s="22">
        <f t="shared" si="6"/>
        <v>0.94336236155704234</v>
      </c>
    </row>
    <row r="101" spans="2:6" x14ac:dyDescent="0.2">
      <c r="B101" s="185" t="s">
        <v>28</v>
      </c>
      <c r="C101" s="186"/>
      <c r="D101" s="37"/>
      <c r="E101" s="18">
        <f>IF(F3="1",SUMIF(Data!A:A,'47'!$A$2,Data!AK:AK),0)</f>
        <v>0</v>
      </c>
      <c r="F101" s="22">
        <f t="shared" si="6"/>
        <v>0</v>
      </c>
    </row>
    <row r="102" spans="2:6" x14ac:dyDescent="0.2">
      <c r="B102" s="185" t="s">
        <v>33</v>
      </c>
      <c r="C102" s="186"/>
      <c r="D102" s="37"/>
      <c r="E102" s="18">
        <f>IF(F3="1",SUMIF(Data!A:A,'47'!$A$2,Data!AL:AL),0)</f>
        <v>487502</v>
      </c>
      <c r="F102" s="22">
        <f t="shared" si="6"/>
        <v>0.2390021468432971</v>
      </c>
    </row>
    <row r="103" spans="2:6" x14ac:dyDescent="0.2">
      <c r="B103" s="187" t="s">
        <v>34</v>
      </c>
      <c r="C103" s="188"/>
      <c r="D103" s="37"/>
      <c r="E103" s="18">
        <f>IF(F3="1",SUMIF(Data!A:A,'47'!$A$2,Data!AM:AM),0)</f>
        <v>343381</v>
      </c>
      <c r="F103" s="22">
        <f t="shared" si="6"/>
        <v>0.16834555793657915</v>
      </c>
    </row>
    <row r="104" spans="2:6" ht="15.75" customHeight="1" thickBot="1" x14ac:dyDescent="0.25">
      <c r="B104" s="177" t="s">
        <v>29</v>
      </c>
      <c r="C104" s="178"/>
      <c r="D104" s="38"/>
      <c r="E104" s="25">
        <f>IF(F3="1",SUMIF(Data!A:A,'47'!$A$2,Data!Q:Q),0)</f>
        <v>639730</v>
      </c>
      <c r="F104" s="26">
        <f t="shared" si="6"/>
        <v>0.31363326386366097</v>
      </c>
    </row>
    <row r="105" spans="2:6" x14ac:dyDescent="0.2">
      <c r="B105" s="31" t="s">
        <v>35</v>
      </c>
      <c r="C105" s="31"/>
      <c r="D105" s="35">
        <f>D95</f>
        <v>2039739</v>
      </c>
      <c r="E105" s="32">
        <f>SUM(E98:E104)</f>
        <v>8545583</v>
      </c>
      <c r="F105" s="33">
        <f t="shared" si="6"/>
        <v>4.1895472901189805</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7461729</v>
      </c>
      <c r="D109" s="16">
        <f>IF(F3="1",SUMIF(Data!$A:$A,$A$2,Data!HJ:HJ),0)</f>
        <v>807795</v>
      </c>
      <c r="E109" s="16">
        <f>IF(F3="1",SUMIF(Data!$A:$A,$A$2,Data!IN:IN),0)</f>
        <v>1267575</v>
      </c>
      <c r="F109" s="48">
        <f>SUM(C109:E109)</f>
        <v>9537099</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20421</v>
      </c>
      <c r="D111" s="52"/>
      <c r="E111" s="51">
        <f>IF(F3="1",SUMIF(Data!A:A,$A$2,Data!AX:AX),0)</f>
        <v>68176</v>
      </c>
      <c r="F111" s="49">
        <f t="shared" si="7"/>
        <v>88597</v>
      </c>
    </row>
    <row r="112" spans="2:6" x14ac:dyDescent="0.2">
      <c r="B112" s="43" t="s">
        <v>32</v>
      </c>
      <c r="C112" s="51">
        <f>IF(F3="1",SUMIF(Data!A:A,$A$2,Data!V:V),0)</f>
        <v>1314553</v>
      </c>
      <c r="D112" s="52"/>
      <c r="E112" s="51">
        <f>IF(F3="1",SUMIF(Data!A:A,$A$2,Data!AC:AC),0)</f>
        <v>609660</v>
      </c>
      <c r="F112" s="49">
        <f t="shared" si="7"/>
        <v>1924213</v>
      </c>
    </row>
    <row r="113" spans="1:6" x14ac:dyDescent="0.2">
      <c r="B113" s="43" t="s">
        <v>31</v>
      </c>
      <c r="C113" s="51">
        <f>IF(F3="1",SUMIF(Data!A:A,$A$2,Data!U:U),0)</f>
        <v>1473844</v>
      </c>
      <c r="D113" s="52"/>
      <c r="E113" s="51">
        <f>IF(F3="1",SUMIF(Data!A:A,$A$2,Data!AB:AB),0)</f>
        <v>369890</v>
      </c>
      <c r="F113" s="49">
        <f t="shared" si="7"/>
        <v>1843734</v>
      </c>
    </row>
    <row r="114" spans="1:6" x14ac:dyDescent="0.2">
      <c r="B114" s="43" t="s">
        <v>1363</v>
      </c>
      <c r="C114" s="51">
        <f>IF(F3="1",SUMIF(Data!A:A,$A$2,Data!T:T),0)</f>
        <v>2109332</v>
      </c>
      <c r="D114" s="52"/>
      <c r="E114" s="51">
        <f>IF(F3="1",SUMIF(Data!A:A,$A$2,Data!AA:AA),0)</f>
        <v>1197691</v>
      </c>
      <c r="F114" s="49">
        <f t="shared" si="7"/>
        <v>3307023</v>
      </c>
    </row>
    <row r="115" spans="1:6" x14ac:dyDescent="0.2">
      <c r="B115" s="43" t="s">
        <v>1278</v>
      </c>
      <c r="C115" s="51">
        <f>IF(F3="1",SUMIF(Data!A:A,$A$2,Data!BI:BI),0)</f>
        <v>860405</v>
      </c>
      <c r="D115" s="51">
        <f>IF(F3="1",SUMIF(Data!A:A,$A$2,Data!BL:BL),0)</f>
        <v>339145</v>
      </c>
      <c r="E115" s="51">
        <f>IF(F3="1",SUMIF(Data!A:A,$A$2,Data!BU:BU),0)</f>
        <v>1810489</v>
      </c>
      <c r="F115" s="49">
        <f t="shared" si="7"/>
        <v>3010039</v>
      </c>
    </row>
    <row r="116" spans="1:6" x14ac:dyDescent="0.2">
      <c r="B116" s="43" t="s">
        <v>33</v>
      </c>
      <c r="C116" s="51">
        <f>IF(F3="1",SUMIF(Data!A:A,$A$2,Data!X:X),0)</f>
        <v>162319</v>
      </c>
      <c r="D116" s="51"/>
      <c r="E116" s="51">
        <f>E102</f>
        <v>487502</v>
      </c>
      <c r="F116" s="49">
        <f t="shared" si="7"/>
        <v>649821</v>
      </c>
    </row>
    <row r="117" spans="1:6" ht="15" thickBot="1" x14ac:dyDescent="0.25">
      <c r="B117" s="44" t="s">
        <v>1282</v>
      </c>
      <c r="C117" s="53"/>
      <c r="D117" s="53">
        <f>IF(F3="1",SUMIF(Data!A:A,$A$2,Data!Q:Q),0)</f>
        <v>639730</v>
      </c>
      <c r="E117" s="53"/>
      <c r="F117" s="50">
        <f>SUM(C117:E117)</f>
        <v>639730</v>
      </c>
    </row>
    <row r="118" spans="1:6" x14ac:dyDescent="0.2">
      <c r="B118" s="14" t="s">
        <v>35</v>
      </c>
      <c r="C118" s="5">
        <f>SUM(C109:C116)</f>
        <v>13402603</v>
      </c>
      <c r="D118" s="5">
        <f>SUM(D109:D116)</f>
        <v>1146940</v>
      </c>
      <c r="E118" s="5">
        <f>SUM(E109:E116)</f>
        <v>5810983</v>
      </c>
      <c r="F118" s="5">
        <f>SUM(F109:F116)</f>
        <v>20360526</v>
      </c>
    </row>
    <row r="119" spans="1:6" ht="15" thickBot="1" x14ac:dyDescent="0.25"/>
    <row r="120" spans="1:6" ht="15" thickBot="1" x14ac:dyDescent="0.25">
      <c r="B120" s="57" t="s">
        <v>1283</v>
      </c>
      <c r="C120" s="55"/>
      <c r="D120" s="55"/>
      <c r="E120" s="55">
        <f>IF(F3="1",SUMIF(Data!A:A,'47'!$A$2,Data!AM:AM),0)</f>
        <v>343381</v>
      </c>
      <c r="F120" s="56">
        <f>SUM(C120:E120)</f>
        <v>343381</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140625" style="11" bestFit="1" customWidth="1"/>
    <col min="13"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611</v>
      </c>
      <c r="B2" s="60" t="str">
        <f>VLOOKUP(A2,Data!A:G,7,0)</f>
        <v>Weatherford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30941</v>
      </c>
      <c r="E5" s="16">
        <f>E36+E67+IFERROR($E$105/$D$105*D5,0)</f>
        <v>317402.35673769744</v>
      </c>
      <c r="F5" s="21">
        <f>IFERROR(E5/D5,"")</f>
        <v>10.258309580740683</v>
      </c>
    </row>
    <row r="6" spans="1:6" x14ac:dyDescent="0.2">
      <c r="A6" s="20">
        <v>2</v>
      </c>
      <c r="B6" s="179" t="s">
        <v>1</v>
      </c>
      <c r="C6" s="180"/>
      <c r="D6" s="15">
        <f t="shared" ref="D6:D32" si="0">D37</f>
        <v>13728</v>
      </c>
      <c r="E6" s="18">
        <f t="shared" ref="E6:E32" si="1">E37+E68+IFERROR($E$105/$D$105*D6,0)</f>
        <v>182732.40190346498</v>
      </c>
      <c r="F6" s="22">
        <f t="shared" ref="F6:F33" si="2">IFERROR(E6/D6,"")</f>
        <v>13.310926712082239</v>
      </c>
    </row>
    <row r="7" spans="1:6" ht="14.25" customHeight="1" x14ac:dyDescent="0.2">
      <c r="A7" s="20">
        <v>3</v>
      </c>
      <c r="B7" s="179" t="s">
        <v>2</v>
      </c>
      <c r="C7" s="180"/>
      <c r="D7" s="15">
        <f t="shared" si="0"/>
        <v>289440</v>
      </c>
      <c r="E7" s="18">
        <f t="shared" si="1"/>
        <v>2059705.368803825</v>
      </c>
      <c r="F7" s="22">
        <f t="shared" si="2"/>
        <v>7.1161738833741879</v>
      </c>
    </row>
    <row r="8" spans="1:6" ht="14.25" customHeight="1" x14ac:dyDescent="0.2">
      <c r="A8" s="20">
        <v>4</v>
      </c>
      <c r="B8" s="179" t="s">
        <v>3</v>
      </c>
      <c r="C8" s="180"/>
      <c r="D8" s="15">
        <f t="shared" si="0"/>
        <v>93671</v>
      </c>
      <c r="E8" s="18">
        <f t="shared" si="1"/>
        <v>795455.30949151143</v>
      </c>
      <c r="F8" s="22">
        <f t="shared" si="2"/>
        <v>8.4920125705021992</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13872</v>
      </c>
      <c r="E10" s="18">
        <f t="shared" si="1"/>
        <v>127858.51800734751</v>
      </c>
      <c r="F10" s="22">
        <f t="shared" si="2"/>
        <v>9.2170211943012905</v>
      </c>
    </row>
    <row r="11" spans="1:6" x14ac:dyDescent="0.2">
      <c r="A11" s="20">
        <v>7</v>
      </c>
      <c r="B11" s="179" t="s">
        <v>6</v>
      </c>
      <c r="C11" s="180"/>
      <c r="D11" s="15">
        <f t="shared" si="0"/>
        <v>129906</v>
      </c>
      <c r="E11" s="18">
        <f t="shared" si="1"/>
        <v>913388.61521500023</v>
      </c>
      <c r="F11" s="22">
        <f t="shared" si="2"/>
        <v>7.0311503334334073</v>
      </c>
    </row>
    <row r="12" spans="1:6" x14ac:dyDescent="0.2">
      <c r="A12" s="20">
        <v>8</v>
      </c>
      <c r="B12" s="179" t="s">
        <v>7</v>
      </c>
      <c r="C12" s="180"/>
      <c r="D12" s="15">
        <f t="shared" si="0"/>
        <v>1232</v>
      </c>
      <c r="E12" s="18">
        <f t="shared" si="1"/>
        <v>17825.215555439165</v>
      </c>
      <c r="F12" s="22">
        <f t="shared" si="2"/>
        <v>14.468519119674646</v>
      </c>
    </row>
    <row r="13" spans="1:6" x14ac:dyDescent="0.2">
      <c r="A13" s="20">
        <v>9</v>
      </c>
      <c r="B13" s="179" t="s">
        <v>8</v>
      </c>
      <c r="C13" s="180"/>
      <c r="D13" s="15">
        <f t="shared" si="0"/>
        <v>96058</v>
      </c>
      <c r="E13" s="18">
        <f t="shared" si="1"/>
        <v>798438.60213017487</v>
      </c>
      <c r="F13" s="22">
        <f t="shared" si="2"/>
        <v>8.3120469105142192</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4740</v>
      </c>
      <c r="E15" s="18">
        <f t="shared" si="1"/>
        <v>70777.238419465619</v>
      </c>
      <c r="F15" s="22">
        <f t="shared" si="2"/>
        <v>14.931906839549709</v>
      </c>
    </row>
    <row r="16" spans="1:6" ht="14.25" customHeight="1" x14ac:dyDescent="0.2">
      <c r="A16" s="20">
        <v>12</v>
      </c>
      <c r="B16" s="179" t="s">
        <v>11</v>
      </c>
      <c r="C16" s="180"/>
      <c r="D16" s="15">
        <f t="shared" si="0"/>
        <v>288048</v>
      </c>
      <c r="E16" s="18">
        <f t="shared" si="1"/>
        <v>2225356.5797996274</v>
      </c>
      <c r="F16" s="22">
        <f t="shared" si="2"/>
        <v>7.7256449612551634</v>
      </c>
    </row>
    <row r="17" spans="1:6" x14ac:dyDescent="0.2">
      <c r="A17" s="20">
        <v>13</v>
      </c>
      <c r="B17" s="179" t="s">
        <v>12</v>
      </c>
      <c r="C17" s="180"/>
      <c r="D17" s="15">
        <f t="shared" si="0"/>
        <v>16032</v>
      </c>
      <c r="E17" s="18">
        <f t="shared" si="1"/>
        <v>128869.259565585</v>
      </c>
      <c r="F17" s="22">
        <f t="shared" si="2"/>
        <v>8.0382522184122376</v>
      </c>
    </row>
    <row r="18" spans="1:6" ht="14.25" customHeight="1" x14ac:dyDescent="0.2">
      <c r="A18" s="20">
        <v>14</v>
      </c>
      <c r="B18" s="179" t="s">
        <v>804</v>
      </c>
      <c r="C18" s="180"/>
      <c r="D18" s="15">
        <f t="shared" si="0"/>
        <v>162416</v>
      </c>
      <c r="E18" s="18">
        <f t="shared" si="1"/>
        <v>1675119.507834584</v>
      </c>
      <c r="F18" s="22">
        <f t="shared" si="2"/>
        <v>10.313759160640478</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194376</v>
      </c>
      <c r="E20" s="18">
        <f t="shared" si="1"/>
        <v>1897860.5542240613</v>
      </c>
      <c r="F20" s="22">
        <f t="shared" si="2"/>
        <v>9.7638625870686777</v>
      </c>
    </row>
    <row r="21" spans="1:6" x14ac:dyDescent="0.2">
      <c r="A21" s="20">
        <v>17</v>
      </c>
      <c r="B21" s="179" t="s">
        <v>15</v>
      </c>
      <c r="C21" s="180"/>
      <c r="D21" s="15">
        <f t="shared" si="0"/>
        <v>53856</v>
      </c>
      <c r="E21" s="18">
        <f t="shared" si="1"/>
        <v>554041.42285205494</v>
      </c>
      <c r="F21" s="22">
        <f t="shared" si="2"/>
        <v>10.287459574644513</v>
      </c>
    </row>
    <row r="22" spans="1:6" x14ac:dyDescent="0.2">
      <c r="A22" s="20">
        <v>18</v>
      </c>
      <c r="B22" s="179" t="s">
        <v>16</v>
      </c>
      <c r="C22" s="180"/>
      <c r="D22" s="15">
        <f t="shared" si="0"/>
        <v>104232</v>
      </c>
      <c r="E22" s="18">
        <f t="shared" si="1"/>
        <v>1081085.8731936163</v>
      </c>
      <c r="F22" s="22">
        <f t="shared" si="2"/>
        <v>10.371919114989796</v>
      </c>
    </row>
    <row r="23" spans="1:6" x14ac:dyDescent="0.2">
      <c r="A23" s="20">
        <v>19</v>
      </c>
      <c r="B23" s="179" t="s">
        <v>17</v>
      </c>
      <c r="C23" s="180"/>
      <c r="D23" s="15">
        <f t="shared" si="0"/>
        <v>110080</v>
      </c>
      <c r="E23" s="18">
        <f t="shared" si="1"/>
        <v>946313.53274573328</v>
      </c>
      <c r="F23" s="22">
        <f t="shared" si="2"/>
        <v>8.59659822625121</v>
      </c>
    </row>
    <row r="24" spans="1:6" x14ac:dyDescent="0.2">
      <c r="A24" s="20">
        <v>20</v>
      </c>
      <c r="B24" s="179" t="s">
        <v>18</v>
      </c>
      <c r="C24" s="180"/>
      <c r="D24" s="15">
        <f t="shared" si="0"/>
        <v>7632</v>
      </c>
      <c r="E24" s="18">
        <f t="shared" si="1"/>
        <v>106882.1535057725</v>
      </c>
      <c r="F24" s="22">
        <f t="shared" si="2"/>
        <v>14.004475040064531</v>
      </c>
    </row>
    <row r="25" spans="1:6" ht="14.25" customHeight="1" x14ac:dyDescent="0.2">
      <c r="A25" s="20">
        <v>21</v>
      </c>
      <c r="B25" s="179" t="s">
        <v>801</v>
      </c>
      <c r="C25" s="180"/>
      <c r="D25" s="15">
        <f t="shared" si="0"/>
        <v>44960</v>
      </c>
      <c r="E25" s="18">
        <f t="shared" si="1"/>
        <v>656892.13910109166</v>
      </c>
      <c r="F25" s="22">
        <f t="shared" si="2"/>
        <v>14.61059028249759</v>
      </c>
    </row>
    <row r="26" spans="1:6" x14ac:dyDescent="0.2">
      <c r="A26" s="20">
        <v>22</v>
      </c>
      <c r="B26" s="179" t="s">
        <v>19</v>
      </c>
      <c r="C26" s="180"/>
      <c r="D26" s="15">
        <f t="shared" si="0"/>
        <v>3792</v>
      </c>
      <c r="E26" s="18">
        <f t="shared" si="1"/>
        <v>30787.390735572499</v>
      </c>
      <c r="F26" s="22">
        <f t="shared" si="2"/>
        <v>8.1190376412374725</v>
      </c>
    </row>
    <row r="27" spans="1:6" x14ac:dyDescent="0.2">
      <c r="A27" s="20">
        <v>23</v>
      </c>
      <c r="B27" s="179" t="s">
        <v>20</v>
      </c>
      <c r="C27" s="180"/>
      <c r="D27" s="15">
        <f t="shared" si="0"/>
        <v>109696</v>
      </c>
      <c r="E27" s="18">
        <f t="shared" si="1"/>
        <v>786562.55646871333</v>
      </c>
      <c r="F27" s="22">
        <f t="shared" si="2"/>
        <v>7.1703850319857914</v>
      </c>
    </row>
    <row r="28" spans="1:6" x14ac:dyDescent="0.2">
      <c r="A28" s="20">
        <v>24</v>
      </c>
      <c r="B28" s="179" t="s">
        <v>21</v>
      </c>
      <c r="C28" s="180"/>
      <c r="D28" s="15">
        <f t="shared" si="0"/>
        <v>133320</v>
      </c>
      <c r="E28" s="18">
        <f t="shared" si="1"/>
        <v>1116353.3261778811</v>
      </c>
      <c r="F28" s="22">
        <f t="shared" si="2"/>
        <v>8.3734872950636152</v>
      </c>
    </row>
    <row r="29" spans="1:6" x14ac:dyDescent="0.2">
      <c r="A29" s="20">
        <v>25</v>
      </c>
      <c r="B29" s="179" t="s">
        <v>22</v>
      </c>
      <c r="C29" s="180"/>
      <c r="D29" s="15">
        <f t="shared" si="0"/>
        <v>459840</v>
      </c>
      <c r="E29" s="18">
        <f t="shared" si="1"/>
        <v>3245694.0917314496</v>
      </c>
      <c r="F29" s="22">
        <f t="shared" si="2"/>
        <v>7.0583117861244116</v>
      </c>
    </row>
    <row r="30" spans="1:6" x14ac:dyDescent="0.2">
      <c r="A30" s="20">
        <v>26</v>
      </c>
      <c r="B30" s="179" t="s">
        <v>23</v>
      </c>
      <c r="C30" s="180"/>
      <c r="D30" s="15">
        <f t="shared" si="0"/>
        <v>113392</v>
      </c>
      <c r="E30" s="18">
        <f t="shared" si="1"/>
        <v>1179509.2031350308</v>
      </c>
      <c r="F30" s="22">
        <f t="shared" si="2"/>
        <v>10.402049554951239</v>
      </c>
    </row>
    <row r="31" spans="1:6" x14ac:dyDescent="0.2">
      <c r="A31" s="20">
        <v>28</v>
      </c>
      <c r="B31" s="179" t="s">
        <v>24</v>
      </c>
      <c r="C31" s="180"/>
      <c r="D31" s="15">
        <f t="shared" si="0"/>
        <v>161664</v>
      </c>
      <c r="E31" s="18">
        <f t="shared" si="1"/>
        <v>1576633.01262542</v>
      </c>
      <c r="F31" s="22">
        <f t="shared" si="2"/>
        <v>9.7525300167348323</v>
      </c>
    </row>
    <row r="32" spans="1:6" ht="15.75" customHeight="1" thickBot="1" x14ac:dyDescent="0.25">
      <c r="A32" s="23">
        <v>29</v>
      </c>
      <c r="B32" s="181" t="s">
        <v>25</v>
      </c>
      <c r="C32" s="182"/>
      <c r="D32" s="24">
        <f t="shared" si="0"/>
        <v>36096</v>
      </c>
      <c r="E32" s="25">
        <f t="shared" si="1"/>
        <v>344516.77003987995</v>
      </c>
      <c r="F32" s="26">
        <f t="shared" si="2"/>
        <v>9.5444583898459641</v>
      </c>
    </row>
    <row r="33" spans="1:6" x14ac:dyDescent="0.2">
      <c r="B33" s="31" t="s">
        <v>35</v>
      </c>
      <c r="C33" s="31"/>
      <c r="D33" s="61">
        <f>SUM(D5:D32)</f>
        <v>2673020</v>
      </c>
      <c r="E33" s="32">
        <f>SUM(E5:E32)</f>
        <v>22836060.999999996</v>
      </c>
      <c r="F33" s="33">
        <f t="shared" si="2"/>
        <v>8.5431687753926262</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IF(F3="1",SUMIF(Data!A:A,'48'!$A$2,Data!CU:CU),0)</f>
        <v>30941</v>
      </c>
      <c r="E36" s="16">
        <f>IF(F3="1",SUMIF(Data!$A:$A,'48'!$A$2,Data!IO:IO),0)</f>
        <v>89968</v>
      </c>
      <c r="F36" s="21">
        <f t="shared" ref="F36:F64" si="3">IFERROR(E36/D36,"")</f>
        <v>2.9077276106137488</v>
      </c>
    </row>
    <row r="37" spans="1:6" x14ac:dyDescent="0.2">
      <c r="A37" s="20">
        <v>2</v>
      </c>
      <c r="B37" s="179" t="s">
        <v>1</v>
      </c>
      <c r="C37" s="180"/>
      <c r="D37" s="15">
        <f>IF(F3="1",SUMIF(Data!A:A,'48'!$A$2,Data!CV:CV),0)</f>
        <v>13728</v>
      </c>
      <c r="E37" s="18">
        <f>IF(F3="1",SUMIF(Data!$A:$A,'48'!$A$2,Data!IP:IP),0)</f>
        <v>105404</v>
      </c>
      <c r="F37" s="22">
        <f t="shared" si="3"/>
        <v>7.6780303030303028</v>
      </c>
    </row>
    <row r="38" spans="1:6" ht="14.25" customHeight="1" x14ac:dyDescent="0.2">
      <c r="A38" s="20">
        <v>3</v>
      </c>
      <c r="B38" s="179" t="s">
        <v>2</v>
      </c>
      <c r="C38" s="180"/>
      <c r="D38" s="15">
        <f>IF(F3="1",SUMIF(Data!A:A,'48'!$A$2,Data!CW:CW),0)</f>
        <v>289440</v>
      </c>
      <c r="E38" s="18">
        <f>IF(F3="1",SUMIF(Data!$A:$A,'48'!$A$2,Data!IQ:IQ),0)</f>
        <v>281129</v>
      </c>
      <c r="F38" s="22">
        <f t="shared" si="3"/>
        <v>0.9712859314538419</v>
      </c>
    </row>
    <row r="39" spans="1:6" ht="14.25" customHeight="1" x14ac:dyDescent="0.2">
      <c r="A39" s="20">
        <v>4</v>
      </c>
      <c r="B39" s="179" t="s">
        <v>3</v>
      </c>
      <c r="C39" s="180"/>
      <c r="D39" s="15">
        <f>IF(F3="1",SUMIF(Data!A:A,'48'!$A$2,Data!CX:CX),0)</f>
        <v>93671</v>
      </c>
      <c r="E39" s="18">
        <f>IF(F3="1",SUMIF(Data!$A:$A,'48'!$A$2,Data!IR:IR),0)</f>
        <v>98698</v>
      </c>
      <c r="F39" s="22">
        <f t="shared" si="3"/>
        <v>1.0536665563514855</v>
      </c>
    </row>
    <row r="40" spans="1:6" x14ac:dyDescent="0.2">
      <c r="A40" s="20">
        <v>5</v>
      </c>
      <c r="B40" s="179" t="s">
        <v>4</v>
      </c>
      <c r="C40" s="180"/>
      <c r="D40" s="15">
        <f>IF(F3="1",SUMIF(Data!A:A,'48'!$A$2,Data!CY:CY),0)</f>
        <v>0</v>
      </c>
      <c r="E40" s="18">
        <f>IF(F3="1",SUMIF(Data!$A:$A,'48'!$A$2,Data!IS:IS),0)</f>
        <v>0</v>
      </c>
      <c r="F40" s="22" t="str">
        <f t="shared" si="3"/>
        <v/>
      </c>
    </row>
    <row r="41" spans="1:6" x14ac:dyDescent="0.2">
      <c r="A41" s="20">
        <v>6</v>
      </c>
      <c r="B41" s="179" t="s">
        <v>5</v>
      </c>
      <c r="C41" s="180"/>
      <c r="D41" s="15">
        <f>IF(F3="1",SUMIF(Data!A:A,'48'!$A$2,Data!CZ:CZ),0)</f>
        <v>13872</v>
      </c>
      <c r="E41" s="18">
        <f>IF(F3="1",SUMIF(Data!$A:$A,'48'!$A$2,Data!IT:IT),0)</f>
        <v>14813</v>
      </c>
      <c r="F41" s="22">
        <f t="shared" si="3"/>
        <v>1.0678344867358709</v>
      </c>
    </row>
    <row r="42" spans="1:6" x14ac:dyDescent="0.2">
      <c r="A42" s="20">
        <v>7</v>
      </c>
      <c r="B42" s="179" t="s">
        <v>6</v>
      </c>
      <c r="C42" s="180"/>
      <c r="D42" s="15">
        <f>IF(F3="1",SUMIF(Data!A:A,'48'!$A$2,Data!DA:DA),0)</f>
        <v>129906</v>
      </c>
      <c r="E42" s="18">
        <f>IF(F3="1",SUMIF(Data!$A:$A,'48'!$A$2,Data!IU:IU),0)</f>
        <v>73348</v>
      </c>
      <c r="F42" s="22">
        <f t="shared" si="3"/>
        <v>0.56462365094760825</v>
      </c>
    </row>
    <row r="43" spans="1:6" x14ac:dyDescent="0.2">
      <c r="A43" s="20">
        <v>8</v>
      </c>
      <c r="B43" s="179" t="s">
        <v>7</v>
      </c>
      <c r="C43" s="180"/>
      <c r="D43" s="15">
        <f>IF(F3="1",SUMIF(Data!A:A,'48'!$A$2,Data!DB:DB),0)</f>
        <v>1232</v>
      </c>
      <c r="E43" s="18">
        <f>IF(F3="1",SUMIF(Data!$A:$A,'48'!$A$2,Data!IV:IV),0)</f>
        <v>10498</v>
      </c>
      <c r="F43" s="22">
        <f t="shared" si="3"/>
        <v>8.521103896103897</v>
      </c>
    </row>
    <row r="44" spans="1:6" x14ac:dyDescent="0.2">
      <c r="A44" s="20">
        <v>9</v>
      </c>
      <c r="B44" s="179" t="s">
        <v>8</v>
      </c>
      <c r="C44" s="180"/>
      <c r="D44" s="15">
        <f>IF(F3="1",SUMIF(Data!A:A,'48'!$A$2,Data!DC:DC),0)</f>
        <v>96058</v>
      </c>
      <c r="E44" s="18">
        <f>IF(F3="1",SUMIF(Data!$A:$A,'48'!$A$2,Data!IW:IW),0)</f>
        <v>189692</v>
      </c>
      <c r="F44" s="22">
        <f t="shared" si="3"/>
        <v>1.97476524599721</v>
      </c>
    </row>
    <row r="45" spans="1:6" x14ac:dyDescent="0.2">
      <c r="A45" s="20">
        <v>10</v>
      </c>
      <c r="B45" s="179" t="s">
        <v>9</v>
      </c>
      <c r="C45" s="180"/>
      <c r="D45" s="15">
        <f>IF(F3="1",SUMIF(Data!A:A,'48'!$A$2,Data!DD:DD),0)</f>
        <v>0</v>
      </c>
      <c r="E45" s="18">
        <f>IF(F3="1",SUMIF(Data!$A:$A,'48'!$A$2,Data!IX:IX),0)</f>
        <v>0</v>
      </c>
      <c r="F45" s="22" t="str">
        <f t="shared" si="3"/>
        <v/>
      </c>
    </row>
    <row r="46" spans="1:6" x14ac:dyDescent="0.2">
      <c r="A46" s="20">
        <v>11</v>
      </c>
      <c r="B46" s="179" t="s">
        <v>10</v>
      </c>
      <c r="C46" s="180"/>
      <c r="D46" s="15">
        <f>IF(F3="1",SUMIF(Data!A:A,'48'!$A$2,Data!DE:DE),0)</f>
        <v>4740</v>
      </c>
      <c r="E46" s="18">
        <f>IF(F3="1",SUMIF(Data!$A:$A,'48'!$A$2,Data!IY:IY),0)</f>
        <v>42130</v>
      </c>
      <c r="F46" s="22">
        <f t="shared" si="3"/>
        <v>8.8881856540084385</v>
      </c>
    </row>
    <row r="47" spans="1:6" ht="14.25" customHeight="1" x14ac:dyDescent="0.2">
      <c r="A47" s="20">
        <v>12</v>
      </c>
      <c r="B47" s="179" t="s">
        <v>11</v>
      </c>
      <c r="C47" s="180"/>
      <c r="D47" s="15">
        <f>IF(F3="1",SUMIF(Data!A:A,'48'!$A$2,Data!DF:DF),0)</f>
        <v>288048</v>
      </c>
      <c r="E47" s="18">
        <f>IF(F3="1",SUMIF(Data!$A:$A,'48'!$A$2,Data!IZ:IZ),0)</f>
        <v>219525</v>
      </c>
      <c r="F47" s="22">
        <f t="shared" si="3"/>
        <v>0.76211256457257126</v>
      </c>
    </row>
    <row r="48" spans="1:6" x14ac:dyDescent="0.2">
      <c r="A48" s="20">
        <v>13</v>
      </c>
      <c r="B48" s="179" t="s">
        <v>12</v>
      </c>
      <c r="C48" s="180"/>
      <c r="D48" s="15">
        <f>IF(F3="1",SUMIF(Data!A:A,'48'!$A$2,Data!DG:DG),0)</f>
        <v>16032</v>
      </c>
      <c r="E48" s="18">
        <f>IF(F3="1",SUMIF(Data!$A:$A,'48'!$A$2,Data!JA:JA),0)</f>
        <v>18718</v>
      </c>
      <c r="F48" s="22">
        <f t="shared" si="3"/>
        <v>1.1675399201596806</v>
      </c>
    </row>
    <row r="49" spans="1:6" ht="14.25" customHeight="1" x14ac:dyDescent="0.2">
      <c r="A49" s="20">
        <v>14</v>
      </c>
      <c r="B49" s="179" t="s">
        <v>804</v>
      </c>
      <c r="C49" s="180"/>
      <c r="D49" s="15">
        <f>IF(F3="1",SUMIF(Data!A:A,'48'!$A$2,Data!DH:DH),0)</f>
        <v>162416</v>
      </c>
      <c r="E49" s="18">
        <f>IF(F3="1",SUMIF(Data!$A:$A,'48'!$A$2,Data!JB:JB),0)</f>
        <v>294737</v>
      </c>
      <c r="F49" s="22">
        <f t="shared" si="3"/>
        <v>1.8147042163333662</v>
      </c>
    </row>
    <row r="50" spans="1:6" x14ac:dyDescent="0.2">
      <c r="A50" s="20">
        <v>15</v>
      </c>
      <c r="B50" s="179" t="s">
        <v>13</v>
      </c>
      <c r="C50" s="180"/>
      <c r="D50" s="15">
        <f>IF(F3="1",SUMIF(Data!A:A,'48'!$A$2,Data!DI:DI),0)</f>
        <v>0</v>
      </c>
      <c r="E50" s="18">
        <f>IF(F3="1",SUMIF(Data!$A:$A,'48'!$A$2,Data!JC:JC),0)</f>
        <v>0</v>
      </c>
      <c r="F50" s="22" t="str">
        <f t="shared" si="3"/>
        <v/>
      </c>
    </row>
    <row r="51" spans="1:6" x14ac:dyDescent="0.2">
      <c r="A51" s="20">
        <v>16</v>
      </c>
      <c r="B51" s="179" t="s">
        <v>14</v>
      </c>
      <c r="C51" s="180"/>
      <c r="D51" s="15">
        <f>IF(F3="1",SUMIF(Data!A:A,'48'!$A$2,Data!DJ:DJ),0)</f>
        <v>194376</v>
      </c>
      <c r="E51" s="18">
        <f>IF(F3="1",SUMIF(Data!$A:$A,'48'!$A$2,Data!JD:JD),0)</f>
        <v>379951</v>
      </c>
      <c r="F51" s="22">
        <f t="shared" si="3"/>
        <v>1.9547217763509899</v>
      </c>
    </row>
    <row r="52" spans="1:6" x14ac:dyDescent="0.2">
      <c r="A52" s="20">
        <v>17</v>
      </c>
      <c r="B52" s="179" t="s">
        <v>15</v>
      </c>
      <c r="C52" s="180"/>
      <c r="D52" s="15">
        <f>IF(F3="1",SUMIF(Data!A:A,'48'!$A$2,Data!DK:DK),0)</f>
        <v>53856</v>
      </c>
      <c r="E52" s="18">
        <f>IF(F3="1",SUMIF(Data!$A:$A,'48'!$A$2,Data!JE:JE),0)</f>
        <v>57048</v>
      </c>
      <c r="F52" s="22">
        <f t="shared" si="3"/>
        <v>1.0592691622103387</v>
      </c>
    </row>
    <row r="53" spans="1:6" x14ac:dyDescent="0.2">
      <c r="A53" s="20">
        <v>18</v>
      </c>
      <c r="B53" s="179" t="s">
        <v>16</v>
      </c>
      <c r="C53" s="180"/>
      <c r="D53" s="15">
        <f>IF(F3="1",SUMIF(Data!A:A,'48'!$A$2,Data!DL:DL),0)</f>
        <v>104232</v>
      </c>
      <c r="E53" s="18">
        <f>IF(F3="1",SUMIF(Data!$A:$A,'48'!$A$2,Data!JF:JF),0)</f>
        <v>117572</v>
      </c>
      <c r="F53" s="22">
        <f t="shared" si="3"/>
        <v>1.1279837286054186</v>
      </c>
    </row>
    <row r="54" spans="1:6" x14ac:dyDescent="0.2">
      <c r="A54" s="20">
        <v>19</v>
      </c>
      <c r="B54" s="179" t="s">
        <v>17</v>
      </c>
      <c r="C54" s="180"/>
      <c r="D54" s="15">
        <f>IF(F3="1",SUMIF(Data!A:A,'48'!$A$2,Data!DM:DM),0)</f>
        <v>110080</v>
      </c>
      <c r="E54" s="18">
        <f>IF(F3="1",SUMIF(Data!$A:$A,'48'!$A$2,Data!JG:JG),0)</f>
        <v>120279</v>
      </c>
      <c r="F54" s="22">
        <f t="shared" si="3"/>
        <v>1.0926507994186045</v>
      </c>
    </row>
    <row r="55" spans="1:6" x14ac:dyDescent="0.2">
      <c r="A55" s="20">
        <v>20</v>
      </c>
      <c r="B55" s="179" t="s">
        <v>18</v>
      </c>
      <c r="C55" s="180"/>
      <c r="D55" s="15">
        <f>IF(F3="1",SUMIF(Data!A:A,'48'!$A$2,Data!DN:DN),0)</f>
        <v>7632</v>
      </c>
      <c r="E55" s="18">
        <f>IF(F3="1",SUMIF(Data!$A:$A,'48'!$A$2,Data!JH:JH),0)</f>
        <v>63061</v>
      </c>
      <c r="F55" s="22">
        <f t="shared" si="3"/>
        <v>8.26270964360587</v>
      </c>
    </row>
    <row r="56" spans="1:6" ht="14.25" customHeight="1" x14ac:dyDescent="0.2">
      <c r="A56" s="20">
        <v>21</v>
      </c>
      <c r="B56" s="179" t="s">
        <v>801</v>
      </c>
      <c r="C56" s="180"/>
      <c r="D56" s="15">
        <f>IF(F3="1",SUMIF(Data!A:A,'48'!$A$2,Data!DO:DO),0)</f>
        <v>44960</v>
      </c>
      <c r="E56" s="18">
        <f>IF(F3="1",SUMIF(Data!$A:$A,'48'!$A$2,Data!JI:JI),0)</f>
        <v>193907</v>
      </c>
      <c r="F56" s="22">
        <f t="shared" si="3"/>
        <v>4.3128781138790035</v>
      </c>
    </row>
    <row r="57" spans="1:6" x14ac:dyDescent="0.2">
      <c r="A57" s="20">
        <v>22</v>
      </c>
      <c r="B57" s="179" t="s">
        <v>19</v>
      </c>
      <c r="C57" s="180"/>
      <c r="D57" s="15">
        <f>IF(F3="1",SUMIF(Data!A:A,'48'!$A$2,Data!DP:DP),0)</f>
        <v>3792</v>
      </c>
      <c r="E57" s="18">
        <f>IF(F3="1",SUMIF(Data!$A:$A,'48'!$A$2,Data!JJ:JJ),0)</f>
        <v>6647</v>
      </c>
      <c r="F57" s="22">
        <f t="shared" si="3"/>
        <v>1.7529008438818565</v>
      </c>
    </row>
    <row r="58" spans="1:6" x14ac:dyDescent="0.2">
      <c r="A58" s="20">
        <v>23</v>
      </c>
      <c r="B58" s="179" t="s">
        <v>20</v>
      </c>
      <c r="C58" s="180"/>
      <c r="D58" s="15">
        <f>IF(F3="1",SUMIF(Data!A:A,'48'!$A$2,Data!DQ:DQ),0)</f>
        <v>109696</v>
      </c>
      <c r="E58" s="18">
        <f>IF(F3="1",SUMIF(Data!$A:$A,'48'!$A$2,Data!JK:JK),0)</f>
        <v>67884</v>
      </c>
      <c r="F58" s="22">
        <f t="shared" si="3"/>
        <v>0.6188375145857643</v>
      </c>
    </row>
    <row r="59" spans="1:6" x14ac:dyDescent="0.2">
      <c r="A59" s="20">
        <v>24</v>
      </c>
      <c r="B59" s="179" t="s">
        <v>21</v>
      </c>
      <c r="C59" s="180"/>
      <c r="D59" s="15">
        <f>IF(F3="1",SUMIF(Data!A:A,'48'!$A$2,Data!DR:DR),0)</f>
        <v>133320</v>
      </c>
      <c r="E59" s="18">
        <f>IF(F3="1",SUMIF(Data!$A:$A,'48'!$A$2,Data!JL:JL),0)</f>
        <v>144188</v>
      </c>
      <c r="F59" s="22">
        <f t="shared" si="3"/>
        <v>1.0815181518151815</v>
      </c>
    </row>
    <row r="60" spans="1:6" x14ac:dyDescent="0.2">
      <c r="A60" s="20">
        <v>25</v>
      </c>
      <c r="B60" s="179" t="s">
        <v>22</v>
      </c>
      <c r="C60" s="180"/>
      <c r="D60" s="15">
        <f>IF(F3="1",SUMIF(Data!A:A,'48'!$A$2,Data!DS:DS),0)</f>
        <v>459840</v>
      </c>
      <c r="E60" s="18">
        <f>IF(F3="1",SUMIF(Data!$A:$A,'48'!$A$2,Data!JM:JM),0)</f>
        <v>206671</v>
      </c>
      <c r="F60" s="22">
        <f t="shared" si="3"/>
        <v>0.44944110995128739</v>
      </c>
    </row>
    <row r="61" spans="1:6" x14ac:dyDescent="0.2">
      <c r="A61" s="20">
        <v>26</v>
      </c>
      <c r="B61" s="179" t="s">
        <v>23</v>
      </c>
      <c r="C61" s="180"/>
      <c r="D61" s="15">
        <f>IF(F3="1",SUMIF(Data!A:A,'48'!$A$2,Data!DT:DT),0)</f>
        <v>113392</v>
      </c>
      <c r="E61" s="18">
        <f>IF(F3="1",SUMIF(Data!$A:$A,'48'!$A$2,Data!JN:JN),0)</f>
        <v>336380</v>
      </c>
      <c r="F61" s="22">
        <f t="shared" si="3"/>
        <v>2.9665232115140396</v>
      </c>
    </row>
    <row r="62" spans="1:6" x14ac:dyDescent="0.2">
      <c r="A62" s="20">
        <v>28</v>
      </c>
      <c r="B62" s="179" t="s">
        <v>24</v>
      </c>
      <c r="C62" s="180"/>
      <c r="D62" s="15">
        <f>IF(F3="1",SUMIF(Data!A:A,'48'!$A$2,Data!DV:DV),0)</f>
        <v>161664</v>
      </c>
      <c r="E62" s="18">
        <f>IF(F3="1",SUMIF(Data!$A:$A,'48'!$A$2,Data!JP:JP),0)</f>
        <v>359932</v>
      </c>
      <c r="F62" s="22">
        <f t="shared" si="3"/>
        <v>2.2264202296120348</v>
      </c>
    </row>
    <row r="63" spans="1:6" ht="15.75" customHeight="1" thickBot="1" x14ac:dyDescent="0.25">
      <c r="A63" s="23">
        <v>29</v>
      </c>
      <c r="B63" s="181" t="s">
        <v>25</v>
      </c>
      <c r="C63" s="182"/>
      <c r="D63" s="24">
        <f>IF(F3="1",SUMIF(Data!A:A,'48'!$A$2,Data!DW:DW),0)</f>
        <v>36096</v>
      </c>
      <c r="E63" s="25">
        <f>IF(F3="1",SUMIF(Data!$A:$A,'48'!$A$2,Data!JQ:JQ),0)</f>
        <v>84255</v>
      </c>
      <c r="F63" s="26">
        <f t="shared" si="3"/>
        <v>2.334192154255319</v>
      </c>
    </row>
    <row r="64" spans="1:6" x14ac:dyDescent="0.2">
      <c r="B64" s="31" t="s">
        <v>35</v>
      </c>
      <c r="C64" s="31"/>
      <c r="D64" s="61">
        <f>SUM(D36:D63)</f>
        <v>2673020</v>
      </c>
      <c r="E64" s="32">
        <f>SUM(E36:E63)</f>
        <v>3576435</v>
      </c>
      <c r="F64" s="33">
        <f t="shared" si="3"/>
        <v>1.3379753986128049</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30941</v>
      </c>
      <c r="E67" s="16">
        <f>IF(F3="1",SUMIF(Data!A:A,'48'!$A$2,Data!DY:DY),0)</f>
        <v>112455</v>
      </c>
      <c r="F67" s="21">
        <f>IFERROR(E67/D67,"")</f>
        <v>3.63449791538735</v>
      </c>
    </row>
    <row r="68" spans="1:6" x14ac:dyDescent="0.2">
      <c r="A68" s="20">
        <v>2</v>
      </c>
      <c r="B68" s="179" t="s">
        <v>1</v>
      </c>
      <c r="C68" s="180"/>
      <c r="D68" s="15">
        <f t="shared" ref="D68:D94" si="4">D37</f>
        <v>13728</v>
      </c>
      <c r="E68" s="18">
        <f>IF(F3="1",SUMIF(Data!A:A,'48'!$A$2,Data!DZ:DZ),0)</f>
        <v>26314</v>
      </c>
      <c r="F68" s="22">
        <f t="shared" ref="F68:F95" si="5">IFERROR(E68/D68,"")</f>
        <v>1.9168123543123543</v>
      </c>
    </row>
    <row r="69" spans="1:6" ht="14.25" customHeight="1" x14ac:dyDescent="0.2">
      <c r="A69" s="20">
        <v>3</v>
      </c>
      <c r="B69" s="179" t="s">
        <v>2</v>
      </c>
      <c r="C69" s="180"/>
      <c r="D69" s="15">
        <f t="shared" si="4"/>
        <v>289440</v>
      </c>
      <c r="E69" s="18">
        <f>IF(F3="1",SUMIF(Data!A:A,'48'!$A$2,Data!EA:EA),0)</f>
        <v>702993</v>
      </c>
      <c r="F69" s="22">
        <f t="shared" si="5"/>
        <v>2.4288038971807628</v>
      </c>
    </row>
    <row r="70" spans="1:6" ht="14.25" customHeight="1" x14ac:dyDescent="0.2">
      <c r="A70" s="20">
        <v>4</v>
      </c>
      <c r="B70" s="179" t="s">
        <v>3</v>
      </c>
      <c r="C70" s="180"/>
      <c r="D70" s="15">
        <f t="shared" si="4"/>
        <v>93671</v>
      </c>
      <c r="E70" s="18">
        <f>IF(F3="1",SUMIF(Data!A:A,'48'!$A$2,Data!EB:EB),0)</f>
        <v>348668</v>
      </c>
      <c r="F70" s="22">
        <f t="shared" si="5"/>
        <v>3.7222619594111306</v>
      </c>
    </row>
    <row r="71" spans="1:6" x14ac:dyDescent="0.2">
      <c r="A71" s="20">
        <v>5</v>
      </c>
      <c r="B71" s="179" t="s">
        <v>4</v>
      </c>
      <c r="C71" s="180"/>
      <c r="D71" s="15">
        <f t="shared" si="4"/>
        <v>0</v>
      </c>
      <c r="E71" s="18">
        <f>IF(F3="1",SUMIF(Data!A:A,'48'!$A$2,Data!EC:EC),0)</f>
        <v>0</v>
      </c>
      <c r="F71" s="22" t="str">
        <f t="shared" si="5"/>
        <v/>
      </c>
    </row>
    <row r="72" spans="1:6" x14ac:dyDescent="0.2">
      <c r="A72" s="20">
        <v>6</v>
      </c>
      <c r="B72" s="179" t="s">
        <v>5</v>
      </c>
      <c r="C72" s="180"/>
      <c r="D72" s="15">
        <f t="shared" si="4"/>
        <v>13872</v>
      </c>
      <c r="E72" s="18">
        <f>IF(F3="1",SUMIF(Data!A:A,'48'!$A$2,Data!ED:ED),0)</f>
        <v>61496</v>
      </c>
      <c r="F72" s="22">
        <f t="shared" si="5"/>
        <v>4.4331026528258359</v>
      </c>
    </row>
    <row r="73" spans="1:6" x14ac:dyDescent="0.2">
      <c r="A73" s="20">
        <v>7</v>
      </c>
      <c r="B73" s="179" t="s">
        <v>6</v>
      </c>
      <c r="C73" s="180"/>
      <c r="D73" s="15">
        <f t="shared" si="4"/>
        <v>129906</v>
      </c>
      <c r="E73" s="18">
        <f>IF(F3="1",SUMIF(Data!A:A,'48'!$A$2,Data!EE:EE),0)</f>
        <v>357299</v>
      </c>
      <c r="F73" s="22">
        <f t="shared" si="5"/>
        <v>2.7504426277462164</v>
      </c>
    </row>
    <row r="74" spans="1:6" x14ac:dyDescent="0.2">
      <c r="A74" s="20">
        <v>8</v>
      </c>
      <c r="B74" s="179" t="s">
        <v>7</v>
      </c>
      <c r="C74" s="180"/>
      <c r="D74" s="15">
        <f t="shared" si="4"/>
        <v>1232</v>
      </c>
      <c r="E74" s="18">
        <f>IF(F3="1",SUMIF(Data!A:A,'48'!$A$2,Data!EF:EF),0)</f>
        <v>2749</v>
      </c>
      <c r="F74" s="22">
        <f t="shared" si="5"/>
        <v>2.231331168831169</v>
      </c>
    </row>
    <row r="75" spans="1:6" x14ac:dyDescent="0.2">
      <c r="A75" s="20">
        <v>9</v>
      </c>
      <c r="B75" s="179" t="s">
        <v>8</v>
      </c>
      <c r="C75" s="180"/>
      <c r="D75" s="15">
        <f t="shared" si="4"/>
        <v>96058</v>
      </c>
      <c r="E75" s="18">
        <f>IF(F3="1",SUMIF(Data!A:A,'48'!$A$2,Data!EG:EG),0)</f>
        <v>251787</v>
      </c>
      <c r="F75" s="22">
        <f t="shared" si="5"/>
        <v>2.6211976097774263</v>
      </c>
    </row>
    <row r="76" spans="1:6" x14ac:dyDescent="0.2">
      <c r="A76" s="20">
        <v>10</v>
      </c>
      <c r="B76" s="179" t="s">
        <v>9</v>
      </c>
      <c r="C76" s="180"/>
      <c r="D76" s="15">
        <f t="shared" si="4"/>
        <v>0</v>
      </c>
      <c r="E76" s="18">
        <f>IF(F3="1",SUMIF(Data!A:A,'48'!$A$2,Data!EH:EH),0)</f>
        <v>0</v>
      </c>
      <c r="F76" s="22" t="str">
        <f t="shared" si="5"/>
        <v/>
      </c>
    </row>
    <row r="77" spans="1:6" x14ac:dyDescent="0.2">
      <c r="A77" s="20">
        <v>11</v>
      </c>
      <c r="B77" s="179" t="s">
        <v>10</v>
      </c>
      <c r="C77" s="180"/>
      <c r="D77" s="15">
        <f t="shared" si="4"/>
        <v>4740</v>
      </c>
      <c r="E77" s="18">
        <f>IF(F3="1",SUMIF(Data!A:A,'48'!$A$2,Data!EI:EI),0)</f>
        <v>11033</v>
      </c>
      <c r="F77" s="22">
        <f t="shared" si="5"/>
        <v>2.3276371308016879</v>
      </c>
    </row>
    <row r="78" spans="1:6" ht="14.25" customHeight="1" x14ac:dyDescent="0.2">
      <c r="A78" s="20">
        <v>12</v>
      </c>
      <c r="B78" s="179" t="s">
        <v>11</v>
      </c>
      <c r="C78" s="180"/>
      <c r="D78" s="15">
        <f t="shared" si="4"/>
        <v>288048</v>
      </c>
      <c r="E78" s="18">
        <f>IF(F3="1",SUMIF(Data!A:A,'48'!$A$2,Data!EJ:EJ),0)</f>
        <v>935421</v>
      </c>
      <c r="F78" s="22">
        <f t="shared" si="5"/>
        <v>3.2474483419430094</v>
      </c>
    </row>
    <row r="79" spans="1:6" x14ac:dyDescent="0.2">
      <c r="A79" s="20">
        <v>13</v>
      </c>
      <c r="B79" s="179" t="s">
        <v>12</v>
      </c>
      <c r="C79" s="180"/>
      <c r="D79" s="15">
        <f t="shared" si="4"/>
        <v>16032</v>
      </c>
      <c r="E79" s="18">
        <f>IF(F3="1",SUMIF(Data!A:A,'48'!$A$2,Data!EK:EK),0)</f>
        <v>50575</v>
      </c>
      <c r="F79" s="22">
        <f t="shared" si="5"/>
        <v>3.154628243512974</v>
      </c>
    </row>
    <row r="80" spans="1:6" ht="14.25" customHeight="1" x14ac:dyDescent="0.2">
      <c r="A80" s="20">
        <v>14</v>
      </c>
      <c r="B80" s="179" t="s">
        <v>804</v>
      </c>
      <c r="C80" s="180"/>
      <c r="D80" s="15">
        <f t="shared" si="4"/>
        <v>162416</v>
      </c>
      <c r="E80" s="18">
        <f>IF(F3="1",SUMIF(Data!A:A,'48'!$A$2,Data!EL:EL),0)</f>
        <v>776831</v>
      </c>
      <c r="F80" s="22">
        <f t="shared" si="5"/>
        <v>4.7829708895675305</v>
      </c>
    </row>
    <row r="81" spans="1:6" x14ac:dyDescent="0.2">
      <c r="A81" s="20">
        <v>15</v>
      </c>
      <c r="B81" s="179" t="s">
        <v>13</v>
      </c>
      <c r="C81" s="180"/>
      <c r="D81" s="15">
        <f t="shared" si="4"/>
        <v>0</v>
      </c>
      <c r="E81" s="18">
        <f>IF(F3="1",SUMIF(Data!A:A,'48'!$A$2,Data!EM:EM),0)</f>
        <v>0</v>
      </c>
      <c r="F81" s="22" t="str">
        <f t="shared" si="5"/>
        <v/>
      </c>
    </row>
    <row r="82" spans="1:6" x14ac:dyDescent="0.2">
      <c r="A82" s="20">
        <v>16</v>
      </c>
      <c r="B82" s="179" t="s">
        <v>14</v>
      </c>
      <c r="C82" s="180"/>
      <c r="D82" s="15">
        <f t="shared" si="4"/>
        <v>194376</v>
      </c>
      <c r="E82" s="18">
        <f>IF(F3="1",SUMIF(Data!A:A,'48'!$A$2,Data!EN:EN),0)</f>
        <v>795592</v>
      </c>
      <c r="F82" s="22">
        <f t="shared" si="5"/>
        <v>4.0930567559781039</v>
      </c>
    </row>
    <row r="83" spans="1:6" x14ac:dyDescent="0.2">
      <c r="A83" s="20">
        <v>17</v>
      </c>
      <c r="B83" s="179" t="s">
        <v>15</v>
      </c>
      <c r="C83" s="180"/>
      <c r="D83" s="15">
        <f t="shared" si="4"/>
        <v>53856</v>
      </c>
      <c r="E83" s="18">
        <f>IF(F3="1",SUMIF(Data!A:A,'48'!$A$2,Data!EO:EO),0)</f>
        <v>296860</v>
      </c>
      <c r="F83" s="22">
        <f t="shared" si="5"/>
        <v>5.5121063576945932</v>
      </c>
    </row>
    <row r="84" spans="1:6" x14ac:dyDescent="0.2">
      <c r="A84" s="20">
        <v>18</v>
      </c>
      <c r="B84" s="179" t="s">
        <v>16</v>
      </c>
      <c r="C84" s="180"/>
      <c r="D84" s="15">
        <f t="shared" si="4"/>
        <v>104232</v>
      </c>
      <c r="E84" s="18">
        <f>IF(F3="1",SUMIF(Data!A:A,'48'!$A$2,Data!EP:EP),0)</f>
        <v>576179</v>
      </c>
      <c r="F84" s="22">
        <f t="shared" si="5"/>
        <v>5.5278513316447926</v>
      </c>
    </row>
    <row r="85" spans="1:6" x14ac:dyDescent="0.2">
      <c r="A85" s="20">
        <v>19</v>
      </c>
      <c r="B85" s="179" t="s">
        <v>17</v>
      </c>
      <c r="C85" s="180"/>
      <c r="D85" s="15">
        <f t="shared" si="4"/>
        <v>110080</v>
      </c>
      <c r="E85" s="18">
        <f>IF(F3="1",SUMIF(Data!A:A,'48'!$A$2,Data!EQ:EQ),0)</f>
        <v>416968</v>
      </c>
      <c r="F85" s="22">
        <f t="shared" si="5"/>
        <v>3.7878633720930233</v>
      </c>
    </row>
    <row r="86" spans="1:6" x14ac:dyDescent="0.2">
      <c r="A86" s="20">
        <v>20</v>
      </c>
      <c r="B86" s="179" t="s">
        <v>18</v>
      </c>
      <c r="C86" s="180"/>
      <c r="D86" s="15">
        <f t="shared" si="4"/>
        <v>7632</v>
      </c>
      <c r="E86" s="18">
        <f>IF(F3="1",SUMIF(Data!A:A,'48'!$A$2,Data!ER:ER),0)</f>
        <v>15460</v>
      </c>
      <c r="F86" s="22">
        <f t="shared" si="5"/>
        <v>2.0256813417190775</v>
      </c>
    </row>
    <row r="87" spans="1:6" ht="14.25" customHeight="1" x14ac:dyDescent="0.2">
      <c r="A87" s="20">
        <v>21</v>
      </c>
      <c r="B87" s="179" t="s">
        <v>801</v>
      </c>
      <c r="C87" s="180"/>
      <c r="D87" s="15">
        <f t="shared" si="4"/>
        <v>44960</v>
      </c>
      <c r="E87" s="18">
        <f>IF(F3="1",SUMIF(Data!A:A,'48'!$A$2,Data!ES:ES),0)</f>
        <v>295910</v>
      </c>
      <c r="F87" s="22">
        <f t="shared" si="5"/>
        <v>6.5816281138790034</v>
      </c>
    </row>
    <row r="88" spans="1:6" x14ac:dyDescent="0.2">
      <c r="A88" s="20">
        <v>22</v>
      </c>
      <c r="B88" s="179" t="s">
        <v>19</v>
      </c>
      <c r="C88" s="180"/>
      <c r="D88" s="15">
        <f t="shared" si="4"/>
        <v>3792</v>
      </c>
      <c r="E88" s="18">
        <f>IF(F3="1",SUMIF(Data!A:A,'48'!$A$2,Data!ET:ET),0)</f>
        <v>10049</v>
      </c>
      <c r="F88" s="22">
        <f t="shared" si="5"/>
        <v>2.6500527426160336</v>
      </c>
    </row>
    <row r="89" spans="1:6" x14ac:dyDescent="0.2">
      <c r="A89" s="20">
        <v>23</v>
      </c>
      <c r="B89" s="179" t="s">
        <v>20</v>
      </c>
      <c r="C89" s="180"/>
      <c r="D89" s="15">
        <f t="shared" si="4"/>
        <v>109696</v>
      </c>
      <c r="E89" s="18">
        <f>IF(F3="1",SUMIF(Data!A:A,'48'!$A$2,Data!EU:EU),0)</f>
        <v>311039</v>
      </c>
      <c r="F89" s="22">
        <f t="shared" si="5"/>
        <v>2.8354634626604436</v>
      </c>
    </row>
    <row r="90" spans="1:6" x14ac:dyDescent="0.2">
      <c r="A90" s="20">
        <v>24</v>
      </c>
      <c r="B90" s="179" t="s">
        <v>21</v>
      </c>
      <c r="C90" s="180"/>
      <c r="D90" s="15">
        <f t="shared" si="4"/>
        <v>133320</v>
      </c>
      <c r="E90" s="18">
        <f>IF(F3="1",SUMIF(Data!A:A,'48'!$A$2,Data!EV:EV),0)</f>
        <v>476737</v>
      </c>
      <c r="F90" s="22">
        <f t="shared" si="5"/>
        <v>3.5758850885088509</v>
      </c>
    </row>
    <row r="91" spans="1:6" x14ac:dyDescent="0.2">
      <c r="A91" s="20">
        <v>25</v>
      </c>
      <c r="B91" s="179" t="s">
        <v>22</v>
      </c>
      <c r="C91" s="180"/>
      <c r="D91" s="15">
        <f t="shared" si="4"/>
        <v>459840</v>
      </c>
      <c r="E91" s="18">
        <f>IF(F3="1",SUMIF(Data!A:A,'48'!$A$2,Data!EW:EW),0)</f>
        <v>1330219</v>
      </c>
      <c r="F91" s="22">
        <f t="shared" si="5"/>
        <v>2.892786621433542</v>
      </c>
    </row>
    <row r="92" spans="1:6" x14ac:dyDescent="0.2">
      <c r="A92" s="20">
        <v>26</v>
      </c>
      <c r="B92" s="179" t="s">
        <v>23</v>
      </c>
      <c r="C92" s="180"/>
      <c r="D92" s="15">
        <f t="shared" si="4"/>
        <v>113392</v>
      </c>
      <c r="E92" s="18">
        <f>IF(F3="1",SUMIF(Data!A:A,'48'!$A$2,Data!EX:EX),0)</f>
        <v>421755</v>
      </c>
      <c r="F92" s="22">
        <f t="shared" si="5"/>
        <v>3.7194422886976155</v>
      </c>
    </row>
    <row r="93" spans="1:6" x14ac:dyDescent="0.2">
      <c r="A93" s="20">
        <v>28</v>
      </c>
      <c r="B93" s="179" t="s">
        <v>24</v>
      </c>
      <c r="C93" s="180"/>
      <c r="D93" s="15">
        <f t="shared" si="4"/>
        <v>161664</v>
      </c>
      <c r="E93" s="18">
        <f>IF(F3="1",SUMIF(Data!A:A,'48'!$A$2,Data!EZ:EZ),0)</f>
        <v>615944</v>
      </c>
      <c r="F93" s="22">
        <f t="shared" si="5"/>
        <v>3.8100257323832145</v>
      </c>
    </row>
    <row r="94" spans="1:6" ht="15.75" customHeight="1" thickBot="1" x14ac:dyDescent="0.25">
      <c r="A94" s="23">
        <v>29</v>
      </c>
      <c r="B94" s="181" t="s">
        <v>25</v>
      </c>
      <c r="C94" s="182"/>
      <c r="D94" s="24">
        <f t="shared" si="4"/>
        <v>36096</v>
      </c>
      <c r="E94" s="25">
        <f>IF(F3="1",SUMIF(Data!A:A,'48'!$A$2,Data!FA:FA),0)</f>
        <v>126126</v>
      </c>
      <c r="F94" s="26">
        <f t="shared" si="5"/>
        <v>3.4941821808510638</v>
      </c>
    </row>
    <row r="95" spans="1:6" x14ac:dyDescent="0.2">
      <c r="B95" s="31" t="s">
        <v>35</v>
      </c>
      <c r="C95" s="31"/>
      <c r="D95" s="61">
        <f>SUM(D67:D94)</f>
        <v>2673020</v>
      </c>
      <c r="E95" s="32">
        <f>SUM(E67:E94)</f>
        <v>9326459</v>
      </c>
      <c r="F95" s="33">
        <f t="shared" si="5"/>
        <v>3.4891093220402389</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IF(F3="1",SUMIF(Data!A:A,'48'!$A$2,Data!AH:AH),0)</f>
        <v>5610161</v>
      </c>
      <c r="F98" s="21">
        <f t="shared" ref="F98:F105" si="6">IFERROR(E98/$D$95,0)</f>
        <v>2.0988099602696577</v>
      </c>
    </row>
    <row r="99" spans="2:6" x14ac:dyDescent="0.2">
      <c r="B99" s="185" t="s">
        <v>31</v>
      </c>
      <c r="C99" s="186"/>
      <c r="D99" s="37"/>
      <c r="E99" s="18">
        <f>IF(F3="1",SUMIF(Data!A:A,'48'!$A$2,Data!AI:AI),0)</f>
        <v>1982563</v>
      </c>
      <c r="F99" s="22">
        <f t="shared" si="6"/>
        <v>0.74169403895219643</v>
      </c>
    </row>
    <row r="100" spans="2:6" x14ac:dyDescent="0.2">
      <c r="B100" s="185" t="s">
        <v>32</v>
      </c>
      <c r="C100" s="186"/>
      <c r="D100" s="37"/>
      <c r="E100" s="18">
        <f>IF(F3="1",SUMIF(Data!A:A,'48'!$A$2,Data!AJ:AJ),0)</f>
        <v>1359496</v>
      </c>
      <c r="F100" s="22">
        <f t="shared" si="6"/>
        <v>0.50859926225767105</v>
      </c>
    </row>
    <row r="101" spans="2:6" x14ac:dyDescent="0.2">
      <c r="B101" s="185" t="s">
        <v>28</v>
      </c>
      <c r="C101" s="186"/>
      <c r="D101" s="37"/>
      <c r="E101" s="18">
        <f>IF(F3="1",SUMIF(Data!A:A,'48'!$A$2,Data!AK:AK),0)</f>
        <v>0</v>
      </c>
      <c r="F101" s="22">
        <f t="shared" si="6"/>
        <v>0</v>
      </c>
    </row>
    <row r="102" spans="2:6" x14ac:dyDescent="0.2">
      <c r="B102" s="185" t="s">
        <v>33</v>
      </c>
      <c r="C102" s="186"/>
      <c r="D102" s="37"/>
      <c r="E102" s="18">
        <f>IF(F3="1",SUMIF(Data!A:A,'48'!$A$2,Data!AL:AL),0)</f>
        <v>0</v>
      </c>
      <c r="F102" s="22">
        <f t="shared" si="6"/>
        <v>0</v>
      </c>
    </row>
    <row r="103" spans="2:6" x14ac:dyDescent="0.2">
      <c r="B103" s="187" t="s">
        <v>34</v>
      </c>
      <c r="C103" s="188"/>
      <c r="D103" s="37"/>
      <c r="E103" s="18">
        <f>IF(F3="1",SUMIF(Data!A:A,'48'!$A$2,Data!AM:AM),0)</f>
        <v>494479</v>
      </c>
      <c r="F103" s="22">
        <f t="shared" si="6"/>
        <v>0.18498888897202415</v>
      </c>
    </row>
    <row r="104" spans="2:6" ht="15.75" customHeight="1" thickBot="1" x14ac:dyDescent="0.25">
      <c r="B104" s="177" t="s">
        <v>29</v>
      </c>
      <c r="C104" s="178"/>
      <c r="D104" s="38"/>
      <c r="E104" s="25">
        <f>IF(F3="1",SUMIF(Data!A:A,'48'!$A$2,Data!Q:Q),0)</f>
        <v>486468</v>
      </c>
      <c r="F104" s="26">
        <f t="shared" si="6"/>
        <v>0.18199190428803377</v>
      </c>
    </row>
    <row r="105" spans="2:6" x14ac:dyDescent="0.2">
      <c r="B105" s="31" t="s">
        <v>35</v>
      </c>
      <c r="C105" s="31"/>
      <c r="D105" s="35">
        <f>D95</f>
        <v>2673020</v>
      </c>
      <c r="E105" s="32">
        <f>SUM(E98:E104)</f>
        <v>9933167</v>
      </c>
      <c r="F105" s="33">
        <f t="shared" si="6"/>
        <v>3.716084054739583</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10575668</v>
      </c>
      <c r="D109" s="16">
        <f>IF(F3="1",SUMIF(Data!$A:$A,$A$2,Data!HJ:HJ),0)</f>
        <v>750358</v>
      </c>
      <c r="E109" s="16">
        <f>IF(F3="1",SUMIF(Data!$A:$A,$A$2,Data!IN:IN),0)</f>
        <v>1576867</v>
      </c>
      <c r="F109" s="48">
        <f>SUM(C109:E109)</f>
        <v>12902893</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13068</v>
      </c>
      <c r="D111" s="52"/>
      <c r="E111" s="51">
        <f>IF(F3="1",SUMIF(Data!A:A,$A$2,Data!AX:AX),0)</f>
        <v>21792</v>
      </c>
      <c r="F111" s="49">
        <f t="shared" si="7"/>
        <v>34860</v>
      </c>
    </row>
    <row r="112" spans="2:6" x14ac:dyDescent="0.2">
      <c r="B112" s="43" t="s">
        <v>32</v>
      </c>
      <c r="C112" s="51">
        <f>IF(F3="1",SUMIF(Data!A:A,$A$2,Data!V:V),0)</f>
        <v>1130561</v>
      </c>
      <c r="D112" s="52"/>
      <c r="E112" s="51">
        <f>IF(F3="1",SUMIF(Data!A:A,$A$2,Data!AC:AC),0)</f>
        <v>228935</v>
      </c>
      <c r="F112" s="49">
        <f t="shared" si="7"/>
        <v>1359496</v>
      </c>
    </row>
    <row r="113" spans="1:6" x14ac:dyDescent="0.2">
      <c r="B113" s="43" t="s">
        <v>31</v>
      </c>
      <c r="C113" s="51">
        <f>IF(F3="1",SUMIF(Data!A:A,$A$2,Data!U:U),0)</f>
        <v>1743106</v>
      </c>
      <c r="D113" s="52"/>
      <c r="E113" s="51">
        <f>IF(F3="1",SUMIF(Data!A:A,$A$2,Data!AB:AB),0)</f>
        <v>239457</v>
      </c>
      <c r="F113" s="49">
        <f t="shared" si="7"/>
        <v>1982563</v>
      </c>
    </row>
    <row r="114" spans="1:6" x14ac:dyDescent="0.2">
      <c r="B114" s="43" t="s">
        <v>1363</v>
      </c>
      <c r="C114" s="51">
        <f>IF(F3="1",SUMIF(Data!A:A,$A$2,Data!T:T),0)</f>
        <v>3418628</v>
      </c>
      <c r="D114" s="52"/>
      <c r="E114" s="51">
        <f>IF(F3="1",SUMIF(Data!A:A,$A$2,Data!AA:AA),0)</f>
        <v>2191533</v>
      </c>
      <c r="F114" s="49">
        <f t="shared" si="7"/>
        <v>5610161</v>
      </c>
    </row>
    <row r="115" spans="1:6" x14ac:dyDescent="0.2">
      <c r="B115" s="43" t="s">
        <v>1278</v>
      </c>
      <c r="C115" s="51">
        <f>IF(F3="1",SUMIF(Data!A:A,$A$2,Data!BI:BI),0)</f>
        <v>25981</v>
      </c>
      <c r="D115" s="51">
        <f>IF(F3="1",SUMIF(Data!A:A,$A$2,Data!BL:BL),0)</f>
        <v>0</v>
      </c>
      <c r="E115" s="51">
        <f>IF(F3="1",SUMIF(Data!A:A,$A$2,Data!BU:BU),0)</f>
        <v>2440277</v>
      </c>
      <c r="F115" s="49">
        <f t="shared" si="7"/>
        <v>2466258</v>
      </c>
    </row>
    <row r="116" spans="1:6" x14ac:dyDescent="0.2">
      <c r="B116" s="43" t="s">
        <v>33</v>
      </c>
      <c r="C116" s="51">
        <f>IF(F3="1",SUMIF(Data!A:A,$A$2,Data!X:X),0)</f>
        <v>0</v>
      </c>
      <c r="D116" s="51"/>
      <c r="E116" s="51">
        <f>E102</f>
        <v>0</v>
      </c>
      <c r="F116" s="49">
        <f t="shared" si="7"/>
        <v>0</v>
      </c>
    </row>
    <row r="117" spans="1:6" ht="15" thickBot="1" x14ac:dyDescent="0.25">
      <c r="B117" s="44" t="s">
        <v>1282</v>
      </c>
      <c r="C117" s="53"/>
      <c r="D117" s="53">
        <f>IF(F3="1",SUMIF(Data!A:A,$A$2,Data!Q:Q),0)</f>
        <v>486468</v>
      </c>
      <c r="E117" s="53"/>
      <c r="F117" s="50">
        <f>SUM(C117:E117)</f>
        <v>486468</v>
      </c>
    </row>
    <row r="118" spans="1:6" x14ac:dyDescent="0.2">
      <c r="B118" s="14" t="s">
        <v>35</v>
      </c>
      <c r="C118" s="5">
        <f>SUM(C109:C116)</f>
        <v>16907012</v>
      </c>
      <c r="D118" s="5">
        <f>SUM(D109:D116)</f>
        <v>750358</v>
      </c>
      <c r="E118" s="5">
        <f>SUM(E109:E116)</f>
        <v>6698861</v>
      </c>
      <c r="F118" s="5">
        <f>SUM(F109:F116)</f>
        <v>24356231</v>
      </c>
    </row>
    <row r="119" spans="1:6" ht="15" thickBot="1" x14ac:dyDescent="0.25"/>
    <row r="120" spans="1:6" ht="15" thickBot="1" x14ac:dyDescent="0.25">
      <c r="B120" s="57" t="s">
        <v>1283</v>
      </c>
      <c r="C120" s="55"/>
      <c r="D120" s="55"/>
      <c r="E120" s="55">
        <f>IF(F3="1",SUMIF(Data!A:A,'48'!$A$2,Data!AM:AM),0)</f>
        <v>494479</v>
      </c>
      <c r="F120" s="56">
        <f>SUM(C120:E120)</f>
        <v>494479</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2.140625" style="11" bestFit="1" customWidth="1"/>
    <col min="13" max="13" width="10.57031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672</v>
      </c>
      <c r="B2" s="60" t="str">
        <f>VLOOKUP(A2,Data!A:G,7,0)</f>
        <v>Western Texas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59324</v>
      </c>
      <c r="E5" s="16">
        <f>E36+E67+IFERROR($E$105/$D$105*D5,0)</f>
        <v>456790.23410522786</v>
      </c>
      <c r="F5" s="21">
        <f>IFERROR(E5/D5,"")</f>
        <v>7.6999230346104079</v>
      </c>
    </row>
    <row r="6" spans="1:6" x14ac:dyDescent="0.2">
      <c r="A6" s="20">
        <v>2</v>
      </c>
      <c r="B6" s="179" t="s">
        <v>1</v>
      </c>
      <c r="C6" s="180"/>
      <c r="D6" s="15">
        <f t="shared" ref="D6:D32" si="0">D37</f>
        <v>39008</v>
      </c>
      <c r="E6" s="18">
        <f t="shared" ref="E6:E32" si="1">E37+E68+IFERROR($E$105/$D$105*D6,0)</f>
        <v>286466.05886279966</v>
      </c>
      <c r="F6" s="22">
        <f t="shared" ref="F6:F33" si="2">IFERROR(E6/D6,"")</f>
        <v>7.3437771447600406</v>
      </c>
    </row>
    <row r="7" spans="1:6" ht="14.25" customHeight="1" x14ac:dyDescent="0.2">
      <c r="A7" s="20">
        <v>3</v>
      </c>
      <c r="B7" s="179" t="s">
        <v>2</v>
      </c>
      <c r="C7" s="180"/>
      <c r="D7" s="15">
        <f t="shared" si="0"/>
        <v>135168</v>
      </c>
      <c r="E7" s="18">
        <f t="shared" si="1"/>
        <v>763006.15884861839</v>
      </c>
      <c r="F7" s="22">
        <f t="shared" si="2"/>
        <v>5.6448727424288174</v>
      </c>
    </row>
    <row r="8" spans="1:6" ht="14.25" customHeight="1" x14ac:dyDescent="0.2">
      <c r="A8" s="20">
        <v>4</v>
      </c>
      <c r="B8" s="179" t="s">
        <v>3</v>
      </c>
      <c r="C8" s="180"/>
      <c r="D8" s="15">
        <f t="shared" si="0"/>
        <v>83256</v>
      </c>
      <c r="E8" s="18">
        <f t="shared" si="1"/>
        <v>491483.18182632414</v>
      </c>
      <c r="F8" s="22">
        <f t="shared" si="2"/>
        <v>5.9032764224359102</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3728</v>
      </c>
      <c r="E10" s="18">
        <f t="shared" si="1"/>
        <v>50134.482245706451</v>
      </c>
      <c r="F10" s="22">
        <f t="shared" si="2"/>
        <v>13.448090731144434</v>
      </c>
    </row>
    <row r="11" spans="1:6" x14ac:dyDescent="0.2">
      <c r="A11" s="20">
        <v>7</v>
      </c>
      <c r="B11" s="179" t="s">
        <v>6</v>
      </c>
      <c r="C11" s="180"/>
      <c r="D11" s="15">
        <f t="shared" si="0"/>
        <v>58463</v>
      </c>
      <c r="E11" s="18">
        <f t="shared" si="1"/>
        <v>283370.02777112025</v>
      </c>
      <c r="F11" s="22">
        <f t="shared" si="2"/>
        <v>4.8469977211419231</v>
      </c>
    </row>
    <row r="12" spans="1:6" x14ac:dyDescent="0.2">
      <c r="A12" s="20">
        <v>8</v>
      </c>
      <c r="B12" s="179" t="s">
        <v>7</v>
      </c>
      <c r="C12" s="180"/>
      <c r="D12" s="15">
        <f t="shared" si="0"/>
        <v>21136</v>
      </c>
      <c r="E12" s="18">
        <f t="shared" si="1"/>
        <v>124661.08603681641</v>
      </c>
      <c r="F12" s="22">
        <f t="shared" si="2"/>
        <v>5.8980453272528583</v>
      </c>
    </row>
    <row r="13" spans="1:6" x14ac:dyDescent="0.2">
      <c r="A13" s="20">
        <v>9</v>
      </c>
      <c r="B13" s="179" t="s">
        <v>8</v>
      </c>
      <c r="C13" s="180"/>
      <c r="D13" s="15">
        <f t="shared" si="0"/>
        <v>19201</v>
      </c>
      <c r="E13" s="18">
        <f t="shared" si="1"/>
        <v>138989.43068664422</v>
      </c>
      <c r="F13" s="22">
        <f t="shared" si="2"/>
        <v>7.2386558349379833</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2331</v>
      </c>
      <c r="E15" s="18">
        <f t="shared" si="1"/>
        <v>12679.022026486518</v>
      </c>
      <c r="F15" s="22">
        <f t="shared" si="2"/>
        <v>5.4393058886686054</v>
      </c>
    </row>
    <row r="16" spans="1:6" ht="14.25" customHeight="1" x14ac:dyDescent="0.2">
      <c r="A16" s="20">
        <v>12</v>
      </c>
      <c r="B16" s="179" t="s">
        <v>11</v>
      </c>
      <c r="C16" s="180"/>
      <c r="D16" s="15">
        <f t="shared" si="0"/>
        <v>146032</v>
      </c>
      <c r="E16" s="18">
        <f t="shared" si="1"/>
        <v>827113.00625134236</v>
      </c>
      <c r="F16" s="22">
        <f t="shared" si="2"/>
        <v>5.6639161707799826</v>
      </c>
    </row>
    <row r="17" spans="1:6" x14ac:dyDescent="0.2">
      <c r="A17" s="20">
        <v>13</v>
      </c>
      <c r="B17" s="179" t="s">
        <v>12</v>
      </c>
      <c r="C17" s="180"/>
      <c r="D17" s="15">
        <f t="shared" si="0"/>
        <v>32256</v>
      </c>
      <c r="E17" s="18">
        <f t="shared" si="1"/>
        <v>138908.41290705669</v>
      </c>
      <c r="F17" s="22">
        <f t="shared" si="2"/>
        <v>4.3064364120491287</v>
      </c>
    </row>
    <row r="18" spans="1:6" ht="14.25" customHeight="1" x14ac:dyDescent="0.2">
      <c r="A18" s="20">
        <v>14</v>
      </c>
      <c r="B18" s="179" t="s">
        <v>804</v>
      </c>
      <c r="C18" s="180"/>
      <c r="D18" s="15">
        <f t="shared" si="0"/>
        <v>0</v>
      </c>
      <c r="E18" s="18">
        <f t="shared" si="1"/>
        <v>0</v>
      </c>
      <c r="F18" s="22" t="str">
        <f t="shared" si="2"/>
        <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13856</v>
      </c>
      <c r="E20" s="18">
        <f t="shared" si="1"/>
        <v>77004.951179320982</v>
      </c>
      <c r="F20" s="22">
        <f t="shared" si="2"/>
        <v>5.5575166844198165</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30496</v>
      </c>
      <c r="E22" s="18">
        <f t="shared" si="1"/>
        <v>240831.11656788195</v>
      </c>
      <c r="F22" s="22">
        <f t="shared" si="2"/>
        <v>7.8971378727663284</v>
      </c>
    </row>
    <row r="23" spans="1:6" x14ac:dyDescent="0.2">
      <c r="A23" s="20">
        <v>19</v>
      </c>
      <c r="B23" s="179" t="s">
        <v>17</v>
      </c>
      <c r="C23" s="180"/>
      <c r="D23" s="15">
        <f t="shared" si="0"/>
        <v>149728</v>
      </c>
      <c r="E23" s="18">
        <f t="shared" si="1"/>
        <v>796195.42856360925</v>
      </c>
      <c r="F23" s="22">
        <f t="shared" si="2"/>
        <v>5.3176121270811691</v>
      </c>
    </row>
    <row r="24" spans="1:6" x14ac:dyDescent="0.2">
      <c r="A24" s="20">
        <v>20</v>
      </c>
      <c r="B24" s="179" t="s">
        <v>18</v>
      </c>
      <c r="C24" s="180"/>
      <c r="D24" s="15">
        <f t="shared" si="0"/>
        <v>0</v>
      </c>
      <c r="E24" s="18">
        <f t="shared" si="1"/>
        <v>0</v>
      </c>
      <c r="F24" s="22" t="str">
        <f t="shared" si="2"/>
        <v/>
      </c>
    </row>
    <row r="25" spans="1:6" ht="14.25" customHeight="1" x14ac:dyDescent="0.2">
      <c r="A25" s="20">
        <v>21</v>
      </c>
      <c r="B25" s="179" t="s">
        <v>801</v>
      </c>
      <c r="C25" s="180"/>
      <c r="D25" s="15">
        <f t="shared" si="0"/>
        <v>2240</v>
      </c>
      <c r="E25" s="18">
        <f t="shared" si="1"/>
        <v>12363.195340767825</v>
      </c>
      <c r="F25" s="22">
        <f t="shared" si="2"/>
        <v>5.5192836342713507</v>
      </c>
    </row>
    <row r="26" spans="1:6" x14ac:dyDescent="0.2">
      <c r="A26" s="20">
        <v>22</v>
      </c>
      <c r="B26" s="179" t="s">
        <v>19</v>
      </c>
      <c r="C26" s="180"/>
      <c r="D26" s="15">
        <f t="shared" si="0"/>
        <v>16240</v>
      </c>
      <c r="E26" s="18">
        <f t="shared" si="1"/>
        <v>95065.916220566723</v>
      </c>
      <c r="F26" s="22">
        <f t="shared" si="2"/>
        <v>5.8538125751580496</v>
      </c>
    </row>
    <row r="27" spans="1:6" x14ac:dyDescent="0.2">
      <c r="A27" s="20">
        <v>23</v>
      </c>
      <c r="B27" s="179" t="s">
        <v>20</v>
      </c>
      <c r="C27" s="180"/>
      <c r="D27" s="15">
        <f t="shared" si="0"/>
        <v>39312</v>
      </c>
      <c r="E27" s="18">
        <f t="shared" si="1"/>
        <v>363548.12823047535</v>
      </c>
      <c r="F27" s="22">
        <f t="shared" si="2"/>
        <v>9.2477647596274757</v>
      </c>
    </row>
    <row r="28" spans="1:6" x14ac:dyDescent="0.2">
      <c r="A28" s="20">
        <v>24</v>
      </c>
      <c r="B28" s="179" t="s">
        <v>21</v>
      </c>
      <c r="C28" s="180"/>
      <c r="D28" s="15">
        <f t="shared" si="0"/>
        <v>93846</v>
      </c>
      <c r="E28" s="18">
        <f t="shared" si="1"/>
        <v>413470.07854897203</v>
      </c>
      <c r="F28" s="22">
        <f t="shared" si="2"/>
        <v>4.4058359285315518</v>
      </c>
    </row>
    <row r="29" spans="1:6" x14ac:dyDescent="0.2">
      <c r="A29" s="20">
        <v>25</v>
      </c>
      <c r="B29" s="179" t="s">
        <v>22</v>
      </c>
      <c r="C29" s="180"/>
      <c r="D29" s="15">
        <f t="shared" si="0"/>
        <v>172656</v>
      </c>
      <c r="E29" s="18">
        <f t="shared" si="1"/>
        <v>1061465.8708730401</v>
      </c>
      <c r="F29" s="22">
        <f t="shared" si="2"/>
        <v>6.1478655295676958</v>
      </c>
    </row>
    <row r="30" spans="1:6" x14ac:dyDescent="0.2">
      <c r="A30" s="20">
        <v>26</v>
      </c>
      <c r="B30" s="179" t="s">
        <v>23</v>
      </c>
      <c r="C30" s="180"/>
      <c r="D30" s="15">
        <f t="shared" si="0"/>
        <v>34728</v>
      </c>
      <c r="E30" s="18">
        <f t="shared" si="1"/>
        <v>286847.79276526114</v>
      </c>
      <c r="F30" s="22">
        <f t="shared" si="2"/>
        <v>8.2598419939317314</v>
      </c>
    </row>
    <row r="31" spans="1:6" x14ac:dyDescent="0.2">
      <c r="A31" s="20">
        <v>28</v>
      </c>
      <c r="B31" s="179" t="s">
        <v>24</v>
      </c>
      <c r="C31" s="180"/>
      <c r="D31" s="15">
        <f t="shared" si="0"/>
        <v>30832</v>
      </c>
      <c r="E31" s="18">
        <f t="shared" si="1"/>
        <v>201878.24586899712</v>
      </c>
      <c r="F31" s="22">
        <f t="shared" si="2"/>
        <v>6.5476857118901508</v>
      </c>
    </row>
    <row r="32" spans="1:6" ht="15.75" customHeight="1" thickBot="1" x14ac:dyDescent="0.25">
      <c r="A32" s="23">
        <v>29</v>
      </c>
      <c r="B32" s="181" t="s">
        <v>25</v>
      </c>
      <c r="C32" s="182"/>
      <c r="D32" s="24">
        <f t="shared" si="0"/>
        <v>21984</v>
      </c>
      <c r="E32" s="25">
        <f t="shared" si="1"/>
        <v>127238.17427296423</v>
      </c>
      <c r="F32" s="26">
        <f t="shared" si="2"/>
        <v>5.787762657976903</v>
      </c>
    </row>
    <row r="33" spans="1:6" x14ac:dyDescent="0.2">
      <c r="B33" s="31" t="s">
        <v>35</v>
      </c>
      <c r="C33" s="31"/>
      <c r="D33" s="61">
        <f>SUM(D5:D32)</f>
        <v>1205821</v>
      </c>
      <c r="E33" s="32">
        <f>SUM(E5:E32)</f>
        <v>7249509.9999999972</v>
      </c>
      <c r="F33" s="33">
        <f t="shared" si="2"/>
        <v>6.0120946641333974</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IF(F3="1",SUMIF(Data!A:A,'49'!$A$2,Data!CU:CU),0)</f>
        <v>59324</v>
      </c>
      <c r="E36" s="16">
        <f>IF(F3="1",SUMIF(Data!$A:$A,'49'!$A$2,Data!IO:IO),0)</f>
        <v>23697</v>
      </c>
      <c r="F36" s="21">
        <f t="shared" ref="F36:F64" si="3">IFERROR(E36/D36,"")</f>
        <v>0.39945047535567391</v>
      </c>
    </row>
    <row r="37" spans="1:6" x14ac:dyDescent="0.2">
      <c r="A37" s="20">
        <v>2</v>
      </c>
      <c r="B37" s="179" t="s">
        <v>1</v>
      </c>
      <c r="C37" s="180"/>
      <c r="D37" s="15">
        <f>IF(F3="1",SUMIF(Data!A:A,'49'!$A$2,Data!CV:CV),0)</f>
        <v>39008</v>
      </c>
      <c r="E37" s="18">
        <f>IF(F3="1",SUMIF(Data!$A:$A,'49'!$A$2,Data!IP:IP),0)</f>
        <v>38751</v>
      </c>
      <c r="F37" s="22">
        <f t="shared" si="3"/>
        <v>0.99341160787530758</v>
      </c>
    </row>
    <row r="38" spans="1:6" ht="14.25" customHeight="1" x14ac:dyDescent="0.2">
      <c r="A38" s="20">
        <v>3</v>
      </c>
      <c r="B38" s="179" t="s">
        <v>2</v>
      </c>
      <c r="C38" s="180"/>
      <c r="D38" s="15">
        <f>IF(F3="1",SUMIF(Data!A:A,'49'!$A$2,Data!CW:CW),0)</f>
        <v>135168</v>
      </c>
      <c r="E38" s="18">
        <f>IF(F3="1",SUMIF(Data!$A:$A,'49'!$A$2,Data!IQ:IQ),0)</f>
        <v>13544</v>
      </c>
      <c r="F38" s="22">
        <f t="shared" si="3"/>
        <v>0.10020123106060606</v>
      </c>
    </row>
    <row r="39" spans="1:6" ht="14.25" customHeight="1" x14ac:dyDescent="0.2">
      <c r="A39" s="20">
        <v>4</v>
      </c>
      <c r="B39" s="179" t="s">
        <v>3</v>
      </c>
      <c r="C39" s="180"/>
      <c r="D39" s="15">
        <f>IF(F3="1",SUMIF(Data!A:A,'49'!$A$2,Data!CX:CX),0)</f>
        <v>83256</v>
      </c>
      <c r="E39" s="18">
        <f>IF(F3="1",SUMIF(Data!$A:$A,'49'!$A$2,Data!IR:IR),0)</f>
        <v>99201</v>
      </c>
      <c r="F39" s="22">
        <f t="shared" si="3"/>
        <v>1.1915177284520035</v>
      </c>
    </row>
    <row r="40" spans="1:6" x14ac:dyDescent="0.2">
      <c r="A40" s="20">
        <v>5</v>
      </c>
      <c r="B40" s="179" t="s">
        <v>4</v>
      </c>
      <c r="C40" s="180"/>
      <c r="D40" s="15">
        <f>IF(F3="1",SUMIF(Data!A:A,'49'!$A$2,Data!CY:CY),0)</f>
        <v>0</v>
      </c>
      <c r="E40" s="18">
        <f>IF(F3="1",SUMIF(Data!$A:$A,'49'!$A$2,Data!IS:IS),0)</f>
        <v>0</v>
      </c>
      <c r="F40" s="22" t="str">
        <f t="shared" si="3"/>
        <v/>
      </c>
    </row>
    <row r="41" spans="1:6" x14ac:dyDescent="0.2">
      <c r="A41" s="20">
        <v>6</v>
      </c>
      <c r="B41" s="179" t="s">
        <v>5</v>
      </c>
      <c r="C41" s="180"/>
      <c r="D41" s="15">
        <f>IF(F3="1",SUMIF(Data!A:A,'49'!$A$2,Data!CZ:CZ),0)</f>
        <v>3728</v>
      </c>
      <c r="E41" s="18">
        <f>IF(F3="1",SUMIF(Data!$A:$A,'49'!$A$2,Data!IT:IT),0)</f>
        <v>1081</v>
      </c>
      <c r="F41" s="22">
        <f t="shared" si="3"/>
        <v>0.28996781115879827</v>
      </c>
    </row>
    <row r="42" spans="1:6" x14ac:dyDescent="0.2">
      <c r="A42" s="20">
        <v>7</v>
      </c>
      <c r="B42" s="179" t="s">
        <v>6</v>
      </c>
      <c r="C42" s="180"/>
      <c r="D42" s="15">
        <f>IF(F3="1",SUMIF(Data!A:A,'49'!$A$2,Data!DA:DA),0)</f>
        <v>58463</v>
      </c>
      <c r="E42" s="18">
        <f>IF(F3="1",SUMIF(Data!$A:$A,'49'!$A$2,Data!IU:IU),0)</f>
        <v>6787</v>
      </c>
      <c r="F42" s="22">
        <f t="shared" si="3"/>
        <v>0.11609051878966184</v>
      </c>
    </row>
    <row r="43" spans="1:6" x14ac:dyDescent="0.2">
      <c r="A43" s="20">
        <v>8</v>
      </c>
      <c r="B43" s="179" t="s">
        <v>7</v>
      </c>
      <c r="C43" s="180"/>
      <c r="D43" s="15">
        <f>IF(F3="1",SUMIF(Data!A:A,'49'!$A$2,Data!DB:DB),0)</f>
        <v>21136</v>
      </c>
      <c r="E43" s="18">
        <f>IF(F3="1",SUMIF(Data!$A:$A,'49'!$A$2,Data!IV:IV),0)</f>
        <v>3120</v>
      </c>
      <c r="F43" s="22">
        <f t="shared" si="3"/>
        <v>0.14761544284632855</v>
      </c>
    </row>
    <row r="44" spans="1:6" x14ac:dyDescent="0.2">
      <c r="A44" s="20">
        <v>9</v>
      </c>
      <c r="B44" s="179" t="s">
        <v>8</v>
      </c>
      <c r="C44" s="180"/>
      <c r="D44" s="15">
        <f>IF(F3="1",SUMIF(Data!A:A,'49'!$A$2,Data!DC:DC),0)</f>
        <v>19201</v>
      </c>
      <c r="E44" s="18">
        <f>IF(F3="1",SUMIF(Data!$A:$A,'49'!$A$2,Data!IW:IW),0)</f>
        <v>5481</v>
      </c>
      <c r="F44" s="22">
        <f t="shared" si="3"/>
        <v>0.28545388261028071</v>
      </c>
    </row>
    <row r="45" spans="1:6" x14ac:dyDescent="0.2">
      <c r="A45" s="20">
        <v>10</v>
      </c>
      <c r="B45" s="179" t="s">
        <v>9</v>
      </c>
      <c r="C45" s="180"/>
      <c r="D45" s="15">
        <f>IF(F3="1",SUMIF(Data!A:A,'49'!$A$2,Data!DD:DD),0)</f>
        <v>0</v>
      </c>
      <c r="E45" s="18">
        <f>IF(F3="1",SUMIF(Data!$A:$A,'49'!$A$2,Data!IX:IX),0)</f>
        <v>0</v>
      </c>
      <c r="F45" s="22" t="str">
        <f t="shared" si="3"/>
        <v/>
      </c>
    </row>
    <row r="46" spans="1:6" x14ac:dyDescent="0.2">
      <c r="A46" s="20">
        <v>11</v>
      </c>
      <c r="B46" s="179" t="s">
        <v>10</v>
      </c>
      <c r="C46" s="180"/>
      <c r="D46" s="15">
        <f>IF(F3="1",SUMIF(Data!A:A,'49'!$A$2,Data!DE:DE),0)</f>
        <v>2331</v>
      </c>
      <c r="E46" s="18">
        <f>IF(F3="1",SUMIF(Data!$A:$A,'49'!$A$2,Data!IY:IY),0)</f>
        <v>3668</v>
      </c>
      <c r="F46" s="22">
        <f t="shared" si="3"/>
        <v>1.5735735735735736</v>
      </c>
    </row>
    <row r="47" spans="1:6" ht="14.25" customHeight="1" x14ac:dyDescent="0.2">
      <c r="A47" s="20">
        <v>12</v>
      </c>
      <c r="B47" s="179" t="s">
        <v>11</v>
      </c>
      <c r="C47" s="180"/>
      <c r="D47" s="15">
        <f>IF(F3="1",SUMIF(Data!A:A,'49'!$A$2,Data!DF:DF),0)</f>
        <v>146032</v>
      </c>
      <c r="E47" s="18">
        <f>IF(F3="1",SUMIF(Data!$A:$A,'49'!$A$2,Data!IZ:IZ),0)</f>
        <v>11893</v>
      </c>
      <c r="F47" s="22">
        <f t="shared" si="3"/>
        <v>8.1441054015558234E-2</v>
      </c>
    </row>
    <row r="48" spans="1:6" x14ac:dyDescent="0.2">
      <c r="A48" s="20">
        <v>13</v>
      </c>
      <c r="B48" s="179" t="s">
        <v>12</v>
      </c>
      <c r="C48" s="180"/>
      <c r="D48" s="15">
        <f>IF(F3="1",SUMIF(Data!A:A,'49'!$A$2,Data!DG:DG),0)</f>
        <v>32256</v>
      </c>
      <c r="E48" s="18">
        <f>IF(F3="1",SUMIF(Data!$A:$A,'49'!$A$2,Data!JA:JA),0)</f>
        <v>783</v>
      </c>
      <c r="F48" s="22">
        <f t="shared" si="3"/>
        <v>2.4274553571428572E-2</v>
      </c>
    </row>
    <row r="49" spans="1:6" ht="14.25" customHeight="1" x14ac:dyDescent="0.2">
      <c r="A49" s="20">
        <v>14</v>
      </c>
      <c r="B49" s="179" t="s">
        <v>804</v>
      </c>
      <c r="C49" s="180"/>
      <c r="D49" s="15">
        <f>IF(F3="1",SUMIF(Data!A:A,'49'!$A$2,Data!DH:DH),0)</f>
        <v>0</v>
      </c>
      <c r="E49" s="18">
        <f>IF(F3="1",SUMIF(Data!$A:$A,'49'!$A$2,Data!JB:JB),0)</f>
        <v>0</v>
      </c>
      <c r="F49" s="22" t="str">
        <f t="shared" si="3"/>
        <v/>
      </c>
    </row>
    <row r="50" spans="1:6" x14ac:dyDescent="0.2">
      <c r="A50" s="20">
        <v>15</v>
      </c>
      <c r="B50" s="179" t="s">
        <v>13</v>
      </c>
      <c r="C50" s="180"/>
      <c r="D50" s="15">
        <f>IF(F3="1",SUMIF(Data!A:A,'49'!$A$2,Data!DI:DI),0)</f>
        <v>0</v>
      </c>
      <c r="E50" s="18">
        <f>IF(F3="1",SUMIF(Data!$A:$A,'49'!$A$2,Data!JC:JC),0)</f>
        <v>0</v>
      </c>
      <c r="F50" s="22" t="str">
        <f t="shared" si="3"/>
        <v/>
      </c>
    </row>
    <row r="51" spans="1:6" x14ac:dyDescent="0.2">
      <c r="A51" s="20">
        <v>16</v>
      </c>
      <c r="B51" s="179" t="s">
        <v>14</v>
      </c>
      <c r="C51" s="180"/>
      <c r="D51" s="15">
        <f>IF(F3="1",SUMIF(Data!A:A,'49'!$A$2,Data!DJ:DJ),0)</f>
        <v>13856</v>
      </c>
      <c r="E51" s="18">
        <f>IF(F3="1",SUMIF(Data!$A:$A,'49'!$A$2,Data!JD:JD),0)</f>
        <v>22958</v>
      </c>
      <c r="F51" s="22">
        <f t="shared" si="3"/>
        <v>1.6568995381062355</v>
      </c>
    </row>
    <row r="52" spans="1:6" x14ac:dyDescent="0.2">
      <c r="A52" s="20">
        <v>17</v>
      </c>
      <c r="B52" s="179" t="s">
        <v>15</v>
      </c>
      <c r="C52" s="180"/>
      <c r="D52" s="15">
        <f>IF(F3="1",SUMIF(Data!A:A,'49'!$A$2,Data!DK:DK),0)</f>
        <v>0</v>
      </c>
      <c r="E52" s="18">
        <f>IF(F3="1",SUMIF(Data!$A:$A,'49'!$A$2,Data!JE:JE),0)</f>
        <v>0</v>
      </c>
      <c r="F52" s="22" t="str">
        <f t="shared" si="3"/>
        <v/>
      </c>
    </row>
    <row r="53" spans="1:6" x14ac:dyDescent="0.2">
      <c r="A53" s="20">
        <v>18</v>
      </c>
      <c r="B53" s="179" t="s">
        <v>16</v>
      </c>
      <c r="C53" s="180"/>
      <c r="D53" s="15">
        <f>IF(F3="1",SUMIF(Data!A:A,'49'!$A$2,Data!DL:DL),0)</f>
        <v>30496</v>
      </c>
      <c r="E53" s="18">
        <f>IF(F3="1",SUMIF(Data!$A:$A,'49'!$A$2,Data!JF:JF),0)</f>
        <v>5412</v>
      </c>
      <c r="F53" s="22">
        <f t="shared" si="3"/>
        <v>0.17746589716684155</v>
      </c>
    </row>
    <row r="54" spans="1:6" x14ac:dyDescent="0.2">
      <c r="A54" s="20">
        <v>19</v>
      </c>
      <c r="B54" s="179" t="s">
        <v>17</v>
      </c>
      <c r="C54" s="180"/>
      <c r="D54" s="15">
        <f>IF(F3="1",SUMIF(Data!A:A,'49'!$A$2,Data!DM:DM),0)</f>
        <v>149728</v>
      </c>
      <c r="E54" s="18">
        <f>IF(F3="1",SUMIF(Data!$A:$A,'49'!$A$2,Data!JG:JG),0)</f>
        <v>11857</v>
      </c>
      <c r="F54" s="22">
        <f t="shared" si="3"/>
        <v>7.9190265013891856E-2</v>
      </c>
    </row>
    <row r="55" spans="1:6" x14ac:dyDescent="0.2">
      <c r="A55" s="20">
        <v>20</v>
      </c>
      <c r="B55" s="179" t="s">
        <v>18</v>
      </c>
      <c r="C55" s="180"/>
      <c r="D55" s="15">
        <f>IF(F3="1",SUMIF(Data!A:A,'49'!$A$2,Data!DN:DN),0)</f>
        <v>0</v>
      </c>
      <c r="E55" s="18">
        <f>IF(F3="1",SUMIF(Data!$A:$A,'49'!$A$2,Data!JH:JH),0)</f>
        <v>0</v>
      </c>
      <c r="F55" s="22" t="str">
        <f t="shared" si="3"/>
        <v/>
      </c>
    </row>
    <row r="56" spans="1:6" ht="14.25" customHeight="1" x14ac:dyDescent="0.2">
      <c r="A56" s="20">
        <v>21</v>
      </c>
      <c r="B56" s="179" t="s">
        <v>801</v>
      </c>
      <c r="C56" s="180"/>
      <c r="D56" s="15">
        <f>IF(F3="1",SUMIF(Data!A:A,'49'!$A$2,Data!DO:DO),0)</f>
        <v>2240</v>
      </c>
      <c r="E56" s="18">
        <f>IF(F3="1",SUMIF(Data!$A:$A,'49'!$A$2,Data!JI:JI),0)</f>
        <v>3668</v>
      </c>
      <c r="F56" s="22">
        <f t="shared" si="3"/>
        <v>1.6375</v>
      </c>
    </row>
    <row r="57" spans="1:6" x14ac:dyDescent="0.2">
      <c r="A57" s="20">
        <v>22</v>
      </c>
      <c r="B57" s="179" t="s">
        <v>19</v>
      </c>
      <c r="C57" s="180"/>
      <c r="D57" s="15">
        <f>IF(F3="1",SUMIF(Data!A:A,'49'!$A$2,Data!DP:DP),0)</f>
        <v>16240</v>
      </c>
      <c r="E57" s="18">
        <f>IF(F3="1",SUMIF(Data!$A:$A,'49'!$A$2,Data!JJ:JJ),0)</f>
        <v>2353</v>
      </c>
      <c r="F57" s="22">
        <f t="shared" si="3"/>
        <v>0.14488916256157636</v>
      </c>
    </row>
    <row r="58" spans="1:6" x14ac:dyDescent="0.2">
      <c r="A58" s="20">
        <v>23</v>
      </c>
      <c r="B58" s="179" t="s">
        <v>20</v>
      </c>
      <c r="C58" s="180"/>
      <c r="D58" s="15">
        <f>IF(F3="1",SUMIF(Data!A:A,'49'!$A$2,Data!DQ:DQ),0)</f>
        <v>39312</v>
      </c>
      <c r="E58" s="18">
        <f>IF(F3="1",SUMIF(Data!$A:$A,'49'!$A$2,Data!JK:JK),0)</f>
        <v>8757</v>
      </c>
      <c r="F58" s="22">
        <f t="shared" si="3"/>
        <v>0.22275641025641027</v>
      </c>
    </row>
    <row r="59" spans="1:6" x14ac:dyDescent="0.2">
      <c r="A59" s="20">
        <v>24</v>
      </c>
      <c r="B59" s="179" t="s">
        <v>21</v>
      </c>
      <c r="C59" s="180"/>
      <c r="D59" s="15">
        <f>IF(F3="1",SUMIF(Data!A:A,'49'!$A$2,Data!DR:DR),0)</f>
        <v>93846</v>
      </c>
      <c r="E59" s="18">
        <f>IF(F3="1",SUMIF(Data!$A:$A,'49'!$A$2,Data!JL:JL),0)</f>
        <v>34488</v>
      </c>
      <c r="F59" s="22">
        <f t="shared" si="3"/>
        <v>0.36749568441915481</v>
      </c>
    </row>
    <row r="60" spans="1:6" x14ac:dyDescent="0.2">
      <c r="A60" s="20">
        <v>25</v>
      </c>
      <c r="B60" s="179" t="s">
        <v>22</v>
      </c>
      <c r="C60" s="180"/>
      <c r="D60" s="15">
        <f>IF(F3="1",SUMIF(Data!A:A,'49'!$A$2,Data!DS:DS),0)</f>
        <v>172656</v>
      </c>
      <c r="E60" s="18">
        <f>IF(F3="1",SUMIF(Data!$A:$A,'49'!$A$2,Data!JM:JM),0)</f>
        <v>17425</v>
      </c>
      <c r="F60" s="22">
        <f t="shared" si="3"/>
        <v>0.10092322305625058</v>
      </c>
    </row>
    <row r="61" spans="1:6" x14ac:dyDescent="0.2">
      <c r="A61" s="20">
        <v>26</v>
      </c>
      <c r="B61" s="179" t="s">
        <v>23</v>
      </c>
      <c r="C61" s="180"/>
      <c r="D61" s="15">
        <f>IF(F3="1",SUMIF(Data!A:A,'49'!$A$2,Data!DT:DT),0)</f>
        <v>34728</v>
      </c>
      <c r="E61" s="18">
        <f>IF(F3="1",SUMIF(Data!$A:$A,'49'!$A$2,Data!JN:JN),0)</f>
        <v>19714</v>
      </c>
      <c r="F61" s="22">
        <f t="shared" si="3"/>
        <v>0.56766873992167699</v>
      </c>
    </row>
    <row r="62" spans="1:6" x14ac:dyDescent="0.2">
      <c r="A62" s="20">
        <v>28</v>
      </c>
      <c r="B62" s="179" t="s">
        <v>24</v>
      </c>
      <c r="C62" s="180"/>
      <c r="D62" s="15">
        <f>IF(F3="1",SUMIF(Data!A:A,'49'!$A$2,Data!DV:DV),0)</f>
        <v>30832</v>
      </c>
      <c r="E62" s="18">
        <f>IF(F3="1",SUMIF(Data!$A:$A,'49'!$A$2,Data!JP:JP),0)</f>
        <v>4029</v>
      </c>
      <c r="F62" s="22">
        <f t="shared" si="3"/>
        <v>0.13067592112091334</v>
      </c>
    </row>
    <row r="63" spans="1:6" ht="15.75" customHeight="1" thickBot="1" x14ac:dyDescent="0.25">
      <c r="A63" s="23">
        <v>29</v>
      </c>
      <c r="B63" s="181" t="s">
        <v>25</v>
      </c>
      <c r="C63" s="182"/>
      <c r="D63" s="24">
        <f>IF(F3="1",SUMIF(Data!A:A,'49'!$A$2,Data!DW:DW),0)</f>
        <v>21984</v>
      </c>
      <c r="E63" s="25">
        <f>IF(F3="1",SUMIF(Data!$A:$A,'49'!$A$2,Data!JQ:JQ),0)</f>
        <v>3700</v>
      </c>
      <c r="F63" s="26">
        <f t="shared" si="3"/>
        <v>0.16830422125181951</v>
      </c>
    </row>
    <row r="64" spans="1:6" x14ac:dyDescent="0.2">
      <c r="B64" s="31" t="s">
        <v>35</v>
      </c>
      <c r="C64" s="31"/>
      <c r="D64" s="61">
        <f>SUM(D36:D63)</f>
        <v>1205821</v>
      </c>
      <c r="E64" s="32">
        <f>SUM(E36:E63)</f>
        <v>342367</v>
      </c>
      <c r="F64" s="33">
        <f t="shared" si="3"/>
        <v>0.28392854329125133</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59324</v>
      </c>
      <c r="E67" s="16">
        <f>IF(F3="1",SUMIF(Data!A:A,'49'!$A$2,Data!DY:DY),0)</f>
        <v>227202</v>
      </c>
      <c r="F67" s="21">
        <f>IFERROR(E67/D67,"")</f>
        <v>3.8298496392690984</v>
      </c>
    </row>
    <row r="68" spans="1:6" x14ac:dyDescent="0.2">
      <c r="A68" s="20">
        <v>2</v>
      </c>
      <c r="B68" s="179" t="s">
        <v>1</v>
      </c>
      <c r="C68" s="180"/>
      <c r="D68" s="15">
        <f t="shared" ref="D68:D94" si="4">D37</f>
        <v>39008</v>
      </c>
      <c r="E68" s="18">
        <f>IF(F3="1",SUMIF(Data!A:A,'49'!$A$2,Data!DZ:DZ),0)</f>
        <v>112333</v>
      </c>
      <c r="F68" s="22">
        <f t="shared" ref="F68:F95" si="5">IFERROR(E68/D68,"")</f>
        <v>2.8797426168990978</v>
      </c>
    </row>
    <row r="69" spans="1:6" ht="14.25" customHeight="1" x14ac:dyDescent="0.2">
      <c r="A69" s="20">
        <v>3</v>
      </c>
      <c r="B69" s="179" t="s">
        <v>2</v>
      </c>
      <c r="C69" s="180"/>
      <c r="D69" s="15">
        <f t="shared" si="4"/>
        <v>135168</v>
      </c>
      <c r="E69" s="18">
        <f>IF(F3="1",SUMIF(Data!A:A,'49'!$A$2,Data!EA:EA),0)</f>
        <v>280345</v>
      </c>
      <c r="F69" s="22">
        <f t="shared" si="5"/>
        <v>2.0740485913825757</v>
      </c>
    </row>
    <row r="70" spans="1:6" ht="14.25" customHeight="1" x14ac:dyDescent="0.2">
      <c r="A70" s="20">
        <v>4</v>
      </c>
      <c r="B70" s="179" t="s">
        <v>3</v>
      </c>
      <c r="C70" s="180"/>
      <c r="D70" s="15">
        <f t="shared" si="4"/>
        <v>83256</v>
      </c>
      <c r="E70" s="18">
        <f>IF(F3="1",SUMIF(Data!A:A,'49'!$A$2,Data!EB:EB),0)</f>
        <v>103332</v>
      </c>
      <c r="F70" s="22">
        <f t="shared" si="5"/>
        <v>1.2411357739982705</v>
      </c>
    </row>
    <row r="71" spans="1:6" x14ac:dyDescent="0.2">
      <c r="A71" s="20">
        <v>5</v>
      </c>
      <c r="B71" s="179" t="s">
        <v>4</v>
      </c>
      <c r="C71" s="180"/>
      <c r="D71" s="15">
        <f t="shared" si="4"/>
        <v>0</v>
      </c>
      <c r="E71" s="18">
        <f>IF(F3="1",SUMIF(Data!A:A,'49'!$A$2,Data!EC:EC),0)</f>
        <v>0</v>
      </c>
      <c r="F71" s="22" t="str">
        <f t="shared" si="5"/>
        <v/>
      </c>
    </row>
    <row r="72" spans="1:6" x14ac:dyDescent="0.2">
      <c r="A72" s="20">
        <v>6</v>
      </c>
      <c r="B72" s="179" t="s">
        <v>5</v>
      </c>
      <c r="C72" s="180"/>
      <c r="D72" s="15">
        <f t="shared" si="4"/>
        <v>3728</v>
      </c>
      <c r="E72" s="18">
        <f>IF(F3="1",SUMIF(Data!A:A,'49'!$A$2,Data!ED:ED),0)</f>
        <v>36115</v>
      </c>
      <c r="F72" s="22">
        <f t="shared" si="5"/>
        <v>9.6875</v>
      </c>
    </row>
    <row r="73" spans="1:6" x14ac:dyDescent="0.2">
      <c r="A73" s="20">
        <v>7</v>
      </c>
      <c r="B73" s="179" t="s">
        <v>6</v>
      </c>
      <c r="C73" s="180"/>
      <c r="D73" s="15">
        <f t="shared" si="4"/>
        <v>58463</v>
      </c>
      <c r="E73" s="18">
        <f>IF(F3="1",SUMIF(Data!A:A,'49'!$A$2,Data!EE:EE),0)</f>
        <v>73680</v>
      </c>
      <c r="F73" s="22">
        <f t="shared" si="5"/>
        <v>1.2602842823666252</v>
      </c>
    </row>
    <row r="74" spans="1:6" x14ac:dyDescent="0.2">
      <c r="A74" s="20">
        <v>8</v>
      </c>
      <c r="B74" s="179" t="s">
        <v>7</v>
      </c>
      <c r="C74" s="180"/>
      <c r="D74" s="15">
        <f t="shared" si="4"/>
        <v>21136</v>
      </c>
      <c r="E74" s="18">
        <f>IF(F3="1",SUMIF(Data!A:A,'49'!$A$2,Data!EF:EF),0)</f>
        <v>48186</v>
      </c>
      <c r="F74" s="22">
        <f t="shared" si="5"/>
        <v>2.2798069644208931</v>
      </c>
    </row>
    <row r="75" spans="1:6" x14ac:dyDescent="0.2">
      <c r="A75" s="20">
        <v>9</v>
      </c>
      <c r="B75" s="179" t="s">
        <v>8</v>
      </c>
      <c r="C75" s="180"/>
      <c r="D75" s="15">
        <f t="shared" si="4"/>
        <v>19201</v>
      </c>
      <c r="E75" s="18">
        <f>IF(F3="1",SUMIF(Data!A:A,'49'!$A$2,Data!EG:EG),0)</f>
        <v>66869</v>
      </c>
      <c r="F75" s="22">
        <f t="shared" si="5"/>
        <v>3.4825790323420653</v>
      </c>
    </row>
    <row r="76" spans="1:6" x14ac:dyDescent="0.2">
      <c r="A76" s="20">
        <v>10</v>
      </c>
      <c r="B76" s="179" t="s">
        <v>9</v>
      </c>
      <c r="C76" s="180"/>
      <c r="D76" s="15">
        <f t="shared" si="4"/>
        <v>0</v>
      </c>
      <c r="E76" s="18">
        <f>IF(F3="1",SUMIF(Data!A:A,'49'!$A$2,Data!EH:EH),0)</f>
        <v>0</v>
      </c>
      <c r="F76" s="22" t="str">
        <f t="shared" si="5"/>
        <v/>
      </c>
    </row>
    <row r="77" spans="1:6" x14ac:dyDescent="0.2">
      <c r="A77" s="20">
        <v>11</v>
      </c>
      <c r="B77" s="179" t="s">
        <v>10</v>
      </c>
      <c r="C77" s="180"/>
      <c r="D77" s="15">
        <f t="shared" si="4"/>
        <v>2331</v>
      </c>
      <c r="E77" s="18">
        <f>IF(F3="1",SUMIF(Data!A:A,'49'!$A$2,Data!EI:EI),0)</f>
        <v>921</v>
      </c>
      <c r="F77" s="22">
        <f t="shared" si="5"/>
        <v>0.39510939510939513</v>
      </c>
    </row>
    <row r="78" spans="1:6" ht="14.25" customHeight="1" x14ac:dyDescent="0.2">
      <c r="A78" s="20">
        <v>12</v>
      </c>
      <c r="B78" s="179" t="s">
        <v>11</v>
      </c>
      <c r="C78" s="180"/>
      <c r="D78" s="15">
        <f t="shared" si="4"/>
        <v>146032</v>
      </c>
      <c r="E78" s="18">
        <f>IF(F3="1",SUMIF(Data!A:A,'49'!$A$2,Data!EJ:EJ),0)</f>
        <v>308398</v>
      </c>
      <c r="F78" s="22">
        <f t="shared" si="5"/>
        <v>2.1118521967787882</v>
      </c>
    </row>
    <row r="79" spans="1:6" x14ac:dyDescent="0.2">
      <c r="A79" s="20">
        <v>13</v>
      </c>
      <c r="B79" s="179" t="s">
        <v>12</v>
      </c>
      <c r="C79" s="180"/>
      <c r="D79" s="15">
        <f t="shared" si="4"/>
        <v>32256</v>
      </c>
      <c r="E79" s="18">
        <f>IF(F3="1",SUMIF(Data!A:A,'49'!$A$2,Data!EK:EK),0)</f>
        <v>26177</v>
      </c>
      <c r="F79" s="22">
        <f t="shared" si="5"/>
        <v>0.81153893849206349</v>
      </c>
    </row>
    <row r="80" spans="1:6" ht="14.25" customHeight="1" x14ac:dyDescent="0.2">
      <c r="A80" s="20">
        <v>14</v>
      </c>
      <c r="B80" s="179" t="s">
        <v>804</v>
      </c>
      <c r="C80" s="180"/>
      <c r="D80" s="15">
        <f t="shared" si="4"/>
        <v>0</v>
      </c>
      <c r="E80" s="18">
        <f>IF(F3="1",SUMIF(Data!A:A,'49'!$A$2,Data!EL:EL),0)</f>
        <v>0</v>
      </c>
      <c r="F80" s="22" t="str">
        <f t="shared" si="5"/>
        <v/>
      </c>
    </row>
    <row r="81" spans="1:6" x14ac:dyDescent="0.2">
      <c r="A81" s="20">
        <v>15</v>
      </c>
      <c r="B81" s="179" t="s">
        <v>13</v>
      </c>
      <c r="C81" s="180"/>
      <c r="D81" s="15">
        <f t="shared" si="4"/>
        <v>0</v>
      </c>
      <c r="E81" s="18">
        <f>IF(F3="1",SUMIF(Data!A:A,'49'!$A$2,Data!EM:EM),0)</f>
        <v>0</v>
      </c>
      <c r="F81" s="22" t="str">
        <f t="shared" si="5"/>
        <v/>
      </c>
    </row>
    <row r="82" spans="1:6" x14ac:dyDescent="0.2">
      <c r="A82" s="20">
        <v>16</v>
      </c>
      <c r="B82" s="179" t="s">
        <v>14</v>
      </c>
      <c r="C82" s="180"/>
      <c r="D82" s="15">
        <f t="shared" si="4"/>
        <v>13856</v>
      </c>
      <c r="E82" s="18">
        <f>IF(F3="1",SUMIF(Data!A:A,'49'!$A$2,Data!EN:EN),0)</f>
        <v>5958</v>
      </c>
      <c r="F82" s="22">
        <f t="shared" si="5"/>
        <v>0.4299942263279446</v>
      </c>
    </row>
    <row r="83" spans="1:6" x14ac:dyDescent="0.2">
      <c r="A83" s="20">
        <v>17</v>
      </c>
      <c r="B83" s="179" t="s">
        <v>15</v>
      </c>
      <c r="C83" s="180"/>
      <c r="D83" s="15">
        <f t="shared" si="4"/>
        <v>0</v>
      </c>
      <c r="E83" s="18">
        <f>IF(F3="1",SUMIF(Data!A:A,'49'!$A$2,Data!EO:EO),0)</f>
        <v>0</v>
      </c>
      <c r="F83" s="22" t="str">
        <f t="shared" si="5"/>
        <v/>
      </c>
    </row>
    <row r="84" spans="1:6" x14ac:dyDescent="0.2">
      <c r="A84" s="20">
        <v>18</v>
      </c>
      <c r="B84" s="179" t="s">
        <v>16</v>
      </c>
      <c r="C84" s="180"/>
      <c r="D84" s="15">
        <f t="shared" si="4"/>
        <v>30496</v>
      </c>
      <c r="E84" s="18">
        <f>IF(F3="1",SUMIF(Data!A:A,'49'!$A$2,Data!EP:EP),0)</f>
        <v>129579</v>
      </c>
      <c r="F84" s="22">
        <f t="shared" si="5"/>
        <v>4.2490490556138507</v>
      </c>
    </row>
    <row r="85" spans="1:6" x14ac:dyDescent="0.2">
      <c r="A85" s="20">
        <v>19</v>
      </c>
      <c r="B85" s="179" t="s">
        <v>17</v>
      </c>
      <c r="C85" s="180"/>
      <c r="D85" s="15">
        <f t="shared" si="4"/>
        <v>149728</v>
      </c>
      <c r="E85" s="18">
        <f>IF(F3="1",SUMIF(Data!A:A,'49'!$A$2,Data!EQ:EQ),0)</f>
        <v>264689</v>
      </c>
      <c r="F85" s="22">
        <f t="shared" si="5"/>
        <v>1.7677989420816413</v>
      </c>
    </row>
    <row r="86" spans="1:6" x14ac:dyDescent="0.2">
      <c r="A86" s="20">
        <v>20</v>
      </c>
      <c r="B86" s="179" t="s">
        <v>18</v>
      </c>
      <c r="C86" s="180"/>
      <c r="D86" s="15">
        <f t="shared" si="4"/>
        <v>0</v>
      </c>
      <c r="E86" s="18">
        <f>IF(F3="1",SUMIF(Data!A:A,'49'!$A$2,Data!ER:ER),0)</f>
        <v>0</v>
      </c>
      <c r="F86" s="22" t="str">
        <f t="shared" si="5"/>
        <v/>
      </c>
    </row>
    <row r="87" spans="1:6" ht="14.25" customHeight="1" x14ac:dyDescent="0.2">
      <c r="A87" s="20">
        <v>21</v>
      </c>
      <c r="B87" s="179" t="s">
        <v>801</v>
      </c>
      <c r="C87" s="180"/>
      <c r="D87" s="15">
        <f t="shared" si="4"/>
        <v>2240</v>
      </c>
      <c r="E87" s="18">
        <f>IF(F3="1",SUMIF(Data!A:A,'49'!$A$2,Data!ES:ES),0)</f>
        <v>921</v>
      </c>
      <c r="F87" s="22">
        <f t="shared" si="5"/>
        <v>0.41116071428571427</v>
      </c>
    </row>
    <row r="88" spans="1:6" x14ac:dyDescent="0.2">
      <c r="A88" s="20">
        <v>22</v>
      </c>
      <c r="B88" s="179" t="s">
        <v>19</v>
      </c>
      <c r="C88" s="180"/>
      <c r="D88" s="15">
        <f t="shared" si="4"/>
        <v>16240</v>
      </c>
      <c r="E88" s="18">
        <f>IF(F3="1",SUMIF(Data!A:A,'49'!$A$2,Data!ET:ET),0)</f>
        <v>36350</v>
      </c>
      <c r="F88" s="22">
        <f t="shared" si="5"/>
        <v>2.2383004926108376</v>
      </c>
    </row>
    <row r="89" spans="1:6" x14ac:dyDescent="0.2">
      <c r="A89" s="20">
        <v>23</v>
      </c>
      <c r="B89" s="179" t="s">
        <v>20</v>
      </c>
      <c r="C89" s="180"/>
      <c r="D89" s="15">
        <f t="shared" si="4"/>
        <v>39312</v>
      </c>
      <c r="E89" s="18">
        <f>IF(F3="1",SUMIF(Data!A:A,'49'!$A$2,Data!EU:EU),0)</f>
        <v>218354</v>
      </c>
      <c r="F89" s="22">
        <f t="shared" si="5"/>
        <v>5.5543854293854293</v>
      </c>
    </row>
    <row r="90" spans="1:6" x14ac:dyDescent="0.2">
      <c r="A90" s="20">
        <v>24</v>
      </c>
      <c r="B90" s="179" t="s">
        <v>21</v>
      </c>
      <c r="C90" s="180"/>
      <c r="D90" s="15">
        <f t="shared" si="4"/>
        <v>93846</v>
      </c>
      <c r="E90" s="18">
        <f>IF(F3="1",SUMIF(Data!A:A,'49'!$A$2,Data!EV:EV),0)</f>
        <v>53278</v>
      </c>
      <c r="F90" s="22">
        <f t="shared" si="5"/>
        <v>0.5677173241267609</v>
      </c>
    </row>
    <row r="91" spans="1:6" x14ac:dyDescent="0.2">
      <c r="A91" s="20">
        <v>25</v>
      </c>
      <c r="B91" s="179" t="s">
        <v>22</v>
      </c>
      <c r="C91" s="180"/>
      <c r="D91" s="15">
        <f t="shared" si="4"/>
        <v>172656</v>
      </c>
      <c r="E91" s="18">
        <f>IF(F3="1",SUMIF(Data!A:A,'49'!$A$2,Data!EW:EW),0)</f>
        <v>444817</v>
      </c>
      <c r="F91" s="22">
        <f t="shared" si="5"/>
        <v>2.5763193865258085</v>
      </c>
    </row>
    <row r="92" spans="1:6" x14ac:dyDescent="0.2">
      <c r="A92" s="20">
        <v>26</v>
      </c>
      <c r="B92" s="179" t="s">
        <v>23</v>
      </c>
      <c r="C92" s="180"/>
      <c r="D92" s="15">
        <f t="shared" si="4"/>
        <v>34728</v>
      </c>
      <c r="E92" s="18">
        <f>IF(F3="1",SUMIF(Data!A:A,'49'!$A$2,Data!EX:EX),0)</f>
        <v>146606</v>
      </c>
      <c r="F92" s="22">
        <f t="shared" si="5"/>
        <v>4.2215503340244185</v>
      </c>
    </row>
    <row r="93" spans="1:6" x14ac:dyDescent="0.2">
      <c r="A93" s="20">
        <v>28</v>
      </c>
      <c r="B93" s="179" t="s">
        <v>24</v>
      </c>
      <c r="C93" s="180"/>
      <c r="D93" s="15">
        <f t="shared" si="4"/>
        <v>30832</v>
      </c>
      <c r="E93" s="18">
        <f>IF(F3="1",SUMIF(Data!A:A,'49'!$A$2,Data!EZ:EZ),0)</f>
        <v>90843</v>
      </c>
      <c r="F93" s="22">
        <f t="shared" si="5"/>
        <v>2.9463868707836016</v>
      </c>
    </row>
    <row r="94" spans="1:6" ht="15.75" customHeight="1" thickBot="1" x14ac:dyDescent="0.25">
      <c r="A94" s="23">
        <v>29</v>
      </c>
      <c r="B94" s="181" t="s">
        <v>25</v>
      </c>
      <c r="C94" s="182"/>
      <c r="D94" s="24">
        <f t="shared" si="4"/>
        <v>21984</v>
      </c>
      <c r="E94" s="25">
        <f>IF(F3="1",SUMIF(Data!A:A,'49'!$A$2,Data!FA:FA),0)</f>
        <v>47240</v>
      </c>
      <c r="F94" s="26">
        <f t="shared" si="5"/>
        <v>2.1488355167394468</v>
      </c>
    </row>
    <row r="95" spans="1:6" x14ac:dyDescent="0.2">
      <c r="B95" s="31" t="s">
        <v>35</v>
      </c>
      <c r="C95" s="31"/>
      <c r="D95" s="61">
        <f>SUM(D67:D94)</f>
        <v>1205821</v>
      </c>
      <c r="E95" s="32">
        <f>SUM(E67:E94)</f>
        <v>2722193</v>
      </c>
      <c r="F95" s="33">
        <f t="shared" si="5"/>
        <v>2.2575432008565119</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IF(F3="1",SUMIF(Data!A:A,'49'!$A$2,Data!AH:AH),0)</f>
        <v>2247366</v>
      </c>
      <c r="F98" s="21">
        <f t="shared" ref="F98:F105" si="6">IFERROR(E98/$D$95,0)</f>
        <v>1.8637641905390601</v>
      </c>
    </row>
    <row r="99" spans="2:6" x14ac:dyDescent="0.2">
      <c r="B99" s="185" t="s">
        <v>31</v>
      </c>
      <c r="C99" s="186"/>
      <c r="D99" s="37"/>
      <c r="E99" s="18">
        <f>IF(F3="1",SUMIF(Data!A:A,'49'!$A$2,Data!AI:AI),0)</f>
        <v>526446</v>
      </c>
      <c r="F99" s="22">
        <f t="shared" si="6"/>
        <v>0.43658718831402005</v>
      </c>
    </row>
    <row r="100" spans="2:6" x14ac:dyDescent="0.2">
      <c r="B100" s="185" t="s">
        <v>32</v>
      </c>
      <c r="C100" s="186"/>
      <c r="D100" s="37"/>
      <c r="E100" s="18">
        <f>IF(F3="1",SUMIF(Data!A:A,'49'!$A$2,Data!AJ:AJ),0)</f>
        <v>595342</v>
      </c>
      <c r="F100" s="22">
        <f t="shared" si="6"/>
        <v>0.49372336358381552</v>
      </c>
    </row>
    <row r="101" spans="2:6" x14ac:dyDescent="0.2">
      <c r="B101" s="185" t="s">
        <v>28</v>
      </c>
      <c r="C101" s="186"/>
      <c r="D101" s="37"/>
      <c r="E101" s="18">
        <f>IF(F3="1",SUMIF(Data!A:A,'49'!$A$2,Data!AK:AK),0)</f>
        <v>0</v>
      </c>
      <c r="F101" s="22">
        <f t="shared" si="6"/>
        <v>0</v>
      </c>
    </row>
    <row r="102" spans="2:6" x14ac:dyDescent="0.2">
      <c r="B102" s="185" t="s">
        <v>33</v>
      </c>
      <c r="C102" s="186"/>
      <c r="D102" s="37"/>
      <c r="E102" s="18">
        <f>IF(F3="1",SUMIF(Data!A:A,'49'!$A$2,Data!AL:AL),0)</f>
        <v>369101</v>
      </c>
      <c r="F102" s="22">
        <f t="shared" si="6"/>
        <v>0.30609932983419597</v>
      </c>
    </row>
    <row r="103" spans="2:6" x14ac:dyDescent="0.2">
      <c r="B103" s="187" t="s">
        <v>34</v>
      </c>
      <c r="C103" s="188"/>
      <c r="D103" s="37"/>
      <c r="E103" s="18">
        <f>IF(F3="1",SUMIF(Data!A:A,'49'!$A$2,Data!AM:AM),0)</f>
        <v>25634</v>
      </c>
      <c r="F103" s="22">
        <f t="shared" si="6"/>
        <v>2.1258545007924061E-2</v>
      </c>
    </row>
    <row r="104" spans="2:6" ht="15.75" customHeight="1" thickBot="1" x14ac:dyDescent="0.25">
      <c r="B104" s="177" t="s">
        <v>29</v>
      </c>
      <c r="C104" s="178"/>
      <c r="D104" s="38"/>
      <c r="E104" s="25">
        <f>IF(F3="1",SUMIF(Data!A:A,'49'!$A$2,Data!Q:Q),0)</f>
        <v>421061</v>
      </c>
      <c r="F104" s="26">
        <f t="shared" si="6"/>
        <v>0.34919030270662066</v>
      </c>
    </row>
    <row r="105" spans="2:6" x14ac:dyDescent="0.2">
      <c r="B105" s="31" t="s">
        <v>35</v>
      </c>
      <c r="C105" s="31"/>
      <c r="D105" s="35">
        <f>D95</f>
        <v>1205821</v>
      </c>
      <c r="E105" s="32">
        <f>SUM(E98:E104)</f>
        <v>4184950</v>
      </c>
      <c r="F105" s="33">
        <f t="shared" si="6"/>
        <v>3.4706229199856362</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2879078</v>
      </c>
      <c r="D109" s="16">
        <f>IF(F3="1",SUMIF(Data!$A:$A,$A$2,Data!HJ:HJ),0)</f>
        <v>86164</v>
      </c>
      <c r="E109" s="16">
        <f>IF(F3="1",SUMIF(Data!$A:$A,$A$2,Data!IN:IN),0)</f>
        <v>99319</v>
      </c>
      <c r="F109" s="48">
        <f>SUM(C109:E109)</f>
        <v>3064561</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8904</v>
      </c>
      <c r="D111" s="52"/>
      <c r="E111" s="51">
        <f>IF(F3="1",SUMIF(Data!A:A,$A$2,Data!AX:AX),0)</f>
        <v>44714</v>
      </c>
      <c r="F111" s="49">
        <f t="shared" si="7"/>
        <v>53618</v>
      </c>
    </row>
    <row r="112" spans="2:6" x14ac:dyDescent="0.2">
      <c r="B112" s="43" t="s">
        <v>32</v>
      </c>
      <c r="C112" s="51">
        <f>IF(F3="1",SUMIF(Data!A:A,$A$2,Data!V:V),0)</f>
        <v>446055</v>
      </c>
      <c r="D112" s="52"/>
      <c r="E112" s="51">
        <f>IF(F3="1",SUMIF(Data!A:A,$A$2,Data!AC:AC),0)</f>
        <v>149287</v>
      </c>
      <c r="F112" s="49">
        <f t="shared" si="7"/>
        <v>595342</v>
      </c>
    </row>
    <row r="113" spans="1:6" x14ac:dyDescent="0.2">
      <c r="B113" s="43" t="s">
        <v>31</v>
      </c>
      <c r="C113" s="51">
        <f>IF(F3="1",SUMIF(Data!A:A,$A$2,Data!U:U),0)</f>
        <v>475366</v>
      </c>
      <c r="D113" s="52"/>
      <c r="E113" s="51">
        <f>IF(F3="1",SUMIF(Data!A:A,$A$2,Data!AB:AB),0)</f>
        <v>51080</v>
      </c>
      <c r="F113" s="49">
        <f t="shared" si="7"/>
        <v>526446</v>
      </c>
    </row>
    <row r="114" spans="1:6" x14ac:dyDescent="0.2">
      <c r="B114" s="43" t="s">
        <v>1363</v>
      </c>
      <c r="C114" s="51">
        <f>IF(F3="1",SUMIF(Data!A:A,$A$2,Data!T:T),0)</f>
        <v>1287882</v>
      </c>
      <c r="D114" s="52"/>
      <c r="E114" s="51">
        <f>IF(F3="1",SUMIF(Data!A:A,$A$2,Data!AA:AA),0)</f>
        <v>959484</v>
      </c>
      <c r="F114" s="49">
        <f t="shared" si="7"/>
        <v>2247366</v>
      </c>
    </row>
    <row r="115" spans="1:6" x14ac:dyDescent="0.2">
      <c r="B115" s="43" t="s">
        <v>1278</v>
      </c>
      <c r="C115" s="51">
        <f>IF(F3="1",SUMIF(Data!A:A,$A$2,Data!BI:BI),0)</f>
        <v>137657</v>
      </c>
      <c r="D115" s="51">
        <f>IF(F3="1",SUMIF(Data!A:A,$A$2,Data!BL:BL),0)</f>
        <v>33255</v>
      </c>
      <c r="E115" s="51">
        <f>IF(F3="1",SUMIF(Data!A:A,$A$2,Data!BU:BU),0)</f>
        <v>2651836</v>
      </c>
      <c r="F115" s="49">
        <f t="shared" si="7"/>
        <v>2822748</v>
      </c>
    </row>
    <row r="116" spans="1:6" x14ac:dyDescent="0.2">
      <c r="B116" s="43" t="s">
        <v>33</v>
      </c>
      <c r="C116" s="51">
        <f>IF(F3="1",SUMIF(Data!A:A,$A$2,Data!X:X),0)</f>
        <v>0</v>
      </c>
      <c r="D116" s="51"/>
      <c r="E116" s="51">
        <f>E102</f>
        <v>369101</v>
      </c>
      <c r="F116" s="49">
        <f t="shared" si="7"/>
        <v>369101</v>
      </c>
    </row>
    <row r="117" spans="1:6" ht="15" thickBot="1" x14ac:dyDescent="0.25">
      <c r="B117" s="44" t="s">
        <v>1282</v>
      </c>
      <c r="C117" s="53"/>
      <c r="D117" s="53">
        <f>IF(F3="1",SUMIF(Data!A:A,$A$2,Data!Q:Q),0)</f>
        <v>421061</v>
      </c>
      <c r="E117" s="53"/>
      <c r="F117" s="50">
        <f>SUM(C117:E117)</f>
        <v>421061</v>
      </c>
    </row>
    <row r="118" spans="1:6" x14ac:dyDescent="0.2">
      <c r="B118" s="14" t="s">
        <v>35</v>
      </c>
      <c r="C118" s="5">
        <f>SUM(C109:C116)</f>
        <v>5234942</v>
      </c>
      <c r="D118" s="5">
        <f>SUM(D109:D116)</f>
        <v>119419</v>
      </c>
      <c r="E118" s="5">
        <f>SUM(E109:E116)</f>
        <v>4324821</v>
      </c>
      <c r="F118" s="5">
        <f>SUM(F109:F116)</f>
        <v>9679182</v>
      </c>
    </row>
    <row r="119" spans="1:6" ht="15" thickBot="1" x14ac:dyDescent="0.25"/>
    <row r="120" spans="1:6" ht="15" thickBot="1" x14ac:dyDescent="0.25">
      <c r="B120" s="57" t="s">
        <v>1283</v>
      </c>
      <c r="C120" s="55"/>
      <c r="D120" s="55"/>
      <c r="E120" s="55">
        <f>IF(F3="1",SUMIF(Data!A:A,'49'!$A$2,Data!AM:AM),0)</f>
        <v>25634</v>
      </c>
      <c r="F120" s="56">
        <f>SUM(C120:E120)</f>
        <v>25634</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3.42578125" style="11" bestFit="1" customWidth="1"/>
    <col min="13" max="13" width="12.140625" style="11" bestFit="1" customWidth="1"/>
    <col min="14"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619</v>
      </c>
      <c r="B2" s="60" t="str">
        <f>VLOOKUP(A2,Data!A:G,7,0)</f>
        <v>Wharton County Junior College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6048</v>
      </c>
      <c r="E5" s="16">
        <f>E36+E67+IFERROR($E$105/$D$105*D5,0)</f>
        <v>52478.651308539673</v>
      </c>
      <c r="F5" s="21">
        <f>IFERROR(E5/D5,"")</f>
        <v>8.6770256793220355</v>
      </c>
    </row>
    <row r="6" spans="1:6" x14ac:dyDescent="0.2">
      <c r="A6" s="20">
        <v>2</v>
      </c>
      <c r="B6" s="179" t="s">
        <v>1</v>
      </c>
      <c r="C6" s="180"/>
      <c r="D6" s="15">
        <f t="shared" ref="D6:D32" si="0">D37</f>
        <v>65776</v>
      </c>
      <c r="E6" s="18">
        <f t="shared" ref="E6:E32" si="1">E37+E68+IFERROR($E$105/$D$105*D6,0)</f>
        <v>764695.30034234538</v>
      </c>
      <c r="F6" s="22">
        <f t="shared" ref="F6:F33" si="2">IFERROR(E6/D6,"")</f>
        <v>11.62574951870508</v>
      </c>
    </row>
    <row r="7" spans="1:6" ht="14.25" customHeight="1" x14ac:dyDescent="0.2">
      <c r="A7" s="20">
        <v>3</v>
      </c>
      <c r="B7" s="179" t="s">
        <v>2</v>
      </c>
      <c r="C7" s="180"/>
      <c r="D7" s="15">
        <f t="shared" si="0"/>
        <v>450136</v>
      </c>
      <c r="E7" s="18">
        <f t="shared" si="1"/>
        <v>3386520.6126687853</v>
      </c>
      <c r="F7" s="22">
        <f t="shared" si="2"/>
        <v>7.5233276446869066</v>
      </c>
    </row>
    <row r="8" spans="1:6" ht="14.25" customHeight="1" x14ac:dyDescent="0.2">
      <c r="A8" s="20">
        <v>4</v>
      </c>
      <c r="B8" s="179" t="s">
        <v>3</v>
      </c>
      <c r="C8" s="180"/>
      <c r="D8" s="15">
        <f t="shared" si="0"/>
        <v>141059</v>
      </c>
      <c r="E8" s="18">
        <f t="shared" si="1"/>
        <v>848057.46576244989</v>
      </c>
      <c r="F8" s="22">
        <f t="shared" si="2"/>
        <v>6.0120762642755858</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444</v>
      </c>
      <c r="E10" s="18">
        <f t="shared" si="1"/>
        <v>3030.1271793967617</v>
      </c>
      <c r="F10" s="22">
        <f t="shared" si="2"/>
        <v>6.8246107644071206</v>
      </c>
    </row>
    <row r="11" spans="1:6" x14ac:dyDescent="0.2">
      <c r="A11" s="20">
        <v>7</v>
      </c>
      <c r="B11" s="179" t="s">
        <v>6</v>
      </c>
      <c r="C11" s="180"/>
      <c r="D11" s="15">
        <f t="shared" si="0"/>
        <v>92780</v>
      </c>
      <c r="E11" s="18">
        <f t="shared" si="1"/>
        <v>1055666.711046017</v>
      </c>
      <c r="F11" s="22">
        <f t="shared" si="2"/>
        <v>11.378171061069379</v>
      </c>
    </row>
    <row r="12" spans="1:6" x14ac:dyDescent="0.2">
      <c r="A12" s="20">
        <v>8</v>
      </c>
      <c r="B12" s="179" t="s">
        <v>7</v>
      </c>
      <c r="C12" s="180"/>
      <c r="D12" s="15">
        <f t="shared" si="0"/>
        <v>13664</v>
      </c>
      <c r="E12" s="18">
        <f t="shared" si="1"/>
        <v>76513.508511885913</v>
      </c>
      <c r="F12" s="22">
        <f t="shared" si="2"/>
        <v>5.5996420163850935</v>
      </c>
    </row>
    <row r="13" spans="1:6" x14ac:dyDescent="0.2">
      <c r="A13" s="20">
        <v>9</v>
      </c>
      <c r="B13" s="179" t="s">
        <v>8</v>
      </c>
      <c r="C13" s="180"/>
      <c r="D13" s="15">
        <f t="shared" si="0"/>
        <v>131202</v>
      </c>
      <c r="E13" s="18">
        <f t="shared" si="1"/>
        <v>1025900.0815117429</v>
      </c>
      <c r="F13" s="22">
        <f t="shared" si="2"/>
        <v>7.8192411816263689</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89960</v>
      </c>
      <c r="E15" s="18">
        <f t="shared" si="1"/>
        <v>656389.47085255105</v>
      </c>
      <c r="F15" s="22">
        <f t="shared" si="2"/>
        <v>7.296459213567708</v>
      </c>
    </row>
    <row r="16" spans="1:6" ht="14.25" customHeight="1" x14ac:dyDescent="0.2">
      <c r="A16" s="20">
        <v>12</v>
      </c>
      <c r="B16" s="179" t="s">
        <v>11</v>
      </c>
      <c r="C16" s="180"/>
      <c r="D16" s="15">
        <f t="shared" si="0"/>
        <v>429096</v>
      </c>
      <c r="E16" s="18">
        <f t="shared" si="1"/>
        <v>3158791.2886721455</v>
      </c>
      <c r="F16" s="22">
        <f t="shared" si="2"/>
        <v>7.3615025278076365</v>
      </c>
    </row>
    <row r="17" spans="1:6" x14ac:dyDescent="0.2">
      <c r="A17" s="20">
        <v>13</v>
      </c>
      <c r="B17" s="179" t="s">
        <v>12</v>
      </c>
      <c r="C17" s="180"/>
      <c r="D17" s="15">
        <f t="shared" si="0"/>
        <v>18056</v>
      </c>
      <c r="E17" s="18">
        <f t="shared" si="1"/>
        <v>156264.17196213495</v>
      </c>
      <c r="F17" s="22">
        <f t="shared" si="2"/>
        <v>8.6544180306897953</v>
      </c>
    </row>
    <row r="18" spans="1:6" ht="14.25" customHeight="1" x14ac:dyDescent="0.2">
      <c r="A18" s="20">
        <v>14</v>
      </c>
      <c r="B18" s="179" t="s">
        <v>804</v>
      </c>
      <c r="C18" s="180"/>
      <c r="D18" s="15">
        <f t="shared" si="0"/>
        <v>72408</v>
      </c>
      <c r="E18" s="18">
        <f t="shared" si="1"/>
        <v>1280996.6864994611</v>
      </c>
      <c r="F18" s="22">
        <f t="shared" si="2"/>
        <v>17.691369551699552</v>
      </c>
    </row>
    <row r="19" spans="1:6" x14ac:dyDescent="0.2">
      <c r="A19" s="20">
        <v>15</v>
      </c>
      <c r="B19" s="179" t="s">
        <v>13</v>
      </c>
      <c r="C19" s="180"/>
      <c r="D19" s="15">
        <f t="shared" si="0"/>
        <v>32544</v>
      </c>
      <c r="E19" s="18">
        <f t="shared" si="1"/>
        <v>596918.45704118966</v>
      </c>
      <c r="F19" s="22">
        <f t="shared" si="2"/>
        <v>18.341889658345305</v>
      </c>
    </row>
    <row r="20" spans="1:6" x14ac:dyDescent="0.2">
      <c r="A20" s="20">
        <v>16</v>
      </c>
      <c r="B20" s="179" t="s">
        <v>14</v>
      </c>
      <c r="C20" s="180"/>
      <c r="D20" s="15">
        <f t="shared" si="0"/>
        <v>166645</v>
      </c>
      <c r="E20" s="18">
        <f t="shared" si="1"/>
        <v>1504916.3216454354</v>
      </c>
      <c r="F20" s="22">
        <f t="shared" si="2"/>
        <v>9.0306719172218521</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55328</v>
      </c>
      <c r="E22" s="18">
        <f t="shared" si="1"/>
        <v>522445.55085960362</v>
      </c>
      <c r="F22" s="22">
        <f t="shared" si="2"/>
        <v>9.4426972032172429</v>
      </c>
    </row>
    <row r="23" spans="1:6" x14ac:dyDescent="0.2">
      <c r="A23" s="20">
        <v>19</v>
      </c>
      <c r="B23" s="179" t="s">
        <v>17</v>
      </c>
      <c r="C23" s="180"/>
      <c r="D23" s="15">
        <f t="shared" si="0"/>
        <v>207344</v>
      </c>
      <c r="E23" s="18">
        <f t="shared" si="1"/>
        <v>1594431.175416311</v>
      </c>
      <c r="F23" s="22">
        <f t="shared" si="2"/>
        <v>7.6897869020386942</v>
      </c>
    </row>
    <row r="24" spans="1:6" x14ac:dyDescent="0.2">
      <c r="A24" s="20">
        <v>20</v>
      </c>
      <c r="B24" s="179" t="s">
        <v>18</v>
      </c>
      <c r="C24" s="180"/>
      <c r="D24" s="15">
        <f t="shared" si="0"/>
        <v>26168</v>
      </c>
      <c r="E24" s="18">
        <f t="shared" si="1"/>
        <v>221123.9820505731</v>
      </c>
      <c r="F24" s="22">
        <f t="shared" si="2"/>
        <v>8.4501674583679733</v>
      </c>
    </row>
    <row r="25" spans="1:6" ht="14.25" customHeight="1" x14ac:dyDescent="0.2">
      <c r="A25" s="20">
        <v>21</v>
      </c>
      <c r="B25" s="179" t="s">
        <v>801</v>
      </c>
      <c r="C25" s="180"/>
      <c r="D25" s="15">
        <f t="shared" si="0"/>
        <v>2040</v>
      </c>
      <c r="E25" s="18">
        <f t="shared" si="1"/>
        <v>17129.854608039175</v>
      </c>
      <c r="F25" s="22">
        <f t="shared" si="2"/>
        <v>8.3969875529603808</v>
      </c>
    </row>
    <row r="26" spans="1:6" x14ac:dyDescent="0.2">
      <c r="A26" s="20">
        <v>22</v>
      </c>
      <c r="B26" s="179" t="s">
        <v>19</v>
      </c>
      <c r="C26" s="180"/>
      <c r="D26" s="15">
        <f t="shared" si="0"/>
        <v>4832</v>
      </c>
      <c r="E26" s="18">
        <f t="shared" si="1"/>
        <v>40849.573267669257</v>
      </c>
      <c r="F26" s="22">
        <f t="shared" si="2"/>
        <v>8.4539679775805574</v>
      </c>
    </row>
    <row r="27" spans="1:6" x14ac:dyDescent="0.2">
      <c r="A27" s="20">
        <v>23</v>
      </c>
      <c r="B27" s="179" t="s">
        <v>20</v>
      </c>
      <c r="C27" s="180"/>
      <c r="D27" s="15">
        <f t="shared" si="0"/>
        <v>49608</v>
      </c>
      <c r="E27" s="18">
        <f t="shared" si="1"/>
        <v>432722.72323314089</v>
      </c>
      <c r="F27" s="22">
        <f t="shared" si="2"/>
        <v>8.72284154235488</v>
      </c>
    </row>
    <row r="28" spans="1:6" x14ac:dyDescent="0.2">
      <c r="A28" s="20">
        <v>24</v>
      </c>
      <c r="B28" s="179" t="s">
        <v>21</v>
      </c>
      <c r="C28" s="180"/>
      <c r="D28" s="15">
        <f t="shared" si="0"/>
        <v>102274</v>
      </c>
      <c r="E28" s="18">
        <f t="shared" si="1"/>
        <v>1047581.1196973522</v>
      </c>
      <c r="F28" s="22">
        <f t="shared" si="2"/>
        <v>10.242887925546592</v>
      </c>
    </row>
    <row r="29" spans="1:6" x14ac:dyDescent="0.2">
      <c r="A29" s="20">
        <v>25</v>
      </c>
      <c r="B29" s="179" t="s">
        <v>22</v>
      </c>
      <c r="C29" s="180"/>
      <c r="D29" s="15">
        <f t="shared" si="0"/>
        <v>605328</v>
      </c>
      <c r="E29" s="18">
        <f t="shared" si="1"/>
        <v>4190658.8226348711</v>
      </c>
      <c r="F29" s="22">
        <f t="shared" si="2"/>
        <v>6.9229555259873505</v>
      </c>
    </row>
    <row r="30" spans="1:6" x14ac:dyDescent="0.2">
      <c r="A30" s="20">
        <v>26</v>
      </c>
      <c r="B30" s="179" t="s">
        <v>23</v>
      </c>
      <c r="C30" s="180"/>
      <c r="D30" s="15">
        <f t="shared" si="0"/>
        <v>105672</v>
      </c>
      <c r="E30" s="18">
        <f t="shared" si="1"/>
        <v>935716.26869642921</v>
      </c>
      <c r="F30" s="22">
        <f t="shared" si="2"/>
        <v>8.854912074120195</v>
      </c>
    </row>
    <row r="31" spans="1:6" x14ac:dyDescent="0.2">
      <c r="A31" s="20">
        <v>28</v>
      </c>
      <c r="B31" s="179" t="s">
        <v>24</v>
      </c>
      <c r="C31" s="180"/>
      <c r="D31" s="15">
        <f t="shared" si="0"/>
        <v>54864</v>
      </c>
      <c r="E31" s="18">
        <f t="shared" si="1"/>
        <v>352297.3368703241</v>
      </c>
      <c r="F31" s="22">
        <f t="shared" si="2"/>
        <v>6.4212842095057612</v>
      </c>
    </row>
    <row r="32" spans="1:6" ht="15.75" customHeight="1" thickBot="1" x14ac:dyDescent="0.25">
      <c r="A32" s="23">
        <v>29</v>
      </c>
      <c r="B32" s="181" t="s">
        <v>25</v>
      </c>
      <c r="C32" s="182"/>
      <c r="D32" s="24">
        <f t="shared" si="0"/>
        <v>71360</v>
      </c>
      <c r="E32" s="25">
        <f t="shared" si="1"/>
        <v>526778.73766160558</v>
      </c>
      <c r="F32" s="26">
        <f t="shared" si="2"/>
        <v>7.3819890367377461</v>
      </c>
    </row>
    <row r="33" spans="1:6" x14ac:dyDescent="0.2">
      <c r="B33" s="31" t="s">
        <v>35</v>
      </c>
      <c r="C33" s="31"/>
      <c r="D33" s="61">
        <f>SUM(D5:D32)</f>
        <v>2994636</v>
      </c>
      <c r="E33" s="32">
        <f>SUM(E5:E32)</f>
        <v>24448874</v>
      </c>
      <c r="F33" s="33">
        <f t="shared" si="2"/>
        <v>8.1642222961321504</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IF(F3="1",SUMIF(Data!A:A,'50'!$A$2,Data!CU:CU),0)</f>
        <v>6048</v>
      </c>
      <c r="E36" s="16">
        <f>IF(F3="1",SUMIF(Data!$A:$A,'50'!$A$2,Data!IO:IO),0)</f>
        <v>5537</v>
      </c>
      <c r="F36" s="21">
        <f t="shared" ref="F36:F64" si="3">IFERROR(E36/D36,"")</f>
        <v>0.9155092592592593</v>
      </c>
    </row>
    <row r="37" spans="1:6" x14ac:dyDescent="0.2">
      <c r="A37" s="20">
        <v>2</v>
      </c>
      <c r="B37" s="179" t="s">
        <v>1</v>
      </c>
      <c r="C37" s="180"/>
      <c r="D37" s="15">
        <f>IF(F3="1",SUMIF(Data!A:A,'50'!$A$2,Data!CV:CV),0)</f>
        <v>65776</v>
      </c>
      <c r="E37" s="18">
        <f>IF(F3="1",SUMIF(Data!$A:$A,'50'!$A$2,Data!IP:IP),0)</f>
        <v>173286</v>
      </c>
      <c r="F37" s="22">
        <f t="shared" si="3"/>
        <v>2.6344867428849428</v>
      </c>
    </row>
    <row r="38" spans="1:6" ht="14.25" customHeight="1" x14ac:dyDescent="0.2">
      <c r="A38" s="20">
        <v>3</v>
      </c>
      <c r="B38" s="179" t="s">
        <v>2</v>
      </c>
      <c r="C38" s="180"/>
      <c r="D38" s="15">
        <f>IF(F3="1",SUMIF(Data!A:A,'50'!$A$2,Data!CW:CW),0)</f>
        <v>450136</v>
      </c>
      <c r="E38" s="18">
        <f>IF(F3="1",SUMIF(Data!$A:$A,'50'!$A$2,Data!IQ:IQ),0)</f>
        <v>272432</v>
      </c>
      <c r="F38" s="22">
        <f t="shared" si="3"/>
        <v>0.60522153304779003</v>
      </c>
    </row>
    <row r="39" spans="1:6" ht="14.25" customHeight="1" x14ac:dyDescent="0.2">
      <c r="A39" s="20">
        <v>4</v>
      </c>
      <c r="B39" s="179" t="s">
        <v>3</v>
      </c>
      <c r="C39" s="180"/>
      <c r="D39" s="15">
        <f>IF(F3="1",SUMIF(Data!A:A,'50'!$A$2,Data!CX:CX),0)</f>
        <v>141059</v>
      </c>
      <c r="E39" s="18">
        <f>IF(F3="1",SUMIF(Data!$A:$A,'50'!$A$2,Data!IR:IR),0)</f>
        <v>69153</v>
      </c>
      <c r="F39" s="22">
        <f t="shared" si="3"/>
        <v>0.49024167192451384</v>
      </c>
    </row>
    <row r="40" spans="1:6" x14ac:dyDescent="0.2">
      <c r="A40" s="20">
        <v>5</v>
      </c>
      <c r="B40" s="179" t="s">
        <v>4</v>
      </c>
      <c r="C40" s="180"/>
      <c r="D40" s="15">
        <f>IF(F3="1",SUMIF(Data!A:A,'50'!$A$2,Data!CY:CY),0)</f>
        <v>0</v>
      </c>
      <c r="E40" s="18">
        <f>IF(F3="1",SUMIF(Data!$A:$A,'50'!$A$2,Data!IS:IS),0)</f>
        <v>0</v>
      </c>
      <c r="F40" s="22" t="str">
        <f t="shared" si="3"/>
        <v/>
      </c>
    </row>
    <row r="41" spans="1:6" x14ac:dyDescent="0.2">
      <c r="A41" s="20">
        <v>6</v>
      </c>
      <c r="B41" s="179" t="s">
        <v>5</v>
      </c>
      <c r="C41" s="180"/>
      <c r="D41" s="15">
        <f>IF(F3="1",SUMIF(Data!A:A,'50'!$A$2,Data!CZ:CZ),0)</f>
        <v>444</v>
      </c>
      <c r="E41" s="18">
        <f>IF(F3="1",SUMIF(Data!$A:$A,'50'!$A$2,Data!IT:IT),0)</f>
        <v>1341</v>
      </c>
      <c r="F41" s="22">
        <f t="shared" si="3"/>
        <v>3.0202702702702702</v>
      </c>
    </row>
    <row r="42" spans="1:6" x14ac:dyDescent="0.2">
      <c r="A42" s="20">
        <v>7</v>
      </c>
      <c r="B42" s="179" t="s">
        <v>6</v>
      </c>
      <c r="C42" s="180"/>
      <c r="D42" s="15">
        <f>IF(F3="1",SUMIF(Data!A:A,'50'!$A$2,Data!DA:DA),0)</f>
        <v>92780</v>
      </c>
      <c r="E42" s="18">
        <f>IF(F3="1",SUMIF(Data!$A:$A,'50'!$A$2,Data!IU:IU),0)</f>
        <v>196350</v>
      </c>
      <c r="F42" s="22">
        <f t="shared" si="3"/>
        <v>2.1162966156499246</v>
      </c>
    </row>
    <row r="43" spans="1:6" x14ac:dyDescent="0.2">
      <c r="A43" s="20">
        <v>8</v>
      </c>
      <c r="B43" s="179" t="s">
        <v>7</v>
      </c>
      <c r="C43" s="180"/>
      <c r="D43" s="15">
        <f>IF(F3="1",SUMIF(Data!A:A,'50'!$A$2,Data!DB:DB),0)</f>
        <v>13664</v>
      </c>
      <c r="E43" s="18">
        <f>IF(F3="1",SUMIF(Data!$A:$A,'50'!$A$2,Data!IV:IV),0)</f>
        <v>8004</v>
      </c>
      <c r="F43" s="22">
        <f t="shared" si="3"/>
        <v>0.58577283372365341</v>
      </c>
    </row>
    <row r="44" spans="1:6" x14ac:dyDescent="0.2">
      <c r="A44" s="20">
        <v>9</v>
      </c>
      <c r="B44" s="179" t="s">
        <v>8</v>
      </c>
      <c r="C44" s="180"/>
      <c r="D44" s="15">
        <f>IF(F3="1",SUMIF(Data!A:A,'50'!$A$2,Data!DC:DC),0)</f>
        <v>131202</v>
      </c>
      <c r="E44" s="18">
        <f>IF(F3="1",SUMIF(Data!$A:$A,'50'!$A$2,Data!IW:IW),0)</f>
        <v>100039</v>
      </c>
      <c r="F44" s="22">
        <f t="shared" si="3"/>
        <v>0.76248075486654165</v>
      </c>
    </row>
    <row r="45" spans="1:6" x14ac:dyDescent="0.2">
      <c r="A45" s="20">
        <v>10</v>
      </c>
      <c r="B45" s="179" t="s">
        <v>9</v>
      </c>
      <c r="C45" s="180"/>
      <c r="D45" s="15">
        <f>IF(F3="1",SUMIF(Data!A:A,'50'!$A$2,Data!DD:DD),0)</f>
        <v>0</v>
      </c>
      <c r="E45" s="18">
        <f>IF(F3="1",SUMIF(Data!$A:$A,'50'!$A$2,Data!IX:IX),0)</f>
        <v>0</v>
      </c>
      <c r="F45" s="22" t="str">
        <f t="shared" si="3"/>
        <v/>
      </c>
    </row>
    <row r="46" spans="1:6" x14ac:dyDescent="0.2">
      <c r="A46" s="20">
        <v>11</v>
      </c>
      <c r="B46" s="179" t="s">
        <v>10</v>
      </c>
      <c r="C46" s="180"/>
      <c r="D46" s="15">
        <f>IF(F3="1",SUMIF(Data!A:A,'50'!$A$2,Data!DE:DE),0)</f>
        <v>89960</v>
      </c>
      <c r="E46" s="18">
        <f>IF(F3="1",SUMIF(Data!$A:$A,'50'!$A$2,Data!IY:IY),0)</f>
        <v>81943</v>
      </c>
      <c r="F46" s="22">
        <f t="shared" si="3"/>
        <v>0.91088261449533126</v>
      </c>
    </row>
    <row r="47" spans="1:6" ht="14.25" customHeight="1" x14ac:dyDescent="0.2">
      <c r="A47" s="20">
        <v>12</v>
      </c>
      <c r="B47" s="179" t="s">
        <v>11</v>
      </c>
      <c r="C47" s="180"/>
      <c r="D47" s="15">
        <f>IF(F3="1",SUMIF(Data!A:A,'50'!$A$2,Data!DF:DF),0)</f>
        <v>429096</v>
      </c>
      <c r="E47" s="18">
        <f>IF(F3="1",SUMIF(Data!$A:$A,'50'!$A$2,Data!IZ:IZ),0)</f>
        <v>202844</v>
      </c>
      <c r="F47" s="22">
        <f t="shared" si="3"/>
        <v>0.47272405242649662</v>
      </c>
    </row>
    <row r="48" spans="1:6" x14ac:dyDescent="0.2">
      <c r="A48" s="20">
        <v>13</v>
      </c>
      <c r="B48" s="179" t="s">
        <v>12</v>
      </c>
      <c r="C48" s="180"/>
      <c r="D48" s="15">
        <f>IF(F3="1",SUMIF(Data!A:A,'50'!$A$2,Data!DG:DG),0)</f>
        <v>18056</v>
      </c>
      <c r="E48" s="18">
        <f>IF(F3="1",SUMIF(Data!$A:$A,'50'!$A$2,Data!JA:JA),0)</f>
        <v>11795</v>
      </c>
      <c r="F48" s="22">
        <f t="shared" si="3"/>
        <v>0.65324545857332739</v>
      </c>
    </row>
    <row r="49" spans="1:6" ht="14.25" customHeight="1" x14ac:dyDescent="0.2">
      <c r="A49" s="20">
        <v>14</v>
      </c>
      <c r="B49" s="179" t="s">
        <v>804</v>
      </c>
      <c r="C49" s="180"/>
      <c r="D49" s="15">
        <f>IF(F3="1",SUMIF(Data!A:A,'50'!$A$2,Data!DH:DH),0)</f>
        <v>72408</v>
      </c>
      <c r="E49" s="18">
        <f>IF(F3="1",SUMIF(Data!$A:$A,'50'!$A$2,Data!JB:JB),0)</f>
        <v>247624</v>
      </c>
      <c r="F49" s="22">
        <f t="shared" si="3"/>
        <v>3.4198431112584244</v>
      </c>
    </row>
    <row r="50" spans="1:6" x14ac:dyDescent="0.2">
      <c r="A50" s="20">
        <v>15</v>
      </c>
      <c r="B50" s="179" t="s">
        <v>13</v>
      </c>
      <c r="C50" s="180"/>
      <c r="D50" s="15">
        <f>IF(F3="1",SUMIF(Data!A:A,'50'!$A$2,Data!DI:DI),0)</f>
        <v>32544</v>
      </c>
      <c r="E50" s="18">
        <f>IF(F3="1",SUMIF(Data!$A:$A,'50'!$A$2,Data!JC:JC),0)</f>
        <v>96242</v>
      </c>
      <c r="F50" s="22">
        <f t="shared" si="3"/>
        <v>2.957288593903638</v>
      </c>
    </row>
    <row r="51" spans="1:6" x14ac:dyDescent="0.2">
      <c r="A51" s="20">
        <v>16</v>
      </c>
      <c r="B51" s="179" t="s">
        <v>14</v>
      </c>
      <c r="C51" s="180"/>
      <c r="D51" s="15">
        <f>IF(F3="1",SUMIF(Data!A:A,'50'!$A$2,Data!DJ:DJ),0)</f>
        <v>166645</v>
      </c>
      <c r="E51" s="18">
        <f>IF(F3="1",SUMIF(Data!$A:$A,'50'!$A$2,Data!JD:JD),0)</f>
        <v>233991</v>
      </c>
      <c r="F51" s="22">
        <f t="shared" si="3"/>
        <v>1.4041285367097722</v>
      </c>
    </row>
    <row r="52" spans="1:6" x14ac:dyDescent="0.2">
      <c r="A52" s="20">
        <v>17</v>
      </c>
      <c r="B52" s="179" t="s">
        <v>15</v>
      </c>
      <c r="C52" s="180"/>
      <c r="D52" s="15">
        <f>IF(F3="1",SUMIF(Data!A:A,'50'!$A$2,Data!DK:DK),0)</f>
        <v>0</v>
      </c>
      <c r="E52" s="18">
        <f>IF(F3="1",SUMIF(Data!$A:$A,'50'!$A$2,Data!JE:JE),0)</f>
        <v>0</v>
      </c>
      <c r="F52" s="22" t="str">
        <f t="shared" si="3"/>
        <v/>
      </c>
    </row>
    <row r="53" spans="1:6" x14ac:dyDescent="0.2">
      <c r="A53" s="20">
        <v>18</v>
      </c>
      <c r="B53" s="179" t="s">
        <v>16</v>
      </c>
      <c r="C53" s="180"/>
      <c r="D53" s="15">
        <f>IF(F3="1",SUMIF(Data!A:A,'50'!$A$2,Data!DL:DL),0)</f>
        <v>55328</v>
      </c>
      <c r="E53" s="18">
        <f>IF(F3="1",SUMIF(Data!$A:$A,'50'!$A$2,Data!JF:JF),0)</f>
        <v>53430</v>
      </c>
      <c r="F53" s="22">
        <f t="shared" si="3"/>
        <v>0.96569548872180455</v>
      </c>
    </row>
    <row r="54" spans="1:6" x14ac:dyDescent="0.2">
      <c r="A54" s="20">
        <v>19</v>
      </c>
      <c r="B54" s="179" t="s">
        <v>17</v>
      </c>
      <c r="C54" s="180"/>
      <c r="D54" s="15">
        <f>IF(F3="1",SUMIF(Data!A:A,'50'!$A$2,Data!DM:DM),0)</f>
        <v>207344</v>
      </c>
      <c r="E54" s="18">
        <f>IF(F3="1",SUMIF(Data!$A:$A,'50'!$A$2,Data!JG:JG),0)</f>
        <v>105975</v>
      </c>
      <c r="F54" s="22">
        <f t="shared" si="3"/>
        <v>0.51110714561308745</v>
      </c>
    </row>
    <row r="55" spans="1:6" x14ac:dyDescent="0.2">
      <c r="A55" s="20">
        <v>20</v>
      </c>
      <c r="B55" s="179" t="s">
        <v>18</v>
      </c>
      <c r="C55" s="180"/>
      <c r="D55" s="15">
        <f>IF(F3="1",SUMIF(Data!A:A,'50'!$A$2,Data!DN:DN),0)</f>
        <v>26168</v>
      </c>
      <c r="E55" s="18">
        <f>IF(F3="1",SUMIF(Data!$A:$A,'50'!$A$2,Data!JH:JH),0)</f>
        <v>28030</v>
      </c>
      <c r="F55" s="22">
        <f t="shared" si="3"/>
        <v>1.0711556099052277</v>
      </c>
    </row>
    <row r="56" spans="1:6" ht="14.25" customHeight="1" x14ac:dyDescent="0.2">
      <c r="A56" s="20">
        <v>21</v>
      </c>
      <c r="B56" s="179" t="s">
        <v>801</v>
      </c>
      <c r="C56" s="180"/>
      <c r="D56" s="15">
        <f>IF(F3="1",SUMIF(Data!A:A,'50'!$A$2,Data!DO:DO),0)</f>
        <v>2040</v>
      </c>
      <c r="E56" s="18">
        <f>IF(F3="1",SUMIF(Data!$A:$A,'50'!$A$2,Data!JI:JI),0)</f>
        <v>2092</v>
      </c>
      <c r="F56" s="22">
        <f t="shared" si="3"/>
        <v>1.0254901960784313</v>
      </c>
    </row>
    <row r="57" spans="1:6" x14ac:dyDescent="0.2">
      <c r="A57" s="20">
        <v>22</v>
      </c>
      <c r="B57" s="179" t="s">
        <v>19</v>
      </c>
      <c r="C57" s="180"/>
      <c r="D57" s="15">
        <f>IF(F3="1",SUMIF(Data!A:A,'50'!$A$2,Data!DP:DP),0)</f>
        <v>4832</v>
      </c>
      <c r="E57" s="18">
        <f>IF(F3="1",SUMIF(Data!$A:$A,'50'!$A$2,Data!JJ:JJ),0)</f>
        <v>4989</v>
      </c>
      <c r="F57" s="22">
        <f t="shared" si="3"/>
        <v>1.0324917218543046</v>
      </c>
    </row>
    <row r="58" spans="1:6" x14ac:dyDescent="0.2">
      <c r="A58" s="20">
        <v>23</v>
      </c>
      <c r="B58" s="179" t="s">
        <v>20</v>
      </c>
      <c r="C58" s="180"/>
      <c r="D58" s="15">
        <f>IF(F3="1",SUMIF(Data!A:A,'50'!$A$2,Data!DQ:DQ),0)</f>
        <v>49608</v>
      </c>
      <c r="E58" s="18">
        <f>IF(F3="1",SUMIF(Data!$A:$A,'50'!$A$2,Data!JK:JK),0)</f>
        <v>34555</v>
      </c>
      <c r="F58" s="22">
        <f t="shared" si="3"/>
        <v>0.69656103854217066</v>
      </c>
    </row>
    <row r="59" spans="1:6" x14ac:dyDescent="0.2">
      <c r="A59" s="20">
        <v>24</v>
      </c>
      <c r="B59" s="179" t="s">
        <v>21</v>
      </c>
      <c r="C59" s="180"/>
      <c r="D59" s="15">
        <f>IF(F3="1",SUMIF(Data!A:A,'50'!$A$2,Data!DR:DR),0)</f>
        <v>102274</v>
      </c>
      <c r="E59" s="18">
        <f>IF(F3="1",SUMIF(Data!$A:$A,'50'!$A$2,Data!JL:JL),0)</f>
        <v>174407</v>
      </c>
      <c r="F59" s="22">
        <f t="shared" si="3"/>
        <v>1.7052916674814713</v>
      </c>
    </row>
    <row r="60" spans="1:6" x14ac:dyDescent="0.2">
      <c r="A60" s="20">
        <v>25</v>
      </c>
      <c r="B60" s="179" t="s">
        <v>22</v>
      </c>
      <c r="C60" s="180"/>
      <c r="D60" s="15">
        <f>IF(F3="1",SUMIF(Data!A:A,'50'!$A$2,Data!DS:DS),0)</f>
        <v>605328</v>
      </c>
      <c r="E60" s="18">
        <f>IF(F3="1",SUMIF(Data!$A:$A,'50'!$A$2,Data!JM:JM),0)</f>
        <v>271788</v>
      </c>
      <c r="F60" s="22">
        <f t="shared" si="3"/>
        <v>0.44899294266909839</v>
      </c>
    </row>
    <row r="61" spans="1:6" x14ac:dyDescent="0.2">
      <c r="A61" s="20">
        <v>26</v>
      </c>
      <c r="B61" s="179" t="s">
        <v>23</v>
      </c>
      <c r="C61" s="180"/>
      <c r="D61" s="15">
        <f>IF(F3="1",SUMIF(Data!A:A,'50'!$A$2,Data!DT:DT),0)</f>
        <v>105672</v>
      </c>
      <c r="E61" s="18">
        <f>IF(F3="1",SUMIF(Data!$A:$A,'50'!$A$2,Data!JN:JN),0)</f>
        <v>105197</v>
      </c>
      <c r="F61" s="22">
        <f t="shared" si="3"/>
        <v>0.99550495874025291</v>
      </c>
    </row>
    <row r="62" spans="1:6" x14ac:dyDescent="0.2">
      <c r="A62" s="20">
        <v>28</v>
      </c>
      <c r="B62" s="179" t="s">
        <v>24</v>
      </c>
      <c r="C62" s="180"/>
      <c r="D62" s="15">
        <f>IF(F3="1",SUMIF(Data!A:A,'50'!$A$2,Data!DV:DV),0)</f>
        <v>54864</v>
      </c>
      <c r="E62" s="18">
        <f>IF(F3="1",SUMIF(Data!$A:$A,'50'!$A$2,Data!JP:JP),0)</f>
        <v>19126</v>
      </c>
      <c r="F62" s="22">
        <f t="shared" si="3"/>
        <v>0.34860746573344997</v>
      </c>
    </row>
    <row r="63" spans="1:6" ht="15.75" customHeight="1" thickBot="1" x14ac:dyDescent="0.25">
      <c r="A63" s="23">
        <v>29</v>
      </c>
      <c r="B63" s="181" t="s">
        <v>25</v>
      </c>
      <c r="C63" s="182"/>
      <c r="D63" s="24">
        <f>IF(F3="1",SUMIF(Data!A:A,'50'!$A$2,Data!DW:DW),0)</f>
        <v>71360</v>
      </c>
      <c r="E63" s="25">
        <f>IF(F3="1",SUMIF(Data!$A:$A,'50'!$A$2,Data!JQ:JQ),0)</f>
        <v>34501</v>
      </c>
      <c r="F63" s="26">
        <f t="shared" si="3"/>
        <v>0.48347813901345293</v>
      </c>
    </row>
    <row r="64" spans="1:6" x14ac:dyDescent="0.2">
      <c r="B64" s="31" t="s">
        <v>35</v>
      </c>
      <c r="C64" s="31"/>
      <c r="D64" s="61">
        <f>SUM(D36:D63)</f>
        <v>2994636</v>
      </c>
      <c r="E64" s="32">
        <f>SUM(E36:E63)</f>
        <v>2534671</v>
      </c>
      <c r="F64" s="33">
        <f t="shared" si="3"/>
        <v>0.84640370315457369</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6048</v>
      </c>
      <c r="E67" s="16">
        <f>IF(F3="1",SUMIF(Data!A:A,'50'!$A$2,Data!DY:DY),0)</f>
        <v>23933</v>
      </c>
      <c r="F67" s="21">
        <f>IFERROR(E67/D67,"")</f>
        <v>3.957175925925926</v>
      </c>
    </row>
    <row r="68" spans="1:6" x14ac:dyDescent="0.2">
      <c r="A68" s="20">
        <v>2</v>
      </c>
      <c r="B68" s="179" t="s">
        <v>1</v>
      </c>
      <c r="C68" s="180"/>
      <c r="D68" s="15">
        <f t="shared" ref="D68:D94" si="4">D37</f>
        <v>65776</v>
      </c>
      <c r="E68" s="18">
        <f>IF(F3="1",SUMIF(Data!A:A,'50'!$A$2,Data!DZ:DZ),0)</f>
        <v>341175</v>
      </c>
      <c r="F68" s="22">
        <f t="shared" ref="F68:F95" si="5">IFERROR(E68/D68,"")</f>
        <v>5.1869222816832892</v>
      </c>
    </row>
    <row r="69" spans="1:6" ht="14.25" customHeight="1" x14ac:dyDescent="0.2">
      <c r="A69" s="20">
        <v>3</v>
      </c>
      <c r="B69" s="179" t="s">
        <v>2</v>
      </c>
      <c r="C69" s="180"/>
      <c r="D69" s="15">
        <f t="shared" si="4"/>
        <v>450136</v>
      </c>
      <c r="E69" s="18">
        <f>IF(F3="1",SUMIF(Data!A:A,'50'!$A$2,Data!EA:EA),0)</f>
        <v>1401618</v>
      </c>
      <c r="F69" s="22">
        <f t="shared" si="5"/>
        <v>3.1137656175022661</v>
      </c>
    </row>
    <row r="70" spans="1:6" ht="14.25" customHeight="1" x14ac:dyDescent="0.2">
      <c r="A70" s="20">
        <v>4</v>
      </c>
      <c r="B70" s="179" t="s">
        <v>3</v>
      </c>
      <c r="C70" s="180"/>
      <c r="D70" s="15">
        <f t="shared" si="4"/>
        <v>141059</v>
      </c>
      <c r="E70" s="18">
        <f>IF(F3="1",SUMIF(Data!A:A,'50'!$A$2,Data!EB:EB),0)</f>
        <v>242268</v>
      </c>
      <c r="F70" s="22">
        <f t="shared" si="5"/>
        <v>1.7174940982142224</v>
      </c>
    </row>
    <row r="71" spans="1:6" x14ac:dyDescent="0.2">
      <c r="A71" s="20">
        <v>5</v>
      </c>
      <c r="B71" s="179" t="s">
        <v>4</v>
      </c>
      <c r="C71" s="180"/>
      <c r="D71" s="15">
        <f t="shared" si="4"/>
        <v>0</v>
      </c>
      <c r="E71" s="18">
        <f>IF(F3="1",SUMIF(Data!A:A,'50'!$A$2,Data!EC:EC),0)</f>
        <v>0</v>
      </c>
      <c r="F71" s="22" t="str">
        <f t="shared" si="5"/>
        <v/>
      </c>
    </row>
    <row r="72" spans="1:6" x14ac:dyDescent="0.2">
      <c r="A72" s="20">
        <v>6</v>
      </c>
      <c r="B72" s="179" t="s">
        <v>5</v>
      </c>
      <c r="C72" s="180"/>
      <c r="D72" s="15">
        <f t="shared" si="4"/>
        <v>444</v>
      </c>
      <c r="E72" s="18">
        <f>IF(F3="1",SUMIF(Data!A:A,'50'!$A$2,Data!ED:ED),0)</f>
        <v>0</v>
      </c>
      <c r="F72" s="22">
        <f t="shared" si="5"/>
        <v>0</v>
      </c>
    </row>
    <row r="73" spans="1:6" x14ac:dyDescent="0.2">
      <c r="A73" s="20">
        <v>7</v>
      </c>
      <c r="B73" s="179" t="s">
        <v>6</v>
      </c>
      <c r="C73" s="180"/>
      <c r="D73" s="15">
        <f t="shared" si="4"/>
        <v>92780</v>
      </c>
      <c r="E73" s="18">
        <f>IF(F3="1",SUMIF(Data!A:A,'50'!$A$2,Data!EE:EE),0)</f>
        <v>506350</v>
      </c>
      <c r="F73" s="22">
        <f t="shared" si="5"/>
        <v>5.4575339512826044</v>
      </c>
    </row>
    <row r="74" spans="1:6" x14ac:dyDescent="0.2">
      <c r="A74" s="20">
        <v>8</v>
      </c>
      <c r="B74" s="179" t="s">
        <v>7</v>
      </c>
      <c r="C74" s="180"/>
      <c r="D74" s="15">
        <f t="shared" si="4"/>
        <v>13664</v>
      </c>
      <c r="E74" s="18">
        <f>IF(F3="1",SUMIF(Data!A:A,'50'!$A$2,Data!EF:EF),0)</f>
        <v>16527</v>
      </c>
      <c r="F74" s="22">
        <f t="shared" si="5"/>
        <v>1.2095286885245902</v>
      </c>
    </row>
    <row r="75" spans="1:6" x14ac:dyDescent="0.2">
      <c r="A75" s="20">
        <v>9</v>
      </c>
      <c r="B75" s="179" t="s">
        <v>8</v>
      </c>
      <c r="C75" s="180"/>
      <c r="D75" s="15">
        <f t="shared" si="4"/>
        <v>131202</v>
      </c>
      <c r="E75" s="18">
        <f>IF(F3="1",SUMIF(Data!A:A,'50'!$A$2,Data!EG:EG),0)</f>
        <v>426724</v>
      </c>
      <c r="F75" s="22">
        <f t="shared" si="5"/>
        <v>3.2524199326229781</v>
      </c>
    </row>
    <row r="76" spans="1:6" x14ac:dyDescent="0.2">
      <c r="A76" s="20">
        <v>10</v>
      </c>
      <c r="B76" s="179" t="s">
        <v>9</v>
      </c>
      <c r="C76" s="180"/>
      <c r="D76" s="15">
        <f t="shared" si="4"/>
        <v>0</v>
      </c>
      <c r="E76" s="18">
        <f>IF(F3="1",SUMIF(Data!A:A,'50'!$A$2,Data!EH:EH),0)</f>
        <v>0</v>
      </c>
      <c r="F76" s="22" t="str">
        <f t="shared" si="5"/>
        <v/>
      </c>
    </row>
    <row r="77" spans="1:6" x14ac:dyDescent="0.2">
      <c r="A77" s="20">
        <v>11</v>
      </c>
      <c r="B77" s="179" t="s">
        <v>10</v>
      </c>
      <c r="C77" s="180"/>
      <c r="D77" s="15">
        <f t="shared" si="4"/>
        <v>89960</v>
      </c>
      <c r="E77" s="18">
        <f>IF(F3="1",SUMIF(Data!A:A,'50'!$A$2,Data!EI:EI),0)</f>
        <v>232208</v>
      </c>
      <c r="F77" s="22">
        <f t="shared" si="5"/>
        <v>2.581236104935527</v>
      </c>
    </row>
    <row r="78" spans="1:6" ht="14.25" customHeight="1" x14ac:dyDescent="0.2">
      <c r="A78" s="20">
        <v>12</v>
      </c>
      <c r="B78" s="179" t="s">
        <v>11</v>
      </c>
      <c r="C78" s="180"/>
      <c r="D78" s="15">
        <f t="shared" si="4"/>
        <v>429096</v>
      </c>
      <c r="E78" s="18">
        <f>IF(F3="1",SUMIF(Data!A:A,'50'!$A$2,Data!EJ:EJ),0)</f>
        <v>1323520</v>
      </c>
      <c r="F78" s="22">
        <f t="shared" si="5"/>
        <v>3.0844379812442901</v>
      </c>
    </row>
    <row r="79" spans="1:6" x14ac:dyDescent="0.2">
      <c r="A79" s="20">
        <v>13</v>
      </c>
      <c r="B79" s="179" t="s">
        <v>12</v>
      </c>
      <c r="C79" s="180"/>
      <c r="D79" s="15">
        <f t="shared" si="4"/>
        <v>18056</v>
      </c>
      <c r="E79" s="18">
        <f>IF(F3="1",SUMIF(Data!A:A,'50'!$A$2,Data!EK:EK),0)</f>
        <v>75778</v>
      </c>
      <c r="F79" s="22">
        <f t="shared" si="5"/>
        <v>4.1968320779796189</v>
      </c>
    </row>
    <row r="80" spans="1:6" ht="14.25" customHeight="1" x14ac:dyDescent="0.2">
      <c r="A80" s="20">
        <v>14</v>
      </c>
      <c r="B80" s="179" t="s">
        <v>804</v>
      </c>
      <c r="C80" s="180"/>
      <c r="D80" s="15">
        <f t="shared" si="4"/>
        <v>72408</v>
      </c>
      <c r="E80" s="18">
        <f>IF(F3="1",SUMIF(Data!A:A,'50'!$A$2,Data!EL:EL),0)</f>
        <v>757908</v>
      </c>
      <c r="F80" s="22">
        <f t="shared" si="5"/>
        <v>10.467185946304276</v>
      </c>
    </row>
    <row r="81" spans="1:6" x14ac:dyDescent="0.2">
      <c r="A81" s="20">
        <v>15</v>
      </c>
      <c r="B81" s="179" t="s">
        <v>13</v>
      </c>
      <c r="C81" s="180"/>
      <c r="D81" s="15">
        <f t="shared" si="4"/>
        <v>32544</v>
      </c>
      <c r="E81" s="18">
        <f>IF(F3="1",SUMIF(Data!A:A,'50'!$A$2,Data!EM:EM),0)</f>
        <v>376868</v>
      </c>
      <c r="F81" s="22">
        <f t="shared" si="5"/>
        <v>11.580260570304818</v>
      </c>
    </row>
    <row r="82" spans="1:6" x14ac:dyDescent="0.2">
      <c r="A82" s="20">
        <v>16</v>
      </c>
      <c r="B82" s="179" t="s">
        <v>14</v>
      </c>
      <c r="C82" s="180"/>
      <c r="D82" s="15">
        <f t="shared" si="4"/>
        <v>166645</v>
      </c>
      <c r="E82" s="18">
        <f>IF(F3="1",SUMIF(Data!A:A,'50'!$A$2,Data!EN:EN),0)</f>
        <v>636951</v>
      </c>
      <c r="F82" s="22">
        <f t="shared" si="5"/>
        <v>3.8222028863752286</v>
      </c>
    </row>
    <row r="83" spans="1:6" x14ac:dyDescent="0.2">
      <c r="A83" s="20">
        <v>17</v>
      </c>
      <c r="B83" s="179" t="s">
        <v>15</v>
      </c>
      <c r="C83" s="180"/>
      <c r="D83" s="15">
        <f t="shared" si="4"/>
        <v>0</v>
      </c>
      <c r="E83" s="18">
        <f>IF(F3="1",SUMIF(Data!A:A,'50'!$A$2,Data!EO:EO),0)</f>
        <v>0</v>
      </c>
      <c r="F83" s="22" t="str">
        <f t="shared" si="5"/>
        <v/>
      </c>
    </row>
    <row r="84" spans="1:6" x14ac:dyDescent="0.2">
      <c r="A84" s="20">
        <v>18</v>
      </c>
      <c r="B84" s="179" t="s">
        <v>16</v>
      </c>
      <c r="C84" s="180"/>
      <c r="D84" s="15">
        <f t="shared" si="4"/>
        <v>55328</v>
      </c>
      <c r="E84" s="18">
        <f>IF(F3="1",SUMIF(Data!A:A,'50'!$A$2,Data!EP:EP),0)</f>
        <v>258529</v>
      </c>
      <c r="F84" s="22">
        <f t="shared" si="5"/>
        <v>4.6726612203585889</v>
      </c>
    </row>
    <row r="85" spans="1:6" x14ac:dyDescent="0.2">
      <c r="A85" s="20">
        <v>19</v>
      </c>
      <c r="B85" s="179" t="s">
        <v>17</v>
      </c>
      <c r="C85" s="180"/>
      <c r="D85" s="15">
        <f t="shared" si="4"/>
        <v>207344</v>
      </c>
      <c r="E85" s="18">
        <f>IF(F3="1",SUMIF(Data!A:A,'50'!$A$2,Data!EQ:EQ),0)</f>
        <v>699649</v>
      </c>
      <c r="F85" s="22">
        <f t="shared" si="5"/>
        <v>3.3743392622887569</v>
      </c>
    </row>
    <row r="86" spans="1:6" x14ac:dyDescent="0.2">
      <c r="A86" s="20">
        <v>20</v>
      </c>
      <c r="B86" s="179" t="s">
        <v>18</v>
      </c>
      <c r="C86" s="180"/>
      <c r="D86" s="15">
        <f t="shared" si="4"/>
        <v>26168</v>
      </c>
      <c r="E86" s="18">
        <f>IF(F3="1",SUMIF(Data!A:A,'50'!$A$2,Data!ER:ER),0)</f>
        <v>93542</v>
      </c>
      <c r="F86" s="22">
        <f t="shared" si="5"/>
        <v>3.5746713543258943</v>
      </c>
    </row>
    <row r="87" spans="1:6" ht="14.25" customHeight="1" x14ac:dyDescent="0.2">
      <c r="A87" s="20">
        <v>21</v>
      </c>
      <c r="B87" s="179" t="s">
        <v>801</v>
      </c>
      <c r="C87" s="180"/>
      <c r="D87" s="15">
        <f t="shared" si="4"/>
        <v>2040</v>
      </c>
      <c r="E87" s="18">
        <f>IF(F3="1",SUMIF(Data!A:A,'50'!$A$2,Data!ES:ES),0)</f>
        <v>7277</v>
      </c>
      <c r="F87" s="22">
        <f t="shared" si="5"/>
        <v>3.5671568627450982</v>
      </c>
    </row>
    <row r="88" spans="1:6" x14ac:dyDescent="0.2">
      <c r="A88" s="20">
        <v>22</v>
      </c>
      <c r="B88" s="179" t="s">
        <v>19</v>
      </c>
      <c r="C88" s="180"/>
      <c r="D88" s="15">
        <f t="shared" si="4"/>
        <v>4832</v>
      </c>
      <c r="E88" s="18">
        <f>IF(F3="1",SUMIF(Data!A:A,'50'!$A$2,Data!ET:ET),0)</f>
        <v>17478</v>
      </c>
      <c r="F88" s="22">
        <f t="shared" si="5"/>
        <v>3.6171357615894038</v>
      </c>
    </row>
    <row r="89" spans="1:6" x14ac:dyDescent="0.2">
      <c r="A89" s="20">
        <v>23</v>
      </c>
      <c r="B89" s="179" t="s">
        <v>20</v>
      </c>
      <c r="C89" s="180"/>
      <c r="D89" s="15">
        <f t="shared" si="4"/>
        <v>49608</v>
      </c>
      <c r="E89" s="18">
        <f>IF(F3="1",SUMIF(Data!A:A,'50'!$A$2,Data!EU:EU),0)</f>
        <v>209442</v>
      </c>
      <c r="F89" s="22">
        <f t="shared" si="5"/>
        <v>4.2219400096758584</v>
      </c>
    </row>
    <row r="90" spans="1:6" x14ac:dyDescent="0.2">
      <c r="A90" s="20">
        <v>24</v>
      </c>
      <c r="B90" s="179" t="s">
        <v>21</v>
      </c>
      <c r="C90" s="180"/>
      <c r="D90" s="15">
        <f t="shared" si="4"/>
        <v>102274</v>
      </c>
      <c r="E90" s="18">
        <f>IF(F3="1",SUMIF(Data!A:A,'50'!$A$2,Data!EV:EV),0)</f>
        <v>484089</v>
      </c>
      <c r="F90" s="22">
        <f t="shared" si="5"/>
        <v>4.7332557639282715</v>
      </c>
    </row>
    <row r="91" spans="1:6" x14ac:dyDescent="0.2">
      <c r="A91" s="20">
        <v>25</v>
      </c>
      <c r="B91" s="179" t="s">
        <v>22</v>
      </c>
      <c r="C91" s="180"/>
      <c r="D91" s="15">
        <f t="shared" si="4"/>
        <v>605328</v>
      </c>
      <c r="E91" s="18">
        <f>IF(F3="1",SUMIF(Data!A:A,'50'!$A$2,Data!EW:EW),0)</f>
        <v>1615997</v>
      </c>
      <c r="F91" s="22">
        <f t="shared" si="5"/>
        <v>2.6696220891814026</v>
      </c>
    </row>
    <row r="92" spans="1:6" x14ac:dyDescent="0.2">
      <c r="A92" s="20">
        <v>26</v>
      </c>
      <c r="B92" s="179" t="s">
        <v>23</v>
      </c>
      <c r="C92" s="180"/>
      <c r="D92" s="15">
        <f t="shared" si="4"/>
        <v>105672</v>
      </c>
      <c r="E92" s="18">
        <f>IF(F3="1",SUMIF(Data!A:A,'50'!$A$2,Data!EX:EX),0)</f>
        <v>428507</v>
      </c>
      <c r="F92" s="22">
        <f t="shared" si="5"/>
        <v>4.0550666212430917</v>
      </c>
    </row>
    <row r="93" spans="1:6" x14ac:dyDescent="0.2">
      <c r="A93" s="20">
        <v>28</v>
      </c>
      <c r="B93" s="179" t="s">
        <v>24</v>
      </c>
      <c r="C93" s="180"/>
      <c r="D93" s="15">
        <f t="shared" si="4"/>
        <v>54864</v>
      </c>
      <c r="E93" s="18">
        <f>IF(F3="1",SUMIF(Data!A:A,'50'!$A$2,Data!EZ:EZ),0)</f>
        <v>124450</v>
      </c>
      <c r="F93" s="22">
        <f t="shared" si="5"/>
        <v>2.2683362496354622</v>
      </c>
    </row>
    <row r="94" spans="1:6" ht="15.75" customHeight="1" thickBot="1" x14ac:dyDescent="0.25">
      <c r="A94" s="23">
        <v>29</v>
      </c>
      <c r="B94" s="181" t="s">
        <v>25</v>
      </c>
      <c r="C94" s="182"/>
      <c r="D94" s="24">
        <f t="shared" si="4"/>
        <v>71360</v>
      </c>
      <c r="E94" s="25">
        <f>IF(F3="1",SUMIF(Data!A:A,'50'!$A$2,Data!FA:FA),0)</f>
        <v>220800</v>
      </c>
      <c r="F94" s="26">
        <f t="shared" si="5"/>
        <v>3.094170403587444</v>
      </c>
    </row>
    <row r="95" spans="1:6" x14ac:dyDescent="0.2">
      <c r="B95" s="31" t="s">
        <v>35</v>
      </c>
      <c r="C95" s="31"/>
      <c r="D95" s="61">
        <f>SUM(D67:D94)</f>
        <v>2994636</v>
      </c>
      <c r="E95" s="32">
        <f>SUM(E67:E94)</f>
        <v>10521588</v>
      </c>
      <c r="F95" s="33">
        <f t="shared" si="5"/>
        <v>3.5134780988407273</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IF(F3="1",SUMIF(Data!A:A,'50'!$A$2,Data!AH:AH),0)</f>
        <v>5301725</v>
      </c>
      <c r="F98" s="21">
        <f t="shared" ref="F98:F105" si="6">IFERROR(E98/$D$95,0)</f>
        <v>1.7704071546591973</v>
      </c>
    </row>
    <row r="99" spans="2:6" x14ac:dyDescent="0.2">
      <c r="B99" s="185" t="s">
        <v>31</v>
      </c>
      <c r="C99" s="186"/>
      <c r="D99" s="37"/>
      <c r="E99" s="18">
        <f>IF(F3="1",SUMIF(Data!A:A,'50'!$A$2,Data!AI:AI),0)</f>
        <v>1824241</v>
      </c>
      <c r="F99" s="22">
        <f t="shared" si="6"/>
        <v>0.60916952845020234</v>
      </c>
    </row>
    <row r="100" spans="2:6" x14ac:dyDescent="0.2">
      <c r="B100" s="185" t="s">
        <v>32</v>
      </c>
      <c r="C100" s="186"/>
      <c r="D100" s="37"/>
      <c r="E100" s="18">
        <f>IF(F3="1",SUMIF(Data!A:A,'50'!$A$2,Data!AJ:AJ),0)</f>
        <v>2087111</v>
      </c>
      <c r="F100" s="22">
        <f t="shared" si="6"/>
        <v>0.69694981293218938</v>
      </c>
    </row>
    <row r="101" spans="2:6" x14ac:dyDescent="0.2">
      <c r="B101" s="185" t="s">
        <v>28</v>
      </c>
      <c r="C101" s="186"/>
      <c r="D101" s="37"/>
      <c r="E101" s="18">
        <f>IF(F3="1",SUMIF(Data!A:A,'50'!$A$2,Data!AK:AK),0)</f>
        <v>0</v>
      </c>
      <c r="F101" s="22">
        <f t="shared" si="6"/>
        <v>0</v>
      </c>
    </row>
    <row r="102" spans="2:6" x14ac:dyDescent="0.2">
      <c r="B102" s="185" t="s">
        <v>33</v>
      </c>
      <c r="C102" s="186"/>
      <c r="D102" s="37"/>
      <c r="E102" s="18">
        <f>IF(F3="1",SUMIF(Data!A:A,'50'!$A$2,Data!AL:AL),0)</f>
        <v>671553</v>
      </c>
      <c r="F102" s="22">
        <f t="shared" si="6"/>
        <v>0.22425196250896604</v>
      </c>
    </row>
    <row r="103" spans="2:6" x14ac:dyDescent="0.2">
      <c r="B103" s="187" t="s">
        <v>34</v>
      </c>
      <c r="C103" s="188"/>
      <c r="D103" s="37"/>
      <c r="E103" s="18">
        <f>IF(F3="1",SUMIF(Data!A:A,'50'!$A$2,Data!AM:AM),0)</f>
        <v>605999</v>
      </c>
      <c r="F103" s="22">
        <f t="shared" si="6"/>
        <v>0.20236148900901479</v>
      </c>
    </row>
    <row r="104" spans="2:6" ht="15.75" customHeight="1" thickBot="1" x14ac:dyDescent="0.25">
      <c r="B104" s="177" t="s">
        <v>29</v>
      </c>
      <c r="C104" s="178"/>
      <c r="D104" s="38"/>
      <c r="E104" s="25">
        <f>IF(F3="1",SUMIF(Data!A:A,'50'!$A$2,Data!Q:Q),0)</f>
        <v>901986</v>
      </c>
      <c r="F104" s="26">
        <f t="shared" si="6"/>
        <v>0.30120054657728018</v>
      </c>
    </row>
    <row r="105" spans="2:6" x14ac:dyDescent="0.2">
      <c r="B105" s="31" t="s">
        <v>35</v>
      </c>
      <c r="C105" s="31"/>
      <c r="D105" s="35">
        <f>D95</f>
        <v>2994636</v>
      </c>
      <c r="E105" s="32">
        <f>SUM(E98:E104)</f>
        <v>11392615</v>
      </c>
      <c r="F105" s="33">
        <f t="shared" si="6"/>
        <v>3.8043404941368499</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10552712</v>
      </c>
      <c r="D109" s="16">
        <f>IF(F3="1",SUMIF(Data!$A:$A,$A$2,Data!HJ:HJ),0)</f>
        <v>1487312</v>
      </c>
      <c r="E109" s="16">
        <f>IF(F3="1",SUMIF(Data!$A:$A,$A$2,Data!IN:IN),0)</f>
        <v>1016236</v>
      </c>
      <c r="F109" s="48">
        <f>SUM(C109:E109)</f>
        <v>13056260</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440780</v>
      </c>
      <c r="D111" s="52"/>
      <c r="E111" s="51">
        <f>IF(F3="1",SUMIF(Data!A:A,$A$2,Data!AX:AX),0)</f>
        <v>192052</v>
      </c>
      <c r="F111" s="49">
        <f t="shared" si="7"/>
        <v>632832</v>
      </c>
    </row>
    <row r="112" spans="2:6" x14ac:dyDescent="0.2">
      <c r="B112" s="43" t="s">
        <v>32</v>
      </c>
      <c r="C112" s="51">
        <f>IF(F3="1",SUMIF(Data!A:A,$A$2,Data!V:V),0)</f>
        <v>1646810</v>
      </c>
      <c r="D112" s="52"/>
      <c r="E112" s="51">
        <f>IF(F3="1",SUMIF(Data!A:A,$A$2,Data!AC:AC),0)</f>
        <v>440301</v>
      </c>
      <c r="F112" s="49">
        <f t="shared" si="7"/>
        <v>2087111</v>
      </c>
    </row>
    <row r="113" spans="1:6" x14ac:dyDescent="0.2">
      <c r="B113" s="43" t="s">
        <v>31</v>
      </c>
      <c r="C113" s="51">
        <f>IF(F3="1",SUMIF(Data!A:A,$A$2,Data!U:U),0)</f>
        <v>1629441</v>
      </c>
      <c r="D113" s="52"/>
      <c r="E113" s="51">
        <f>IF(F3="1",SUMIF(Data!A:A,$A$2,Data!AB:AB),0)</f>
        <v>194800</v>
      </c>
      <c r="F113" s="49">
        <f t="shared" si="7"/>
        <v>1824241</v>
      </c>
    </row>
    <row r="114" spans="1:6" x14ac:dyDescent="0.2">
      <c r="B114" s="43" t="s">
        <v>1363</v>
      </c>
      <c r="C114" s="51">
        <f>IF(F3="1",SUMIF(Data!A:A,$A$2,Data!T:T),0)</f>
        <v>2904226</v>
      </c>
      <c r="D114" s="52"/>
      <c r="E114" s="51">
        <f>IF(F3="1",SUMIF(Data!A:A,$A$2,Data!AA:AA),0)</f>
        <v>2397499</v>
      </c>
      <c r="F114" s="49">
        <f t="shared" si="7"/>
        <v>5301725</v>
      </c>
    </row>
    <row r="115" spans="1:6" x14ac:dyDescent="0.2">
      <c r="B115" s="43" t="s">
        <v>1278</v>
      </c>
      <c r="C115" s="51">
        <f>IF(F3="1",SUMIF(Data!A:A,$A$2,Data!BI:BI),0)</f>
        <v>1022833</v>
      </c>
      <c r="D115" s="51">
        <f>IF(F3="1",SUMIF(Data!A:A,$A$2,Data!BL:BL),0)</f>
        <v>142105</v>
      </c>
      <c r="E115" s="51">
        <f>IF(F3="1",SUMIF(Data!A:A,$A$2,Data!BU:BU),0)</f>
        <v>3504134</v>
      </c>
      <c r="F115" s="49">
        <f t="shared" si="7"/>
        <v>4669072</v>
      </c>
    </row>
    <row r="116" spans="1:6" x14ac:dyDescent="0.2">
      <c r="B116" s="43" t="s">
        <v>33</v>
      </c>
      <c r="C116" s="51">
        <f>IF(F3="1",SUMIF(Data!A:A,$A$2,Data!X:X),0)</f>
        <v>0</v>
      </c>
      <c r="D116" s="51"/>
      <c r="E116" s="51">
        <f>E102</f>
        <v>671553</v>
      </c>
      <c r="F116" s="49">
        <f t="shared" si="7"/>
        <v>671553</v>
      </c>
    </row>
    <row r="117" spans="1:6" ht="15" thickBot="1" x14ac:dyDescent="0.25">
      <c r="B117" s="44" t="s">
        <v>1282</v>
      </c>
      <c r="C117" s="53"/>
      <c r="D117" s="53">
        <f>IF(F3="1",SUMIF(Data!A:A,$A$2,Data!Q:Q),0)</f>
        <v>901986</v>
      </c>
      <c r="E117" s="53"/>
      <c r="F117" s="50">
        <f>SUM(C117:E117)</f>
        <v>901986</v>
      </c>
    </row>
    <row r="118" spans="1:6" x14ac:dyDescent="0.2">
      <c r="B118" s="14" t="s">
        <v>35</v>
      </c>
      <c r="C118" s="5">
        <f>SUM(C109:C116)</f>
        <v>18196802</v>
      </c>
      <c r="D118" s="5">
        <f>SUM(D109:D116)</f>
        <v>1629417</v>
      </c>
      <c r="E118" s="5">
        <f>SUM(E109:E116)</f>
        <v>8416575</v>
      </c>
      <c r="F118" s="5">
        <f>SUM(F109:F116)</f>
        <v>28242794</v>
      </c>
    </row>
    <row r="119" spans="1:6" ht="15" thickBot="1" x14ac:dyDescent="0.25"/>
    <row r="120" spans="1:6" ht="15" thickBot="1" x14ac:dyDescent="0.25">
      <c r="B120" s="57" t="s">
        <v>1283</v>
      </c>
      <c r="C120" s="55"/>
      <c r="D120" s="55"/>
      <c r="E120" s="55">
        <f>IF(F3="1",SUMIF(Data!A:A,'50'!$A$2,Data!AM:AM),0)</f>
        <v>605999</v>
      </c>
      <c r="F120" s="56">
        <f>SUM(C120:E120)</f>
        <v>605999</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3.42578125" style="11" bestFit="1" customWidth="1"/>
    <col min="13" max="13" width="12.140625" style="11" bestFit="1" customWidth="1"/>
    <col min="14"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665</v>
      </c>
      <c r="B2" s="60" t="str">
        <f>VLOOKUP(A2,Data!A:G,7,0)</f>
        <v>Texas State Technical College-Harlingen</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31520</v>
      </c>
      <c r="E5" s="16">
        <f>E36+E67+IFERROR($E$105/$D$105*D5,0)</f>
        <v>328519.22621723986</v>
      </c>
      <c r="F5" s="21">
        <f>IFERROR(E5/D5,"")</f>
        <v>10.422564283541874</v>
      </c>
    </row>
    <row r="6" spans="1:6" x14ac:dyDescent="0.2">
      <c r="A6" s="20">
        <v>2</v>
      </c>
      <c r="B6" s="179" t="s">
        <v>1</v>
      </c>
      <c r="C6" s="180"/>
      <c r="D6" s="15">
        <f t="shared" ref="D6:D32" si="0">D37</f>
        <v>91472</v>
      </c>
      <c r="E6" s="18">
        <f t="shared" ref="E6:E32" si="1">E37+E68+IFERROR($E$105/$D$105*D6,0)</f>
        <v>981455.6087735839</v>
      </c>
      <c r="F6" s="22">
        <f t="shared" ref="F6:F33" si="2">IFERROR(E6/D6,"")</f>
        <v>10.729574173228791</v>
      </c>
    </row>
    <row r="7" spans="1:6" ht="14.25" customHeight="1" x14ac:dyDescent="0.2">
      <c r="A7" s="20">
        <v>3</v>
      </c>
      <c r="B7" s="179" t="s">
        <v>2</v>
      </c>
      <c r="C7" s="180"/>
      <c r="D7" s="15">
        <f t="shared" si="0"/>
        <v>345888</v>
      </c>
      <c r="E7" s="18">
        <f t="shared" si="1"/>
        <v>2207891.7027229909</v>
      </c>
      <c r="F7" s="22">
        <f t="shared" si="2"/>
        <v>6.3832561485885337</v>
      </c>
    </row>
    <row r="8" spans="1:6" ht="14.25" customHeight="1" x14ac:dyDescent="0.2">
      <c r="A8" s="20">
        <v>4</v>
      </c>
      <c r="B8" s="179" t="s">
        <v>3</v>
      </c>
      <c r="C8" s="180"/>
      <c r="D8" s="15">
        <f t="shared" si="0"/>
        <v>256732</v>
      </c>
      <c r="E8" s="18">
        <f t="shared" si="1"/>
        <v>1393422.1463580085</v>
      </c>
      <c r="F8" s="22">
        <f t="shared" si="2"/>
        <v>5.4275358987504809</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43632</v>
      </c>
      <c r="E10" s="18">
        <f t="shared" si="1"/>
        <v>788775.43294132641</v>
      </c>
      <c r="F10" s="22">
        <f t="shared" si="2"/>
        <v>18.077911462718337</v>
      </c>
    </row>
    <row r="11" spans="1:6" x14ac:dyDescent="0.2">
      <c r="A11" s="20">
        <v>7</v>
      </c>
      <c r="B11" s="179" t="s">
        <v>6</v>
      </c>
      <c r="C11" s="180"/>
      <c r="D11" s="15">
        <f t="shared" si="0"/>
        <v>113464</v>
      </c>
      <c r="E11" s="18">
        <f t="shared" si="1"/>
        <v>1367966.6452891149</v>
      </c>
      <c r="F11" s="22">
        <f t="shared" si="2"/>
        <v>12.05639361638154</v>
      </c>
    </row>
    <row r="12" spans="1:6" x14ac:dyDescent="0.2">
      <c r="A12" s="20">
        <v>8</v>
      </c>
      <c r="B12" s="179" t="s">
        <v>7</v>
      </c>
      <c r="C12" s="180"/>
      <c r="D12" s="15">
        <f t="shared" si="0"/>
        <v>9152</v>
      </c>
      <c r="E12" s="18">
        <f t="shared" si="1"/>
        <v>202867.6423331275</v>
      </c>
      <c r="F12" s="22">
        <f t="shared" si="2"/>
        <v>22.166481898287532</v>
      </c>
    </row>
    <row r="13" spans="1:6" x14ac:dyDescent="0.2">
      <c r="A13" s="20">
        <v>9</v>
      </c>
      <c r="B13" s="179" t="s">
        <v>8</v>
      </c>
      <c r="C13" s="180"/>
      <c r="D13" s="15">
        <f t="shared" si="0"/>
        <v>162781</v>
      </c>
      <c r="E13" s="18">
        <f t="shared" si="1"/>
        <v>1248186.3649069963</v>
      </c>
      <c r="F13" s="22">
        <f t="shared" si="2"/>
        <v>7.6678873142872712</v>
      </c>
    </row>
    <row r="14" spans="1:6" x14ac:dyDescent="0.2">
      <c r="A14" s="20">
        <v>10</v>
      </c>
      <c r="B14" s="179" t="s">
        <v>9</v>
      </c>
      <c r="C14" s="180"/>
      <c r="D14" s="15">
        <f t="shared" si="0"/>
        <v>384</v>
      </c>
      <c r="E14" s="18">
        <f t="shared" si="1"/>
        <v>30090.516461529827</v>
      </c>
      <c r="F14" s="22">
        <f t="shared" si="2"/>
        <v>78.360719951900592</v>
      </c>
    </row>
    <row r="15" spans="1:6" x14ac:dyDescent="0.2">
      <c r="A15" s="20">
        <v>11</v>
      </c>
      <c r="B15" s="179" t="s">
        <v>10</v>
      </c>
      <c r="C15" s="180"/>
      <c r="D15" s="15">
        <f t="shared" si="0"/>
        <v>217266</v>
      </c>
      <c r="E15" s="18">
        <f t="shared" si="1"/>
        <v>1458878.118569633</v>
      </c>
      <c r="F15" s="22">
        <f t="shared" si="2"/>
        <v>6.7147097040937513</v>
      </c>
    </row>
    <row r="16" spans="1:6" ht="14.25" customHeight="1" x14ac:dyDescent="0.2">
      <c r="A16" s="20">
        <v>12</v>
      </c>
      <c r="B16" s="179" t="s">
        <v>11</v>
      </c>
      <c r="C16" s="180"/>
      <c r="D16" s="15">
        <f t="shared" si="0"/>
        <v>267408</v>
      </c>
      <c r="E16" s="18">
        <f t="shared" si="1"/>
        <v>2014090.9008978326</v>
      </c>
      <c r="F16" s="22">
        <f t="shared" si="2"/>
        <v>7.5319021902778998</v>
      </c>
    </row>
    <row r="17" spans="1:6" x14ac:dyDescent="0.2">
      <c r="A17" s="20">
        <v>13</v>
      </c>
      <c r="B17" s="179" t="s">
        <v>12</v>
      </c>
      <c r="C17" s="180"/>
      <c r="D17" s="15">
        <f t="shared" si="0"/>
        <v>80520</v>
      </c>
      <c r="E17" s="18">
        <f t="shared" si="1"/>
        <v>538695.92052703537</v>
      </c>
      <c r="F17" s="22">
        <f t="shared" si="2"/>
        <v>6.690212624528507</v>
      </c>
    </row>
    <row r="18" spans="1:6" ht="14.25" customHeight="1" x14ac:dyDescent="0.2">
      <c r="A18" s="20">
        <v>14</v>
      </c>
      <c r="B18" s="179" t="s">
        <v>804</v>
      </c>
      <c r="C18" s="180"/>
      <c r="D18" s="15">
        <f t="shared" si="0"/>
        <v>47014</v>
      </c>
      <c r="E18" s="18">
        <f t="shared" si="1"/>
        <v>258916.8669853209</v>
      </c>
      <c r="F18" s="22">
        <f t="shared" si="2"/>
        <v>5.5072290591168782</v>
      </c>
    </row>
    <row r="19" spans="1:6" x14ac:dyDescent="0.2">
      <c r="A19" s="20">
        <v>15</v>
      </c>
      <c r="B19" s="179" t="s">
        <v>13</v>
      </c>
      <c r="C19" s="180"/>
      <c r="D19" s="15">
        <f t="shared" si="0"/>
        <v>41776</v>
      </c>
      <c r="E19" s="18">
        <f t="shared" si="1"/>
        <v>642792.60337726562</v>
      </c>
      <c r="F19" s="22">
        <f t="shared" si="2"/>
        <v>15.386647916920376</v>
      </c>
    </row>
    <row r="20" spans="1:6" x14ac:dyDescent="0.2">
      <c r="A20" s="20">
        <v>16</v>
      </c>
      <c r="B20" s="179" t="s">
        <v>14</v>
      </c>
      <c r="C20" s="180"/>
      <c r="D20" s="15">
        <f t="shared" si="0"/>
        <v>142002</v>
      </c>
      <c r="E20" s="18">
        <f t="shared" si="1"/>
        <v>1933928.8921097873</v>
      </c>
      <c r="F20" s="22">
        <f t="shared" si="2"/>
        <v>13.619025732805083</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32672</v>
      </c>
      <c r="E22" s="18">
        <f t="shared" si="1"/>
        <v>311433.77560182934</v>
      </c>
      <c r="F22" s="22">
        <f t="shared" si="2"/>
        <v>9.5321307419756778</v>
      </c>
    </row>
    <row r="23" spans="1:6" x14ac:dyDescent="0.2">
      <c r="A23" s="20">
        <v>19</v>
      </c>
      <c r="B23" s="179" t="s">
        <v>17</v>
      </c>
      <c r="C23" s="180"/>
      <c r="D23" s="15">
        <f t="shared" si="0"/>
        <v>110848</v>
      </c>
      <c r="E23" s="18">
        <f t="shared" si="1"/>
        <v>906666.75189494307</v>
      </c>
      <c r="F23" s="22">
        <f t="shared" si="2"/>
        <v>8.1793695140637901</v>
      </c>
    </row>
    <row r="24" spans="1:6" x14ac:dyDescent="0.2">
      <c r="A24" s="20">
        <v>20</v>
      </c>
      <c r="B24" s="179" t="s">
        <v>18</v>
      </c>
      <c r="C24" s="180"/>
      <c r="D24" s="15">
        <f t="shared" si="0"/>
        <v>150524</v>
      </c>
      <c r="E24" s="18">
        <f t="shared" si="1"/>
        <v>1052762.4683732174</v>
      </c>
      <c r="F24" s="22">
        <f t="shared" si="2"/>
        <v>6.9939841378997194</v>
      </c>
    </row>
    <row r="25" spans="1:6" ht="14.25" customHeight="1" x14ac:dyDescent="0.2">
      <c r="A25" s="20">
        <v>21</v>
      </c>
      <c r="B25" s="179" t="s">
        <v>801</v>
      </c>
      <c r="C25" s="180"/>
      <c r="D25" s="15">
        <f t="shared" si="0"/>
        <v>34752</v>
      </c>
      <c r="E25" s="18">
        <f t="shared" si="1"/>
        <v>306946.73976844922</v>
      </c>
      <c r="F25" s="22">
        <f t="shared" si="2"/>
        <v>8.8324913607403666</v>
      </c>
    </row>
    <row r="26" spans="1:6" x14ac:dyDescent="0.2">
      <c r="A26" s="20">
        <v>22</v>
      </c>
      <c r="B26" s="179" t="s">
        <v>19</v>
      </c>
      <c r="C26" s="180"/>
      <c r="D26" s="15">
        <f t="shared" si="0"/>
        <v>79072</v>
      </c>
      <c r="E26" s="18">
        <f t="shared" si="1"/>
        <v>438444.51470334997</v>
      </c>
      <c r="F26" s="22">
        <f t="shared" si="2"/>
        <v>5.5448770070739322</v>
      </c>
    </row>
    <row r="27" spans="1:6" x14ac:dyDescent="0.2">
      <c r="A27" s="20">
        <v>23</v>
      </c>
      <c r="B27" s="179" t="s">
        <v>20</v>
      </c>
      <c r="C27" s="180"/>
      <c r="D27" s="15">
        <f t="shared" si="0"/>
        <v>5424</v>
      </c>
      <c r="E27" s="18">
        <f t="shared" si="1"/>
        <v>32268.045019108788</v>
      </c>
      <c r="F27" s="22">
        <f t="shared" si="2"/>
        <v>5.949123344230971</v>
      </c>
    </row>
    <row r="28" spans="1:6" x14ac:dyDescent="0.2">
      <c r="A28" s="20">
        <v>24</v>
      </c>
      <c r="B28" s="179" t="s">
        <v>21</v>
      </c>
      <c r="C28" s="180"/>
      <c r="D28" s="15">
        <f t="shared" si="0"/>
        <v>53280</v>
      </c>
      <c r="E28" s="18">
        <f t="shared" si="1"/>
        <v>446971.15903726337</v>
      </c>
      <c r="F28" s="22">
        <f t="shared" si="2"/>
        <v>8.3890983302789675</v>
      </c>
    </row>
    <row r="29" spans="1:6" x14ac:dyDescent="0.2">
      <c r="A29" s="20">
        <v>25</v>
      </c>
      <c r="B29" s="179" t="s">
        <v>22</v>
      </c>
      <c r="C29" s="180"/>
      <c r="D29" s="15">
        <f t="shared" si="0"/>
        <v>360582</v>
      </c>
      <c r="E29" s="18">
        <f t="shared" si="1"/>
        <v>1908886.4341962179</v>
      </c>
      <c r="F29" s="22">
        <f t="shared" si="2"/>
        <v>5.2939038393381201</v>
      </c>
    </row>
    <row r="30" spans="1:6" x14ac:dyDescent="0.2">
      <c r="A30" s="20">
        <v>26</v>
      </c>
      <c r="B30" s="179" t="s">
        <v>23</v>
      </c>
      <c r="C30" s="180"/>
      <c r="D30" s="15">
        <f t="shared" si="0"/>
        <v>139528</v>
      </c>
      <c r="E30" s="18">
        <f t="shared" si="1"/>
        <v>688974.95011545182</v>
      </c>
      <c r="F30" s="22">
        <f t="shared" si="2"/>
        <v>4.9378974120997352</v>
      </c>
    </row>
    <row r="31" spans="1:6" x14ac:dyDescent="0.2">
      <c r="A31" s="20">
        <v>28</v>
      </c>
      <c r="B31" s="179" t="s">
        <v>24</v>
      </c>
      <c r="C31" s="180"/>
      <c r="D31" s="15">
        <f t="shared" si="0"/>
        <v>204528</v>
      </c>
      <c r="E31" s="18">
        <f t="shared" si="1"/>
        <v>1423348.8303223234</v>
      </c>
      <c r="F31" s="22">
        <f t="shared" si="2"/>
        <v>6.9591881322964255</v>
      </c>
    </row>
    <row r="32" spans="1:6" ht="15.75" customHeight="1" thickBot="1" x14ac:dyDescent="0.25">
      <c r="A32" s="23">
        <v>29</v>
      </c>
      <c r="B32" s="181" t="s">
        <v>25</v>
      </c>
      <c r="C32" s="182"/>
      <c r="D32" s="24">
        <f t="shared" si="0"/>
        <v>131040</v>
      </c>
      <c r="E32" s="25">
        <f t="shared" si="1"/>
        <v>1010252.742497053</v>
      </c>
      <c r="F32" s="26">
        <f t="shared" si="2"/>
        <v>7.7094989506795866</v>
      </c>
    </row>
    <row r="33" spans="1:6" x14ac:dyDescent="0.2">
      <c r="B33" s="31" t="s">
        <v>35</v>
      </c>
      <c r="C33" s="31"/>
      <c r="D33" s="61">
        <f>SUM(D5:D32)</f>
        <v>3153261</v>
      </c>
      <c r="E33" s="32">
        <f>SUM(E5:E32)</f>
        <v>23923434.999999996</v>
      </c>
      <c r="F33" s="33">
        <f t="shared" si="2"/>
        <v>7.5868870353579982</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IF(F3="1",SUMIF(Data!A:A,'51'!$A$2,Data!CU:CU),0)</f>
        <v>31520</v>
      </c>
      <c r="E36" s="16">
        <f>IF(F3="1",SUMIF(Data!$A:$A,'51'!$A$2,Data!IO:IO),0)</f>
        <v>137598</v>
      </c>
      <c r="F36" s="21">
        <f t="shared" ref="F36:F64" si="3">IFERROR(E36/D36,"")</f>
        <v>4.3654187817258885</v>
      </c>
    </row>
    <row r="37" spans="1:6" x14ac:dyDescent="0.2">
      <c r="A37" s="20">
        <v>2</v>
      </c>
      <c r="B37" s="179" t="s">
        <v>1</v>
      </c>
      <c r="C37" s="180"/>
      <c r="D37" s="15">
        <f>IF(F3="1",SUMIF(Data!A:A,'51'!$A$2,Data!CV:CV),0)</f>
        <v>91472</v>
      </c>
      <c r="E37" s="18">
        <f>IF(F3="1",SUMIF(Data!$A:$A,'51'!$A$2,Data!IP:IP),0)</f>
        <v>280728</v>
      </c>
      <c r="F37" s="22">
        <f t="shared" si="3"/>
        <v>3.0690047227566906</v>
      </c>
    </row>
    <row r="38" spans="1:6" ht="14.25" customHeight="1" x14ac:dyDescent="0.2">
      <c r="A38" s="20">
        <v>3</v>
      </c>
      <c r="B38" s="179" t="s">
        <v>2</v>
      </c>
      <c r="C38" s="180"/>
      <c r="D38" s="15">
        <f>IF(F3="1",SUMIF(Data!A:A,'51'!$A$2,Data!CW:CW),0)</f>
        <v>345888</v>
      </c>
      <c r="E38" s="18">
        <f>IF(F3="1",SUMIF(Data!$A:$A,'51'!$A$2,Data!IQ:IQ),0)</f>
        <v>444661</v>
      </c>
      <c r="F38" s="22">
        <f t="shared" si="3"/>
        <v>1.2855635350171153</v>
      </c>
    </row>
    <row r="39" spans="1:6" ht="14.25" customHeight="1" x14ac:dyDescent="0.2">
      <c r="A39" s="20">
        <v>4</v>
      </c>
      <c r="B39" s="179" t="s">
        <v>3</v>
      </c>
      <c r="C39" s="180"/>
      <c r="D39" s="15">
        <f>IF(F3="1",SUMIF(Data!A:A,'51'!$A$2,Data!CX:CX),0)</f>
        <v>256732</v>
      </c>
      <c r="E39" s="18">
        <f>IF(F3="1",SUMIF(Data!$A:$A,'51'!$A$2,Data!IR:IR),0)</f>
        <v>244994</v>
      </c>
      <c r="F39" s="22">
        <f t="shared" si="3"/>
        <v>0.95427917049686051</v>
      </c>
    </row>
    <row r="40" spans="1:6" x14ac:dyDescent="0.2">
      <c r="A40" s="20">
        <v>5</v>
      </c>
      <c r="B40" s="179" t="s">
        <v>4</v>
      </c>
      <c r="C40" s="180"/>
      <c r="D40" s="15">
        <f>IF(F3="1",SUMIF(Data!A:A,'51'!$A$2,Data!CY:CY),0)</f>
        <v>0</v>
      </c>
      <c r="E40" s="18">
        <f>IF(F3="1",SUMIF(Data!$A:$A,'51'!$A$2,Data!IS:IS),0)</f>
        <v>0</v>
      </c>
      <c r="F40" s="22" t="str">
        <f t="shared" si="3"/>
        <v/>
      </c>
    </row>
    <row r="41" spans="1:6" x14ac:dyDescent="0.2">
      <c r="A41" s="20">
        <v>6</v>
      </c>
      <c r="B41" s="179" t="s">
        <v>5</v>
      </c>
      <c r="C41" s="180"/>
      <c r="D41" s="15">
        <f>IF(F3="1",SUMIF(Data!A:A,'51'!$A$2,Data!CZ:CZ),0)</f>
        <v>43632</v>
      </c>
      <c r="E41" s="18">
        <f>IF(F3="1",SUMIF(Data!$A:$A,'51'!$A$2,Data!IT:IT),0)</f>
        <v>133439</v>
      </c>
      <c r="F41" s="22">
        <f t="shared" si="3"/>
        <v>3.0582829116244956</v>
      </c>
    </row>
    <row r="42" spans="1:6" x14ac:dyDescent="0.2">
      <c r="A42" s="20">
        <v>7</v>
      </c>
      <c r="B42" s="179" t="s">
        <v>6</v>
      </c>
      <c r="C42" s="180"/>
      <c r="D42" s="15">
        <f>IF(F3="1",SUMIF(Data!A:A,'51'!$A$2,Data!DA:DA),0)</f>
        <v>113464</v>
      </c>
      <c r="E42" s="18">
        <f>IF(F3="1",SUMIF(Data!$A:$A,'51'!$A$2,Data!IU:IU),0)</f>
        <v>340082</v>
      </c>
      <c r="F42" s="22">
        <f t="shared" si="3"/>
        <v>2.9972678558838046</v>
      </c>
    </row>
    <row r="43" spans="1:6" x14ac:dyDescent="0.2">
      <c r="A43" s="20">
        <v>8</v>
      </c>
      <c r="B43" s="179" t="s">
        <v>7</v>
      </c>
      <c r="C43" s="180"/>
      <c r="D43" s="15">
        <f>IF(F3="1",SUMIF(Data!A:A,'51'!$A$2,Data!DB:DB),0)</f>
        <v>9152</v>
      </c>
      <c r="E43" s="18">
        <f>IF(F3="1",SUMIF(Data!$A:$A,'51'!$A$2,Data!IV:IV),0)</f>
        <v>83324</v>
      </c>
      <c r="F43" s="22">
        <f t="shared" si="3"/>
        <v>9.1044580419580416</v>
      </c>
    </row>
    <row r="44" spans="1:6" x14ac:dyDescent="0.2">
      <c r="A44" s="20">
        <v>9</v>
      </c>
      <c r="B44" s="179" t="s">
        <v>8</v>
      </c>
      <c r="C44" s="180"/>
      <c r="D44" s="15">
        <f>IF(F3="1",SUMIF(Data!A:A,'51'!$A$2,Data!DC:DC),0)</f>
        <v>162781</v>
      </c>
      <c r="E44" s="18">
        <f>IF(F3="1",SUMIF(Data!$A:$A,'51'!$A$2,Data!IW:IW),0)</f>
        <v>391413</v>
      </c>
      <c r="F44" s="22">
        <f t="shared" si="3"/>
        <v>2.404537384584196</v>
      </c>
    </row>
    <row r="45" spans="1:6" x14ac:dyDescent="0.2">
      <c r="A45" s="20">
        <v>10</v>
      </c>
      <c r="B45" s="179" t="s">
        <v>9</v>
      </c>
      <c r="C45" s="180"/>
      <c r="D45" s="15">
        <f>IF(F3="1",SUMIF(Data!A:A,'51'!$A$2,Data!DD:DD),0)</f>
        <v>384</v>
      </c>
      <c r="E45" s="18">
        <f>IF(F3="1",SUMIF(Data!$A:$A,'51'!$A$2,Data!IX:IX),0)</f>
        <v>10302</v>
      </c>
      <c r="F45" s="22">
        <f t="shared" si="3"/>
        <v>26.828125</v>
      </c>
    </row>
    <row r="46" spans="1:6" x14ac:dyDescent="0.2">
      <c r="A46" s="20">
        <v>11</v>
      </c>
      <c r="B46" s="179" t="s">
        <v>10</v>
      </c>
      <c r="C46" s="180"/>
      <c r="D46" s="15">
        <f>IF(F3="1",SUMIF(Data!A:A,'51'!$A$2,Data!DE:DE),0)</f>
        <v>217266</v>
      </c>
      <c r="E46" s="18">
        <f>IF(F3="1",SUMIF(Data!$A:$A,'51'!$A$2,Data!IY:IY),0)</f>
        <v>430757</v>
      </c>
      <c r="F46" s="22">
        <f t="shared" si="3"/>
        <v>1.9826249850413777</v>
      </c>
    </row>
    <row r="47" spans="1:6" ht="14.25" customHeight="1" x14ac:dyDescent="0.2">
      <c r="A47" s="20">
        <v>12</v>
      </c>
      <c r="B47" s="179" t="s">
        <v>11</v>
      </c>
      <c r="C47" s="180"/>
      <c r="D47" s="15">
        <f>IF(F3="1",SUMIF(Data!A:A,'51'!$A$2,Data!DF:DF),0)</f>
        <v>267408</v>
      </c>
      <c r="E47" s="18">
        <f>IF(F3="1",SUMIF(Data!$A:$A,'51'!$A$2,Data!IZ:IZ),0)</f>
        <v>463984</v>
      </c>
      <c r="F47" s="22">
        <f t="shared" si="3"/>
        <v>1.7351163764734039</v>
      </c>
    </row>
    <row r="48" spans="1:6" x14ac:dyDescent="0.2">
      <c r="A48" s="20">
        <v>13</v>
      </c>
      <c r="B48" s="179" t="s">
        <v>12</v>
      </c>
      <c r="C48" s="180"/>
      <c r="D48" s="15">
        <f>IF(F3="1",SUMIF(Data!A:A,'51'!$A$2,Data!DG:DG),0)</f>
        <v>80520</v>
      </c>
      <c r="E48" s="18">
        <f>IF(F3="1",SUMIF(Data!$A:$A,'51'!$A$2,Data!JA:JA),0)</f>
        <v>90115</v>
      </c>
      <c r="F48" s="22">
        <f t="shared" si="3"/>
        <v>1.1191629408842523</v>
      </c>
    </row>
    <row r="49" spans="1:6" ht="14.25" customHeight="1" x14ac:dyDescent="0.2">
      <c r="A49" s="20">
        <v>14</v>
      </c>
      <c r="B49" s="179" t="s">
        <v>804</v>
      </c>
      <c r="C49" s="180"/>
      <c r="D49" s="15">
        <f>IF(F3="1",SUMIF(Data!A:A,'51'!$A$2,Data!DH:DH),0)</f>
        <v>47014</v>
      </c>
      <c r="E49" s="18">
        <f>IF(F3="1",SUMIF(Data!$A:$A,'51'!$A$2,Data!JB:JB),0)</f>
        <v>55238</v>
      </c>
      <c r="F49" s="22">
        <f t="shared" si="3"/>
        <v>1.1749266176032671</v>
      </c>
    </row>
    <row r="50" spans="1:6" x14ac:dyDescent="0.2">
      <c r="A50" s="20">
        <v>15</v>
      </c>
      <c r="B50" s="179" t="s">
        <v>13</v>
      </c>
      <c r="C50" s="180"/>
      <c r="D50" s="15">
        <f>IF(F3="1",SUMIF(Data!A:A,'51'!$A$2,Data!DI:DI),0)</f>
        <v>41776</v>
      </c>
      <c r="E50" s="18">
        <f>IF(F3="1",SUMIF(Data!$A:$A,'51'!$A$2,Data!JC:JC),0)</f>
        <v>141497</v>
      </c>
      <c r="F50" s="22">
        <f t="shared" si="3"/>
        <v>3.3870404059747221</v>
      </c>
    </row>
    <row r="51" spans="1:6" x14ac:dyDescent="0.2">
      <c r="A51" s="20">
        <v>16</v>
      </c>
      <c r="B51" s="179" t="s">
        <v>14</v>
      </c>
      <c r="C51" s="180"/>
      <c r="D51" s="15">
        <f>IF(F3="1",SUMIF(Data!A:A,'51'!$A$2,Data!DJ:DJ),0)</f>
        <v>142002</v>
      </c>
      <c r="E51" s="18">
        <f>IF(F3="1",SUMIF(Data!$A:$A,'51'!$A$2,Data!JD:JD),0)</f>
        <v>623685</v>
      </c>
      <c r="F51" s="22">
        <f t="shared" si="3"/>
        <v>4.3920860269573669</v>
      </c>
    </row>
    <row r="52" spans="1:6" x14ac:dyDescent="0.2">
      <c r="A52" s="20">
        <v>17</v>
      </c>
      <c r="B52" s="179" t="s">
        <v>15</v>
      </c>
      <c r="C52" s="180"/>
      <c r="D52" s="15">
        <f>IF(F3="1",SUMIF(Data!A:A,'51'!$A$2,Data!DK:DK),0)</f>
        <v>0</v>
      </c>
      <c r="E52" s="18">
        <f>IF(F3="1",SUMIF(Data!$A:$A,'51'!$A$2,Data!JE:JE),0)</f>
        <v>0</v>
      </c>
      <c r="F52" s="22" t="str">
        <f t="shared" si="3"/>
        <v/>
      </c>
    </row>
    <row r="53" spans="1:6" x14ac:dyDescent="0.2">
      <c r="A53" s="20">
        <v>18</v>
      </c>
      <c r="B53" s="179" t="s">
        <v>16</v>
      </c>
      <c r="C53" s="180"/>
      <c r="D53" s="15">
        <f>IF(F3="1",SUMIF(Data!A:A,'51'!$A$2,Data!DL:DL),0)</f>
        <v>32672</v>
      </c>
      <c r="E53" s="18">
        <f>IF(F3="1",SUMIF(Data!$A:$A,'51'!$A$2,Data!JF:JF),0)</f>
        <v>63405</v>
      </c>
      <c r="F53" s="22">
        <f t="shared" si="3"/>
        <v>1.9406525465230167</v>
      </c>
    </row>
    <row r="54" spans="1:6" x14ac:dyDescent="0.2">
      <c r="A54" s="20">
        <v>19</v>
      </c>
      <c r="B54" s="179" t="s">
        <v>17</v>
      </c>
      <c r="C54" s="180"/>
      <c r="D54" s="15">
        <f>IF(F3="1",SUMIF(Data!A:A,'51'!$A$2,Data!DM:DM),0)</f>
        <v>110848</v>
      </c>
      <c r="E54" s="18">
        <f>IF(F3="1",SUMIF(Data!$A:$A,'51'!$A$2,Data!JG:JG),0)</f>
        <v>194347</v>
      </c>
      <c r="F54" s="22">
        <f t="shared" si="3"/>
        <v>1.7532747546189376</v>
      </c>
    </row>
    <row r="55" spans="1:6" x14ac:dyDescent="0.2">
      <c r="A55" s="20">
        <v>20</v>
      </c>
      <c r="B55" s="179" t="s">
        <v>18</v>
      </c>
      <c r="C55" s="180"/>
      <c r="D55" s="15">
        <f>IF(F3="1",SUMIF(Data!A:A,'51'!$A$2,Data!DN:DN),0)</f>
        <v>150524</v>
      </c>
      <c r="E55" s="18">
        <f>IF(F3="1",SUMIF(Data!$A:$A,'51'!$A$2,Data!JH:JH),0)</f>
        <v>251090</v>
      </c>
      <c r="F55" s="22">
        <f t="shared" si="3"/>
        <v>1.6681060827509235</v>
      </c>
    </row>
    <row r="56" spans="1:6" ht="14.25" customHeight="1" x14ac:dyDescent="0.2">
      <c r="A56" s="20">
        <v>21</v>
      </c>
      <c r="B56" s="179" t="s">
        <v>801</v>
      </c>
      <c r="C56" s="180"/>
      <c r="D56" s="15">
        <f>IF(F3="1",SUMIF(Data!A:A,'51'!$A$2,Data!DO:DO),0)</f>
        <v>34752</v>
      </c>
      <c r="E56" s="18">
        <f>IF(F3="1",SUMIF(Data!$A:$A,'51'!$A$2,Data!JI:JI),0)</f>
        <v>86753</v>
      </c>
      <c r="F56" s="22">
        <f t="shared" si="3"/>
        <v>2.4963455340699814</v>
      </c>
    </row>
    <row r="57" spans="1:6" x14ac:dyDescent="0.2">
      <c r="A57" s="20">
        <v>22</v>
      </c>
      <c r="B57" s="179" t="s">
        <v>19</v>
      </c>
      <c r="C57" s="180"/>
      <c r="D57" s="15">
        <f>IF(F3="1",SUMIF(Data!A:A,'51'!$A$2,Data!DP:DP),0)</f>
        <v>79072</v>
      </c>
      <c r="E57" s="18">
        <f>IF(F3="1",SUMIF(Data!$A:$A,'51'!$A$2,Data!JJ:JJ),0)</f>
        <v>90099</v>
      </c>
      <c r="F57" s="22">
        <f t="shared" si="3"/>
        <v>1.1394551800890327</v>
      </c>
    </row>
    <row r="58" spans="1:6" x14ac:dyDescent="0.2">
      <c r="A58" s="20">
        <v>23</v>
      </c>
      <c r="B58" s="179" t="s">
        <v>20</v>
      </c>
      <c r="C58" s="180"/>
      <c r="D58" s="15">
        <f>IF(F3="1",SUMIF(Data!A:A,'51'!$A$2,Data!DQ:DQ),0)</f>
        <v>5424</v>
      </c>
      <c r="E58" s="18">
        <f>IF(F3="1",SUMIF(Data!$A:$A,'51'!$A$2,Data!JK:JK),0)</f>
        <v>14652</v>
      </c>
      <c r="F58" s="22">
        <f t="shared" si="3"/>
        <v>2.7013274336283186</v>
      </c>
    </row>
    <row r="59" spans="1:6" x14ac:dyDescent="0.2">
      <c r="A59" s="20">
        <v>24</v>
      </c>
      <c r="B59" s="179" t="s">
        <v>21</v>
      </c>
      <c r="C59" s="180"/>
      <c r="D59" s="15">
        <f>IF(F3="1",SUMIF(Data!A:A,'51'!$A$2,Data!DR:DR),0)</f>
        <v>53280</v>
      </c>
      <c r="E59" s="18">
        <f>IF(F3="1",SUMIF(Data!$A:$A,'51'!$A$2,Data!JL:JL),0)</f>
        <v>200939</v>
      </c>
      <c r="F59" s="22">
        <f t="shared" si="3"/>
        <v>3.7713776276276278</v>
      </c>
    </row>
    <row r="60" spans="1:6" x14ac:dyDescent="0.2">
      <c r="A60" s="20">
        <v>25</v>
      </c>
      <c r="B60" s="179" t="s">
        <v>22</v>
      </c>
      <c r="C60" s="180"/>
      <c r="D60" s="15">
        <f>IF(F3="1",SUMIF(Data!A:A,'51'!$A$2,Data!DS:DS),0)</f>
        <v>360582</v>
      </c>
      <c r="E60" s="18">
        <f>IF(F3="1",SUMIF(Data!$A:$A,'51'!$A$2,Data!JM:JM),0)</f>
        <v>357534</v>
      </c>
      <c r="F60" s="22">
        <f t="shared" si="3"/>
        <v>0.99154699901825383</v>
      </c>
    </row>
    <row r="61" spans="1:6" x14ac:dyDescent="0.2">
      <c r="A61" s="20">
        <v>26</v>
      </c>
      <c r="B61" s="179" t="s">
        <v>23</v>
      </c>
      <c r="C61" s="180"/>
      <c r="D61" s="15">
        <f>IF(F3="1",SUMIF(Data!A:A,'51'!$A$2,Data!DT:DT),0)</f>
        <v>139528</v>
      </c>
      <c r="E61" s="18">
        <f>IF(F3="1",SUMIF(Data!$A:$A,'51'!$A$2,Data!JN:JN),0)</f>
        <v>136321</v>
      </c>
      <c r="F61" s="22">
        <f t="shared" si="3"/>
        <v>0.97701536609139383</v>
      </c>
    </row>
    <row r="62" spans="1:6" x14ac:dyDescent="0.2">
      <c r="A62" s="20">
        <v>28</v>
      </c>
      <c r="B62" s="179" t="s">
        <v>24</v>
      </c>
      <c r="C62" s="180"/>
      <c r="D62" s="15">
        <f>IF(F3="1",SUMIF(Data!A:A,'51'!$A$2,Data!DV:DV),0)</f>
        <v>204528</v>
      </c>
      <c r="E62" s="18">
        <f>IF(F3="1",SUMIF(Data!$A:$A,'51'!$A$2,Data!JP:JP),0)</f>
        <v>289258</v>
      </c>
      <c r="F62" s="22">
        <f t="shared" si="3"/>
        <v>1.4142709066729249</v>
      </c>
    </row>
    <row r="63" spans="1:6" ht="15.75" customHeight="1" thickBot="1" x14ac:dyDescent="0.25">
      <c r="A63" s="23">
        <v>29</v>
      </c>
      <c r="B63" s="181" t="s">
        <v>25</v>
      </c>
      <c r="C63" s="182"/>
      <c r="D63" s="24">
        <f>IF(F3="1",SUMIF(Data!A:A,'51'!$A$2,Data!DW:DW),0)</f>
        <v>131040</v>
      </c>
      <c r="E63" s="25">
        <f>IF(F3="1",SUMIF(Data!$A:$A,'51'!$A$2,Data!JQ:JQ),0)</f>
        <v>252975</v>
      </c>
      <c r="F63" s="26">
        <f t="shared" si="3"/>
        <v>1.9305173992673992</v>
      </c>
    </row>
    <row r="64" spans="1:6" x14ac:dyDescent="0.2">
      <c r="B64" s="31" t="s">
        <v>35</v>
      </c>
      <c r="C64" s="31"/>
      <c r="D64" s="61">
        <f>SUM(D36:D63)</f>
        <v>3153261</v>
      </c>
      <c r="E64" s="32">
        <f>SUM(E36:E63)</f>
        <v>5809190</v>
      </c>
      <c r="F64" s="33">
        <f t="shared" si="3"/>
        <v>1.8422801030425329</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31520</v>
      </c>
      <c r="E67" s="16">
        <f>IF(F3="1",SUMIF(Data!A:A,'51'!$A$2,Data!DY:DY),0)</f>
        <v>88603</v>
      </c>
      <c r="F67" s="21">
        <f>IFERROR(E67/D67,"")</f>
        <v>2.8110088832487308</v>
      </c>
    </row>
    <row r="68" spans="1:6" x14ac:dyDescent="0.2">
      <c r="A68" s="20">
        <v>2</v>
      </c>
      <c r="B68" s="179" t="s">
        <v>1</v>
      </c>
      <c r="C68" s="180"/>
      <c r="D68" s="15">
        <f t="shared" ref="D68:D94" si="4">D37</f>
        <v>91472</v>
      </c>
      <c r="E68" s="18">
        <f>IF(F3="1",SUMIF(Data!A:A,'51'!$A$2,Data!DZ:DZ),0)</f>
        <v>403797</v>
      </c>
      <c r="F68" s="22">
        <f t="shared" ref="F68:F95" si="5">IFERROR(E68/D68,"")</f>
        <v>4.4144328319048451</v>
      </c>
    </row>
    <row r="69" spans="1:6" ht="14.25" customHeight="1" x14ac:dyDescent="0.2">
      <c r="A69" s="20">
        <v>3</v>
      </c>
      <c r="B69" s="179" t="s">
        <v>2</v>
      </c>
      <c r="C69" s="180"/>
      <c r="D69" s="15">
        <f t="shared" si="4"/>
        <v>345888</v>
      </c>
      <c r="E69" s="18">
        <f>IF(F3="1",SUMIF(Data!A:A,'51'!$A$2,Data!EA:EA),0)</f>
        <v>640431</v>
      </c>
      <c r="F69" s="22">
        <f t="shared" si="5"/>
        <v>1.8515559950041631</v>
      </c>
    </row>
    <row r="70" spans="1:6" ht="14.25" customHeight="1" x14ac:dyDescent="0.2">
      <c r="A70" s="20">
        <v>4</v>
      </c>
      <c r="B70" s="179" t="s">
        <v>3</v>
      </c>
      <c r="C70" s="180"/>
      <c r="D70" s="15">
        <f t="shared" si="4"/>
        <v>256732</v>
      </c>
      <c r="E70" s="18">
        <f>IF(F3="1",SUMIF(Data!A:A,'51'!$A$2,Data!EB:EB),0)</f>
        <v>315041</v>
      </c>
      <c r="F70" s="22">
        <f t="shared" si="5"/>
        <v>1.2271201096863655</v>
      </c>
    </row>
    <row r="71" spans="1:6" x14ac:dyDescent="0.2">
      <c r="A71" s="20">
        <v>5</v>
      </c>
      <c r="B71" s="179" t="s">
        <v>4</v>
      </c>
      <c r="C71" s="180"/>
      <c r="D71" s="15">
        <f t="shared" si="4"/>
        <v>0</v>
      </c>
      <c r="E71" s="18">
        <f>IF(F3="1",SUMIF(Data!A:A,'51'!$A$2,Data!EC:EC),0)</f>
        <v>0</v>
      </c>
      <c r="F71" s="22" t="str">
        <f t="shared" si="5"/>
        <v/>
      </c>
    </row>
    <row r="72" spans="1:6" x14ac:dyDescent="0.2">
      <c r="A72" s="20">
        <v>6</v>
      </c>
      <c r="B72" s="179" t="s">
        <v>5</v>
      </c>
      <c r="C72" s="180"/>
      <c r="D72" s="15">
        <f t="shared" si="4"/>
        <v>43632</v>
      </c>
      <c r="E72" s="18">
        <f>IF(F3="1",SUMIF(Data!A:A,'51'!$A$2,Data!ED:ED),0)</f>
        <v>513701</v>
      </c>
      <c r="F72" s="22">
        <f t="shared" si="5"/>
        <v>11.773491932526586</v>
      </c>
    </row>
    <row r="73" spans="1:6" x14ac:dyDescent="0.2">
      <c r="A73" s="20">
        <v>7</v>
      </c>
      <c r="B73" s="179" t="s">
        <v>6</v>
      </c>
      <c r="C73" s="180"/>
      <c r="D73" s="15">
        <f t="shared" si="4"/>
        <v>113464</v>
      </c>
      <c r="E73" s="18">
        <f>IF(F3="1",SUMIF(Data!A:A,'51'!$A$2,Data!EE:EE),0)</f>
        <v>659565</v>
      </c>
      <c r="F73" s="22">
        <f t="shared" si="5"/>
        <v>5.8129891419304798</v>
      </c>
    </row>
    <row r="74" spans="1:6" x14ac:dyDescent="0.2">
      <c r="A74" s="20">
        <v>8</v>
      </c>
      <c r="B74" s="179" t="s">
        <v>7</v>
      </c>
      <c r="C74" s="180"/>
      <c r="D74" s="15">
        <f t="shared" si="4"/>
        <v>9152</v>
      </c>
      <c r="E74" s="18">
        <f>IF(F3="1",SUMIF(Data!A:A,'51'!$A$2,Data!EF:EF),0)</f>
        <v>89835</v>
      </c>
      <c r="F74" s="22">
        <f t="shared" si="5"/>
        <v>9.8158872377622384</v>
      </c>
    </row>
    <row r="75" spans="1:6" x14ac:dyDescent="0.2">
      <c r="A75" s="20">
        <v>9</v>
      </c>
      <c r="B75" s="179" t="s">
        <v>8</v>
      </c>
      <c r="C75" s="180"/>
      <c r="D75" s="15">
        <f t="shared" si="4"/>
        <v>162781</v>
      </c>
      <c r="E75" s="18">
        <f>IF(F3="1",SUMIF(Data!A:A,'51'!$A$2,Data!EG:EG),0)</f>
        <v>328364</v>
      </c>
      <c r="F75" s="22">
        <f t="shared" si="5"/>
        <v>2.0172133111358206</v>
      </c>
    </row>
    <row r="76" spans="1:6" x14ac:dyDescent="0.2">
      <c r="A76" s="20">
        <v>10</v>
      </c>
      <c r="B76" s="179" t="s">
        <v>9</v>
      </c>
      <c r="C76" s="180"/>
      <c r="D76" s="15">
        <f t="shared" si="4"/>
        <v>384</v>
      </c>
      <c r="E76" s="18">
        <f>IF(F3="1",SUMIF(Data!A:A,'51'!$A$2,Data!EH:EH),0)</f>
        <v>18542</v>
      </c>
      <c r="F76" s="22">
        <f t="shared" si="5"/>
        <v>48.286458333333336</v>
      </c>
    </row>
    <row r="77" spans="1:6" x14ac:dyDescent="0.2">
      <c r="A77" s="20">
        <v>11</v>
      </c>
      <c r="B77" s="179" t="s">
        <v>10</v>
      </c>
      <c r="C77" s="180"/>
      <c r="D77" s="15">
        <f t="shared" si="4"/>
        <v>217266</v>
      </c>
      <c r="E77" s="18">
        <f>IF(F3="1",SUMIF(Data!A:A,'51'!$A$2,Data!EI:EI),0)</f>
        <v>322846</v>
      </c>
      <c r="F77" s="22">
        <f t="shared" si="5"/>
        <v>1.4859481004851196</v>
      </c>
    </row>
    <row r="78" spans="1:6" ht="14.25" customHeight="1" x14ac:dyDescent="0.2">
      <c r="A78" s="20">
        <v>12</v>
      </c>
      <c r="B78" s="179" t="s">
        <v>11</v>
      </c>
      <c r="C78" s="180"/>
      <c r="D78" s="15">
        <f t="shared" si="4"/>
        <v>267408</v>
      </c>
      <c r="E78" s="18">
        <f>IF(F3="1",SUMIF(Data!A:A,'51'!$A$2,Data!EJ:EJ),0)</f>
        <v>682064</v>
      </c>
      <c r="F78" s="22">
        <f t="shared" si="5"/>
        <v>2.5506491952372405</v>
      </c>
    </row>
    <row r="79" spans="1:6" x14ac:dyDescent="0.2">
      <c r="A79" s="20">
        <v>13</v>
      </c>
      <c r="B79" s="179" t="s">
        <v>12</v>
      </c>
      <c r="C79" s="180"/>
      <c r="D79" s="15">
        <f t="shared" si="4"/>
        <v>80520</v>
      </c>
      <c r="E79" s="18">
        <f>IF(F3="1",SUMIF(Data!A:A,'51'!$A$2,Data!EK:EK),0)</f>
        <v>187202</v>
      </c>
      <c r="F79" s="22">
        <f t="shared" si="5"/>
        <v>2.3249130650769994</v>
      </c>
    </row>
    <row r="80" spans="1:6" ht="14.25" customHeight="1" x14ac:dyDescent="0.2">
      <c r="A80" s="20">
        <v>14</v>
      </c>
      <c r="B80" s="179" t="s">
        <v>804</v>
      </c>
      <c r="C80" s="180"/>
      <c r="D80" s="15">
        <f t="shared" si="4"/>
        <v>47014</v>
      </c>
      <c r="E80" s="18">
        <f>IF(F3="1",SUMIF(Data!A:A,'51'!$A$2,Data!EL:EL),0)</f>
        <v>51065</v>
      </c>
      <c r="F80" s="22">
        <f t="shared" si="5"/>
        <v>1.0861658229463564</v>
      </c>
    </row>
    <row r="81" spans="1:6" x14ac:dyDescent="0.2">
      <c r="A81" s="20">
        <v>15</v>
      </c>
      <c r="B81" s="179" t="s">
        <v>13</v>
      </c>
      <c r="C81" s="180"/>
      <c r="D81" s="15">
        <f t="shared" si="4"/>
        <v>41776</v>
      </c>
      <c r="E81" s="18">
        <f>IF(F3="1",SUMIF(Data!A:A,'51'!$A$2,Data!EM:EM),0)</f>
        <v>365685</v>
      </c>
      <c r="F81" s="22">
        <f t="shared" si="5"/>
        <v>8.7534708923783988</v>
      </c>
    </row>
    <row r="82" spans="1:6" x14ac:dyDescent="0.2">
      <c r="A82" s="20">
        <v>16</v>
      </c>
      <c r="B82" s="179" t="s">
        <v>14</v>
      </c>
      <c r="C82" s="180"/>
      <c r="D82" s="15">
        <f t="shared" si="4"/>
        <v>142002</v>
      </c>
      <c r="E82" s="18">
        <f>IF(F3="1",SUMIF(Data!A:A,'51'!$A$2,Data!EN:EN),0)</f>
        <v>849286</v>
      </c>
      <c r="F82" s="22">
        <f t="shared" si="5"/>
        <v>5.980803087280461</v>
      </c>
    </row>
    <row r="83" spans="1:6" x14ac:dyDescent="0.2">
      <c r="A83" s="20">
        <v>17</v>
      </c>
      <c r="B83" s="179" t="s">
        <v>15</v>
      </c>
      <c r="C83" s="180"/>
      <c r="D83" s="15">
        <f t="shared" si="4"/>
        <v>0</v>
      </c>
      <c r="E83" s="18">
        <f>IF(F3="1",SUMIF(Data!A:A,'51'!$A$2,Data!EO:EO),0)</f>
        <v>0</v>
      </c>
      <c r="F83" s="22" t="str">
        <f t="shared" si="5"/>
        <v/>
      </c>
    </row>
    <row r="84" spans="1:6" x14ac:dyDescent="0.2">
      <c r="A84" s="20">
        <v>18</v>
      </c>
      <c r="B84" s="179" t="s">
        <v>16</v>
      </c>
      <c r="C84" s="180"/>
      <c r="D84" s="15">
        <f t="shared" si="4"/>
        <v>32672</v>
      </c>
      <c r="E84" s="18">
        <f>IF(F3="1",SUMIF(Data!A:A,'51'!$A$2,Data!EP:EP),0)</f>
        <v>141971</v>
      </c>
      <c r="F84" s="22">
        <f t="shared" si="5"/>
        <v>4.3453415768854065</v>
      </c>
    </row>
    <row r="85" spans="1:6" x14ac:dyDescent="0.2">
      <c r="A85" s="20">
        <v>19</v>
      </c>
      <c r="B85" s="179" t="s">
        <v>17</v>
      </c>
      <c r="C85" s="180"/>
      <c r="D85" s="15">
        <f t="shared" si="4"/>
        <v>110848</v>
      </c>
      <c r="E85" s="18">
        <f>IF(F3="1",SUMIF(Data!A:A,'51'!$A$2,Data!EQ:EQ),0)</f>
        <v>352492</v>
      </c>
      <c r="F85" s="22">
        <f t="shared" si="5"/>
        <v>3.1799581408775981</v>
      </c>
    </row>
    <row r="86" spans="1:6" x14ac:dyDescent="0.2">
      <c r="A86" s="20">
        <v>20</v>
      </c>
      <c r="B86" s="179" t="s">
        <v>18</v>
      </c>
      <c r="C86" s="180"/>
      <c r="D86" s="15">
        <f t="shared" si="4"/>
        <v>150524</v>
      </c>
      <c r="E86" s="18">
        <f>IF(F3="1",SUMIF(Data!A:A,'51'!$A$2,Data!ER:ER),0)</f>
        <v>313051</v>
      </c>
      <c r="F86" s="22">
        <f t="shared" si="5"/>
        <v>2.0797414365815419</v>
      </c>
    </row>
    <row r="87" spans="1:6" ht="14.25" customHeight="1" x14ac:dyDescent="0.2">
      <c r="A87" s="20">
        <v>21</v>
      </c>
      <c r="B87" s="179" t="s">
        <v>801</v>
      </c>
      <c r="C87" s="180"/>
      <c r="D87" s="15">
        <f t="shared" si="4"/>
        <v>34752</v>
      </c>
      <c r="E87" s="18">
        <f>IF(F3="1",SUMIF(Data!A:A,'51'!$A$2,Data!ES:ES),0)</f>
        <v>107384</v>
      </c>
      <c r="F87" s="22">
        <f t="shared" si="5"/>
        <v>3.090009208103131</v>
      </c>
    </row>
    <row r="88" spans="1:6" x14ac:dyDescent="0.2">
      <c r="A88" s="20">
        <v>22</v>
      </c>
      <c r="B88" s="179" t="s">
        <v>19</v>
      </c>
      <c r="C88" s="180"/>
      <c r="D88" s="15">
        <f t="shared" si="4"/>
        <v>79072</v>
      </c>
      <c r="E88" s="18">
        <f>IF(F3="1",SUMIF(Data!A:A,'51'!$A$2,Data!ET:ET),0)</f>
        <v>91667</v>
      </c>
      <c r="F88" s="22">
        <f t="shared" si="5"/>
        <v>1.1592852084176446</v>
      </c>
    </row>
    <row r="89" spans="1:6" x14ac:dyDescent="0.2">
      <c r="A89" s="20">
        <v>23</v>
      </c>
      <c r="B89" s="179" t="s">
        <v>20</v>
      </c>
      <c r="C89" s="180"/>
      <c r="D89" s="15">
        <f t="shared" si="4"/>
        <v>5424</v>
      </c>
      <c r="E89" s="18">
        <f>IF(F3="1",SUMIF(Data!A:A,'51'!$A$2,Data!EU:EU),0)</f>
        <v>9</v>
      </c>
      <c r="F89" s="22">
        <f t="shared" si="5"/>
        <v>1.6592920353982301E-3</v>
      </c>
    </row>
    <row r="90" spans="1:6" x14ac:dyDescent="0.2">
      <c r="A90" s="20">
        <v>24</v>
      </c>
      <c r="B90" s="179" t="s">
        <v>21</v>
      </c>
      <c r="C90" s="180"/>
      <c r="D90" s="15">
        <f t="shared" si="4"/>
        <v>53280</v>
      </c>
      <c r="E90" s="18">
        <f>IF(F3="1",SUMIF(Data!A:A,'51'!$A$2,Data!EV:EV),0)</f>
        <v>73078</v>
      </c>
      <c r="F90" s="22">
        <f t="shared" si="5"/>
        <v>1.3715840840840841</v>
      </c>
    </row>
    <row r="91" spans="1:6" x14ac:dyDescent="0.2">
      <c r="A91" s="20">
        <v>25</v>
      </c>
      <c r="B91" s="179" t="s">
        <v>22</v>
      </c>
      <c r="C91" s="180"/>
      <c r="D91" s="15">
        <f t="shared" si="4"/>
        <v>360582</v>
      </c>
      <c r="E91" s="18">
        <f>IF(F3="1",SUMIF(Data!A:A,'51'!$A$2,Data!EW:EW),0)</f>
        <v>380854</v>
      </c>
      <c r="F91" s="22">
        <f t="shared" si="5"/>
        <v>1.0562202217526111</v>
      </c>
    </row>
    <row r="92" spans="1:6" x14ac:dyDescent="0.2">
      <c r="A92" s="20">
        <v>26</v>
      </c>
      <c r="B92" s="179" t="s">
        <v>23</v>
      </c>
      <c r="C92" s="180"/>
      <c r="D92" s="15">
        <f t="shared" si="4"/>
        <v>139528</v>
      </c>
      <c r="E92" s="18">
        <f>IF(F3="1",SUMIF(Data!A:A,'51'!$A$2,Data!EX:EX),0)</f>
        <v>99727</v>
      </c>
      <c r="F92" s="22">
        <f t="shared" si="5"/>
        <v>0.71474542744108704</v>
      </c>
    </row>
    <row r="93" spans="1:6" x14ac:dyDescent="0.2">
      <c r="A93" s="20">
        <v>28</v>
      </c>
      <c r="B93" s="179" t="s">
        <v>24</v>
      </c>
      <c r="C93" s="180"/>
      <c r="D93" s="15">
        <f t="shared" si="4"/>
        <v>204528</v>
      </c>
      <c r="E93" s="18">
        <f>IF(F3="1",SUMIF(Data!A:A,'51'!$A$2,Data!EZ:EZ),0)</f>
        <v>470165</v>
      </c>
      <c r="F93" s="22">
        <f t="shared" si="5"/>
        <v>2.2987806070562464</v>
      </c>
    </row>
    <row r="94" spans="1:6" ht="15.75" customHeight="1" thickBot="1" x14ac:dyDescent="0.25">
      <c r="A94" s="23">
        <v>29</v>
      </c>
      <c r="B94" s="181" t="s">
        <v>25</v>
      </c>
      <c r="C94" s="182"/>
      <c r="D94" s="24">
        <f t="shared" si="4"/>
        <v>131040</v>
      </c>
      <c r="E94" s="25">
        <f>IF(F3="1",SUMIF(Data!A:A,'51'!$A$2,Data!FA:FA),0)</f>
        <v>331904</v>
      </c>
      <c r="F94" s="26">
        <f t="shared" si="5"/>
        <v>2.5328449328449327</v>
      </c>
    </row>
    <row r="95" spans="1:6" x14ac:dyDescent="0.2">
      <c r="B95" s="31" t="s">
        <v>35</v>
      </c>
      <c r="C95" s="31"/>
      <c r="D95" s="61">
        <f>SUM(D67:D94)</f>
        <v>3153261</v>
      </c>
      <c r="E95" s="32">
        <f>SUM(E67:E94)</f>
        <v>7878329</v>
      </c>
      <c r="F95" s="33">
        <f t="shared" si="5"/>
        <v>2.4984703137482116</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IF(F3="1",SUMIF(Data!A:A,'51'!$A$2,Data!AH:AH),0)</f>
        <v>3211198</v>
      </c>
      <c r="F98" s="21">
        <f t="shared" ref="F98:F105" si="6">IFERROR(E98/$D$95,0)</f>
        <v>1.0183736772820264</v>
      </c>
    </row>
    <row r="99" spans="2:6" x14ac:dyDescent="0.2">
      <c r="B99" s="185" t="s">
        <v>31</v>
      </c>
      <c r="C99" s="186"/>
      <c r="D99" s="37"/>
      <c r="E99" s="18">
        <f>IF(F3="1",SUMIF(Data!A:A,'51'!$A$2,Data!AI:AI),0)</f>
        <v>2850758</v>
      </c>
      <c r="F99" s="22">
        <f t="shared" si="6"/>
        <v>0.9040666154815602</v>
      </c>
    </row>
    <row r="100" spans="2:6" x14ac:dyDescent="0.2">
      <c r="B100" s="185" t="s">
        <v>32</v>
      </c>
      <c r="C100" s="186"/>
      <c r="D100" s="37"/>
      <c r="E100" s="18">
        <f>IF(F3="1",SUMIF(Data!A:A,'51'!$A$2,Data!AJ:AJ),0)</f>
        <v>1910044</v>
      </c>
      <c r="F100" s="22">
        <f t="shared" si="6"/>
        <v>0.60573609352349833</v>
      </c>
    </row>
    <row r="101" spans="2:6" x14ac:dyDescent="0.2">
      <c r="B101" s="185" t="s">
        <v>28</v>
      </c>
      <c r="C101" s="186"/>
      <c r="D101" s="37"/>
      <c r="E101" s="18">
        <f>IF(F3="1",SUMIF(Data!A:A,'51'!$A$2,Data!AK:AK),0)</f>
        <v>338094</v>
      </c>
      <c r="F101" s="22">
        <f t="shared" si="6"/>
        <v>0.10722042989781055</v>
      </c>
    </row>
    <row r="102" spans="2:6" x14ac:dyDescent="0.2">
      <c r="B102" s="185" t="s">
        <v>33</v>
      </c>
      <c r="C102" s="186"/>
      <c r="D102" s="37"/>
      <c r="E102" s="18">
        <f>IF(F3="1",SUMIF(Data!A:A,'51'!$A$2,Data!AL:AL),0)</f>
        <v>921487</v>
      </c>
      <c r="F102" s="22">
        <f t="shared" si="6"/>
        <v>0.29223302479560048</v>
      </c>
    </row>
    <row r="103" spans="2:6" x14ac:dyDescent="0.2">
      <c r="B103" s="187" t="s">
        <v>34</v>
      </c>
      <c r="C103" s="188"/>
      <c r="D103" s="37"/>
      <c r="E103" s="18">
        <f>IF(F3="1",SUMIF(Data!A:A,'51'!$A$2,Data!AM:AM),0)</f>
        <v>778762</v>
      </c>
      <c r="F103" s="22">
        <f t="shared" si="6"/>
        <v>0.24697035862239122</v>
      </c>
    </row>
    <row r="104" spans="2:6" ht="15.75" customHeight="1" thickBot="1" x14ac:dyDescent="0.25">
      <c r="B104" s="177" t="s">
        <v>29</v>
      </c>
      <c r="C104" s="178"/>
      <c r="D104" s="38"/>
      <c r="E104" s="25">
        <f>IF(F3="1",SUMIF(Data!A:A,'51'!$A$2,Data!Q:Q),0)</f>
        <v>225573</v>
      </c>
      <c r="F104" s="26">
        <f t="shared" si="6"/>
        <v>7.1536418964367368E-2</v>
      </c>
    </row>
    <row r="105" spans="2:6" x14ac:dyDescent="0.2">
      <c r="B105" s="31" t="s">
        <v>35</v>
      </c>
      <c r="C105" s="31"/>
      <c r="D105" s="35">
        <f>D95</f>
        <v>3153261</v>
      </c>
      <c r="E105" s="32">
        <f>SUM(E98:E104)</f>
        <v>10235916</v>
      </c>
      <c r="F105" s="33">
        <f t="shared" si="6"/>
        <v>3.2461366185672547</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10301600</v>
      </c>
      <c r="D109" s="16">
        <f>IF(F3="1",SUMIF(Data!$A:$A,$A$2,Data!HJ:HJ),0)</f>
        <v>1229820</v>
      </c>
      <c r="E109" s="16">
        <f>IF(F3="1",SUMIF(Data!$A:$A,$A$2,Data!IN:IN),0)</f>
        <v>2156098</v>
      </c>
      <c r="F109" s="48">
        <f>SUM(C109:E109)</f>
        <v>13687518</v>
      </c>
    </row>
    <row r="110" spans="2:6" x14ac:dyDescent="0.2">
      <c r="B110" s="43" t="s">
        <v>28</v>
      </c>
      <c r="C110" s="51">
        <f>IF(F3="1",SUMIF(Data!A:A,$A$2,Data!W:W),0)</f>
        <v>311196</v>
      </c>
      <c r="D110" s="52"/>
      <c r="E110" s="51">
        <f>IF(F3="1",SUMIF(Data!A:A,$A$2,Data!W:W),0)</f>
        <v>311196</v>
      </c>
      <c r="F110" s="49">
        <f t="shared" ref="F110:F116" si="7">SUM(C110:E110)</f>
        <v>622392</v>
      </c>
    </row>
    <row r="111" spans="2:6" x14ac:dyDescent="0.2">
      <c r="B111" s="43" t="s">
        <v>1277</v>
      </c>
      <c r="C111" s="51">
        <f>IF(F3="1",SUMIF(Data!A:A,$A$2,Data!AS:AS),0)</f>
        <v>388985</v>
      </c>
      <c r="D111" s="52"/>
      <c r="E111" s="51">
        <f>IF(F3="1",SUMIF(Data!A:A,$A$2,Data!AX:AX),0)</f>
        <v>674027</v>
      </c>
      <c r="F111" s="49">
        <f t="shared" si="7"/>
        <v>1063012</v>
      </c>
    </row>
    <row r="112" spans="2:6" x14ac:dyDescent="0.2">
      <c r="B112" s="43" t="s">
        <v>32</v>
      </c>
      <c r="C112" s="51">
        <f>IF(F3="1",SUMIF(Data!A:A,$A$2,Data!V:V),0)</f>
        <v>1627651</v>
      </c>
      <c r="D112" s="52"/>
      <c r="E112" s="51">
        <f>IF(F3="1",SUMIF(Data!A:A,$A$2,Data!AC:AC),0)</f>
        <v>282393</v>
      </c>
      <c r="F112" s="49">
        <f t="shared" si="7"/>
        <v>1910044</v>
      </c>
    </row>
    <row r="113" spans="1:6" x14ac:dyDescent="0.2">
      <c r="B113" s="43" t="s">
        <v>31</v>
      </c>
      <c r="C113" s="51">
        <f>IF(F3="1",SUMIF(Data!A:A,$A$2,Data!U:U),0)</f>
        <v>1813605</v>
      </c>
      <c r="D113" s="52"/>
      <c r="E113" s="51">
        <f>IF(F3="1",SUMIF(Data!A:A,$A$2,Data!AB:AB),0)</f>
        <v>1037153</v>
      </c>
      <c r="F113" s="49">
        <f t="shared" si="7"/>
        <v>2850758</v>
      </c>
    </row>
    <row r="114" spans="1:6" x14ac:dyDescent="0.2">
      <c r="B114" s="43" t="s">
        <v>1363</v>
      </c>
      <c r="C114" s="51">
        <f>IF(F3="1",SUMIF(Data!A:A,$A$2,Data!T:T),0)</f>
        <v>2069872</v>
      </c>
      <c r="D114" s="52"/>
      <c r="E114" s="51">
        <f>IF(F3="1",SUMIF(Data!A:A,$A$2,Data!AA:AA),0)</f>
        <v>1141326</v>
      </c>
      <c r="F114" s="49">
        <f t="shared" si="7"/>
        <v>3211198</v>
      </c>
    </row>
    <row r="115" spans="1:6" x14ac:dyDescent="0.2">
      <c r="B115" s="43" t="s">
        <v>1278</v>
      </c>
      <c r="C115" s="51">
        <f>IF(F3="1",SUMIF(Data!A:A,$A$2,Data!BI:BI),0)</f>
        <v>1213108</v>
      </c>
      <c r="D115" s="51">
        <f>IF(F3="1",SUMIF(Data!A:A,$A$2,Data!BL:BL),0)</f>
        <v>655547</v>
      </c>
      <c r="E115" s="51">
        <f>IF(F3="1",SUMIF(Data!A:A,$A$2,Data!BU:BU),0)</f>
        <v>2333987</v>
      </c>
      <c r="F115" s="49">
        <f t="shared" si="7"/>
        <v>4202642</v>
      </c>
    </row>
    <row r="116" spans="1:6" x14ac:dyDescent="0.2">
      <c r="B116" s="43" t="s">
        <v>33</v>
      </c>
      <c r="C116" s="51">
        <f>IF(F3="1",SUMIF(Data!A:A,$A$2,Data!X:X),0)</f>
        <v>0</v>
      </c>
      <c r="D116" s="51"/>
      <c r="E116" s="51">
        <f>E102</f>
        <v>921487</v>
      </c>
      <c r="F116" s="49">
        <f t="shared" si="7"/>
        <v>921487</v>
      </c>
    </row>
    <row r="117" spans="1:6" ht="15" thickBot="1" x14ac:dyDescent="0.25">
      <c r="B117" s="44" t="s">
        <v>1282</v>
      </c>
      <c r="C117" s="53"/>
      <c r="D117" s="53">
        <f>IF(F3="1",SUMIF(Data!A:A,$A$2,Data!Q:Q),0)</f>
        <v>225573</v>
      </c>
      <c r="E117" s="53"/>
      <c r="F117" s="50">
        <f>SUM(C117:E117)</f>
        <v>225573</v>
      </c>
    </row>
    <row r="118" spans="1:6" x14ac:dyDescent="0.2">
      <c r="B118" s="14" t="s">
        <v>35</v>
      </c>
      <c r="C118" s="5">
        <f>SUM(C109:C116)</f>
        <v>17726017</v>
      </c>
      <c r="D118" s="5">
        <f>SUM(D109:D116)</f>
        <v>1885367</v>
      </c>
      <c r="E118" s="5">
        <f>SUM(E109:E116)</f>
        <v>8857667</v>
      </c>
      <c r="F118" s="5">
        <f>SUM(F109:F116)</f>
        <v>28469051</v>
      </c>
    </row>
    <row r="119" spans="1:6" ht="15" thickBot="1" x14ac:dyDescent="0.25"/>
    <row r="120" spans="1:6" ht="15" thickBot="1" x14ac:dyDescent="0.25">
      <c r="B120" s="57" t="s">
        <v>1283</v>
      </c>
      <c r="C120" s="55"/>
      <c r="D120" s="55"/>
      <c r="E120" s="55">
        <f>IF(F3="1",SUMIF(Data!A:A,'51'!$A$2,Data!AM:AM),0)</f>
        <v>778762</v>
      </c>
      <c r="F120" s="56">
        <f>SUM(C120:E120)</f>
        <v>778762</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28515625" style="11" bestFit="1" customWidth="1"/>
    <col min="12"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688</v>
      </c>
      <c r="B2" s="60" t="str">
        <f>VLOOKUP(A2,Data!A:G,7,0)</f>
        <v>Texas State Technical College-West Texas</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8176</v>
      </c>
      <c r="E5" s="16">
        <f>E36+E67+IFERROR($E$105/$D$105*D5,0)</f>
        <v>133497.671760389</v>
      </c>
      <c r="F5" s="21">
        <f>IFERROR(E5/D5,"")</f>
        <v>16.327993121378302</v>
      </c>
    </row>
    <row r="6" spans="1:6" x14ac:dyDescent="0.2">
      <c r="A6" s="20">
        <v>2</v>
      </c>
      <c r="B6" s="179" t="s">
        <v>1</v>
      </c>
      <c r="C6" s="180"/>
      <c r="D6" s="15">
        <f t="shared" ref="D6:D32" si="0">D37</f>
        <v>24160</v>
      </c>
      <c r="E6" s="18">
        <f t="shared" ref="E6:E32" si="1">E37+E68+IFERROR($E$105/$D$105*D6,0)</f>
        <v>394484.03788294981</v>
      </c>
      <c r="F6" s="22">
        <f t="shared" ref="F6:F33" si="2">IFERROR(E6/D6,"")</f>
        <v>16.327981700453222</v>
      </c>
    </row>
    <row r="7" spans="1:6" ht="14.25" customHeight="1" x14ac:dyDescent="0.2">
      <c r="A7" s="20">
        <v>3</v>
      </c>
      <c r="B7" s="179" t="s">
        <v>2</v>
      </c>
      <c r="C7" s="180"/>
      <c r="D7" s="15">
        <f t="shared" si="0"/>
        <v>13664</v>
      </c>
      <c r="E7" s="18">
        <f t="shared" si="1"/>
        <v>469785.46513380075</v>
      </c>
      <c r="F7" s="22">
        <f t="shared" si="2"/>
        <v>34.381254766817968</v>
      </c>
    </row>
    <row r="8" spans="1:6" ht="14.25" customHeight="1" x14ac:dyDescent="0.2">
      <c r="A8" s="20">
        <v>4</v>
      </c>
      <c r="B8" s="179" t="s">
        <v>3</v>
      </c>
      <c r="C8" s="180"/>
      <c r="D8" s="15">
        <f t="shared" si="0"/>
        <v>202464</v>
      </c>
      <c r="E8" s="18">
        <f t="shared" si="1"/>
        <v>2299549.3042191043</v>
      </c>
      <c r="F8" s="22">
        <f t="shared" si="2"/>
        <v>11.357818200860915</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9600</v>
      </c>
      <c r="E10" s="18">
        <f t="shared" si="1"/>
        <v>156748.27995349001</v>
      </c>
      <c r="F10" s="22">
        <f t="shared" si="2"/>
        <v>16.327945828488541</v>
      </c>
    </row>
    <row r="11" spans="1:6" x14ac:dyDescent="0.2">
      <c r="A11" s="20">
        <v>7</v>
      </c>
      <c r="B11" s="179" t="s">
        <v>6</v>
      </c>
      <c r="C11" s="180"/>
      <c r="D11" s="15">
        <f t="shared" si="0"/>
        <v>71992</v>
      </c>
      <c r="E11" s="18">
        <f t="shared" si="1"/>
        <v>817672.38275121374</v>
      </c>
      <c r="F11" s="22">
        <f t="shared" si="2"/>
        <v>11.357822851861508</v>
      </c>
    </row>
    <row r="12" spans="1:6" x14ac:dyDescent="0.2">
      <c r="A12" s="20">
        <v>8</v>
      </c>
      <c r="B12" s="179" t="s">
        <v>7</v>
      </c>
      <c r="C12" s="180"/>
      <c r="D12" s="15">
        <f t="shared" si="0"/>
        <v>13168</v>
      </c>
      <c r="E12" s="18">
        <f t="shared" si="1"/>
        <v>215007.01733620377</v>
      </c>
      <c r="F12" s="22">
        <f t="shared" si="2"/>
        <v>16.327993418605999</v>
      </c>
    </row>
    <row r="13" spans="1:6" x14ac:dyDescent="0.2">
      <c r="A13" s="20">
        <v>9</v>
      </c>
      <c r="B13" s="179" t="s">
        <v>8</v>
      </c>
      <c r="C13" s="180"/>
      <c r="D13" s="15">
        <f t="shared" si="0"/>
        <v>34224</v>
      </c>
      <c r="E13" s="18">
        <f t="shared" si="1"/>
        <v>558806.89803419192</v>
      </c>
      <c r="F13" s="22">
        <f t="shared" si="2"/>
        <v>16.327924790620383</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146192</v>
      </c>
      <c r="E15" s="18">
        <f t="shared" si="1"/>
        <v>2278381.6298917299</v>
      </c>
      <c r="F15" s="22">
        <f t="shared" si="2"/>
        <v>15.584858473047293</v>
      </c>
    </row>
    <row r="16" spans="1:6" ht="14.25" customHeight="1" x14ac:dyDescent="0.2">
      <c r="A16" s="20">
        <v>12</v>
      </c>
      <c r="B16" s="179" t="s">
        <v>11</v>
      </c>
      <c r="C16" s="180"/>
      <c r="D16" s="15">
        <f t="shared" si="0"/>
        <v>0</v>
      </c>
      <c r="E16" s="18">
        <f t="shared" si="1"/>
        <v>0</v>
      </c>
      <c r="F16" s="22" t="str">
        <f t="shared" si="2"/>
        <v/>
      </c>
    </row>
    <row r="17" spans="1:6" x14ac:dyDescent="0.2">
      <c r="A17" s="20">
        <v>13</v>
      </c>
      <c r="B17" s="179" t="s">
        <v>12</v>
      </c>
      <c r="C17" s="180"/>
      <c r="D17" s="15">
        <f t="shared" si="0"/>
        <v>0</v>
      </c>
      <c r="E17" s="18">
        <f t="shared" si="1"/>
        <v>0</v>
      </c>
      <c r="F17" s="22" t="str">
        <f t="shared" si="2"/>
        <v/>
      </c>
    </row>
    <row r="18" spans="1:6" ht="14.25" customHeight="1" x14ac:dyDescent="0.2">
      <c r="A18" s="20">
        <v>14</v>
      </c>
      <c r="B18" s="179" t="s">
        <v>804</v>
      </c>
      <c r="C18" s="180"/>
      <c r="D18" s="15">
        <f t="shared" si="0"/>
        <v>9160</v>
      </c>
      <c r="E18" s="18">
        <f t="shared" si="1"/>
        <v>171919.85045562172</v>
      </c>
      <c r="F18" s="22">
        <f t="shared" si="2"/>
        <v>18.768542626159576</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85185</v>
      </c>
      <c r="E20" s="18">
        <f t="shared" si="1"/>
        <v>1598805.7653997964</v>
      </c>
      <c r="F20" s="22">
        <f t="shared" si="2"/>
        <v>18.768630221280699</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18144</v>
      </c>
      <c r="E22" s="18">
        <f t="shared" si="1"/>
        <v>340536.92911209608</v>
      </c>
      <c r="F22" s="22">
        <f t="shared" si="2"/>
        <v>18.768569726195771</v>
      </c>
    </row>
    <row r="23" spans="1:6" x14ac:dyDescent="0.2">
      <c r="A23" s="20">
        <v>19</v>
      </c>
      <c r="B23" s="179" t="s">
        <v>17</v>
      </c>
      <c r="C23" s="180"/>
      <c r="D23" s="15">
        <f t="shared" si="0"/>
        <v>0</v>
      </c>
      <c r="E23" s="18">
        <f t="shared" si="1"/>
        <v>0</v>
      </c>
      <c r="F23" s="22" t="str">
        <f t="shared" si="2"/>
        <v/>
      </c>
    </row>
    <row r="24" spans="1:6" x14ac:dyDescent="0.2">
      <c r="A24" s="20">
        <v>20</v>
      </c>
      <c r="B24" s="179" t="s">
        <v>18</v>
      </c>
      <c r="C24" s="180"/>
      <c r="D24" s="15">
        <f t="shared" si="0"/>
        <v>33760</v>
      </c>
      <c r="E24" s="18">
        <f t="shared" si="1"/>
        <v>472342.31783643982</v>
      </c>
      <c r="F24" s="22">
        <f t="shared" si="2"/>
        <v>13.991182400368478</v>
      </c>
    </row>
    <row r="25" spans="1:6" ht="14.25" customHeight="1" x14ac:dyDescent="0.2">
      <c r="A25" s="20">
        <v>21</v>
      </c>
      <c r="B25" s="179" t="s">
        <v>801</v>
      </c>
      <c r="C25" s="180"/>
      <c r="D25" s="15">
        <f t="shared" si="0"/>
        <v>49440</v>
      </c>
      <c r="E25" s="18">
        <f t="shared" si="1"/>
        <v>691724.44176047342</v>
      </c>
      <c r="F25" s="22">
        <f t="shared" si="2"/>
        <v>13.99119016505812</v>
      </c>
    </row>
    <row r="26" spans="1:6" x14ac:dyDescent="0.2">
      <c r="A26" s="20">
        <v>22</v>
      </c>
      <c r="B26" s="179" t="s">
        <v>19</v>
      </c>
      <c r="C26" s="180"/>
      <c r="D26" s="15">
        <f t="shared" si="0"/>
        <v>8736</v>
      </c>
      <c r="E26" s="18">
        <f t="shared" si="1"/>
        <v>142639.8547576759</v>
      </c>
      <c r="F26" s="22">
        <f t="shared" si="2"/>
        <v>16.327822202114916</v>
      </c>
    </row>
    <row r="27" spans="1:6" x14ac:dyDescent="0.2">
      <c r="A27" s="20">
        <v>23</v>
      </c>
      <c r="B27" s="179" t="s">
        <v>20</v>
      </c>
      <c r="C27" s="180"/>
      <c r="D27" s="15">
        <f t="shared" si="0"/>
        <v>0</v>
      </c>
      <c r="E27" s="18">
        <f t="shared" si="1"/>
        <v>0</v>
      </c>
      <c r="F27" s="22" t="str">
        <f t="shared" si="2"/>
        <v/>
      </c>
    </row>
    <row r="28" spans="1:6" x14ac:dyDescent="0.2">
      <c r="A28" s="20">
        <v>24</v>
      </c>
      <c r="B28" s="179" t="s">
        <v>21</v>
      </c>
      <c r="C28" s="180"/>
      <c r="D28" s="15">
        <f t="shared" si="0"/>
        <v>5472</v>
      </c>
      <c r="E28" s="18">
        <f t="shared" si="1"/>
        <v>62150.359573489302</v>
      </c>
      <c r="F28" s="22">
        <f t="shared" si="2"/>
        <v>11.357887348956378</v>
      </c>
    </row>
    <row r="29" spans="1:6" x14ac:dyDescent="0.2">
      <c r="A29" s="20">
        <v>25</v>
      </c>
      <c r="B29" s="179" t="s">
        <v>22</v>
      </c>
      <c r="C29" s="180"/>
      <c r="D29" s="15">
        <f t="shared" si="0"/>
        <v>3952</v>
      </c>
      <c r="E29" s="18">
        <f t="shared" si="1"/>
        <v>135875.14858085339</v>
      </c>
      <c r="F29" s="22">
        <f t="shared" si="2"/>
        <v>34.381363507300961</v>
      </c>
    </row>
    <row r="30" spans="1:6" x14ac:dyDescent="0.2">
      <c r="A30" s="20">
        <v>26</v>
      </c>
      <c r="B30" s="179" t="s">
        <v>23</v>
      </c>
      <c r="C30" s="180"/>
      <c r="D30" s="15">
        <f t="shared" si="0"/>
        <v>50000</v>
      </c>
      <c r="E30" s="18">
        <f t="shared" si="1"/>
        <v>567889.62475776044</v>
      </c>
      <c r="F30" s="22">
        <f t="shared" si="2"/>
        <v>11.357792495155209</v>
      </c>
    </row>
    <row r="31" spans="1:6" x14ac:dyDescent="0.2">
      <c r="A31" s="20">
        <v>28</v>
      </c>
      <c r="B31" s="179" t="s">
        <v>24</v>
      </c>
      <c r="C31" s="180"/>
      <c r="D31" s="15">
        <f t="shared" si="0"/>
        <v>27456</v>
      </c>
      <c r="E31" s="18">
        <f t="shared" si="1"/>
        <v>538219.40066698135</v>
      </c>
      <c r="F31" s="22">
        <f t="shared" si="2"/>
        <v>19.602979336647049</v>
      </c>
    </row>
    <row r="32" spans="1:6" ht="15.75" customHeight="1" thickBot="1" x14ac:dyDescent="0.25">
      <c r="A32" s="23">
        <v>29</v>
      </c>
      <c r="B32" s="181" t="s">
        <v>25</v>
      </c>
      <c r="C32" s="182"/>
      <c r="D32" s="24">
        <f t="shared" si="0"/>
        <v>13264</v>
      </c>
      <c r="E32" s="25">
        <f t="shared" si="1"/>
        <v>260014.62013573869</v>
      </c>
      <c r="F32" s="26">
        <f t="shared" si="2"/>
        <v>19.603032278026138</v>
      </c>
    </row>
    <row r="33" spans="1:6" x14ac:dyDescent="0.2">
      <c r="B33" s="31" t="s">
        <v>35</v>
      </c>
      <c r="C33" s="31"/>
      <c r="D33" s="61">
        <f>SUM(D5:D32)</f>
        <v>828209</v>
      </c>
      <c r="E33" s="32">
        <f>SUM(E5:E32)</f>
        <v>12306051</v>
      </c>
      <c r="F33" s="33">
        <f t="shared" si="2"/>
        <v>14.858629886900529</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IF(F3="1",SUMIF(Data!A:A,'52'!$A$2,Data!CU:CU),0)</f>
        <v>8176</v>
      </c>
      <c r="E36" s="16">
        <f>IF(F3="1",SUMIF(Data!$A:$A,'52'!$A$2,Data!IO:IO),0)</f>
        <v>19424</v>
      </c>
      <c r="F36" s="21">
        <f t="shared" ref="F36:F64" si="3">IFERROR(E36/D36,"")</f>
        <v>2.37573385518591</v>
      </c>
    </row>
    <row r="37" spans="1:6" x14ac:dyDescent="0.2">
      <c r="A37" s="20">
        <v>2</v>
      </c>
      <c r="B37" s="179" t="s">
        <v>1</v>
      </c>
      <c r="C37" s="180"/>
      <c r="D37" s="15">
        <f>IF(F3="1",SUMIF(Data!A:A,'52'!$A$2,Data!CV:CV),0)</f>
        <v>24160</v>
      </c>
      <c r="E37" s="18">
        <f>IF(F3="1",SUMIF(Data!$A:$A,'52'!$A$2,Data!IP:IP),0)</f>
        <v>57397</v>
      </c>
      <c r="F37" s="22">
        <f t="shared" si="3"/>
        <v>2.375703642384106</v>
      </c>
    </row>
    <row r="38" spans="1:6" ht="14.25" customHeight="1" x14ac:dyDescent="0.2">
      <c r="A38" s="20">
        <v>3</v>
      </c>
      <c r="B38" s="179" t="s">
        <v>2</v>
      </c>
      <c r="C38" s="180"/>
      <c r="D38" s="15">
        <f>IF(F3="1",SUMIF(Data!A:A,'52'!$A$2,Data!CW:CW),0)</f>
        <v>13664</v>
      </c>
      <c r="E38" s="18">
        <f>IF(F3="1",SUMIF(Data!$A:$A,'52'!$A$2,Data!IQ:IQ),0)</f>
        <v>99056</v>
      </c>
      <c r="F38" s="22">
        <f t="shared" si="3"/>
        <v>7.2494145199063231</v>
      </c>
    </row>
    <row r="39" spans="1:6" ht="14.25" customHeight="1" x14ac:dyDescent="0.2">
      <c r="A39" s="20">
        <v>4</v>
      </c>
      <c r="B39" s="179" t="s">
        <v>3</v>
      </c>
      <c r="C39" s="180"/>
      <c r="D39" s="15">
        <f>IF(F3="1",SUMIF(Data!A:A,'52'!$A$2,Data!CX:CX),0)</f>
        <v>202464</v>
      </c>
      <c r="E39" s="18">
        <f>IF(F3="1",SUMIF(Data!$A:$A,'52'!$A$2,Data!IR:IR),0)</f>
        <v>210594</v>
      </c>
      <c r="F39" s="22">
        <f t="shared" si="3"/>
        <v>1.0401552868658133</v>
      </c>
    </row>
    <row r="40" spans="1:6" x14ac:dyDescent="0.2">
      <c r="A40" s="20">
        <v>5</v>
      </c>
      <c r="B40" s="179" t="s">
        <v>4</v>
      </c>
      <c r="C40" s="180"/>
      <c r="D40" s="15">
        <f>IF(F3="1",SUMIF(Data!A:A,'52'!$A$2,Data!CY:CY),0)</f>
        <v>0</v>
      </c>
      <c r="E40" s="18">
        <f>IF(F3="1",SUMIF(Data!$A:$A,'52'!$A$2,Data!IS:IS),0)</f>
        <v>0</v>
      </c>
      <c r="F40" s="22" t="str">
        <f t="shared" si="3"/>
        <v/>
      </c>
    </row>
    <row r="41" spans="1:6" x14ac:dyDescent="0.2">
      <c r="A41" s="20">
        <v>6</v>
      </c>
      <c r="B41" s="179" t="s">
        <v>5</v>
      </c>
      <c r="C41" s="180"/>
      <c r="D41" s="15">
        <f>IF(F3="1",SUMIF(Data!A:A,'52'!$A$2,Data!CZ:CZ),0)</f>
        <v>9600</v>
      </c>
      <c r="E41" s="18">
        <f>IF(F3="1",SUMIF(Data!$A:$A,'52'!$A$2,Data!IT:IT),0)</f>
        <v>22806</v>
      </c>
      <c r="F41" s="22">
        <f t="shared" si="3"/>
        <v>2.3756249999999999</v>
      </c>
    </row>
    <row r="42" spans="1:6" x14ac:dyDescent="0.2">
      <c r="A42" s="20">
        <v>7</v>
      </c>
      <c r="B42" s="179" t="s">
        <v>6</v>
      </c>
      <c r="C42" s="180"/>
      <c r="D42" s="15">
        <f>IF(F3="1",SUMIF(Data!A:A,'52'!$A$2,Data!DA:DA),0)</f>
        <v>71992</v>
      </c>
      <c r="E42" s="18">
        <f>IF(F3="1",SUMIF(Data!$A:$A,'52'!$A$2,Data!IU:IU),0)</f>
        <v>74883</v>
      </c>
      <c r="F42" s="22">
        <f t="shared" si="3"/>
        <v>1.0401572396932992</v>
      </c>
    </row>
    <row r="43" spans="1:6" x14ac:dyDescent="0.2">
      <c r="A43" s="20">
        <v>8</v>
      </c>
      <c r="B43" s="179" t="s">
        <v>7</v>
      </c>
      <c r="C43" s="180"/>
      <c r="D43" s="15">
        <f>IF(F3="1",SUMIF(Data!A:A,'52'!$A$2,Data!DB:DB),0)</f>
        <v>13168</v>
      </c>
      <c r="E43" s="18">
        <f>IF(F3="1",SUMIF(Data!$A:$A,'52'!$A$2,Data!IV:IV),0)</f>
        <v>31283</v>
      </c>
      <c r="F43" s="22">
        <f t="shared" si="3"/>
        <v>2.37568347509113</v>
      </c>
    </row>
    <row r="44" spans="1:6" x14ac:dyDescent="0.2">
      <c r="A44" s="20">
        <v>9</v>
      </c>
      <c r="B44" s="179" t="s">
        <v>8</v>
      </c>
      <c r="C44" s="180"/>
      <c r="D44" s="15">
        <f>IF(F3="1",SUMIF(Data!A:A,'52'!$A$2,Data!DC:DC),0)</f>
        <v>34224</v>
      </c>
      <c r="E44" s="18">
        <f>IF(F3="1",SUMIF(Data!$A:$A,'52'!$A$2,Data!IW:IW),0)</f>
        <v>81304</v>
      </c>
      <c r="F44" s="22">
        <f t="shared" si="3"/>
        <v>2.3756428237494158</v>
      </c>
    </row>
    <row r="45" spans="1:6" x14ac:dyDescent="0.2">
      <c r="A45" s="20">
        <v>10</v>
      </c>
      <c r="B45" s="179" t="s">
        <v>9</v>
      </c>
      <c r="C45" s="180"/>
      <c r="D45" s="15">
        <f>IF(F3="1",SUMIF(Data!A:A,'52'!$A$2,Data!DD:DD),0)</f>
        <v>0</v>
      </c>
      <c r="E45" s="18">
        <f>IF(F3="1",SUMIF(Data!$A:$A,'52'!$A$2,Data!IX:IX),0)</f>
        <v>0</v>
      </c>
      <c r="F45" s="22" t="str">
        <f t="shared" si="3"/>
        <v/>
      </c>
    </row>
    <row r="46" spans="1:6" x14ac:dyDescent="0.2">
      <c r="A46" s="20">
        <v>11</v>
      </c>
      <c r="B46" s="179" t="s">
        <v>10</v>
      </c>
      <c r="C46" s="180"/>
      <c r="D46" s="15">
        <f>IF(F3="1",SUMIF(Data!A:A,'52'!$A$2,Data!DE:DE),0)</f>
        <v>146192</v>
      </c>
      <c r="E46" s="18">
        <f>IF(F3="1",SUMIF(Data!$A:$A,'52'!$A$2,Data!IY:IY),0)</f>
        <v>499803</v>
      </c>
      <c r="F46" s="22">
        <f t="shared" si="3"/>
        <v>3.4188122469081756</v>
      </c>
    </row>
    <row r="47" spans="1:6" ht="14.25" customHeight="1" x14ac:dyDescent="0.2">
      <c r="A47" s="20">
        <v>12</v>
      </c>
      <c r="B47" s="179" t="s">
        <v>11</v>
      </c>
      <c r="C47" s="180"/>
      <c r="D47" s="15">
        <f>IF(F3="1",SUMIF(Data!A:A,'52'!$A$2,Data!DF:DF),0)</f>
        <v>0</v>
      </c>
      <c r="E47" s="18">
        <f>IF(F3="1",SUMIF(Data!$A:$A,'52'!$A$2,Data!IZ:IZ),0)</f>
        <v>0</v>
      </c>
      <c r="F47" s="22" t="str">
        <f t="shared" si="3"/>
        <v/>
      </c>
    </row>
    <row r="48" spans="1:6" x14ac:dyDescent="0.2">
      <c r="A48" s="20">
        <v>13</v>
      </c>
      <c r="B48" s="179" t="s">
        <v>12</v>
      </c>
      <c r="C48" s="180"/>
      <c r="D48" s="15">
        <f>IF(F3="1",SUMIF(Data!A:A,'52'!$A$2,Data!DG:DG),0)</f>
        <v>0</v>
      </c>
      <c r="E48" s="18">
        <f>IF(F3="1",SUMIF(Data!$A:$A,'52'!$A$2,Data!JA:JA),0)</f>
        <v>0</v>
      </c>
      <c r="F48" s="22" t="str">
        <f t="shared" si="3"/>
        <v/>
      </c>
    </row>
    <row r="49" spans="1:6" ht="14.25" customHeight="1" x14ac:dyDescent="0.2">
      <c r="A49" s="20">
        <v>14</v>
      </c>
      <c r="B49" s="179" t="s">
        <v>804</v>
      </c>
      <c r="C49" s="180"/>
      <c r="D49" s="15">
        <f>IF(F3="1",SUMIF(Data!A:A,'52'!$A$2,Data!DH:DH),0)</f>
        <v>9160</v>
      </c>
      <c r="E49" s="18">
        <f>IF(F3="1",SUMIF(Data!$A:$A,'52'!$A$2,Data!JB:JB),0)</f>
        <v>27644</v>
      </c>
      <c r="F49" s="22">
        <f t="shared" si="3"/>
        <v>3.0179039301310042</v>
      </c>
    </row>
    <row r="50" spans="1:6" x14ac:dyDescent="0.2">
      <c r="A50" s="20">
        <v>15</v>
      </c>
      <c r="B50" s="179" t="s">
        <v>13</v>
      </c>
      <c r="C50" s="180"/>
      <c r="D50" s="15">
        <f>IF(F3="1",SUMIF(Data!A:A,'52'!$A$2,Data!DI:DI),0)</f>
        <v>0</v>
      </c>
      <c r="E50" s="18">
        <f>IF(F3="1",SUMIF(Data!$A:$A,'52'!$A$2,Data!JC:JC),0)</f>
        <v>0</v>
      </c>
      <c r="F50" s="22" t="str">
        <f t="shared" si="3"/>
        <v/>
      </c>
    </row>
    <row r="51" spans="1:6" x14ac:dyDescent="0.2">
      <c r="A51" s="20">
        <v>16</v>
      </c>
      <c r="B51" s="179" t="s">
        <v>14</v>
      </c>
      <c r="C51" s="180"/>
      <c r="D51" s="15">
        <f>IF(F3="1",SUMIF(Data!A:A,'52'!$A$2,Data!DJ:DJ),0)</f>
        <v>85185</v>
      </c>
      <c r="E51" s="18">
        <f>IF(F3="1",SUMIF(Data!$A:$A,'52'!$A$2,Data!JD:JD),0)</f>
        <v>257086</v>
      </c>
      <c r="F51" s="22">
        <f t="shared" si="3"/>
        <v>3.0179726477666255</v>
      </c>
    </row>
    <row r="52" spans="1:6" x14ac:dyDescent="0.2">
      <c r="A52" s="20">
        <v>17</v>
      </c>
      <c r="B52" s="179" t="s">
        <v>15</v>
      </c>
      <c r="C52" s="180"/>
      <c r="D52" s="15">
        <f>IF(F3="1",SUMIF(Data!A:A,'52'!$A$2,Data!DK:DK),0)</f>
        <v>0</v>
      </c>
      <c r="E52" s="18">
        <f>IF(F3="1",SUMIF(Data!$A:$A,'52'!$A$2,Data!JE:JE),0)</f>
        <v>0</v>
      </c>
      <c r="F52" s="22" t="str">
        <f t="shared" si="3"/>
        <v/>
      </c>
    </row>
    <row r="53" spans="1:6" x14ac:dyDescent="0.2">
      <c r="A53" s="20">
        <v>18</v>
      </c>
      <c r="B53" s="179" t="s">
        <v>16</v>
      </c>
      <c r="C53" s="180"/>
      <c r="D53" s="15">
        <f>IF(F3="1",SUMIF(Data!A:A,'52'!$A$2,Data!DL:DL),0)</f>
        <v>18144</v>
      </c>
      <c r="E53" s="18">
        <f>IF(F3="1",SUMIF(Data!$A:$A,'52'!$A$2,Data!JF:JF),0)</f>
        <v>54757</v>
      </c>
      <c r="F53" s="22">
        <f t="shared" si="3"/>
        <v>3.017912257495591</v>
      </c>
    </row>
    <row r="54" spans="1:6" x14ac:dyDescent="0.2">
      <c r="A54" s="20">
        <v>19</v>
      </c>
      <c r="B54" s="179" t="s">
        <v>17</v>
      </c>
      <c r="C54" s="180"/>
      <c r="D54" s="15">
        <f>IF(F3="1",SUMIF(Data!A:A,'52'!$A$2,Data!DM:DM),0)</f>
        <v>0</v>
      </c>
      <c r="E54" s="18">
        <f>IF(F3="1",SUMIF(Data!$A:$A,'52'!$A$2,Data!JG:JG),0)</f>
        <v>0</v>
      </c>
      <c r="F54" s="22" t="str">
        <f t="shared" si="3"/>
        <v/>
      </c>
    </row>
    <row r="55" spans="1:6" x14ac:dyDescent="0.2">
      <c r="A55" s="20">
        <v>20</v>
      </c>
      <c r="B55" s="179" t="s">
        <v>18</v>
      </c>
      <c r="C55" s="180"/>
      <c r="D55" s="15">
        <f>IF(F3="1",SUMIF(Data!A:A,'52'!$A$2,Data!DN:DN),0)</f>
        <v>33760</v>
      </c>
      <c r="E55" s="18">
        <f>IF(F3="1",SUMIF(Data!$A:$A,'52'!$A$2,Data!JH:JH),0)</f>
        <v>77775</v>
      </c>
      <c r="F55" s="22">
        <f t="shared" si="3"/>
        <v>2.3037618483412321</v>
      </c>
    </row>
    <row r="56" spans="1:6" ht="14.25" customHeight="1" x14ac:dyDescent="0.2">
      <c r="A56" s="20">
        <v>21</v>
      </c>
      <c r="B56" s="179" t="s">
        <v>801</v>
      </c>
      <c r="C56" s="180"/>
      <c r="D56" s="15">
        <f>IF(F3="1",SUMIF(Data!A:A,'52'!$A$2,Data!DO:DO),0)</f>
        <v>49440</v>
      </c>
      <c r="E56" s="18">
        <f>IF(F3="1",SUMIF(Data!$A:$A,'52'!$A$2,Data!JI:JI),0)</f>
        <v>113898</v>
      </c>
      <c r="F56" s="22">
        <f t="shared" si="3"/>
        <v>2.3037621359223301</v>
      </c>
    </row>
    <row r="57" spans="1:6" x14ac:dyDescent="0.2">
      <c r="A57" s="20">
        <v>22</v>
      </c>
      <c r="B57" s="179" t="s">
        <v>19</v>
      </c>
      <c r="C57" s="180"/>
      <c r="D57" s="15">
        <f>IF(F3="1",SUMIF(Data!A:A,'52'!$A$2,Data!DP:DP),0)</f>
        <v>8736</v>
      </c>
      <c r="E57" s="18">
        <f>IF(F3="1",SUMIF(Data!$A:$A,'52'!$A$2,Data!JJ:JJ),0)</f>
        <v>20753</v>
      </c>
      <c r="F57" s="22">
        <f t="shared" si="3"/>
        <v>2.3755723443223444</v>
      </c>
    </row>
    <row r="58" spans="1:6" x14ac:dyDescent="0.2">
      <c r="A58" s="20">
        <v>23</v>
      </c>
      <c r="B58" s="179" t="s">
        <v>20</v>
      </c>
      <c r="C58" s="180"/>
      <c r="D58" s="15">
        <f>IF(F3="1",SUMIF(Data!A:A,'52'!$A$2,Data!DQ:DQ),0)</f>
        <v>0</v>
      </c>
      <c r="E58" s="18">
        <f>IF(F3="1",SUMIF(Data!$A:$A,'52'!$A$2,Data!JK:JK),0)</f>
        <v>0</v>
      </c>
      <c r="F58" s="22" t="str">
        <f t="shared" si="3"/>
        <v/>
      </c>
    </row>
    <row r="59" spans="1:6" x14ac:dyDescent="0.2">
      <c r="A59" s="20">
        <v>24</v>
      </c>
      <c r="B59" s="179" t="s">
        <v>21</v>
      </c>
      <c r="C59" s="180"/>
      <c r="D59" s="15">
        <f>IF(F3="1",SUMIF(Data!A:A,'52'!$A$2,Data!DR:DR),0)</f>
        <v>5472</v>
      </c>
      <c r="E59" s="18">
        <f>IF(F3="1",SUMIF(Data!$A:$A,'52'!$A$2,Data!JL:JL),0)</f>
        <v>5692</v>
      </c>
      <c r="F59" s="22">
        <f t="shared" si="3"/>
        <v>1.0402046783625731</v>
      </c>
    </row>
    <row r="60" spans="1:6" x14ac:dyDescent="0.2">
      <c r="A60" s="20">
        <v>25</v>
      </c>
      <c r="B60" s="179" t="s">
        <v>22</v>
      </c>
      <c r="C60" s="180"/>
      <c r="D60" s="15">
        <f>IF(F3="1",SUMIF(Data!A:A,'52'!$A$2,Data!DS:DS),0)</f>
        <v>3952</v>
      </c>
      <c r="E60" s="18">
        <f>IF(F3="1",SUMIF(Data!$A:$A,'52'!$A$2,Data!JM:JM),0)</f>
        <v>28650</v>
      </c>
      <c r="F60" s="22">
        <f t="shared" si="3"/>
        <v>7.2494939271255063</v>
      </c>
    </row>
    <row r="61" spans="1:6" x14ac:dyDescent="0.2">
      <c r="A61" s="20">
        <v>26</v>
      </c>
      <c r="B61" s="179" t="s">
        <v>23</v>
      </c>
      <c r="C61" s="180"/>
      <c r="D61" s="15">
        <f>IF(F3="1",SUMIF(Data!A:A,'52'!$A$2,Data!DT:DT),0)</f>
        <v>50000</v>
      </c>
      <c r="E61" s="18">
        <f>IF(F3="1",SUMIF(Data!$A:$A,'52'!$A$2,Data!JN:JN),0)</f>
        <v>52007</v>
      </c>
      <c r="F61" s="22">
        <f t="shared" si="3"/>
        <v>1.0401400000000001</v>
      </c>
    </row>
    <row r="62" spans="1:6" x14ac:dyDescent="0.2">
      <c r="A62" s="20">
        <v>28</v>
      </c>
      <c r="B62" s="179" t="s">
        <v>24</v>
      </c>
      <c r="C62" s="180"/>
      <c r="D62" s="15">
        <f>IF(F3="1",SUMIF(Data!A:A,'52'!$A$2,Data!DV:DV),0)</f>
        <v>27456</v>
      </c>
      <c r="E62" s="18">
        <f>IF(F3="1",SUMIF(Data!$A:$A,'52'!$A$2,Data!JP:JP),0)</f>
        <v>84950</v>
      </c>
      <c r="F62" s="22">
        <f t="shared" si="3"/>
        <v>3.0940413752913751</v>
      </c>
    </row>
    <row r="63" spans="1:6" ht="15.75" customHeight="1" thickBot="1" x14ac:dyDescent="0.25">
      <c r="A63" s="23">
        <v>29</v>
      </c>
      <c r="B63" s="181" t="s">
        <v>25</v>
      </c>
      <c r="C63" s="182"/>
      <c r="D63" s="24">
        <f>IF(F3="1",SUMIF(Data!A:A,'52'!$A$2,Data!DW:DW),0)</f>
        <v>13264</v>
      </c>
      <c r="E63" s="25">
        <f>IF(F3="1",SUMIF(Data!$A:$A,'52'!$A$2,Data!JQ:JQ),0)</f>
        <v>41040</v>
      </c>
      <c r="F63" s="26">
        <f t="shared" si="3"/>
        <v>3.0940892641737032</v>
      </c>
    </row>
    <row r="64" spans="1:6" x14ac:dyDescent="0.2">
      <c r="B64" s="31" t="s">
        <v>35</v>
      </c>
      <c r="C64" s="31"/>
      <c r="D64" s="61">
        <f>SUM(D36:D63)</f>
        <v>828209</v>
      </c>
      <c r="E64" s="32">
        <f>SUM(E36:E63)</f>
        <v>1860802</v>
      </c>
      <c r="F64" s="33">
        <f t="shared" si="3"/>
        <v>2.2467782890550572</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8176</v>
      </c>
      <c r="E67" s="16">
        <f>IF(F3="1",SUMIF(Data!A:A,'52'!$A$2,Data!DY:DY),0)</f>
        <v>46911</v>
      </c>
      <c r="F67" s="21">
        <f>IFERROR(E67/D67,"")</f>
        <v>5.7376467710371823</v>
      </c>
    </row>
    <row r="68" spans="1:6" x14ac:dyDescent="0.2">
      <c r="A68" s="20">
        <v>2</v>
      </c>
      <c r="B68" s="179" t="s">
        <v>1</v>
      </c>
      <c r="C68" s="180"/>
      <c r="D68" s="15">
        <f t="shared" ref="D68:D94" si="4">D37</f>
        <v>24160</v>
      </c>
      <c r="E68" s="18">
        <f>IF(F3="1",SUMIF(Data!A:A,'52'!$A$2,Data!DZ:DZ),0)</f>
        <v>138622</v>
      </c>
      <c r="F68" s="22">
        <f t="shared" ref="F68:F95" si="5">IFERROR(E68/D68,"")</f>
        <v>5.7376655629139073</v>
      </c>
    </row>
    <row r="69" spans="1:6" ht="14.25" customHeight="1" x14ac:dyDescent="0.2">
      <c r="A69" s="20">
        <v>3</v>
      </c>
      <c r="B69" s="179" t="s">
        <v>2</v>
      </c>
      <c r="C69" s="180"/>
      <c r="D69" s="15">
        <f t="shared" si="4"/>
        <v>13664</v>
      </c>
      <c r="E69" s="18">
        <f>IF(F3="1",SUMIF(Data!A:A,'52'!$A$2,Data!EA:EA),0)</f>
        <v>258485</v>
      </c>
      <c r="F69" s="22">
        <f t="shared" si="5"/>
        <v>18.917227751756439</v>
      </c>
    </row>
    <row r="70" spans="1:6" ht="14.25" customHeight="1" x14ac:dyDescent="0.2">
      <c r="A70" s="20">
        <v>4</v>
      </c>
      <c r="B70" s="179" t="s">
        <v>3</v>
      </c>
      <c r="C70" s="180"/>
      <c r="D70" s="15">
        <f t="shared" si="4"/>
        <v>202464</v>
      </c>
      <c r="E70" s="18">
        <f>IF(F3="1",SUMIF(Data!A:A,'52'!$A$2,Data!EB:EB),0)</f>
        <v>425792</v>
      </c>
      <c r="F70" s="22">
        <f t="shared" si="5"/>
        <v>2.1030504188398926</v>
      </c>
    </row>
    <row r="71" spans="1:6" x14ac:dyDescent="0.2">
      <c r="A71" s="20">
        <v>5</v>
      </c>
      <c r="B71" s="179" t="s">
        <v>4</v>
      </c>
      <c r="C71" s="180"/>
      <c r="D71" s="15">
        <f t="shared" si="4"/>
        <v>0</v>
      </c>
      <c r="E71" s="18">
        <f>IF(F3="1",SUMIF(Data!A:A,'52'!$A$2,Data!EC:EC),0)</f>
        <v>0</v>
      </c>
      <c r="F71" s="22" t="str">
        <f t="shared" si="5"/>
        <v/>
      </c>
    </row>
    <row r="72" spans="1:6" x14ac:dyDescent="0.2">
      <c r="A72" s="20">
        <v>6</v>
      </c>
      <c r="B72" s="179" t="s">
        <v>5</v>
      </c>
      <c r="C72" s="180"/>
      <c r="D72" s="15">
        <f t="shared" si="4"/>
        <v>9600</v>
      </c>
      <c r="E72" s="18">
        <f>IF(F3="1",SUMIF(Data!A:A,'52'!$A$2,Data!ED:ED),0)</f>
        <v>55082</v>
      </c>
      <c r="F72" s="22">
        <f t="shared" si="5"/>
        <v>5.737708333333333</v>
      </c>
    </row>
    <row r="73" spans="1:6" x14ac:dyDescent="0.2">
      <c r="A73" s="20">
        <v>7</v>
      </c>
      <c r="B73" s="179" t="s">
        <v>6</v>
      </c>
      <c r="C73" s="180"/>
      <c r="D73" s="15">
        <f t="shared" si="4"/>
        <v>71992</v>
      </c>
      <c r="E73" s="18">
        <f>IF(F3="1",SUMIF(Data!A:A,'52'!$A$2,Data!EE:EE),0)</f>
        <v>151403</v>
      </c>
      <c r="F73" s="22">
        <f t="shared" si="5"/>
        <v>2.1030531170130016</v>
      </c>
    </row>
    <row r="74" spans="1:6" x14ac:dyDescent="0.2">
      <c r="A74" s="20">
        <v>8</v>
      </c>
      <c r="B74" s="179" t="s">
        <v>7</v>
      </c>
      <c r="C74" s="180"/>
      <c r="D74" s="15">
        <f t="shared" si="4"/>
        <v>13168</v>
      </c>
      <c r="E74" s="18">
        <f>IF(F3="1",SUMIF(Data!A:A,'52'!$A$2,Data!EF:EF),0)</f>
        <v>75554</v>
      </c>
      <c r="F74" s="22">
        <f t="shared" si="5"/>
        <v>5.7376974483596594</v>
      </c>
    </row>
    <row r="75" spans="1:6" x14ac:dyDescent="0.2">
      <c r="A75" s="20">
        <v>9</v>
      </c>
      <c r="B75" s="179" t="s">
        <v>8</v>
      </c>
      <c r="C75" s="180"/>
      <c r="D75" s="15">
        <f t="shared" si="4"/>
        <v>34224</v>
      </c>
      <c r="E75" s="18">
        <f>IF(F3="1",SUMIF(Data!A:A,'52'!$A$2,Data!EG:EG),0)</f>
        <v>196366</v>
      </c>
      <c r="F75" s="22">
        <f t="shared" si="5"/>
        <v>5.7376694717157548</v>
      </c>
    </row>
    <row r="76" spans="1:6" x14ac:dyDescent="0.2">
      <c r="A76" s="20">
        <v>10</v>
      </c>
      <c r="B76" s="179" t="s">
        <v>9</v>
      </c>
      <c r="C76" s="180"/>
      <c r="D76" s="15">
        <f t="shared" si="4"/>
        <v>0</v>
      </c>
      <c r="E76" s="18">
        <f>IF(F3="1",SUMIF(Data!A:A,'52'!$A$2,Data!EH:EH),0)</f>
        <v>0</v>
      </c>
      <c r="F76" s="22" t="str">
        <f t="shared" si="5"/>
        <v/>
      </c>
    </row>
    <row r="77" spans="1:6" x14ac:dyDescent="0.2">
      <c r="A77" s="20">
        <v>11</v>
      </c>
      <c r="B77" s="179" t="s">
        <v>10</v>
      </c>
      <c r="C77" s="180"/>
      <c r="D77" s="15">
        <f t="shared" si="4"/>
        <v>146192</v>
      </c>
      <c r="E77" s="18">
        <f>IF(F3="1",SUMIF(Data!A:A,'52'!$A$2,Data!EI:EI),0)</f>
        <v>577668</v>
      </c>
      <c r="F77" s="22">
        <f t="shared" si="5"/>
        <v>3.9514337309839114</v>
      </c>
    </row>
    <row r="78" spans="1:6" ht="14.25" customHeight="1" x14ac:dyDescent="0.2">
      <c r="A78" s="20">
        <v>12</v>
      </c>
      <c r="B78" s="179" t="s">
        <v>11</v>
      </c>
      <c r="C78" s="180"/>
      <c r="D78" s="15">
        <f t="shared" si="4"/>
        <v>0</v>
      </c>
      <c r="E78" s="18">
        <f>IF(F3="1",SUMIF(Data!A:A,'52'!$A$2,Data!EJ:EJ),0)</f>
        <v>0</v>
      </c>
      <c r="F78" s="22" t="str">
        <f t="shared" si="5"/>
        <v/>
      </c>
    </row>
    <row r="79" spans="1:6" x14ac:dyDescent="0.2">
      <c r="A79" s="20">
        <v>13</v>
      </c>
      <c r="B79" s="179" t="s">
        <v>12</v>
      </c>
      <c r="C79" s="180"/>
      <c r="D79" s="15">
        <f t="shared" si="4"/>
        <v>0</v>
      </c>
      <c r="E79" s="18">
        <f>IF(F3="1",SUMIF(Data!A:A,'52'!$A$2,Data!EK:EK),0)</f>
        <v>0</v>
      </c>
      <c r="F79" s="22" t="str">
        <f t="shared" si="5"/>
        <v/>
      </c>
    </row>
    <row r="80" spans="1:6" ht="14.25" customHeight="1" x14ac:dyDescent="0.2">
      <c r="A80" s="20">
        <v>14</v>
      </c>
      <c r="B80" s="179" t="s">
        <v>804</v>
      </c>
      <c r="C80" s="180"/>
      <c r="D80" s="15">
        <f t="shared" si="4"/>
        <v>9160</v>
      </c>
      <c r="E80" s="18">
        <f>IF(F3="1",SUMIF(Data!A:A,'52'!$A$2,Data!EL:EL),0)</f>
        <v>69030</v>
      </c>
      <c r="F80" s="22">
        <f t="shared" si="5"/>
        <v>7.5360262008733621</v>
      </c>
    </row>
    <row r="81" spans="1:6" x14ac:dyDescent="0.2">
      <c r="A81" s="20">
        <v>15</v>
      </c>
      <c r="B81" s="179" t="s">
        <v>13</v>
      </c>
      <c r="C81" s="180"/>
      <c r="D81" s="15">
        <f t="shared" si="4"/>
        <v>0</v>
      </c>
      <c r="E81" s="18">
        <f>IF(F3="1",SUMIF(Data!A:A,'52'!$A$2,Data!EM:EM),0)</f>
        <v>0</v>
      </c>
      <c r="F81" s="22" t="str">
        <f t="shared" si="5"/>
        <v/>
      </c>
    </row>
    <row r="82" spans="1:6" x14ac:dyDescent="0.2">
      <c r="A82" s="20">
        <v>16</v>
      </c>
      <c r="B82" s="179" t="s">
        <v>14</v>
      </c>
      <c r="C82" s="180"/>
      <c r="D82" s="15">
        <f t="shared" si="4"/>
        <v>85185</v>
      </c>
      <c r="E82" s="18">
        <f>IF(F3="1",SUMIF(Data!A:A,'52'!$A$2,Data!EN:EN),0)</f>
        <v>641958</v>
      </c>
      <c r="F82" s="22">
        <f t="shared" si="5"/>
        <v>7.5360450783588657</v>
      </c>
    </row>
    <row r="83" spans="1:6" x14ac:dyDescent="0.2">
      <c r="A83" s="20">
        <v>17</v>
      </c>
      <c r="B83" s="179" t="s">
        <v>15</v>
      </c>
      <c r="C83" s="180"/>
      <c r="D83" s="15">
        <f t="shared" si="4"/>
        <v>0</v>
      </c>
      <c r="E83" s="18">
        <f>IF(F3="1",SUMIF(Data!A:A,'52'!$A$2,Data!EO:EO),0)</f>
        <v>0</v>
      </c>
      <c r="F83" s="22" t="str">
        <f t="shared" si="5"/>
        <v/>
      </c>
    </row>
    <row r="84" spans="1:6" x14ac:dyDescent="0.2">
      <c r="A84" s="20">
        <v>18</v>
      </c>
      <c r="B84" s="179" t="s">
        <v>16</v>
      </c>
      <c r="C84" s="180"/>
      <c r="D84" s="15">
        <f t="shared" si="4"/>
        <v>18144</v>
      </c>
      <c r="E84" s="18">
        <f>IF(F3="1",SUMIF(Data!A:A,'52'!$A$2,Data!EP:EP),0)</f>
        <v>136734</v>
      </c>
      <c r="F84" s="22">
        <f t="shared" si="5"/>
        <v>7.5360449735449739</v>
      </c>
    </row>
    <row r="85" spans="1:6" x14ac:dyDescent="0.2">
      <c r="A85" s="20">
        <v>19</v>
      </c>
      <c r="B85" s="179" t="s">
        <v>17</v>
      </c>
      <c r="C85" s="180"/>
      <c r="D85" s="15">
        <f t="shared" si="4"/>
        <v>0</v>
      </c>
      <c r="E85" s="18">
        <f>IF(F3="1",SUMIF(Data!A:A,'52'!$A$2,Data!EQ:EQ),0)</f>
        <v>0</v>
      </c>
      <c r="F85" s="22" t="str">
        <f t="shared" si="5"/>
        <v/>
      </c>
    </row>
    <row r="86" spans="1:6" x14ac:dyDescent="0.2">
      <c r="A86" s="20">
        <v>20</v>
      </c>
      <c r="B86" s="179" t="s">
        <v>18</v>
      </c>
      <c r="C86" s="180"/>
      <c r="D86" s="15">
        <f t="shared" si="4"/>
        <v>33760</v>
      </c>
      <c r="E86" s="18">
        <f>IF(F3="1",SUMIF(Data!A:A,'52'!$A$2,Data!ER:ER),0)</f>
        <v>117242</v>
      </c>
      <c r="F86" s="22">
        <f t="shared" si="5"/>
        <v>3.4728080568720379</v>
      </c>
    </row>
    <row r="87" spans="1:6" ht="14.25" customHeight="1" x14ac:dyDescent="0.2">
      <c r="A87" s="20">
        <v>21</v>
      </c>
      <c r="B87" s="179" t="s">
        <v>801</v>
      </c>
      <c r="C87" s="180"/>
      <c r="D87" s="15">
        <f t="shared" si="4"/>
        <v>49440</v>
      </c>
      <c r="E87" s="18">
        <f>IF(F3="1",SUMIF(Data!A:A,'52'!$A$2,Data!ES:ES),0)</f>
        <v>171696</v>
      </c>
      <c r="F87" s="22">
        <f t="shared" si="5"/>
        <v>3.4728155339805826</v>
      </c>
    </row>
    <row r="88" spans="1:6" x14ac:dyDescent="0.2">
      <c r="A88" s="20">
        <v>22</v>
      </c>
      <c r="B88" s="179" t="s">
        <v>19</v>
      </c>
      <c r="C88" s="180"/>
      <c r="D88" s="15">
        <f t="shared" si="4"/>
        <v>8736</v>
      </c>
      <c r="E88" s="18">
        <f>IF(F3="1",SUMIF(Data!A:A,'52'!$A$2,Data!ET:ET),0)</f>
        <v>50124</v>
      </c>
      <c r="F88" s="22">
        <f t="shared" si="5"/>
        <v>5.7376373626373622</v>
      </c>
    </row>
    <row r="89" spans="1:6" x14ac:dyDescent="0.2">
      <c r="A89" s="20">
        <v>23</v>
      </c>
      <c r="B89" s="179" t="s">
        <v>20</v>
      </c>
      <c r="C89" s="180"/>
      <c r="D89" s="15">
        <f t="shared" si="4"/>
        <v>0</v>
      </c>
      <c r="E89" s="18">
        <f>IF(F3="1",SUMIF(Data!A:A,'52'!$A$2,Data!EU:EU),0)</f>
        <v>0</v>
      </c>
      <c r="F89" s="22" t="str">
        <f t="shared" si="5"/>
        <v/>
      </c>
    </row>
    <row r="90" spans="1:6" x14ac:dyDescent="0.2">
      <c r="A90" s="20">
        <v>24</v>
      </c>
      <c r="B90" s="179" t="s">
        <v>21</v>
      </c>
      <c r="C90" s="180"/>
      <c r="D90" s="15">
        <f t="shared" si="4"/>
        <v>5472</v>
      </c>
      <c r="E90" s="18">
        <f>IF(F3="1",SUMIF(Data!A:A,'52'!$A$2,Data!EV:EV),0)</f>
        <v>11508</v>
      </c>
      <c r="F90" s="22">
        <f t="shared" si="5"/>
        <v>2.1030701754385963</v>
      </c>
    </row>
    <row r="91" spans="1:6" x14ac:dyDescent="0.2">
      <c r="A91" s="20">
        <v>25</v>
      </c>
      <c r="B91" s="179" t="s">
        <v>22</v>
      </c>
      <c r="C91" s="180"/>
      <c r="D91" s="15">
        <f t="shared" si="4"/>
        <v>3952</v>
      </c>
      <c r="E91" s="18">
        <f>IF(F3="1",SUMIF(Data!A:A,'52'!$A$2,Data!EW:EW),0)</f>
        <v>74761</v>
      </c>
      <c r="F91" s="22">
        <f t="shared" si="5"/>
        <v>18.917257085020243</v>
      </c>
    </row>
    <row r="92" spans="1:6" x14ac:dyDescent="0.2">
      <c r="A92" s="20">
        <v>26</v>
      </c>
      <c r="B92" s="179" t="s">
        <v>23</v>
      </c>
      <c r="C92" s="180"/>
      <c r="D92" s="15">
        <f t="shared" si="4"/>
        <v>50000</v>
      </c>
      <c r="E92" s="18">
        <f>IF(F3="1",SUMIF(Data!A:A,'52'!$A$2,Data!EX:EX),0)</f>
        <v>105152</v>
      </c>
      <c r="F92" s="22">
        <f t="shared" si="5"/>
        <v>2.10304</v>
      </c>
    </row>
    <row r="93" spans="1:6" x14ac:dyDescent="0.2">
      <c r="A93" s="20">
        <v>28</v>
      </c>
      <c r="B93" s="179" t="s">
        <v>24</v>
      </c>
      <c r="C93" s="180"/>
      <c r="D93" s="15">
        <f t="shared" si="4"/>
        <v>27456</v>
      </c>
      <c r="E93" s="18">
        <f>IF(F3="1",SUMIF(Data!A:A,'52'!$A$2,Data!EZ:EZ),0)</f>
        <v>227729</v>
      </c>
      <c r="F93" s="22">
        <f t="shared" si="5"/>
        <v>8.2943254662004655</v>
      </c>
    </row>
    <row r="94" spans="1:6" ht="15.75" customHeight="1" thickBot="1" x14ac:dyDescent="0.25">
      <c r="A94" s="23">
        <v>29</v>
      </c>
      <c r="B94" s="181" t="s">
        <v>25</v>
      </c>
      <c r="C94" s="182"/>
      <c r="D94" s="24">
        <f t="shared" si="4"/>
        <v>13264</v>
      </c>
      <c r="E94" s="25">
        <f>IF(F3="1",SUMIF(Data!A:A,'52'!$A$2,Data!FA:FA),0)</f>
        <v>110016</v>
      </c>
      <c r="F94" s="26">
        <f t="shared" si="5"/>
        <v>8.294330518697226</v>
      </c>
    </row>
    <row r="95" spans="1:6" x14ac:dyDescent="0.2">
      <c r="B95" s="31" t="s">
        <v>35</v>
      </c>
      <c r="C95" s="31"/>
      <c r="D95" s="61">
        <f>SUM(D67:D94)</f>
        <v>828209</v>
      </c>
      <c r="E95" s="32">
        <f>SUM(E67:E94)</f>
        <v>3641833</v>
      </c>
      <c r="F95" s="33">
        <f t="shared" si="5"/>
        <v>4.3972391026902633</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IF(F3="1",SUMIF(Data!A:A,'52'!$A$2,Data!AH:AH),0)</f>
        <v>1595498</v>
      </c>
      <c r="F98" s="21">
        <f t="shared" ref="F98:F105" si="6">IFERROR(E98/$D$95,0)</f>
        <v>1.9264436875233184</v>
      </c>
    </row>
    <row r="99" spans="2:6" x14ac:dyDescent="0.2">
      <c r="B99" s="185" t="s">
        <v>31</v>
      </c>
      <c r="C99" s="186"/>
      <c r="D99" s="37"/>
      <c r="E99" s="18">
        <f>IF(F3="1",SUMIF(Data!A:A,'52'!$A$2,Data!AI:AI),0)</f>
        <v>2335306</v>
      </c>
      <c r="F99" s="22">
        <f t="shared" si="6"/>
        <v>2.8197061369775023</v>
      </c>
    </row>
    <row r="100" spans="2:6" x14ac:dyDescent="0.2">
      <c r="B100" s="185" t="s">
        <v>32</v>
      </c>
      <c r="C100" s="186"/>
      <c r="D100" s="37"/>
      <c r="E100" s="18">
        <f>IF(F3="1",SUMIF(Data!A:A,'52'!$A$2,Data!AJ:AJ),0)</f>
        <v>1968547</v>
      </c>
      <c r="F100" s="22">
        <f t="shared" si="6"/>
        <v>2.3768722629191426</v>
      </c>
    </row>
    <row r="101" spans="2:6" x14ac:dyDescent="0.2">
      <c r="B101" s="185" t="s">
        <v>28</v>
      </c>
      <c r="C101" s="186"/>
      <c r="D101" s="37"/>
      <c r="E101" s="18">
        <f>IF(F3="1",SUMIF(Data!A:A,'52'!$A$2,Data!AK:AK),0)</f>
        <v>0</v>
      </c>
      <c r="F101" s="22">
        <f t="shared" si="6"/>
        <v>0</v>
      </c>
    </row>
    <row r="102" spans="2:6" x14ac:dyDescent="0.2">
      <c r="B102" s="185" t="s">
        <v>33</v>
      </c>
      <c r="C102" s="186"/>
      <c r="D102" s="37"/>
      <c r="E102" s="18">
        <f>IF(F3="1",SUMIF(Data!A:A,'52'!$A$2,Data!AL:AL),0)</f>
        <v>302988</v>
      </c>
      <c r="F102" s="22">
        <f t="shared" si="6"/>
        <v>0.36583519377355234</v>
      </c>
    </row>
    <row r="103" spans="2:6" x14ac:dyDescent="0.2">
      <c r="B103" s="187" t="s">
        <v>34</v>
      </c>
      <c r="C103" s="188"/>
      <c r="D103" s="37"/>
      <c r="E103" s="18">
        <f>IF(F3="1",SUMIF(Data!A:A,'52'!$A$2,Data!AM:AM),0)</f>
        <v>516551</v>
      </c>
      <c r="F103" s="22">
        <f t="shared" si="6"/>
        <v>0.62369643411264553</v>
      </c>
    </row>
    <row r="104" spans="2:6" ht="15.75" customHeight="1" thickBot="1" x14ac:dyDescent="0.25">
      <c r="B104" s="177" t="s">
        <v>29</v>
      </c>
      <c r="C104" s="178"/>
      <c r="D104" s="38"/>
      <c r="E104" s="25">
        <f>IF(F3="1",SUMIF(Data!A:A,'52'!$A$2,Data!Q:Q),0)</f>
        <v>84526</v>
      </c>
      <c r="F104" s="26">
        <f t="shared" si="6"/>
        <v>0.10205877984904776</v>
      </c>
    </row>
    <row r="105" spans="2:6" x14ac:dyDescent="0.2">
      <c r="B105" s="31" t="s">
        <v>35</v>
      </c>
      <c r="C105" s="31"/>
      <c r="D105" s="35">
        <f>D95</f>
        <v>828209</v>
      </c>
      <c r="E105" s="32">
        <f>SUM(E98:E104)</f>
        <v>6803416</v>
      </c>
      <c r="F105" s="33">
        <f t="shared" si="6"/>
        <v>8.2146124951552082</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4528227</v>
      </c>
      <c r="D109" s="16">
        <f>IF(F3="1",SUMIF(Data!$A:$A,$A$2,Data!HJ:HJ),0)</f>
        <v>378362</v>
      </c>
      <c r="E109" s="16">
        <f>IF(F3="1",SUMIF(Data!$A:$A,$A$2,Data!IN:IN),0)</f>
        <v>596048</v>
      </c>
      <c r="F109" s="48">
        <f>SUM(C109:E109)</f>
        <v>5502637</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393098</v>
      </c>
      <c r="D111" s="52"/>
      <c r="E111" s="51">
        <f>IF(F3="1",SUMIF(Data!A:A,$A$2,Data!AX:AX),0)</f>
        <v>217205</v>
      </c>
      <c r="F111" s="49">
        <f t="shared" si="7"/>
        <v>610303</v>
      </c>
    </row>
    <row r="112" spans="2:6" x14ac:dyDescent="0.2">
      <c r="B112" s="43" t="s">
        <v>32</v>
      </c>
      <c r="C112" s="51">
        <f>IF(F3="1",SUMIF(Data!A:A,$A$2,Data!V:V),0)</f>
        <v>1393373</v>
      </c>
      <c r="D112" s="52"/>
      <c r="E112" s="51">
        <f>IF(F3="1",SUMIF(Data!A:A,$A$2,Data!AC:AC),0)</f>
        <v>575174</v>
      </c>
      <c r="F112" s="49">
        <f t="shared" si="7"/>
        <v>1968547</v>
      </c>
    </row>
    <row r="113" spans="1:6" x14ac:dyDescent="0.2">
      <c r="B113" s="43" t="s">
        <v>31</v>
      </c>
      <c r="C113" s="51">
        <f>IF(F3="1",SUMIF(Data!A:A,$A$2,Data!U:U),0)</f>
        <v>1775058</v>
      </c>
      <c r="D113" s="52"/>
      <c r="E113" s="51">
        <f>IF(F3="1",SUMIF(Data!A:A,$A$2,Data!AB:AB),0)</f>
        <v>560248</v>
      </c>
      <c r="F113" s="49">
        <f t="shared" si="7"/>
        <v>2335306</v>
      </c>
    </row>
    <row r="114" spans="1:6" x14ac:dyDescent="0.2">
      <c r="B114" s="43" t="s">
        <v>1363</v>
      </c>
      <c r="C114" s="51">
        <f>IF(F3="1",SUMIF(Data!A:A,$A$2,Data!T:T),0)</f>
        <v>1337499</v>
      </c>
      <c r="D114" s="52"/>
      <c r="E114" s="51">
        <f>IF(F3="1",SUMIF(Data!A:A,$A$2,Data!AA:AA),0)</f>
        <v>257999</v>
      </c>
      <c r="F114" s="49">
        <f t="shared" si="7"/>
        <v>1595498</v>
      </c>
    </row>
    <row r="115" spans="1:6" x14ac:dyDescent="0.2">
      <c r="B115" s="43" t="s">
        <v>1278</v>
      </c>
      <c r="C115" s="51">
        <f>IF(F3="1",SUMIF(Data!A:A,$A$2,Data!BI:BI),0)</f>
        <v>1122259</v>
      </c>
      <c r="D115" s="51">
        <f>IF(F3="1",SUMIF(Data!A:A,$A$2,Data!BL:BL),0)</f>
        <v>22040</v>
      </c>
      <c r="E115" s="51">
        <f>IF(F3="1",SUMIF(Data!A:A,$A$2,Data!BU:BU),0)</f>
        <v>1348568</v>
      </c>
      <c r="F115" s="49">
        <f t="shared" si="7"/>
        <v>2492867</v>
      </c>
    </row>
    <row r="116" spans="1:6" x14ac:dyDescent="0.2">
      <c r="B116" s="43" t="s">
        <v>33</v>
      </c>
      <c r="C116" s="51">
        <f>IF(F3="1",SUMIF(Data!A:A,$A$2,Data!X:X),0)</f>
        <v>0</v>
      </c>
      <c r="D116" s="51"/>
      <c r="E116" s="51">
        <f>E102</f>
        <v>302988</v>
      </c>
      <c r="F116" s="49">
        <f t="shared" si="7"/>
        <v>302988</v>
      </c>
    </row>
    <row r="117" spans="1:6" ht="15" thickBot="1" x14ac:dyDescent="0.25">
      <c r="B117" s="44" t="s">
        <v>1282</v>
      </c>
      <c r="C117" s="53"/>
      <c r="D117" s="53">
        <f>IF(F3="1",SUMIF(Data!A:A,$A$2,Data!Q:Q),0)</f>
        <v>84526</v>
      </c>
      <c r="E117" s="53"/>
      <c r="F117" s="50">
        <f>SUM(C117:E117)</f>
        <v>84526</v>
      </c>
    </row>
    <row r="118" spans="1:6" x14ac:dyDescent="0.2">
      <c r="B118" s="14" t="s">
        <v>35</v>
      </c>
      <c r="C118" s="5">
        <f>SUM(C109:C116)</f>
        <v>10549514</v>
      </c>
      <c r="D118" s="5">
        <f>SUM(D109:D116)</f>
        <v>400402</v>
      </c>
      <c r="E118" s="5">
        <f>SUM(E109:E116)</f>
        <v>3858230</v>
      </c>
      <c r="F118" s="5">
        <f>SUM(F109:F116)</f>
        <v>14808146</v>
      </c>
    </row>
    <row r="119" spans="1:6" ht="15" thickBot="1" x14ac:dyDescent="0.25"/>
    <row r="120" spans="1:6" ht="15" thickBot="1" x14ac:dyDescent="0.25">
      <c r="B120" s="57" t="s">
        <v>1283</v>
      </c>
      <c r="C120" s="55"/>
      <c r="D120" s="55"/>
      <c r="E120" s="55">
        <f>IF(F3="1",SUMIF(Data!A:A,'52'!$A$2,Data!AM:AM),0)</f>
        <v>516551</v>
      </c>
      <c r="F120" s="56">
        <f>SUM(C120:E120)</f>
        <v>516551</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9.28515625" style="11" bestFit="1" customWidth="1"/>
    <col min="12" max="12" width="12.42578125" style="11" bestFit="1" customWidth="1"/>
    <col min="13" max="13" width="10.5703125" style="11" bestFit="1" customWidth="1"/>
    <col min="14"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782</v>
      </c>
      <c r="B2" s="60" t="str">
        <f>VLOOKUP(A2,Data!A:G,7,0)</f>
        <v>Texas State Technical Collage-Marshall</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0</v>
      </c>
      <c r="E5" s="16">
        <f>E36+E67+IFERROR($E$105/$D$105*D5,0)</f>
        <v>0</v>
      </c>
      <c r="F5" s="21" t="str">
        <f>IFERROR(E5/D5,"")</f>
        <v/>
      </c>
    </row>
    <row r="6" spans="1:6" x14ac:dyDescent="0.2">
      <c r="A6" s="20">
        <v>2</v>
      </c>
      <c r="B6" s="179" t="s">
        <v>1</v>
      </c>
      <c r="C6" s="180"/>
      <c r="D6" s="15">
        <f t="shared" ref="D6:D32" si="0">D37</f>
        <v>54624</v>
      </c>
      <c r="E6" s="18">
        <f t="shared" ref="E6:E32" si="1">E37+E68+IFERROR($E$105/$D$105*D6,0)</f>
        <v>682512.76681330637</v>
      </c>
      <c r="F6" s="22">
        <f t="shared" ref="F6:F33" si="2">IFERROR(E6/D6,"")</f>
        <v>12.494741630296323</v>
      </c>
    </row>
    <row r="7" spans="1:6" ht="14.25" customHeight="1" x14ac:dyDescent="0.2">
      <c r="A7" s="20">
        <v>3</v>
      </c>
      <c r="B7" s="179" t="s">
        <v>2</v>
      </c>
      <c r="C7" s="180"/>
      <c r="D7" s="15">
        <f t="shared" si="0"/>
        <v>17834</v>
      </c>
      <c r="E7" s="18">
        <f t="shared" si="1"/>
        <v>123492.22834923303</v>
      </c>
      <c r="F7" s="22">
        <f t="shared" si="2"/>
        <v>6.9245389900882044</v>
      </c>
    </row>
    <row r="8" spans="1:6" ht="14.25" customHeight="1" x14ac:dyDescent="0.2">
      <c r="A8" s="20">
        <v>4</v>
      </c>
      <c r="B8" s="179" t="s">
        <v>3</v>
      </c>
      <c r="C8" s="180"/>
      <c r="D8" s="15">
        <f t="shared" si="0"/>
        <v>53392</v>
      </c>
      <c r="E8" s="18">
        <f t="shared" si="1"/>
        <v>395114.18683538469</v>
      </c>
      <c r="F8" s="22">
        <f t="shared" si="2"/>
        <v>7.4002507273633631</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3072</v>
      </c>
      <c r="E10" s="18">
        <f t="shared" si="1"/>
        <v>25399.368256635855</v>
      </c>
      <c r="F10" s="22">
        <f t="shared" si="2"/>
        <v>8.2680235210403179</v>
      </c>
    </row>
    <row r="11" spans="1:6" x14ac:dyDescent="0.2">
      <c r="A11" s="20">
        <v>7</v>
      </c>
      <c r="B11" s="179" t="s">
        <v>6</v>
      </c>
      <c r="C11" s="180"/>
      <c r="D11" s="15">
        <f t="shared" si="0"/>
        <v>67748</v>
      </c>
      <c r="E11" s="18">
        <f t="shared" si="1"/>
        <v>501351.02625343949</v>
      </c>
      <c r="F11" s="22">
        <f t="shared" si="2"/>
        <v>7.4002336047328257</v>
      </c>
    </row>
    <row r="12" spans="1:6" x14ac:dyDescent="0.2">
      <c r="A12" s="20">
        <v>8</v>
      </c>
      <c r="B12" s="179" t="s">
        <v>7</v>
      </c>
      <c r="C12" s="180"/>
      <c r="D12" s="15">
        <f t="shared" si="0"/>
        <v>51568</v>
      </c>
      <c r="E12" s="18">
        <f t="shared" si="1"/>
        <v>426358.56193300709</v>
      </c>
      <c r="F12" s="22">
        <f t="shared" si="2"/>
        <v>8.2678902019276901</v>
      </c>
    </row>
    <row r="13" spans="1:6" x14ac:dyDescent="0.2">
      <c r="A13" s="20">
        <v>9</v>
      </c>
      <c r="B13" s="179" t="s">
        <v>8</v>
      </c>
      <c r="C13" s="180"/>
      <c r="D13" s="15">
        <f t="shared" si="0"/>
        <v>0</v>
      </c>
      <c r="E13" s="18">
        <f t="shared" si="1"/>
        <v>0</v>
      </c>
      <c r="F13" s="22" t="str">
        <f t="shared" si="2"/>
        <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160512</v>
      </c>
      <c r="E15" s="18">
        <f t="shared" si="1"/>
        <v>1472489.9914092235</v>
      </c>
      <c r="F15" s="22">
        <f t="shared" si="2"/>
        <v>9.1737065852348962</v>
      </c>
    </row>
    <row r="16" spans="1:6" ht="14.25" customHeight="1" x14ac:dyDescent="0.2">
      <c r="A16" s="20">
        <v>12</v>
      </c>
      <c r="B16" s="179" t="s">
        <v>11</v>
      </c>
      <c r="C16" s="180"/>
      <c r="D16" s="15">
        <f t="shared" si="0"/>
        <v>39264</v>
      </c>
      <c r="E16" s="18">
        <f t="shared" si="1"/>
        <v>273339.92553012702</v>
      </c>
      <c r="F16" s="22">
        <f t="shared" si="2"/>
        <v>6.9615914203883209</v>
      </c>
    </row>
    <row r="17" spans="1:6" x14ac:dyDescent="0.2">
      <c r="A17" s="20">
        <v>13</v>
      </c>
      <c r="B17" s="179" t="s">
        <v>12</v>
      </c>
      <c r="C17" s="180"/>
      <c r="D17" s="15">
        <f t="shared" si="0"/>
        <v>0</v>
      </c>
      <c r="E17" s="18">
        <f t="shared" si="1"/>
        <v>0</v>
      </c>
      <c r="F17" s="22" t="str">
        <f t="shared" si="2"/>
        <v/>
      </c>
    </row>
    <row r="18" spans="1:6" ht="14.25" customHeight="1" x14ac:dyDescent="0.2">
      <c r="A18" s="20">
        <v>14</v>
      </c>
      <c r="B18" s="179" t="s">
        <v>804</v>
      </c>
      <c r="C18" s="180"/>
      <c r="D18" s="15">
        <f t="shared" si="0"/>
        <v>0</v>
      </c>
      <c r="E18" s="18">
        <f t="shared" si="1"/>
        <v>0</v>
      </c>
      <c r="F18" s="22" t="str">
        <f t="shared" si="2"/>
        <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288</v>
      </c>
      <c r="E20" s="18">
        <f t="shared" si="1"/>
        <v>2382.9407740596116</v>
      </c>
      <c r="F20" s="22">
        <f t="shared" si="2"/>
        <v>8.2740999099292072</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0</v>
      </c>
      <c r="E22" s="18">
        <f t="shared" si="1"/>
        <v>0</v>
      </c>
      <c r="F22" s="22" t="str">
        <f t="shared" si="2"/>
        <v/>
      </c>
    </row>
    <row r="23" spans="1:6" x14ac:dyDescent="0.2">
      <c r="A23" s="20">
        <v>19</v>
      </c>
      <c r="B23" s="179" t="s">
        <v>17</v>
      </c>
      <c r="C23" s="180"/>
      <c r="D23" s="15">
        <f t="shared" si="0"/>
        <v>22176</v>
      </c>
      <c r="E23" s="18">
        <f t="shared" si="1"/>
        <v>157103.43960259011</v>
      </c>
      <c r="F23" s="22">
        <f t="shared" si="2"/>
        <v>7.0843903139696121</v>
      </c>
    </row>
    <row r="24" spans="1:6" x14ac:dyDescent="0.2">
      <c r="A24" s="20">
        <v>20</v>
      </c>
      <c r="B24" s="179" t="s">
        <v>18</v>
      </c>
      <c r="C24" s="180"/>
      <c r="D24" s="15">
        <f t="shared" si="0"/>
        <v>3744</v>
      </c>
      <c r="E24" s="18">
        <f t="shared" si="1"/>
        <v>39430.23006277495</v>
      </c>
      <c r="F24" s="22">
        <f t="shared" si="2"/>
        <v>10.531578542407839</v>
      </c>
    </row>
    <row r="25" spans="1:6" ht="14.25" customHeight="1" x14ac:dyDescent="0.2">
      <c r="A25" s="20">
        <v>21</v>
      </c>
      <c r="B25" s="179" t="s">
        <v>801</v>
      </c>
      <c r="C25" s="180"/>
      <c r="D25" s="15">
        <f t="shared" si="0"/>
        <v>42340</v>
      </c>
      <c r="E25" s="18">
        <f t="shared" si="1"/>
        <v>445914.58463084709</v>
      </c>
      <c r="F25" s="22">
        <f t="shared" si="2"/>
        <v>10.531756840596294</v>
      </c>
    </row>
    <row r="26" spans="1:6" x14ac:dyDescent="0.2">
      <c r="A26" s="20">
        <v>22</v>
      </c>
      <c r="B26" s="179" t="s">
        <v>19</v>
      </c>
      <c r="C26" s="180"/>
      <c r="D26" s="15">
        <f t="shared" si="0"/>
        <v>18640</v>
      </c>
      <c r="E26" s="18">
        <f t="shared" si="1"/>
        <v>154114.33343219152</v>
      </c>
      <c r="F26" s="22">
        <f t="shared" si="2"/>
        <v>8.2679363429287296</v>
      </c>
    </row>
    <row r="27" spans="1:6" x14ac:dyDescent="0.2">
      <c r="A27" s="20">
        <v>23</v>
      </c>
      <c r="B27" s="179" t="s">
        <v>20</v>
      </c>
      <c r="C27" s="180"/>
      <c r="D27" s="15">
        <f t="shared" si="0"/>
        <v>0</v>
      </c>
      <c r="E27" s="18">
        <f t="shared" si="1"/>
        <v>0</v>
      </c>
      <c r="F27" s="22" t="str">
        <f t="shared" si="2"/>
        <v/>
      </c>
    </row>
    <row r="28" spans="1:6" x14ac:dyDescent="0.2">
      <c r="A28" s="20">
        <v>24</v>
      </c>
      <c r="B28" s="179" t="s">
        <v>21</v>
      </c>
      <c r="C28" s="180"/>
      <c r="D28" s="15">
        <f t="shared" si="0"/>
        <v>0</v>
      </c>
      <c r="E28" s="18">
        <f t="shared" si="1"/>
        <v>0</v>
      </c>
      <c r="F28" s="22" t="str">
        <f t="shared" si="2"/>
        <v/>
      </c>
    </row>
    <row r="29" spans="1:6" x14ac:dyDescent="0.2">
      <c r="A29" s="20">
        <v>25</v>
      </c>
      <c r="B29" s="179" t="s">
        <v>22</v>
      </c>
      <c r="C29" s="180"/>
      <c r="D29" s="15">
        <f t="shared" si="0"/>
        <v>21456</v>
      </c>
      <c r="E29" s="18">
        <f t="shared" si="1"/>
        <v>151970.08766744105</v>
      </c>
      <c r="F29" s="22">
        <f t="shared" si="2"/>
        <v>7.0828713491536659</v>
      </c>
    </row>
    <row r="30" spans="1:6" x14ac:dyDescent="0.2">
      <c r="A30" s="20">
        <v>26</v>
      </c>
      <c r="B30" s="179" t="s">
        <v>23</v>
      </c>
      <c r="C30" s="180"/>
      <c r="D30" s="15">
        <f t="shared" si="0"/>
        <v>3360</v>
      </c>
      <c r="E30" s="18">
        <f t="shared" si="1"/>
        <v>24864.309030695469</v>
      </c>
      <c r="F30" s="22">
        <f t="shared" si="2"/>
        <v>7.4000919734212705</v>
      </c>
    </row>
    <row r="31" spans="1:6" x14ac:dyDescent="0.2">
      <c r="A31" s="20">
        <v>28</v>
      </c>
      <c r="B31" s="179" t="s">
        <v>24</v>
      </c>
      <c r="C31" s="180"/>
      <c r="D31" s="15">
        <f t="shared" si="0"/>
        <v>24704</v>
      </c>
      <c r="E31" s="18">
        <f t="shared" si="1"/>
        <v>254941.25306378002</v>
      </c>
      <c r="F31" s="22">
        <f t="shared" si="2"/>
        <v>10.319836992542909</v>
      </c>
    </row>
    <row r="32" spans="1:6" ht="15.75" customHeight="1" thickBot="1" x14ac:dyDescent="0.25">
      <c r="A32" s="23">
        <v>29</v>
      </c>
      <c r="B32" s="181" t="s">
        <v>25</v>
      </c>
      <c r="C32" s="182"/>
      <c r="D32" s="24">
        <f t="shared" si="0"/>
        <v>22208</v>
      </c>
      <c r="E32" s="25">
        <f t="shared" si="1"/>
        <v>229182.76635526336</v>
      </c>
      <c r="F32" s="26">
        <f t="shared" si="2"/>
        <v>10.319829176659914</v>
      </c>
    </row>
    <row r="33" spans="1:6" x14ac:dyDescent="0.2">
      <c r="B33" s="31" t="s">
        <v>35</v>
      </c>
      <c r="C33" s="31"/>
      <c r="D33" s="61">
        <f>SUM(D5:D32)</f>
        <v>606930</v>
      </c>
      <c r="E33" s="32">
        <f>SUM(E5:E32)</f>
        <v>5359962</v>
      </c>
      <c r="F33" s="33">
        <f t="shared" si="2"/>
        <v>8.8312688448420733</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IF(F3="1",SUMIF(Data!A:A,'53'!$A$2,Data!CU:CU),0)</f>
        <v>0</v>
      </c>
      <c r="E36" s="16">
        <f>IF(F3="1",SUMIF(Data!$A:$A,'53'!$A$2,Data!IO:IO),0)</f>
        <v>0</v>
      </c>
      <c r="F36" s="21" t="str">
        <f t="shared" ref="F36:F64" si="3">IFERROR(E36/D36,"")</f>
        <v/>
      </c>
    </row>
    <row r="37" spans="1:6" x14ac:dyDescent="0.2">
      <c r="A37" s="20">
        <v>2</v>
      </c>
      <c r="B37" s="179" t="s">
        <v>1</v>
      </c>
      <c r="C37" s="180"/>
      <c r="D37" s="15">
        <f>IF(F3="1",SUMIF(Data!A:A,'53'!$A$2,Data!CV:CV),0)</f>
        <v>54624</v>
      </c>
      <c r="E37" s="18">
        <f>IF(F3="1",SUMIF(Data!$A:$A,'53'!$A$2,Data!IP:IP),0)</f>
        <v>66831</v>
      </c>
      <c r="F37" s="22">
        <f t="shared" si="3"/>
        <v>1.2234731985940246</v>
      </c>
    </row>
    <row r="38" spans="1:6" ht="14.25" customHeight="1" x14ac:dyDescent="0.2">
      <c r="A38" s="20">
        <v>3</v>
      </c>
      <c r="B38" s="179" t="s">
        <v>2</v>
      </c>
      <c r="C38" s="180"/>
      <c r="D38" s="15">
        <f>IF(F3="1",SUMIF(Data!A:A,'53'!$A$2,Data!CW:CW),0)</f>
        <v>17834</v>
      </c>
      <c r="E38" s="18">
        <f>IF(F3="1",SUMIF(Data!$A:$A,'53'!$A$2,Data!IQ:IQ),0)</f>
        <v>7309</v>
      </c>
      <c r="F38" s="22">
        <f t="shared" si="3"/>
        <v>0.40983514634966917</v>
      </c>
    </row>
    <row r="39" spans="1:6" ht="14.25" customHeight="1" x14ac:dyDescent="0.2">
      <c r="A39" s="20">
        <v>4</v>
      </c>
      <c r="B39" s="179" t="s">
        <v>3</v>
      </c>
      <c r="C39" s="180"/>
      <c r="D39" s="15">
        <f>IF(F3="1",SUMIF(Data!A:A,'53'!$A$2,Data!CX:CX),0)</f>
        <v>53392</v>
      </c>
      <c r="E39" s="18">
        <f>IF(F3="1",SUMIF(Data!$A:$A,'53'!$A$2,Data!IR:IR),0)</f>
        <v>58314</v>
      </c>
      <c r="F39" s="22">
        <f t="shared" si="3"/>
        <v>1.0921860952951754</v>
      </c>
    </row>
    <row r="40" spans="1:6" x14ac:dyDescent="0.2">
      <c r="A40" s="20">
        <v>5</v>
      </c>
      <c r="B40" s="179" t="s">
        <v>4</v>
      </c>
      <c r="C40" s="180"/>
      <c r="D40" s="15">
        <f>IF(F3="1",SUMIF(Data!A:A,'53'!$A$2,Data!CY:CY),0)</f>
        <v>0</v>
      </c>
      <c r="E40" s="18">
        <f>IF(F3="1",SUMIF(Data!$A:$A,'53'!$A$2,Data!IS:IS),0)</f>
        <v>0</v>
      </c>
      <c r="F40" s="22" t="str">
        <f t="shared" si="3"/>
        <v/>
      </c>
    </row>
    <row r="41" spans="1:6" x14ac:dyDescent="0.2">
      <c r="A41" s="20">
        <v>6</v>
      </c>
      <c r="B41" s="179" t="s">
        <v>5</v>
      </c>
      <c r="C41" s="180"/>
      <c r="D41" s="15">
        <f>IF(F3="1",SUMIF(Data!A:A,'53'!$A$2,Data!CZ:CZ),0)</f>
        <v>3072</v>
      </c>
      <c r="E41" s="18">
        <f>IF(F3="1",SUMIF(Data!$A:$A,'53'!$A$2,Data!IT:IT),0)</f>
        <v>1717</v>
      </c>
      <c r="F41" s="22">
        <f t="shared" si="3"/>
        <v>0.55891927083333337</v>
      </c>
    </row>
    <row r="42" spans="1:6" x14ac:dyDescent="0.2">
      <c r="A42" s="20">
        <v>7</v>
      </c>
      <c r="B42" s="179" t="s">
        <v>6</v>
      </c>
      <c r="C42" s="180"/>
      <c r="D42" s="15">
        <f>IF(F3="1",SUMIF(Data!A:A,'53'!$A$2,Data!DA:DA),0)</f>
        <v>67748</v>
      </c>
      <c r="E42" s="18">
        <f>IF(F3="1",SUMIF(Data!$A:$A,'53'!$A$2,Data!IU:IU),0)</f>
        <v>73992</v>
      </c>
      <c r="F42" s="22">
        <f t="shared" si="3"/>
        <v>1.092165082364055</v>
      </c>
    </row>
    <row r="43" spans="1:6" x14ac:dyDescent="0.2">
      <c r="A43" s="20">
        <v>8</v>
      </c>
      <c r="B43" s="179" t="s">
        <v>7</v>
      </c>
      <c r="C43" s="180"/>
      <c r="D43" s="15">
        <f>IF(F3="1",SUMIF(Data!A:A,'53'!$A$2,Data!DB:DB),0)</f>
        <v>51568</v>
      </c>
      <c r="E43" s="18">
        <f>IF(F3="1",SUMIF(Data!$A:$A,'53'!$A$2,Data!IV:IV),0)</f>
        <v>28826</v>
      </c>
      <c r="F43" s="22">
        <f t="shared" si="3"/>
        <v>0.55899007136208501</v>
      </c>
    </row>
    <row r="44" spans="1:6" x14ac:dyDescent="0.2">
      <c r="A44" s="20">
        <v>9</v>
      </c>
      <c r="B44" s="179" t="s">
        <v>8</v>
      </c>
      <c r="C44" s="180"/>
      <c r="D44" s="15">
        <f>IF(F3="1",SUMIF(Data!A:A,'53'!$A$2,Data!DC:DC),0)</f>
        <v>0</v>
      </c>
      <c r="E44" s="18">
        <f>IF(F3="1",SUMIF(Data!$A:$A,'53'!$A$2,Data!IW:IW),0)</f>
        <v>0</v>
      </c>
      <c r="F44" s="22" t="str">
        <f t="shared" si="3"/>
        <v/>
      </c>
    </row>
    <row r="45" spans="1:6" x14ac:dyDescent="0.2">
      <c r="A45" s="20">
        <v>10</v>
      </c>
      <c r="B45" s="179" t="s">
        <v>9</v>
      </c>
      <c r="C45" s="180"/>
      <c r="D45" s="15">
        <f>IF(F3="1",SUMIF(Data!A:A,'53'!$A$2,Data!DD:DD),0)</f>
        <v>0</v>
      </c>
      <c r="E45" s="18">
        <f>IF(F3="1",SUMIF(Data!$A:$A,'53'!$A$2,Data!IX:IX),0)</f>
        <v>0</v>
      </c>
      <c r="F45" s="22" t="str">
        <f t="shared" si="3"/>
        <v/>
      </c>
    </row>
    <row r="46" spans="1:6" x14ac:dyDescent="0.2">
      <c r="A46" s="20">
        <v>11</v>
      </c>
      <c r="B46" s="179" t="s">
        <v>10</v>
      </c>
      <c r="C46" s="180"/>
      <c r="D46" s="15">
        <f>IF(F3="1",SUMIF(Data!A:A,'53'!$A$2,Data!DE:DE),0)</f>
        <v>160512</v>
      </c>
      <c r="E46" s="18">
        <f>IF(F3="1",SUMIF(Data!$A:$A,'53'!$A$2,Data!IY:IY),0)</f>
        <v>134596</v>
      </c>
      <c r="F46" s="22">
        <f t="shared" si="3"/>
        <v>0.83854166666666663</v>
      </c>
    </row>
    <row r="47" spans="1:6" ht="14.25" customHeight="1" x14ac:dyDescent="0.2">
      <c r="A47" s="20">
        <v>12</v>
      </c>
      <c r="B47" s="179" t="s">
        <v>11</v>
      </c>
      <c r="C47" s="180"/>
      <c r="D47" s="15">
        <f>IF(F3="1",SUMIF(Data!A:A,'53'!$A$2,Data!DF:DF),0)</f>
        <v>39264</v>
      </c>
      <c r="E47" s="18">
        <f>IF(F3="1",SUMIF(Data!$A:$A,'53'!$A$2,Data!IZ:IZ),0)</f>
        <v>17546</v>
      </c>
      <c r="F47" s="22">
        <f t="shared" si="3"/>
        <v>0.44687245313773433</v>
      </c>
    </row>
    <row r="48" spans="1:6" x14ac:dyDescent="0.2">
      <c r="A48" s="20">
        <v>13</v>
      </c>
      <c r="B48" s="179" t="s">
        <v>12</v>
      </c>
      <c r="C48" s="180"/>
      <c r="D48" s="15">
        <f>IF(F3="1",SUMIF(Data!A:A,'53'!$A$2,Data!DG:DG),0)</f>
        <v>0</v>
      </c>
      <c r="E48" s="18">
        <f>IF(F3="1",SUMIF(Data!$A:$A,'53'!$A$2,Data!JA:JA),0)</f>
        <v>0</v>
      </c>
      <c r="F48" s="22" t="str">
        <f t="shared" si="3"/>
        <v/>
      </c>
    </row>
    <row r="49" spans="1:6" ht="14.25" customHeight="1" x14ac:dyDescent="0.2">
      <c r="A49" s="20">
        <v>14</v>
      </c>
      <c r="B49" s="179" t="s">
        <v>804</v>
      </c>
      <c r="C49" s="180"/>
      <c r="D49" s="15">
        <f>IF(F3="1",SUMIF(Data!A:A,'53'!$A$2,Data!DH:DH),0)</f>
        <v>0</v>
      </c>
      <c r="E49" s="18">
        <f>IF(F3="1",SUMIF(Data!$A:$A,'53'!$A$2,Data!JB:JB),0)</f>
        <v>0</v>
      </c>
      <c r="F49" s="22" t="str">
        <f t="shared" si="3"/>
        <v/>
      </c>
    </row>
    <row r="50" spans="1:6" x14ac:dyDescent="0.2">
      <c r="A50" s="20">
        <v>15</v>
      </c>
      <c r="B50" s="179" t="s">
        <v>13</v>
      </c>
      <c r="C50" s="180"/>
      <c r="D50" s="15">
        <f>IF(F3="1",SUMIF(Data!A:A,'53'!$A$2,Data!DI:DI),0)</f>
        <v>0</v>
      </c>
      <c r="E50" s="18">
        <f>IF(F3="1",SUMIF(Data!$A:$A,'53'!$A$2,Data!JC:JC),0)</f>
        <v>0</v>
      </c>
      <c r="F50" s="22" t="str">
        <f t="shared" si="3"/>
        <v/>
      </c>
    </row>
    <row r="51" spans="1:6" x14ac:dyDescent="0.2">
      <c r="A51" s="20">
        <v>16</v>
      </c>
      <c r="B51" s="179" t="s">
        <v>14</v>
      </c>
      <c r="C51" s="180"/>
      <c r="D51" s="15">
        <f>IF(F3="1",SUMIF(Data!A:A,'53'!$A$2,Data!DJ:DJ),0)</f>
        <v>288</v>
      </c>
      <c r="E51" s="18">
        <f>IF(F3="1",SUMIF(Data!$A:$A,'53'!$A$2,Data!JD:JD),0)</f>
        <v>162</v>
      </c>
      <c r="F51" s="22">
        <f t="shared" si="3"/>
        <v>0.5625</v>
      </c>
    </row>
    <row r="52" spans="1:6" x14ac:dyDescent="0.2">
      <c r="A52" s="20">
        <v>17</v>
      </c>
      <c r="B52" s="179" t="s">
        <v>15</v>
      </c>
      <c r="C52" s="180"/>
      <c r="D52" s="15">
        <f>IF(F3="1",SUMIF(Data!A:A,'53'!$A$2,Data!DK:DK),0)</f>
        <v>0</v>
      </c>
      <c r="E52" s="18">
        <f>IF(F3="1",SUMIF(Data!$A:$A,'53'!$A$2,Data!JE:JE),0)</f>
        <v>0</v>
      </c>
      <c r="F52" s="22" t="str">
        <f t="shared" si="3"/>
        <v/>
      </c>
    </row>
    <row r="53" spans="1:6" x14ac:dyDescent="0.2">
      <c r="A53" s="20">
        <v>18</v>
      </c>
      <c r="B53" s="179" t="s">
        <v>16</v>
      </c>
      <c r="C53" s="180"/>
      <c r="D53" s="15">
        <f>IF(F3="1",SUMIF(Data!A:A,'53'!$A$2,Data!DL:DL),0)</f>
        <v>0</v>
      </c>
      <c r="E53" s="18">
        <f>IF(F3="1",SUMIF(Data!$A:$A,'53'!$A$2,Data!JF:JF),0)</f>
        <v>0</v>
      </c>
      <c r="F53" s="22" t="str">
        <f t="shared" si="3"/>
        <v/>
      </c>
    </row>
    <row r="54" spans="1:6" x14ac:dyDescent="0.2">
      <c r="A54" s="20">
        <v>19</v>
      </c>
      <c r="B54" s="179" t="s">
        <v>17</v>
      </c>
      <c r="C54" s="180"/>
      <c r="D54" s="15">
        <f>IF(F3="1",SUMIF(Data!A:A,'53'!$A$2,Data!DM:DM),0)</f>
        <v>22176</v>
      </c>
      <c r="E54" s="18">
        <f>IF(F3="1",SUMIF(Data!$A:$A,'53'!$A$2,Data!JG:JG),0)</f>
        <v>12633</v>
      </c>
      <c r="F54" s="22">
        <f t="shared" si="3"/>
        <v>0.56966991341991347</v>
      </c>
    </row>
    <row r="55" spans="1:6" x14ac:dyDescent="0.2">
      <c r="A55" s="20">
        <v>20</v>
      </c>
      <c r="B55" s="179" t="s">
        <v>18</v>
      </c>
      <c r="C55" s="180"/>
      <c r="D55" s="15">
        <f>IF(F3="1",SUMIF(Data!A:A,'53'!$A$2,Data!DN:DN),0)</f>
        <v>3744</v>
      </c>
      <c r="E55" s="18">
        <f>IF(F3="1",SUMIF(Data!$A:$A,'53'!$A$2,Data!JH:JH),0)</f>
        <v>6796</v>
      </c>
      <c r="F55" s="22">
        <f t="shared" si="3"/>
        <v>1.8151709401709402</v>
      </c>
    </row>
    <row r="56" spans="1:6" ht="14.25" customHeight="1" x14ac:dyDescent="0.2">
      <c r="A56" s="20">
        <v>21</v>
      </c>
      <c r="B56" s="179" t="s">
        <v>801</v>
      </c>
      <c r="C56" s="180"/>
      <c r="D56" s="15">
        <f>IF(F3="1",SUMIF(Data!A:A,'53'!$A$2,Data!DO:DO),0)</f>
        <v>42340</v>
      </c>
      <c r="E56" s="18">
        <f>IF(F3="1",SUMIF(Data!$A:$A,'53'!$A$2,Data!JI:JI),0)</f>
        <v>76861</v>
      </c>
      <c r="F56" s="22">
        <f t="shared" si="3"/>
        <v>1.8153282947567313</v>
      </c>
    </row>
    <row r="57" spans="1:6" x14ac:dyDescent="0.2">
      <c r="A57" s="20">
        <v>22</v>
      </c>
      <c r="B57" s="179" t="s">
        <v>19</v>
      </c>
      <c r="C57" s="180"/>
      <c r="D57" s="15">
        <f>IF(F3="1",SUMIF(Data!A:A,'53'!$A$2,Data!DP:DP),0)</f>
        <v>18640</v>
      </c>
      <c r="E57" s="18">
        <f>IF(F3="1",SUMIF(Data!$A:$A,'53'!$A$2,Data!JJ:JJ),0)</f>
        <v>10420</v>
      </c>
      <c r="F57" s="22">
        <f t="shared" si="3"/>
        <v>0.55901287553648071</v>
      </c>
    </row>
    <row r="58" spans="1:6" x14ac:dyDescent="0.2">
      <c r="A58" s="20">
        <v>23</v>
      </c>
      <c r="B58" s="179" t="s">
        <v>20</v>
      </c>
      <c r="C58" s="180"/>
      <c r="D58" s="15">
        <f>IF(F3="1",SUMIF(Data!A:A,'53'!$A$2,Data!DQ:DQ),0)</f>
        <v>0</v>
      </c>
      <c r="E58" s="18">
        <f>IF(F3="1",SUMIF(Data!$A:$A,'53'!$A$2,Data!JK:JK),0)</f>
        <v>0</v>
      </c>
      <c r="F58" s="22" t="str">
        <f t="shared" si="3"/>
        <v/>
      </c>
    </row>
    <row r="59" spans="1:6" x14ac:dyDescent="0.2">
      <c r="A59" s="20">
        <v>24</v>
      </c>
      <c r="B59" s="179" t="s">
        <v>21</v>
      </c>
      <c r="C59" s="180"/>
      <c r="D59" s="15">
        <f>IF(F3="1",SUMIF(Data!A:A,'53'!$A$2,Data!DR:DR),0)</f>
        <v>0</v>
      </c>
      <c r="E59" s="18">
        <f>IF(F3="1",SUMIF(Data!$A:$A,'53'!$A$2,Data!JL:JL),0)</f>
        <v>0</v>
      </c>
      <c r="F59" s="22" t="str">
        <f t="shared" si="3"/>
        <v/>
      </c>
    </row>
    <row r="60" spans="1:6" x14ac:dyDescent="0.2">
      <c r="A60" s="20">
        <v>25</v>
      </c>
      <c r="B60" s="179" t="s">
        <v>22</v>
      </c>
      <c r="C60" s="180"/>
      <c r="D60" s="15">
        <f>IF(F3="1",SUMIF(Data!A:A,'53'!$A$2,Data!DS:DS),0)</f>
        <v>21456</v>
      </c>
      <c r="E60" s="18">
        <f>IF(F3="1",SUMIF(Data!$A:$A,'53'!$A$2,Data!JM:JM),0)</f>
        <v>8356</v>
      </c>
      <c r="F60" s="22">
        <f t="shared" si="3"/>
        <v>0.38944817300522</v>
      </c>
    </row>
    <row r="61" spans="1:6" x14ac:dyDescent="0.2">
      <c r="A61" s="20">
        <v>26</v>
      </c>
      <c r="B61" s="179" t="s">
        <v>23</v>
      </c>
      <c r="C61" s="180"/>
      <c r="D61" s="15">
        <f>IF(F3="1",SUMIF(Data!A:A,'53'!$A$2,Data!DT:DT),0)</f>
        <v>3360</v>
      </c>
      <c r="E61" s="18">
        <f>IF(F3="1",SUMIF(Data!$A:$A,'53'!$A$2,Data!JN:JN),0)</f>
        <v>3670</v>
      </c>
      <c r="F61" s="22">
        <f t="shared" si="3"/>
        <v>1.0922619047619047</v>
      </c>
    </row>
    <row r="62" spans="1:6" x14ac:dyDescent="0.2">
      <c r="A62" s="20">
        <v>28</v>
      </c>
      <c r="B62" s="179" t="s">
        <v>24</v>
      </c>
      <c r="C62" s="180"/>
      <c r="D62" s="15">
        <f>IF(F3="1",SUMIF(Data!A:A,'53'!$A$2,Data!DV:DV),0)</f>
        <v>24704</v>
      </c>
      <c r="E62" s="18">
        <f>IF(F3="1",SUMIF(Data!$A:$A,'53'!$A$2,Data!JP:JP),0)</f>
        <v>25254</v>
      </c>
      <c r="F62" s="22">
        <f t="shared" si="3"/>
        <v>1.0222636010362693</v>
      </c>
    </row>
    <row r="63" spans="1:6" ht="15.75" customHeight="1" thickBot="1" x14ac:dyDescent="0.25">
      <c r="A63" s="23">
        <v>29</v>
      </c>
      <c r="B63" s="181" t="s">
        <v>25</v>
      </c>
      <c r="C63" s="182"/>
      <c r="D63" s="24">
        <f>IF(F3="1",SUMIF(Data!A:A,'53'!$A$2,Data!DW:DW),0)</f>
        <v>22208</v>
      </c>
      <c r="E63" s="25">
        <f>IF(F3="1",SUMIF(Data!$A:$A,'53'!$A$2,Data!JQ:JQ),0)</f>
        <v>22702</v>
      </c>
      <c r="F63" s="26">
        <f t="shared" si="3"/>
        <v>1.0222442363112392</v>
      </c>
    </row>
    <row r="64" spans="1:6" x14ac:dyDescent="0.2">
      <c r="B64" s="31" t="s">
        <v>35</v>
      </c>
      <c r="C64" s="31"/>
      <c r="D64" s="61">
        <f>SUM(D36:D63)</f>
        <v>606930</v>
      </c>
      <c r="E64" s="32">
        <f>SUM(E36:E63)</f>
        <v>555985</v>
      </c>
      <c r="F64" s="33">
        <f t="shared" si="3"/>
        <v>0.91606116026559903</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0</v>
      </c>
      <c r="E67" s="16">
        <f>IF(F3="1",SUMIF(Data!A:A,'53'!$A$2,Data!DY:DY),0)</f>
        <v>0</v>
      </c>
      <c r="F67" s="21" t="str">
        <f>IFERROR(E67/D67,"")</f>
        <v/>
      </c>
    </row>
    <row r="68" spans="1:6" x14ac:dyDescent="0.2">
      <c r="A68" s="20">
        <v>2</v>
      </c>
      <c r="B68" s="179" t="s">
        <v>1</v>
      </c>
      <c r="C68" s="180"/>
      <c r="D68" s="15">
        <f t="shared" ref="D68:D94" si="4">D37</f>
        <v>54624</v>
      </c>
      <c r="E68" s="18">
        <f>IF(F3="1",SUMIF(Data!A:A,'53'!$A$2,Data!DZ:DZ),0)</f>
        <v>352246</v>
      </c>
      <c r="F68" s="22">
        <f t="shared" ref="F68:F95" si="5">IFERROR(E68/D68,"")</f>
        <v>6.4485574106619801</v>
      </c>
    </row>
    <row r="69" spans="1:6" ht="14.25" customHeight="1" x14ac:dyDescent="0.2">
      <c r="A69" s="20">
        <v>3</v>
      </c>
      <c r="B69" s="179" t="s">
        <v>2</v>
      </c>
      <c r="C69" s="180"/>
      <c r="D69" s="15">
        <f t="shared" si="4"/>
        <v>17834</v>
      </c>
      <c r="E69" s="18">
        <f>IF(F3="1",SUMIF(Data!A:A,'53'!$A$2,Data!EA:EA),0)</f>
        <v>30175</v>
      </c>
      <c r="F69" s="22">
        <f t="shared" si="5"/>
        <v>1.6919928226982168</v>
      </c>
    </row>
    <row r="70" spans="1:6" ht="14.25" customHeight="1" x14ac:dyDescent="0.2">
      <c r="A70" s="20">
        <v>4</v>
      </c>
      <c r="B70" s="179" t="s">
        <v>3</v>
      </c>
      <c r="C70" s="180"/>
      <c r="D70" s="15">
        <f t="shared" si="4"/>
        <v>53392</v>
      </c>
      <c r="E70" s="18">
        <f>IF(F3="1",SUMIF(Data!A:A,'53'!$A$2,Data!EB:EB),0)</f>
        <v>79306</v>
      </c>
      <c r="F70" s="22">
        <f t="shared" si="5"/>
        <v>1.4853536110278693</v>
      </c>
    </row>
    <row r="71" spans="1:6" x14ac:dyDescent="0.2">
      <c r="A71" s="20">
        <v>5</v>
      </c>
      <c r="B71" s="179" t="s">
        <v>4</v>
      </c>
      <c r="C71" s="180"/>
      <c r="D71" s="15">
        <f t="shared" si="4"/>
        <v>0</v>
      </c>
      <c r="E71" s="18">
        <f>IF(F3="1",SUMIF(Data!A:A,'53'!$A$2,Data!EC:EC),0)</f>
        <v>0</v>
      </c>
      <c r="F71" s="22" t="str">
        <f t="shared" si="5"/>
        <v/>
      </c>
    </row>
    <row r="72" spans="1:6" x14ac:dyDescent="0.2">
      <c r="A72" s="20">
        <v>6</v>
      </c>
      <c r="B72" s="179" t="s">
        <v>5</v>
      </c>
      <c r="C72" s="180"/>
      <c r="D72" s="15">
        <f t="shared" si="4"/>
        <v>3072</v>
      </c>
      <c r="E72" s="18">
        <f>IF(F3="1",SUMIF(Data!A:A,'53'!$A$2,Data!ED:ED),0)</f>
        <v>8867</v>
      </c>
      <c r="F72" s="22">
        <f t="shared" si="5"/>
        <v>2.8863932291666665</v>
      </c>
    </row>
    <row r="73" spans="1:6" x14ac:dyDescent="0.2">
      <c r="A73" s="20">
        <v>7</v>
      </c>
      <c r="B73" s="179" t="s">
        <v>6</v>
      </c>
      <c r="C73" s="180"/>
      <c r="D73" s="15">
        <f t="shared" si="4"/>
        <v>67748</v>
      </c>
      <c r="E73" s="18">
        <f>IF(F3="1",SUMIF(Data!A:A,'53'!$A$2,Data!EE:EE),0)</f>
        <v>100630</v>
      </c>
      <c r="F73" s="22">
        <f t="shared" si="5"/>
        <v>1.4853575013284526</v>
      </c>
    </row>
    <row r="74" spans="1:6" x14ac:dyDescent="0.2">
      <c r="A74" s="20">
        <v>8</v>
      </c>
      <c r="B74" s="179" t="s">
        <v>7</v>
      </c>
      <c r="C74" s="180"/>
      <c r="D74" s="15">
        <f t="shared" si="4"/>
        <v>51568</v>
      </c>
      <c r="E74" s="18">
        <f>IF(F3="1",SUMIF(Data!A:A,'53'!$A$2,Data!EF:EF),0)</f>
        <v>148835</v>
      </c>
      <c r="F74" s="22">
        <f t="shared" si="5"/>
        <v>2.886189109525287</v>
      </c>
    </row>
    <row r="75" spans="1:6" x14ac:dyDescent="0.2">
      <c r="A75" s="20">
        <v>9</v>
      </c>
      <c r="B75" s="179" t="s">
        <v>8</v>
      </c>
      <c r="C75" s="180"/>
      <c r="D75" s="15">
        <f t="shared" si="4"/>
        <v>0</v>
      </c>
      <c r="E75" s="18">
        <f>IF(F3="1",SUMIF(Data!A:A,'53'!$A$2,Data!EG:EG),0)</f>
        <v>0</v>
      </c>
      <c r="F75" s="22" t="str">
        <f t="shared" si="5"/>
        <v/>
      </c>
    </row>
    <row r="76" spans="1:6" x14ac:dyDescent="0.2">
      <c r="A76" s="20">
        <v>10</v>
      </c>
      <c r="B76" s="179" t="s">
        <v>9</v>
      </c>
      <c r="C76" s="180"/>
      <c r="D76" s="15">
        <f t="shared" si="4"/>
        <v>0</v>
      </c>
      <c r="E76" s="18">
        <f>IF(F3="1",SUMIF(Data!A:A,'53'!$A$2,Data!EH:EH),0)</f>
        <v>0</v>
      </c>
      <c r="F76" s="22" t="str">
        <f t="shared" si="5"/>
        <v/>
      </c>
    </row>
    <row r="77" spans="1:6" x14ac:dyDescent="0.2">
      <c r="A77" s="20">
        <v>11</v>
      </c>
      <c r="B77" s="179" t="s">
        <v>10</v>
      </c>
      <c r="C77" s="180"/>
      <c r="D77" s="15">
        <f t="shared" si="4"/>
        <v>160512</v>
      </c>
      <c r="E77" s="18">
        <f>IF(F3="1",SUMIF(Data!A:A,'53'!$A$2,Data!EI:EI),0)</f>
        <v>563791</v>
      </c>
      <c r="F77" s="22">
        <f t="shared" si="5"/>
        <v>3.5124538975279105</v>
      </c>
    </row>
    <row r="78" spans="1:6" ht="14.25" customHeight="1" x14ac:dyDescent="0.2">
      <c r="A78" s="20">
        <v>12</v>
      </c>
      <c r="B78" s="179" t="s">
        <v>11</v>
      </c>
      <c r="C78" s="180"/>
      <c r="D78" s="15">
        <f t="shared" si="4"/>
        <v>39264</v>
      </c>
      <c r="E78" s="18">
        <f>IF(F3="1",SUMIF(Data!A:A,'53'!$A$2,Data!EJ:EJ),0)</f>
        <v>66435</v>
      </c>
      <c r="F78" s="22">
        <f t="shared" si="5"/>
        <v>1.6920079462102688</v>
      </c>
    </row>
    <row r="79" spans="1:6" x14ac:dyDescent="0.2">
      <c r="A79" s="20">
        <v>13</v>
      </c>
      <c r="B79" s="179" t="s">
        <v>12</v>
      </c>
      <c r="C79" s="180"/>
      <c r="D79" s="15">
        <f t="shared" si="4"/>
        <v>0</v>
      </c>
      <c r="E79" s="18">
        <f>IF(F3="1",SUMIF(Data!A:A,'53'!$A$2,Data!EK:EK),0)</f>
        <v>0</v>
      </c>
      <c r="F79" s="22" t="str">
        <f t="shared" si="5"/>
        <v/>
      </c>
    </row>
    <row r="80" spans="1:6" ht="14.25" customHeight="1" x14ac:dyDescent="0.2">
      <c r="A80" s="20">
        <v>14</v>
      </c>
      <c r="B80" s="179" t="s">
        <v>804</v>
      </c>
      <c r="C80" s="180"/>
      <c r="D80" s="15">
        <f t="shared" si="4"/>
        <v>0</v>
      </c>
      <c r="E80" s="18">
        <f>IF(F3="1",SUMIF(Data!A:A,'53'!$A$2,Data!EL:EL),0)</f>
        <v>0</v>
      </c>
      <c r="F80" s="22" t="str">
        <f t="shared" si="5"/>
        <v/>
      </c>
    </row>
    <row r="81" spans="1:6" x14ac:dyDescent="0.2">
      <c r="A81" s="20">
        <v>15</v>
      </c>
      <c r="B81" s="179" t="s">
        <v>13</v>
      </c>
      <c r="C81" s="180"/>
      <c r="D81" s="15">
        <f t="shared" si="4"/>
        <v>0</v>
      </c>
      <c r="E81" s="18">
        <f>IF(F3="1",SUMIF(Data!A:A,'53'!$A$2,Data!EM:EM),0)</f>
        <v>0</v>
      </c>
      <c r="F81" s="22" t="str">
        <f t="shared" si="5"/>
        <v/>
      </c>
    </row>
    <row r="82" spans="1:6" x14ac:dyDescent="0.2">
      <c r="A82" s="20">
        <v>16</v>
      </c>
      <c r="B82" s="179" t="s">
        <v>14</v>
      </c>
      <c r="C82" s="180"/>
      <c r="D82" s="15">
        <f t="shared" si="4"/>
        <v>288</v>
      </c>
      <c r="E82" s="18">
        <f>IF(F3="1",SUMIF(Data!A:A,'53'!$A$2,Data!EN:EN),0)</f>
        <v>832</v>
      </c>
      <c r="F82" s="22">
        <f t="shared" si="5"/>
        <v>2.8888888888888888</v>
      </c>
    </row>
    <row r="83" spans="1:6" x14ac:dyDescent="0.2">
      <c r="A83" s="20">
        <v>17</v>
      </c>
      <c r="B83" s="179" t="s">
        <v>15</v>
      </c>
      <c r="C83" s="180"/>
      <c r="D83" s="15">
        <f t="shared" si="4"/>
        <v>0</v>
      </c>
      <c r="E83" s="18">
        <f>IF(F3="1",SUMIF(Data!A:A,'53'!$A$2,Data!EO:EO),0)</f>
        <v>0</v>
      </c>
      <c r="F83" s="22" t="str">
        <f t="shared" si="5"/>
        <v/>
      </c>
    </row>
    <row r="84" spans="1:6" x14ac:dyDescent="0.2">
      <c r="A84" s="20">
        <v>18</v>
      </c>
      <c r="B84" s="179" t="s">
        <v>16</v>
      </c>
      <c r="C84" s="180"/>
      <c r="D84" s="15">
        <f t="shared" si="4"/>
        <v>0</v>
      </c>
      <c r="E84" s="18">
        <f>IF(F3="1",SUMIF(Data!A:A,'53'!$A$2,Data!EP:EP),0)</f>
        <v>0</v>
      </c>
      <c r="F84" s="22" t="str">
        <f t="shared" si="5"/>
        <v/>
      </c>
    </row>
    <row r="85" spans="1:6" x14ac:dyDescent="0.2">
      <c r="A85" s="20">
        <v>19</v>
      </c>
      <c r="B85" s="179" t="s">
        <v>17</v>
      </c>
      <c r="C85" s="180"/>
      <c r="D85" s="15">
        <f t="shared" si="4"/>
        <v>22176</v>
      </c>
      <c r="E85" s="18">
        <f>IF(F3="1",SUMIF(Data!A:A,'53'!$A$2,Data!EQ:EQ),0)</f>
        <v>37522</v>
      </c>
      <c r="F85" s="22">
        <f t="shared" si="5"/>
        <v>1.6920093795093796</v>
      </c>
    </row>
    <row r="86" spans="1:6" x14ac:dyDescent="0.2">
      <c r="A86" s="20">
        <v>20</v>
      </c>
      <c r="B86" s="179" t="s">
        <v>18</v>
      </c>
      <c r="C86" s="180"/>
      <c r="D86" s="15">
        <f t="shared" si="4"/>
        <v>3744</v>
      </c>
      <c r="E86" s="18">
        <f>IF(F3="1",SUMIF(Data!A:A,'53'!$A$2,Data!ER:ER),0)</f>
        <v>14578</v>
      </c>
      <c r="F86" s="22">
        <f t="shared" si="5"/>
        <v>3.8936965811965814</v>
      </c>
    </row>
    <row r="87" spans="1:6" ht="14.25" customHeight="1" x14ac:dyDescent="0.2">
      <c r="A87" s="20">
        <v>21</v>
      </c>
      <c r="B87" s="179" t="s">
        <v>801</v>
      </c>
      <c r="C87" s="180"/>
      <c r="D87" s="15">
        <f t="shared" si="4"/>
        <v>42340</v>
      </c>
      <c r="E87" s="18">
        <f>IF(F3="1",SUMIF(Data!A:A,'53'!$A$2,Data!ES:ES),0)</f>
        <v>164860</v>
      </c>
      <c r="F87" s="22">
        <f t="shared" si="5"/>
        <v>3.8937175247992442</v>
      </c>
    </row>
    <row r="88" spans="1:6" x14ac:dyDescent="0.2">
      <c r="A88" s="20">
        <v>22</v>
      </c>
      <c r="B88" s="179" t="s">
        <v>19</v>
      </c>
      <c r="C88" s="180"/>
      <c r="D88" s="15">
        <f t="shared" si="4"/>
        <v>18640</v>
      </c>
      <c r="E88" s="18">
        <f>IF(F3="1",SUMIF(Data!A:A,'53'!$A$2,Data!ET:ET),0)</f>
        <v>53799</v>
      </c>
      <c r="F88" s="22">
        <f t="shared" si="5"/>
        <v>2.8862124463519314</v>
      </c>
    </row>
    <row r="89" spans="1:6" x14ac:dyDescent="0.2">
      <c r="A89" s="20">
        <v>23</v>
      </c>
      <c r="B89" s="179" t="s">
        <v>20</v>
      </c>
      <c r="C89" s="180"/>
      <c r="D89" s="15">
        <f t="shared" si="4"/>
        <v>0</v>
      </c>
      <c r="E89" s="18">
        <f>IF(F3="1",SUMIF(Data!A:A,'53'!$A$2,Data!EU:EU),0)</f>
        <v>0</v>
      </c>
      <c r="F89" s="22" t="str">
        <f t="shared" si="5"/>
        <v/>
      </c>
    </row>
    <row r="90" spans="1:6" x14ac:dyDescent="0.2">
      <c r="A90" s="20">
        <v>24</v>
      </c>
      <c r="B90" s="179" t="s">
        <v>21</v>
      </c>
      <c r="C90" s="180"/>
      <c r="D90" s="15">
        <f t="shared" si="4"/>
        <v>0</v>
      </c>
      <c r="E90" s="18">
        <f>IF(F3="1",SUMIF(Data!A:A,'53'!$A$2,Data!EV:EV),0)</f>
        <v>0</v>
      </c>
      <c r="F90" s="22" t="str">
        <f t="shared" si="5"/>
        <v/>
      </c>
    </row>
    <row r="91" spans="1:6" x14ac:dyDescent="0.2">
      <c r="A91" s="20">
        <v>25</v>
      </c>
      <c r="B91" s="179" t="s">
        <v>22</v>
      </c>
      <c r="C91" s="180"/>
      <c r="D91" s="15">
        <f t="shared" si="4"/>
        <v>21456</v>
      </c>
      <c r="E91" s="18">
        <f>IF(F3="1",SUMIF(Data!A:A,'53'!$A$2,Data!EW:EW),0)</f>
        <v>40138</v>
      </c>
      <c r="F91" s="22">
        <f t="shared" si="5"/>
        <v>1.8707121551081283</v>
      </c>
    </row>
    <row r="92" spans="1:6" x14ac:dyDescent="0.2">
      <c r="A92" s="20">
        <v>26</v>
      </c>
      <c r="B92" s="179" t="s">
        <v>23</v>
      </c>
      <c r="C92" s="180"/>
      <c r="D92" s="15">
        <f t="shared" si="4"/>
        <v>3360</v>
      </c>
      <c r="E92" s="18">
        <f>IF(F3="1",SUMIF(Data!A:A,'53'!$A$2,Data!EX:EX),0)</f>
        <v>4990</v>
      </c>
      <c r="F92" s="22">
        <f t="shared" si="5"/>
        <v>1.4851190476190477</v>
      </c>
    </row>
    <row r="93" spans="1:6" x14ac:dyDescent="0.2">
      <c r="A93" s="20">
        <v>28</v>
      </c>
      <c r="B93" s="179" t="s">
        <v>24</v>
      </c>
      <c r="C93" s="180"/>
      <c r="D93" s="15">
        <f t="shared" si="4"/>
        <v>24704</v>
      </c>
      <c r="E93" s="18">
        <f>IF(F3="1",SUMIF(Data!A:A,'53'!$A$2,Data!EZ:EZ),0)</f>
        <v>110547</v>
      </c>
      <c r="F93" s="22">
        <f t="shared" si="5"/>
        <v>4.4748623704663215</v>
      </c>
    </row>
    <row r="94" spans="1:6" ht="15.75" customHeight="1" thickBot="1" x14ac:dyDescent="0.25">
      <c r="A94" s="23">
        <v>29</v>
      </c>
      <c r="B94" s="181" t="s">
        <v>25</v>
      </c>
      <c r="C94" s="182"/>
      <c r="D94" s="24">
        <f t="shared" si="4"/>
        <v>22208</v>
      </c>
      <c r="E94" s="25">
        <f>IF(F3="1",SUMIF(Data!A:A,'53'!$A$2,Data!FA:FA),0)</f>
        <v>99378</v>
      </c>
      <c r="F94" s="26">
        <f t="shared" si="5"/>
        <v>4.4748739193083571</v>
      </c>
    </row>
    <row r="95" spans="1:6" x14ac:dyDescent="0.2">
      <c r="B95" s="31" t="s">
        <v>35</v>
      </c>
      <c r="C95" s="31"/>
      <c r="D95" s="61">
        <f>SUM(D67:D94)</f>
        <v>606930</v>
      </c>
      <c r="E95" s="32">
        <f>SUM(E67:E94)</f>
        <v>1876929</v>
      </c>
      <c r="F95" s="33">
        <f t="shared" si="5"/>
        <v>3.0924966635361573</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IF(F3="1",SUMIF(Data!A:A,'53'!$A$2,Data!AH:AH),0)</f>
        <v>796436</v>
      </c>
      <c r="F98" s="21">
        <f t="shared" ref="F98:F105" si="6">IFERROR(E98/$D$95,0)</f>
        <v>1.3122369960291962</v>
      </c>
    </row>
    <row r="99" spans="2:6" x14ac:dyDescent="0.2">
      <c r="B99" s="185" t="s">
        <v>31</v>
      </c>
      <c r="C99" s="186"/>
      <c r="D99" s="37"/>
      <c r="E99" s="18">
        <f>IF(F3="1",SUMIF(Data!A:A,'53'!$A$2,Data!AI:AI),0)</f>
        <v>1034942</v>
      </c>
      <c r="F99" s="22">
        <f t="shared" si="6"/>
        <v>1.7052081788674147</v>
      </c>
    </row>
    <row r="100" spans="2:6" x14ac:dyDescent="0.2">
      <c r="B100" s="185" t="s">
        <v>32</v>
      </c>
      <c r="C100" s="186"/>
      <c r="D100" s="37"/>
      <c r="E100" s="18">
        <f>IF(F3="1",SUMIF(Data!A:A,'53'!$A$2,Data!AJ:AJ),0)</f>
        <v>469321</v>
      </c>
      <c r="F100" s="22">
        <f t="shared" si="6"/>
        <v>0.77327039362035166</v>
      </c>
    </row>
    <row r="101" spans="2:6" x14ac:dyDescent="0.2">
      <c r="B101" s="185" t="s">
        <v>28</v>
      </c>
      <c r="C101" s="186"/>
      <c r="D101" s="37"/>
      <c r="E101" s="18">
        <f>IF(F3="1",SUMIF(Data!A:A,'53'!$A$2,Data!AK:AK),0)</f>
        <v>167710</v>
      </c>
      <c r="F101" s="22">
        <f t="shared" si="6"/>
        <v>0.27632511162737056</v>
      </c>
    </row>
    <row r="102" spans="2:6" x14ac:dyDescent="0.2">
      <c r="B102" s="185" t="s">
        <v>33</v>
      </c>
      <c r="C102" s="186"/>
      <c r="D102" s="37"/>
      <c r="E102" s="18">
        <f>IF(F3="1",SUMIF(Data!A:A,'53'!$A$2,Data!AL:AL),0)</f>
        <v>324365</v>
      </c>
      <c r="F102" s="22">
        <f t="shared" si="6"/>
        <v>0.5344356021287463</v>
      </c>
    </row>
    <row r="103" spans="2:6" x14ac:dyDescent="0.2">
      <c r="B103" s="187" t="s">
        <v>34</v>
      </c>
      <c r="C103" s="188"/>
      <c r="D103" s="37"/>
      <c r="E103" s="18">
        <f>IF(F3="1",SUMIF(Data!A:A,'53'!$A$2,Data!AM:AM),0)</f>
        <v>67187</v>
      </c>
      <c r="F103" s="22">
        <f t="shared" si="6"/>
        <v>0.11069975120689371</v>
      </c>
    </row>
    <row r="104" spans="2:6" ht="15.75" customHeight="1" thickBot="1" x14ac:dyDescent="0.25">
      <c r="B104" s="177" t="s">
        <v>29</v>
      </c>
      <c r="C104" s="178"/>
      <c r="D104" s="38"/>
      <c r="E104" s="25">
        <f>IF(F3="1",SUMIF(Data!A:A,'53'!$A$2,Data!Q:Q),0)</f>
        <v>67087</v>
      </c>
      <c r="F104" s="26">
        <f t="shared" si="6"/>
        <v>0.11053498756034469</v>
      </c>
    </row>
    <row r="105" spans="2:6" x14ac:dyDescent="0.2">
      <c r="B105" s="31" t="s">
        <v>35</v>
      </c>
      <c r="C105" s="31"/>
      <c r="D105" s="35">
        <f>D95</f>
        <v>606930</v>
      </c>
      <c r="E105" s="32">
        <f>SUM(E98:E104)</f>
        <v>2927048</v>
      </c>
      <c r="F105" s="33">
        <f t="shared" si="6"/>
        <v>4.8227110210403179</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1966517</v>
      </c>
      <c r="D109" s="16">
        <f>IF(F3="1",SUMIF(Data!$A:$A,$A$2,Data!HJ:HJ),0)</f>
        <v>198188</v>
      </c>
      <c r="E109" s="16">
        <f>IF(F3="1",SUMIF(Data!$A:$A,$A$2,Data!IN:IN),0)</f>
        <v>268206</v>
      </c>
      <c r="F109" s="48">
        <f>SUM(C109:E109)</f>
        <v>2432911</v>
      </c>
    </row>
    <row r="110" spans="2:6" x14ac:dyDescent="0.2">
      <c r="B110" s="43" t="s">
        <v>28</v>
      </c>
      <c r="C110" s="51">
        <f>IF(F3="1",SUMIF(Data!A:A,$A$2,Data!W:W),0)</f>
        <v>152100</v>
      </c>
      <c r="D110" s="52"/>
      <c r="E110" s="51">
        <f>IF(F3="1",SUMIF(Data!A:A,$A$2,Data!W:W),0)</f>
        <v>152100</v>
      </c>
      <c r="F110" s="49">
        <f t="shared" ref="F110:F116" si="7">SUM(C110:E110)</f>
        <v>304200</v>
      </c>
    </row>
    <row r="111" spans="2:6" x14ac:dyDescent="0.2">
      <c r="B111" s="43" t="s">
        <v>1277</v>
      </c>
      <c r="C111" s="51">
        <f>IF(F3="1",SUMIF(Data!A:A,$A$2,Data!AS:AS),0)</f>
        <v>132378</v>
      </c>
      <c r="D111" s="52"/>
      <c r="E111" s="51">
        <f>IF(F3="1",SUMIF(Data!A:A,$A$2,Data!AX:AX),0)</f>
        <v>581470</v>
      </c>
      <c r="F111" s="49">
        <f t="shared" si="7"/>
        <v>713848</v>
      </c>
    </row>
    <row r="112" spans="2:6" x14ac:dyDescent="0.2">
      <c r="B112" s="43" t="s">
        <v>32</v>
      </c>
      <c r="C112" s="51">
        <f>IF(F3="1",SUMIF(Data!A:A,$A$2,Data!V:V),0)</f>
        <v>399654</v>
      </c>
      <c r="D112" s="52"/>
      <c r="E112" s="51">
        <f>IF(F3="1",SUMIF(Data!A:A,$A$2,Data!AC:AC),0)</f>
        <v>69667</v>
      </c>
      <c r="F112" s="49">
        <f t="shared" si="7"/>
        <v>469321</v>
      </c>
    </row>
    <row r="113" spans="1:6" x14ac:dyDescent="0.2">
      <c r="B113" s="43" t="s">
        <v>31</v>
      </c>
      <c r="C113" s="51">
        <f>IF(F3="1",SUMIF(Data!A:A,$A$2,Data!U:U),0)</f>
        <v>586333</v>
      </c>
      <c r="D113" s="52"/>
      <c r="E113" s="51">
        <f>IF(F3="1",SUMIF(Data!A:A,$A$2,Data!AB:AB),0)</f>
        <v>448609</v>
      </c>
      <c r="F113" s="49">
        <f t="shared" si="7"/>
        <v>1034942</v>
      </c>
    </row>
    <row r="114" spans="1:6" x14ac:dyDescent="0.2">
      <c r="B114" s="43" t="s">
        <v>1363</v>
      </c>
      <c r="C114" s="51">
        <f>IF(F3="1",SUMIF(Data!A:A,$A$2,Data!T:T),0)</f>
        <v>649644</v>
      </c>
      <c r="D114" s="52"/>
      <c r="E114" s="51">
        <f>IF(F3="1",SUMIF(Data!A:A,$A$2,Data!AA:AA),0)</f>
        <v>146792</v>
      </c>
      <c r="F114" s="49">
        <f t="shared" si="7"/>
        <v>796436</v>
      </c>
    </row>
    <row r="115" spans="1:6" x14ac:dyDescent="0.2">
      <c r="B115" s="43" t="s">
        <v>1278</v>
      </c>
      <c r="C115" s="51">
        <f>IF(F3="1",SUMIF(Data!A:A,$A$2,Data!BI:BI),0)</f>
        <v>406568</v>
      </c>
      <c r="D115" s="51">
        <f>IF(F3="1",SUMIF(Data!A:A,$A$2,Data!BL:BL),0)</f>
        <v>16128</v>
      </c>
      <c r="E115" s="51">
        <f>IF(F3="1",SUMIF(Data!A:A,$A$2,Data!BU:BU),0)</f>
        <v>504662</v>
      </c>
      <c r="F115" s="49">
        <f t="shared" si="7"/>
        <v>927358</v>
      </c>
    </row>
    <row r="116" spans="1:6" x14ac:dyDescent="0.2">
      <c r="B116" s="43" t="s">
        <v>33</v>
      </c>
      <c r="C116" s="51">
        <f>IF(F3="1",SUMIF(Data!A:A,$A$2,Data!X:X),0)</f>
        <v>0</v>
      </c>
      <c r="D116" s="51"/>
      <c r="E116" s="51">
        <f>E102</f>
        <v>324365</v>
      </c>
      <c r="F116" s="49">
        <f t="shared" si="7"/>
        <v>324365</v>
      </c>
    </row>
    <row r="117" spans="1:6" ht="15" thickBot="1" x14ac:dyDescent="0.25">
      <c r="B117" s="44" t="s">
        <v>1282</v>
      </c>
      <c r="C117" s="53"/>
      <c r="D117" s="53">
        <f>IF(F3="1",SUMIF(Data!A:A,$A$2,Data!Q:Q),0)</f>
        <v>67087</v>
      </c>
      <c r="E117" s="53"/>
      <c r="F117" s="50">
        <f>SUM(C117:E117)</f>
        <v>67087</v>
      </c>
    </row>
    <row r="118" spans="1:6" x14ac:dyDescent="0.2">
      <c r="B118" s="14" t="s">
        <v>35</v>
      </c>
      <c r="C118" s="5">
        <f>SUM(C109:C116)</f>
        <v>4293194</v>
      </c>
      <c r="D118" s="5">
        <f>SUM(D109:D116)</f>
        <v>214316</v>
      </c>
      <c r="E118" s="5">
        <f>SUM(E109:E116)</f>
        <v>2495871</v>
      </c>
      <c r="F118" s="5">
        <f>SUM(F109:F116)</f>
        <v>7003381</v>
      </c>
    </row>
    <row r="119" spans="1:6" ht="15" thickBot="1" x14ac:dyDescent="0.25"/>
    <row r="120" spans="1:6" ht="15" thickBot="1" x14ac:dyDescent="0.25">
      <c r="B120" s="57" t="s">
        <v>1283</v>
      </c>
      <c r="C120" s="55"/>
      <c r="D120" s="55"/>
      <c r="E120" s="55">
        <f>IF(F3="1",SUMIF(Data!A:A,'53'!$A$2,Data!AM:AM),0)</f>
        <v>67187</v>
      </c>
      <c r="F120" s="56">
        <f>SUM(C120:E120)</f>
        <v>67187</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4" width="13.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580</v>
      </c>
      <c r="B2" s="60" t="str">
        <f>VLOOKUP(A2,Data!A:G,7,0)</f>
        <v>Texas State Technical College-Waco</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54336</v>
      </c>
      <c r="E5" s="16">
        <f>E36+E67+IFERROR($E$105/$D$105*D5,0)</f>
        <v>630176.7468468158</v>
      </c>
      <c r="F5" s="21">
        <f>IFERROR(E5/D5,"")</f>
        <v>11.597775817999407</v>
      </c>
    </row>
    <row r="6" spans="1:6" x14ac:dyDescent="0.2">
      <c r="A6" s="20">
        <v>2</v>
      </c>
      <c r="B6" s="179" t="s">
        <v>1</v>
      </c>
      <c r="C6" s="180"/>
      <c r="D6" s="15">
        <f t="shared" ref="D6:D32" si="0">D37</f>
        <v>401920</v>
      </c>
      <c r="E6" s="18">
        <f t="shared" ref="E6:E32" si="1">E37+E68+IFERROR($E$105/$D$105*D6,0)</f>
        <v>3356775.4489964708</v>
      </c>
      <c r="F6" s="22">
        <f t="shared" ref="F6:F33" si="2">IFERROR(E6/D6,"")</f>
        <v>8.3518497437213153</v>
      </c>
    </row>
    <row r="7" spans="1:6" ht="14.25" customHeight="1" x14ac:dyDescent="0.2">
      <c r="A7" s="20">
        <v>3</v>
      </c>
      <c r="B7" s="179" t="s">
        <v>2</v>
      </c>
      <c r="C7" s="180"/>
      <c r="D7" s="15">
        <f t="shared" si="0"/>
        <v>118160</v>
      </c>
      <c r="E7" s="18">
        <f t="shared" si="1"/>
        <v>641004.1146830786</v>
      </c>
      <c r="F7" s="22">
        <f t="shared" si="2"/>
        <v>5.4248824871621411</v>
      </c>
    </row>
    <row r="8" spans="1:6" ht="14.25" customHeight="1" x14ac:dyDescent="0.2">
      <c r="A8" s="20">
        <v>4</v>
      </c>
      <c r="B8" s="179" t="s">
        <v>3</v>
      </c>
      <c r="C8" s="180"/>
      <c r="D8" s="15">
        <f t="shared" si="0"/>
        <v>189120</v>
      </c>
      <c r="E8" s="18">
        <f t="shared" si="1"/>
        <v>1361472.6595198363</v>
      </c>
      <c r="F8" s="22">
        <f t="shared" si="2"/>
        <v>7.198988258882383</v>
      </c>
    </row>
    <row r="9" spans="1:6" x14ac:dyDescent="0.2">
      <c r="A9" s="20">
        <v>5</v>
      </c>
      <c r="B9" s="179" t="s">
        <v>4</v>
      </c>
      <c r="C9" s="180"/>
      <c r="D9" s="15">
        <f t="shared" si="0"/>
        <v>66928</v>
      </c>
      <c r="E9" s="18">
        <f t="shared" si="1"/>
        <v>2049552.3551414106</v>
      </c>
      <c r="F9" s="22">
        <f t="shared" si="2"/>
        <v>30.623242217628057</v>
      </c>
    </row>
    <row r="10" spans="1:6" x14ac:dyDescent="0.2">
      <c r="A10" s="20">
        <v>6</v>
      </c>
      <c r="B10" s="179" t="s">
        <v>5</v>
      </c>
      <c r="C10" s="180"/>
      <c r="D10" s="15">
        <f t="shared" si="0"/>
        <v>160496</v>
      </c>
      <c r="E10" s="18">
        <f t="shared" si="1"/>
        <v>1300561.1064842197</v>
      </c>
      <c r="F10" s="22">
        <f t="shared" si="2"/>
        <v>8.1033864176317145</v>
      </c>
    </row>
    <row r="11" spans="1:6" x14ac:dyDescent="0.2">
      <c r="A11" s="20">
        <v>7</v>
      </c>
      <c r="B11" s="179" t="s">
        <v>6</v>
      </c>
      <c r="C11" s="180"/>
      <c r="D11" s="15">
        <f t="shared" si="0"/>
        <v>382688</v>
      </c>
      <c r="E11" s="18">
        <f t="shared" si="1"/>
        <v>2891937.7029099357</v>
      </c>
      <c r="F11" s="22">
        <f t="shared" si="2"/>
        <v>7.5569072009311391</v>
      </c>
    </row>
    <row r="12" spans="1:6" x14ac:dyDescent="0.2">
      <c r="A12" s="20">
        <v>8</v>
      </c>
      <c r="B12" s="179" t="s">
        <v>7</v>
      </c>
      <c r="C12" s="180"/>
      <c r="D12" s="15">
        <f t="shared" si="0"/>
        <v>204164</v>
      </c>
      <c r="E12" s="18">
        <f t="shared" si="1"/>
        <v>1623754.0180954305</v>
      </c>
      <c r="F12" s="22">
        <f t="shared" si="2"/>
        <v>7.9531847832890739</v>
      </c>
    </row>
    <row r="13" spans="1:6" x14ac:dyDescent="0.2">
      <c r="A13" s="20">
        <v>9</v>
      </c>
      <c r="B13" s="179" t="s">
        <v>8</v>
      </c>
      <c r="C13" s="180"/>
      <c r="D13" s="15">
        <f t="shared" si="0"/>
        <v>80560</v>
      </c>
      <c r="E13" s="18">
        <f t="shared" si="1"/>
        <v>928721.94887329731</v>
      </c>
      <c r="F13" s="22">
        <f t="shared" si="2"/>
        <v>11.528326078367643</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795600</v>
      </c>
      <c r="E15" s="18">
        <f t="shared" si="1"/>
        <v>8593436.8595282435</v>
      </c>
      <c r="F15" s="22">
        <f t="shared" si="2"/>
        <v>10.80120268920091</v>
      </c>
    </row>
    <row r="16" spans="1:6" ht="14.25" customHeight="1" x14ac:dyDescent="0.2">
      <c r="A16" s="20">
        <v>12</v>
      </c>
      <c r="B16" s="179" t="s">
        <v>11</v>
      </c>
      <c r="C16" s="180"/>
      <c r="D16" s="15">
        <f t="shared" si="0"/>
        <v>123072</v>
      </c>
      <c r="E16" s="18">
        <f t="shared" si="1"/>
        <v>1013779.5997484416</v>
      </c>
      <c r="F16" s="22">
        <f t="shared" si="2"/>
        <v>8.2372887395056686</v>
      </c>
    </row>
    <row r="17" spans="1:6" x14ac:dyDescent="0.2">
      <c r="A17" s="20">
        <v>13</v>
      </c>
      <c r="B17" s="179" t="s">
        <v>12</v>
      </c>
      <c r="C17" s="180"/>
      <c r="D17" s="15">
        <f t="shared" si="0"/>
        <v>9216</v>
      </c>
      <c r="E17" s="18">
        <f t="shared" si="1"/>
        <v>366758.14787507831</v>
      </c>
      <c r="F17" s="22">
        <f t="shared" si="2"/>
        <v>39.795805976028461</v>
      </c>
    </row>
    <row r="18" spans="1:6" ht="14.25" customHeight="1" x14ac:dyDescent="0.2">
      <c r="A18" s="20">
        <v>14</v>
      </c>
      <c r="B18" s="179" t="s">
        <v>804</v>
      </c>
      <c r="C18" s="180"/>
      <c r="D18" s="15">
        <f t="shared" si="0"/>
        <v>177016</v>
      </c>
      <c r="E18" s="18">
        <f t="shared" si="1"/>
        <v>1104471.1059304322</v>
      </c>
      <c r="F18" s="22">
        <f t="shared" si="2"/>
        <v>6.2393857387492213</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47184</v>
      </c>
      <c r="E20" s="18">
        <f t="shared" si="1"/>
        <v>486079.60083959362</v>
      </c>
      <c r="F20" s="22">
        <f t="shared" si="2"/>
        <v>10.301788759740456</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0</v>
      </c>
      <c r="E22" s="18">
        <f t="shared" si="1"/>
        <v>0</v>
      </c>
      <c r="F22" s="22" t="str">
        <f t="shared" si="2"/>
        <v/>
      </c>
    </row>
    <row r="23" spans="1:6" x14ac:dyDescent="0.2">
      <c r="A23" s="20">
        <v>19</v>
      </c>
      <c r="B23" s="179" t="s">
        <v>17</v>
      </c>
      <c r="C23" s="180"/>
      <c r="D23" s="15">
        <f t="shared" si="0"/>
        <v>63408</v>
      </c>
      <c r="E23" s="18">
        <f t="shared" si="1"/>
        <v>568081.17366134608</v>
      </c>
      <c r="F23" s="22">
        <f t="shared" si="2"/>
        <v>8.9591403870386408</v>
      </c>
    </row>
    <row r="24" spans="1:6" x14ac:dyDescent="0.2">
      <c r="A24" s="20">
        <v>20</v>
      </c>
      <c r="B24" s="179" t="s">
        <v>18</v>
      </c>
      <c r="C24" s="180"/>
      <c r="D24" s="15">
        <f t="shared" si="0"/>
        <v>400157</v>
      </c>
      <c r="E24" s="18">
        <f t="shared" si="1"/>
        <v>3514801.9890676769</v>
      </c>
      <c r="F24" s="22">
        <f t="shared" si="2"/>
        <v>8.783557426379339</v>
      </c>
    </row>
    <row r="25" spans="1:6" ht="14.25" customHeight="1" x14ac:dyDescent="0.2">
      <c r="A25" s="20">
        <v>21</v>
      </c>
      <c r="B25" s="179" t="s">
        <v>801</v>
      </c>
      <c r="C25" s="180"/>
      <c r="D25" s="15">
        <f t="shared" si="0"/>
        <v>308004</v>
      </c>
      <c r="E25" s="18">
        <f t="shared" si="1"/>
        <v>2822380.8717573369</v>
      </c>
      <c r="F25" s="22">
        <f t="shared" si="2"/>
        <v>9.1634552530400146</v>
      </c>
    </row>
    <row r="26" spans="1:6" x14ac:dyDescent="0.2">
      <c r="A26" s="20">
        <v>22</v>
      </c>
      <c r="B26" s="179" t="s">
        <v>19</v>
      </c>
      <c r="C26" s="180"/>
      <c r="D26" s="15">
        <f t="shared" si="0"/>
        <v>265424</v>
      </c>
      <c r="E26" s="18">
        <f t="shared" si="1"/>
        <v>1800270.8526036008</v>
      </c>
      <c r="F26" s="22">
        <f t="shared" si="2"/>
        <v>6.7826227191346709</v>
      </c>
    </row>
    <row r="27" spans="1:6" x14ac:dyDescent="0.2">
      <c r="A27" s="20">
        <v>23</v>
      </c>
      <c r="B27" s="179" t="s">
        <v>20</v>
      </c>
      <c r="C27" s="180"/>
      <c r="D27" s="15">
        <f t="shared" si="0"/>
        <v>0</v>
      </c>
      <c r="E27" s="18">
        <f t="shared" si="1"/>
        <v>0</v>
      </c>
      <c r="F27" s="22" t="str">
        <f t="shared" si="2"/>
        <v/>
      </c>
    </row>
    <row r="28" spans="1:6" x14ac:dyDescent="0.2">
      <c r="A28" s="20">
        <v>24</v>
      </c>
      <c r="B28" s="179" t="s">
        <v>21</v>
      </c>
      <c r="C28" s="180"/>
      <c r="D28" s="15">
        <f t="shared" si="0"/>
        <v>14016</v>
      </c>
      <c r="E28" s="18">
        <f t="shared" si="1"/>
        <v>576360.84989334829</v>
      </c>
      <c r="F28" s="22">
        <f t="shared" si="2"/>
        <v>41.121635979833641</v>
      </c>
    </row>
    <row r="29" spans="1:6" x14ac:dyDescent="0.2">
      <c r="A29" s="20">
        <v>25</v>
      </c>
      <c r="B29" s="179" t="s">
        <v>22</v>
      </c>
      <c r="C29" s="180"/>
      <c r="D29" s="15">
        <f t="shared" si="0"/>
        <v>102992</v>
      </c>
      <c r="E29" s="18">
        <f t="shared" si="1"/>
        <v>983469.49630534556</v>
      </c>
      <c r="F29" s="22">
        <f t="shared" si="2"/>
        <v>9.5489892060096473</v>
      </c>
    </row>
    <row r="30" spans="1:6" x14ac:dyDescent="0.2">
      <c r="A30" s="20">
        <v>26</v>
      </c>
      <c r="B30" s="179" t="s">
        <v>23</v>
      </c>
      <c r="C30" s="180"/>
      <c r="D30" s="15">
        <f t="shared" si="0"/>
        <v>103824</v>
      </c>
      <c r="E30" s="18">
        <f t="shared" si="1"/>
        <v>1288837.884655179</v>
      </c>
      <c r="F30" s="22">
        <f t="shared" si="2"/>
        <v>12.413679733541175</v>
      </c>
    </row>
    <row r="31" spans="1:6" x14ac:dyDescent="0.2">
      <c r="A31" s="20">
        <v>28</v>
      </c>
      <c r="B31" s="179" t="s">
        <v>24</v>
      </c>
      <c r="C31" s="180"/>
      <c r="D31" s="15">
        <f t="shared" si="0"/>
        <v>245808</v>
      </c>
      <c r="E31" s="18">
        <f t="shared" si="1"/>
        <v>1821670.8503556042</v>
      </c>
      <c r="F31" s="22">
        <f t="shared" si="2"/>
        <v>7.4109502146211845</v>
      </c>
    </row>
    <row r="32" spans="1:6" ht="15.75" customHeight="1" thickBot="1" x14ac:dyDescent="0.25">
      <c r="A32" s="23">
        <v>29</v>
      </c>
      <c r="B32" s="181" t="s">
        <v>25</v>
      </c>
      <c r="C32" s="182"/>
      <c r="D32" s="24">
        <f t="shared" si="0"/>
        <v>252640</v>
      </c>
      <c r="E32" s="25">
        <f t="shared" si="1"/>
        <v>1694150.616228275</v>
      </c>
      <c r="F32" s="26">
        <f t="shared" si="2"/>
        <v>6.7057893295926023</v>
      </c>
    </row>
    <row r="33" spans="1:6" x14ac:dyDescent="0.2">
      <c r="B33" s="31" t="s">
        <v>35</v>
      </c>
      <c r="C33" s="31"/>
      <c r="D33" s="61">
        <f>SUM(D5:D32)</f>
        <v>4566733</v>
      </c>
      <c r="E33" s="32">
        <f>SUM(E5:E32)</f>
        <v>41418505.999999993</v>
      </c>
      <c r="F33" s="33">
        <f t="shared" si="2"/>
        <v>9.0696140983061611</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IF(F3="1",SUMIF(Data!A:A,'54'!$A$2,Data!CU:CU),0)</f>
        <v>54336</v>
      </c>
      <c r="E36" s="16">
        <f>IF(F3="1",SUMIF(Data!$A:$A,'54'!$A$2,Data!IO:IO),0)</f>
        <v>177788</v>
      </c>
      <c r="F36" s="21">
        <f t="shared" ref="F36:F64" si="3">IFERROR(E36/D36,"")</f>
        <v>3.2720111896348647</v>
      </c>
    </row>
    <row r="37" spans="1:6" x14ac:dyDescent="0.2">
      <c r="A37" s="20">
        <v>2</v>
      </c>
      <c r="B37" s="179" t="s">
        <v>1</v>
      </c>
      <c r="C37" s="180"/>
      <c r="D37" s="15">
        <f>IF(F3="1",SUMIF(Data!A:A,'54'!$A$2,Data!CV:CV),0)</f>
        <v>401920</v>
      </c>
      <c r="E37" s="18">
        <f>IF(F3="1",SUMIF(Data!$A:$A,'54'!$A$2,Data!IP:IP),0)</f>
        <v>894966</v>
      </c>
      <c r="F37" s="22">
        <f t="shared" si="3"/>
        <v>2.2267267117834395</v>
      </c>
    </row>
    <row r="38" spans="1:6" ht="14.25" customHeight="1" x14ac:dyDescent="0.2">
      <c r="A38" s="20">
        <v>3</v>
      </c>
      <c r="B38" s="179" t="s">
        <v>2</v>
      </c>
      <c r="C38" s="180"/>
      <c r="D38" s="15">
        <f>IF(F3="1",SUMIF(Data!A:A,'54'!$A$2,Data!CW:CW),0)</f>
        <v>118160</v>
      </c>
      <c r="E38" s="18">
        <f>IF(F3="1",SUMIF(Data!$A:$A,'54'!$A$2,Data!IQ:IQ),0)</f>
        <v>170210</v>
      </c>
      <c r="F38" s="22">
        <f t="shared" si="3"/>
        <v>1.4405044008124577</v>
      </c>
    </row>
    <row r="39" spans="1:6" ht="14.25" customHeight="1" x14ac:dyDescent="0.2">
      <c r="A39" s="20">
        <v>4</v>
      </c>
      <c r="B39" s="179" t="s">
        <v>3</v>
      </c>
      <c r="C39" s="180"/>
      <c r="D39" s="15">
        <f>IF(F3="1",SUMIF(Data!A:A,'54'!$A$2,Data!CX:CX),0)</f>
        <v>189120</v>
      </c>
      <c r="E39" s="18">
        <f>IF(F3="1",SUMIF(Data!$A:$A,'54'!$A$2,Data!IR:IR),0)</f>
        <v>477506</v>
      </c>
      <c r="F39" s="22">
        <f t="shared" si="3"/>
        <v>2.5248836717428089</v>
      </c>
    </row>
    <row r="40" spans="1:6" x14ac:dyDescent="0.2">
      <c r="A40" s="20">
        <v>5</v>
      </c>
      <c r="B40" s="179" t="s">
        <v>4</v>
      </c>
      <c r="C40" s="180"/>
      <c r="D40" s="15">
        <f>IF(F3="1",SUMIF(Data!A:A,'54'!$A$2,Data!CY:CY),0)</f>
        <v>66928</v>
      </c>
      <c r="E40" s="18">
        <f>IF(F3="1",SUMIF(Data!$A:$A,'54'!$A$2,Data!IS:IS),0)</f>
        <v>1032411</v>
      </c>
      <c r="F40" s="22">
        <f t="shared" si="3"/>
        <v>15.425696270619174</v>
      </c>
    </row>
    <row r="41" spans="1:6" x14ac:dyDescent="0.2">
      <c r="A41" s="20">
        <v>6</v>
      </c>
      <c r="B41" s="179" t="s">
        <v>5</v>
      </c>
      <c r="C41" s="180"/>
      <c r="D41" s="15">
        <f>IF(F3="1",SUMIF(Data!A:A,'54'!$A$2,Data!CZ:CZ),0)</f>
        <v>160496</v>
      </c>
      <c r="E41" s="18">
        <f>IF(F3="1",SUMIF(Data!$A:$A,'54'!$A$2,Data!IT:IT),0)</f>
        <v>447691</v>
      </c>
      <c r="F41" s="22">
        <f t="shared" si="3"/>
        <v>2.7894215432160303</v>
      </c>
    </row>
    <row r="42" spans="1:6" x14ac:dyDescent="0.2">
      <c r="A42" s="20">
        <v>7</v>
      </c>
      <c r="B42" s="179" t="s">
        <v>6</v>
      </c>
      <c r="C42" s="180"/>
      <c r="D42" s="15">
        <f>IF(F3="1",SUMIF(Data!A:A,'54'!$A$2,Data!DA:DA),0)</f>
        <v>382688</v>
      </c>
      <c r="E42" s="18">
        <f>IF(F3="1",SUMIF(Data!$A:$A,'54'!$A$2,Data!IU:IU),0)</f>
        <v>681688</v>
      </c>
      <c r="F42" s="22">
        <f t="shared" si="3"/>
        <v>1.7813153273685092</v>
      </c>
    </row>
    <row r="43" spans="1:6" x14ac:dyDescent="0.2">
      <c r="A43" s="20">
        <v>8</v>
      </c>
      <c r="B43" s="179" t="s">
        <v>7</v>
      </c>
      <c r="C43" s="180"/>
      <c r="D43" s="15">
        <f>IF(F3="1",SUMIF(Data!A:A,'54'!$A$2,Data!DB:DB),0)</f>
        <v>204164</v>
      </c>
      <c r="E43" s="18">
        <f>IF(F3="1",SUMIF(Data!$A:$A,'54'!$A$2,Data!IV:IV),0)</f>
        <v>526216</v>
      </c>
      <c r="F43" s="22">
        <f t="shared" si="3"/>
        <v>2.5774181540330323</v>
      </c>
    </row>
    <row r="44" spans="1:6" x14ac:dyDescent="0.2">
      <c r="A44" s="20">
        <v>9</v>
      </c>
      <c r="B44" s="179" t="s">
        <v>8</v>
      </c>
      <c r="C44" s="180"/>
      <c r="D44" s="15">
        <f>IF(F3="1",SUMIF(Data!A:A,'54'!$A$2,Data!DC:DC),0)</f>
        <v>80560</v>
      </c>
      <c r="E44" s="18">
        <f>IF(F3="1",SUMIF(Data!$A:$A,'54'!$A$2,Data!IW:IW),0)</f>
        <v>327736</v>
      </c>
      <c r="F44" s="22">
        <f t="shared" si="3"/>
        <v>4.0682224428997023</v>
      </c>
    </row>
    <row r="45" spans="1:6" x14ac:dyDescent="0.2">
      <c r="A45" s="20">
        <v>10</v>
      </c>
      <c r="B45" s="179" t="s">
        <v>9</v>
      </c>
      <c r="C45" s="180"/>
      <c r="D45" s="15">
        <f>IF(F3="1",SUMIF(Data!A:A,'54'!$A$2,Data!DD:DD),0)</f>
        <v>0</v>
      </c>
      <c r="E45" s="18">
        <f>IF(F3="1",SUMIF(Data!$A:$A,'54'!$A$2,Data!IX:IX),0)</f>
        <v>0</v>
      </c>
      <c r="F45" s="22" t="str">
        <f t="shared" si="3"/>
        <v/>
      </c>
    </row>
    <row r="46" spans="1:6" x14ac:dyDescent="0.2">
      <c r="A46" s="20">
        <v>11</v>
      </c>
      <c r="B46" s="179" t="s">
        <v>10</v>
      </c>
      <c r="C46" s="180"/>
      <c r="D46" s="15">
        <f>IF(F3="1",SUMIF(Data!A:A,'54'!$A$2,Data!DE:DE),0)</f>
        <v>795600</v>
      </c>
      <c r="E46" s="18">
        <f>IF(F3="1",SUMIF(Data!$A:$A,'54'!$A$2,Data!IY:IY),0)</f>
        <v>2394504</v>
      </c>
      <c r="F46" s="22">
        <f t="shared" si="3"/>
        <v>3.0096832579185522</v>
      </c>
    </row>
    <row r="47" spans="1:6" ht="14.25" customHeight="1" x14ac:dyDescent="0.2">
      <c r="A47" s="20">
        <v>12</v>
      </c>
      <c r="B47" s="179" t="s">
        <v>11</v>
      </c>
      <c r="C47" s="180"/>
      <c r="D47" s="15">
        <f>IF(F3="1",SUMIF(Data!A:A,'54'!$A$2,Data!DF:DF),0)</f>
        <v>123072</v>
      </c>
      <c r="E47" s="18">
        <f>IF(F3="1",SUMIF(Data!$A:$A,'54'!$A$2,Data!IZ:IZ),0)</f>
        <v>339048</v>
      </c>
      <c r="F47" s="22">
        <f t="shared" si="3"/>
        <v>2.7548751950078003</v>
      </c>
    </row>
    <row r="48" spans="1:6" x14ac:dyDescent="0.2">
      <c r="A48" s="20">
        <v>13</v>
      </c>
      <c r="B48" s="179" t="s">
        <v>12</v>
      </c>
      <c r="C48" s="180"/>
      <c r="D48" s="15">
        <f>IF(F3="1",SUMIF(Data!A:A,'54'!$A$2,Data!DG:DG),0)</f>
        <v>9216</v>
      </c>
      <c r="E48" s="18">
        <f>IF(F3="1",SUMIF(Data!$A:$A,'54'!$A$2,Data!JA:JA),0)</f>
        <v>332957</v>
      </c>
      <c r="F48" s="22">
        <f t="shared" si="3"/>
        <v>36.128146701388886</v>
      </c>
    </row>
    <row r="49" spans="1:6" ht="14.25" customHeight="1" x14ac:dyDescent="0.2">
      <c r="A49" s="20">
        <v>14</v>
      </c>
      <c r="B49" s="179" t="s">
        <v>804</v>
      </c>
      <c r="C49" s="180"/>
      <c r="D49" s="15">
        <f>IF(F3="1",SUMIF(Data!A:A,'54'!$A$2,Data!DH:DH),0)</f>
        <v>177016</v>
      </c>
      <c r="E49" s="18">
        <f>IF(F3="1",SUMIF(Data!$A:$A,'54'!$A$2,Data!JB:JB),0)</f>
        <v>217540</v>
      </c>
      <c r="F49" s="22">
        <f t="shared" si="3"/>
        <v>1.2289284584444344</v>
      </c>
    </row>
    <row r="50" spans="1:6" x14ac:dyDescent="0.2">
      <c r="A50" s="20">
        <v>15</v>
      </c>
      <c r="B50" s="179" t="s">
        <v>13</v>
      </c>
      <c r="C50" s="180"/>
      <c r="D50" s="15">
        <f>IF(F3="1",SUMIF(Data!A:A,'54'!$A$2,Data!DI:DI),0)</f>
        <v>0</v>
      </c>
      <c r="E50" s="18">
        <f>IF(F3="1",SUMIF(Data!$A:$A,'54'!$A$2,Data!JC:JC),0)</f>
        <v>0</v>
      </c>
      <c r="F50" s="22" t="str">
        <f t="shared" si="3"/>
        <v/>
      </c>
    </row>
    <row r="51" spans="1:6" x14ac:dyDescent="0.2">
      <c r="A51" s="20">
        <v>16</v>
      </c>
      <c r="B51" s="179" t="s">
        <v>14</v>
      </c>
      <c r="C51" s="180"/>
      <c r="D51" s="15">
        <f>IF(F3="1",SUMIF(Data!A:A,'54'!$A$2,Data!DJ:DJ),0)</f>
        <v>47184</v>
      </c>
      <c r="E51" s="18">
        <f>IF(F3="1",SUMIF(Data!$A:$A,'54'!$A$2,Data!JD:JD),0)</f>
        <v>249840</v>
      </c>
      <c r="F51" s="22">
        <f t="shared" si="3"/>
        <v>5.2950152594099693</v>
      </c>
    </row>
    <row r="52" spans="1:6" x14ac:dyDescent="0.2">
      <c r="A52" s="20">
        <v>17</v>
      </c>
      <c r="B52" s="179" t="s">
        <v>15</v>
      </c>
      <c r="C52" s="180"/>
      <c r="D52" s="15">
        <f>IF(F3="1",SUMIF(Data!A:A,'54'!$A$2,Data!DK:DK),0)</f>
        <v>0</v>
      </c>
      <c r="E52" s="18">
        <f>IF(F3="1",SUMIF(Data!$A:$A,'54'!$A$2,Data!JE:JE),0)</f>
        <v>0</v>
      </c>
      <c r="F52" s="22" t="str">
        <f t="shared" si="3"/>
        <v/>
      </c>
    </row>
    <row r="53" spans="1:6" x14ac:dyDescent="0.2">
      <c r="A53" s="20">
        <v>18</v>
      </c>
      <c r="B53" s="179" t="s">
        <v>16</v>
      </c>
      <c r="C53" s="180"/>
      <c r="D53" s="15">
        <f>IF(F3="1",SUMIF(Data!A:A,'54'!$A$2,Data!DL:DL),0)</f>
        <v>0</v>
      </c>
      <c r="E53" s="18">
        <f>IF(F3="1",SUMIF(Data!$A:$A,'54'!$A$2,Data!JF:JF),0)</f>
        <v>0</v>
      </c>
      <c r="F53" s="22" t="str">
        <f t="shared" si="3"/>
        <v/>
      </c>
    </row>
    <row r="54" spans="1:6" x14ac:dyDescent="0.2">
      <c r="A54" s="20">
        <v>19</v>
      </c>
      <c r="B54" s="179" t="s">
        <v>17</v>
      </c>
      <c r="C54" s="180"/>
      <c r="D54" s="15">
        <f>IF(F3="1",SUMIF(Data!A:A,'54'!$A$2,Data!DM:DM),0)</f>
        <v>63408</v>
      </c>
      <c r="E54" s="18">
        <f>IF(F3="1",SUMIF(Data!$A:$A,'54'!$A$2,Data!JG:JG),0)</f>
        <v>176846</v>
      </c>
      <c r="F54" s="22">
        <f t="shared" si="3"/>
        <v>2.7890171587181429</v>
      </c>
    </row>
    <row r="55" spans="1:6" x14ac:dyDescent="0.2">
      <c r="A55" s="20">
        <v>20</v>
      </c>
      <c r="B55" s="179" t="s">
        <v>18</v>
      </c>
      <c r="C55" s="180"/>
      <c r="D55" s="15">
        <f>IF(F3="1",SUMIF(Data!A:A,'54'!$A$2,Data!DN:DN),0)</f>
        <v>400157</v>
      </c>
      <c r="E55" s="18">
        <f>IF(F3="1",SUMIF(Data!$A:$A,'54'!$A$2,Data!JH:JH),0)</f>
        <v>812104</v>
      </c>
      <c r="F55" s="22">
        <f t="shared" si="3"/>
        <v>2.0294634356015262</v>
      </c>
    </row>
    <row r="56" spans="1:6" ht="14.25" customHeight="1" x14ac:dyDescent="0.2">
      <c r="A56" s="20">
        <v>21</v>
      </c>
      <c r="B56" s="179" t="s">
        <v>801</v>
      </c>
      <c r="C56" s="180"/>
      <c r="D56" s="15">
        <f>IF(F3="1",SUMIF(Data!A:A,'54'!$A$2,Data!DO:DO),0)</f>
        <v>308004</v>
      </c>
      <c r="E56" s="18">
        <f>IF(F3="1",SUMIF(Data!$A:$A,'54'!$A$2,Data!JI:JI),0)</f>
        <v>883782</v>
      </c>
      <c r="F56" s="22">
        <f t="shared" si="3"/>
        <v>2.8693848131842445</v>
      </c>
    </row>
    <row r="57" spans="1:6" x14ac:dyDescent="0.2">
      <c r="A57" s="20">
        <v>22</v>
      </c>
      <c r="B57" s="179" t="s">
        <v>19</v>
      </c>
      <c r="C57" s="180"/>
      <c r="D57" s="15">
        <f>IF(F3="1",SUMIF(Data!A:A,'54'!$A$2,Data!DP:DP),0)</f>
        <v>265424</v>
      </c>
      <c r="E57" s="18">
        <f>IF(F3="1",SUMIF(Data!$A:$A,'54'!$A$2,Data!JJ:JJ),0)</f>
        <v>741425</v>
      </c>
      <c r="F57" s="22">
        <f t="shared" si="3"/>
        <v>2.7933608113810355</v>
      </c>
    </row>
    <row r="58" spans="1:6" x14ac:dyDescent="0.2">
      <c r="A58" s="20">
        <v>23</v>
      </c>
      <c r="B58" s="179" t="s">
        <v>20</v>
      </c>
      <c r="C58" s="180"/>
      <c r="D58" s="15">
        <f>IF(F3="1",SUMIF(Data!A:A,'54'!$A$2,Data!DQ:DQ),0)</f>
        <v>0</v>
      </c>
      <c r="E58" s="18">
        <f>IF(F3="1",SUMIF(Data!$A:$A,'54'!$A$2,Data!JK:JK),0)</f>
        <v>0</v>
      </c>
      <c r="F58" s="22" t="str">
        <f t="shared" si="3"/>
        <v/>
      </c>
    </row>
    <row r="59" spans="1:6" x14ac:dyDescent="0.2">
      <c r="A59" s="20">
        <v>24</v>
      </c>
      <c r="B59" s="179" t="s">
        <v>21</v>
      </c>
      <c r="C59" s="180"/>
      <c r="D59" s="15">
        <f>IF(F3="1",SUMIF(Data!A:A,'54'!$A$2,Data!DR:DR),0)</f>
        <v>14016</v>
      </c>
      <c r="E59" s="18">
        <f>IF(F3="1",SUMIF(Data!$A:$A,'54'!$A$2,Data!JL:JL),0)</f>
        <v>524956</v>
      </c>
      <c r="F59" s="22">
        <f t="shared" si="3"/>
        <v>37.454052511415526</v>
      </c>
    </row>
    <row r="60" spans="1:6" x14ac:dyDescent="0.2">
      <c r="A60" s="20">
        <v>25</v>
      </c>
      <c r="B60" s="179" t="s">
        <v>22</v>
      </c>
      <c r="C60" s="180"/>
      <c r="D60" s="15">
        <f>IF(F3="1",SUMIF(Data!A:A,'54'!$A$2,Data!DS:DS),0)</f>
        <v>102992</v>
      </c>
      <c r="E60" s="18">
        <f>IF(F3="1",SUMIF(Data!$A:$A,'54'!$A$2,Data!JM:JM),0)</f>
        <v>242371</v>
      </c>
      <c r="F60" s="22">
        <f t="shared" si="3"/>
        <v>2.353299285381389</v>
      </c>
    </row>
    <row r="61" spans="1:6" x14ac:dyDescent="0.2">
      <c r="A61" s="20">
        <v>26</v>
      </c>
      <c r="B61" s="179" t="s">
        <v>23</v>
      </c>
      <c r="C61" s="180"/>
      <c r="D61" s="15">
        <f>IF(F3="1",SUMIF(Data!A:A,'54'!$A$2,Data!DT:DT),0)</f>
        <v>103824</v>
      </c>
      <c r="E61" s="18">
        <f>IF(F3="1",SUMIF(Data!$A:$A,'54'!$A$2,Data!JN:JN),0)</f>
        <v>210283</v>
      </c>
      <c r="F61" s="22">
        <f t="shared" si="3"/>
        <v>2.0253794883649254</v>
      </c>
    </row>
    <row r="62" spans="1:6" x14ac:dyDescent="0.2">
      <c r="A62" s="20">
        <v>28</v>
      </c>
      <c r="B62" s="179" t="s">
        <v>24</v>
      </c>
      <c r="C62" s="180"/>
      <c r="D62" s="15">
        <f>IF(F3="1",SUMIF(Data!A:A,'54'!$A$2,Data!DV:DV),0)</f>
        <v>245808</v>
      </c>
      <c r="E62" s="18">
        <f>IF(F3="1",SUMIF(Data!$A:$A,'54'!$A$2,Data!JP:JP),0)</f>
        <v>323209</v>
      </c>
      <c r="F62" s="22">
        <f t="shared" si="3"/>
        <v>1.3148839744841503</v>
      </c>
    </row>
    <row r="63" spans="1:6" ht="15.75" customHeight="1" thickBot="1" x14ac:dyDescent="0.25">
      <c r="A63" s="23">
        <v>29</v>
      </c>
      <c r="B63" s="181" t="s">
        <v>25</v>
      </c>
      <c r="C63" s="182"/>
      <c r="D63" s="24">
        <f>IF(F3="1",SUMIF(Data!A:A,'54'!$A$2,Data!DW:DW),0)</f>
        <v>252640</v>
      </c>
      <c r="E63" s="25">
        <f>IF(F3="1",SUMIF(Data!$A:$A,'54'!$A$2,Data!JQ:JQ),0)</f>
        <v>314095</v>
      </c>
      <c r="F63" s="26">
        <f t="shared" si="3"/>
        <v>1.243251266624446</v>
      </c>
    </row>
    <row r="64" spans="1:6" x14ac:dyDescent="0.2">
      <c r="B64" s="31" t="s">
        <v>35</v>
      </c>
      <c r="C64" s="31"/>
      <c r="D64" s="61">
        <f>SUM(D36:D63)</f>
        <v>4566733</v>
      </c>
      <c r="E64" s="32">
        <f>SUM(E36:E63)</f>
        <v>12499172</v>
      </c>
      <c r="F64" s="33">
        <f t="shared" si="3"/>
        <v>2.7370052070046573</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54336</v>
      </c>
      <c r="E67" s="16">
        <f>IF(F3="1",SUMIF(Data!A:A,'54'!$A$2,Data!DY:DY),0)</f>
        <v>255526</v>
      </c>
      <c r="F67" s="21">
        <f>IFERROR(E67/D67,"")</f>
        <v>4.7027017078916371</v>
      </c>
    </row>
    <row r="68" spans="1:6" x14ac:dyDescent="0.2">
      <c r="A68" s="20">
        <v>2</v>
      </c>
      <c r="B68" s="179" t="s">
        <v>1</v>
      </c>
      <c r="C68" s="180"/>
      <c r="D68" s="15">
        <f t="shared" ref="D68:D94" si="4">D37</f>
        <v>401920</v>
      </c>
      <c r="E68" s="18">
        <f>IF(F3="1",SUMIF(Data!A:A,'54'!$A$2,Data!DZ:DZ),0)</f>
        <v>1005628</v>
      </c>
      <c r="F68" s="22">
        <f t="shared" ref="F68:F95" si="5">IFERROR(E68/D68,"")</f>
        <v>2.5020601114649681</v>
      </c>
    </row>
    <row r="69" spans="1:6" ht="14.25" customHeight="1" x14ac:dyDescent="0.2">
      <c r="A69" s="20">
        <v>3</v>
      </c>
      <c r="B69" s="179" t="s">
        <v>2</v>
      </c>
      <c r="C69" s="180"/>
      <c r="D69" s="15">
        <f t="shared" si="4"/>
        <v>118160</v>
      </c>
      <c r="E69" s="18">
        <f>IF(F3="1",SUMIF(Data!A:A,'54'!$A$2,Data!EA:EA),0)</f>
        <v>42693</v>
      </c>
      <c r="F69" s="22">
        <f t="shared" si="5"/>
        <v>0.36131516587677726</v>
      </c>
    </row>
    <row r="70" spans="1:6" ht="14.25" customHeight="1" x14ac:dyDescent="0.2">
      <c r="A70" s="20">
        <v>4</v>
      </c>
      <c r="B70" s="179" t="s">
        <v>3</v>
      </c>
      <c r="C70" s="180"/>
      <c r="D70" s="15">
        <f t="shared" si="4"/>
        <v>189120</v>
      </c>
      <c r="E70" s="18">
        <f>IF(F3="1",SUMIF(Data!A:A,'54'!$A$2,Data!EB:EB),0)</f>
        <v>198773</v>
      </c>
      <c r="F70" s="22">
        <f t="shared" si="5"/>
        <v>1.0510416666666667</v>
      </c>
    </row>
    <row r="71" spans="1:6" x14ac:dyDescent="0.2">
      <c r="A71" s="20">
        <v>5</v>
      </c>
      <c r="B71" s="179" t="s">
        <v>4</v>
      </c>
      <c r="C71" s="180"/>
      <c r="D71" s="15">
        <f t="shared" si="4"/>
        <v>66928</v>
      </c>
      <c r="E71" s="18">
        <f>IF(F3="1",SUMIF(Data!A:A,'54'!$A$2,Data!EC:EC),0)</f>
        <v>774657</v>
      </c>
      <c r="F71" s="22">
        <f t="shared" si="5"/>
        <v>11.574483026535979</v>
      </c>
    </row>
    <row r="72" spans="1:6" x14ac:dyDescent="0.2">
      <c r="A72" s="20">
        <v>6</v>
      </c>
      <c r="B72" s="179" t="s">
        <v>5</v>
      </c>
      <c r="C72" s="180"/>
      <c r="D72" s="15">
        <f t="shared" si="4"/>
        <v>160496</v>
      </c>
      <c r="E72" s="18">
        <f>IF(F3="1",SUMIF(Data!A:A,'54'!$A$2,Data!ED:ED),0)</f>
        <v>271383</v>
      </c>
      <c r="F72" s="22">
        <f t="shared" si="5"/>
        <v>1.6909019539427774</v>
      </c>
    </row>
    <row r="73" spans="1:6" x14ac:dyDescent="0.2">
      <c r="A73" s="20">
        <v>7</v>
      </c>
      <c r="B73" s="179" t="s">
        <v>6</v>
      </c>
      <c r="C73" s="180"/>
      <c r="D73" s="15">
        <f t="shared" si="4"/>
        <v>382688</v>
      </c>
      <c r="E73" s="18">
        <f>IF(F3="1",SUMIF(Data!A:A,'54'!$A$2,Data!EE:EE),0)</f>
        <v>823747</v>
      </c>
      <c r="F73" s="22">
        <f t="shared" si="5"/>
        <v>2.1525289530897234</v>
      </c>
    </row>
    <row r="74" spans="1:6" x14ac:dyDescent="0.2">
      <c r="A74" s="20">
        <v>8</v>
      </c>
      <c r="B74" s="179" t="s">
        <v>7</v>
      </c>
      <c r="C74" s="180"/>
      <c r="D74" s="15">
        <f t="shared" si="4"/>
        <v>204164</v>
      </c>
      <c r="E74" s="18">
        <f>IF(F3="1",SUMIF(Data!A:A,'54'!$A$2,Data!EF:EF),0)</f>
        <v>357839</v>
      </c>
      <c r="F74" s="22">
        <f t="shared" si="5"/>
        <v>1.7527037087831352</v>
      </c>
    </row>
    <row r="75" spans="1:6" x14ac:dyDescent="0.2">
      <c r="A75" s="20">
        <v>9</v>
      </c>
      <c r="B75" s="179" t="s">
        <v>8</v>
      </c>
      <c r="C75" s="180"/>
      <c r="D75" s="15">
        <f t="shared" si="4"/>
        <v>80560</v>
      </c>
      <c r="E75" s="18">
        <f>IF(F3="1",SUMIF(Data!A:A,'54'!$A$2,Data!EG:EG),0)</f>
        <v>309112</v>
      </c>
      <c r="F75" s="22">
        <f t="shared" si="5"/>
        <v>3.8370407149950347</v>
      </c>
    </row>
    <row r="76" spans="1:6" x14ac:dyDescent="0.2">
      <c r="A76" s="20">
        <v>10</v>
      </c>
      <c r="B76" s="179" t="s">
        <v>9</v>
      </c>
      <c r="C76" s="180"/>
      <c r="D76" s="15">
        <f t="shared" si="4"/>
        <v>0</v>
      </c>
      <c r="E76" s="18">
        <f>IF(F3="1",SUMIF(Data!A:A,'54'!$A$2,Data!EH:EH),0)</f>
        <v>0</v>
      </c>
      <c r="F76" s="22" t="str">
        <f t="shared" si="5"/>
        <v/>
      </c>
    </row>
    <row r="77" spans="1:6" x14ac:dyDescent="0.2">
      <c r="A77" s="20">
        <v>11</v>
      </c>
      <c r="B77" s="179" t="s">
        <v>10</v>
      </c>
      <c r="C77" s="180"/>
      <c r="D77" s="15">
        <f t="shared" si="4"/>
        <v>795600</v>
      </c>
      <c r="E77" s="18">
        <f>IF(F3="1",SUMIF(Data!A:A,'54'!$A$2,Data!EI:EI),0)</f>
        <v>3316424</v>
      </c>
      <c r="F77" s="22">
        <f t="shared" si="5"/>
        <v>4.1684565108094516</v>
      </c>
    </row>
    <row r="78" spans="1:6" ht="14.25" customHeight="1" x14ac:dyDescent="0.2">
      <c r="A78" s="20">
        <v>12</v>
      </c>
      <c r="B78" s="179" t="s">
        <v>11</v>
      </c>
      <c r="C78" s="180"/>
      <c r="D78" s="15">
        <f t="shared" si="4"/>
        <v>123072</v>
      </c>
      <c r="E78" s="18">
        <f>IF(F3="1",SUMIF(Data!A:A,'54'!$A$2,Data!EJ:EJ),0)</f>
        <v>228834</v>
      </c>
      <c r="F78" s="22">
        <f t="shared" si="5"/>
        <v>1.8593506240249611</v>
      </c>
    </row>
    <row r="79" spans="1:6" x14ac:dyDescent="0.2">
      <c r="A79" s="20">
        <v>13</v>
      </c>
      <c r="B79" s="179" t="s">
        <v>12</v>
      </c>
      <c r="C79" s="180"/>
      <c r="D79" s="15">
        <f t="shared" si="4"/>
        <v>9216</v>
      </c>
      <c r="E79" s="18">
        <f>IF(F3="1",SUMIF(Data!A:A,'54'!$A$2,Data!EK:EK),0)</f>
        <v>411</v>
      </c>
      <c r="F79" s="22">
        <f t="shared" si="5"/>
        <v>4.4596354166666664E-2</v>
      </c>
    </row>
    <row r="80" spans="1:6" ht="14.25" customHeight="1" x14ac:dyDescent="0.2">
      <c r="A80" s="20">
        <v>14</v>
      </c>
      <c r="B80" s="179" t="s">
        <v>804</v>
      </c>
      <c r="C80" s="180"/>
      <c r="D80" s="15">
        <f t="shared" si="4"/>
        <v>177016</v>
      </c>
      <c r="E80" s="18">
        <f>IF(F3="1",SUMIF(Data!A:A,'54'!$A$2,Data!EL:EL),0)</f>
        <v>245591</v>
      </c>
      <c r="F80" s="22">
        <f t="shared" si="5"/>
        <v>1.3873943598318796</v>
      </c>
    </row>
    <row r="81" spans="1:6" x14ac:dyDescent="0.2">
      <c r="A81" s="20">
        <v>15</v>
      </c>
      <c r="B81" s="179" t="s">
        <v>13</v>
      </c>
      <c r="C81" s="180"/>
      <c r="D81" s="15">
        <f t="shared" si="4"/>
        <v>0</v>
      </c>
      <c r="E81" s="18">
        <f>IF(F3="1",SUMIF(Data!A:A,'54'!$A$2,Data!EM:EM),0)</f>
        <v>0</v>
      </c>
      <c r="F81" s="22" t="str">
        <f t="shared" si="5"/>
        <v/>
      </c>
    </row>
    <row r="82" spans="1:6" x14ac:dyDescent="0.2">
      <c r="A82" s="20">
        <v>16</v>
      </c>
      <c r="B82" s="179" t="s">
        <v>14</v>
      </c>
      <c r="C82" s="180"/>
      <c r="D82" s="15">
        <f t="shared" si="4"/>
        <v>47184</v>
      </c>
      <c r="E82" s="18">
        <f>IF(F3="1",SUMIF(Data!A:A,'54'!$A$2,Data!EN:EN),0)</f>
        <v>65289</v>
      </c>
      <c r="F82" s="22">
        <f t="shared" si="5"/>
        <v>1.3837105798575788</v>
      </c>
    </row>
    <row r="83" spans="1:6" x14ac:dyDescent="0.2">
      <c r="A83" s="20">
        <v>17</v>
      </c>
      <c r="B83" s="179" t="s">
        <v>15</v>
      </c>
      <c r="C83" s="180"/>
      <c r="D83" s="15">
        <f t="shared" si="4"/>
        <v>0</v>
      </c>
      <c r="E83" s="18">
        <f>IF(F3="1",SUMIF(Data!A:A,'54'!$A$2,Data!EO:EO),0)</f>
        <v>0</v>
      </c>
      <c r="F83" s="22" t="str">
        <f t="shared" si="5"/>
        <v/>
      </c>
    </row>
    <row r="84" spans="1:6" x14ac:dyDescent="0.2">
      <c r="A84" s="20">
        <v>18</v>
      </c>
      <c r="B84" s="179" t="s">
        <v>16</v>
      </c>
      <c r="C84" s="180"/>
      <c r="D84" s="15">
        <f t="shared" si="4"/>
        <v>0</v>
      </c>
      <c r="E84" s="18">
        <f>IF(F3="1",SUMIF(Data!A:A,'54'!$A$2,Data!EP:EP),0)</f>
        <v>0</v>
      </c>
      <c r="F84" s="22" t="str">
        <f t="shared" si="5"/>
        <v/>
      </c>
    </row>
    <row r="85" spans="1:6" x14ac:dyDescent="0.2">
      <c r="A85" s="20">
        <v>19</v>
      </c>
      <c r="B85" s="179" t="s">
        <v>17</v>
      </c>
      <c r="C85" s="180"/>
      <c r="D85" s="15">
        <f t="shared" si="4"/>
        <v>63408</v>
      </c>
      <c r="E85" s="18">
        <f>IF(F3="1",SUMIF(Data!A:A,'54'!$A$2,Data!EQ:EQ),0)</f>
        <v>161504</v>
      </c>
      <c r="F85" s="22">
        <f t="shared" si="5"/>
        <v>2.5470603078475902</v>
      </c>
    </row>
    <row r="86" spans="1:6" x14ac:dyDescent="0.2">
      <c r="A86" s="20">
        <v>20</v>
      </c>
      <c r="B86" s="179" t="s">
        <v>18</v>
      </c>
      <c r="C86" s="180"/>
      <c r="D86" s="15">
        <f t="shared" si="4"/>
        <v>400157</v>
      </c>
      <c r="E86" s="18">
        <f>IF(F3="1",SUMIF(Data!A:A,'54'!$A$2,Data!ER:ER),0)</f>
        <v>1252904</v>
      </c>
      <c r="F86" s="22">
        <f t="shared" si="5"/>
        <v>3.1310310703049051</v>
      </c>
    </row>
    <row r="87" spans="1:6" ht="14.25" customHeight="1" x14ac:dyDescent="0.2">
      <c r="A87" s="20">
        <v>21</v>
      </c>
      <c r="B87" s="179" t="s">
        <v>801</v>
      </c>
      <c r="C87" s="180"/>
      <c r="D87" s="15">
        <f t="shared" si="4"/>
        <v>308004</v>
      </c>
      <c r="E87" s="18">
        <f>IF(F3="1",SUMIF(Data!A:A,'54'!$A$2,Data!ES:ES),0)</f>
        <v>822681</v>
      </c>
      <c r="F87" s="22">
        <f t="shared" si="5"/>
        <v>2.6710075193828651</v>
      </c>
    </row>
    <row r="88" spans="1:6" x14ac:dyDescent="0.2">
      <c r="A88" s="20">
        <v>22</v>
      </c>
      <c r="B88" s="179" t="s">
        <v>19</v>
      </c>
      <c r="C88" s="180"/>
      <c r="D88" s="15">
        <f t="shared" si="4"/>
        <v>265424</v>
      </c>
      <c r="E88" s="18">
        <f>IF(F3="1",SUMIF(Data!A:A,'54'!$A$2,Data!ET:ET),0)</f>
        <v>97198</v>
      </c>
      <c r="F88" s="22">
        <f t="shared" si="5"/>
        <v>0.36619898728072819</v>
      </c>
    </row>
    <row r="89" spans="1:6" x14ac:dyDescent="0.2">
      <c r="A89" s="20">
        <v>23</v>
      </c>
      <c r="B89" s="179" t="s">
        <v>20</v>
      </c>
      <c r="C89" s="180"/>
      <c r="D89" s="15">
        <f t="shared" si="4"/>
        <v>0</v>
      </c>
      <c r="E89" s="18">
        <f>IF(F3="1",SUMIF(Data!A:A,'54'!$A$2,Data!EU:EU),0)</f>
        <v>0</v>
      </c>
      <c r="F89" s="22" t="str">
        <f t="shared" si="5"/>
        <v/>
      </c>
    </row>
    <row r="90" spans="1:6" x14ac:dyDescent="0.2">
      <c r="A90" s="20">
        <v>24</v>
      </c>
      <c r="B90" s="179" t="s">
        <v>21</v>
      </c>
      <c r="C90" s="180"/>
      <c r="D90" s="15">
        <f t="shared" si="4"/>
        <v>14016</v>
      </c>
      <c r="E90" s="18">
        <f>IF(F3="1",SUMIF(Data!A:A,'54'!$A$2,Data!EV:EV),0)</f>
        <v>624</v>
      </c>
      <c r="F90" s="22">
        <f t="shared" si="5"/>
        <v>4.4520547945205477E-2</v>
      </c>
    </row>
    <row r="91" spans="1:6" x14ac:dyDescent="0.2">
      <c r="A91" s="20">
        <v>25</v>
      </c>
      <c r="B91" s="179" t="s">
        <v>22</v>
      </c>
      <c r="C91" s="180"/>
      <c r="D91" s="15">
        <f t="shared" si="4"/>
        <v>102992</v>
      </c>
      <c r="E91" s="18">
        <f>IF(F3="1",SUMIF(Data!A:A,'54'!$A$2,Data!EW:EW),0)</f>
        <v>367952</v>
      </c>
      <c r="F91" s="22">
        <f t="shared" si="5"/>
        <v>3.572627000155352</v>
      </c>
    </row>
    <row r="92" spans="1:6" x14ac:dyDescent="0.2">
      <c r="A92" s="20">
        <v>26</v>
      </c>
      <c r="B92" s="179" t="s">
        <v>23</v>
      </c>
      <c r="C92" s="180"/>
      <c r="D92" s="15">
        <f t="shared" si="4"/>
        <v>103824</v>
      </c>
      <c r="E92" s="18">
        <f>IF(F3="1",SUMIF(Data!A:A,'54'!$A$2,Data!EX:EX),0)</f>
        <v>702394</v>
      </c>
      <c r="F92" s="22">
        <f t="shared" si="5"/>
        <v>6.7652373247033442</v>
      </c>
    </row>
    <row r="93" spans="1:6" x14ac:dyDescent="0.2">
      <c r="A93" s="20">
        <v>28</v>
      </c>
      <c r="B93" s="179" t="s">
        <v>24</v>
      </c>
      <c r="C93" s="180"/>
      <c r="D93" s="15">
        <f t="shared" si="4"/>
        <v>245808</v>
      </c>
      <c r="E93" s="18">
        <f>IF(F3="1",SUMIF(Data!A:A,'54'!$A$2,Data!EZ:EZ),0)</f>
        <v>607884</v>
      </c>
      <c r="F93" s="22">
        <f t="shared" si="5"/>
        <v>2.4730033196641279</v>
      </c>
    </row>
    <row r="94" spans="1:6" ht="15.75" customHeight="1" thickBot="1" x14ac:dyDescent="0.25">
      <c r="A94" s="23">
        <v>29</v>
      </c>
      <c r="B94" s="181" t="s">
        <v>25</v>
      </c>
      <c r="C94" s="182"/>
      <c r="D94" s="24">
        <f t="shared" si="4"/>
        <v>252640</v>
      </c>
      <c r="E94" s="25">
        <f>IF(F3="1",SUMIF(Data!A:A,'54'!$A$2,Data!FA:FA),0)</f>
        <v>464725</v>
      </c>
      <c r="F94" s="26">
        <f t="shared" si="5"/>
        <v>1.8394751424952502</v>
      </c>
    </row>
    <row r="95" spans="1:6" x14ac:dyDescent="0.2">
      <c r="B95" s="31" t="s">
        <v>35</v>
      </c>
      <c r="C95" s="31"/>
      <c r="D95" s="61">
        <f>SUM(D67:D94)</f>
        <v>4566733</v>
      </c>
      <c r="E95" s="32">
        <f>SUM(E67:E94)</f>
        <v>12373773</v>
      </c>
      <c r="F95" s="33">
        <f t="shared" si="5"/>
        <v>2.7095459708285987</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IF(F3="1",SUMIF(Data!A:A,'54'!$A$2,Data!AH:AH),0)</f>
        <v>4519584</v>
      </c>
      <c r="F98" s="21">
        <f t="shared" ref="F98:F105" si="6">IFERROR(E98/$D$95,0)</f>
        <v>0.98967555142812158</v>
      </c>
    </row>
    <row r="99" spans="2:6" x14ac:dyDescent="0.2">
      <c r="B99" s="185" t="s">
        <v>31</v>
      </c>
      <c r="C99" s="186"/>
      <c r="D99" s="37"/>
      <c r="E99" s="18">
        <f>IF(F3="1",SUMIF(Data!A:A,'54'!$A$2,Data!AI:AI),0)</f>
        <v>5013713</v>
      </c>
      <c r="F99" s="22">
        <f t="shared" si="6"/>
        <v>1.0978774103938198</v>
      </c>
    </row>
    <row r="100" spans="2:6" x14ac:dyDescent="0.2">
      <c r="B100" s="185" t="s">
        <v>32</v>
      </c>
      <c r="C100" s="186"/>
      <c r="D100" s="37"/>
      <c r="E100" s="18">
        <f>IF(F3="1",SUMIF(Data!A:A,'54'!$A$2,Data!AJ:AJ),0)</f>
        <v>3001272</v>
      </c>
      <c r="F100" s="22">
        <f t="shared" si="6"/>
        <v>0.65720330047760622</v>
      </c>
    </row>
    <row r="101" spans="2:6" x14ac:dyDescent="0.2">
      <c r="B101" s="185" t="s">
        <v>28</v>
      </c>
      <c r="C101" s="186"/>
      <c r="D101" s="37"/>
      <c r="E101" s="18">
        <f>IF(F3="1",SUMIF(Data!A:A,'54'!$A$2,Data!AK:AK),0)</f>
        <v>223364</v>
      </c>
      <c r="F101" s="22">
        <f t="shared" si="6"/>
        <v>4.8911114356806056E-2</v>
      </c>
    </row>
    <row r="102" spans="2:6" x14ac:dyDescent="0.2">
      <c r="B102" s="185" t="s">
        <v>33</v>
      </c>
      <c r="C102" s="186"/>
      <c r="D102" s="37"/>
      <c r="E102" s="18">
        <f>IF(F3="1",SUMIF(Data!A:A,'54'!$A$2,Data!AL:AL),0)</f>
        <v>2258776</v>
      </c>
      <c r="F102" s="22">
        <f t="shared" si="6"/>
        <v>0.49461529719385827</v>
      </c>
    </row>
    <row r="103" spans="2:6" x14ac:dyDescent="0.2">
      <c r="B103" s="187" t="s">
        <v>34</v>
      </c>
      <c r="C103" s="188"/>
      <c r="D103" s="37"/>
      <c r="E103" s="18">
        <f>IF(F3="1",SUMIF(Data!A:A,'54'!$A$2,Data!AM:AM),0)</f>
        <v>1147248</v>
      </c>
      <c r="F103" s="22">
        <f t="shared" si="6"/>
        <v>0.25121854069418992</v>
      </c>
    </row>
    <row r="104" spans="2:6" ht="15.75" customHeight="1" thickBot="1" x14ac:dyDescent="0.25">
      <c r="B104" s="177" t="s">
        <v>29</v>
      </c>
      <c r="C104" s="178"/>
      <c r="D104" s="38"/>
      <c r="E104" s="25">
        <f>IF(F3="1",SUMIF(Data!A:A,'54'!$A$2,Data!Q:Q),0)</f>
        <v>381604</v>
      </c>
      <c r="F104" s="26">
        <f t="shared" si="6"/>
        <v>8.356170592850512E-2</v>
      </c>
    </row>
    <row r="105" spans="2:6" x14ac:dyDescent="0.2">
      <c r="B105" s="31" t="s">
        <v>35</v>
      </c>
      <c r="C105" s="31"/>
      <c r="D105" s="35">
        <f>D95</f>
        <v>4566733</v>
      </c>
      <c r="E105" s="32">
        <f>SUM(E98:E104)</f>
        <v>16545561</v>
      </c>
      <c r="F105" s="33">
        <f t="shared" si="6"/>
        <v>3.6230629204729068</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16354654</v>
      </c>
      <c r="D109" s="16">
        <f>IF(F3="1",SUMIF(Data!$A:$A,$A$2,Data!HJ:HJ),0)</f>
        <v>381604</v>
      </c>
      <c r="E109" s="16">
        <f>IF(F3="1",SUMIF(Data!$A:$A,$A$2,Data!IN:IN),0)</f>
        <v>8136687</v>
      </c>
      <c r="F109" s="48">
        <f>SUM(C109:E109)</f>
        <v>24872945</v>
      </c>
    </row>
    <row r="110" spans="2:6" x14ac:dyDescent="0.2">
      <c r="B110" s="43" t="s">
        <v>28</v>
      </c>
      <c r="C110" s="51">
        <f>IF(F3="1",SUMIF(Data!A:A,$A$2,Data!W:W),0)</f>
        <v>181292</v>
      </c>
      <c r="D110" s="52"/>
      <c r="E110" s="51">
        <f>IF(F3="1",SUMIF(Data!A:A,$A$2,Data!W:W),0)</f>
        <v>181292</v>
      </c>
      <c r="F110" s="49">
        <f t="shared" ref="F110:F116" si="7">SUM(C110:E110)</f>
        <v>362584</v>
      </c>
    </row>
    <row r="111" spans="2:6" x14ac:dyDescent="0.2">
      <c r="B111" s="43" t="s">
        <v>1277</v>
      </c>
      <c r="C111" s="51">
        <f>IF(F3="1",SUMIF(Data!A:A,$A$2,Data!AS:AS),0)</f>
        <v>25252</v>
      </c>
      <c r="D111" s="52"/>
      <c r="E111" s="51">
        <f>IF(F3="1",SUMIF(Data!A:A,$A$2,Data!AX:AX),0)</f>
        <v>38216</v>
      </c>
      <c r="F111" s="49">
        <f t="shared" si="7"/>
        <v>63468</v>
      </c>
    </row>
    <row r="112" spans="2:6" x14ac:dyDescent="0.2">
      <c r="B112" s="43" t="s">
        <v>32</v>
      </c>
      <c r="C112" s="51">
        <f>IF(F3="1",SUMIF(Data!A:A,$A$2,Data!V:V),0)</f>
        <v>1181260</v>
      </c>
      <c r="D112" s="52"/>
      <c r="E112" s="51">
        <f>IF(F3="1",SUMIF(Data!A:A,$A$2,Data!AC:AC),0)</f>
        <v>1820012</v>
      </c>
      <c r="F112" s="49">
        <f t="shared" si="7"/>
        <v>3001272</v>
      </c>
    </row>
    <row r="113" spans="1:6" x14ac:dyDescent="0.2">
      <c r="B113" s="43" t="s">
        <v>31</v>
      </c>
      <c r="C113" s="51">
        <f>IF(F3="1",SUMIF(Data!A:A,$A$2,Data!U:U),0)</f>
        <v>2498259</v>
      </c>
      <c r="D113" s="52"/>
      <c r="E113" s="51">
        <f>IF(F3="1",SUMIF(Data!A:A,$A$2,Data!AB:AB),0)</f>
        <v>2515454</v>
      </c>
      <c r="F113" s="49">
        <f t="shared" si="7"/>
        <v>5013713</v>
      </c>
    </row>
    <row r="114" spans="1:6" x14ac:dyDescent="0.2">
      <c r="B114" s="43" t="s">
        <v>1363</v>
      </c>
      <c r="C114" s="51">
        <f>IF(F3="1",SUMIF(Data!A:A,$A$2,Data!T:T),0)</f>
        <v>2923047</v>
      </c>
      <c r="D114" s="52"/>
      <c r="E114" s="51">
        <f>IF(F3="1",SUMIF(Data!A:A,$A$2,Data!AA:AA),0)</f>
        <v>1596537</v>
      </c>
      <c r="F114" s="49">
        <f t="shared" si="7"/>
        <v>4519584</v>
      </c>
    </row>
    <row r="115" spans="1:6" x14ac:dyDescent="0.2">
      <c r="B115" s="43" t="s">
        <v>1278</v>
      </c>
      <c r="C115" s="51">
        <f>IF(F3="1",SUMIF(Data!A:A,$A$2,Data!BI:BI),0)</f>
        <v>1469378</v>
      </c>
      <c r="D115" s="51">
        <f>IF(F3="1",SUMIF(Data!A:A,$A$2,Data!BL:BL),0)</f>
        <v>889062</v>
      </c>
      <c r="E115" s="51">
        <f>IF(F3="1",SUMIF(Data!A:A,$A$2,Data!BU:BU),0)</f>
        <v>4326101</v>
      </c>
      <c r="F115" s="49">
        <f t="shared" si="7"/>
        <v>6684541</v>
      </c>
    </row>
    <row r="116" spans="1:6" x14ac:dyDescent="0.2">
      <c r="B116" s="43" t="s">
        <v>33</v>
      </c>
      <c r="C116" s="51">
        <f>IF(F3="1",SUMIF(Data!A:A,$A$2,Data!X:X),0)</f>
        <v>0</v>
      </c>
      <c r="D116" s="51"/>
      <c r="E116" s="51">
        <f>E102</f>
        <v>2258776</v>
      </c>
      <c r="F116" s="49">
        <f t="shared" si="7"/>
        <v>2258776</v>
      </c>
    </row>
    <row r="117" spans="1:6" ht="15" thickBot="1" x14ac:dyDescent="0.25">
      <c r="B117" s="44" t="s">
        <v>1282</v>
      </c>
      <c r="C117" s="53"/>
      <c r="D117" s="53">
        <f>IF(F3="1",SUMIF(Data!A:A,$A$2,Data!Q:Q),0)</f>
        <v>381604</v>
      </c>
      <c r="E117" s="53"/>
      <c r="F117" s="50">
        <f>SUM(C117:E117)</f>
        <v>381604</v>
      </c>
    </row>
    <row r="118" spans="1:6" x14ac:dyDescent="0.2">
      <c r="B118" s="14" t="s">
        <v>35</v>
      </c>
      <c r="C118" s="5">
        <f>SUM(C109:C116)</f>
        <v>24633142</v>
      </c>
      <c r="D118" s="5">
        <f>SUM(D109:D116)</f>
        <v>1270666</v>
      </c>
      <c r="E118" s="5">
        <f>SUM(E109:E116)</f>
        <v>20873075</v>
      </c>
      <c r="F118" s="5">
        <f>SUM(F109:F116)</f>
        <v>46776883</v>
      </c>
    </row>
    <row r="119" spans="1:6" ht="15" thickBot="1" x14ac:dyDescent="0.25"/>
    <row r="120" spans="1:6" ht="15" thickBot="1" x14ac:dyDescent="0.25">
      <c r="B120" s="57" t="s">
        <v>1283</v>
      </c>
      <c r="C120" s="55"/>
      <c r="D120" s="55"/>
      <c r="E120" s="55">
        <f>IF(F3="1",SUMIF(Data!A:A,'54'!$A$2,Data!AM:AM),0)</f>
        <v>1147248</v>
      </c>
      <c r="F120" s="56">
        <f>SUM(C120:E120)</f>
        <v>1147248</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28515625" style="11" bestFit="1" customWidth="1"/>
    <col min="12" max="12" width="13.42578125" style="11" bestFit="1" customWidth="1"/>
    <col min="13" max="14" width="12.425781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789</v>
      </c>
      <c r="B2" s="60" t="str">
        <f>VLOOKUP(A2,Data!A:G,7,0)</f>
        <v>Lamar Institute of Technology</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0</v>
      </c>
      <c r="E5" s="16">
        <f>E36+E67+IFERROR($E$105/$D$105*D5,0)</f>
        <v>0</v>
      </c>
      <c r="F5" s="21" t="str">
        <f>IFERROR(E5/D5,"")</f>
        <v/>
      </c>
    </row>
    <row r="6" spans="1:6" x14ac:dyDescent="0.2">
      <c r="A6" s="20">
        <v>2</v>
      </c>
      <c r="B6" s="179" t="s">
        <v>1</v>
      </c>
      <c r="C6" s="180"/>
      <c r="D6" s="15">
        <f t="shared" ref="D6:D32" si="0">D37</f>
        <v>66496</v>
      </c>
      <c r="E6" s="18">
        <f t="shared" ref="E6:E32" si="1">E37+E68+IFERROR($E$105/$D$105*D6,0)</f>
        <v>954275.84376986534</v>
      </c>
      <c r="F6" s="22">
        <f t="shared" ref="F6:F33" si="2">IFERROR(E6/D6,"")</f>
        <v>14.350875898849033</v>
      </c>
    </row>
    <row r="7" spans="1:6" ht="14.25" customHeight="1" x14ac:dyDescent="0.2">
      <c r="A7" s="20">
        <v>3</v>
      </c>
      <c r="B7" s="179" t="s">
        <v>2</v>
      </c>
      <c r="C7" s="180"/>
      <c r="D7" s="15">
        <f t="shared" si="0"/>
        <v>188544</v>
      </c>
      <c r="E7" s="18">
        <f t="shared" si="1"/>
        <v>2705771.5550972316</v>
      </c>
      <c r="F7" s="22">
        <f t="shared" si="2"/>
        <v>14.350875949896214</v>
      </c>
    </row>
    <row r="8" spans="1:6" ht="14.25" customHeight="1" x14ac:dyDescent="0.2">
      <c r="A8" s="20">
        <v>4</v>
      </c>
      <c r="B8" s="179" t="s">
        <v>3</v>
      </c>
      <c r="C8" s="180"/>
      <c r="D8" s="15">
        <f t="shared" si="0"/>
        <v>144214</v>
      </c>
      <c r="E8" s="18">
        <f t="shared" si="1"/>
        <v>2069597.4621244492</v>
      </c>
      <c r="F8" s="22">
        <f t="shared" si="2"/>
        <v>14.350877599431742</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1220</v>
      </c>
      <c r="E10" s="18">
        <f t="shared" si="1"/>
        <v>17508.259044141538</v>
      </c>
      <c r="F10" s="22">
        <f t="shared" si="2"/>
        <v>14.351032003394703</v>
      </c>
    </row>
    <row r="11" spans="1:6" x14ac:dyDescent="0.2">
      <c r="A11" s="20">
        <v>7</v>
      </c>
      <c r="B11" s="179" t="s">
        <v>6</v>
      </c>
      <c r="C11" s="180"/>
      <c r="D11" s="15">
        <f t="shared" si="0"/>
        <v>73797</v>
      </c>
      <c r="E11" s="18">
        <f t="shared" si="1"/>
        <v>1059052.0161315682</v>
      </c>
      <c r="F11" s="22">
        <f t="shared" si="2"/>
        <v>14.350881690740385</v>
      </c>
    </row>
    <row r="12" spans="1:6" x14ac:dyDescent="0.2">
      <c r="A12" s="20">
        <v>8</v>
      </c>
      <c r="B12" s="179" t="s">
        <v>7</v>
      </c>
      <c r="C12" s="180"/>
      <c r="D12" s="15">
        <f t="shared" si="0"/>
        <v>29424</v>
      </c>
      <c r="E12" s="18">
        <f t="shared" si="1"/>
        <v>422259.63779903331</v>
      </c>
      <c r="F12" s="22">
        <f t="shared" si="2"/>
        <v>14.350857728352139</v>
      </c>
    </row>
    <row r="13" spans="1:6" x14ac:dyDescent="0.2">
      <c r="A13" s="20">
        <v>9</v>
      </c>
      <c r="B13" s="179" t="s">
        <v>8</v>
      </c>
      <c r="C13" s="180"/>
      <c r="D13" s="15">
        <f t="shared" si="0"/>
        <v>28388</v>
      </c>
      <c r="E13" s="18">
        <f t="shared" si="1"/>
        <v>407390.97192220495</v>
      </c>
      <c r="F13" s="22">
        <f t="shared" si="2"/>
        <v>14.350816257651294</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234566</v>
      </c>
      <c r="E15" s="18">
        <f t="shared" si="1"/>
        <v>3366227.3417607415</v>
      </c>
      <c r="F15" s="22">
        <f t="shared" si="2"/>
        <v>14.350874985124619</v>
      </c>
    </row>
    <row r="16" spans="1:6" ht="14.25" customHeight="1" x14ac:dyDescent="0.2">
      <c r="A16" s="20">
        <v>12</v>
      </c>
      <c r="B16" s="179" t="s">
        <v>11</v>
      </c>
      <c r="C16" s="180"/>
      <c r="D16" s="15">
        <f t="shared" si="0"/>
        <v>64944</v>
      </c>
      <c r="E16" s="18">
        <f t="shared" si="1"/>
        <v>932003.75357600674</v>
      </c>
      <c r="F16" s="22">
        <f t="shared" si="2"/>
        <v>14.350883123552704</v>
      </c>
    </row>
    <row r="17" spans="1:6" x14ac:dyDescent="0.2">
      <c r="A17" s="20">
        <v>13</v>
      </c>
      <c r="B17" s="179" t="s">
        <v>12</v>
      </c>
      <c r="C17" s="180"/>
      <c r="D17" s="15">
        <f t="shared" si="0"/>
        <v>0</v>
      </c>
      <c r="E17" s="18">
        <f t="shared" si="1"/>
        <v>0</v>
      </c>
      <c r="F17" s="22" t="str">
        <f t="shared" si="2"/>
        <v/>
      </c>
    </row>
    <row r="18" spans="1:6" ht="14.25" customHeight="1" x14ac:dyDescent="0.2">
      <c r="A18" s="20">
        <v>14</v>
      </c>
      <c r="B18" s="179" t="s">
        <v>804</v>
      </c>
      <c r="C18" s="180"/>
      <c r="D18" s="15">
        <f t="shared" si="0"/>
        <v>12320</v>
      </c>
      <c r="E18" s="18">
        <f t="shared" si="1"/>
        <v>176803.1077244457</v>
      </c>
      <c r="F18" s="22">
        <f t="shared" si="2"/>
        <v>14.350901601010202</v>
      </c>
    </row>
    <row r="19" spans="1:6" x14ac:dyDescent="0.2">
      <c r="A19" s="20">
        <v>15</v>
      </c>
      <c r="B19" s="179" t="s">
        <v>13</v>
      </c>
      <c r="C19" s="180"/>
      <c r="D19" s="15">
        <f t="shared" si="0"/>
        <v>36141</v>
      </c>
      <c r="E19" s="18">
        <f t="shared" si="1"/>
        <v>518655.49271665525</v>
      </c>
      <c r="F19" s="22">
        <f t="shared" si="2"/>
        <v>14.35088936987508</v>
      </c>
    </row>
    <row r="20" spans="1:6" x14ac:dyDescent="0.2">
      <c r="A20" s="20">
        <v>16</v>
      </c>
      <c r="B20" s="179" t="s">
        <v>14</v>
      </c>
      <c r="C20" s="180"/>
      <c r="D20" s="15">
        <f t="shared" si="0"/>
        <v>163801</v>
      </c>
      <c r="E20" s="18">
        <f t="shared" si="1"/>
        <v>2350687.7956470726</v>
      </c>
      <c r="F20" s="22">
        <f t="shared" si="2"/>
        <v>14.35087573120477</v>
      </c>
    </row>
    <row r="21" spans="1:6" x14ac:dyDescent="0.2">
      <c r="A21" s="20">
        <v>17</v>
      </c>
      <c r="B21" s="179" t="s">
        <v>15</v>
      </c>
      <c r="C21" s="180"/>
      <c r="D21" s="15">
        <f t="shared" si="0"/>
        <v>42221</v>
      </c>
      <c r="E21" s="18">
        <f t="shared" si="1"/>
        <v>605907.7017235246</v>
      </c>
      <c r="F21" s="22">
        <f t="shared" si="2"/>
        <v>14.350860986796253</v>
      </c>
    </row>
    <row r="22" spans="1:6" x14ac:dyDescent="0.2">
      <c r="A22" s="20">
        <v>18</v>
      </c>
      <c r="B22" s="179" t="s">
        <v>16</v>
      </c>
      <c r="C22" s="180"/>
      <c r="D22" s="15">
        <f t="shared" si="0"/>
        <v>0</v>
      </c>
      <c r="E22" s="18">
        <f t="shared" si="1"/>
        <v>0</v>
      </c>
      <c r="F22" s="22" t="str">
        <f t="shared" si="2"/>
        <v/>
      </c>
    </row>
    <row r="23" spans="1:6" x14ac:dyDescent="0.2">
      <c r="A23" s="20">
        <v>19</v>
      </c>
      <c r="B23" s="179" t="s">
        <v>17</v>
      </c>
      <c r="C23" s="180"/>
      <c r="D23" s="15">
        <f t="shared" si="0"/>
        <v>44064</v>
      </c>
      <c r="E23" s="18">
        <f t="shared" si="1"/>
        <v>632357.74632873177</v>
      </c>
      <c r="F23" s="22">
        <f t="shared" si="2"/>
        <v>14.350892935928009</v>
      </c>
    </row>
    <row r="24" spans="1:6" x14ac:dyDescent="0.2">
      <c r="A24" s="20">
        <v>20</v>
      </c>
      <c r="B24" s="179" t="s">
        <v>18</v>
      </c>
      <c r="C24" s="180"/>
      <c r="D24" s="15">
        <f t="shared" si="0"/>
        <v>1536</v>
      </c>
      <c r="E24" s="18">
        <f t="shared" si="1"/>
        <v>22042.821222788036</v>
      </c>
      <c r="F24" s="22">
        <f t="shared" si="2"/>
        <v>14.350795066919295</v>
      </c>
    </row>
    <row r="25" spans="1:6" ht="14.25" customHeight="1" x14ac:dyDescent="0.2">
      <c r="A25" s="20">
        <v>21</v>
      </c>
      <c r="B25" s="179" t="s">
        <v>801</v>
      </c>
      <c r="C25" s="180"/>
      <c r="D25" s="15">
        <f t="shared" si="0"/>
        <v>35172</v>
      </c>
      <c r="E25" s="18">
        <f t="shared" si="1"/>
        <v>504749.01565618545</v>
      </c>
      <c r="F25" s="22">
        <f t="shared" si="2"/>
        <v>14.3508761417089</v>
      </c>
    </row>
    <row r="26" spans="1:6" x14ac:dyDescent="0.2">
      <c r="A26" s="20">
        <v>22</v>
      </c>
      <c r="B26" s="179" t="s">
        <v>19</v>
      </c>
      <c r="C26" s="180"/>
      <c r="D26" s="15">
        <f t="shared" si="0"/>
        <v>23296</v>
      </c>
      <c r="E26" s="18">
        <f t="shared" si="1"/>
        <v>334318.6218789519</v>
      </c>
      <c r="F26" s="22">
        <f t="shared" si="2"/>
        <v>14.350902381479735</v>
      </c>
    </row>
    <row r="27" spans="1:6" x14ac:dyDescent="0.2">
      <c r="A27" s="20">
        <v>23</v>
      </c>
      <c r="B27" s="179" t="s">
        <v>20</v>
      </c>
      <c r="C27" s="180"/>
      <c r="D27" s="15">
        <f t="shared" si="0"/>
        <v>0</v>
      </c>
      <c r="E27" s="18">
        <f t="shared" si="1"/>
        <v>0</v>
      </c>
      <c r="F27" s="22" t="str">
        <f t="shared" si="2"/>
        <v/>
      </c>
    </row>
    <row r="28" spans="1:6" x14ac:dyDescent="0.2">
      <c r="A28" s="20">
        <v>24</v>
      </c>
      <c r="B28" s="179" t="s">
        <v>21</v>
      </c>
      <c r="C28" s="180"/>
      <c r="D28" s="15">
        <f t="shared" si="0"/>
        <v>169563</v>
      </c>
      <c r="E28" s="18">
        <f t="shared" si="1"/>
        <v>2433379.0338539113</v>
      </c>
      <c r="F28" s="22">
        <f t="shared" si="2"/>
        <v>14.350884531731046</v>
      </c>
    </row>
    <row r="29" spans="1:6" x14ac:dyDescent="0.2">
      <c r="A29" s="20">
        <v>25</v>
      </c>
      <c r="B29" s="179" t="s">
        <v>22</v>
      </c>
      <c r="C29" s="180"/>
      <c r="D29" s="15">
        <f t="shared" si="0"/>
        <v>52464</v>
      </c>
      <c r="E29" s="18">
        <f t="shared" si="1"/>
        <v>752903.95614085393</v>
      </c>
      <c r="F29" s="22">
        <f t="shared" si="2"/>
        <v>14.350868331443541</v>
      </c>
    </row>
    <row r="30" spans="1:6" x14ac:dyDescent="0.2">
      <c r="A30" s="20">
        <v>26</v>
      </c>
      <c r="B30" s="179" t="s">
        <v>23</v>
      </c>
      <c r="C30" s="180"/>
      <c r="D30" s="15">
        <f t="shared" si="0"/>
        <v>54816</v>
      </c>
      <c r="E30" s="18">
        <f t="shared" si="1"/>
        <v>786656.49488824804</v>
      </c>
      <c r="F30" s="22">
        <f t="shared" si="2"/>
        <v>14.350855496355955</v>
      </c>
    </row>
    <row r="31" spans="1:6" x14ac:dyDescent="0.2">
      <c r="A31" s="20">
        <v>28</v>
      </c>
      <c r="B31" s="179" t="s">
        <v>24</v>
      </c>
      <c r="C31" s="180"/>
      <c r="D31" s="15">
        <f t="shared" si="0"/>
        <v>70848</v>
      </c>
      <c r="E31" s="18">
        <f t="shared" si="1"/>
        <v>1016732.0039010982</v>
      </c>
      <c r="F31" s="22">
        <f t="shared" si="2"/>
        <v>14.350892105650098</v>
      </c>
    </row>
    <row r="32" spans="1:6" ht="15.75" customHeight="1" thickBot="1" x14ac:dyDescent="0.25">
      <c r="A32" s="23">
        <v>29</v>
      </c>
      <c r="B32" s="181" t="s">
        <v>25</v>
      </c>
      <c r="C32" s="182"/>
      <c r="D32" s="24">
        <f t="shared" si="0"/>
        <v>84016</v>
      </c>
      <c r="E32" s="25">
        <f t="shared" si="1"/>
        <v>1205703.3670922914</v>
      </c>
      <c r="F32" s="26">
        <f t="shared" si="2"/>
        <v>14.350878012429673</v>
      </c>
    </row>
    <row r="33" spans="1:6" x14ac:dyDescent="0.2">
      <c r="B33" s="31" t="s">
        <v>35</v>
      </c>
      <c r="C33" s="31"/>
      <c r="D33" s="61">
        <f>SUM(D5:D32)</f>
        <v>1621851</v>
      </c>
      <c r="E33" s="32">
        <f>SUM(E5:E32)</f>
        <v>23274984.000000004</v>
      </c>
      <c r="F33" s="33">
        <f t="shared" si="2"/>
        <v>14.350876868466958</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IF(F3="1",SUMIF(Data!A:A,'55'!$A$2,Data!CU:CU),0)</f>
        <v>0</v>
      </c>
      <c r="E36" s="16">
        <f>IF(F3="1",SUMIF(Data!$A:$A,'55'!$A$2,Data!IO:IO),0)</f>
        <v>0</v>
      </c>
      <c r="F36" s="21" t="str">
        <f t="shared" ref="F36:F64" si="3">IFERROR(E36/D36,"")</f>
        <v/>
      </c>
    </row>
    <row r="37" spans="1:6" x14ac:dyDescent="0.2">
      <c r="A37" s="20">
        <v>2</v>
      </c>
      <c r="B37" s="179" t="s">
        <v>1</v>
      </c>
      <c r="C37" s="180"/>
      <c r="D37" s="15">
        <f>IF(F3="1",SUMIF(Data!A:A,'55'!$A$2,Data!CV:CV),0)</f>
        <v>66496</v>
      </c>
      <c r="E37" s="18">
        <f>IF(F3="1",SUMIF(Data!$A:$A,'55'!$A$2,Data!IP:IP),0)</f>
        <v>261117</v>
      </c>
      <c r="F37" s="22">
        <f t="shared" si="3"/>
        <v>3.9268076275264678</v>
      </c>
    </row>
    <row r="38" spans="1:6" ht="14.25" customHeight="1" x14ac:dyDescent="0.2">
      <c r="A38" s="20">
        <v>3</v>
      </c>
      <c r="B38" s="179" t="s">
        <v>2</v>
      </c>
      <c r="C38" s="180"/>
      <c r="D38" s="15">
        <f>IF(F3="1",SUMIF(Data!A:A,'55'!$A$2,Data!CW:CW),0)</f>
        <v>188544</v>
      </c>
      <c r="E38" s="18">
        <f>IF(F3="1",SUMIF(Data!$A:$A,'55'!$A$2,Data!IQ:IQ),0)</f>
        <v>740377</v>
      </c>
      <c r="F38" s="22">
        <f t="shared" si="3"/>
        <v>3.9268128394433131</v>
      </c>
    </row>
    <row r="39" spans="1:6" ht="14.25" customHeight="1" x14ac:dyDescent="0.2">
      <c r="A39" s="20">
        <v>4</v>
      </c>
      <c r="B39" s="179" t="s">
        <v>3</v>
      </c>
      <c r="C39" s="180"/>
      <c r="D39" s="15">
        <f>IF(F3="1",SUMIF(Data!A:A,'55'!$A$2,Data!CX:CX),0)</f>
        <v>144214</v>
      </c>
      <c r="E39" s="18">
        <f>IF(F3="1",SUMIF(Data!$A:$A,'55'!$A$2,Data!IR:IR),0)</f>
        <v>566301</v>
      </c>
      <c r="F39" s="22">
        <f t="shared" si="3"/>
        <v>3.9268101571276022</v>
      </c>
    </row>
    <row r="40" spans="1:6" x14ac:dyDescent="0.2">
      <c r="A40" s="20">
        <v>5</v>
      </c>
      <c r="B40" s="179" t="s">
        <v>4</v>
      </c>
      <c r="C40" s="180"/>
      <c r="D40" s="15">
        <f>IF(F3="1",SUMIF(Data!A:A,'55'!$A$2,Data!CY:CY),0)</f>
        <v>0</v>
      </c>
      <c r="E40" s="18">
        <f>IF(F3="1",SUMIF(Data!$A:$A,'55'!$A$2,Data!IS:IS),0)</f>
        <v>0</v>
      </c>
      <c r="F40" s="22" t="str">
        <f t="shared" si="3"/>
        <v/>
      </c>
    </row>
    <row r="41" spans="1:6" x14ac:dyDescent="0.2">
      <c r="A41" s="20">
        <v>6</v>
      </c>
      <c r="B41" s="179" t="s">
        <v>5</v>
      </c>
      <c r="C41" s="180"/>
      <c r="D41" s="15">
        <f>IF(F3="1",SUMIF(Data!A:A,'55'!$A$2,Data!CZ:CZ),0)</f>
        <v>1220</v>
      </c>
      <c r="E41" s="18">
        <f>IF(F3="1",SUMIF(Data!$A:$A,'55'!$A$2,Data!IT:IT),0)</f>
        <v>4791</v>
      </c>
      <c r="F41" s="22">
        <f t="shared" si="3"/>
        <v>3.9270491803278689</v>
      </c>
    </row>
    <row r="42" spans="1:6" x14ac:dyDescent="0.2">
      <c r="A42" s="20">
        <v>7</v>
      </c>
      <c r="B42" s="179" t="s">
        <v>6</v>
      </c>
      <c r="C42" s="180"/>
      <c r="D42" s="15">
        <f>IF(F3="1",SUMIF(Data!A:A,'55'!$A$2,Data!DA:DA),0)</f>
        <v>73797</v>
      </c>
      <c r="E42" s="18">
        <f>IF(F3="1",SUMIF(Data!$A:$A,'55'!$A$2,Data!IU:IU),0)</f>
        <v>289787</v>
      </c>
      <c r="F42" s="22">
        <f t="shared" si="3"/>
        <v>3.9268127430654363</v>
      </c>
    </row>
    <row r="43" spans="1:6" x14ac:dyDescent="0.2">
      <c r="A43" s="20">
        <v>8</v>
      </c>
      <c r="B43" s="179" t="s">
        <v>7</v>
      </c>
      <c r="C43" s="180"/>
      <c r="D43" s="15">
        <f>IF(F3="1",SUMIF(Data!A:A,'55'!$A$2,Data!DB:DB),0)</f>
        <v>29424</v>
      </c>
      <c r="E43" s="18">
        <f>IF(F3="1",SUMIF(Data!$A:$A,'55'!$A$2,Data!IV:IV),0)</f>
        <v>115542</v>
      </c>
      <c r="F43" s="22">
        <f t="shared" si="3"/>
        <v>3.9267944535073411</v>
      </c>
    </row>
    <row r="44" spans="1:6" x14ac:dyDescent="0.2">
      <c r="A44" s="20">
        <v>9</v>
      </c>
      <c r="B44" s="179" t="s">
        <v>8</v>
      </c>
      <c r="C44" s="180"/>
      <c r="D44" s="15">
        <f>IF(F3="1",SUMIF(Data!A:A,'55'!$A$2,Data!DC:DC),0)</f>
        <v>28388</v>
      </c>
      <c r="E44" s="18">
        <f>IF(F3="1",SUMIF(Data!$A:$A,'55'!$A$2,Data!IW:IW),0)</f>
        <v>111473</v>
      </c>
      <c r="F44" s="22">
        <f t="shared" si="3"/>
        <v>3.9267648302099478</v>
      </c>
    </row>
    <row r="45" spans="1:6" x14ac:dyDescent="0.2">
      <c r="A45" s="20">
        <v>10</v>
      </c>
      <c r="B45" s="179" t="s">
        <v>9</v>
      </c>
      <c r="C45" s="180"/>
      <c r="D45" s="15">
        <f>IF(F3="1",SUMIF(Data!A:A,'55'!$A$2,Data!DD:DD),0)</f>
        <v>0</v>
      </c>
      <c r="E45" s="18">
        <f>IF(F3="1",SUMIF(Data!$A:$A,'55'!$A$2,Data!IX:IX),0)</f>
        <v>0</v>
      </c>
      <c r="F45" s="22" t="str">
        <f t="shared" si="3"/>
        <v/>
      </c>
    </row>
    <row r="46" spans="1:6" x14ac:dyDescent="0.2">
      <c r="A46" s="20">
        <v>11</v>
      </c>
      <c r="B46" s="179" t="s">
        <v>10</v>
      </c>
      <c r="C46" s="180"/>
      <c r="D46" s="15">
        <f>IF(F3="1",SUMIF(Data!A:A,'55'!$A$2,Data!DE:DE),0)</f>
        <v>234566</v>
      </c>
      <c r="E46" s="18">
        <f>IF(F3="1",SUMIF(Data!$A:$A,'55'!$A$2,Data!IY:IY),0)</f>
        <v>921096</v>
      </c>
      <c r="F46" s="22">
        <f t="shared" si="3"/>
        <v>3.9268095120349922</v>
      </c>
    </row>
    <row r="47" spans="1:6" ht="14.25" customHeight="1" x14ac:dyDescent="0.2">
      <c r="A47" s="20">
        <v>12</v>
      </c>
      <c r="B47" s="179" t="s">
        <v>11</v>
      </c>
      <c r="C47" s="180"/>
      <c r="D47" s="15">
        <f>IF(F3="1",SUMIF(Data!A:A,'55'!$A$2,Data!DF:DF),0)</f>
        <v>64944</v>
      </c>
      <c r="E47" s="18">
        <f>IF(F3="1",SUMIF(Data!$A:$A,'55'!$A$2,Data!IZ:IZ),0)</f>
        <v>255023</v>
      </c>
      <c r="F47" s="22">
        <f t="shared" si="3"/>
        <v>3.9268138704114315</v>
      </c>
    </row>
    <row r="48" spans="1:6" x14ac:dyDescent="0.2">
      <c r="A48" s="20">
        <v>13</v>
      </c>
      <c r="B48" s="179" t="s">
        <v>12</v>
      </c>
      <c r="C48" s="180"/>
      <c r="D48" s="15">
        <f>IF(F3="1",SUMIF(Data!A:A,'55'!$A$2,Data!DG:DG),0)</f>
        <v>0</v>
      </c>
      <c r="E48" s="18">
        <f>IF(F3="1",SUMIF(Data!$A:$A,'55'!$A$2,Data!JA:JA),0)</f>
        <v>0</v>
      </c>
      <c r="F48" s="22" t="str">
        <f t="shared" si="3"/>
        <v/>
      </c>
    </row>
    <row r="49" spans="1:6" ht="14.25" customHeight="1" x14ac:dyDescent="0.2">
      <c r="A49" s="20">
        <v>14</v>
      </c>
      <c r="B49" s="179" t="s">
        <v>804</v>
      </c>
      <c r="C49" s="180"/>
      <c r="D49" s="15">
        <f>IF(F3="1",SUMIF(Data!A:A,'55'!$A$2,Data!DH:DH),0)</f>
        <v>12320</v>
      </c>
      <c r="E49" s="18">
        <f>IF(F3="1",SUMIF(Data!$A:$A,'55'!$A$2,Data!JB:JB),0)</f>
        <v>48379</v>
      </c>
      <c r="F49" s="22">
        <f t="shared" si="3"/>
        <v>3.9268668831168831</v>
      </c>
    </row>
    <row r="50" spans="1:6" x14ac:dyDescent="0.2">
      <c r="A50" s="20">
        <v>15</v>
      </c>
      <c r="B50" s="179" t="s">
        <v>13</v>
      </c>
      <c r="C50" s="180"/>
      <c r="D50" s="15">
        <f>IF(F3="1",SUMIF(Data!A:A,'55'!$A$2,Data!DI:DI),0)</f>
        <v>36141</v>
      </c>
      <c r="E50" s="18">
        <f>IF(F3="1",SUMIF(Data!$A:$A,'55'!$A$2,Data!JC:JC),0)</f>
        <v>141919</v>
      </c>
      <c r="F50" s="22">
        <f t="shared" si="3"/>
        <v>3.9268144212943747</v>
      </c>
    </row>
    <row r="51" spans="1:6" x14ac:dyDescent="0.2">
      <c r="A51" s="20">
        <v>16</v>
      </c>
      <c r="B51" s="179" t="s">
        <v>14</v>
      </c>
      <c r="C51" s="180"/>
      <c r="D51" s="15">
        <f>IF(F3="1",SUMIF(Data!A:A,'55'!$A$2,Data!DJ:DJ),0)</f>
        <v>163801</v>
      </c>
      <c r="E51" s="18">
        <f>IF(F3="1",SUMIF(Data!$A:$A,'55'!$A$2,Data!JD:JD),0)</f>
        <v>643216</v>
      </c>
      <c r="F51" s="22">
        <f t="shared" si="3"/>
        <v>3.9268136336164003</v>
      </c>
    </row>
    <row r="52" spans="1:6" x14ac:dyDescent="0.2">
      <c r="A52" s="20">
        <v>17</v>
      </c>
      <c r="B52" s="179" t="s">
        <v>15</v>
      </c>
      <c r="C52" s="180"/>
      <c r="D52" s="15">
        <f>IF(F3="1",SUMIF(Data!A:A,'55'!$A$2,Data!DK:DK),0)</f>
        <v>42221</v>
      </c>
      <c r="E52" s="18">
        <f>IF(F3="1",SUMIF(Data!$A:$A,'55'!$A$2,Data!JE:JE),0)</f>
        <v>165793</v>
      </c>
      <c r="F52" s="22">
        <f t="shared" si="3"/>
        <v>3.9267899860259114</v>
      </c>
    </row>
    <row r="53" spans="1:6" x14ac:dyDescent="0.2">
      <c r="A53" s="20">
        <v>18</v>
      </c>
      <c r="B53" s="179" t="s">
        <v>16</v>
      </c>
      <c r="C53" s="180"/>
      <c r="D53" s="15">
        <f>IF(F3="1",SUMIF(Data!A:A,'55'!$A$2,Data!DL:DL),0)</f>
        <v>0</v>
      </c>
      <c r="E53" s="18">
        <f>IF(F3="1",SUMIF(Data!$A:$A,'55'!$A$2,Data!JF:JF),0)</f>
        <v>0</v>
      </c>
      <c r="F53" s="22" t="str">
        <f t="shared" si="3"/>
        <v/>
      </c>
    </row>
    <row r="54" spans="1:6" x14ac:dyDescent="0.2">
      <c r="A54" s="20">
        <v>19</v>
      </c>
      <c r="B54" s="179" t="s">
        <v>17</v>
      </c>
      <c r="C54" s="180"/>
      <c r="D54" s="15">
        <f>IF(F3="1",SUMIF(Data!A:A,'55'!$A$2,Data!DM:DM),0)</f>
        <v>44064</v>
      </c>
      <c r="E54" s="18">
        <f>IF(F3="1",SUMIF(Data!$A:$A,'55'!$A$2,Data!JG:JG),0)</f>
        <v>173032</v>
      </c>
      <c r="F54" s="22">
        <f t="shared" si="3"/>
        <v>3.9268336964415398</v>
      </c>
    </row>
    <row r="55" spans="1:6" x14ac:dyDescent="0.2">
      <c r="A55" s="20">
        <v>20</v>
      </c>
      <c r="B55" s="179" t="s">
        <v>18</v>
      </c>
      <c r="C55" s="180"/>
      <c r="D55" s="15">
        <f>IF(F3="1",SUMIF(Data!A:A,'55'!$A$2,Data!DN:DN),0)</f>
        <v>1536</v>
      </c>
      <c r="E55" s="18">
        <f>IF(F3="1",SUMIF(Data!$A:$A,'55'!$A$2,Data!JH:JH),0)</f>
        <v>6031</v>
      </c>
      <c r="F55" s="22">
        <f t="shared" si="3"/>
        <v>3.9264322916666665</v>
      </c>
    </row>
    <row r="56" spans="1:6" ht="14.25" customHeight="1" x14ac:dyDescent="0.2">
      <c r="A56" s="20">
        <v>21</v>
      </c>
      <c r="B56" s="179" t="s">
        <v>801</v>
      </c>
      <c r="C56" s="180"/>
      <c r="D56" s="15">
        <f>IF(F3="1",SUMIF(Data!A:A,'55'!$A$2,Data!DO:DO),0)</f>
        <v>35172</v>
      </c>
      <c r="E56" s="18">
        <f>IF(F3="1",SUMIF(Data!$A:$A,'55'!$A$2,Data!JI:JI),0)</f>
        <v>138114</v>
      </c>
      <c r="F56" s="22">
        <f t="shared" si="3"/>
        <v>3.9268167860798364</v>
      </c>
    </row>
    <row r="57" spans="1:6" x14ac:dyDescent="0.2">
      <c r="A57" s="20">
        <v>22</v>
      </c>
      <c r="B57" s="179" t="s">
        <v>19</v>
      </c>
      <c r="C57" s="180"/>
      <c r="D57" s="15">
        <f>IF(F3="1",SUMIF(Data!A:A,'55'!$A$2,Data!DP:DP),0)</f>
        <v>23296</v>
      </c>
      <c r="E57" s="18">
        <f>IF(F3="1",SUMIF(Data!$A:$A,'55'!$A$2,Data!JJ:JJ),0)</f>
        <v>91480</v>
      </c>
      <c r="F57" s="22">
        <f t="shared" si="3"/>
        <v>3.9268543956043955</v>
      </c>
    </row>
    <row r="58" spans="1:6" x14ac:dyDescent="0.2">
      <c r="A58" s="20">
        <v>23</v>
      </c>
      <c r="B58" s="179" t="s">
        <v>20</v>
      </c>
      <c r="C58" s="180"/>
      <c r="D58" s="15">
        <f>IF(F3="1",SUMIF(Data!A:A,'55'!$A$2,Data!DQ:DQ),0)</f>
        <v>0</v>
      </c>
      <c r="E58" s="18">
        <f>IF(F3="1",SUMIF(Data!$A:$A,'55'!$A$2,Data!JK:JK),0)</f>
        <v>0</v>
      </c>
      <c r="F58" s="22" t="str">
        <f t="shared" si="3"/>
        <v/>
      </c>
    </row>
    <row r="59" spans="1:6" x14ac:dyDescent="0.2">
      <c r="A59" s="20">
        <v>24</v>
      </c>
      <c r="B59" s="179" t="s">
        <v>21</v>
      </c>
      <c r="C59" s="180"/>
      <c r="D59" s="15">
        <f>IF(F3="1",SUMIF(Data!A:A,'55'!$A$2,Data!DR:DR),0)</f>
        <v>169563</v>
      </c>
      <c r="E59" s="18">
        <f>IF(F3="1",SUMIF(Data!$A:$A,'55'!$A$2,Data!JL:JL),0)</f>
        <v>665843</v>
      </c>
      <c r="F59" s="22">
        <f t="shared" si="3"/>
        <v>3.9268177609502075</v>
      </c>
    </row>
    <row r="60" spans="1:6" x14ac:dyDescent="0.2">
      <c r="A60" s="20">
        <v>25</v>
      </c>
      <c r="B60" s="179" t="s">
        <v>22</v>
      </c>
      <c r="C60" s="180"/>
      <c r="D60" s="15">
        <f>IF(F3="1",SUMIF(Data!A:A,'55'!$A$2,Data!DS:DS),0)</f>
        <v>52464</v>
      </c>
      <c r="E60" s="18">
        <f>IF(F3="1",SUMIF(Data!$A:$A,'55'!$A$2,Data!JM:JM),0)</f>
        <v>206016</v>
      </c>
      <c r="F60" s="22">
        <f t="shared" si="3"/>
        <v>3.9268069533394327</v>
      </c>
    </row>
    <row r="61" spans="1:6" x14ac:dyDescent="0.2">
      <c r="A61" s="20">
        <v>26</v>
      </c>
      <c r="B61" s="179" t="s">
        <v>23</v>
      </c>
      <c r="C61" s="180"/>
      <c r="D61" s="15">
        <f>IF(F3="1",SUMIF(Data!A:A,'55'!$A$2,Data!DT:DT),0)</f>
        <v>54816</v>
      </c>
      <c r="E61" s="18">
        <f>IF(F3="1",SUMIF(Data!$A:$A,'55'!$A$2,Data!JN:JN),0)</f>
        <v>215251</v>
      </c>
      <c r="F61" s="22">
        <f t="shared" si="3"/>
        <v>3.926791447752481</v>
      </c>
    </row>
    <row r="62" spans="1:6" x14ac:dyDescent="0.2">
      <c r="A62" s="20">
        <v>28</v>
      </c>
      <c r="B62" s="179" t="s">
        <v>24</v>
      </c>
      <c r="C62" s="180"/>
      <c r="D62" s="15">
        <f>IF(F3="1",SUMIF(Data!A:A,'55'!$A$2,Data!DV:DV),0)</f>
        <v>70848</v>
      </c>
      <c r="E62" s="18">
        <f>IF(F3="1",SUMIF(Data!$A:$A,'55'!$A$2,Data!JP:JP),0)</f>
        <v>278208</v>
      </c>
      <c r="F62" s="22">
        <f t="shared" si="3"/>
        <v>3.9268292682926829</v>
      </c>
    </row>
    <row r="63" spans="1:6" ht="15.75" customHeight="1" thickBot="1" x14ac:dyDescent="0.25">
      <c r="A63" s="23">
        <v>29</v>
      </c>
      <c r="B63" s="181" t="s">
        <v>25</v>
      </c>
      <c r="C63" s="182"/>
      <c r="D63" s="24">
        <f>IF(F3="1",SUMIF(Data!A:A,'55'!$A$2,Data!DW:DW),0)</f>
        <v>84016</v>
      </c>
      <c r="E63" s="25">
        <f>IF(F3="1",SUMIF(Data!$A:$A,'55'!$A$2,Data!JQ:JQ),0)</f>
        <v>329915</v>
      </c>
      <c r="F63" s="26">
        <f t="shared" si="3"/>
        <v>3.9268115597029136</v>
      </c>
    </row>
    <row r="64" spans="1:6" x14ac:dyDescent="0.2">
      <c r="B64" s="31" t="s">
        <v>35</v>
      </c>
      <c r="C64" s="31"/>
      <c r="D64" s="61">
        <f>SUM(D36:D63)</f>
        <v>1621851</v>
      </c>
      <c r="E64" s="32">
        <f>SUM(E36:E63)</f>
        <v>6368704</v>
      </c>
      <c r="F64" s="33">
        <f t="shared" si="3"/>
        <v>3.9268120191065639</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0</v>
      </c>
      <c r="E67" s="16">
        <f>IF(F3="1",SUMIF(Data!A:A,'55'!$A$2,Data!DY:DY),0)</f>
        <v>0</v>
      </c>
      <c r="F67" s="21" t="str">
        <f>IFERROR(E67/D67,"")</f>
        <v/>
      </c>
    </row>
    <row r="68" spans="1:6" x14ac:dyDescent="0.2">
      <c r="A68" s="20">
        <v>2</v>
      </c>
      <c r="B68" s="179" t="s">
        <v>1</v>
      </c>
      <c r="C68" s="180"/>
      <c r="D68" s="15">
        <f t="shared" ref="D68:D94" si="4">D37</f>
        <v>66496</v>
      </c>
      <c r="E68" s="18">
        <f>IF(F3="1",SUMIF(Data!A:A,'55'!$A$2,Data!DZ:DZ),0)</f>
        <v>247349</v>
      </c>
      <c r="F68" s="22">
        <f t="shared" ref="F68:F95" si="5">IFERROR(E68/D68,"")</f>
        <v>3.7197575794032725</v>
      </c>
    </row>
    <row r="69" spans="1:6" ht="14.25" customHeight="1" x14ac:dyDescent="0.2">
      <c r="A69" s="20">
        <v>3</v>
      </c>
      <c r="B69" s="179" t="s">
        <v>2</v>
      </c>
      <c r="C69" s="180"/>
      <c r="D69" s="15">
        <f t="shared" si="4"/>
        <v>188544</v>
      </c>
      <c r="E69" s="18">
        <f>IF(F3="1",SUMIF(Data!A:A,'55'!$A$2,Data!EA:EA),0)</f>
        <v>701337</v>
      </c>
      <c r="F69" s="22">
        <f t="shared" si="5"/>
        <v>3.7197524185336048</v>
      </c>
    </row>
    <row r="70" spans="1:6" ht="14.25" customHeight="1" x14ac:dyDescent="0.2">
      <c r="A70" s="20">
        <v>4</v>
      </c>
      <c r="B70" s="179" t="s">
        <v>3</v>
      </c>
      <c r="C70" s="180"/>
      <c r="D70" s="15">
        <f t="shared" si="4"/>
        <v>144214</v>
      </c>
      <c r="E70" s="18">
        <f>IF(F3="1",SUMIF(Data!A:A,'55'!$A$2,Data!EB:EB),0)</f>
        <v>536441</v>
      </c>
      <c r="F70" s="22">
        <f t="shared" si="5"/>
        <v>3.7197567503848448</v>
      </c>
    </row>
    <row r="71" spans="1:6" x14ac:dyDescent="0.2">
      <c r="A71" s="20">
        <v>5</v>
      </c>
      <c r="B71" s="179" t="s">
        <v>4</v>
      </c>
      <c r="C71" s="180"/>
      <c r="D71" s="15">
        <f t="shared" si="4"/>
        <v>0</v>
      </c>
      <c r="E71" s="18">
        <f>IF(F3="1",SUMIF(Data!A:A,'55'!$A$2,Data!EC:EC),0)</f>
        <v>0</v>
      </c>
      <c r="F71" s="22" t="str">
        <f t="shared" si="5"/>
        <v/>
      </c>
    </row>
    <row r="72" spans="1:6" x14ac:dyDescent="0.2">
      <c r="A72" s="20">
        <v>6</v>
      </c>
      <c r="B72" s="179" t="s">
        <v>5</v>
      </c>
      <c r="C72" s="180"/>
      <c r="D72" s="15">
        <f t="shared" si="4"/>
        <v>1220</v>
      </c>
      <c r="E72" s="18">
        <f>IF(F3="1",SUMIF(Data!A:A,'55'!$A$2,Data!ED:ED),0)</f>
        <v>4538</v>
      </c>
      <c r="F72" s="22">
        <f t="shared" si="5"/>
        <v>3.7196721311475409</v>
      </c>
    </row>
    <row r="73" spans="1:6" x14ac:dyDescent="0.2">
      <c r="A73" s="20">
        <v>7</v>
      </c>
      <c r="B73" s="179" t="s">
        <v>6</v>
      </c>
      <c r="C73" s="180"/>
      <c r="D73" s="15">
        <f t="shared" si="4"/>
        <v>73797</v>
      </c>
      <c r="E73" s="18">
        <f>IF(F3="1",SUMIF(Data!A:A,'55'!$A$2,Data!EE:EE),0)</f>
        <v>274507</v>
      </c>
      <c r="F73" s="22">
        <f t="shared" si="5"/>
        <v>3.7197582557556541</v>
      </c>
    </row>
    <row r="74" spans="1:6" x14ac:dyDescent="0.2">
      <c r="A74" s="20">
        <v>8</v>
      </c>
      <c r="B74" s="179" t="s">
        <v>7</v>
      </c>
      <c r="C74" s="180"/>
      <c r="D74" s="15">
        <f t="shared" si="4"/>
        <v>29424</v>
      </c>
      <c r="E74" s="18">
        <f>IF(F3="1",SUMIF(Data!A:A,'55'!$A$2,Data!EF:EF),0)</f>
        <v>109450</v>
      </c>
      <c r="F74" s="22">
        <f t="shared" si="5"/>
        <v>3.7197525829255031</v>
      </c>
    </row>
    <row r="75" spans="1:6" x14ac:dyDescent="0.2">
      <c r="A75" s="20">
        <v>9</v>
      </c>
      <c r="B75" s="179" t="s">
        <v>8</v>
      </c>
      <c r="C75" s="180"/>
      <c r="D75" s="15">
        <f t="shared" si="4"/>
        <v>28388</v>
      </c>
      <c r="E75" s="18">
        <f>IF(F3="1",SUMIF(Data!A:A,'55'!$A$2,Data!EG:EG),0)</f>
        <v>105596</v>
      </c>
      <c r="F75" s="22">
        <f t="shared" si="5"/>
        <v>3.7197407355220515</v>
      </c>
    </row>
    <row r="76" spans="1:6" x14ac:dyDescent="0.2">
      <c r="A76" s="20">
        <v>10</v>
      </c>
      <c r="B76" s="179" t="s">
        <v>9</v>
      </c>
      <c r="C76" s="180"/>
      <c r="D76" s="15">
        <f t="shared" si="4"/>
        <v>0</v>
      </c>
      <c r="E76" s="18">
        <f>IF(F3="1",SUMIF(Data!A:A,'55'!$A$2,Data!EH:EH),0)</f>
        <v>0</v>
      </c>
      <c r="F76" s="22" t="str">
        <f t="shared" si="5"/>
        <v/>
      </c>
    </row>
    <row r="77" spans="1:6" x14ac:dyDescent="0.2">
      <c r="A77" s="20">
        <v>11</v>
      </c>
      <c r="B77" s="179" t="s">
        <v>10</v>
      </c>
      <c r="C77" s="180"/>
      <c r="D77" s="15">
        <f t="shared" si="4"/>
        <v>234566</v>
      </c>
      <c r="E77" s="18">
        <f>IF(F3="1",SUMIF(Data!A:A,'55'!$A$2,Data!EI:EI),0)</f>
        <v>872528</v>
      </c>
      <c r="F77" s="22">
        <f t="shared" si="5"/>
        <v>3.7197547811703315</v>
      </c>
    </row>
    <row r="78" spans="1:6" ht="14.25" customHeight="1" x14ac:dyDescent="0.2">
      <c r="A78" s="20">
        <v>12</v>
      </c>
      <c r="B78" s="179" t="s">
        <v>11</v>
      </c>
      <c r="C78" s="180"/>
      <c r="D78" s="15">
        <f t="shared" si="4"/>
        <v>64944</v>
      </c>
      <c r="E78" s="18">
        <f>IF(F3="1",SUMIF(Data!A:A,'55'!$A$2,Data!EJ:EJ),0)</f>
        <v>241576</v>
      </c>
      <c r="F78" s="22">
        <f t="shared" si="5"/>
        <v>3.7197585612219757</v>
      </c>
    </row>
    <row r="79" spans="1:6" x14ac:dyDescent="0.2">
      <c r="A79" s="20">
        <v>13</v>
      </c>
      <c r="B79" s="179" t="s">
        <v>12</v>
      </c>
      <c r="C79" s="180"/>
      <c r="D79" s="15">
        <f t="shared" si="4"/>
        <v>0</v>
      </c>
      <c r="E79" s="18">
        <f>IF(F3="1",SUMIF(Data!A:A,'55'!$A$2,Data!EK:EK),0)</f>
        <v>0</v>
      </c>
      <c r="F79" s="22" t="str">
        <f t="shared" si="5"/>
        <v/>
      </c>
    </row>
    <row r="80" spans="1:6" ht="14.25" customHeight="1" x14ac:dyDescent="0.2">
      <c r="A80" s="20">
        <v>14</v>
      </c>
      <c r="B80" s="179" t="s">
        <v>804</v>
      </c>
      <c r="C80" s="180"/>
      <c r="D80" s="15">
        <f t="shared" si="4"/>
        <v>12320</v>
      </c>
      <c r="E80" s="18">
        <f>IF(F3="1",SUMIF(Data!A:A,'55'!$A$2,Data!EL:EL),0)</f>
        <v>45827</v>
      </c>
      <c r="F80" s="22">
        <f t="shared" si="5"/>
        <v>3.7197240259740258</v>
      </c>
    </row>
    <row r="81" spans="1:6" x14ac:dyDescent="0.2">
      <c r="A81" s="20">
        <v>15</v>
      </c>
      <c r="B81" s="179" t="s">
        <v>13</v>
      </c>
      <c r="C81" s="180"/>
      <c r="D81" s="15">
        <f t="shared" si="4"/>
        <v>36141</v>
      </c>
      <c r="E81" s="18">
        <f>IF(F3="1",SUMIF(Data!A:A,'55'!$A$2,Data!EM:EM),0)</f>
        <v>134436</v>
      </c>
      <c r="F81" s="22">
        <f t="shared" si="5"/>
        <v>3.7197642566614095</v>
      </c>
    </row>
    <row r="82" spans="1:6" x14ac:dyDescent="0.2">
      <c r="A82" s="20">
        <v>16</v>
      </c>
      <c r="B82" s="179" t="s">
        <v>14</v>
      </c>
      <c r="C82" s="180"/>
      <c r="D82" s="15">
        <f t="shared" si="4"/>
        <v>163801</v>
      </c>
      <c r="E82" s="18">
        <f>IF(F3="1",SUMIF(Data!A:A,'55'!$A$2,Data!EN:EN),0)</f>
        <v>609299</v>
      </c>
      <c r="F82" s="22">
        <f t="shared" si="5"/>
        <v>3.7197514056690739</v>
      </c>
    </row>
    <row r="83" spans="1:6" x14ac:dyDescent="0.2">
      <c r="A83" s="20">
        <v>17</v>
      </c>
      <c r="B83" s="179" t="s">
        <v>15</v>
      </c>
      <c r="C83" s="180"/>
      <c r="D83" s="15">
        <f t="shared" si="4"/>
        <v>42221</v>
      </c>
      <c r="E83" s="18">
        <f>IF(F3="1",SUMIF(Data!A:A,'55'!$A$2,Data!EO:EO),0)</f>
        <v>157052</v>
      </c>
      <c r="F83" s="22">
        <f t="shared" si="5"/>
        <v>3.7197603088510456</v>
      </c>
    </row>
    <row r="84" spans="1:6" x14ac:dyDescent="0.2">
      <c r="A84" s="20">
        <v>18</v>
      </c>
      <c r="B84" s="179" t="s">
        <v>16</v>
      </c>
      <c r="C84" s="180"/>
      <c r="D84" s="15">
        <f t="shared" si="4"/>
        <v>0</v>
      </c>
      <c r="E84" s="18">
        <f>IF(F3="1",SUMIF(Data!A:A,'55'!$A$2,Data!EP:EP),0)</f>
        <v>0</v>
      </c>
      <c r="F84" s="22" t="str">
        <f t="shared" si="5"/>
        <v/>
      </c>
    </row>
    <row r="85" spans="1:6" x14ac:dyDescent="0.2">
      <c r="A85" s="20">
        <v>19</v>
      </c>
      <c r="B85" s="179" t="s">
        <v>17</v>
      </c>
      <c r="C85" s="180"/>
      <c r="D85" s="15">
        <f t="shared" si="4"/>
        <v>44064</v>
      </c>
      <c r="E85" s="18">
        <f>IF(F3="1",SUMIF(Data!A:A,'55'!$A$2,Data!EQ:EQ),0)</f>
        <v>163907</v>
      </c>
      <c r="F85" s="22">
        <f t="shared" si="5"/>
        <v>3.7197485475671752</v>
      </c>
    </row>
    <row r="86" spans="1:6" x14ac:dyDescent="0.2">
      <c r="A86" s="20">
        <v>20</v>
      </c>
      <c r="B86" s="179" t="s">
        <v>18</v>
      </c>
      <c r="C86" s="180"/>
      <c r="D86" s="15">
        <f t="shared" si="4"/>
        <v>1536</v>
      </c>
      <c r="E86" s="18">
        <f>IF(F3="1",SUMIF(Data!A:A,'55'!$A$2,Data!ER:ER),0)</f>
        <v>5714</v>
      </c>
      <c r="F86" s="22">
        <f t="shared" si="5"/>
        <v>3.7200520833333335</v>
      </c>
    </row>
    <row r="87" spans="1:6" ht="14.25" customHeight="1" x14ac:dyDescent="0.2">
      <c r="A87" s="20">
        <v>21</v>
      </c>
      <c r="B87" s="179" t="s">
        <v>801</v>
      </c>
      <c r="C87" s="180"/>
      <c r="D87" s="15">
        <f t="shared" si="4"/>
        <v>35172</v>
      </c>
      <c r="E87" s="18">
        <f>IF(F3="1",SUMIF(Data!A:A,'55'!$A$2,Data!ES:ES),0)</f>
        <v>130831</v>
      </c>
      <c r="F87" s="22">
        <f t="shared" si="5"/>
        <v>3.719748663709769</v>
      </c>
    </row>
    <row r="88" spans="1:6" x14ac:dyDescent="0.2">
      <c r="A88" s="20">
        <v>22</v>
      </c>
      <c r="B88" s="179" t="s">
        <v>19</v>
      </c>
      <c r="C88" s="180"/>
      <c r="D88" s="15">
        <f t="shared" si="4"/>
        <v>23296</v>
      </c>
      <c r="E88" s="18">
        <f>IF(F3="1",SUMIF(Data!A:A,'55'!$A$2,Data!ET:ET),0)</f>
        <v>86655</v>
      </c>
      <c r="F88" s="22">
        <f t="shared" si="5"/>
        <v>3.7197372939560438</v>
      </c>
    </row>
    <row r="89" spans="1:6" x14ac:dyDescent="0.2">
      <c r="A89" s="20">
        <v>23</v>
      </c>
      <c r="B89" s="179" t="s">
        <v>20</v>
      </c>
      <c r="C89" s="180"/>
      <c r="D89" s="15">
        <f t="shared" si="4"/>
        <v>0</v>
      </c>
      <c r="E89" s="18">
        <f>IF(F3="1",SUMIF(Data!A:A,'55'!$A$2,Data!EU:EU),0)</f>
        <v>0</v>
      </c>
      <c r="F89" s="22" t="str">
        <f t="shared" si="5"/>
        <v/>
      </c>
    </row>
    <row r="90" spans="1:6" x14ac:dyDescent="0.2">
      <c r="A90" s="20">
        <v>24</v>
      </c>
      <c r="B90" s="179" t="s">
        <v>21</v>
      </c>
      <c r="C90" s="180"/>
      <c r="D90" s="15">
        <f t="shared" si="4"/>
        <v>169563</v>
      </c>
      <c r="E90" s="18">
        <f>IF(F3="1",SUMIF(Data!A:A,'55'!$A$2,Data!EV:EV),0)</f>
        <v>630733</v>
      </c>
      <c r="F90" s="22">
        <f t="shared" si="5"/>
        <v>3.7197560788615442</v>
      </c>
    </row>
    <row r="91" spans="1:6" x14ac:dyDescent="0.2">
      <c r="A91" s="20">
        <v>25</v>
      </c>
      <c r="B91" s="179" t="s">
        <v>22</v>
      </c>
      <c r="C91" s="180"/>
      <c r="D91" s="15">
        <f t="shared" si="4"/>
        <v>52464</v>
      </c>
      <c r="E91" s="18">
        <f>IF(F3="1",SUMIF(Data!A:A,'55'!$A$2,Data!EW:EW),0)</f>
        <v>195153</v>
      </c>
      <c r="F91" s="22">
        <f t="shared" si="5"/>
        <v>3.7197506861848124</v>
      </c>
    </row>
    <row r="92" spans="1:6" x14ac:dyDescent="0.2">
      <c r="A92" s="20">
        <v>26</v>
      </c>
      <c r="B92" s="179" t="s">
        <v>23</v>
      </c>
      <c r="C92" s="180"/>
      <c r="D92" s="15">
        <f t="shared" si="4"/>
        <v>54816</v>
      </c>
      <c r="E92" s="18">
        <f>IF(F3="1",SUMIF(Data!A:A,'55'!$A$2,Data!EX:EX),0)</f>
        <v>203902</v>
      </c>
      <c r="F92" s="22">
        <f t="shared" si="5"/>
        <v>3.7197533566841798</v>
      </c>
    </row>
    <row r="93" spans="1:6" x14ac:dyDescent="0.2">
      <c r="A93" s="20">
        <v>28</v>
      </c>
      <c r="B93" s="179" t="s">
        <v>24</v>
      </c>
      <c r="C93" s="180"/>
      <c r="D93" s="15">
        <f t="shared" si="4"/>
        <v>70848</v>
      </c>
      <c r="E93" s="18">
        <f>IF(F3="1",SUMIF(Data!A:A,'55'!$A$2,Data!EZ:EZ),0)</f>
        <v>263537</v>
      </c>
      <c r="F93" s="22">
        <f t="shared" si="5"/>
        <v>3.7197521454381208</v>
      </c>
    </row>
    <row r="94" spans="1:6" ht="15.75" customHeight="1" thickBot="1" x14ac:dyDescent="0.25">
      <c r="A94" s="23">
        <v>29</v>
      </c>
      <c r="B94" s="181" t="s">
        <v>25</v>
      </c>
      <c r="C94" s="182"/>
      <c r="D94" s="24">
        <f t="shared" si="4"/>
        <v>84016</v>
      </c>
      <c r="E94" s="25">
        <f>IF(F3="1",SUMIF(Data!A:A,'55'!$A$2,Data!FA:FA),0)</f>
        <v>312519</v>
      </c>
      <c r="F94" s="26">
        <f t="shared" si="5"/>
        <v>3.7197557608074652</v>
      </c>
    </row>
    <row r="95" spans="1:6" x14ac:dyDescent="0.2">
      <c r="B95" s="31" t="s">
        <v>35</v>
      </c>
      <c r="C95" s="31"/>
      <c r="D95" s="61">
        <f>SUM(D67:D94)</f>
        <v>1621851</v>
      </c>
      <c r="E95" s="32">
        <f>SUM(E67:E94)</f>
        <v>6032887</v>
      </c>
      <c r="F95" s="33">
        <f t="shared" si="5"/>
        <v>3.7197541574410966</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IF(F3="1",SUMIF(Data!A:A,'55'!$A$2,Data!AH:AH),0)</f>
        <v>3684015</v>
      </c>
      <c r="F98" s="21">
        <f t="shared" ref="F98:F105" si="6">IFERROR(E98/$D$95,0)</f>
        <v>2.2714879480297512</v>
      </c>
    </row>
    <row r="99" spans="2:6" x14ac:dyDescent="0.2">
      <c r="B99" s="185" t="s">
        <v>31</v>
      </c>
      <c r="C99" s="186"/>
      <c r="D99" s="37"/>
      <c r="E99" s="18">
        <f>IF(F3="1",SUMIF(Data!A:A,'55'!$A$2,Data!AI:AI),0)</f>
        <v>1522338</v>
      </c>
      <c r="F99" s="22">
        <f t="shared" si="6"/>
        <v>0.93864232904255696</v>
      </c>
    </row>
    <row r="100" spans="2:6" x14ac:dyDescent="0.2">
      <c r="B100" s="185" t="s">
        <v>32</v>
      </c>
      <c r="C100" s="186"/>
      <c r="D100" s="37"/>
      <c r="E100" s="18">
        <f>IF(F3="1",SUMIF(Data!A:A,'55'!$A$2,Data!AJ:AJ),0)</f>
        <v>307898</v>
      </c>
      <c r="F100" s="22">
        <f t="shared" si="6"/>
        <v>0.18984357995894813</v>
      </c>
    </row>
    <row r="101" spans="2:6" x14ac:dyDescent="0.2">
      <c r="B101" s="185" t="s">
        <v>28</v>
      </c>
      <c r="C101" s="186"/>
      <c r="D101" s="37"/>
      <c r="E101" s="18">
        <f>IF(F3="1",SUMIF(Data!A:A,'55'!$A$2,Data!AK:AK),0)</f>
        <v>0</v>
      </c>
      <c r="F101" s="22">
        <f t="shared" si="6"/>
        <v>0</v>
      </c>
    </row>
    <row r="102" spans="2:6" x14ac:dyDescent="0.2">
      <c r="B102" s="185" t="s">
        <v>33</v>
      </c>
      <c r="C102" s="186"/>
      <c r="D102" s="37"/>
      <c r="E102" s="18">
        <f>IF(F3="1",SUMIF(Data!A:A,'55'!$A$2,Data!AL:AL),0)</f>
        <v>3720260</v>
      </c>
      <c r="F102" s="22">
        <f t="shared" si="6"/>
        <v>2.2938358702494868</v>
      </c>
    </row>
    <row r="103" spans="2:6" x14ac:dyDescent="0.2">
      <c r="B103" s="187" t="s">
        <v>34</v>
      </c>
      <c r="C103" s="188"/>
      <c r="D103" s="37"/>
      <c r="E103" s="18">
        <f>IF(F3="1",SUMIF(Data!A:A,'55'!$A$2,Data!AM:AM),0)</f>
        <v>970750</v>
      </c>
      <c r="F103" s="22">
        <f t="shared" si="6"/>
        <v>0.59854450254678138</v>
      </c>
    </row>
    <row r="104" spans="2:6" ht="15.75" customHeight="1" thickBot="1" x14ac:dyDescent="0.25">
      <c r="B104" s="177" t="s">
        <v>29</v>
      </c>
      <c r="C104" s="178"/>
      <c r="D104" s="38"/>
      <c r="E104" s="25">
        <f>IF(F3="1",SUMIF(Data!A:A,'55'!$A$2,Data!Q:Q),0)</f>
        <v>668132</v>
      </c>
      <c r="F104" s="26">
        <f t="shared" si="6"/>
        <v>0.41195646209177045</v>
      </c>
    </row>
    <row r="105" spans="2:6" x14ac:dyDescent="0.2">
      <c r="B105" s="31" t="s">
        <v>35</v>
      </c>
      <c r="C105" s="31"/>
      <c r="D105" s="35">
        <f>D95</f>
        <v>1621851</v>
      </c>
      <c r="E105" s="32">
        <f>SUM(E98:E104)</f>
        <v>10873393</v>
      </c>
      <c r="F105" s="33">
        <f t="shared" si="6"/>
        <v>6.7043106919192947</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7396418</v>
      </c>
      <c r="D109" s="16">
        <f>IF(F3="1",SUMIF(Data!$A:$A,$A$2,Data!HJ:HJ),0)</f>
        <v>2195146</v>
      </c>
      <c r="E109" s="16">
        <f>IF(F3="1",SUMIF(Data!$A:$A,$A$2,Data!IN:IN),0)</f>
        <v>2810026</v>
      </c>
      <c r="F109" s="48">
        <f>SUM(C109:E109)</f>
        <v>12401590</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180159</v>
      </c>
      <c r="D111" s="52"/>
      <c r="E111" s="51">
        <f>IF(F3="1",SUMIF(Data!A:A,$A$2,Data!AX:AX),0)</f>
        <v>481333</v>
      </c>
      <c r="F111" s="49">
        <f t="shared" si="7"/>
        <v>661492</v>
      </c>
    </row>
    <row r="112" spans="2:6" x14ac:dyDescent="0.2">
      <c r="B112" s="43" t="s">
        <v>32</v>
      </c>
      <c r="C112" s="51">
        <f>IF(F3="1",SUMIF(Data!A:A,$A$2,Data!V:V),0)</f>
        <v>270983</v>
      </c>
      <c r="D112" s="52"/>
      <c r="E112" s="51">
        <f>IF(F3="1",SUMIF(Data!A:A,$A$2,Data!AC:AC),0)</f>
        <v>36915</v>
      </c>
      <c r="F112" s="49">
        <f t="shared" si="7"/>
        <v>307898</v>
      </c>
    </row>
    <row r="113" spans="1:6" x14ac:dyDescent="0.2">
      <c r="B113" s="43" t="s">
        <v>31</v>
      </c>
      <c r="C113" s="51">
        <f>IF(F3="1",SUMIF(Data!A:A,$A$2,Data!U:U),0)</f>
        <v>488520</v>
      </c>
      <c r="D113" s="52"/>
      <c r="E113" s="51">
        <f>IF(F3="1",SUMIF(Data!A:A,$A$2,Data!AB:AB),0)</f>
        <v>1033818</v>
      </c>
      <c r="F113" s="49">
        <f t="shared" si="7"/>
        <v>1522338</v>
      </c>
    </row>
    <row r="114" spans="1:6" x14ac:dyDescent="0.2">
      <c r="B114" s="43" t="s">
        <v>1363</v>
      </c>
      <c r="C114" s="51">
        <f>IF(F3="1",SUMIF(Data!A:A,$A$2,Data!T:T),0)</f>
        <v>1724840</v>
      </c>
      <c r="D114" s="52"/>
      <c r="E114" s="51">
        <f>IF(F3="1",SUMIF(Data!A:A,$A$2,Data!AA:AA),0)</f>
        <v>1959175</v>
      </c>
      <c r="F114" s="49">
        <f t="shared" si="7"/>
        <v>3684015</v>
      </c>
    </row>
    <row r="115" spans="1:6" x14ac:dyDescent="0.2">
      <c r="B115" s="43" t="s">
        <v>1278</v>
      </c>
      <c r="C115" s="51">
        <f>IF(F3="1",SUMIF(Data!A:A,$A$2,Data!BI:BI),0)</f>
        <v>381580</v>
      </c>
      <c r="D115" s="51">
        <f>IF(F3="1",SUMIF(Data!A:A,$A$2,Data!BL:BL),0)</f>
        <v>115615</v>
      </c>
      <c r="E115" s="51">
        <f>IF(F3="1",SUMIF(Data!A:A,$A$2,Data!BU:BU),0)</f>
        <v>4689394</v>
      </c>
      <c r="F115" s="49">
        <f t="shared" si="7"/>
        <v>5186589</v>
      </c>
    </row>
    <row r="116" spans="1:6" x14ac:dyDescent="0.2">
      <c r="B116" s="43" t="s">
        <v>33</v>
      </c>
      <c r="C116" s="51">
        <f>IF(F3="1",SUMIF(Data!A:A,$A$2,Data!X:X),0)</f>
        <v>71765</v>
      </c>
      <c r="D116" s="51"/>
      <c r="E116" s="51">
        <f>E102</f>
        <v>3720260</v>
      </c>
      <c r="F116" s="49">
        <f t="shared" si="7"/>
        <v>3792025</v>
      </c>
    </row>
    <row r="117" spans="1:6" ht="15" thickBot="1" x14ac:dyDescent="0.25">
      <c r="B117" s="44" t="s">
        <v>1282</v>
      </c>
      <c r="C117" s="53"/>
      <c r="D117" s="53">
        <f>IF(F3="1",SUMIF(Data!A:A,$A$2,Data!Q:Q),0)</f>
        <v>668132</v>
      </c>
      <c r="E117" s="53"/>
      <c r="F117" s="50">
        <f>SUM(C117:E117)</f>
        <v>668132</v>
      </c>
    </row>
    <row r="118" spans="1:6" x14ac:dyDescent="0.2">
      <c r="B118" s="14" t="s">
        <v>35</v>
      </c>
      <c r="C118" s="5">
        <f>SUM(C109:C116)</f>
        <v>10514265</v>
      </c>
      <c r="D118" s="5">
        <f>SUM(D109:D116)</f>
        <v>2310761</v>
      </c>
      <c r="E118" s="5">
        <f>SUM(E109:E116)</f>
        <v>14730921</v>
      </c>
      <c r="F118" s="5">
        <f>SUM(F109:F116)</f>
        <v>27555947</v>
      </c>
    </row>
    <row r="119" spans="1:6" ht="15" thickBot="1" x14ac:dyDescent="0.25"/>
    <row r="120" spans="1:6" ht="15" thickBot="1" x14ac:dyDescent="0.25">
      <c r="B120" s="57" t="s">
        <v>1283</v>
      </c>
      <c r="C120" s="55"/>
      <c r="D120" s="55"/>
      <c r="E120" s="55">
        <f>IF(F3="1",SUMIF(Data!A:A,'55'!$A$2,Data!AM:AM),0)</f>
        <v>970750</v>
      </c>
      <c r="F120" s="56">
        <f>SUM(C120:E120)</f>
        <v>970750</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1" bestFit="1" customWidth="1"/>
    <col min="9" max="9" width="16.42578125" style="11" bestFit="1" customWidth="1"/>
    <col min="10" max="10" width="13.42578125" style="11" bestFit="1" customWidth="1"/>
    <col min="11" max="11" width="10.5703125" style="11" bestFit="1" customWidth="1"/>
    <col min="12" max="12" width="12.42578125" style="11" bestFit="1" customWidth="1"/>
    <col min="13" max="14" width="12.140625" style="11" bestFit="1" customWidth="1"/>
    <col min="15" max="31" width="9.140625" style="11"/>
    <col min="32" max="32" width="17.85546875" style="11" bestFit="1" customWidth="1"/>
    <col min="33" max="35" width="9.140625" style="11"/>
    <col min="36" max="36" width="17.85546875" style="11" bestFit="1" customWidth="1"/>
    <col min="37" max="16384" width="9.140625" style="11"/>
  </cols>
  <sheetData>
    <row r="1" spans="1:6" x14ac:dyDescent="0.2">
      <c r="A1" s="39" t="str">
        <f>Summary!A1</f>
        <v>Community and Technical Colleges, Report of Fundable Operating Expenses, Fiscal Year (FY) 2011</v>
      </c>
      <c r="B1" s="39"/>
      <c r="C1" s="39"/>
      <c r="D1" s="39"/>
      <c r="E1" s="39"/>
      <c r="F1" s="39"/>
    </row>
    <row r="2" spans="1:6" x14ac:dyDescent="0.2">
      <c r="A2" s="6" t="s">
        <v>749</v>
      </c>
      <c r="B2" s="60" t="str">
        <f>VLOOKUP(A2,Data!A:G,7,0)</f>
        <v>Lamar State College-Orange</v>
      </c>
      <c r="C2" s="60"/>
    </row>
    <row r="3" spans="1:6" ht="15" thickBot="1" x14ac:dyDescent="0.25">
      <c r="A3" s="4"/>
      <c r="F3" s="58" t="str">
        <f>IFERROR(VLOOKUP(A2,Data!A:C,3,0),"0")</f>
        <v>1</v>
      </c>
    </row>
    <row r="4" spans="1:6" ht="29.25" customHeight="1" x14ac:dyDescent="0.2">
      <c r="A4" s="27" t="s">
        <v>26</v>
      </c>
      <c r="B4" s="189" t="s">
        <v>805</v>
      </c>
      <c r="C4" s="190"/>
      <c r="D4" s="29" t="s">
        <v>27</v>
      </c>
      <c r="E4" s="29" t="s">
        <v>802</v>
      </c>
      <c r="F4" s="30" t="s">
        <v>803</v>
      </c>
    </row>
    <row r="5" spans="1:6" x14ac:dyDescent="0.2">
      <c r="A5" s="20">
        <v>1</v>
      </c>
      <c r="B5" s="179" t="s">
        <v>0</v>
      </c>
      <c r="C5" s="180"/>
      <c r="D5" s="15">
        <f>D36</f>
        <v>1440</v>
      </c>
      <c r="E5" s="16">
        <f>E36+E67+IFERROR($E$105/$D$105*D5,0)</f>
        <v>14871.539672395429</v>
      </c>
      <c r="F5" s="21">
        <f>IFERROR(E5/D5,"")</f>
        <v>10.327458105830159</v>
      </c>
    </row>
    <row r="6" spans="1:6" x14ac:dyDescent="0.2">
      <c r="A6" s="20">
        <v>2</v>
      </c>
      <c r="B6" s="179" t="s">
        <v>1</v>
      </c>
      <c r="C6" s="180"/>
      <c r="D6" s="15">
        <f t="shared" ref="D6:D32" si="0">D37</f>
        <v>10688</v>
      </c>
      <c r="E6" s="18">
        <f t="shared" ref="E6:E32" si="1">E37+E68+IFERROR($E$105/$D$105*D6,0)</f>
        <v>68236.494457334964</v>
      </c>
      <c r="F6" s="22">
        <f t="shared" ref="F6:F33" si="2">IFERROR(E6/D6,"")</f>
        <v>6.3844025502746033</v>
      </c>
    </row>
    <row r="7" spans="1:6" ht="14.25" customHeight="1" x14ac:dyDescent="0.2">
      <c r="A7" s="20">
        <v>3</v>
      </c>
      <c r="B7" s="179" t="s">
        <v>2</v>
      </c>
      <c r="C7" s="180"/>
      <c r="D7" s="15">
        <f t="shared" si="0"/>
        <v>175728</v>
      </c>
      <c r="E7" s="18">
        <f t="shared" si="1"/>
        <v>1787678.2913546555</v>
      </c>
      <c r="F7" s="22">
        <f t="shared" si="2"/>
        <v>10.172984904822542</v>
      </c>
    </row>
    <row r="8" spans="1:6" ht="14.25" customHeight="1" x14ac:dyDescent="0.2">
      <c r="A8" s="20">
        <v>4</v>
      </c>
      <c r="B8" s="179" t="s">
        <v>3</v>
      </c>
      <c r="C8" s="180"/>
      <c r="D8" s="15">
        <f t="shared" si="0"/>
        <v>61272</v>
      </c>
      <c r="E8" s="18">
        <f t="shared" si="1"/>
        <v>628686.1130604255</v>
      </c>
      <c r="F8" s="22">
        <f t="shared" si="2"/>
        <v>10.260577638406213</v>
      </c>
    </row>
    <row r="9" spans="1:6" x14ac:dyDescent="0.2">
      <c r="A9" s="20">
        <v>5</v>
      </c>
      <c r="B9" s="179" t="s">
        <v>4</v>
      </c>
      <c r="C9" s="180"/>
      <c r="D9" s="15">
        <f t="shared" si="0"/>
        <v>0</v>
      </c>
      <c r="E9" s="18">
        <f t="shared" si="1"/>
        <v>0</v>
      </c>
      <c r="F9" s="22" t="str">
        <f t="shared" si="2"/>
        <v/>
      </c>
    </row>
    <row r="10" spans="1:6" x14ac:dyDescent="0.2">
      <c r="A10" s="20">
        <v>6</v>
      </c>
      <c r="B10" s="179" t="s">
        <v>5</v>
      </c>
      <c r="C10" s="180"/>
      <c r="D10" s="15">
        <f t="shared" si="0"/>
        <v>0</v>
      </c>
      <c r="E10" s="18">
        <f t="shared" si="1"/>
        <v>0</v>
      </c>
      <c r="F10" s="22" t="str">
        <f t="shared" si="2"/>
        <v/>
      </c>
    </row>
    <row r="11" spans="1:6" x14ac:dyDescent="0.2">
      <c r="A11" s="20">
        <v>7</v>
      </c>
      <c r="B11" s="179" t="s">
        <v>6</v>
      </c>
      <c r="C11" s="180"/>
      <c r="D11" s="15">
        <f t="shared" si="0"/>
        <v>48552</v>
      </c>
      <c r="E11" s="18">
        <f t="shared" si="1"/>
        <v>494488.51262093254</v>
      </c>
      <c r="F11" s="22">
        <f t="shared" si="2"/>
        <v>10.184719735972411</v>
      </c>
    </row>
    <row r="12" spans="1:6" x14ac:dyDescent="0.2">
      <c r="A12" s="20">
        <v>8</v>
      </c>
      <c r="B12" s="179" t="s">
        <v>7</v>
      </c>
      <c r="C12" s="180"/>
      <c r="D12" s="15">
        <f t="shared" si="0"/>
        <v>512</v>
      </c>
      <c r="E12" s="18">
        <f t="shared" si="1"/>
        <v>5287.8141057405974</v>
      </c>
      <c r="F12" s="22">
        <f t="shared" si="2"/>
        <v>10.327761925274604</v>
      </c>
    </row>
    <row r="13" spans="1:6" x14ac:dyDescent="0.2">
      <c r="A13" s="20">
        <v>9</v>
      </c>
      <c r="B13" s="179" t="s">
        <v>8</v>
      </c>
      <c r="C13" s="180"/>
      <c r="D13" s="15">
        <f t="shared" si="0"/>
        <v>37948</v>
      </c>
      <c r="E13" s="18">
        <f t="shared" si="1"/>
        <v>371276.30797782063</v>
      </c>
      <c r="F13" s="22">
        <f t="shared" si="2"/>
        <v>9.7838175392068258</v>
      </c>
    </row>
    <row r="14" spans="1:6" x14ac:dyDescent="0.2">
      <c r="A14" s="20">
        <v>10</v>
      </c>
      <c r="B14" s="179" t="s">
        <v>9</v>
      </c>
      <c r="C14" s="180"/>
      <c r="D14" s="15">
        <f t="shared" si="0"/>
        <v>0</v>
      </c>
      <c r="E14" s="18">
        <f t="shared" si="1"/>
        <v>0</v>
      </c>
      <c r="F14" s="22" t="str">
        <f t="shared" si="2"/>
        <v/>
      </c>
    </row>
    <row r="15" spans="1:6" x14ac:dyDescent="0.2">
      <c r="A15" s="20">
        <v>11</v>
      </c>
      <c r="B15" s="179" t="s">
        <v>10</v>
      </c>
      <c r="C15" s="180"/>
      <c r="D15" s="15">
        <f t="shared" si="0"/>
        <v>17024</v>
      </c>
      <c r="E15" s="18">
        <f t="shared" si="1"/>
        <v>159658.06901587485</v>
      </c>
      <c r="F15" s="22">
        <f t="shared" si="2"/>
        <v>9.3784110089212191</v>
      </c>
    </row>
    <row r="16" spans="1:6" ht="14.25" customHeight="1" x14ac:dyDescent="0.2">
      <c r="A16" s="20">
        <v>12</v>
      </c>
      <c r="B16" s="179" t="s">
        <v>11</v>
      </c>
      <c r="C16" s="180"/>
      <c r="D16" s="15">
        <f t="shared" si="0"/>
        <v>103680</v>
      </c>
      <c r="E16" s="18">
        <f t="shared" si="1"/>
        <v>1065087.8564124708</v>
      </c>
      <c r="F16" s="22">
        <f t="shared" si="2"/>
        <v>10.272838121262257</v>
      </c>
    </row>
    <row r="17" spans="1:6" x14ac:dyDescent="0.2">
      <c r="A17" s="20">
        <v>13</v>
      </c>
      <c r="B17" s="179" t="s">
        <v>12</v>
      </c>
      <c r="C17" s="180"/>
      <c r="D17" s="15">
        <f t="shared" si="0"/>
        <v>9332</v>
      </c>
      <c r="E17" s="18">
        <f t="shared" si="1"/>
        <v>94400.244599162601</v>
      </c>
      <c r="F17" s="22">
        <f t="shared" si="2"/>
        <v>10.11575702948592</v>
      </c>
    </row>
    <row r="18" spans="1:6" ht="14.25" customHeight="1" x14ac:dyDescent="0.2">
      <c r="A18" s="20">
        <v>14</v>
      </c>
      <c r="B18" s="179" t="s">
        <v>804</v>
      </c>
      <c r="C18" s="180"/>
      <c r="D18" s="15">
        <f t="shared" si="0"/>
        <v>148944</v>
      </c>
      <c r="E18" s="18">
        <f t="shared" si="1"/>
        <v>1527797.4534481005</v>
      </c>
      <c r="F18" s="22">
        <f t="shared" si="2"/>
        <v>10.257529363036447</v>
      </c>
    </row>
    <row r="19" spans="1:6" x14ac:dyDescent="0.2">
      <c r="A19" s="20">
        <v>15</v>
      </c>
      <c r="B19" s="179" t="s">
        <v>13</v>
      </c>
      <c r="C19" s="180"/>
      <c r="D19" s="15">
        <f t="shared" si="0"/>
        <v>0</v>
      </c>
      <c r="E19" s="18">
        <f t="shared" si="1"/>
        <v>0</v>
      </c>
      <c r="F19" s="22" t="str">
        <f t="shared" si="2"/>
        <v/>
      </c>
    </row>
    <row r="20" spans="1:6" x14ac:dyDescent="0.2">
      <c r="A20" s="20">
        <v>16</v>
      </c>
      <c r="B20" s="179" t="s">
        <v>14</v>
      </c>
      <c r="C20" s="180"/>
      <c r="D20" s="15">
        <f t="shared" si="0"/>
        <v>27476</v>
      </c>
      <c r="E20" s="18">
        <f t="shared" si="1"/>
        <v>274392.84447134502</v>
      </c>
      <c r="F20" s="22">
        <f t="shared" si="2"/>
        <v>9.9866372278113626</v>
      </c>
    </row>
    <row r="21" spans="1:6" x14ac:dyDescent="0.2">
      <c r="A21" s="20">
        <v>17</v>
      </c>
      <c r="B21" s="179" t="s">
        <v>15</v>
      </c>
      <c r="C21" s="180"/>
      <c r="D21" s="15">
        <f t="shared" si="0"/>
        <v>0</v>
      </c>
      <c r="E21" s="18">
        <f t="shared" si="1"/>
        <v>0</v>
      </c>
      <c r="F21" s="22" t="str">
        <f t="shared" si="2"/>
        <v/>
      </c>
    </row>
    <row r="22" spans="1:6" x14ac:dyDescent="0.2">
      <c r="A22" s="20">
        <v>18</v>
      </c>
      <c r="B22" s="179" t="s">
        <v>16</v>
      </c>
      <c r="C22" s="180"/>
      <c r="D22" s="15">
        <f t="shared" si="0"/>
        <v>286928</v>
      </c>
      <c r="E22" s="18">
        <f t="shared" si="1"/>
        <v>2962849.8549451912</v>
      </c>
      <c r="F22" s="22">
        <f t="shared" si="2"/>
        <v>10.326109180509365</v>
      </c>
    </row>
    <row r="23" spans="1:6" x14ac:dyDescent="0.2">
      <c r="A23" s="20">
        <v>19</v>
      </c>
      <c r="B23" s="179" t="s">
        <v>17</v>
      </c>
      <c r="C23" s="180"/>
      <c r="D23" s="15">
        <f t="shared" si="0"/>
        <v>30368</v>
      </c>
      <c r="E23" s="18">
        <f t="shared" si="1"/>
        <v>311150.53664673911</v>
      </c>
      <c r="F23" s="22">
        <f t="shared" si="2"/>
        <v>10.246000284731926</v>
      </c>
    </row>
    <row r="24" spans="1:6" x14ac:dyDescent="0.2">
      <c r="A24" s="20">
        <v>20</v>
      </c>
      <c r="B24" s="179" t="s">
        <v>18</v>
      </c>
      <c r="C24" s="180"/>
      <c r="D24" s="15">
        <f t="shared" si="0"/>
        <v>0</v>
      </c>
      <c r="E24" s="18">
        <f t="shared" si="1"/>
        <v>0</v>
      </c>
      <c r="F24" s="22" t="str">
        <f t="shared" si="2"/>
        <v/>
      </c>
    </row>
    <row r="25" spans="1:6" ht="14.25" customHeight="1" x14ac:dyDescent="0.2">
      <c r="A25" s="20">
        <v>21</v>
      </c>
      <c r="B25" s="179" t="s">
        <v>801</v>
      </c>
      <c r="C25" s="180"/>
      <c r="D25" s="15">
        <f t="shared" si="0"/>
        <v>1800</v>
      </c>
      <c r="E25" s="18">
        <f t="shared" si="1"/>
        <v>11491.924590494285</v>
      </c>
      <c r="F25" s="22">
        <f t="shared" si="2"/>
        <v>6.3844025502746033</v>
      </c>
    </row>
    <row r="26" spans="1:6" x14ac:dyDescent="0.2">
      <c r="A26" s="20">
        <v>22</v>
      </c>
      <c r="B26" s="179" t="s">
        <v>19</v>
      </c>
      <c r="C26" s="180"/>
      <c r="D26" s="15">
        <f t="shared" si="0"/>
        <v>1440</v>
      </c>
      <c r="E26" s="18">
        <f t="shared" si="1"/>
        <v>14871.539672395429</v>
      </c>
      <c r="F26" s="22">
        <f t="shared" si="2"/>
        <v>10.327458105830159</v>
      </c>
    </row>
    <row r="27" spans="1:6" x14ac:dyDescent="0.2">
      <c r="A27" s="20">
        <v>23</v>
      </c>
      <c r="B27" s="179" t="s">
        <v>20</v>
      </c>
      <c r="C27" s="180"/>
      <c r="D27" s="15">
        <f t="shared" si="0"/>
        <v>17808</v>
      </c>
      <c r="E27" s="18">
        <f t="shared" si="1"/>
        <v>183902.44061529014</v>
      </c>
      <c r="F27" s="22">
        <f t="shared" si="2"/>
        <v>10.326956458630399</v>
      </c>
    </row>
    <row r="28" spans="1:6" x14ac:dyDescent="0.2">
      <c r="A28" s="20">
        <v>24</v>
      </c>
      <c r="B28" s="179" t="s">
        <v>21</v>
      </c>
      <c r="C28" s="180"/>
      <c r="D28" s="15">
        <f t="shared" si="0"/>
        <v>19968</v>
      </c>
      <c r="E28" s="18">
        <f t="shared" si="1"/>
        <v>202487.75012388328</v>
      </c>
      <c r="F28" s="22">
        <f t="shared" si="2"/>
        <v>10.140612486172039</v>
      </c>
    </row>
    <row r="29" spans="1:6" x14ac:dyDescent="0.2">
      <c r="A29" s="20">
        <v>25</v>
      </c>
      <c r="B29" s="179" t="s">
        <v>22</v>
      </c>
      <c r="C29" s="180"/>
      <c r="D29" s="15">
        <f t="shared" si="0"/>
        <v>154752</v>
      </c>
      <c r="E29" s="18">
        <f t="shared" si="1"/>
        <v>1587714.0634600953</v>
      </c>
      <c r="F29" s="22">
        <f t="shared" si="2"/>
        <v>10.259732109827953</v>
      </c>
    </row>
    <row r="30" spans="1:6" x14ac:dyDescent="0.2">
      <c r="A30" s="20">
        <v>26</v>
      </c>
      <c r="B30" s="179" t="s">
        <v>23</v>
      </c>
      <c r="C30" s="180"/>
      <c r="D30" s="15">
        <f t="shared" si="0"/>
        <v>25784</v>
      </c>
      <c r="E30" s="18">
        <f t="shared" si="1"/>
        <v>262391.43535628036</v>
      </c>
      <c r="F30" s="22">
        <f t="shared" si="2"/>
        <v>10.176521693929583</v>
      </c>
    </row>
    <row r="31" spans="1:6" x14ac:dyDescent="0.2">
      <c r="A31" s="20">
        <v>28</v>
      </c>
      <c r="B31" s="179" t="s">
        <v>24</v>
      </c>
      <c r="C31" s="180"/>
      <c r="D31" s="15">
        <f t="shared" si="0"/>
        <v>52896</v>
      </c>
      <c r="E31" s="18">
        <f t="shared" si="1"/>
        <v>546256.35729932541</v>
      </c>
      <c r="F31" s="22">
        <f t="shared" si="2"/>
        <v>10.326988000970308</v>
      </c>
    </row>
    <row r="32" spans="1:6" ht="15.75" customHeight="1" thickBot="1" x14ac:dyDescent="0.25">
      <c r="A32" s="23">
        <v>29</v>
      </c>
      <c r="B32" s="181" t="s">
        <v>25</v>
      </c>
      <c r="C32" s="182"/>
      <c r="D32" s="24">
        <f t="shared" si="0"/>
        <v>16192</v>
      </c>
      <c r="E32" s="25">
        <f t="shared" si="1"/>
        <v>162799.24609404639</v>
      </c>
      <c r="F32" s="26">
        <f t="shared" si="2"/>
        <v>10.054301265689624</v>
      </c>
    </row>
    <row r="33" spans="1:6" x14ac:dyDescent="0.2">
      <c r="B33" s="31" t="s">
        <v>35</v>
      </c>
      <c r="C33" s="31"/>
      <c r="D33" s="61">
        <f>SUM(D5:D32)</f>
        <v>1250532</v>
      </c>
      <c r="E33" s="32">
        <f>SUM(E5:E32)</f>
        <v>12737776.689999999</v>
      </c>
      <c r="F33" s="33">
        <f t="shared" si="2"/>
        <v>10.185886238816758</v>
      </c>
    </row>
    <row r="34" spans="1:6" ht="15" thickBot="1" x14ac:dyDescent="0.25"/>
    <row r="35" spans="1:6" ht="29.25" customHeight="1" x14ac:dyDescent="0.2">
      <c r="A35" s="27" t="s">
        <v>26</v>
      </c>
      <c r="B35" s="189" t="s">
        <v>806</v>
      </c>
      <c r="C35" s="190"/>
      <c r="D35" s="29" t="s">
        <v>27</v>
      </c>
      <c r="E35" s="29" t="s">
        <v>802</v>
      </c>
      <c r="F35" s="30" t="s">
        <v>803</v>
      </c>
    </row>
    <row r="36" spans="1:6" x14ac:dyDescent="0.2">
      <c r="A36" s="20">
        <v>1</v>
      </c>
      <c r="B36" s="179" t="s">
        <v>0</v>
      </c>
      <c r="C36" s="180"/>
      <c r="D36" s="15">
        <f>IF(F3="1",SUMIF(Data!A:A,'56'!$A$2,Data!CU:CU),0)</f>
        <v>1440</v>
      </c>
      <c r="E36" s="16">
        <f>IF(F3="1",SUMIF(Data!$A:$A,'56'!$A$2,Data!IO:IO),0)</f>
        <v>1528</v>
      </c>
      <c r="F36" s="21">
        <f t="shared" ref="F36:F64" si="3">IFERROR(E36/D36,"")</f>
        <v>1.0611111111111111</v>
      </c>
    </row>
    <row r="37" spans="1:6" x14ac:dyDescent="0.2">
      <c r="A37" s="20">
        <v>2</v>
      </c>
      <c r="B37" s="179" t="s">
        <v>1</v>
      </c>
      <c r="C37" s="180"/>
      <c r="D37" s="15">
        <f>IF(F3="1",SUMIF(Data!A:A,'56'!$A$2,Data!CV:CV),0)</f>
        <v>10688</v>
      </c>
      <c r="E37" s="18">
        <f>IF(F3="1",SUMIF(Data!$A:$A,'56'!$A$2,Data!IP:IP),0)</f>
        <v>0</v>
      </c>
      <c r="F37" s="22">
        <f t="shared" si="3"/>
        <v>0</v>
      </c>
    </row>
    <row r="38" spans="1:6" ht="14.25" customHeight="1" x14ac:dyDescent="0.2">
      <c r="A38" s="20">
        <v>3</v>
      </c>
      <c r="B38" s="179" t="s">
        <v>2</v>
      </c>
      <c r="C38" s="180"/>
      <c r="D38" s="15">
        <f>IF(F3="1",SUMIF(Data!A:A,'56'!$A$2,Data!CW:CW),0)</f>
        <v>175728</v>
      </c>
      <c r="E38" s="18">
        <f>IF(F3="1",SUMIF(Data!$A:$A,'56'!$A$2,Data!IQ:IQ),0)</f>
        <v>179123</v>
      </c>
      <c r="F38" s="22">
        <f t="shared" si="3"/>
        <v>1.0193196303377947</v>
      </c>
    </row>
    <row r="39" spans="1:6" ht="14.25" customHeight="1" x14ac:dyDescent="0.2">
      <c r="A39" s="20">
        <v>4</v>
      </c>
      <c r="B39" s="179" t="s">
        <v>3</v>
      </c>
      <c r="C39" s="180"/>
      <c r="D39" s="15">
        <f>IF(F3="1",SUMIF(Data!A:A,'56'!$A$2,Data!CX:CX),0)</f>
        <v>61272</v>
      </c>
      <c r="E39" s="18">
        <f>IF(F3="1",SUMIF(Data!$A:$A,'56'!$A$2,Data!IR:IR),0)</f>
        <v>63900</v>
      </c>
      <c r="F39" s="22">
        <f t="shared" si="3"/>
        <v>1.0428907168037602</v>
      </c>
    </row>
    <row r="40" spans="1:6" x14ac:dyDescent="0.2">
      <c r="A40" s="20">
        <v>5</v>
      </c>
      <c r="B40" s="179" t="s">
        <v>4</v>
      </c>
      <c r="C40" s="180"/>
      <c r="D40" s="15">
        <f>IF(F3="1",SUMIF(Data!A:A,'56'!$A$2,Data!CY:CY),0)</f>
        <v>0</v>
      </c>
      <c r="E40" s="18">
        <f>IF(F3="1",SUMIF(Data!$A:$A,'56'!$A$2,Data!IS:IS),0)</f>
        <v>0</v>
      </c>
      <c r="F40" s="22" t="str">
        <f t="shared" si="3"/>
        <v/>
      </c>
    </row>
    <row r="41" spans="1:6" x14ac:dyDescent="0.2">
      <c r="A41" s="20">
        <v>6</v>
      </c>
      <c r="B41" s="179" t="s">
        <v>5</v>
      </c>
      <c r="C41" s="180"/>
      <c r="D41" s="15">
        <f>IF(F3="1",SUMIF(Data!A:A,'56'!$A$2,Data!CZ:CZ),0)</f>
        <v>0</v>
      </c>
      <c r="E41" s="18">
        <f>IF(F3="1",SUMIF(Data!$A:$A,'56'!$A$2,Data!IT:IT),0)</f>
        <v>0</v>
      </c>
      <c r="F41" s="22" t="str">
        <f t="shared" si="3"/>
        <v/>
      </c>
    </row>
    <row r="42" spans="1:6" x14ac:dyDescent="0.2">
      <c r="A42" s="20">
        <v>7</v>
      </c>
      <c r="B42" s="179" t="s">
        <v>6</v>
      </c>
      <c r="C42" s="180"/>
      <c r="D42" s="15">
        <f>IF(F3="1",SUMIF(Data!A:A,'56'!$A$2,Data!DA:DA),0)</f>
        <v>48552</v>
      </c>
      <c r="E42" s="18">
        <f>IF(F3="1",SUMIF(Data!$A:$A,'56'!$A$2,Data!IU:IU),0)</f>
        <v>49643</v>
      </c>
      <c r="F42" s="22">
        <f t="shared" si="3"/>
        <v>1.0224707530070851</v>
      </c>
    </row>
    <row r="43" spans="1:6" x14ac:dyDescent="0.2">
      <c r="A43" s="20">
        <v>8</v>
      </c>
      <c r="B43" s="179" t="s">
        <v>7</v>
      </c>
      <c r="C43" s="180"/>
      <c r="D43" s="15">
        <f>IF(F3="1",SUMIF(Data!A:A,'56'!$A$2,Data!DB:DB),0)</f>
        <v>512</v>
      </c>
      <c r="E43" s="18">
        <f>IF(F3="1",SUMIF(Data!$A:$A,'56'!$A$2,Data!IV:IV),0)</f>
        <v>543</v>
      </c>
      <c r="F43" s="22">
        <f t="shared" si="3"/>
        <v>1.060546875</v>
      </c>
    </row>
    <row r="44" spans="1:6" x14ac:dyDescent="0.2">
      <c r="A44" s="20">
        <v>9</v>
      </c>
      <c r="B44" s="179" t="s">
        <v>8</v>
      </c>
      <c r="C44" s="180"/>
      <c r="D44" s="15">
        <f>IF(F3="1",SUMIF(Data!A:A,'56'!$A$2,Data!DC:DC),0)</f>
        <v>37948</v>
      </c>
      <c r="E44" s="18">
        <f>IF(F3="1",SUMIF(Data!$A:$A,'56'!$A$2,Data!IW:IW),0)</f>
        <v>34708</v>
      </c>
      <c r="F44" s="22">
        <f t="shared" si="3"/>
        <v>0.91462000632444396</v>
      </c>
    </row>
    <row r="45" spans="1:6" x14ac:dyDescent="0.2">
      <c r="A45" s="20">
        <v>10</v>
      </c>
      <c r="B45" s="179" t="s">
        <v>9</v>
      </c>
      <c r="C45" s="180"/>
      <c r="D45" s="15">
        <f>IF(F3="1",SUMIF(Data!A:A,'56'!$A$2,Data!DD:DD),0)</f>
        <v>0</v>
      </c>
      <c r="E45" s="18">
        <f>IF(F3="1",SUMIF(Data!$A:$A,'56'!$A$2,Data!IX:IX),0)</f>
        <v>0</v>
      </c>
      <c r="F45" s="22" t="str">
        <f t="shared" si="3"/>
        <v/>
      </c>
    </row>
    <row r="46" spans="1:6" x14ac:dyDescent="0.2">
      <c r="A46" s="20">
        <v>11</v>
      </c>
      <c r="B46" s="179" t="s">
        <v>10</v>
      </c>
      <c r="C46" s="180"/>
      <c r="D46" s="15">
        <f>IF(F3="1",SUMIF(Data!A:A,'56'!$A$2,Data!DE:DE),0)</f>
        <v>17024</v>
      </c>
      <c r="E46" s="18">
        <f>IF(F3="1",SUMIF(Data!$A:$A,'56'!$A$2,Data!IY:IY),0)</f>
        <v>13713</v>
      </c>
      <c r="F46" s="22">
        <f t="shared" si="3"/>
        <v>0.80550986842105265</v>
      </c>
    </row>
    <row r="47" spans="1:6" ht="14.25" customHeight="1" x14ac:dyDescent="0.2">
      <c r="A47" s="20">
        <v>12</v>
      </c>
      <c r="B47" s="179" t="s">
        <v>11</v>
      </c>
      <c r="C47" s="180"/>
      <c r="D47" s="15">
        <f>IF(F3="1",SUMIF(Data!A:A,'56'!$A$2,Data!DF:DF),0)</f>
        <v>103680</v>
      </c>
      <c r="E47" s="18">
        <f>IF(F3="1",SUMIF(Data!$A:$A,'56'!$A$2,Data!IZ:IZ),0)</f>
        <v>108468</v>
      </c>
      <c r="F47" s="22">
        <f t="shared" si="3"/>
        <v>1.0461805555555554</v>
      </c>
    </row>
    <row r="48" spans="1:6" x14ac:dyDescent="0.2">
      <c r="A48" s="20">
        <v>13</v>
      </c>
      <c r="B48" s="179" t="s">
        <v>12</v>
      </c>
      <c r="C48" s="180"/>
      <c r="D48" s="15">
        <f>IF(F3="1",SUMIF(Data!A:A,'56'!$A$2,Data!DG:DG),0)</f>
        <v>9332</v>
      </c>
      <c r="E48" s="18">
        <f>IF(F3="1",SUMIF(Data!$A:$A,'56'!$A$2,Data!JA:JA),0)</f>
        <v>9369</v>
      </c>
      <c r="F48" s="22">
        <f t="shared" si="3"/>
        <v>1.0039648521217317</v>
      </c>
    </row>
    <row r="49" spans="1:6" ht="14.25" customHeight="1" x14ac:dyDescent="0.2">
      <c r="A49" s="20">
        <v>14</v>
      </c>
      <c r="B49" s="179" t="s">
        <v>804</v>
      </c>
      <c r="C49" s="180"/>
      <c r="D49" s="15">
        <f>IF(F3="1",SUMIF(Data!A:A,'56'!$A$2,Data!DH:DH),0)</f>
        <v>148944</v>
      </c>
      <c r="E49" s="18">
        <f>IF(F3="1",SUMIF(Data!$A:$A,'56'!$A$2,Data!JB:JB),0)</f>
        <v>155210</v>
      </c>
      <c r="F49" s="22">
        <f t="shared" si="3"/>
        <v>1.0420695026318616</v>
      </c>
    </row>
    <row r="50" spans="1:6" x14ac:dyDescent="0.2">
      <c r="A50" s="20">
        <v>15</v>
      </c>
      <c r="B50" s="179" t="s">
        <v>13</v>
      </c>
      <c r="C50" s="180"/>
      <c r="D50" s="15">
        <f>IF(F3="1",SUMIF(Data!A:A,'56'!$A$2,Data!DI:DI),0)</f>
        <v>0</v>
      </c>
      <c r="E50" s="18">
        <f>IF(F3="1",SUMIF(Data!$A:$A,'56'!$A$2,Data!JC:JC),0)</f>
        <v>0</v>
      </c>
      <c r="F50" s="22" t="str">
        <f t="shared" si="3"/>
        <v/>
      </c>
    </row>
    <row r="51" spans="1:6" x14ac:dyDescent="0.2">
      <c r="A51" s="20">
        <v>16</v>
      </c>
      <c r="B51" s="179" t="s">
        <v>14</v>
      </c>
      <c r="C51" s="180"/>
      <c r="D51" s="15">
        <f>IF(F3="1",SUMIF(Data!A:A,'56'!$A$2,Data!DJ:DJ),0)</f>
        <v>27476</v>
      </c>
      <c r="E51" s="18">
        <f>IF(F3="1",SUMIF(Data!$A:$A,'56'!$A$2,Data!JD:JD),0)</f>
        <v>26630</v>
      </c>
      <c r="F51" s="22">
        <f t="shared" si="3"/>
        <v>0.96920949192022132</v>
      </c>
    </row>
    <row r="52" spans="1:6" x14ac:dyDescent="0.2">
      <c r="A52" s="20">
        <v>17</v>
      </c>
      <c r="B52" s="179" t="s">
        <v>15</v>
      </c>
      <c r="C52" s="180"/>
      <c r="D52" s="15">
        <f>IF(F3="1",SUMIF(Data!A:A,'56'!$A$2,Data!DK:DK),0)</f>
        <v>0</v>
      </c>
      <c r="E52" s="18">
        <f>IF(F3="1",SUMIF(Data!$A:$A,'56'!$A$2,Data!JE:JE),0)</f>
        <v>0</v>
      </c>
      <c r="F52" s="22" t="str">
        <f t="shared" si="3"/>
        <v/>
      </c>
    </row>
    <row r="53" spans="1:6" x14ac:dyDescent="0.2">
      <c r="A53" s="20">
        <v>18</v>
      </c>
      <c r="B53" s="179" t="s">
        <v>16</v>
      </c>
      <c r="C53" s="180"/>
      <c r="D53" s="15">
        <f>IF(F3="1",SUMIF(Data!A:A,'56'!$A$2,Data!DL:DL),0)</f>
        <v>286928</v>
      </c>
      <c r="E53" s="18">
        <f>IF(F3="1",SUMIF(Data!$A:$A,'56'!$A$2,Data!JF:JF),0)</f>
        <v>304293</v>
      </c>
      <c r="F53" s="22">
        <f t="shared" si="3"/>
        <v>1.0605204093012881</v>
      </c>
    </row>
    <row r="54" spans="1:6" x14ac:dyDescent="0.2">
      <c r="A54" s="20">
        <v>19</v>
      </c>
      <c r="B54" s="179" t="s">
        <v>17</v>
      </c>
      <c r="C54" s="180"/>
      <c r="D54" s="15">
        <f>IF(F3="1",SUMIF(Data!A:A,'56'!$A$2,Data!DM:DM),0)</f>
        <v>30368</v>
      </c>
      <c r="E54" s="18">
        <f>IF(F3="1",SUMIF(Data!$A:$A,'56'!$A$2,Data!JG:JG),0)</f>
        <v>31552</v>
      </c>
      <c r="F54" s="22">
        <f t="shared" si="3"/>
        <v>1.0389884088514225</v>
      </c>
    </row>
    <row r="55" spans="1:6" x14ac:dyDescent="0.2">
      <c r="A55" s="20">
        <v>20</v>
      </c>
      <c r="B55" s="179" t="s">
        <v>18</v>
      </c>
      <c r="C55" s="180"/>
      <c r="D55" s="15">
        <f>IF(F3="1",SUMIF(Data!A:A,'56'!$A$2,Data!DN:DN),0)</f>
        <v>0</v>
      </c>
      <c r="E55" s="18">
        <f>IF(F3="1",SUMIF(Data!$A:$A,'56'!$A$2,Data!JH:JH),0)</f>
        <v>0</v>
      </c>
      <c r="F55" s="22" t="str">
        <f t="shared" si="3"/>
        <v/>
      </c>
    </row>
    <row r="56" spans="1:6" ht="14.25" customHeight="1" x14ac:dyDescent="0.2">
      <c r="A56" s="20">
        <v>21</v>
      </c>
      <c r="B56" s="179" t="s">
        <v>801</v>
      </c>
      <c r="C56" s="180"/>
      <c r="D56" s="15">
        <f>IF(F3="1",SUMIF(Data!A:A,'56'!$A$2,Data!DO:DO),0)</f>
        <v>1800</v>
      </c>
      <c r="E56" s="18">
        <f>IF(F3="1",SUMIF(Data!$A:$A,'56'!$A$2,Data!JI:JI),0)</f>
        <v>0</v>
      </c>
      <c r="F56" s="22">
        <f t="shared" si="3"/>
        <v>0</v>
      </c>
    </row>
    <row r="57" spans="1:6" x14ac:dyDescent="0.2">
      <c r="A57" s="20">
        <v>22</v>
      </c>
      <c r="B57" s="179" t="s">
        <v>19</v>
      </c>
      <c r="C57" s="180"/>
      <c r="D57" s="15">
        <f>IF(F3="1",SUMIF(Data!A:A,'56'!$A$2,Data!DP:DP),0)</f>
        <v>1440</v>
      </c>
      <c r="E57" s="18">
        <f>IF(F3="1",SUMIF(Data!$A:$A,'56'!$A$2,Data!JJ:JJ),0)</f>
        <v>1528</v>
      </c>
      <c r="F57" s="22">
        <f t="shared" si="3"/>
        <v>1.0611111111111111</v>
      </c>
    </row>
    <row r="58" spans="1:6" x14ac:dyDescent="0.2">
      <c r="A58" s="20">
        <v>23</v>
      </c>
      <c r="B58" s="179" t="s">
        <v>20</v>
      </c>
      <c r="C58" s="180"/>
      <c r="D58" s="15">
        <f>IF(F3="1",SUMIF(Data!A:A,'56'!$A$2,Data!DQ:DQ),0)</f>
        <v>17808</v>
      </c>
      <c r="E58" s="18">
        <f>IF(F3="1",SUMIF(Data!$A:$A,'56'!$A$2,Data!JK:JK),0)</f>
        <v>18889</v>
      </c>
      <c r="F58" s="22">
        <f t="shared" si="3"/>
        <v>1.0607030548068284</v>
      </c>
    </row>
    <row r="59" spans="1:6" x14ac:dyDescent="0.2">
      <c r="A59" s="20">
        <v>24</v>
      </c>
      <c r="B59" s="179" t="s">
        <v>21</v>
      </c>
      <c r="C59" s="180"/>
      <c r="D59" s="15">
        <f>IF(F3="1",SUMIF(Data!A:A,'56'!$A$2,Data!DR:DR),0)</f>
        <v>19968</v>
      </c>
      <c r="E59" s="18">
        <f>IF(F3="1",SUMIF(Data!$A:$A,'56'!$A$2,Data!JL:JL),0)</f>
        <v>20180</v>
      </c>
      <c r="F59" s="22">
        <f t="shared" si="3"/>
        <v>1.0106169871794872</v>
      </c>
    </row>
    <row r="60" spans="1:6" x14ac:dyDescent="0.2">
      <c r="A60" s="20">
        <v>25</v>
      </c>
      <c r="B60" s="179" t="s">
        <v>22</v>
      </c>
      <c r="C60" s="180"/>
      <c r="D60" s="15">
        <f>IF(F3="1",SUMIF(Data!A:A,'56'!$A$2,Data!DS:DS),0)</f>
        <v>154752</v>
      </c>
      <c r="E60" s="18">
        <f>IF(F3="1",SUMIF(Data!$A:$A,'56'!$A$2,Data!JM:JM),0)</f>
        <v>161354</v>
      </c>
      <c r="F60" s="22">
        <f t="shared" si="3"/>
        <v>1.0426618072787428</v>
      </c>
    </row>
    <row r="61" spans="1:6" x14ac:dyDescent="0.2">
      <c r="A61" s="20">
        <v>26</v>
      </c>
      <c r="B61" s="179" t="s">
        <v>23</v>
      </c>
      <c r="C61" s="180"/>
      <c r="D61" s="15">
        <f>IF(F3="1",SUMIF(Data!A:A,'56'!$A$2,Data!DT:DT),0)</f>
        <v>25784</v>
      </c>
      <c r="E61" s="18">
        <f>IF(F3="1",SUMIF(Data!$A:$A,'56'!$A$2,Data!JN:JN),0)</f>
        <v>26307</v>
      </c>
      <c r="F61" s="22">
        <f t="shared" si="3"/>
        <v>1.0202838969903816</v>
      </c>
    </row>
    <row r="62" spans="1:6" x14ac:dyDescent="0.2">
      <c r="A62" s="20">
        <v>28</v>
      </c>
      <c r="B62" s="179" t="s">
        <v>24</v>
      </c>
      <c r="C62" s="180"/>
      <c r="D62" s="15">
        <f>IF(F3="1",SUMIF(Data!A:A,'56'!$A$2,Data!DV:DV),0)</f>
        <v>52896</v>
      </c>
      <c r="E62" s="18">
        <f>IF(F3="1",SUMIF(Data!$A:$A,'56'!$A$2,Data!JP:JP),0)</f>
        <v>56110</v>
      </c>
      <c r="F62" s="22">
        <f t="shared" si="3"/>
        <v>1.0607607380520265</v>
      </c>
    </row>
    <row r="63" spans="1:6" ht="15.75" customHeight="1" thickBot="1" x14ac:dyDescent="0.25">
      <c r="A63" s="23">
        <v>29</v>
      </c>
      <c r="B63" s="181" t="s">
        <v>25</v>
      </c>
      <c r="C63" s="182"/>
      <c r="D63" s="24">
        <f>IF(F3="1",SUMIF(Data!A:A,'56'!$A$2,Data!DW:DW),0)</f>
        <v>16192</v>
      </c>
      <c r="E63" s="25">
        <f>IF(F3="1",SUMIF(Data!$A:$A,'56'!$A$2,Data!JQ:JQ),0)</f>
        <v>15988</v>
      </c>
      <c r="F63" s="26">
        <f t="shared" si="3"/>
        <v>0.98740118577075098</v>
      </c>
    </row>
    <row r="64" spans="1:6" x14ac:dyDescent="0.2">
      <c r="B64" s="31" t="s">
        <v>35</v>
      </c>
      <c r="C64" s="31"/>
      <c r="D64" s="61">
        <f>SUM(D36:D63)</f>
        <v>1250532</v>
      </c>
      <c r="E64" s="32">
        <f>SUM(E36:E63)</f>
        <v>1279036</v>
      </c>
      <c r="F64" s="33">
        <f t="shared" si="3"/>
        <v>1.0227934990867886</v>
      </c>
    </row>
    <row r="65" spans="1:6" ht="15" thickBot="1" x14ac:dyDescent="0.25"/>
    <row r="66" spans="1:6" ht="29.25" customHeight="1" x14ac:dyDescent="0.2">
      <c r="A66" s="27" t="s">
        <v>26</v>
      </c>
      <c r="B66" s="189" t="s">
        <v>807</v>
      </c>
      <c r="C66" s="190"/>
      <c r="D66" s="29" t="s">
        <v>27</v>
      </c>
      <c r="E66" s="29" t="s">
        <v>802</v>
      </c>
      <c r="F66" s="30" t="s">
        <v>803</v>
      </c>
    </row>
    <row r="67" spans="1:6" x14ac:dyDescent="0.2">
      <c r="A67" s="20">
        <v>1</v>
      </c>
      <c r="B67" s="179" t="s">
        <v>0</v>
      </c>
      <c r="C67" s="180"/>
      <c r="D67" s="15">
        <f>D36</f>
        <v>1440</v>
      </c>
      <c r="E67" s="16">
        <f>IF(F3="1",SUMIF(Data!A:A,'56'!$A$2,Data!DY:DY),0)</f>
        <v>4150</v>
      </c>
      <c r="F67" s="21">
        <f>IFERROR(E67/D67,"")</f>
        <v>2.8819444444444446</v>
      </c>
    </row>
    <row r="68" spans="1:6" x14ac:dyDescent="0.2">
      <c r="A68" s="20">
        <v>2</v>
      </c>
      <c r="B68" s="179" t="s">
        <v>1</v>
      </c>
      <c r="C68" s="180"/>
      <c r="D68" s="15">
        <f t="shared" ref="D68:D94" si="4">D37</f>
        <v>10688</v>
      </c>
      <c r="E68" s="18">
        <f>IF(F3="1",SUMIF(Data!A:A,'56'!$A$2,Data!DZ:DZ),0)</f>
        <v>0</v>
      </c>
      <c r="F68" s="22">
        <f t="shared" ref="F68:F95" si="5">IFERROR(E68/D68,"")</f>
        <v>0</v>
      </c>
    </row>
    <row r="69" spans="1:6" ht="14.25" customHeight="1" x14ac:dyDescent="0.2">
      <c r="A69" s="20">
        <v>3</v>
      </c>
      <c r="B69" s="179" t="s">
        <v>2</v>
      </c>
      <c r="C69" s="180"/>
      <c r="D69" s="15">
        <f t="shared" si="4"/>
        <v>175728</v>
      </c>
      <c r="E69" s="18">
        <f>IF(F3="1",SUMIF(Data!A:A,'56'!$A$2,Data!EA:EA),0)</f>
        <v>486637</v>
      </c>
      <c r="F69" s="22">
        <f t="shared" si="5"/>
        <v>2.7692627242101429</v>
      </c>
    </row>
    <row r="70" spans="1:6" ht="14.25" customHeight="1" x14ac:dyDescent="0.2">
      <c r="A70" s="20">
        <v>4</v>
      </c>
      <c r="B70" s="179" t="s">
        <v>3</v>
      </c>
      <c r="C70" s="180"/>
      <c r="D70" s="15">
        <f t="shared" si="4"/>
        <v>61272</v>
      </c>
      <c r="E70" s="18">
        <f>IF(F3="1",SUMIF(Data!A:A,'56'!$A$2,Data!EB:EB),0)</f>
        <v>173601</v>
      </c>
      <c r="F70" s="22">
        <f t="shared" si="5"/>
        <v>2.8332843713278497</v>
      </c>
    </row>
    <row r="71" spans="1:6" x14ac:dyDescent="0.2">
      <c r="A71" s="20">
        <v>5</v>
      </c>
      <c r="B71" s="179" t="s">
        <v>4</v>
      </c>
      <c r="C71" s="180"/>
      <c r="D71" s="15">
        <f t="shared" si="4"/>
        <v>0</v>
      </c>
      <c r="E71" s="18">
        <f>IF(F3="1",SUMIF(Data!A:A,'56'!$A$2,Data!EC:EC),0)</f>
        <v>0</v>
      </c>
      <c r="F71" s="22" t="str">
        <f t="shared" si="5"/>
        <v/>
      </c>
    </row>
    <row r="72" spans="1:6" x14ac:dyDescent="0.2">
      <c r="A72" s="20">
        <v>6</v>
      </c>
      <c r="B72" s="179" t="s">
        <v>5</v>
      </c>
      <c r="C72" s="180"/>
      <c r="D72" s="15">
        <f t="shared" si="4"/>
        <v>0</v>
      </c>
      <c r="E72" s="18">
        <f>IF(F3="1",SUMIF(Data!A:A,'56'!$A$2,Data!ED:ED),0)</f>
        <v>0</v>
      </c>
      <c r="F72" s="22" t="str">
        <f t="shared" si="5"/>
        <v/>
      </c>
    </row>
    <row r="73" spans="1:6" x14ac:dyDescent="0.2">
      <c r="A73" s="20">
        <v>7</v>
      </c>
      <c r="B73" s="179" t="s">
        <v>6</v>
      </c>
      <c r="C73" s="180"/>
      <c r="D73" s="15">
        <f t="shared" si="4"/>
        <v>48552</v>
      </c>
      <c r="E73" s="18">
        <f>IF(F3="1",SUMIF(Data!A:A,'56'!$A$2,Data!EE:EE),0)</f>
        <v>134870</v>
      </c>
      <c r="F73" s="22">
        <f t="shared" si="5"/>
        <v>2.7778464326907235</v>
      </c>
    </row>
    <row r="74" spans="1:6" x14ac:dyDescent="0.2">
      <c r="A74" s="20">
        <v>8</v>
      </c>
      <c r="B74" s="179" t="s">
        <v>7</v>
      </c>
      <c r="C74" s="180"/>
      <c r="D74" s="15">
        <f t="shared" si="4"/>
        <v>512</v>
      </c>
      <c r="E74" s="18">
        <f>IF(F3="1",SUMIF(Data!A:A,'56'!$A$2,Data!EF:EF),0)</f>
        <v>1476</v>
      </c>
      <c r="F74" s="22">
        <f t="shared" si="5"/>
        <v>2.8828125</v>
      </c>
    </row>
    <row r="75" spans="1:6" x14ac:dyDescent="0.2">
      <c r="A75" s="20">
        <v>9</v>
      </c>
      <c r="B75" s="179" t="s">
        <v>8</v>
      </c>
      <c r="C75" s="180"/>
      <c r="D75" s="15">
        <f t="shared" si="4"/>
        <v>37948</v>
      </c>
      <c r="E75" s="18">
        <f>IF(F3="1",SUMIF(Data!A:A,'56'!$A$2,Data!EG:EG),0)</f>
        <v>94293</v>
      </c>
      <c r="F75" s="22">
        <f t="shared" si="5"/>
        <v>2.4847949826077791</v>
      </c>
    </row>
    <row r="76" spans="1:6" x14ac:dyDescent="0.2">
      <c r="A76" s="20">
        <v>10</v>
      </c>
      <c r="B76" s="179" t="s">
        <v>9</v>
      </c>
      <c r="C76" s="180"/>
      <c r="D76" s="15">
        <f t="shared" si="4"/>
        <v>0</v>
      </c>
      <c r="E76" s="18">
        <f>IF(F3="1",SUMIF(Data!A:A,'56'!$A$2,Data!EH:EH),0)</f>
        <v>0</v>
      </c>
      <c r="F76" s="22" t="str">
        <f t="shared" si="5"/>
        <v/>
      </c>
    </row>
    <row r="77" spans="1:6" x14ac:dyDescent="0.2">
      <c r="A77" s="20">
        <v>11</v>
      </c>
      <c r="B77" s="179" t="s">
        <v>10</v>
      </c>
      <c r="C77" s="180"/>
      <c r="D77" s="15">
        <f t="shared" si="4"/>
        <v>17024</v>
      </c>
      <c r="E77" s="18">
        <f>IF(F3="1",SUMIF(Data!A:A,'56'!$A$2,Data!EI:EI),0)</f>
        <v>37257</v>
      </c>
      <c r="F77" s="22">
        <f t="shared" si="5"/>
        <v>2.188498590225564</v>
      </c>
    </row>
    <row r="78" spans="1:6" ht="14.25" customHeight="1" x14ac:dyDescent="0.2">
      <c r="A78" s="20">
        <v>12</v>
      </c>
      <c r="B78" s="179" t="s">
        <v>11</v>
      </c>
      <c r="C78" s="180"/>
      <c r="D78" s="15">
        <f t="shared" si="4"/>
        <v>103680</v>
      </c>
      <c r="E78" s="18">
        <f>IF(F3="1",SUMIF(Data!A:A,'56'!$A$2,Data!EJ:EJ),0)</f>
        <v>294685</v>
      </c>
      <c r="F78" s="22">
        <f t="shared" si="5"/>
        <v>2.8422550154320989</v>
      </c>
    </row>
    <row r="79" spans="1:6" x14ac:dyDescent="0.2">
      <c r="A79" s="20">
        <v>13</v>
      </c>
      <c r="B79" s="179" t="s">
        <v>12</v>
      </c>
      <c r="C79" s="180"/>
      <c r="D79" s="15">
        <f t="shared" si="4"/>
        <v>9332</v>
      </c>
      <c r="E79" s="18">
        <f>IF(F3="1",SUMIF(Data!A:A,'56'!$A$2,Data!EK:EK),0)</f>
        <v>25452</v>
      </c>
      <c r="F79" s="22">
        <f t="shared" si="5"/>
        <v>2.7273896270895843</v>
      </c>
    </row>
    <row r="80" spans="1:6" ht="14.25" customHeight="1" x14ac:dyDescent="0.2">
      <c r="A80" s="20">
        <v>14</v>
      </c>
      <c r="B80" s="179" t="s">
        <v>804</v>
      </c>
      <c r="C80" s="180"/>
      <c r="D80" s="15">
        <f t="shared" si="4"/>
        <v>148944</v>
      </c>
      <c r="E80" s="18">
        <f>IF(F3="1",SUMIF(Data!A:A,'56'!$A$2,Data!EL:EL),0)</f>
        <v>421669</v>
      </c>
      <c r="F80" s="22">
        <f t="shared" si="5"/>
        <v>2.8310573101299816</v>
      </c>
    </row>
    <row r="81" spans="1:6" x14ac:dyDescent="0.2">
      <c r="A81" s="20">
        <v>15</v>
      </c>
      <c r="B81" s="179" t="s">
        <v>13</v>
      </c>
      <c r="C81" s="180"/>
      <c r="D81" s="15">
        <f t="shared" si="4"/>
        <v>0</v>
      </c>
      <c r="E81" s="18">
        <f>IF(F3="1",SUMIF(Data!A:A,'56'!$A$2,Data!EM:EM),0)</f>
        <v>0</v>
      </c>
      <c r="F81" s="22" t="str">
        <f t="shared" si="5"/>
        <v/>
      </c>
    </row>
    <row r="82" spans="1:6" x14ac:dyDescent="0.2">
      <c r="A82" s="20">
        <v>16</v>
      </c>
      <c r="B82" s="179" t="s">
        <v>14</v>
      </c>
      <c r="C82" s="180"/>
      <c r="D82" s="15">
        <f t="shared" si="4"/>
        <v>27476</v>
      </c>
      <c r="E82" s="18">
        <f>IF(F3="1",SUMIF(Data!A:A,'56'!$A$2,Data!EN:EN),0)</f>
        <v>72345</v>
      </c>
      <c r="F82" s="22">
        <f t="shared" si="5"/>
        <v>2.6330251856165381</v>
      </c>
    </row>
    <row r="83" spans="1:6" x14ac:dyDescent="0.2">
      <c r="A83" s="20">
        <v>17</v>
      </c>
      <c r="B83" s="179" t="s">
        <v>15</v>
      </c>
      <c r="C83" s="180"/>
      <c r="D83" s="15">
        <f t="shared" si="4"/>
        <v>0</v>
      </c>
      <c r="E83" s="18">
        <f>IF(F3="1",SUMIF(Data!A:A,'56'!$A$2,Data!EO:EO),0)</f>
        <v>0</v>
      </c>
      <c r="F83" s="22" t="str">
        <f t="shared" si="5"/>
        <v/>
      </c>
    </row>
    <row r="84" spans="1:6" x14ac:dyDescent="0.2">
      <c r="A84" s="20">
        <v>18</v>
      </c>
      <c r="B84" s="179" t="s">
        <v>16</v>
      </c>
      <c r="C84" s="180"/>
      <c r="D84" s="15">
        <f t="shared" si="4"/>
        <v>286928</v>
      </c>
      <c r="E84" s="18">
        <f>IF(F3="1",SUMIF(Data!A:A,'56'!$A$2,Data!EP:EP),0)</f>
        <v>826693</v>
      </c>
      <c r="F84" s="22">
        <f t="shared" si="5"/>
        <v>2.8811862209334747</v>
      </c>
    </row>
    <row r="85" spans="1:6" x14ac:dyDescent="0.2">
      <c r="A85" s="20">
        <v>19</v>
      </c>
      <c r="B85" s="179" t="s">
        <v>17</v>
      </c>
      <c r="C85" s="180"/>
      <c r="D85" s="15">
        <f t="shared" si="4"/>
        <v>30368</v>
      </c>
      <c r="E85" s="18">
        <f>IF(F3="1",SUMIF(Data!A:A,'56'!$A$2,Data!EQ:EQ),0)</f>
        <v>85717</v>
      </c>
      <c r="F85" s="22">
        <f t="shared" si="5"/>
        <v>2.8226093256059008</v>
      </c>
    </row>
    <row r="86" spans="1:6" x14ac:dyDescent="0.2">
      <c r="A86" s="20">
        <v>20</v>
      </c>
      <c r="B86" s="179" t="s">
        <v>18</v>
      </c>
      <c r="C86" s="180"/>
      <c r="D86" s="15">
        <f t="shared" si="4"/>
        <v>0</v>
      </c>
      <c r="E86" s="18">
        <f>IF(F3="1",SUMIF(Data!A:A,'56'!$A$2,Data!ER:ER),0)</f>
        <v>0</v>
      </c>
      <c r="F86" s="22" t="str">
        <f t="shared" si="5"/>
        <v/>
      </c>
    </row>
    <row r="87" spans="1:6" ht="14.25" customHeight="1" x14ac:dyDescent="0.2">
      <c r="A87" s="20">
        <v>21</v>
      </c>
      <c r="B87" s="179" t="s">
        <v>801</v>
      </c>
      <c r="C87" s="180"/>
      <c r="D87" s="15">
        <f t="shared" si="4"/>
        <v>1800</v>
      </c>
      <c r="E87" s="18">
        <f>IF(F3="1",SUMIF(Data!A:A,'56'!$A$2,Data!ES:ES),0)</f>
        <v>0</v>
      </c>
      <c r="F87" s="22">
        <f t="shared" si="5"/>
        <v>0</v>
      </c>
    </row>
    <row r="88" spans="1:6" x14ac:dyDescent="0.2">
      <c r="A88" s="20">
        <v>22</v>
      </c>
      <c r="B88" s="179" t="s">
        <v>19</v>
      </c>
      <c r="C88" s="180"/>
      <c r="D88" s="15">
        <f t="shared" si="4"/>
        <v>1440</v>
      </c>
      <c r="E88" s="18">
        <f>IF(F3="1",SUMIF(Data!A:A,'56'!$A$2,Data!ET:ET),0)</f>
        <v>4150</v>
      </c>
      <c r="F88" s="22">
        <f t="shared" si="5"/>
        <v>2.8819444444444446</v>
      </c>
    </row>
    <row r="89" spans="1:6" x14ac:dyDescent="0.2">
      <c r="A89" s="20">
        <v>23</v>
      </c>
      <c r="B89" s="179" t="s">
        <v>20</v>
      </c>
      <c r="C89" s="180"/>
      <c r="D89" s="15">
        <f t="shared" si="4"/>
        <v>17808</v>
      </c>
      <c r="E89" s="18">
        <f>IF(F3="1",SUMIF(Data!A:A,'56'!$A$2,Data!EU:EU),0)</f>
        <v>51320</v>
      </c>
      <c r="F89" s="22">
        <f t="shared" si="5"/>
        <v>2.8818508535489666</v>
      </c>
    </row>
    <row r="90" spans="1:6" x14ac:dyDescent="0.2">
      <c r="A90" s="20">
        <v>24</v>
      </c>
      <c r="B90" s="179" t="s">
        <v>21</v>
      </c>
      <c r="C90" s="180"/>
      <c r="D90" s="15">
        <f t="shared" si="4"/>
        <v>19968</v>
      </c>
      <c r="E90" s="18">
        <f>IF(F3="1",SUMIF(Data!A:A,'56'!$A$2,Data!EV:EV),0)</f>
        <v>54824</v>
      </c>
      <c r="F90" s="22">
        <f t="shared" si="5"/>
        <v>2.7455929487179489</v>
      </c>
    </row>
    <row r="91" spans="1:6" x14ac:dyDescent="0.2">
      <c r="A91" s="20">
        <v>25</v>
      </c>
      <c r="B91" s="179" t="s">
        <v>22</v>
      </c>
      <c r="C91" s="180"/>
      <c r="D91" s="15">
        <f t="shared" si="4"/>
        <v>154752</v>
      </c>
      <c r="E91" s="18">
        <f>IF(F3="1",SUMIF(Data!A:A,'56'!$A$2,Data!EW:EW),0)</f>
        <v>438361</v>
      </c>
      <c r="F91" s="22">
        <f t="shared" si="5"/>
        <v>2.8326677522746073</v>
      </c>
    </row>
    <row r="92" spans="1:6" x14ac:dyDescent="0.2">
      <c r="A92" s="20">
        <v>26</v>
      </c>
      <c r="B92" s="179" t="s">
        <v>23</v>
      </c>
      <c r="C92" s="180"/>
      <c r="D92" s="15">
        <f t="shared" si="4"/>
        <v>25784</v>
      </c>
      <c r="E92" s="18">
        <f>IF(F3="1",SUMIF(Data!A:A,'56'!$A$2,Data!EX:EX),0)</f>
        <v>71469</v>
      </c>
      <c r="F92" s="22">
        <f t="shared" si="5"/>
        <v>2.7718352466645984</v>
      </c>
    </row>
    <row r="93" spans="1:6" x14ac:dyDescent="0.2">
      <c r="A93" s="20">
        <v>28</v>
      </c>
      <c r="B93" s="179" t="s">
        <v>24</v>
      </c>
      <c r="C93" s="180"/>
      <c r="D93" s="15">
        <f t="shared" si="4"/>
        <v>52896</v>
      </c>
      <c r="E93" s="18">
        <f>IF(F3="1",SUMIF(Data!A:A,'56'!$A$2,Data!EZ:EZ),0)</f>
        <v>152437</v>
      </c>
      <c r="F93" s="22">
        <f t="shared" si="5"/>
        <v>2.8818247126436782</v>
      </c>
    </row>
    <row r="94" spans="1:6" ht="15.75" customHeight="1" thickBot="1" x14ac:dyDescent="0.25">
      <c r="A94" s="23">
        <v>29</v>
      </c>
      <c r="B94" s="181" t="s">
        <v>25</v>
      </c>
      <c r="C94" s="182"/>
      <c r="D94" s="24">
        <f t="shared" si="4"/>
        <v>16192</v>
      </c>
      <c r="E94" s="25">
        <f>IF(F3="1",SUMIF(Data!A:A,'56'!$A$2,Data!FA:FA),0)</f>
        <v>43435</v>
      </c>
      <c r="F94" s="26">
        <f t="shared" si="5"/>
        <v>2.6824975296442686</v>
      </c>
    </row>
    <row r="95" spans="1:6" x14ac:dyDescent="0.2">
      <c r="B95" s="31" t="s">
        <v>35</v>
      </c>
      <c r="C95" s="31"/>
      <c r="D95" s="61">
        <f>SUM(D67:D94)</f>
        <v>1250532</v>
      </c>
      <c r="E95" s="32">
        <f>SUM(E67:E94)</f>
        <v>3474841</v>
      </c>
      <c r="F95" s="33">
        <f t="shared" si="5"/>
        <v>2.7786901894553679</v>
      </c>
    </row>
    <row r="96" spans="1:6" ht="15" thickBot="1" x14ac:dyDescent="0.25"/>
    <row r="97" spans="2:6" ht="29.25" customHeight="1" x14ac:dyDescent="0.2">
      <c r="B97" s="183" t="s">
        <v>808</v>
      </c>
      <c r="C97" s="184"/>
      <c r="D97" s="29" t="s">
        <v>27</v>
      </c>
      <c r="E97" s="34" t="s">
        <v>802</v>
      </c>
      <c r="F97" s="30" t="s">
        <v>803</v>
      </c>
    </row>
    <row r="98" spans="2:6" x14ac:dyDescent="0.2">
      <c r="B98" s="185" t="s">
        <v>30</v>
      </c>
      <c r="C98" s="186"/>
      <c r="D98" s="36"/>
      <c r="E98" s="16">
        <f>IF(F3="1",SUMIF(Data!A:A,'56'!$A$2,Data!AH:AH),0)</f>
        <v>2403464</v>
      </c>
      <c r="F98" s="21">
        <f t="shared" ref="F98:F105" si="6">IFERROR(E98/$D$95,0)</f>
        <v>1.9219532167109679</v>
      </c>
    </row>
    <row r="99" spans="2:6" x14ac:dyDescent="0.2">
      <c r="B99" s="185" t="s">
        <v>31</v>
      </c>
      <c r="C99" s="186"/>
      <c r="D99" s="37"/>
      <c r="E99" s="18">
        <f>IF(F3="1",SUMIF(Data!A:A,'56'!$A$2,Data!AI:AI),0)</f>
        <v>993629</v>
      </c>
      <c r="F99" s="22">
        <f t="shared" si="6"/>
        <v>0.7945650331219033</v>
      </c>
    </row>
    <row r="100" spans="2:6" x14ac:dyDescent="0.2">
      <c r="B100" s="185" t="s">
        <v>32</v>
      </c>
      <c r="C100" s="186"/>
      <c r="D100" s="37"/>
      <c r="E100" s="18">
        <f>IF(F3="1",SUMIF(Data!A:A,'56'!$A$2,Data!AJ:AJ),0)</f>
        <v>2003908</v>
      </c>
      <c r="F100" s="22">
        <f t="shared" si="6"/>
        <v>1.6024443996635032</v>
      </c>
    </row>
    <row r="101" spans="2:6" x14ac:dyDescent="0.2">
      <c r="B101" s="185" t="s">
        <v>28</v>
      </c>
      <c r="C101" s="186"/>
      <c r="D101" s="37"/>
      <c r="E101" s="18">
        <f>IF(F3="1",SUMIF(Data!A:A,'56'!$A$2,Data!AK:AK),0)</f>
        <v>0</v>
      </c>
      <c r="F101" s="22">
        <f t="shared" si="6"/>
        <v>0</v>
      </c>
    </row>
    <row r="102" spans="2:6" x14ac:dyDescent="0.2">
      <c r="B102" s="185" t="s">
        <v>33</v>
      </c>
      <c r="C102" s="186"/>
      <c r="D102" s="37"/>
      <c r="E102" s="18">
        <f>IF(F3="1",SUMIF(Data!A:A,'56'!$A$2,Data!AL:AL),0)</f>
        <v>505078</v>
      </c>
      <c r="F102" s="22">
        <f t="shared" si="6"/>
        <v>0.40389050420141187</v>
      </c>
    </row>
    <row r="103" spans="2:6" x14ac:dyDescent="0.2">
      <c r="B103" s="187" t="s">
        <v>34</v>
      </c>
      <c r="C103" s="188"/>
      <c r="D103" s="37"/>
      <c r="E103" s="18">
        <f>IF(F3="1",SUMIF(Data!A:A,'56'!$A$2,Data!AM:AM),0)</f>
        <v>1679787</v>
      </c>
      <c r="F103" s="22">
        <f t="shared" si="6"/>
        <v>1.3432579094337449</v>
      </c>
    </row>
    <row r="104" spans="2:6" ht="15.75" customHeight="1" thickBot="1" x14ac:dyDescent="0.25">
      <c r="B104" s="177" t="s">
        <v>29</v>
      </c>
      <c r="C104" s="178"/>
      <c r="D104" s="38"/>
      <c r="E104" s="25">
        <f>IF(F3="1",SUMIF(Data!A:A,'56'!$A$2,Data!Q:Q),0)</f>
        <v>398033.69</v>
      </c>
      <c r="F104" s="26">
        <f t="shared" si="6"/>
        <v>0.31829148714307193</v>
      </c>
    </row>
    <row r="105" spans="2:6" x14ac:dyDescent="0.2">
      <c r="B105" s="31" t="s">
        <v>35</v>
      </c>
      <c r="C105" s="31"/>
      <c r="D105" s="35">
        <f>D95</f>
        <v>1250532</v>
      </c>
      <c r="E105" s="32">
        <f>SUM(E98:E104)</f>
        <v>7983899.6900000004</v>
      </c>
      <c r="F105" s="33">
        <f t="shared" si="6"/>
        <v>6.3844025502746033</v>
      </c>
    </row>
    <row r="107" spans="2:6" ht="15" thickBot="1" x14ac:dyDescent="0.25">
      <c r="B107" s="60" t="s">
        <v>1281</v>
      </c>
    </row>
    <row r="108" spans="2:6" ht="28.5" x14ac:dyDescent="0.2">
      <c r="B108" s="46" t="s">
        <v>1275</v>
      </c>
      <c r="C108" s="28" t="s">
        <v>1279</v>
      </c>
      <c r="D108" s="28" t="s">
        <v>29</v>
      </c>
      <c r="E108" s="28" t="s">
        <v>1280</v>
      </c>
      <c r="F108" s="47" t="s">
        <v>35</v>
      </c>
    </row>
    <row r="109" spans="2:6" x14ac:dyDescent="0.2">
      <c r="B109" s="43" t="s">
        <v>1276</v>
      </c>
      <c r="C109" s="16">
        <f>E95+IF(F3="1",SUMIF(Data!$A:$A,$A$2,Data!GF:GF),0)</f>
        <v>3814093</v>
      </c>
      <c r="D109" s="16">
        <f>IF(F3="1",SUMIF(Data!$A:$A,$A$2,Data!HJ:HJ),0)</f>
        <v>350559</v>
      </c>
      <c r="E109" s="16">
        <f>IF(F3="1",SUMIF(Data!$A:$A,$A$2,Data!IN:IN),0)</f>
        <v>589223</v>
      </c>
      <c r="F109" s="48">
        <f>SUM(C109:E109)</f>
        <v>4753875</v>
      </c>
    </row>
    <row r="110" spans="2:6" x14ac:dyDescent="0.2">
      <c r="B110" s="43" t="s">
        <v>28</v>
      </c>
      <c r="C110" s="51">
        <f>IF(F3="1",SUMIF(Data!A:A,$A$2,Data!W:W),0)</f>
        <v>0</v>
      </c>
      <c r="D110" s="52"/>
      <c r="E110" s="51">
        <f>IF(F3="1",SUMIF(Data!A:A,$A$2,Data!W:W),0)</f>
        <v>0</v>
      </c>
      <c r="F110" s="49">
        <f t="shared" ref="F110:F116" si="7">SUM(C110:E110)</f>
        <v>0</v>
      </c>
    </row>
    <row r="111" spans="2:6" x14ac:dyDescent="0.2">
      <c r="B111" s="43" t="s">
        <v>1277</v>
      </c>
      <c r="C111" s="51">
        <f>IF(F3="1",SUMIF(Data!A:A,$A$2,Data!AS:AS),0)</f>
        <v>699301</v>
      </c>
      <c r="D111" s="52"/>
      <c r="E111" s="51">
        <f>IF(F3="1",SUMIF(Data!A:A,$A$2,Data!AX:AX),0)</f>
        <v>712525</v>
      </c>
      <c r="F111" s="49">
        <f t="shared" si="7"/>
        <v>1411826</v>
      </c>
    </row>
    <row r="112" spans="2:6" x14ac:dyDescent="0.2">
      <c r="B112" s="43" t="s">
        <v>32</v>
      </c>
      <c r="C112" s="51">
        <f>IF(F3="1",SUMIF(Data!A:A,$A$2,Data!V:V),0)</f>
        <v>983664</v>
      </c>
      <c r="D112" s="52"/>
      <c r="E112" s="51">
        <f>IF(F3="1",SUMIF(Data!A:A,$A$2,Data!AC:AC),0)</f>
        <v>1020244</v>
      </c>
      <c r="F112" s="49">
        <f t="shared" si="7"/>
        <v>2003908</v>
      </c>
    </row>
    <row r="113" spans="1:6" x14ac:dyDescent="0.2">
      <c r="B113" s="43" t="s">
        <v>31</v>
      </c>
      <c r="C113" s="51">
        <f>IF(F3="1",SUMIF(Data!A:A,$A$2,Data!U:U),0)</f>
        <v>939623</v>
      </c>
      <c r="D113" s="52"/>
      <c r="E113" s="51">
        <f>IF(F3="1",SUMIF(Data!A:A,$A$2,Data!AB:AB),0)</f>
        <v>54006</v>
      </c>
      <c r="F113" s="49">
        <f t="shared" si="7"/>
        <v>993629</v>
      </c>
    </row>
    <row r="114" spans="1:6" x14ac:dyDescent="0.2">
      <c r="B114" s="43" t="s">
        <v>1363</v>
      </c>
      <c r="C114" s="51">
        <f>IF(F3="1",SUMIF(Data!A:A,$A$2,Data!T:T),0)</f>
        <v>1543510</v>
      </c>
      <c r="D114" s="52"/>
      <c r="E114" s="51">
        <f>IF(F3="1",SUMIF(Data!A:A,$A$2,Data!AA:AA),0)</f>
        <v>859954</v>
      </c>
      <c r="F114" s="49">
        <f t="shared" si="7"/>
        <v>2403464</v>
      </c>
    </row>
    <row r="115" spans="1:6" x14ac:dyDescent="0.2">
      <c r="B115" s="43" t="s">
        <v>1278</v>
      </c>
      <c r="C115" s="51">
        <f>IF(F3="1",SUMIF(Data!A:A,$A$2,Data!BI:BI),0)</f>
        <v>165548</v>
      </c>
      <c r="D115" s="51">
        <f>IF(F3="1",SUMIF(Data!A:A,$A$2,Data!BL:BL),0)</f>
        <v>59422</v>
      </c>
      <c r="E115" s="51">
        <f>IF(F3="1",SUMIF(Data!A:A,$A$2,Data!BU:BU),0)</f>
        <v>655602</v>
      </c>
      <c r="F115" s="49">
        <f t="shared" si="7"/>
        <v>880572</v>
      </c>
    </row>
    <row r="116" spans="1:6" x14ac:dyDescent="0.2">
      <c r="B116" s="43" t="s">
        <v>33</v>
      </c>
      <c r="C116" s="51">
        <f>IF(F3="1",SUMIF(Data!A:A,$A$2,Data!X:X),0)</f>
        <v>9298</v>
      </c>
      <c r="D116" s="51"/>
      <c r="E116" s="51">
        <f>E102</f>
        <v>505078</v>
      </c>
      <c r="F116" s="49">
        <f t="shared" si="7"/>
        <v>514376</v>
      </c>
    </row>
    <row r="117" spans="1:6" ht="15" thickBot="1" x14ac:dyDescent="0.25">
      <c r="B117" s="44" t="s">
        <v>1282</v>
      </c>
      <c r="C117" s="53"/>
      <c r="D117" s="53">
        <f>IF(F3="1",SUMIF(Data!A:A,$A$2,Data!Q:Q),0)</f>
        <v>398033.69</v>
      </c>
      <c r="E117" s="53"/>
      <c r="F117" s="50">
        <f>SUM(C117:E117)</f>
        <v>398033.69</v>
      </c>
    </row>
    <row r="118" spans="1:6" x14ac:dyDescent="0.2">
      <c r="B118" s="14" t="s">
        <v>35</v>
      </c>
      <c r="C118" s="5">
        <f>SUM(C109:C116)</f>
        <v>8155037</v>
      </c>
      <c r="D118" s="5">
        <f>SUM(D109:D116)</f>
        <v>409981</v>
      </c>
      <c r="E118" s="5">
        <f>SUM(E109:E116)</f>
        <v>4396632</v>
      </c>
      <c r="F118" s="5">
        <f>SUM(F109:F116)</f>
        <v>12961650</v>
      </c>
    </row>
    <row r="119" spans="1:6" ht="15" thickBot="1" x14ac:dyDescent="0.25"/>
    <row r="120" spans="1:6" ht="15" thickBot="1" x14ac:dyDescent="0.25">
      <c r="B120" s="57" t="s">
        <v>1283</v>
      </c>
      <c r="C120" s="55"/>
      <c r="D120" s="55"/>
      <c r="E120" s="55">
        <f>IF(F3="1",SUMIF(Data!A:A,'56'!$A$2,Data!AM:AM),0)</f>
        <v>1679787</v>
      </c>
      <c r="F120" s="56">
        <f>SUM(C120:E120)</f>
        <v>1679787</v>
      </c>
    </row>
    <row r="122" spans="1:6" s="64" customFormat="1" ht="101.25" customHeight="1" x14ac:dyDescent="0.2">
      <c r="A122" s="191" t="s">
        <v>1284</v>
      </c>
      <c r="B122" s="191"/>
      <c r="C122" s="191"/>
      <c r="D122" s="191"/>
      <c r="E122" s="191"/>
      <c r="F122" s="191"/>
    </row>
  </sheetData>
  <mergeCells count="96">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 ref="B18:C18"/>
    <mergeCell ref="B19:C19"/>
    <mergeCell ref="B20:C20"/>
    <mergeCell ref="B21:C21"/>
    <mergeCell ref="B22:C22"/>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52:C52"/>
    <mergeCell ref="B41:C41"/>
    <mergeCell ref="B42:C42"/>
    <mergeCell ref="B43:C43"/>
    <mergeCell ref="B44:C44"/>
    <mergeCell ref="B45:C45"/>
    <mergeCell ref="B46:C46"/>
    <mergeCell ref="B47:C47"/>
    <mergeCell ref="B48:C48"/>
    <mergeCell ref="B49:C49"/>
    <mergeCell ref="B50:C50"/>
    <mergeCell ref="B51:C51"/>
    <mergeCell ref="B66:C66"/>
    <mergeCell ref="B53:C53"/>
    <mergeCell ref="B54:C54"/>
    <mergeCell ref="B55:C55"/>
    <mergeCell ref="B56:C56"/>
    <mergeCell ref="B57:C57"/>
    <mergeCell ref="B58:C58"/>
    <mergeCell ref="B59:C59"/>
    <mergeCell ref="B60:C60"/>
    <mergeCell ref="B61:C61"/>
    <mergeCell ref="B62:C62"/>
    <mergeCell ref="B63:C63"/>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97:C97"/>
    <mergeCell ref="B87:C87"/>
    <mergeCell ref="B88:C88"/>
    <mergeCell ref="B89:C89"/>
    <mergeCell ref="B90:C90"/>
  </mergeCells>
  <pageMargins left="0.25" right="0.25" top="0.75" bottom="0.75" header="0.3" footer="0.3"/>
  <pageSetup orientation="landscape" r:id="rId1"/>
  <rowBreaks count="2" manualBreakCount="2">
    <brk id="64" max="16383" man="1"/>
    <brk id="95" max="16383"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election activeCell="F3" sqref="F3"/>
    </sheetView>
  </sheetViews>
  <sheetFormatPr defaultRowHeight="14.25" x14ac:dyDescent="0.2"/>
  <cols>
    <col min="1" max="1" width="9.42578125" style="1" customWidth="1"/>
    <col min="2" max="2" width="46.5703125" style="59" customWidth="1"/>
    <col min="3" max="3" width="18.28515625" style="59" customWidth="1"/>
    <col min="4" max="4" width="18.7109375" style="59" bestFit="1" customWidth="1"/>
    <col min="5" max="5" width="18.42578125" style="59" customWidth="1"/>
    <col min="6" max="6" width="17.28515625" style="59" customWidth="1"/>
    <col min="7" max="7" width="2.85546875" style="59" customWidth="1"/>
    <col min="8" max="8" width="11" style="1" bestFit="1" customWidth="1"/>
    <col min="9" max="9" width="16.42578125" style="1" bestFit="1" customWidth="1"/>
    <col min="10" max="10" width="13.42578125" style="1" bestFit="1" customWidth="1"/>
    <col min="11" max="12" width="12.140625" style="1" bestFit="1" customWidth="1"/>
    <col min="13" max="13" width="12.42578125" style="1" bestFit="1" customWidth="1"/>
    <col min="14" max="14" width="12.140625" style="1" bestFit="1" customWidth="1"/>
    <col min="15" max="31" width="9.140625" style="1"/>
    <col min="32" max="32" width="17.85546875" style="1" bestFit="1" customWidth="1"/>
    <col min="33" max="35" width="9.140625" style="1"/>
    <col min="36" max="36" width="17.85546875" style="1" bestFit="1" customWidth="1"/>
    <col min="37" max="16384" width="9.140625" style="1"/>
  </cols>
  <sheetData>
    <row r="1" spans="1:7" s="7" customFormat="1" x14ac:dyDescent="0.2">
      <c r="A1" s="39" t="str">
        <f>Summary!A1</f>
        <v>Community and Technical Colleges, Report of Fundable Operating Expenses, Fiscal Year (FY) 2011</v>
      </c>
      <c r="B1" s="39"/>
      <c r="C1" s="39"/>
      <c r="D1" s="39"/>
      <c r="E1" s="39"/>
      <c r="F1" s="39"/>
      <c r="G1" s="59"/>
    </row>
    <row r="2" spans="1:7" s="7" customFormat="1" x14ac:dyDescent="0.2">
      <c r="A2" s="6" t="s">
        <v>741</v>
      </c>
      <c r="B2" s="60" t="str">
        <f>VLOOKUP(A2,Data!A:G,7,0)</f>
        <v>Lamar State College-Port Arthur</v>
      </c>
      <c r="C2" s="60"/>
      <c r="D2" s="59"/>
      <c r="E2" s="59"/>
      <c r="F2" s="59"/>
      <c r="G2" s="59"/>
    </row>
    <row r="3" spans="1:7" s="7" customFormat="1" ht="15" thickBot="1" x14ac:dyDescent="0.25">
      <c r="A3" s="4"/>
      <c r="B3" s="59"/>
      <c r="C3" s="59"/>
      <c r="D3" s="59"/>
      <c r="E3" s="59"/>
      <c r="F3" s="58" t="str">
        <f>IFERROR(VLOOKUP(A2,Data!A:C,3,0),"0")</f>
        <v>1</v>
      </c>
      <c r="G3" s="59"/>
    </row>
    <row r="4" spans="1:7" s="7" customFormat="1" ht="29.25" customHeight="1" x14ac:dyDescent="0.2">
      <c r="A4" s="27" t="s">
        <v>26</v>
      </c>
      <c r="B4" s="189" t="s">
        <v>805</v>
      </c>
      <c r="C4" s="190"/>
      <c r="D4" s="29" t="s">
        <v>27</v>
      </c>
      <c r="E4" s="29" t="s">
        <v>802</v>
      </c>
      <c r="F4" s="30" t="s">
        <v>803</v>
      </c>
      <c r="G4" s="59"/>
    </row>
    <row r="5" spans="1:7" s="7" customFormat="1" x14ac:dyDescent="0.2">
      <c r="A5" s="20">
        <v>1</v>
      </c>
      <c r="B5" s="179" t="s">
        <v>0</v>
      </c>
      <c r="C5" s="180"/>
      <c r="D5" s="15">
        <f>D36</f>
        <v>0</v>
      </c>
      <c r="E5" s="16">
        <f>E36+E67+IFERROR($E$105/$D$105*D5,0)</f>
        <v>0</v>
      </c>
      <c r="F5" s="21" t="str">
        <f>IFERROR(E5/D5,"")</f>
        <v/>
      </c>
      <c r="G5" s="59"/>
    </row>
    <row r="6" spans="1:7" s="7" customFormat="1" x14ac:dyDescent="0.2">
      <c r="A6" s="20">
        <v>2</v>
      </c>
      <c r="B6" s="179" t="s">
        <v>1</v>
      </c>
      <c r="C6" s="180"/>
      <c r="D6" s="15">
        <f t="shared" ref="D6:D32" si="0">D37</f>
        <v>0</v>
      </c>
      <c r="E6" s="18">
        <f t="shared" ref="E6:E32" si="1">E37+E68+IFERROR($E$105/$D$105*D6,0)</f>
        <v>0</v>
      </c>
      <c r="F6" s="22" t="str">
        <f t="shared" ref="F6:F33" si="2">IFERROR(E6/D6,"")</f>
        <v/>
      </c>
      <c r="G6" s="59"/>
    </row>
    <row r="7" spans="1:7" s="8" customFormat="1" ht="14.25" customHeight="1" x14ac:dyDescent="0.2">
      <c r="A7" s="20">
        <v>3</v>
      </c>
      <c r="B7" s="179" t="s">
        <v>2</v>
      </c>
      <c r="C7" s="180"/>
      <c r="D7" s="15">
        <f t="shared" si="0"/>
        <v>107360</v>
      </c>
      <c r="E7" s="18">
        <f t="shared" si="1"/>
        <v>911820.74890046485</v>
      </c>
      <c r="F7" s="22">
        <f t="shared" si="2"/>
        <v>8.4931142781339872</v>
      </c>
      <c r="G7" s="59"/>
    </row>
    <row r="8" spans="1:7" s="11" customFormat="1" ht="14.25" customHeight="1" x14ac:dyDescent="0.2">
      <c r="A8" s="20">
        <v>4</v>
      </c>
      <c r="B8" s="179" t="s">
        <v>3</v>
      </c>
      <c r="C8" s="180"/>
      <c r="D8" s="15">
        <f t="shared" si="0"/>
        <v>91104</v>
      </c>
      <c r="E8" s="18">
        <f t="shared" si="1"/>
        <v>773758.28826218285</v>
      </c>
      <c r="F8" s="22">
        <f t="shared" si="2"/>
        <v>8.4931318960987756</v>
      </c>
      <c r="G8" s="59"/>
    </row>
    <row r="9" spans="1:7" s="11" customFormat="1" x14ac:dyDescent="0.2">
      <c r="A9" s="20">
        <v>5</v>
      </c>
      <c r="B9" s="179" t="s">
        <v>4</v>
      </c>
      <c r="C9" s="180"/>
      <c r="D9" s="15">
        <f t="shared" si="0"/>
        <v>0</v>
      </c>
      <c r="E9" s="18">
        <f t="shared" si="1"/>
        <v>0</v>
      </c>
      <c r="F9" s="22" t="str">
        <f t="shared" si="2"/>
        <v/>
      </c>
      <c r="G9" s="59"/>
    </row>
    <row r="10" spans="1:7" s="11" customFormat="1" x14ac:dyDescent="0.2">
      <c r="A10" s="20">
        <v>6</v>
      </c>
      <c r="B10" s="179" t="s">
        <v>5</v>
      </c>
      <c r="C10" s="180"/>
      <c r="D10" s="15">
        <f t="shared" si="0"/>
        <v>30656</v>
      </c>
      <c r="E10" s="18">
        <f t="shared" si="1"/>
        <v>260366.51041628773</v>
      </c>
      <c r="F10" s="22">
        <f t="shared" si="2"/>
        <v>8.4931664410323506</v>
      </c>
      <c r="G10" s="59"/>
    </row>
    <row r="11" spans="1:7" s="11" customFormat="1" x14ac:dyDescent="0.2">
      <c r="A11" s="20">
        <v>7</v>
      </c>
      <c r="B11" s="179" t="s">
        <v>6</v>
      </c>
      <c r="C11" s="180"/>
      <c r="D11" s="15">
        <f t="shared" si="0"/>
        <v>145344</v>
      </c>
      <c r="E11" s="18">
        <f t="shared" si="1"/>
        <v>1234425.2090926711</v>
      </c>
      <c r="F11" s="22">
        <f t="shared" si="2"/>
        <v>8.4931280898604076</v>
      </c>
      <c r="G11" s="59"/>
    </row>
    <row r="12" spans="1:7" s="11" customFormat="1" x14ac:dyDescent="0.2">
      <c r="A12" s="20">
        <v>8</v>
      </c>
      <c r="B12" s="179" t="s">
        <v>7</v>
      </c>
      <c r="C12" s="180"/>
      <c r="D12" s="15">
        <f t="shared" si="0"/>
        <v>37341</v>
      </c>
      <c r="E12" s="18">
        <f t="shared" si="1"/>
        <v>317140.97033059108</v>
      </c>
      <c r="F12" s="22">
        <f t="shared" si="2"/>
        <v>8.493103300141696</v>
      </c>
      <c r="G12" s="59"/>
    </row>
    <row r="13" spans="1:7" s="11" customFormat="1" x14ac:dyDescent="0.2">
      <c r="A13" s="20">
        <v>9</v>
      </c>
      <c r="B13" s="179" t="s">
        <v>8</v>
      </c>
      <c r="C13" s="180"/>
      <c r="D13" s="15">
        <f t="shared" si="0"/>
        <v>140832</v>
      </c>
      <c r="E13" s="18">
        <f t="shared" si="1"/>
        <v>1196103.6068288959</v>
      </c>
      <c r="F13" s="22">
        <f t="shared" si="2"/>
        <v>8.4931237703710512</v>
      </c>
      <c r="G13" s="59"/>
    </row>
    <row r="14" spans="1:7" s="11" customFormat="1" x14ac:dyDescent="0.2">
      <c r="A14" s="20">
        <v>10</v>
      </c>
      <c r="B14" s="179" t="s">
        <v>9</v>
      </c>
      <c r="C14" s="180"/>
      <c r="D14" s="15">
        <f t="shared" si="0"/>
        <v>0</v>
      </c>
      <c r="E14" s="18">
        <f t="shared" si="1"/>
        <v>0</v>
      </c>
      <c r="F14" s="22" t="str">
        <f t="shared" si="2"/>
        <v/>
      </c>
      <c r="G14" s="59"/>
    </row>
    <row r="15" spans="1:7" s="11" customFormat="1" x14ac:dyDescent="0.2">
      <c r="A15" s="20">
        <v>11</v>
      </c>
      <c r="B15" s="179" t="s">
        <v>10</v>
      </c>
      <c r="C15" s="180"/>
      <c r="D15" s="15">
        <f t="shared" si="0"/>
        <v>101408</v>
      </c>
      <c r="E15" s="18">
        <f t="shared" si="1"/>
        <v>861270.74165888922</v>
      </c>
      <c r="F15" s="22">
        <f t="shared" si="2"/>
        <v>8.4931242274661685</v>
      </c>
      <c r="G15" s="59"/>
    </row>
    <row r="16" spans="1:7" s="11" customFormat="1" ht="14.25" customHeight="1" x14ac:dyDescent="0.2">
      <c r="A16" s="20">
        <v>12</v>
      </c>
      <c r="B16" s="179" t="s">
        <v>11</v>
      </c>
      <c r="C16" s="180"/>
      <c r="D16" s="15">
        <f t="shared" si="0"/>
        <v>93648</v>
      </c>
      <c r="E16" s="18">
        <f t="shared" si="1"/>
        <v>795364.1703896306</v>
      </c>
      <c r="F16" s="22">
        <f t="shared" si="2"/>
        <v>8.4931250041605857</v>
      </c>
      <c r="G16" s="59"/>
    </row>
    <row r="17" spans="1:7" s="11" customFormat="1" x14ac:dyDescent="0.2">
      <c r="A17" s="20">
        <v>13</v>
      </c>
      <c r="B17" s="179" t="s">
        <v>12</v>
      </c>
      <c r="C17" s="180"/>
      <c r="D17" s="15">
        <f t="shared" si="0"/>
        <v>5088</v>
      </c>
      <c r="E17" s="18">
        <f t="shared" si="1"/>
        <v>43212.764254895359</v>
      </c>
      <c r="F17" s="22">
        <f t="shared" si="2"/>
        <v>8.49307473563195</v>
      </c>
      <c r="G17" s="59"/>
    </row>
    <row r="18" spans="1:7" s="11" customFormat="1" ht="14.25" customHeight="1" x14ac:dyDescent="0.2">
      <c r="A18" s="20">
        <v>14</v>
      </c>
      <c r="B18" s="179" t="s">
        <v>804</v>
      </c>
      <c r="C18" s="180"/>
      <c r="D18" s="15">
        <f t="shared" si="0"/>
        <v>248896</v>
      </c>
      <c r="E18" s="18">
        <f t="shared" si="1"/>
        <v>2113903.4426073967</v>
      </c>
      <c r="F18" s="22">
        <f t="shared" si="2"/>
        <v>8.4931193856365574</v>
      </c>
      <c r="G18" s="59"/>
    </row>
    <row r="19" spans="1:7" s="11" customFormat="1" x14ac:dyDescent="0.2">
      <c r="A19" s="20">
        <v>15</v>
      </c>
      <c r="B19" s="179" t="s">
        <v>13</v>
      </c>
      <c r="C19" s="180"/>
      <c r="D19" s="15">
        <f t="shared" si="0"/>
        <v>0</v>
      </c>
      <c r="E19" s="18">
        <f t="shared" si="1"/>
        <v>0</v>
      </c>
      <c r="F19" s="22" t="str">
        <f t="shared" si="2"/>
        <v/>
      </c>
      <c r="G19" s="59"/>
    </row>
    <row r="20" spans="1:7" s="11" customFormat="1" x14ac:dyDescent="0.2">
      <c r="A20" s="20">
        <v>16</v>
      </c>
      <c r="B20" s="179" t="s">
        <v>14</v>
      </c>
      <c r="C20" s="180"/>
      <c r="D20" s="15">
        <f t="shared" si="0"/>
        <v>74272</v>
      </c>
      <c r="E20" s="18">
        <f t="shared" si="1"/>
        <v>630801.66563278064</v>
      </c>
      <c r="F20" s="22">
        <f t="shared" si="2"/>
        <v>8.4931288457666501</v>
      </c>
      <c r="G20" s="59"/>
    </row>
    <row r="21" spans="1:7" s="11" customFormat="1" x14ac:dyDescent="0.2">
      <c r="A21" s="20">
        <v>17</v>
      </c>
      <c r="B21" s="179" t="s">
        <v>15</v>
      </c>
      <c r="C21" s="180"/>
      <c r="D21" s="15">
        <f t="shared" si="0"/>
        <v>0</v>
      </c>
      <c r="E21" s="18">
        <f t="shared" si="1"/>
        <v>0</v>
      </c>
      <c r="F21" s="22" t="str">
        <f t="shared" si="2"/>
        <v/>
      </c>
      <c r="G21" s="59"/>
    </row>
    <row r="22" spans="1:7" s="11" customFormat="1" x14ac:dyDescent="0.2">
      <c r="A22" s="20">
        <v>18</v>
      </c>
      <c r="B22" s="179" t="s">
        <v>16</v>
      </c>
      <c r="C22" s="180"/>
      <c r="D22" s="15">
        <f t="shared" si="0"/>
        <v>148864</v>
      </c>
      <c r="E22" s="18">
        <f t="shared" si="1"/>
        <v>1264320.6434828504</v>
      </c>
      <c r="F22" s="22">
        <f t="shared" si="2"/>
        <v>8.4931255607994576</v>
      </c>
      <c r="G22" s="59"/>
    </row>
    <row r="23" spans="1:7" s="11" customFormat="1" x14ac:dyDescent="0.2">
      <c r="A23" s="20">
        <v>19</v>
      </c>
      <c r="B23" s="179" t="s">
        <v>17</v>
      </c>
      <c r="C23" s="180"/>
      <c r="D23" s="15">
        <f t="shared" si="0"/>
        <v>40896</v>
      </c>
      <c r="E23" s="18">
        <f t="shared" si="1"/>
        <v>347336.50136953627</v>
      </c>
      <c r="F23" s="22">
        <f t="shared" si="2"/>
        <v>8.4931656242550932</v>
      </c>
      <c r="G23" s="59"/>
    </row>
    <row r="24" spans="1:7" s="11" customFormat="1" x14ac:dyDescent="0.2">
      <c r="A24" s="20">
        <v>20</v>
      </c>
      <c r="B24" s="179" t="s">
        <v>18</v>
      </c>
      <c r="C24" s="180"/>
      <c r="D24" s="15">
        <f t="shared" si="0"/>
        <v>31776</v>
      </c>
      <c r="E24" s="18">
        <f t="shared" si="1"/>
        <v>269878.60317679925</v>
      </c>
      <c r="F24" s="22">
        <f t="shared" si="2"/>
        <v>8.493158458484368</v>
      </c>
      <c r="G24" s="59"/>
    </row>
    <row r="25" spans="1:7" s="11" customFormat="1" ht="14.25" customHeight="1" x14ac:dyDescent="0.2">
      <c r="A25" s="20">
        <v>21</v>
      </c>
      <c r="B25" s="179" t="s">
        <v>801</v>
      </c>
      <c r="C25" s="180"/>
      <c r="D25" s="15">
        <f t="shared" si="0"/>
        <v>29952</v>
      </c>
      <c r="E25" s="18">
        <f t="shared" si="1"/>
        <v>254385.4235382519</v>
      </c>
      <c r="F25" s="22">
        <f t="shared" si="2"/>
        <v>8.4931030828743292</v>
      </c>
      <c r="G25" s="59"/>
    </row>
    <row r="26" spans="1:7" s="11" customFormat="1" x14ac:dyDescent="0.2">
      <c r="A26" s="20">
        <v>22</v>
      </c>
      <c r="B26" s="179" t="s">
        <v>19</v>
      </c>
      <c r="C26" s="180"/>
      <c r="D26" s="15">
        <f t="shared" si="0"/>
        <v>9792</v>
      </c>
      <c r="E26" s="18">
        <f t="shared" si="1"/>
        <v>83164.753849043889</v>
      </c>
      <c r="F26" s="22">
        <f t="shared" si="2"/>
        <v>8.4931325417732726</v>
      </c>
      <c r="G26" s="59"/>
    </row>
    <row r="27" spans="1:7" s="11" customFormat="1" x14ac:dyDescent="0.2">
      <c r="A27" s="20">
        <v>23</v>
      </c>
      <c r="B27" s="179" t="s">
        <v>20</v>
      </c>
      <c r="C27" s="180"/>
      <c r="D27" s="15">
        <f t="shared" si="0"/>
        <v>13728</v>
      </c>
      <c r="E27" s="18">
        <f t="shared" si="1"/>
        <v>116593.19412169879</v>
      </c>
      <c r="F27" s="22">
        <f t="shared" si="2"/>
        <v>8.4930939773964731</v>
      </c>
      <c r="G27" s="59"/>
    </row>
    <row r="28" spans="1:7" s="11" customFormat="1" x14ac:dyDescent="0.2">
      <c r="A28" s="20">
        <v>24</v>
      </c>
      <c r="B28" s="179" t="s">
        <v>21</v>
      </c>
      <c r="C28" s="180"/>
      <c r="D28" s="15">
        <f t="shared" si="0"/>
        <v>5184</v>
      </c>
      <c r="E28" s="18">
        <f t="shared" si="1"/>
        <v>44028.457920082059</v>
      </c>
      <c r="F28" s="22">
        <f t="shared" si="2"/>
        <v>8.4931438889047186</v>
      </c>
      <c r="G28" s="59"/>
    </row>
    <row r="29" spans="1:7" s="11" customFormat="1" x14ac:dyDescent="0.2">
      <c r="A29" s="20">
        <v>25</v>
      </c>
      <c r="B29" s="179" t="s">
        <v>22</v>
      </c>
      <c r="C29" s="180"/>
      <c r="D29" s="15">
        <f t="shared" si="0"/>
        <v>149120</v>
      </c>
      <c r="E29" s="18">
        <f t="shared" si="1"/>
        <v>1266493.4932566816</v>
      </c>
      <c r="F29" s="22">
        <f t="shared" si="2"/>
        <v>8.4931162369680901</v>
      </c>
      <c r="G29" s="59"/>
    </row>
    <row r="30" spans="1:7" s="11" customFormat="1" x14ac:dyDescent="0.2">
      <c r="A30" s="20">
        <v>26</v>
      </c>
      <c r="B30" s="179" t="s">
        <v>23</v>
      </c>
      <c r="C30" s="180"/>
      <c r="D30" s="15">
        <f t="shared" si="0"/>
        <v>75296</v>
      </c>
      <c r="E30" s="18">
        <f t="shared" si="1"/>
        <v>639497.06472810544</v>
      </c>
      <c r="F30" s="22">
        <f t="shared" si="2"/>
        <v>8.4931080632185694</v>
      </c>
      <c r="G30" s="59"/>
    </row>
    <row r="31" spans="1:7" s="11" customFormat="1" x14ac:dyDescent="0.2">
      <c r="A31" s="20">
        <v>28</v>
      </c>
      <c r="B31" s="179" t="s">
        <v>24</v>
      </c>
      <c r="C31" s="180"/>
      <c r="D31" s="15">
        <f t="shared" si="0"/>
        <v>62736</v>
      </c>
      <c r="E31" s="18">
        <f t="shared" si="1"/>
        <v>532823.81019951159</v>
      </c>
      <c r="F31" s="22">
        <f t="shared" si="2"/>
        <v>8.4931109761462569</v>
      </c>
      <c r="G31" s="59"/>
    </row>
    <row r="32" spans="1:7" s="11" customFormat="1" ht="15.75" customHeight="1" thickBot="1" x14ac:dyDescent="0.25">
      <c r="A32" s="23">
        <v>29</v>
      </c>
      <c r="B32" s="181" t="s">
        <v>25</v>
      </c>
      <c r="C32" s="182"/>
      <c r="D32" s="24">
        <f t="shared" si="0"/>
        <v>33552</v>
      </c>
      <c r="E32" s="25">
        <f t="shared" si="1"/>
        <v>284960.93598275329</v>
      </c>
      <c r="F32" s="26">
        <f t="shared" si="2"/>
        <v>8.4931132565198286</v>
      </c>
      <c r="G32" s="59"/>
    </row>
    <row r="33" spans="1:7" s="11" customFormat="1" x14ac:dyDescent="0.2">
      <c r="B33" s="31" t="s">
        <v>35</v>
      </c>
      <c r="C33" s="31"/>
      <c r="D33" s="61">
        <f>SUM(D5:D32)</f>
        <v>1676845</v>
      </c>
      <c r="E33" s="32">
        <f>SUM(E5:E32)</f>
        <v>14241651</v>
      </c>
      <c r="F33" s="33">
        <f t="shared" si="2"/>
        <v>8.4931230972451246</v>
      </c>
      <c r="G33" s="59"/>
    </row>
    <row r="34" spans="1:7" s="11" customFormat="1" ht="15" thickBot="1" x14ac:dyDescent="0.25">
      <c r="A34" s="1"/>
      <c r="B34" s="59"/>
      <c r="C34" s="59"/>
      <c r="D34" s="59"/>
      <c r="E34" s="59"/>
      <c r="F34" s="59"/>
      <c r="G34" s="59"/>
    </row>
    <row r="35" spans="1:7" s="11" customFormat="1" ht="29.25" customHeight="1" x14ac:dyDescent="0.2">
      <c r="A35" s="27" t="s">
        <v>26</v>
      </c>
      <c r="B35" s="189" t="s">
        <v>806</v>
      </c>
      <c r="C35" s="190"/>
      <c r="D35" s="29" t="s">
        <v>27</v>
      </c>
      <c r="E35" s="29" t="s">
        <v>802</v>
      </c>
      <c r="F35" s="30" t="s">
        <v>803</v>
      </c>
      <c r="G35" s="59"/>
    </row>
    <row r="36" spans="1:7" s="11" customFormat="1" x14ac:dyDescent="0.2">
      <c r="A36" s="20">
        <v>1</v>
      </c>
      <c r="B36" s="179" t="s">
        <v>0</v>
      </c>
      <c r="C36" s="180"/>
      <c r="D36" s="15">
        <f>IF(F3="1",SUMIF(Data!A:A,'57'!$A$2,Data!CU:CU),0)</f>
        <v>0</v>
      </c>
      <c r="E36" s="16">
        <f>IF(F3="1",SUMIF(Data!$A:$A,'57'!$A$2,Data!IO:IO),0)</f>
        <v>0</v>
      </c>
      <c r="F36" s="21" t="str">
        <f t="shared" ref="F36:F64" si="3">IFERROR(E36/D36,"")</f>
        <v/>
      </c>
      <c r="G36" s="59"/>
    </row>
    <row r="37" spans="1:7" s="11" customFormat="1" x14ac:dyDescent="0.2">
      <c r="A37" s="20">
        <v>2</v>
      </c>
      <c r="B37" s="179" t="s">
        <v>1</v>
      </c>
      <c r="C37" s="180"/>
      <c r="D37" s="15">
        <f>IF(F3="1",SUMIF(Data!A:A,'57'!$A$2,Data!CV:CV),0)</f>
        <v>0</v>
      </c>
      <c r="E37" s="18">
        <f>IF(F3="1",SUMIF(Data!$A:$A,'57'!$A$2,Data!IP:IP),0)</f>
        <v>0</v>
      </c>
      <c r="F37" s="22" t="str">
        <f t="shared" si="3"/>
        <v/>
      </c>
      <c r="G37" s="59"/>
    </row>
    <row r="38" spans="1:7" ht="14.25" customHeight="1" x14ac:dyDescent="0.2">
      <c r="A38" s="20">
        <v>3</v>
      </c>
      <c r="B38" s="179" t="s">
        <v>2</v>
      </c>
      <c r="C38" s="180"/>
      <c r="D38" s="15">
        <f>IF(F3="1",SUMIF(Data!A:A,'57'!$A$2,Data!CW:CW),0)</f>
        <v>107360</v>
      </c>
      <c r="E38" s="18">
        <f>IF(F3="1",SUMIF(Data!$A:$A,'57'!$A$2,Data!IQ:IQ),0)</f>
        <v>184038</v>
      </c>
      <c r="F38" s="22">
        <f t="shared" si="3"/>
        <v>1.7142138599105812</v>
      </c>
    </row>
    <row r="39" spans="1:7" s="11" customFormat="1" ht="14.25" customHeight="1" x14ac:dyDescent="0.2">
      <c r="A39" s="20">
        <v>4</v>
      </c>
      <c r="B39" s="179" t="s">
        <v>3</v>
      </c>
      <c r="C39" s="180"/>
      <c r="D39" s="15">
        <f>IF(F3="1",SUMIF(Data!A:A,'57'!$A$2,Data!CX:CX),0)</f>
        <v>91104</v>
      </c>
      <c r="E39" s="18">
        <f>IF(F3="1",SUMIF(Data!$A:$A,'57'!$A$2,Data!IR:IR),0)</f>
        <v>156173</v>
      </c>
      <c r="F39" s="22">
        <f t="shared" si="3"/>
        <v>1.7142276958201617</v>
      </c>
      <c r="G39" s="59"/>
    </row>
    <row r="40" spans="1:7" s="11" customFormat="1" x14ac:dyDescent="0.2">
      <c r="A40" s="20">
        <v>5</v>
      </c>
      <c r="B40" s="179" t="s">
        <v>4</v>
      </c>
      <c r="C40" s="180"/>
      <c r="D40" s="15">
        <f>IF(F3="1",SUMIF(Data!A:A,'57'!$A$2,Data!CY:CY),0)</f>
        <v>0</v>
      </c>
      <c r="E40" s="18">
        <f>IF(F3="1",SUMIF(Data!$A:$A,'57'!$A$2,Data!IS:IS),0)</f>
        <v>0</v>
      </c>
      <c r="F40" s="22" t="str">
        <f t="shared" si="3"/>
        <v/>
      </c>
      <c r="G40" s="59"/>
    </row>
    <row r="41" spans="1:7" s="11" customFormat="1" x14ac:dyDescent="0.2">
      <c r="A41" s="20">
        <v>6</v>
      </c>
      <c r="B41" s="179" t="s">
        <v>5</v>
      </c>
      <c r="C41" s="180"/>
      <c r="D41" s="15">
        <f>IF(F3="1",SUMIF(Data!A:A,'57'!$A$2,Data!CZ:CZ),0)</f>
        <v>30656</v>
      </c>
      <c r="E41" s="18">
        <f>IF(F3="1",SUMIF(Data!$A:$A,'57'!$A$2,Data!IT:IT),0)</f>
        <v>52552</v>
      </c>
      <c r="F41" s="22">
        <f t="shared" si="3"/>
        <v>1.7142484342379958</v>
      </c>
      <c r="G41" s="59"/>
    </row>
    <row r="42" spans="1:7" s="11" customFormat="1" x14ac:dyDescent="0.2">
      <c r="A42" s="20">
        <v>7</v>
      </c>
      <c r="B42" s="179" t="s">
        <v>6</v>
      </c>
      <c r="C42" s="180"/>
      <c r="D42" s="15">
        <f>IF(F3="1",SUMIF(Data!A:A,'57'!$A$2,Data!DA:DA),0)</f>
        <v>145344</v>
      </c>
      <c r="E42" s="18">
        <f>IF(F3="1",SUMIF(Data!$A:$A,'57'!$A$2,Data!IU:IU),0)</f>
        <v>249152</v>
      </c>
      <c r="F42" s="22">
        <f t="shared" si="3"/>
        <v>1.7142228093350946</v>
      </c>
      <c r="G42" s="59"/>
    </row>
    <row r="43" spans="1:7" s="11" customFormat="1" x14ac:dyDescent="0.2">
      <c r="A43" s="20">
        <v>8</v>
      </c>
      <c r="B43" s="179" t="s">
        <v>7</v>
      </c>
      <c r="C43" s="180"/>
      <c r="D43" s="15">
        <f>IF(F3="1",SUMIF(Data!A:A,'57'!$A$2,Data!DB:DB),0)</f>
        <v>37341</v>
      </c>
      <c r="E43" s="18">
        <f>IF(F3="1",SUMIF(Data!$A:$A,'57'!$A$2,Data!IV:IV),0)</f>
        <v>64010</v>
      </c>
      <c r="F43" s="22">
        <f t="shared" si="3"/>
        <v>1.7142015478964141</v>
      </c>
      <c r="G43" s="59"/>
    </row>
    <row r="44" spans="1:7" s="11" customFormat="1" x14ac:dyDescent="0.2">
      <c r="A44" s="20">
        <v>9</v>
      </c>
      <c r="B44" s="179" t="s">
        <v>8</v>
      </c>
      <c r="C44" s="180"/>
      <c r="D44" s="15">
        <f>IF(F3="1",SUMIF(Data!A:A,'57'!$A$2,Data!DC:DC),0)</f>
        <v>140832</v>
      </c>
      <c r="E44" s="18">
        <f>IF(F3="1",SUMIF(Data!$A:$A,'57'!$A$2,Data!IW:IW),0)</f>
        <v>241417</v>
      </c>
      <c r="F44" s="22">
        <f t="shared" si="3"/>
        <v>1.7142197795955465</v>
      </c>
      <c r="G44" s="59"/>
    </row>
    <row r="45" spans="1:7" s="11" customFormat="1" x14ac:dyDescent="0.2">
      <c r="A45" s="20">
        <v>10</v>
      </c>
      <c r="B45" s="179" t="s">
        <v>9</v>
      </c>
      <c r="C45" s="180"/>
      <c r="D45" s="15">
        <f>IF(F3="1",SUMIF(Data!A:A,'57'!$A$2,Data!DD:DD),0)</f>
        <v>0</v>
      </c>
      <c r="E45" s="18">
        <f>IF(F3="1",SUMIF(Data!$A:$A,'57'!$A$2,Data!IX:IX),0)</f>
        <v>0</v>
      </c>
      <c r="F45" s="22" t="str">
        <f t="shared" si="3"/>
        <v/>
      </c>
      <c r="G45" s="59"/>
    </row>
    <row r="46" spans="1:7" s="11" customFormat="1" x14ac:dyDescent="0.2">
      <c r="A46" s="20">
        <v>11</v>
      </c>
      <c r="B46" s="179" t="s">
        <v>10</v>
      </c>
      <c r="C46" s="180"/>
      <c r="D46" s="15">
        <f>IF(F3="1",SUMIF(Data!A:A,'57'!$A$2,Data!DE:DE),0)</f>
        <v>101408</v>
      </c>
      <c r="E46" s="18">
        <f>IF(F3="1",SUMIF(Data!$A:$A,'57'!$A$2,Data!IY:IY),0)</f>
        <v>173836</v>
      </c>
      <c r="F46" s="22">
        <f t="shared" si="3"/>
        <v>1.7142237298832439</v>
      </c>
      <c r="G46" s="59"/>
    </row>
    <row r="47" spans="1:7" s="11" customFormat="1" ht="14.25" customHeight="1" x14ac:dyDescent="0.2">
      <c r="A47" s="20">
        <v>12</v>
      </c>
      <c r="B47" s="179" t="s">
        <v>11</v>
      </c>
      <c r="C47" s="180"/>
      <c r="D47" s="15">
        <f>IF(F3="1",SUMIF(Data!A:A,'57'!$A$2,Data!DF:DF),0)</f>
        <v>93648</v>
      </c>
      <c r="E47" s="18">
        <f>IF(F3="1",SUMIF(Data!$A:$A,'57'!$A$2,Data!IZ:IZ),0)</f>
        <v>160533</v>
      </c>
      <c r="F47" s="22">
        <f t="shared" si="3"/>
        <v>1.7142170681701692</v>
      </c>
      <c r="G47" s="59"/>
    </row>
    <row r="48" spans="1:7" s="11" customFormat="1" x14ac:dyDescent="0.2">
      <c r="A48" s="20">
        <v>13</v>
      </c>
      <c r="B48" s="179" t="s">
        <v>12</v>
      </c>
      <c r="C48" s="180"/>
      <c r="D48" s="15">
        <f>IF(F3="1",SUMIF(Data!A:A,'57'!$A$2,Data!DG:DG),0)</f>
        <v>5088</v>
      </c>
      <c r="E48" s="18">
        <f>IF(F3="1",SUMIF(Data!$A:$A,'57'!$A$2,Data!JA:JA),0)</f>
        <v>8722</v>
      </c>
      <c r="F48" s="22">
        <f t="shared" si="3"/>
        <v>1.7142295597484276</v>
      </c>
      <c r="G48" s="59"/>
    </row>
    <row r="49" spans="1:7" s="11" customFormat="1" ht="14.25" customHeight="1" x14ac:dyDescent="0.2">
      <c r="A49" s="20">
        <v>14</v>
      </c>
      <c r="B49" s="179" t="s">
        <v>804</v>
      </c>
      <c r="C49" s="180"/>
      <c r="D49" s="15">
        <f>IF(F3="1",SUMIF(Data!A:A,'57'!$A$2,Data!DH:DH),0)</f>
        <v>248896</v>
      </c>
      <c r="E49" s="18">
        <f>IF(F3="1",SUMIF(Data!$A:$A,'57'!$A$2,Data!JB:JB),0)</f>
        <v>426662</v>
      </c>
      <c r="F49" s="22">
        <f t="shared" si="3"/>
        <v>1.7142179866289535</v>
      </c>
      <c r="G49" s="59"/>
    </row>
    <row r="50" spans="1:7" s="11" customFormat="1" x14ac:dyDescent="0.2">
      <c r="A50" s="20">
        <v>15</v>
      </c>
      <c r="B50" s="179" t="s">
        <v>13</v>
      </c>
      <c r="C50" s="180"/>
      <c r="D50" s="15">
        <f>IF(F3="1",SUMIF(Data!A:A,'57'!$A$2,Data!DI:DI),0)</f>
        <v>0</v>
      </c>
      <c r="E50" s="18">
        <f>IF(F3="1",SUMIF(Data!$A:$A,'57'!$A$2,Data!JC:JC),0)</f>
        <v>0</v>
      </c>
      <c r="F50" s="22" t="str">
        <f t="shared" si="3"/>
        <v/>
      </c>
      <c r="G50" s="59"/>
    </row>
    <row r="51" spans="1:7" s="11" customFormat="1" x14ac:dyDescent="0.2">
      <c r="A51" s="20">
        <v>16</v>
      </c>
      <c r="B51" s="179" t="s">
        <v>14</v>
      </c>
      <c r="C51" s="180"/>
      <c r="D51" s="15">
        <f>IF(F3="1",SUMIF(Data!A:A,'57'!$A$2,Data!DJ:DJ),0)</f>
        <v>74272</v>
      </c>
      <c r="E51" s="18">
        <f>IF(F3="1",SUMIF(Data!$A:$A,'57'!$A$2,Data!JD:JD),0)</f>
        <v>127319</v>
      </c>
      <c r="F51" s="22">
        <f t="shared" si="3"/>
        <v>1.7142260878931495</v>
      </c>
      <c r="G51" s="59"/>
    </row>
    <row r="52" spans="1:7" s="11" customFormat="1" x14ac:dyDescent="0.2">
      <c r="A52" s="20">
        <v>17</v>
      </c>
      <c r="B52" s="179" t="s">
        <v>15</v>
      </c>
      <c r="C52" s="180"/>
      <c r="D52" s="15">
        <f>IF(F3="1",SUMIF(Data!A:A,'57'!$A$2,Data!DK:DK),0)</f>
        <v>0</v>
      </c>
      <c r="E52" s="18">
        <f>IF(F3="1",SUMIF(Data!$A:$A,'57'!$A$2,Data!JE:JE),0)</f>
        <v>0</v>
      </c>
      <c r="F52" s="22" t="str">
        <f t="shared" si="3"/>
        <v/>
      </c>
      <c r="G52" s="59"/>
    </row>
    <row r="53" spans="1:7" s="11" customFormat="1" x14ac:dyDescent="0.2">
      <c r="A53" s="20">
        <v>18</v>
      </c>
      <c r="B53" s="179" t="s">
        <v>16</v>
      </c>
      <c r="C53" s="180"/>
      <c r="D53" s="15">
        <f>IF(F3="1",SUMIF(Data!A:A,'57'!$A$2,Data!DL:DL),0)</f>
        <v>148864</v>
      </c>
      <c r="E53" s="18">
        <f>IF(F3="1",SUMIF(Data!$A:$A,'57'!$A$2,Data!JF:JF),0)</f>
        <v>255186</v>
      </c>
      <c r="F53" s="22">
        <f t="shared" si="3"/>
        <v>1.7142223774720551</v>
      </c>
      <c r="G53" s="59"/>
    </row>
    <row r="54" spans="1:7" s="11" customFormat="1" x14ac:dyDescent="0.2">
      <c r="A54" s="20">
        <v>19</v>
      </c>
      <c r="B54" s="179" t="s">
        <v>17</v>
      </c>
      <c r="C54" s="180"/>
      <c r="D54" s="15">
        <f>IF(F3="1",SUMIF(Data!A:A,'57'!$A$2,Data!DM:DM),0)</f>
        <v>40896</v>
      </c>
      <c r="E54" s="18">
        <f>IF(F3="1",SUMIF(Data!$A:$A,'57'!$A$2,Data!JG:JG),0)</f>
        <v>70106</v>
      </c>
      <c r="F54" s="22">
        <f t="shared" si="3"/>
        <v>1.7142507824726134</v>
      </c>
      <c r="G54" s="59"/>
    </row>
    <row r="55" spans="1:7" s="11" customFormat="1" x14ac:dyDescent="0.2">
      <c r="A55" s="20">
        <v>20</v>
      </c>
      <c r="B55" s="179" t="s">
        <v>18</v>
      </c>
      <c r="C55" s="180"/>
      <c r="D55" s="15">
        <f>IF(F3="1",SUMIF(Data!A:A,'57'!$A$2,Data!DN:DN),0)</f>
        <v>31776</v>
      </c>
      <c r="E55" s="18">
        <f>IF(F3="1",SUMIF(Data!$A:$A,'57'!$A$2,Data!JH:JH),0)</f>
        <v>54472</v>
      </c>
      <c r="F55" s="22">
        <f t="shared" si="3"/>
        <v>1.7142497482376637</v>
      </c>
      <c r="G55" s="59"/>
    </row>
    <row r="56" spans="1:7" s="11" customFormat="1" ht="14.25" customHeight="1" x14ac:dyDescent="0.2">
      <c r="A56" s="20">
        <v>21</v>
      </c>
      <c r="B56" s="179" t="s">
        <v>801</v>
      </c>
      <c r="C56" s="180"/>
      <c r="D56" s="15">
        <f>IF(F3="1",SUMIF(Data!A:A,'57'!$A$2,Data!DO:DO),0)</f>
        <v>29952</v>
      </c>
      <c r="E56" s="18">
        <f>IF(F3="1",SUMIF(Data!$A:$A,'57'!$A$2,Data!JI:JI),0)</f>
        <v>51344</v>
      </c>
      <c r="F56" s="22">
        <f t="shared" si="3"/>
        <v>1.7142094017094016</v>
      </c>
      <c r="G56" s="59"/>
    </row>
    <row r="57" spans="1:7" s="11" customFormat="1" x14ac:dyDescent="0.2">
      <c r="A57" s="20">
        <v>22</v>
      </c>
      <c r="B57" s="179" t="s">
        <v>19</v>
      </c>
      <c r="C57" s="180"/>
      <c r="D57" s="15">
        <f>IF(F3="1",SUMIF(Data!A:A,'57'!$A$2,Data!DP:DP),0)</f>
        <v>9792</v>
      </c>
      <c r="E57" s="18">
        <f>IF(F3="1",SUMIF(Data!$A:$A,'57'!$A$2,Data!JJ:JJ),0)</f>
        <v>16786</v>
      </c>
      <c r="F57" s="22">
        <f t="shared" si="3"/>
        <v>1.7142565359477124</v>
      </c>
      <c r="G57" s="59"/>
    </row>
    <row r="58" spans="1:7" s="11" customFormat="1" x14ac:dyDescent="0.2">
      <c r="A58" s="20">
        <v>23</v>
      </c>
      <c r="B58" s="179" t="s">
        <v>20</v>
      </c>
      <c r="C58" s="180"/>
      <c r="D58" s="15">
        <f>IF(F3="1",SUMIF(Data!A:A,'57'!$A$2,Data!DQ:DQ),0)</f>
        <v>13728</v>
      </c>
      <c r="E58" s="18">
        <f>IF(F3="1",SUMIF(Data!$A:$A,'57'!$A$2,Data!JK:JK),0)</f>
        <v>23532</v>
      </c>
      <c r="F58" s="22">
        <f t="shared" si="3"/>
        <v>1.7141608391608392</v>
      </c>
      <c r="G58" s="59"/>
    </row>
    <row r="59" spans="1:7" s="11" customFormat="1" x14ac:dyDescent="0.2">
      <c r="A59" s="20">
        <v>24</v>
      </c>
      <c r="B59" s="179" t="s">
        <v>21</v>
      </c>
      <c r="C59" s="180"/>
      <c r="D59" s="15">
        <f>IF(F3="1",SUMIF(Data!A:A,'57'!$A$2,Data!DR:DR),0)</f>
        <v>5184</v>
      </c>
      <c r="E59" s="18">
        <f>IF(F3="1",SUMIF(Data!$A:$A,'57'!$A$2,Data!JL:JL),0)</f>
        <v>8887</v>
      </c>
      <c r="F59" s="22">
        <f t="shared" si="3"/>
        <v>1.7143132716049383</v>
      </c>
      <c r="G59" s="59"/>
    </row>
    <row r="60" spans="1:7" s="11" customFormat="1" x14ac:dyDescent="0.2">
      <c r="A60" s="20">
        <v>25</v>
      </c>
      <c r="B60" s="179" t="s">
        <v>22</v>
      </c>
      <c r="C60" s="180"/>
      <c r="D60" s="15">
        <f>IF(F3="1",SUMIF(Data!A:A,'57'!$A$2,Data!DS:DS),0)</f>
        <v>149120</v>
      </c>
      <c r="E60" s="18">
        <f>IF(F3="1",SUMIF(Data!$A:$A,'57'!$A$2,Data!JM:JM),0)</f>
        <v>255624</v>
      </c>
      <c r="F60" s="22">
        <f t="shared" si="3"/>
        <v>1.7142167381974249</v>
      </c>
      <c r="G60" s="59"/>
    </row>
    <row r="61" spans="1:7" s="11" customFormat="1" x14ac:dyDescent="0.2">
      <c r="A61" s="20">
        <v>26</v>
      </c>
      <c r="B61" s="179" t="s">
        <v>23</v>
      </c>
      <c r="C61" s="180"/>
      <c r="D61" s="15">
        <f>IF(F3="1",SUMIF(Data!A:A,'57'!$A$2,Data!DT:DT),0)</f>
        <v>75296</v>
      </c>
      <c r="E61" s="18">
        <f>IF(F3="1",SUMIF(Data!$A:$A,'57'!$A$2,Data!JN:JN),0)</f>
        <v>129073</v>
      </c>
      <c r="F61" s="22">
        <f t="shared" si="3"/>
        <v>1.7142079260518488</v>
      </c>
      <c r="G61" s="59"/>
    </row>
    <row r="62" spans="1:7" s="11" customFormat="1" x14ac:dyDescent="0.2">
      <c r="A62" s="20">
        <v>28</v>
      </c>
      <c r="B62" s="179" t="s">
        <v>24</v>
      </c>
      <c r="C62" s="180"/>
      <c r="D62" s="15">
        <f>IF(F3="1",SUMIF(Data!A:A,'57'!$A$2,Data!DV:DV),0)</f>
        <v>62736</v>
      </c>
      <c r="E62" s="18">
        <f>IF(F3="1",SUMIF(Data!$A:$A,'57'!$A$2,Data!JP:JP),0)</f>
        <v>107543</v>
      </c>
      <c r="F62" s="22">
        <f t="shared" si="3"/>
        <v>1.7142151236929355</v>
      </c>
      <c r="G62" s="59"/>
    </row>
    <row r="63" spans="1:7" s="11" customFormat="1" ht="15.75" customHeight="1" thickBot="1" x14ac:dyDescent="0.25">
      <c r="A63" s="23">
        <v>29</v>
      </c>
      <c r="B63" s="181" t="s">
        <v>25</v>
      </c>
      <c r="C63" s="182"/>
      <c r="D63" s="24">
        <f>IF(F3="1",SUMIF(Data!A:A,'57'!$A$2,Data!DW:DW),0)</f>
        <v>33552</v>
      </c>
      <c r="E63" s="25">
        <f>IF(F3="1",SUMIF(Data!$A:$A,'57'!$A$2,Data!JQ:JQ),0)</f>
        <v>57515</v>
      </c>
      <c r="F63" s="26">
        <f t="shared" si="3"/>
        <v>1.7142048164043873</v>
      </c>
      <c r="G63" s="59"/>
    </row>
    <row r="64" spans="1:7" s="11" customFormat="1" x14ac:dyDescent="0.2">
      <c r="B64" s="31" t="s">
        <v>35</v>
      </c>
      <c r="C64" s="31"/>
      <c r="D64" s="61">
        <f>SUM(D36:D63)</f>
        <v>1676845</v>
      </c>
      <c r="E64" s="32">
        <f>SUM(E36:E63)</f>
        <v>2874482</v>
      </c>
      <c r="F64" s="33">
        <f t="shared" si="3"/>
        <v>1.7142204556771794</v>
      </c>
      <c r="G64" s="59"/>
    </row>
    <row r="65" spans="1:7" s="11" customFormat="1" ht="15" thickBot="1" x14ac:dyDescent="0.25">
      <c r="B65" s="59"/>
      <c r="C65" s="59"/>
      <c r="D65" s="59"/>
      <c r="E65" s="59"/>
      <c r="F65" s="59"/>
      <c r="G65" s="59"/>
    </row>
    <row r="66" spans="1:7" s="11" customFormat="1" ht="29.25" customHeight="1" x14ac:dyDescent="0.2">
      <c r="A66" s="27" t="s">
        <v>26</v>
      </c>
      <c r="B66" s="189" t="s">
        <v>807</v>
      </c>
      <c r="C66" s="190"/>
      <c r="D66" s="29" t="s">
        <v>27</v>
      </c>
      <c r="E66" s="29" t="s">
        <v>802</v>
      </c>
      <c r="F66" s="30" t="s">
        <v>803</v>
      </c>
      <c r="G66" s="59"/>
    </row>
    <row r="67" spans="1:7" s="11" customFormat="1" x14ac:dyDescent="0.2">
      <c r="A67" s="20">
        <v>1</v>
      </c>
      <c r="B67" s="179" t="s">
        <v>0</v>
      </c>
      <c r="C67" s="180"/>
      <c r="D67" s="15">
        <f>D36</f>
        <v>0</v>
      </c>
      <c r="E67" s="16">
        <f>IF(F3="1",SUMIF(Data!A:A,'57'!$A$2,Data!DY:DY),0)</f>
        <v>0</v>
      </c>
      <c r="F67" s="21" t="str">
        <f>IFERROR(E67/D67,"")</f>
        <v/>
      </c>
      <c r="G67" s="59"/>
    </row>
    <row r="68" spans="1:7" s="11" customFormat="1" x14ac:dyDescent="0.2">
      <c r="A68" s="20">
        <v>2</v>
      </c>
      <c r="B68" s="179" t="s">
        <v>1</v>
      </c>
      <c r="C68" s="180"/>
      <c r="D68" s="15">
        <f t="shared" ref="D68:D94" si="4">D37</f>
        <v>0</v>
      </c>
      <c r="E68" s="18">
        <f>IF(F3="1",SUMIF(Data!A:A,'57'!$A$2,Data!DZ:DZ),0)</f>
        <v>0</v>
      </c>
      <c r="F68" s="22" t="str">
        <f t="shared" ref="F68:F95" si="5">IFERROR(E68/D68,"")</f>
        <v/>
      </c>
      <c r="G68" s="59"/>
    </row>
    <row r="69" spans="1:7" s="11" customFormat="1" ht="14.25" customHeight="1" x14ac:dyDescent="0.2">
      <c r="A69" s="20">
        <v>3</v>
      </c>
      <c r="B69" s="179" t="s">
        <v>2</v>
      </c>
      <c r="C69" s="180"/>
      <c r="D69" s="15">
        <f t="shared" si="4"/>
        <v>107360</v>
      </c>
      <c r="E69" s="18">
        <f>IF(F3="1",SUMIF(Data!A:A,'57'!$A$2,Data!EA:EA),0)</f>
        <v>267372</v>
      </c>
      <c r="F69" s="22">
        <f t="shared" si="5"/>
        <v>2.4904247391952312</v>
      </c>
      <c r="G69" s="59"/>
    </row>
    <row r="70" spans="1:7" ht="14.25" customHeight="1" x14ac:dyDescent="0.2">
      <c r="A70" s="20">
        <v>4</v>
      </c>
      <c r="B70" s="179" t="s">
        <v>3</v>
      </c>
      <c r="C70" s="180"/>
      <c r="D70" s="15">
        <f t="shared" si="4"/>
        <v>91104</v>
      </c>
      <c r="E70" s="18">
        <f>IF(F3="1",SUMIF(Data!A:A,'57'!$A$2,Data!EB:EB),0)</f>
        <v>226888</v>
      </c>
      <c r="F70" s="22">
        <f t="shared" si="5"/>
        <v>2.4904285212504389</v>
      </c>
    </row>
    <row r="71" spans="1:7" x14ac:dyDescent="0.2">
      <c r="A71" s="20">
        <v>5</v>
      </c>
      <c r="B71" s="179" t="s">
        <v>4</v>
      </c>
      <c r="C71" s="180"/>
      <c r="D71" s="15">
        <f t="shared" si="4"/>
        <v>0</v>
      </c>
      <c r="E71" s="18">
        <f>IF(F3="1",SUMIF(Data!A:A,'57'!$A$2,Data!EC:EC),0)</f>
        <v>0</v>
      </c>
      <c r="F71" s="22" t="str">
        <f t="shared" si="5"/>
        <v/>
      </c>
    </row>
    <row r="72" spans="1:7" x14ac:dyDescent="0.2">
      <c r="A72" s="20">
        <v>6</v>
      </c>
      <c r="B72" s="179" t="s">
        <v>5</v>
      </c>
      <c r="C72" s="180"/>
      <c r="D72" s="15">
        <f t="shared" si="4"/>
        <v>30656</v>
      </c>
      <c r="E72" s="18">
        <f>IF(F3="1",SUMIF(Data!A:A,'57'!$A$2,Data!ED:ED),0)</f>
        <v>76347</v>
      </c>
      <c r="F72" s="22">
        <f t="shared" si="5"/>
        <v>2.4904423277661794</v>
      </c>
    </row>
    <row r="73" spans="1:7" x14ac:dyDescent="0.2">
      <c r="A73" s="20">
        <v>7</v>
      </c>
      <c r="B73" s="179" t="s">
        <v>6</v>
      </c>
      <c r="C73" s="180"/>
      <c r="D73" s="15">
        <f t="shared" si="4"/>
        <v>145344</v>
      </c>
      <c r="E73" s="18">
        <f>IF(F3="1",SUMIF(Data!A:A,'57'!$A$2,Data!EE:EE),0)</f>
        <v>361969</v>
      </c>
      <c r="F73" s="22">
        <f t="shared" si="5"/>
        <v>2.4904296014971377</v>
      </c>
    </row>
    <row r="74" spans="1:7" x14ac:dyDescent="0.2">
      <c r="A74" s="20">
        <v>8</v>
      </c>
      <c r="B74" s="179" t="s">
        <v>7</v>
      </c>
      <c r="C74" s="180"/>
      <c r="D74" s="15">
        <f t="shared" si="4"/>
        <v>37341</v>
      </c>
      <c r="E74" s="18">
        <f>IF(F3="1",SUMIF(Data!A:A,'57'!$A$2,Data!EF:EF),0)</f>
        <v>92995</v>
      </c>
      <c r="F74" s="22">
        <f t="shared" si="5"/>
        <v>2.4904260732171073</v>
      </c>
    </row>
    <row r="75" spans="1:7" x14ac:dyDescent="0.2">
      <c r="A75" s="20">
        <v>9</v>
      </c>
      <c r="B75" s="179" t="s">
        <v>8</v>
      </c>
      <c r="C75" s="180"/>
      <c r="D75" s="15">
        <f t="shared" si="4"/>
        <v>140832</v>
      </c>
      <c r="E75" s="18">
        <f>IF(F3="1",SUMIF(Data!A:A,'57'!$A$2,Data!EG:EG),0)</f>
        <v>350732</v>
      </c>
      <c r="F75" s="22">
        <f t="shared" si="5"/>
        <v>2.4904283117473303</v>
      </c>
    </row>
    <row r="76" spans="1:7" x14ac:dyDescent="0.2">
      <c r="A76" s="20">
        <v>10</v>
      </c>
      <c r="B76" s="179" t="s">
        <v>9</v>
      </c>
      <c r="C76" s="180"/>
      <c r="D76" s="15">
        <f t="shared" si="4"/>
        <v>0</v>
      </c>
      <c r="E76" s="18">
        <f>IF(F3="1",SUMIF(Data!A:A,'57'!$A$2,Data!EH:EH),0)</f>
        <v>0</v>
      </c>
      <c r="F76" s="22" t="str">
        <f t="shared" si="5"/>
        <v/>
      </c>
    </row>
    <row r="77" spans="1:7" x14ac:dyDescent="0.2">
      <c r="A77" s="20">
        <v>11</v>
      </c>
      <c r="B77" s="179" t="s">
        <v>10</v>
      </c>
      <c r="C77" s="180"/>
      <c r="D77" s="15">
        <f t="shared" si="4"/>
        <v>101408</v>
      </c>
      <c r="E77" s="18">
        <f>IF(F3="1",SUMIF(Data!A:A,'57'!$A$2,Data!EI:EI),0)</f>
        <v>252549</v>
      </c>
      <c r="F77" s="22">
        <f t="shared" si="5"/>
        <v>2.4904248185547493</v>
      </c>
    </row>
    <row r="78" spans="1:7" ht="14.25" customHeight="1" x14ac:dyDescent="0.2">
      <c r="A78" s="20">
        <v>12</v>
      </c>
      <c r="B78" s="179" t="s">
        <v>11</v>
      </c>
      <c r="C78" s="180"/>
      <c r="D78" s="15">
        <f t="shared" si="4"/>
        <v>93648</v>
      </c>
      <c r="E78" s="18">
        <f>IF(F3="1",SUMIF(Data!A:A,'57'!$A$2,Data!EJ:EJ),0)</f>
        <v>233224</v>
      </c>
      <c r="F78" s="22">
        <f t="shared" si="5"/>
        <v>2.4904322569622415</v>
      </c>
    </row>
    <row r="79" spans="1:7" x14ac:dyDescent="0.2">
      <c r="A79" s="20">
        <v>13</v>
      </c>
      <c r="B79" s="179" t="s">
        <v>12</v>
      </c>
      <c r="C79" s="180"/>
      <c r="D79" s="15">
        <f t="shared" si="4"/>
        <v>5088</v>
      </c>
      <c r="E79" s="18">
        <f>IF(F3="1",SUMIF(Data!A:A,'57'!$A$2,Data!EK:EK),0)</f>
        <v>12671</v>
      </c>
      <c r="F79" s="22">
        <f t="shared" si="5"/>
        <v>2.490369496855346</v>
      </c>
    </row>
    <row r="80" spans="1:7" ht="14.25" customHeight="1" x14ac:dyDescent="0.2">
      <c r="A80" s="20">
        <v>14</v>
      </c>
      <c r="B80" s="179" t="s">
        <v>804</v>
      </c>
      <c r="C80" s="180"/>
      <c r="D80" s="15">
        <f t="shared" si="4"/>
        <v>248896</v>
      </c>
      <c r="E80" s="18">
        <f>IF(F3="1",SUMIF(Data!A:A,'57'!$A$2,Data!EL:EL),0)</f>
        <v>619857</v>
      </c>
      <c r="F80" s="22">
        <f t="shared" si="5"/>
        <v>2.4904257199794291</v>
      </c>
    </row>
    <row r="81" spans="1:6" x14ac:dyDescent="0.2">
      <c r="A81" s="20">
        <v>15</v>
      </c>
      <c r="B81" s="179" t="s">
        <v>13</v>
      </c>
      <c r="C81" s="180"/>
      <c r="D81" s="15">
        <f t="shared" si="4"/>
        <v>0</v>
      </c>
      <c r="E81" s="18">
        <f>IF(F3="1",SUMIF(Data!A:A,'57'!$A$2,Data!EM:EM),0)</f>
        <v>0</v>
      </c>
      <c r="F81" s="22" t="str">
        <f t="shared" si="5"/>
        <v/>
      </c>
    </row>
    <row r="82" spans="1:6" x14ac:dyDescent="0.2">
      <c r="A82" s="20">
        <v>16</v>
      </c>
      <c r="B82" s="179" t="s">
        <v>14</v>
      </c>
      <c r="C82" s="180"/>
      <c r="D82" s="15">
        <f t="shared" si="4"/>
        <v>74272</v>
      </c>
      <c r="E82" s="18">
        <f>IF(F3="1",SUMIF(Data!A:A,'57'!$A$2,Data!EN:EN),0)</f>
        <v>184969</v>
      </c>
      <c r="F82" s="22">
        <f t="shared" si="5"/>
        <v>2.4904270788453253</v>
      </c>
    </row>
    <row r="83" spans="1:6" x14ac:dyDescent="0.2">
      <c r="A83" s="20">
        <v>17</v>
      </c>
      <c r="B83" s="179" t="s">
        <v>15</v>
      </c>
      <c r="C83" s="180"/>
      <c r="D83" s="15">
        <f t="shared" si="4"/>
        <v>0</v>
      </c>
      <c r="E83" s="18">
        <f>IF(F3="1",SUMIF(Data!A:A,'57'!$A$2,Data!EO:EO),0)</f>
        <v>0</v>
      </c>
      <c r="F83" s="22" t="str">
        <f t="shared" si="5"/>
        <v/>
      </c>
    </row>
    <row r="84" spans="1:6" x14ac:dyDescent="0.2">
      <c r="A84" s="20">
        <v>18</v>
      </c>
      <c r="B84" s="179" t="s">
        <v>16</v>
      </c>
      <c r="C84" s="180"/>
      <c r="D84" s="15">
        <f t="shared" si="4"/>
        <v>148864</v>
      </c>
      <c r="E84" s="18">
        <f>IF(F3="1",SUMIF(Data!A:A,'57'!$A$2,Data!EP:EP),0)</f>
        <v>370735</v>
      </c>
      <c r="F84" s="22">
        <f t="shared" si="5"/>
        <v>2.4904275042992263</v>
      </c>
    </row>
    <row r="85" spans="1:6" x14ac:dyDescent="0.2">
      <c r="A85" s="20">
        <v>19</v>
      </c>
      <c r="B85" s="179" t="s">
        <v>17</v>
      </c>
      <c r="C85" s="180"/>
      <c r="D85" s="15">
        <f t="shared" si="4"/>
        <v>40896</v>
      </c>
      <c r="E85" s="18">
        <f>IF(F3="1",SUMIF(Data!A:A,'57'!$A$2,Data!EQ:EQ),0)</f>
        <v>101849</v>
      </c>
      <c r="F85" s="22">
        <f t="shared" si="5"/>
        <v>2.4904391627543037</v>
      </c>
    </row>
    <row r="86" spans="1:6" x14ac:dyDescent="0.2">
      <c r="A86" s="20">
        <v>20</v>
      </c>
      <c r="B86" s="179" t="s">
        <v>18</v>
      </c>
      <c r="C86" s="180"/>
      <c r="D86" s="15">
        <f t="shared" si="4"/>
        <v>31776</v>
      </c>
      <c r="E86" s="18">
        <f>IF(F3="1",SUMIF(Data!A:A,'57'!$A$2,Data!ER:ER),0)</f>
        <v>79136</v>
      </c>
      <c r="F86" s="22">
        <f t="shared" si="5"/>
        <v>2.4904330312185299</v>
      </c>
    </row>
    <row r="87" spans="1:6" ht="14.25" customHeight="1" x14ac:dyDescent="0.2">
      <c r="A87" s="20">
        <v>21</v>
      </c>
      <c r="B87" s="179" t="s">
        <v>801</v>
      </c>
      <c r="C87" s="180"/>
      <c r="D87" s="15">
        <f t="shared" si="4"/>
        <v>29952</v>
      </c>
      <c r="E87" s="18">
        <f>IF(F3="1",SUMIF(Data!A:A,'57'!$A$2,Data!ES:ES),0)</f>
        <v>74593</v>
      </c>
      <c r="F87" s="22">
        <f t="shared" si="5"/>
        <v>2.4904180021367521</v>
      </c>
    </row>
    <row r="88" spans="1:6" x14ac:dyDescent="0.2">
      <c r="A88" s="20">
        <v>22</v>
      </c>
      <c r="B88" s="179" t="s">
        <v>19</v>
      </c>
      <c r="C88" s="180"/>
      <c r="D88" s="15">
        <f t="shared" si="4"/>
        <v>9792</v>
      </c>
      <c r="E88" s="18">
        <f>IF(F3="1",SUMIF(Data!A:A,'57'!$A$2,Data!ET:ET),0)</f>
        <v>24386</v>
      </c>
      <c r="F88" s="22">
        <f t="shared" si="5"/>
        <v>2.4904003267973858</v>
      </c>
    </row>
    <row r="89" spans="1:6" x14ac:dyDescent="0.2">
      <c r="A89" s="20">
        <v>23</v>
      </c>
      <c r="B89" s="179" t="s">
        <v>20</v>
      </c>
      <c r="C89" s="180"/>
      <c r="D89" s="15">
        <f t="shared" si="4"/>
        <v>13728</v>
      </c>
      <c r="E89" s="18">
        <f>IF(F3="1",SUMIF(Data!A:A,'57'!$A$2,Data!EU:EU),0)</f>
        <v>34189</v>
      </c>
      <c r="F89" s="22">
        <f t="shared" si="5"/>
        <v>2.4904574592074593</v>
      </c>
    </row>
    <row r="90" spans="1:6" x14ac:dyDescent="0.2">
      <c r="A90" s="20">
        <v>24</v>
      </c>
      <c r="B90" s="179" t="s">
        <v>21</v>
      </c>
      <c r="C90" s="180"/>
      <c r="D90" s="15">
        <f t="shared" si="4"/>
        <v>5184</v>
      </c>
      <c r="E90" s="18">
        <f>IF(F3="1",SUMIF(Data!A:A,'57'!$A$2,Data!EV:EV),0)</f>
        <v>12910</v>
      </c>
      <c r="F90" s="22">
        <f t="shared" si="5"/>
        <v>2.4903549382716048</v>
      </c>
    </row>
    <row r="91" spans="1:6" x14ac:dyDescent="0.2">
      <c r="A91" s="20">
        <v>25</v>
      </c>
      <c r="B91" s="179" t="s">
        <v>22</v>
      </c>
      <c r="C91" s="180"/>
      <c r="D91" s="15">
        <f t="shared" si="4"/>
        <v>149120</v>
      </c>
      <c r="E91" s="18">
        <f>IF(F3="1",SUMIF(Data!A:A,'57'!$A$2,Data!EW:EW),0)</f>
        <v>371372</v>
      </c>
      <c r="F91" s="22">
        <f t="shared" si="5"/>
        <v>2.4904238197424893</v>
      </c>
    </row>
    <row r="92" spans="1:6" x14ac:dyDescent="0.2">
      <c r="A92" s="20">
        <v>26</v>
      </c>
      <c r="B92" s="179" t="s">
        <v>23</v>
      </c>
      <c r="C92" s="180"/>
      <c r="D92" s="15">
        <f t="shared" si="4"/>
        <v>75296</v>
      </c>
      <c r="E92" s="18">
        <f>IF(F3="1",SUMIF(Data!A:A,'57'!$A$2,Data!EX:EX),0)</f>
        <v>187519</v>
      </c>
      <c r="F92" s="22">
        <f t="shared" si="5"/>
        <v>2.4904244581385466</v>
      </c>
    </row>
    <row r="93" spans="1:6" x14ac:dyDescent="0.2">
      <c r="A93" s="20">
        <v>28</v>
      </c>
      <c r="B93" s="179" t="s">
        <v>24</v>
      </c>
      <c r="C93" s="180"/>
      <c r="D93" s="15">
        <f t="shared" si="4"/>
        <v>62736</v>
      </c>
      <c r="E93" s="18">
        <f>IF(F3="1",SUMIF(Data!A:A,'57'!$A$2,Data!EZ:EZ),0)</f>
        <v>156239</v>
      </c>
      <c r="F93" s="22">
        <f t="shared" si="5"/>
        <v>2.4904201734251465</v>
      </c>
    </row>
    <row r="94" spans="1:6" ht="15.75" customHeight="1" thickBot="1" x14ac:dyDescent="0.25">
      <c r="A94" s="23">
        <v>29</v>
      </c>
      <c r="B94" s="181" t="s">
        <v>25</v>
      </c>
      <c r="C94" s="182"/>
      <c r="D94" s="24">
        <f t="shared" si="4"/>
        <v>33552</v>
      </c>
      <c r="E94" s="25">
        <f>IF(F3="1",SUMIF(Data!A:A,'57'!$A$2,Data!FA:FA),0)</f>
        <v>83559</v>
      </c>
      <c r="F94" s="26">
        <f t="shared" si="5"/>
        <v>2.4904327610872676</v>
      </c>
    </row>
    <row r="95" spans="1:6" x14ac:dyDescent="0.2">
      <c r="B95" s="31" t="s">
        <v>35</v>
      </c>
      <c r="C95" s="31"/>
      <c r="D95" s="61">
        <f>SUM(D67:D94)</f>
        <v>1676845</v>
      </c>
      <c r="E95" s="32">
        <f>SUM(E67:E94)</f>
        <v>4176060</v>
      </c>
      <c r="F95" s="33">
        <f t="shared" si="5"/>
        <v>2.4904269625397695</v>
      </c>
    </row>
    <row r="96" spans="1:6" ht="15" thickBot="1" x14ac:dyDescent="0.25"/>
    <row r="97" spans="2:7" ht="29.25" customHeight="1" x14ac:dyDescent="0.2">
      <c r="B97" s="183" t="s">
        <v>808</v>
      </c>
      <c r="C97" s="184"/>
      <c r="D97" s="29" t="s">
        <v>27</v>
      </c>
      <c r="E97" s="34" t="s">
        <v>802</v>
      </c>
      <c r="F97" s="30" t="s">
        <v>803</v>
      </c>
    </row>
    <row r="98" spans="2:7" x14ac:dyDescent="0.2">
      <c r="B98" s="185" t="s">
        <v>30</v>
      </c>
      <c r="C98" s="186"/>
      <c r="D98" s="36"/>
      <c r="E98" s="16">
        <f>IF(F3="1",SUMIF(Data!A:A,'57'!$A$2,Data!AH:AH),0)</f>
        <v>3092402</v>
      </c>
      <c r="F98" s="21">
        <f t="shared" ref="F98:F105" si="6">IFERROR(E98/$D$95,0)</f>
        <v>1.8441788000679848</v>
      </c>
    </row>
    <row r="99" spans="2:7" x14ac:dyDescent="0.2">
      <c r="B99" s="185" t="s">
        <v>31</v>
      </c>
      <c r="C99" s="186"/>
      <c r="D99" s="37"/>
      <c r="E99" s="18">
        <f>IF(F3="1",SUMIF(Data!A:A,'57'!$A$2,Data!AI:AI),0)</f>
        <v>819656</v>
      </c>
      <c r="F99" s="22">
        <f t="shared" si="6"/>
        <v>0.48880844681529895</v>
      </c>
    </row>
    <row r="100" spans="2:7" x14ac:dyDescent="0.2">
      <c r="B100" s="185" t="s">
        <v>32</v>
      </c>
      <c r="C100" s="186"/>
      <c r="D100" s="37"/>
      <c r="E100" s="18">
        <f>IF(F3="1",SUMIF(Data!A:A,'57'!$A$2,Data!AJ:AJ),0)</f>
        <v>1310304</v>
      </c>
      <c r="F100" s="22">
        <f t="shared" si="6"/>
        <v>0.7814103271322036</v>
      </c>
    </row>
    <row r="101" spans="2:7" x14ac:dyDescent="0.2">
      <c r="B101" s="185" t="s">
        <v>28</v>
      </c>
      <c r="C101" s="186"/>
      <c r="D101" s="37"/>
      <c r="E101" s="18">
        <f>IF(F3="1",SUMIF(Data!A:A,'57'!$A$2,Data!AK:AK),0)</f>
        <v>0</v>
      </c>
      <c r="F101" s="22">
        <f t="shared" si="6"/>
        <v>0</v>
      </c>
    </row>
    <row r="102" spans="2:7" x14ac:dyDescent="0.2">
      <c r="B102" s="185" t="s">
        <v>33</v>
      </c>
      <c r="C102" s="186"/>
      <c r="D102" s="37"/>
      <c r="E102" s="18">
        <f>IF(F3="1",SUMIF(Data!A:A,'57'!$A$2,Data!AL:AL),0)</f>
        <v>8211</v>
      </c>
      <c r="F102" s="22">
        <f t="shared" si="6"/>
        <v>4.896695878271397E-3</v>
      </c>
    </row>
    <row r="103" spans="2:7" x14ac:dyDescent="0.2">
      <c r="B103" s="187" t="s">
        <v>34</v>
      </c>
      <c r="C103" s="188"/>
      <c r="D103" s="37"/>
      <c r="E103" s="18">
        <f>IF(F3="1",SUMIF(Data!A:A,'57'!$A$2,Data!AM:AM),0)</f>
        <v>891936</v>
      </c>
      <c r="F103" s="22">
        <f t="shared" si="6"/>
        <v>0.53191320605064873</v>
      </c>
    </row>
    <row r="104" spans="2:7" ht="15.75" customHeight="1" thickBot="1" x14ac:dyDescent="0.25">
      <c r="B104" s="177" t="s">
        <v>29</v>
      </c>
      <c r="C104" s="178"/>
      <c r="D104" s="38"/>
      <c r="E104" s="25">
        <f>IF(F3="1",SUMIF(Data!A:A,'57'!$A$2,Data!Q:Q),0)</f>
        <v>1068600</v>
      </c>
      <c r="F104" s="26">
        <f t="shared" si="6"/>
        <v>0.63726820308376741</v>
      </c>
    </row>
    <row r="105" spans="2:7" x14ac:dyDescent="0.2">
      <c r="B105" s="31" t="s">
        <v>35</v>
      </c>
      <c r="C105" s="31"/>
      <c r="D105" s="35">
        <f>D95</f>
        <v>1676845</v>
      </c>
      <c r="E105" s="32">
        <f>SUM(E98:E104)</f>
        <v>7191109</v>
      </c>
      <c r="F105" s="33">
        <f t="shared" si="6"/>
        <v>4.2884756790281751</v>
      </c>
    </row>
    <row r="107" spans="2:7" ht="15" thickBot="1" x14ac:dyDescent="0.25">
      <c r="B107" s="60" t="s">
        <v>1281</v>
      </c>
    </row>
    <row r="108" spans="2:7" ht="28.5" x14ac:dyDescent="0.2">
      <c r="B108" s="46" t="s">
        <v>1275</v>
      </c>
      <c r="C108" s="28" t="s">
        <v>1279</v>
      </c>
      <c r="D108" s="28" t="s">
        <v>29</v>
      </c>
      <c r="E108" s="28" t="s">
        <v>1280</v>
      </c>
      <c r="F108" s="47" t="s">
        <v>35</v>
      </c>
    </row>
    <row r="109" spans="2:7" x14ac:dyDescent="0.2">
      <c r="B109" s="43" t="s">
        <v>1276</v>
      </c>
      <c r="C109" s="16">
        <f>E95+IF(F3="1",SUMIF(Data!$A:$A,$A$2,Data!GF:GF),0)</f>
        <v>5219111</v>
      </c>
      <c r="D109" s="16">
        <f>IF(F3="1",SUMIF(Data!$A:$A,$A$2,Data!HJ:HJ),0)</f>
        <v>1489641</v>
      </c>
      <c r="E109" s="16">
        <f>IF(F3="1",SUMIF(Data!$A:$A,$A$2,Data!IN:IN),0)</f>
        <v>341790</v>
      </c>
      <c r="F109" s="48">
        <f>SUM(C109:E109)</f>
        <v>7050542</v>
      </c>
    </row>
    <row r="110" spans="2:7" s="11" customFormat="1" x14ac:dyDescent="0.2">
      <c r="B110" s="43" t="s">
        <v>28</v>
      </c>
      <c r="C110" s="51">
        <f>IF(F3="1",SUMIF(Data!A:A,$A$2,Data!W:W),0)</f>
        <v>0</v>
      </c>
      <c r="D110" s="52"/>
      <c r="E110" s="51">
        <f>IF(F3="1",SUMIF(Data!A:A,$A$2,Data!W:W),0)</f>
        <v>0</v>
      </c>
      <c r="F110" s="49">
        <f t="shared" ref="F110:F116" si="7">SUM(C110:E110)</f>
        <v>0</v>
      </c>
      <c r="G110" s="59"/>
    </row>
    <row r="111" spans="2:7" x14ac:dyDescent="0.2">
      <c r="B111" s="43" t="s">
        <v>1277</v>
      </c>
      <c r="C111" s="51">
        <f>IF(F3="1",SUMIF(Data!A:A,$A$2,Data!AS:AS),0)</f>
        <v>368688</v>
      </c>
      <c r="D111" s="52"/>
      <c r="E111" s="51">
        <f>IF(F3="1",SUMIF(Data!A:A,$A$2,Data!AX:AX),0)</f>
        <v>146980</v>
      </c>
      <c r="F111" s="49">
        <f t="shared" si="7"/>
        <v>515668</v>
      </c>
    </row>
    <row r="112" spans="2:7" x14ac:dyDescent="0.2">
      <c r="B112" s="43" t="s">
        <v>32</v>
      </c>
      <c r="C112" s="51">
        <f>IF(F3="1",SUMIF(Data!A:A,$A$2,Data!V:V),0)</f>
        <v>591301</v>
      </c>
      <c r="D112" s="52"/>
      <c r="E112" s="51">
        <f>IF(F3="1",SUMIF(Data!A:A,$A$2,Data!AC:AC),0)</f>
        <v>719003</v>
      </c>
      <c r="F112" s="49">
        <f t="shared" si="7"/>
        <v>1310304</v>
      </c>
    </row>
    <row r="113" spans="1:7" x14ac:dyDescent="0.2">
      <c r="B113" s="43" t="s">
        <v>31</v>
      </c>
      <c r="C113" s="51">
        <f>IF(F3="1",SUMIF(Data!A:A,$A$2,Data!U:U),0)</f>
        <v>816054</v>
      </c>
      <c r="D113" s="52"/>
      <c r="E113" s="51">
        <f>IF(F3="1",SUMIF(Data!A:A,$A$2,Data!AB:AB),0)</f>
        <v>3602</v>
      </c>
      <c r="F113" s="49">
        <f t="shared" si="7"/>
        <v>819656</v>
      </c>
    </row>
    <row r="114" spans="1:7" x14ac:dyDescent="0.2">
      <c r="B114" s="43" t="s">
        <v>1363</v>
      </c>
      <c r="C114" s="51">
        <f>IF(F3="1",SUMIF(Data!A:A,$A$2,Data!T:T),0)</f>
        <v>1982412</v>
      </c>
      <c r="D114" s="52"/>
      <c r="E114" s="51">
        <f>IF(F3="1",SUMIF(Data!A:A,$A$2,Data!AA:AA),0)</f>
        <v>1109990</v>
      </c>
      <c r="F114" s="49">
        <f t="shared" si="7"/>
        <v>3092402</v>
      </c>
    </row>
    <row r="115" spans="1:7" x14ac:dyDescent="0.2">
      <c r="B115" s="43" t="s">
        <v>1278</v>
      </c>
      <c r="C115" s="51">
        <f>IF(F3="1",SUMIF(Data!A:A,$A$2,Data!BI:BI),0)</f>
        <v>1065418</v>
      </c>
      <c r="D115" s="51">
        <f>IF(F3="1",SUMIF(Data!A:A,$A$2,Data!BL:BL),0)</f>
        <v>307263</v>
      </c>
      <c r="E115" s="51">
        <f>IF(F3="1",SUMIF(Data!A:A,$A$2,Data!BU:BU),0)</f>
        <v>1060117</v>
      </c>
      <c r="F115" s="49">
        <f t="shared" si="7"/>
        <v>2432798</v>
      </c>
    </row>
    <row r="116" spans="1:7" s="11" customFormat="1" x14ac:dyDescent="0.2">
      <c r="B116" s="43" t="s">
        <v>33</v>
      </c>
      <c r="C116" s="51">
        <f>IF(F3="1",SUMIF(Data!A:A,$A$2,Data!X:X),0)</f>
        <v>8211</v>
      </c>
      <c r="D116" s="51"/>
      <c r="E116" s="51">
        <f>E102</f>
        <v>8211</v>
      </c>
      <c r="F116" s="49">
        <f t="shared" si="7"/>
        <v>16422</v>
      </c>
      <c r="G116" s="59"/>
    </row>
    <row r="117" spans="1:7" s="11" customFormat="1" ht="15" thickBot="1" x14ac:dyDescent="0.25">
      <c r="B117" s="44" t="s">
        <v>1282</v>
      </c>
      <c r="C117" s="53"/>
      <c r="D117" s="53">
        <f>IF(F3="1",SUMIF(Data!A:A,$A$2,Data!Q:Q),0)</f>
        <v>1068600</v>
      </c>
      <c r="E117" s="53"/>
      <c r="F117" s="50">
        <f>SUM(C117:E117)</f>
        <v>1068600</v>
      </c>
      <c r="G117" s="59"/>
    </row>
    <row r="118" spans="1:7" x14ac:dyDescent="0.2">
      <c r="B118" s="14" t="s">
        <v>35</v>
      </c>
      <c r="C118" s="5">
        <f>SUM(C109:C116)</f>
        <v>10051195</v>
      </c>
      <c r="D118" s="5">
        <f>SUM(D109:D116)</f>
        <v>1796904</v>
      </c>
      <c r="E118" s="5">
        <f>SUM(E109:E116)</f>
        <v>3389693</v>
      </c>
      <c r="F118" s="5">
        <f>SUM(F109:F116)</f>
        <v>15237792</v>
      </c>
    </row>
    <row r="119" spans="1:7" ht="15" thickBot="1" x14ac:dyDescent="0.25"/>
    <row r="120" spans="1:7" s="11" customFormat="1" ht="15" thickBot="1" x14ac:dyDescent="0.25">
      <c r="B120" s="57" t="s">
        <v>1283</v>
      </c>
      <c r="C120" s="55"/>
      <c r="D120" s="55"/>
      <c r="E120" s="55">
        <f>IF(F3="1",SUMIF(Data!A:A,'57'!$A$2,Data!AM:AM),0)</f>
        <v>891936</v>
      </c>
      <c r="F120" s="56">
        <f>SUM(C120:E120)</f>
        <v>891936</v>
      </c>
      <c r="G120" s="59"/>
    </row>
    <row r="122" spans="1:7" s="64" customFormat="1" ht="101.25" customHeight="1" x14ac:dyDescent="0.2">
      <c r="A122" s="191" t="s">
        <v>1284</v>
      </c>
      <c r="B122" s="191"/>
      <c r="C122" s="191"/>
      <c r="D122" s="191"/>
      <c r="E122" s="191"/>
      <c r="F122" s="191"/>
    </row>
  </sheetData>
  <mergeCells count="96">
    <mergeCell ref="B10:C10"/>
    <mergeCell ref="B4:C4"/>
    <mergeCell ref="B5:C5"/>
    <mergeCell ref="B6:C6"/>
    <mergeCell ref="B7:C7"/>
    <mergeCell ref="B8:C8"/>
    <mergeCell ref="B9:C9"/>
    <mergeCell ref="B22:C22"/>
    <mergeCell ref="B11:C11"/>
    <mergeCell ref="B12:C12"/>
    <mergeCell ref="B13:C13"/>
    <mergeCell ref="B14:C14"/>
    <mergeCell ref="B15:C15"/>
    <mergeCell ref="B16:C16"/>
    <mergeCell ref="B17:C17"/>
    <mergeCell ref="B18:C18"/>
    <mergeCell ref="B19:C19"/>
    <mergeCell ref="B20:C20"/>
    <mergeCell ref="B21:C21"/>
    <mergeCell ref="B36:C36"/>
    <mergeCell ref="B23:C23"/>
    <mergeCell ref="B24:C24"/>
    <mergeCell ref="B25:C25"/>
    <mergeCell ref="B26:C26"/>
    <mergeCell ref="B27:C27"/>
    <mergeCell ref="B28:C28"/>
    <mergeCell ref="B29:C29"/>
    <mergeCell ref="B30:C30"/>
    <mergeCell ref="B31:C31"/>
    <mergeCell ref="B32:C32"/>
    <mergeCell ref="B35:C35"/>
    <mergeCell ref="B48:C48"/>
    <mergeCell ref="B37:C37"/>
    <mergeCell ref="B38:C38"/>
    <mergeCell ref="B39:C39"/>
    <mergeCell ref="B40:C40"/>
    <mergeCell ref="B41:C41"/>
    <mergeCell ref="B42:C42"/>
    <mergeCell ref="B43:C43"/>
    <mergeCell ref="B44:C44"/>
    <mergeCell ref="B45:C45"/>
    <mergeCell ref="B46:C46"/>
    <mergeCell ref="B47:C47"/>
    <mergeCell ref="B60:C60"/>
    <mergeCell ref="B61:C61"/>
    <mergeCell ref="B62:C62"/>
    <mergeCell ref="B66:C66"/>
    <mergeCell ref="B73:C73"/>
    <mergeCell ref="B86:C86"/>
    <mergeCell ref="B85:C85"/>
    <mergeCell ref="B84:C84"/>
    <mergeCell ref="B49:C49"/>
    <mergeCell ref="B50:C50"/>
    <mergeCell ref="B51:C51"/>
    <mergeCell ref="B52:C52"/>
    <mergeCell ref="B53:C53"/>
    <mergeCell ref="B54:C54"/>
    <mergeCell ref="B82:C82"/>
    <mergeCell ref="B55:C55"/>
    <mergeCell ref="B56:C56"/>
    <mergeCell ref="B57:C57"/>
    <mergeCell ref="B58:C58"/>
    <mergeCell ref="B67:C67"/>
    <mergeCell ref="B59:C59"/>
    <mergeCell ref="B102:C102"/>
    <mergeCell ref="B103:C103"/>
    <mergeCell ref="B69:C69"/>
    <mergeCell ref="B68:C68"/>
    <mergeCell ref="B99:C99"/>
    <mergeCell ref="B83:C83"/>
    <mergeCell ref="B94:C94"/>
    <mergeCell ref="B97:C97"/>
    <mergeCell ref="B98:C98"/>
    <mergeCell ref="B93:C93"/>
    <mergeCell ref="B92:C92"/>
    <mergeCell ref="B91:C91"/>
    <mergeCell ref="B90:C90"/>
    <mergeCell ref="B89:C89"/>
    <mergeCell ref="B88:C88"/>
    <mergeCell ref="B87:C87"/>
    <mergeCell ref="B104:C104"/>
    <mergeCell ref="B63:C63"/>
    <mergeCell ref="A122:F122"/>
    <mergeCell ref="B100:C100"/>
    <mergeCell ref="B101:C101"/>
    <mergeCell ref="B72:C72"/>
    <mergeCell ref="B71:C71"/>
    <mergeCell ref="B70:C70"/>
    <mergeCell ref="B81:C81"/>
    <mergeCell ref="B80:C80"/>
    <mergeCell ref="B79:C79"/>
    <mergeCell ref="B78:C78"/>
    <mergeCell ref="B77:C77"/>
    <mergeCell ref="B76:C76"/>
    <mergeCell ref="B75:C75"/>
    <mergeCell ref="B74:C74"/>
  </mergeCells>
  <pageMargins left="0.25" right="0.25" top="0.75" bottom="0.75" header="0.3" footer="0.3"/>
  <pageSetup orientation="landscape" r:id="rId1"/>
  <rowBreaks count="2" manualBreakCount="2">
    <brk id="64" max="16383" man="1"/>
    <brk id="95" max="16383"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B97"/>
  <sheetViews>
    <sheetView showGridLines="0" zoomScale="70" zoomScaleNormal="70" workbookViewId="0">
      <pane xSplit="1" ySplit="4" topLeftCell="BU5" activePane="bottomRight" state="frozen"/>
      <selection pane="topRight" activeCell="B1" sqref="B1"/>
      <selection pane="bottomLeft" activeCell="A2" sqref="A2"/>
      <selection pane="bottomRight" activeCell="CU1" sqref="CU1"/>
    </sheetView>
  </sheetViews>
  <sheetFormatPr defaultColWidth="27.7109375" defaultRowHeight="15" outlineLevelCol="1" x14ac:dyDescent="0.25"/>
  <cols>
    <col min="1" max="1" width="17.28515625" bestFit="1" customWidth="1"/>
    <col min="2" max="4" width="27.7109375" customWidth="1" outlineLevel="1"/>
    <col min="5" max="5" width="17.28515625" customWidth="1" outlineLevel="1"/>
    <col min="6" max="11" width="27.7109375" customWidth="1" outlineLevel="1"/>
    <col min="12" max="12" width="17.7109375" customWidth="1" outlineLevel="1" collapsed="1"/>
    <col min="13" max="13" width="16.85546875" customWidth="1" outlineLevel="1"/>
    <col min="14" max="14" width="16.85546875" customWidth="1" outlineLevel="1" collapsed="1"/>
    <col min="15" max="15" width="18.42578125" customWidth="1"/>
    <col min="16" max="16" width="15" customWidth="1"/>
    <col min="17" max="17" width="27.7109375" hidden="1" customWidth="1" outlineLevel="1"/>
    <col min="18" max="18" width="17.140625" hidden="1" customWidth="1" outlineLevel="1"/>
    <col min="19" max="19" width="18.28515625" customWidth="1" collapsed="1"/>
    <col min="20" max="25" width="27.7109375" hidden="1" customWidth="1" outlineLevel="1"/>
    <col min="26" max="26" width="27.7109375" collapsed="1"/>
    <col min="27" max="32" width="27.7109375" hidden="1" customWidth="1" outlineLevel="1"/>
    <col min="33" max="33" width="27.7109375" collapsed="1"/>
    <col min="34" max="39" width="27.7109375" hidden="1" customWidth="1" outlineLevel="1"/>
    <col min="40" max="40" width="27.7109375" collapsed="1"/>
    <col min="41" max="44" width="27.7109375" hidden="1" customWidth="1" outlineLevel="1"/>
    <col min="45" max="45" width="27.7109375" collapsed="1"/>
    <col min="46" max="49" width="27.7109375" hidden="1" customWidth="1" outlineLevel="1"/>
    <col min="50" max="50" width="27.7109375" collapsed="1"/>
    <col min="51" max="54" width="27.7109375" hidden="1" customWidth="1" outlineLevel="1"/>
    <col min="55" max="55" width="27.7109375" collapsed="1"/>
    <col min="56" max="56" width="27.7109375" hidden="1" customWidth="1" outlineLevel="1"/>
    <col min="57" max="57" width="28.7109375" hidden="1" customWidth="1" outlineLevel="1"/>
    <col min="58" max="60" width="27.7109375" hidden="1" customWidth="1" outlineLevel="1"/>
    <col min="61" max="61" width="27.7109375" collapsed="1"/>
    <col min="62" max="66" width="27.7109375" hidden="1" customWidth="1" outlineLevel="1"/>
    <col min="67" max="67" width="27.7109375" collapsed="1"/>
    <col min="68" max="72" width="27.7109375" hidden="1" customWidth="1" outlineLevel="1"/>
    <col min="73" max="73" width="27.7109375" collapsed="1"/>
    <col min="74" max="78" width="27.7109375" hidden="1" customWidth="1" outlineLevel="1"/>
    <col min="79" max="79" width="27.7109375" collapsed="1"/>
    <col min="80" max="94" width="27.7109375" hidden="1" customWidth="1" outlineLevel="1"/>
    <col min="95" max="95" width="27.7109375" collapsed="1"/>
    <col min="96" max="96" width="27.7109375" hidden="1" customWidth="1" outlineLevel="1"/>
    <col min="97" max="97" width="27.7109375" collapsed="1"/>
    <col min="99" max="127" width="27.7109375" customWidth="1" outlineLevel="1"/>
    <col min="129" max="157" width="27.7109375" hidden="1" customWidth="1" outlineLevel="1"/>
    <col min="158" max="158" width="27.7109375" collapsed="1"/>
    <col min="159" max="187" width="27.7109375" hidden="1" customWidth="1" outlineLevel="1"/>
    <col min="188" max="188" width="27.7109375" collapsed="1"/>
    <col min="189" max="217" width="27.7109375" hidden="1" customWidth="1" outlineLevel="1"/>
    <col min="218" max="218" width="27.7109375" collapsed="1"/>
    <col min="219" max="247" width="27.7109375" hidden="1" customWidth="1" outlineLevel="1"/>
    <col min="248" max="248" width="27.7109375" collapsed="1"/>
    <col min="249" max="277" width="27.7109375" hidden="1" customWidth="1" outlineLevel="1"/>
    <col min="278" max="278" width="27.7109375" collapsed="1"/>
    <col min="279" max="307" width="27.7109375" hidden="1" customWidth="1" outlineLevel="1"/>
    <col min="308" max="308" width="27.7109375" collapsed="1"/>
  </cols>
  <sheetData>
    <row r="1" spans="1:314" s="41" customFormat="1" ht="120" x14ac:dyDescent="0.25">
      <c r="A1" s="41" t="s">
        <v>1062</v>
      </c>
      <c r="B1" s="41" t="s">
        <v>1252</v>
      </c>
      <c r="C1" s="41" t="s">
        <v>1253</v>
      </c>
      <c r="D1" s="41" t="s">
        <v>1254</v>
      </c>
      <c r="E1" s="41" t="s">
        <v>1255</v>
      </c>
      <c r="F1" s="41" t="s">
        <v>1256</v>
      </c>
      <c r="G1" s="41" t="s">
        <v>1257</v>
      </c>
      <c r="H1" s="41" t="s">
        <v>1258</v>
      </c>
      <c r="I1" s="41" t="s">
        <v>1259</v>
      </c>
      <c r="J1" s="41" t="s">
        <v>1260</v>
      </c>
      <c r="K1" s="41" t="s">
        <v>1261</v>
      </c>
      <c r="L1" s="41" t="s">
        <v>815</v>
      </c>
      <c r="M1" s="41" t="s">
        <v>815</v>
      </c>
      <c r="N1" s="41" t="s">
        <v>815</v>
      </c>
      <c r="O1" s="41" t="s">
        <v>1061</v>
      </c>
      <c r="P1" s="41" t="s">
        <v>815</v>
      </c>
      <c r="Q1" s="41" t="s">
        <v>1250</v>
      </c>
      <c r="R1" s="41" t="s">
        <v>815</v>
      </c>
      <c r="S1" s="41" t="s">
        <v>815</v>
      </c>
      <c r="T1" s="41" t="s">
        <v>816</v>
      </c>
      <c r="U1" s="41" t="s">
        <v>817</v>
      </c>
      <c r="V1" s="41" t="s">
        <v>818</v>
      </c>
      <c r="W1" s="41" t="s">
        <v>824</v>
      </c>
      <c r="X1" s="41" t="s">
        <v>819</v>
      </c>
      <c r="Y1" s="41" t="s">
        <v>815</v>
      </c>
      <c r="Z1" s="41" t="s">
        <v>820</v>
      </c>
      <c r="AA1" s="41" t="s">
        <v>821</v>
      </c>
      <c r="AB1" s="41" t="s">
        <v>822</v>
      </c>
      <c r="AC1" s="41" t="s">
        <v>823</v>
      </c>
      <c r="AD1" s="41" t="s">
        <v>824</v>
      </c>
      <c r="AE1" s="41" t="s">
        <v>825</v>
      </c>
      <c r="AF1" s="41" t="s">
        <v>826</v>
      </c>
      <c r="AG1" s="41" t="s">
        <v>827</v>
      </c>
      <c r="AH1" s="41" t="s">
        <v>1244</v>
      </c>
      <c r="AI1" s="41" t="s">
        <v>1245</v>
      </c>
      <c r="AJ1" s="41" t="s">
        <v>1246</v>
      </c>
      <c r="AK1" s="41" t="s">
        <v>1247</v>
      </c>
      <c r="AL1" s="41" t="s">
        <v>1248</v>
      </c>
      <c r="AM1" s="41" t="s">
        <v>1249</v>
      </c>
      <c r="AN1" s="41" t="s">
        <v>1251</v>
      </c>
      <c r="AO1" s="41" t="s">
        <v>829</v>
      </c>
      <c r="AP1" s="41" t="s">
        <v>828</v>
      </c>
      <c r="AQ1" s="41" t="s">
        <v>830</v>
      </c>
      <c r="AR1" s="41" t="s">
        <v>815</v>
      </c>
      <c r="AS1" s="41" t="s">
        <v>831</v>
      </c>
      <c r="AT1" s="41" t="s">
        <v>832</v>
      </c>
      <c r="AU1" s="41" t="s">
        <v>833</v>
      </c>
      <c r="AV1" s="41" t="s">
        <v>834</v>
      </c>
      <c r="AW1" s="41" t="s">
        <v>835</v>
      </c>
      <c r="AX1" s="41" t="s">
        <v>836</v>
      </c>
      <c r="AY1" s="41" t="s">
        <v>837</v>
      </c>
      <c r="AZ1" s="41" t="s">
        <v>838</v>
      </c>
      <c r="BA1" s="41" t="s">
        <v>839</v>
      </c>
      <c r="BB1" s="41" t="s">
        <v>840</v>
      </c>
      <c r="BC1" s="41" t="s">
        <v>841</v>
      </c>
      <c r="BD1" s="41" t="s">
        <v>842</v>
      </c>
      <c r="BE1" s="41" t="s">
        <v>843</v>
      </c>
      <c r="BF1" s="41" t="s">
        <v>815</v>
      </c>
      <c r="BG1" s="41" t="s">
        <v>815</v>
      </c>
      <c r="BH1" s="41" t="s">
        <v>815</v>
      </c>
      <c r="BI1" s="41" t="s">
        <v>844</v>
      </c>
      <c r="BJ1" s="41" t="s">
        <v>815</v>
      </c>
      <c r="BK1" s="41" t="s">
        <v>815</v>
      </c>
      <c r="BL1" s="41" t="s">
        <v>845</v>
      </c>
      <c r="BM1" s="41" t="s">
        <v>815</v>
      </c>
      <c r="BN1" s="41" t="s">
        <v>815</v>
      </c>
      <c r="BO1" s="41" t="s">
        <v>845</v>
      </c>
      <c r="BP1" s="41" t="s">
        <v>846</v>
      </c>
      <c r="BQ1" s="41" t="s">
        <v>847</v>
      </c>
      <c r="BR1" s="41" t="s">
        <v>815</v>
      </c>
      <c r="BS1" s="41" t="s">
        <v>815</v>
      </c>
      <c r="BT1" s="41" t="s">
        <v>848</v>
      </c>
      <c r="BU1" s="41" t="s">
        <v>849</v>
      </c>
      <c r="BV1" s="41" t="s">
        <v>850</v>
      </c>
      <c r="BW1" s="41" t="s">
        <v>851</v>
      </c>
      <c r="BX1" s="41" t="s">
        <v>852</v>
      </c>
      <c r="BY1" s="41" t="s">
        <v>815</v>
      </c>
      <c r="BZ1" s="41" t="s">
        <v>853</v>
      </c>
      <c r="CA1" s="41" t="s">
        <v>854</v>
      </c>
      <c r="CB1" s="41" t="s">
        <v>815</v>
      </c>
      <c r="CC1" s="41" t="s">
        <v>815</v>
      </c>
      <c r="CD1" s="41" t="s">
        <v>815</v>
      </c>
      <c r="CE1" s="41" t="s">
        <v>815</v>
      </c>
      <c r="CF1" s="41" t="s">
        <v>815</v>
      </c>
      <c r="CG1" s="41" t="s">
        <v>815</v>
      </c>
      <c r="CH1" s="41" t="s">
        <v>815</v>
      </c>
      <c r="CI1" s="41" t="s">
        <v>815</v>
      </c>
      <c r="CJ1" s="41" t="s">
        <v>815</v>
      </c>
      <c r="CK1" s="41" t="s">
        <v>815</v>
      </c>
      <c r="CL1" s="41" t="s">
        <v>815</v>
      </c>
      <c r="CM1" s="41" t="s">
        <v>815</v>
      </c>
      <c r="CN1" s="41" t="s">
        <v>815</v>
      </c>
      <c r="CO1" s="41" t="s">
        <v>815</v>
      </c>
      <c r="CP1" s="41" t="s">
        <v>815</v>
      </c>
      <c r="CQ1" s="41" t="s">
        <v>815</v>
      </c>
      <c r="CR1" s="41" t="s">
        <v>1262</v>
      </c>
      <c r="CS1" s="41" t="s">
        <v>855</v>
      </c>
      <c r="CT1" s="41" t="s">
        <v>815</v>
      </c>
      <c r="CU1" s="41" t="s">
        <v>856</v>
      </c>
      <c r="CV1" s="41" t="s">
        <v>857</v>
      </c>
      <c r="CW1" s="41" t="s">
        <v>858</v>
      </c>
      <c r="CX1" s="41" t="s">
        <v>859</v>
      </c>
      <c r="CY1" s="41" t="s">
        <v>860</v>
      </c>
      <c r="CZ1" s="41" t="s">
        <v>861</v>
      </c>
      <c r="DA1" s="41" t="s">
        <v>862</v>
      </c>
      <c r="DB1" s="41" t="s">
        <v>863</v>
      </c>
      <c r="DC1" s="41" t="s">
        <v>864</v>
      </c>
      <c r="DD1" s="41" t="s">
        <v>865</v>
      </c>
      <c r="DE1" s="41" t="s">
        <v>866</v>
      </c>
      <c r="DF1" s="41" t="s">
        <v>867</v>
      </c>
      <c r="DG1" s="41" t="s">
        <v>868</v>
      </c>
      <c r="DH1" s="41" t="s">
        <v>869</v>
      </c>
      <c r="DI1" s="41" t="s">
        <v>870</v>
      </c>
      <c r="DJ1" s="41" t="s">
        <v>871</v>
      </c>
      <c r="DK1" s="41" t="s">
        <v>872</v>
      </c>
      <c r="DL1" s="41" t="s">
        <v>873</v>
      </c>
      <c r="DM1" s="41" t="s">
        <v>874</v>
      </c>
      <c r="DN1" s="41" t="s">
        <v>875</v>
      </c>
      <c r="DO1" s="41" t="s">
        <v>876</v>
      </c>
      <c r="DP1" s="41" t="s">
        <v>877</v>
      </c>
      <c r="DQ1" s="41" t="s">
        <v>878</v>
      </c>
      <c r="DR1" s="41" t="s">
        <v>879</v>
      </c>
      <c r="DS1" s="41" t="s">
        <v>880</v>
      </c>
      <c r="DT1" s="41" t="s">
        <v>881</v>
      </c>
      <c r="DU1" s="41" t="s">
        <v>815</v>
      </c>
      <c r="DV1" s="41" t="s">
        <v>882</v>
      </c>
      <c r="DW1" s="41" t="s">
        <v>883</v>
      </c>
      <c r="DX1" s="41" t="s">
        <v>884</v>
      </c>
      <c r="DY1" s="41" t="s">
        <v>885</v>
      </c>
      <c r="DZ1" s="41" t="s">
        <v>886</v>
      </c>
      <c r="EA1" s="41" t="s">
        <v>887</v>
      </c>
      <c r="EB1" s="41" t="s">
        <v>888</v>
      </c>
      <c r="EC1" s="41" t="s">
        <v>889</v>
      </c>
      <c r="ED1" s="41" t="s">
        <v>890</v>
      </c>
      <c r="EE1" s="41" t="s">
        <v>891</v>
      </c>
      <c r="EF1" s="41" t="s">
        <v>892</v>
      </c>
      <c r="EG1" s="41" t="s">
        <v>893</v>
      </c>
      <c r="EH1" s="41" t="s">
        <v>894</v>
      </c>
      <c r="EI1" s="41" t="s">
        <v>895</v>
      </c>
      <c r="EJ1" s="41" t="s">
        <v>896</v>
      </c>
      <c r="EK1" s="41" t="s">
        <v>897</v>
      </c>
      <c r="EL1" s="41" t="s">
        <v>898</v>
      </c>
      <c r="EM1" s="41" t="s">
        <v>899</v>
      </c>
      <c r="EN1" s="41" t="s">
        <v>900</v>
      </c>
      <c r="EO1" s="41" t="s">
        <v>901</v>
      </c>
      <c r="EP1" s="41" t="s">
        <v>902</v>
      </c>
      <c r="EQ1" s="41" t="s">
        <v>903</v>
      </c>
      <c r="ER1" s="41" t="s">
        <v>904</v>
      </c>
      <c r="ES1" s="41" t="s">
        <v>905</v>
      </c>
      <c r="ET1" s="41" t="s">
        <v>906</v>
      </c>
      <c r="EU1" s="41" t="s">
        <v>907</v>
      </c>
      <c r="EV1" s="41" t="s">
        <v>908</v>
      </c>
      <c r="EW1" s="41" t="s">
        <v>909</v>
      </c>
      <c r="EX1" s="41" t="s">
        <v>910</v>
      </c>
      <c r="EY1" s="41" t="s">
        <v>815</v>
      </c>
      <c r="EZ1" s="41" t="s">
        <v>911</v>
      </c>
      <c r="FA1" s="41" t="s">
        <v>912</v>
      </c>
      <c r="FB1" s="41" t="s">
        <v>913</v>
      </c>
      <c r="FC1" s="41" t="s">
        <v>914</v>
      </c>
      <c r="FD1" s="41" t="s">
        <v>915</v>
      </c>
      <c r="FE1" s="41" t="s">
        <v>916</v>
      </c>
      <c r="FF1" s="41" t="s">
        <v>917</v>
      </c>
      <c r="FG1" s="41" t="s">
        <v>918</v>
      </c>
      <c r="FH1" s="41" t="s">
        <v>919</v>
      </c>
      <c r="FI1" s="41" t="s">
        <v>920</v>
      </c>
      <c r="FJ1" s="41" t="s">
        <v>921</v>
      </c>
      <c r="FK1" s="41" t="s">
        <v>922</v>
      </c>
      <c r="FL1" s="41" t="s">
        <v>923</v>
      </c>
      <c r="FM1" s="41" t="s">
        <v>924</v>
      </c>
      <c r="FN1" s="41" t="s">
        <v>925</v>
      </c>
      <c r="FO1" s="41" t="s">
        <v>926</v>
      </c>
      <c r="FP1" s="41" t="s">
        <v>927</v>
      </c>
      <c r="FQ1" s="41" t="s">
        <v>928</v>
      </c>
      <c r="FR1" s="41" t="s">
        <v>929</v>
      </c>
      <c r="FS1" s="41" t="s">
        <v>930</v>
      </c>
      <c r="FT1" s="41" t="s">
        <v>931</v>
      </c>
      <c r="FU1" s="41" t="s">
        <v>932</v>
      </c>
      <c r="FV1" s="41" t="s">
        <v>933</v>
      </c>
      <c r="FW1" s="41" t="s">
        <v>934</v>
      </c>
      <c r="FX1" s="41" t="s">
        <v>935</v>
      </c>
      <c r="FY1" s="41" t="s">
        <v>936</v>
      </c>
      <c r="FZ1" s="41" t="s">
        <v>937</v>
      </c>
      <c r="GA1" s="41" t="s">
        <v>938</v>
      </c>
      <c r="GB1" s="41" t="s">
        <v>939</v>
      </c>
      <c r="GC1" s="41" t="s">
        <v>815</v>
      </c>
      <c r="GD1" s="41" t="s">
        <v>940</v>
      </c>
      <c r="GE1" s="41" t="s">
        <v>941</v>
      </c>
      <c r="GF1" s="41" t="s">
        <v>942</v>
      </c>
      <c r="GG1" s="41" t="s">
        <v>943</v>
      </c>
      <c r="GH1" s="41" t="s">
        <v>944</v>
      </c>
      <c r="GI1" s="41" t="s">
        <v>945</v>
      </c>
      <c r="GJ1" s="41" t="s">
        <v>946</v>
      </c>
      <c r="GK1" s="41" t="s">
        <v>947</v>
      </c>
      <c r="GL1" s="41" t="s">
        <v>948</v>
      </c>
      <c r="GM1" s="41" t="s">
        <v>949</v>
      </c>
      <c r="GN1" s="41" t="s">
        <v>950</v>
      </c>
      <c r="GO1" s="41" t="s">
        <v>951</v>
      </c>
      <c r="GP1" s="41" t="s">
        <v>952</v>
      </c>
      <c r="GQ1" s="41" t="s">
        <v>953</v>
      </c>
      <c r="GR1" s="41" t="s">
        <v>954</v>
      </c>
      <c r="GS1" s="41" t="s">
        <v>955</v>
      </c>
      <c r="GT1" s="41" t="s">
        <v>956</v>
      </c>
      <c r="GU1" s="41" t="s">
        <v>957</v>
      </c>
      <c r="GV1" s="41" t="s">
        <v>958</v>
      </c>
      <c r="GW1" s="41" t="s">
        <v>959</v>
      </c>
      <c r="GX1" s="41" t="s">
        <v>960</v>
      </c>
      <c r="GY1" s="41" t="s">
        <v>961</v>
      </c>
      <c r="GZ1" s="41" t="s">
        <v>962</v>
      </c>
      <c r="HA1" s="41" t="s">
        <v>963</v>
      </c>
      <c r="HB1" s="41" t="s">
        <v>964</v>
      </c>
      <c r="HC1" s="41" t="s">
        <v>965</v>
      </c>
      <c r="HD1" s="41" t="s">
        <v>966</v>
      </c>
      <c r="HE1" s="41" t="s">
        <v>967</v>
      </c>
      <c r="HF1" s="41" t="s">
        <v>968</v>
      </c>
      <c r="HG1" s="41" t="s">
        <v>815</v>
      </c>
      <c r="HH1" s="41" t="s">
        <v>969</v>
      </c>
      <c r="HI1" s="41" t="s">
        <v>970</v>
      </c>
      <c r="HJ1" s="41" t="s">
        <v>971</v>
      </c>
      <c r="HK1" s="41" t="s">
        <v>972</v>
      </c>
      <c r="HL1" s="41" t="s">
        <v>973</v>
      </c>
      <c r="HM1" s="41" t="s">
        <v>974</v>
      </c>
      <c r="HN1" s="41" t="s">
        <v>975</v>
      </c>
      <c r="HO1" s="41" t="s">
        <v>976</v>
      </c>
      <c r="HP1" s="41" t="s">
        <v>977</v>
      </c>
      <c r="HQ1" s="41" t="s">
        <v>978</v>
      </c>
      <c r="HR1" s="41" t="s">
        <v>979</v>
      </c>
      <c r="HS1" s="41" t="s">
        <v>980</v>
      </c>
      <c r="HT1" s="41" t="s">
        <v>981</v>
      </c>
      <c r="HU1" s="41" t="s">
        <v>982</v>
      </c>
      <c r="HV1" s="41" t="s">
        <v>983</v>
      </c>
      <c r="HW1" s="41" t="s">
        <v>984</v>
      </c>
      <c r="HX1" s="41" t="s">
        <v>985</v>
      </c>
      <c r="HY1" s="41" t="s">
        <v>986</v>
      </c>
      <c r="HZ1" s="41" t="s">
        <v>987</v>
      </c>
      <c r="IA1" s="41" t="s">
        <v>988</v>
      </c>
      <c r="IB1" s="41" t="s">
        <v>989</v>
      </c>
      <c r="IC1" s="41" t="s">
        <v>990</v>
      </c>
      <c r="ID1" s="41" t="s">
        <v>991</v>
      </c>
      <c r="IE1" s="41" t="s">
        <v>992</v>
      </c>
      <c r="IF1" s="41" t="s">
        <v>993</v>
      </c>
      <c r="IG1" s="41" t="s">
        <v>994</v>
      </c>
      <c r="IH1" s="41" t="s">
        <v>995</v>
      </c>
      <c r="II1" s="41" t="s">
        <v>996</v>
      </c>
      <c r="IJ1" s="41" t="s">
        <v>997</v>
      </c>
      <c r="IK1" s="41" t="s">
        <v>815</v>
      </c>
      <c r="IL1" s="41" t="s">
        <v>998</v>
      </c>
      <c r="IM1" s="41" t="s">
        <v>999</v>
      </c>
      <c r="IN1" s="41" t="s">
        <v>1000</v>
      </c>
      <c r="IO1" s="41" t="s">
        <v>1001</v>
      </c>
      <c r="IP1" s="41" t="s">
        <v>1002</v>
      </c>
      <c r="IQ1" s="41" t="s">
        <v>1003</v>
      </c>
      <c r="IR1" s="41" t="s">
        <v>1004</v>
      </c>
      <c r="IS1" s="41" t="s">
        <v>1005</v>
      </c>
      <c r="IT1" s="41" t="s">
        <v>1006</v>
      </c>
      <c r="IU1" s="41" t="s">
        <v>1007</v>
      </c>
      <c r="IV1" s="41" t="s">
        <v>1008</v>
      </c>
      <c r="IW1" s="41" t="s">
        <v>1009</v>
      </c>
      <c r="IX1" s="41" t="s">
        <v>1010</v>
      </c>
      <c r="IY1" s="41" t="s">
        <v>1011</v>
      </c>
      <c r="IZ1" s="41" t="s">
        <v>1012</v>
      </c>
      <c r="JA1" s="41" t="s">
        <v>1013</v>
      </c>
      <c r="JB1" s="41" t="s">
        <v>1014</v>
      </c>
      <c r="JC1" s="41" t="s">
        <v>1015</v>
      </c>
      <c r="JD1" s="41" t="s">
        <v>1016</v>
      </c>
      <c r="JE1" s="41" t="s">
        <v>1017</v>
      </c>
      <c r="JF1" s="41" t="s">
        <v>1018</v>
      </c>
      <c r="JG1" s="41" t="s">
        <v>1019</v>
      </c>
      <c r="JH1" s="41" t="s">
        <v>1020</v>
      </c>
      <c r="JI1" s="41" t="s">
        <v>1021</v>
      </c>
      <c r="JJ1" s="41" t="s">
        <v>1022</v>
      </c>
      <c r="JK1" s="41" t="s">
        <v>1023</v>
      </c>
      <c r="JL1" s="41" t="s">
        <v>1024</v>
      </c>
      <c r="JM1" s="41" t="s">
        <v>1025</v>
      </c>
      <c r="JN1" s="41" t="s">
        <v>1026</v>
      </c>
      <c r="JO1" s="41" t="s">
        <v>815</v>
      </c>
      <c r="JP1" s="41" t="s">
        <v>1027</v>
      </c>
      <c r="JQ1" s="41" t="s">
        <v>1028</v>
      </c>
      <c r="JR1" s="41" t="s">
        <v>1029</v>
      </c>
      <c r="JS1" s="41" t="s">
        <v>1030</v>
      </c>
      <c r="JT1" s="41" t="s">
        <v>1031</v>
      </c>
      <c r="JU1" s="41" t="s">
        <v>1032</v>
      </c>
      <c r="JV1" s="41" t="s">
        <v>1033</v>
      </c>
      <c r="JW1" s="41" t="s">
        <v>1034</v>
      </c>
      <c r="JX1" s="41" t="s">
        <v>1035</v>
      </c>
      <c r="JY1" s="41" t="s">
        <v>1036</v>
      </c>
      <c r="JZ1" s="41" t="s">
        <v>1037</v>
      </c>
      <c r="KA1" s="41" t="s">
        <v>1038</v>
      </c>
      <c r="KB1" s="41" t="s">
        <v>1039</v>
      </c>
      <c r="KC1" s="41" t="s">
        <v>1040</v>
      </c>
      <c r="KD1" s="41" t="s">
        <v>1041</v>
      </c>
      <c r="KE1" s="41" t="s">
        <v>1042</v>
      </c>
      <c r="KF1" s="41" t="s">
        <v>1043</v>
      </c>
      <c r="KG1" s="41" t="s">
        <v>1044</v>
      </c>
      <c r="KH1" s="41" t="s">
        <v>1045</v>
      </c>
      <c r="KI1" s="41" t="s">
        <v>1046</v>
      </c>
      <c r="KJ1" s="41" t="s">
        <v>1047</v>
      </c>
      <c r="KK1" s="41" t="s">
        <v>1048</v>
      </c>
      <c r="KL1" s="41" t="s">
        <v>1049</v>
      </c>
      <c r="KM1" s="41" t="s">
        <v>1050</v>
      </c>
      <c r="KN1" s="41" t="s">
        <v>1051</v>
      </c>
      <c r="KO1" s="41" t="s">
        <v>1052</v>
      </c>
      <c r="KP1" s="41" t="s">
        <v>1053</v>
      </c>
      <c r="KQ1" s="41" t="s">
        <v>1054</v>
      </c>
      <c r="KR1" s="41" t="s">
        <v>1055</v>
      </c>
      <c r="KS1" s="41" t="s">
        <v>815</v>
      </c>
      <c r="KT1" s="41" t="s">
        <v>1056</v>
      </c>
      <c r="KU1" s="41" t="s">
        <v>1057</v>
      </c>
      <c r="KV1" s="41" t="s">
        <v>1058</v>
      </c>
      <c r="KW1" s="41" t="s">
        <v>1243</v>
      </c>
      <c r="KX1" s="41" t="s">
        <v>1242</v>
      </c>
      <c r="KY1" s="41" t="s">
        <v>1364</v>
      </c>
      <c r="KZ1" s="41" t="s">
        <v>1241</v>
      </c>
      <c r="LA1" s="41" t="s">
        <v>1060</v>
      </c>
      <c r="LB1" s="41" t="s">
        <v>1059</v>
      </c>
    </row>
    <row r="2" spans="1:314" s="41" customFormat="1" x14ac:dyDescent="0.25">
      <c r="A2" s="41" t="s">
        <v>1063</v>
      </c>
      <c r="B2" s="41" t="s">
        <v>1263</v>
      </c>
      <c r="C2" s="41" t="s">
        <v>1264</v>
      </c>
      <c r="D2" s="41" t="s">
        <v>1264</v>
      </c>
      <c r="E2" s="41" t="s">
        <v>1264</v>
      </c>
      <c r="F2" s="41" t="s">
        <v>1265</v>
      </c>
      <c r="G2" s="41" t="s">
        <v>1264</v>
      </c>
      <c r="H2" s="41" t="s">
        <v>1266</v>
      </c>
      <c r="I2" s="41" t="s">
        <v>1266</v>
      </c>
      <c r="J2" s="41" t="s">
        <v>1266</v>
      </c>
      <c r="K2" s="41" t="s">
        <v>1266</v>
      </c>
      <c r="L2" s="41" t="s">
        <v>815</v>
      </c>
      <c r="M2" s="41" t="s">
        <v>815</v>
      </c>
      <c r="N2" s="41" t="s">
        <v>815</v>
      </c>
      <c r="O2" s="41" t="s">
        <v>1267</v>
      </c>
      <c r="P2" s="41" t="s">
        <v>815</v>
      </c>
      <c r="Q2" s="41" t="s">
        <v>1268</v>
      </c>
      <c r="R2" s="41" t="s">
        <v>815</v>
      </c>
      <c r="S2" s="41" t="s">
        <v>1268</v>
      </c>
      <c r="T2" s="41" t="s">
        <v>1269</v>
      </c>
      <c r="U2" s="41" t="s">
        <v>1269</v>
      </c>
      <c r="V2" s="41" t="s">
        <v>1269</v>
      </c>
      <c r="W2" s="41" t="s">
        <v>1269</v>
      </c>
      <c r="X2" s="41" t="s">
        <v>1269</v>
      </c>
      <c r="Y2" s="41" t="s">
        <v>1269</v>
      </c>
      <c r="Z2" s="41" t="s">
        <v>1269</v>
      </c>
      <c r="AA2" s="41" t="s">
        <v>1269</v>
      </c>
      <c r="AB2" s="41" t="s">
        <v>1269</v>
      </c>
      <c r="AC2" s="41" t="s">
        <v>1269</v>
      </c>
      <c r="AD2" s="41" t="s">
        <v>1269</v>
      </c>
      <c r="AE2" s="41" t="s">
        <v>1269</v>
      </c>
      <c r="AF2" s="41" t="s">
        <v>1269</v>
      </c>
      <c r="AG2" s="41" t="s">
        <v>1269</v>
      </c>
      <c r="AH2" s="41" t="s">
        <v>1269</v>
      </c>
      <c r="AI2" s="41" t="s">
        <v>1269</v>
      </c>
      <c r="AJ2" s="41" t="s">
        <v>1269</v>
      </c>
      <c r="AK2" s="41" t="s">
        <v>1269</v>
      </c>
      <c r="AL2" s="41" t="s">
        <v>1269</v>
      </c>
      <c r="AM2" s="41" t="s">
        <v>1269</v>
      </c>
      <c r="AN2" s="41" t="s">
        <v>1269</v>
      </c>
      <c r="AO2" s="41" t="s">
        <v>1270</v>
      </c>
      <c r="AP2" s="41" t="s">
        <v>1270</v>
      </c>
      <c r="AQ2" s="41" t="s">
        <v>1270</v>
      </c>
      <c r="AR2" s="41" t="s">
        <v>1270</v>
      </c>
      <c r="AS2" s="41" t="s">
        <v>1270</v>
      </c>
      <c r="AT2" s="41" t="s">
        <v>1270</v>
      </c>
      <c r="AU2" s="41" t="s">
        <v>1270</v>
      </c>
      <c r="AV2" s="41" t="s">
        <v>1270</v>
      </c>
      <c r="AW2" s="41" t="s">
        <v>1270</v>
      </c>
      <c r="AX2" s="41" t="s">
        <v>1270</v>
      </c>
      <c r="AY2" s="41" t="s">
        <v>1270</v>
      </c>
      <c r="AZ2" s="41" t="s">
        <v>1270</v>
      </c>
      <c r="BA2" s="41" t="s">
        <v>1270</v>
      </c>
      <c r="BB2" s="41" t="s">
        <v>1270</v>
      </c>
      <c r="BC2" s="41" t="s">
        <v>1270</v>
      </c>
      <c r="BD2" s="41" t="s">
        <v>1271</v>
      </c>
      <c r="BE2" s="41" t="s">
        <v>1271</v>
      </c>
      <c r="BF2" s="41" t="s">
        <v>1271</v>
      </c>
      <c r="BG2" s="41" t="s">
        <v>1271</v>
      </c>
      <c r="BH2" s="41" t="s">
        <v>1271</v>
      </c>
      <c r="BI2" s="41" t="s">
        <v>1271</v>
      </c>
      <c r="BJ2" s="41" t="s">
        <v>1271</v>
      </c>
      <c r="BK2" s="41" t="s">
        <v>1271</v>
      </c>
      <c r="BL2" s="41" t="s">
        <v>1271</v>
      </c>
      <c r="BM2" s="41" t="s">
        <v>1271</v>
      </c>
      <c r="BN2" s="41" t="s">
        <v>1271</v>
      </c>
      <c r="BO2" s="41" t="s">
        <v>1271</v>
      </c>
      <c r="BP2" s="41" t="s">
        <v>1271</v>
      </c>
      <c r="BQ2" s="41" t="s">
        <v>1271</v>
      </c>
      <c r="BR2" s="41" t="s">
        <v>1271</v>
      </c>
      <c r="BS2" s="41" t="s">
        <v>1271</v>
      </c>
      <c r="BT2" s="41" t="s">
        <v>1271</v>
      </c>
      <c r="BU2" s="41" t="s">
        <v>1271</v>
      </c>
      <c r="BV2" s="41" t="s">
        <v>1271</v>
      </c>
      <c r="BW2" s="41" t="s">
        <v>1271</v>
      </c>
      <c r="BX2" s="41" t="s">
        <v>1271</v>
      </c>
      <c r="BY2" s="41" t="s">
        <v>1271</v>
      </c>
      <c r="BZ2" s="41" t="s">
        <v>1271</v>
      </c>
      <c r="CA2" s="41" t="s">
        <v>1271</v>
      </c>
      <c r="CB2" s="41" t="s">
        <v>815</v>
      </c>
      <c r="CC2" s="41" t="s">
        <v>815</v>
      </c>
      <c r="CD2" s="41" t="s">
        <v>815</v>
      </c>
      <c r="CE2" s="41" t="s">
        <v>815</v>
      </c>
      <c r="CF2" s="41" t="s">
        <v>815</v>
      </c>
      <c r="CG2" s="41" t="s">
        <v>815</v>
      </c>
      <c r="CH2" s="41" t="s">
        <v>815</v>
      </c>
      <c r="CI2" s="41" t="s">
        <v>815</v>
      </c>
      <c r="CJ2" s="41" t="s">
        <v>815</v>
      </c>
      <c r="CK2" s="41" t="s">
        <v>815</v>
      </c>
      <c r="CL2" s="41" t="s">
        <v>815</v>
      </c>
      <c r="CM2" s="41" t="s">
        <v>815</v>
      </c>
      <c r="CN2" s="41" t="s">
        <v>815</v>
      </c>
      <c r="CO2" s="41" t="s">
        <v>815</v>
      </c>
      <c r="CP2" s="41" t="s">
        <v>815</v>
      </c>
      <c r="CQ2" s="41" t="s">
        <v>815</v>
      </c>
      <c r="CR2" s="41" t="s">
        <v>1264</v>
      </c>
      <c r="CS2" s="41" t="s">
        <v>1267</v>
      </c>
      <c r="CT2" s="41" t="s">
        <v>815</v>
      </c>
      <c r="CU2" s="41" t="s">
        <v>1267</v>
      </c>
      <c r="CV2" s="41" t="s">
        <v>1267</v>
      </c>
      <c r="CW2" s="41" t="s">
        <v>1267</v>
      </c>
      <c r="CX2" s="41" t="s">
        <v>1267</v>
      </c>
      <c r="CY2" s="41" t="s">
        <v>1267</v>
      </c>
      <c r="CZ2" s="41" t="s">
        <v>1267</v>
      </c>
      <c r="DA2" s="41" t="s">
        <v>1267</v>
      </c>
      <c r="DB2" s="41" t="s">
        <v>1267</v>
      </c>
      <c r="DC2" s="41" t="s">
        <v>1267</v>
      </c>
      <c r="DD2" s="41" t="s">
        <v>1267</v>
      </c>
      <c r="DE2" s="41" t="s">
        <v>1267</v>
      </c>
      <c r="DF2" s="41" t="s">
        <v>1267</v>
      </c>
      <c r="DG2" s="41" t="s">
        <v>1267</v>
      </c>
      <c r="DH2" s="41" t="s">
        <v>1267</v>
      </c>
      <c r="DI2" s="41" t="s">
        <v>1267</v>
      </c>
      <c r="DJ2" s="41" t="s">
        <v>1267</v>
      </c>
      <c r="DK2" s="41" t="s">
        <v>1267</v>
      </c>
      <c r="DL2" s="41" t="s">
        <v>1267</v>
      </c>
      <c r="DM2" s="41" t="s">
        <v>1267</v>
      </c>
      <c r="DN2" s="41" t="s">
        <v>1267</v>
      </c>
      <c r="DO2" s="41" t="s">
        <v>1267</v>
      </c>
      <c r="DP2" s="41" t="s">
        <v>1267</v>
      </c>
      <c r="DQ2" s="41" t="s">
        <v>1267</v>
      </c>
      <c r="DR2" s="41" t="s">
        <v>1267</v>
      </c>
      <c r="DS2" s="41" t="s">
        <v>1267</v>
      </c>
      <c r="DT2" s="41" t="s">
        <v>1267</v>
      </c>
      <c r="DU2" s="41" t="s">
        <v>1267</v>
      </c>
      <c r="DV2" s="41" t="s">
        <v>1267</v>
      </c>
      <c r="DW2" s="41" t="s">
        <v>1267</v>
      </c>
      <c r="DX2" s="41" t="s">
        <v>1267</v>
      </c>
      <c r="DY2" s="41" t="s">
        <v>1267</v>
      </c>
      <c r="DZ2" s="41" t="s">
        <v>1267</v>
      </c>
      <c r="EA2" s="41" t="s">
        <v>1267</v>
      </c>
      <c r="EB2" s="41" t="s">
        <v>1267</v>
      </c>
      <c r="EC2" s="41" t="s">
        <v>1267</v>
      </c>
      <c r="ED2" s="41" t="s">
        <v>1267</v>
      </c>
      <c r="EE2" s="41" t="s">
        <v>1267</v>
      </c>
      <c r="EF2" s="41" t="s">
        <v>1267</v>
      </c>
      <c r="EG2" s="41" t="s">
        <v>1267</v>
      </c>
      <c r="EH2" s="41" t="s">
        <v>1267</v>
      </c>
      <c r="EI2" s="41" t="s">
        <v>1267</v>
      </c>
      <c r="EJ2" s="41" t="s">
        <v>1267</v>
      </c>
      <c r="EK2" s="41" t="s">
        <v>1267</v>
      </c>
      <c r="EL2" s="41" t="s">
        <v>1267</v>
      </c>
      <c r="EM2" s="41" t="s">
        <v>1267</v>
      </c>
      <c r="EN2" s="41" t="s">
        <v>1267</v>
      </c>
      <c r="EO2" s="41" t="s">
        <v>1267</v>
      </c>
      <c r="EP2" s="41" t="s">
        <v>1267</v>
      </c>
      <c r="EQ2" s="41" t="s">
        <v>1267</v>
      </c>
      <c r="ER2" s="41" t="s">
        <v>1267</v>
      </c>
      <c r="ES2" s="41" t="s">
        <v>1267</v>
      </c>
      <c r="ET2" s="41" t="s">
        <v>1267</v>
      </c>
      <c r="EU2" s="41" t="s">
        <v>1267</v>
      </c>
      <c r="EV2" s="41" t="s">
        <v>1267</v>
      </c>
      <c r="EW2" s="41" t="s">
        <v>1267</v>
      </c>
      <c r="EX2" s="41" t="s">
        <v>1267</v>
      </c>
      <c r="EY2" s="41" t="s">
        <v>1267</v>
      </c>
      <c r="EZ2" s="41" t="s">
        <v>1267</v>
      </c>
      <c r="FA2" s="41" t="s">
        <v>1267</v>
      </c>
      <c r="FB2" s="41" t="s">
        <v>1267</v>
      </c>
      <c r="FC2" s="41" t="s">
        <v>1267</v>
      </c>
      <c r="FD2" s="41" t="s">
        <v>1267</v>
      </c>
      <c r="FE2" s="41" t="s">
        <v>1267</v>
      </c>
      <c r="FF2" s="41" t="s">
        <v>1267</v>
      </c>
      <c r="FG2" s="41" t="s">
        <v>1267</v>
      </c>
      <c r="FH2" s="41" t="s">
        <v>1267</v>
      </c>
      <c r="FI2" s="41" t="s">
        <v>1267</v>
      </c>
      <c r="FJ2" s="41" t="s">
        <v>1267</v>
      </c>
      <c r="FK2" s="41" t="s">
        <v>1267</v>
      </c>
      <c r="FL2" s="41" t="s">
        <v>1267</v>
      </c>
      <c r="FM2" s="41" t="s">
        <v>1267</v>
      </c>
      <c r="FN2" s="41" t="s">
        <v>1267</v>
      </c>
      <c r="FO2" s="41" t="s">
        <v>1267</v>
      </c>
      <c r="FP2" s="41" t="s">
        <v>1267</v>
      </c>
      <c r="FQ2" s="41" t="s">
        <v>1267</v>
      </c>
      <c r="FR2" s="41" t="s">
        <v>1267</v>
      </c>
      <c r="FS2" s="41" t="s">
        <v>1267</v>
      </c>
      <c r="FT2" s="41" t="s">
        <v>1267</v>
      </c>
      <c r="FU2" s="41" t="s">
        <v>1267</v>
      </c>
      <c r="FV2" s="41" t="s">
        <v>1267</v>
      </c>
      <c r="FW2" s="41" t="s">
        <v>1267</v>
      </c>
      <c r="FX2" s="41" t="s">
        <v>1267</v>
      </c>
      <c r="FY2" s="41" t="s">
        <v>1267</v>
      </c>
      <c r="FZ2" s="41" t="s">
        <v>1267</v>
      </c>
      <c r="GA2" s="41" t="s">
        <v>1267</v>
      </c>
      <c r="GB2" s="41" t="s">
        <v>1267</v>
      </c>
      <c r="GC2" s="41" t="s">
        <v>1267</v>
      </c>
      <c r="GD2" s="41" t="s">
        <v>1267</v>
      </c>
      <c r="GE2" s="41" t="s">
        <v>1267</v>
      </c>
      <c r="GF2" s="41" t="s">
        <v>1267</v>
      </c>
      <c r="GG2" s="41" t="s">
        <v>1267</v>
      </c>
      <c r="GH2" s="41" t="s">
        <v>1267</v>
      </c>
      <c r="GI2" s="41" t="s">
        <v>1267</v>
      </c>
      <c r="GJ2" s="41" t="s">
        <v>1267</v>
      </c>
      <c r="GK2" s="41" t="s">
        <v>1267</v>
      </c>
      <c r="GL2" s="41" t="s">
        <v>1267</v>
      </c>
      <c r="GM2" s="41" t="s">
        <v>1267</v>
      </c>
      <c r="GN2" s="41" t="s">
        <v>1267</v>
      </c>
      <c r="GO2" s="41" t="s">
        <v>1267</v>
      </c>
      <c r="GP2" s="41" t="s">
        <v>1267</v>
      </c>
      <c r="GQ2" s="41" t="s">
        <v>1267</v>
      </c>
      <c r="GR2" s="41" t="s">
        <v>1267</v>
      </c>
      <c r="GS2" s="41" t="s">
        <v>1267</v>
      </c>
      <c r="GT2" s="41" t="s">
        <v>1267</v>
      </c>
      <c r="GU2" s="41" t="s">
        <v>1267</v>
      </c>
      <c r="GV2" s="41" t="s">
        <v>1267</v>
      </c>
      <c r="GW2" s="41" t="s">
        <v>1267</v>
      </c>
      <c r="GX2" s="41" t="s">
        <v>1267</v>
      </c>
      <c r="GY2" s="41" t="s">
        <v>1267</v>
      </c>
      <c r="GZ2" s="41" t="s">
        <v>1267</v>
      </c>
      <c r="HA2" s="41" t="s">
        <v>1267</v>
      </c>
      <c r="HB2" s="41" t="s">
        <v>1267</v>
      </c>
      <c r="HC2" s="41" t="s">
        <v>1267</v>
      </c>
      <c r="HD2" s="41" t="s">
        <v>1267</v>
      </c>
      <c r="HE2" s="41" t="s">
        <v>1267</v>
      </c>
      <c r="HF2" s="41" t="s">
        <v>1267</v>
      </c>
      <c r="HG2" s="41" t="s">
        <v>1267</v>
      </c>
      <c r="HH2" s="41" t="s">
        <v>1267</v>
      </c>
      <c r="HI2" s="41" t="s">
        <v>1267</v>
      </c>
      <c r="HJ2" s="41" t="s">
        <v>1267</v>
      </c>
      <c r="HK2" s="41" t="s">
        <v>1267</v>
      </c>
      <c r="HL2" s="41" t="s">
        <v>1267</v>
      </c>
      <c r="HM2" s="41" t="s">
        <v>1267</v>
      </c>
      <c r="HN2" s="41" t="s">
        <v>1267</v>
      </c>
      <c r="HO2" s="41" t="s">
        <v>1267</v>
      </c>
      <c r="HP2" s="41" t="s">
        <v>1267</v>
      </c>
      <c r="HQ2" s="41" t="s">
        <v>1267</v>
      </c>
      <c r="HR2" s="41" t="s">
        <v>1267</v>
      </c>
      <c r="HS2" s="41" t="s">
        <v>1267</v>
      </c>
      <c r="HT2" s="41" t="s">
        <v>1267</v>
      </c>
      <c r="HU2" s="41" t="s">
        <v>1267</v>
      </c>
      <c r="HV2" s="41" t="s">
        <v>1267</v>
      </c>
      <c r="HW2" s="41" t="s">
        <v>1267</v>
      </c>
      <c r="HX2" s="41" t="s">
        <v>1267</v>
      </c>
      <c r="HY2" s="41" t="s">
        <v>1267</v>
      </c>
      <c r="HZ2" s="41" t="s">
        <v>1267</v>
      </c>
      <c r="IA2" s="41" t="s">
        <v>1267</v>
      </c>
      <c r="IB2" s="41" t="s">
        <v>1267</v>
      </c>
      <c r="IC2" s="41" t="s">
        <v>1267</v>
      </c>
      <c r="ID2" s="41" t="s">
        <v>1267</v>
      </c>
      <c r="IE2" s="41" t="s">
        <v>1267</v>
      </c>
      <c r="IF2" s="41" t="s">
        <v>1267</v>
      </c>
      <c r="IG2" s="41" t="s">
        <v>1267</v>
      </c>
      <c r="IH2" s="41" t="s">
        <v>1267</v>
      </c>
      <c r="II2" s="41" t="s">
        <v>1267</v>
      </c>
      <c r="IJ2" s="41" t="s">
        <v>1267</v>
      </c>
      <c r="IK2" s="41" t="s">
        <v>1267</v>
      </c>
      <c r="IL2" s="41" t="s">
        <v>1267</v>
      </c>
      <c r="IM2" s="41" t="s">
        <v>1267</v>
      </c>
      <c r="IN2" s="41" t="s">
        <v>1267</v>
      </c>
      <c r="IO2" s="41" t="s">
        <v>1267</v>
      </c>
      <c r="IP2" s="41" t="s">
        <v>1267</v>
      </c>
      <c r="IQ2" s="41" t="s">
        <v>1267</v>
      </c>
      <c r="IR2" s="41" t="s">
        <v>1267</v>
      </c>
      <c r="IS2" s="41" t="s">
        <v>1267</v>
      </c>
      <c r="IT2" s="41" t="s">
        <v>1267</v>
      </c>
      <c r="IU2" s="41" t="s">
        <v>1267</v>
      </c>
      <c r="IV2" s="41" t="s">
        <v>1267</v>
      </c>
      <c r="IW2" s="41" t="s">
        <v>1267</v>
      </c>
      <c r="IX2" s="41" t="s">
        <v>1267</v>
      </c>
      <c r="IY2" s="41" t="s">
        <v>1267</v>
      </c>
      <c r="IZ2" s="41" t="s">
        <v>1267</v>
      </c>
      <c r="JA2" s="41" t="s">
        <v>1267</v>
      </c>
      <c r="JB2" s="41" t="s">
        <v>1267</v>
      </c>
      <c r="JC2" s="41" t="s">
        <v>1267</v>
      </c>
      <c r="JD2" s="41" t="s">
        <v>1267</v>
      </c>
      <c r="JE2" s="41" t="s">
        <v>1267</v>
      </c>
      <c r="JF2" s="41" t="s">
        <v>1267</v>
      </c>
      <c r="JG2" s="41" t="s">
        <v>1267</v>
      </c>
      <c r="JH2" s="41" t="s">
        <v>1267</v>
      </c>
      <c r="JI2" s="41" t="s">
        <v>1267</v>
      </c>
      <c r="JJ2" s="41" t="s">
        <v>1267</v>
      </c>
      <c r="JK2" s="41" t="s">
        <v>1267</v>
      </c>
      <c r="JL2" s="41" t="s">
        <v>1267</v>
      </c>
      <c r="JM2" s="41" t="s">
        <v>1267</v>
      </c>
      <c r="JN2" s="41" t="s">
        <v>1267</v>
      </c>
      <c r="JO2" s="41" t="s">
        <v>1267</v>
      </c>
      <c r="JP2" s="41" t="s">
        <v>1267</v>
      </c>
      <c r="JQ2" s="41" t="s">
        <v>1267</v>
      </c>
      <c r="JR2" s="41" t="s">
        <v>1267</v>
      </c>
      <c r="JS2" s="41" t="s">
        <v>1267</v>
      </c>
      <c r="JT2" s="41" t="s">
        <v>1267</v>
      </c>
      <c r="JU2" s="41" t="s">
        <v>1267</v>
      </c>
      <c r="JV2" s="41" t="s">
        <v>1267</v>
      </c>
      <c r="JW2" s="41" t="s">
        <v>1267</v>
      </c>
      <c r="JX2" s="41" t="s">
        <v>1267</v>
      </c>
      <c r="JY2" s="41" t="s">
        <v>1267</v>
      </c>
      <c r="JZ2" s="41" t="s">
        <v>1267</v>
      </c>
      <c r="KA2" s="41" t="s">
        <v>1267</v>
      </c>
      <c r="KB2" s="41" t="s">
        <v>1267</v>
      </c>
      <c r="KC2" s="41" t="s">
        <v>1267</v>
      </c>
      <c r="KD2" s="41" t="s">
        <v>1267</v>
      </c>
      <c r="KE2" s="41" t="s">
        <v>1267</v>
      </c>
      <c r="KF2" s="41" t="s">
        <v>1267</v>
      </c>
      <c r="KG2" s="41" t="s">
        <v>1267</v>
      </c>
      <c r="KH2" s="41" t="s">
        <v>1267</v>
      </c>
      <c r="KI2" s="41" t="s">
        <v>1267</v>
      </c>
      <c r="KJ2" s="41" t="s">
        <v>1267</v>
      </c>
      <c r="KK2" s="41" t="s">
        <v>1267</v>
      </c>
      <c r="KL2" s="41" t="s">
        <v>1267</v>
      </c>
      <c r="KM2" s="41" t="s">
        <v>1267</v>
      </c>
      <c r="KN2" s="41" t="s">
        <v>1267</v>
      </c>
      <c r="KO2" s="41" t="s">
        <v>1267</v>
      </c>
      <c r="KP2" s="41" t="s">
        <v>1267</v>
      </c>
      <c r="KQ2" s="41" t="s">
        <v>1267</v>
      </c>
      <c r="KR2" s="41" t="s">
        <v>1267</v>
      </c>
      <c r="KS2" s="41" t="s">
        <v>1267</v>
      </c>
      <c r="KT2" s="41" t="s">
        <v>1267</v>
      </c>
      <c r="KU2" s="41" t="s">
        <v>1267</v>
      </c>
      <c r="KV2" s="41" t="s">
        <v>1267</v>
      </c>
      <c r="KW2" s="41" t="s">
        <v>1267</v>
      </c>
      <c r="KX2" s="41" t="s">
        <v>1272</v>
      </c>
      <c r="KY2" s="41" t="s">
        <v>1273</v>
      </c>
      <c r="KZ2" s="41" t="s">
        <v>1274</v>
      </c>
      <c r="LA2" s="41" t="s">
        <v>1274</v>
      </c>
      <c r="LB2" s="41" t="s">
        <v>1274</v>
      </c>
    </row>
    <row r="3" spans="1:314" s="41" customFormat="1" x14ac:dyDescent="0.25">
      <c r="A3" s="41" t="s">
        <v>1064</v>
      </c>
      <c r="B3" s="41" t="s">
        <v>815</v>
      </c>
      <c r="C3" s="41" t="s">
        <v>815</v>
      </c>
      <c r="D3" s="41" t="s">
        <v>815</v>
      </c>
      <c r="E3" s="41" t="s">
        <v>815</v>
      </c>
      <c r="F3" s="41" t="s">
        <v>815</v>
      </c>
      <c r="G3" s="41" t="s">
        <v>815</v>
      </c>
      <c r="H3" s="41" t="s">
        <v>815</v>
      </c>
      <c r="I3" s="41" t="s">
        <v>815</v>
      </c>
      <c r="J3" s="41" t="s">
        <v>815</v>
      </c>
      <c r="K3" s="41" t="s">
        <v>815</v>
      </c>
      <c r="L3" s="41" t="s">
        <v>815</v>
      </c>
      <c r="M3" s="41" t="s">
        <v>815</v>
      </c>
      <c r="N3" s="41" t="s">
        <v>815</v>
      </c>
      <c r="O3" s="41" t="s">
        <v>815</v>
      </c>
      <c r="P3" s="41" t="s">
        <v>815</v>
      </c>
      <c r="Q3" s="41" t="s">
        <v>1065</v>
      </c>
      <c r="R3" s="41" t="s">
        <v>815</v>
      </c>
      <c r="S3" s="41" t="s">
        <v>815</v>
      </c>
      <c r="T3" s="41" t="s">
        <v>815</v>
      </c>
      <c r="U3" s="41" t="s">
        <v>815</v>
      </c>
      <c r="V3" s="41" t="s">
        <v>815</v>
      </c>
      <c r="W3" s="41" t="s">
        <v>815</v>
      </c>
      <c r="X3" s="41" t="s">
        <v>815</v>
      </c>
      <c r="Y3" s="41" t="s">
        <v>815</v>
      </c>
      <c r="Z3" s="41" t="s">
        <v>815</v>
      </c>
      <c r="AA3" s="41" t="s">
        <v>815</v>
      </c>
      <c r="AB3" s="41" t="s">
        <v>815</v>
      </c>
      <c r="AC3" s="41" t="s">
        <v>815</v>
      </c>
      <c r="AD3" s="41" t="s">
        <v>815</v>
      </c>
      <c r="AE3" s="41" t="s">
        <v>815</v>
      </c>
      <c r="AF3" s="41" t="s">
        <v>815</v>
      </c>
      <c r="AG3" s="41" t="s">
        <v>815</v>
      </c>
      <c r="AH3" s="41" t="s">
        <v>1066</v>
      </c>
      <c r="AI3" s="41" t="s">
        <v>1067</v>
      </c>
      <c r="AJ3" s="41" t="s">
        <v>1068</v>
      </c>
      <c r="AK3" s="41" t="s">
        <v>1069</v>
      </c>
      <c r="AL3" s="41" t="s">
        <v>1070</v>
      </c>
      <c r="AM3" s="41" t="s">
        <v>1071</v>
      </c>
      <c r="AN3" s="41" t="s">
        <v>815</v>
      </c>
      <c r="AO3" s="41" t="s">
        <v>815</v>
      </c>
      <c r="AP3" s="41" t="s">
        <v>815</v>
      </c>
      <c r="AQ3" s="41" t="s">
        <v>815</v>
      </c>
      <c r="AR3" s="41" t="s">
        <v>815</v>
      </c>
      <c r="AS3" s="41" t="s">
        <v>815</v>
      </c>
      <c r="AT3" s="41" t="s">
        <v>815</v>
      </c>
      <c r="AU3" s="41" t="s">
        <v>815</v>
      </c>
      <c r="AV3" s="41" t="s">
        <v>815</v>
      </c>
      <c r="AW3" s="41" t="s">
        <v>815</v>
      </c>
      <c r="AX3" s="41" t="s">
        <v>815</v>
      </c>
      <c r="AY3" s="41" t="s">
        <v>815</v>
      </c>
      <c r="AZ3" s="41" t="s">
        <v>815</v>
      </c>
      <c r="BA3" s="41" t="s">
        <v>815</v>
      </c>
      <c r="BB3" s="41" t="s">
        <v>815</v>
      </c>
      <c r="BC3" s="41" t="s">
        <v>815</v>
      </c>
      <c r="BD3" s="41" t="s">
        <v>815</v>
      </c>
      <c r="BE3" s="41" t="s">
        <v>815</v>
      </c>
      <c r="BF3" s="41" t="s">
        <v>815</v>
      </c>
      <c r="BG3" s="41" t="s">
        <v>815</v>
      </c>
      <c r="BH3" s="41" t="s">
        <v>815</v>
      </c>
      <c r="BI3" s="41" t="s">
        <v>815</v>
      </c>
      <c r="BJ3" s="41" t="s">
        <v>815</v>
      </c>
      <c r="BK3" s="41" t="s">
        <v>815</v>
      </c>
      <c r="BL3" s="41" t="s">
        <v>815</v>
      </c>
      <c r="BM3" s="41" t="s">
        <v>815</v>
      </c>
      <c r="BN3" s="41" t="s">
        <v>815</v>
      </c>
      <c r="BO3" s="41" t="s">
        <v>815</v>
      </c>
      <c r="BP3" s="41" t="s">
        <v>815</v>
      </c>
      <c r="BQ3" s="41" t="s">
        <v>815</v>
      </c>
      <c r="BR3" s="41" t="s">
        <v>815</v>
      </c>
      <c r="BS3" s="41" t="s">
        <v>815</v>
      </c>
      <c r="BT3" s="41" t="s">
        <v>815</v>
      </c>
      <c r="BU3" s="41" t="s">
        <v>815</v>
      </c>
      <c r="BV3" s="41" t="s">
        <v>815</v>
      </c>
      <c r="BW3" s="41" t="s">
        <v>815</v>
      </c>
      <c r="BX3" s="41" t="s">
        <v>815</v>
      </c>
      <c r="BY3" s="41" t="s">
        <v>815</v>
      </c>
      <c r="BZ3" s="41" t="s">
        <v>815</v>
      </c>
      <c r="CA3" s="41" t="s">
        <v>815</v>
      </c>
      <c r="CB3" s="41" t="s">
        <v>815</v>
      </c>
      <c r="CC3" s="41" t="s">
        <v>815</v>
      </c>
      <c r="CD3" s="41" t="s">
        <v>815</v>
      </c>
      <c r="CE3" s="41" t="s">
        <v>815</v>
      </c>
      <c r="CF3" s="41" t="s">
        <v>815</v>
      </c>
      <c r="CG3" s="41" t="s">
        <v>815</v>
      </c>
      <c r="CH3" s="41" t="s">
        <v>815</v>
      </c>
      <c r="CI3" s="41" t="s">
        <v>815</v>
      </c>
      <c r="CJ3" s="41" t="s">
        <v>815</v>
      </c>
      <c r="CK3" s="41" t="s">
        <v>815</v>
      </c>
      <c r="CL3" s="41" t="s">
        <v>815</v>
      </c>
      <c r="CM3" s="41" t="s">
        <v>815</v>
      </c>
      <c r="CN3" s="41" t="s">
        <v>815</v>
      </c>
      <c r="CO3" s="41" t="s">
        <v>815</v>
      </c>
      <c r="CP3" s="41" t="s">
        <v>815</v>
      </c>
      <c r="CQ3" s="41" t="s">
        <v>815</v>
      </c>
      <c r="CR3" s="41" t="s">
        <v>815</v>
      </c>
      <c r="CS3" s="41" t="s">
        <v>815</v>
      </c>
      <c r="CT3" s="41" t="s">
        <v>815</v>
      </c>
      <c r="CU3" s="41" t="s">
        <v>1072</v>
      </c>
      <c r="CV3" s="41" t="s">
        <v>1073</v>
      </c>
      <c r="CW3" s="41" t="s">
        <v>1074</v>
      </c>
      <c r="CX3" s="41" t="s">
        <v>1075</v>
      </c>
      <c r="CY3" s="41" t="s">
        <v>1076</v>
      </c>
      <c r="CZ3" s="41" t="s">
        <v>1077</v>
      </c>
      <c r="DA3" s="41" t="s">
        <v>1078</v>
      </c>
      <c r="DB3" s="41" t="s">
        <v>1079</v>
      </c>
      <c r="DC3" s="41" t="s">
        <v>1080</v>
      </c>
      <c r="DD3" s="41" t="s">
        <v>1081</v>
      </c>
      <c r="DE3" s="41" t="s">
        <v>1082</v>
      </c>
      <c r="DF3" s="41" t="s">
        <v>1083</v>
      </c>
      <c r="DG3" s="41" t="s">
        <v>1084</v>
      </c>
      <c r="DH3" s="41" t="s">
        <v>1085</v>
      </c>
      <c r="DI3" s="41" t="s">
        <v>1086</v>
      </c>
      <c r="DJ3" s="41" t="s">
        <v>1087</v>
      </c>
      <c r="DK3" s="41" t="s">
        <v>1088</v>
      </c>
      <c r="DL3" s="41" t="s">
        <v>1089</v>
      </c>
      <c r="DM3" s="41" t="s">
        <v>1090</v>
      </c>
      <c r="DN3" s="41" t="s">
        <v>1091</v>
      </c>
      <c r="DO3" s="41" t="s">
        <v>1092</v>
      </c>
      <c r="DP3" s="41" t="s">
        <v>1093</v>
      </c>
      <c r="DQ3" s="41" t="s">
        <v>1094</v>
      </c>
      <c r="DR3" s="41" t="s">
        <v>1095</v>
      </c>
      <c r="DS3" s="41" t="s">
        <v>1096</v>
      </c>
      <c r="DT3" s="41" t="s">
        <v>1097</v>
      </c>
      <c r="DU3" s="41" t="s">
        <v>815</v>
      </c>
      <c r="DV3" s="41" t="s">
        <v>1098</v>
      </c>
      <c r="DW3" s="41" t="s">
        <v>1099</v>
      </c>
      <c r="DX3" s="41" t="s">
        <v>815</v>
      </c>
      <c r="DY3" s="41" t="s">
        <v>1100</v>
      </c>
      <c r="DZ3" s="41" t="s">
        <v>1101</v>
      </c>
      <c r="EA3" s="41" t="s">
        <v>1102</v>
      </c>
      <c r="EB3" s="41" t="s">
        <v>1103</v>
      </c>
      <c r="EC3" s="41" t="s">
        <v>1104</v>
      </c>
      <c r="ED3" s="41" t="s">
        <v>1105</v>
      </c>
      <c r="EE3" s="41" t="s">
        <v>1106</v>
      </c>
      <c r="EF3" s="41" t="s">
        <v>1107</v>
      </c>
      <c r="EG3" s="41" t="s">
        <v>1108</v>
      </c>
      <c r="EH3" s="41" t="s">
        <v>1109</v>
      </c>
      <c r="EI3" s="41" t="s">
        <v>1110</v>
      </c>
      <c r="EJ3" s="41" t="s">
        <v>1111</v>
      </c>
      <c r="EK3" s="41" t="s">
        <v>1112</v>
      </c>
      <c r="EL3" s="41" t="s">
        <v>1113</v>
      </c>
      <c r="EM3" s="41" t="s">
        <v>1114</v>
      </c>
      <c r="EN3" s="41" t="s">
        <v>1115</v>
      </c>
      <c r="EO3" s="41" t="s">
        <v>1116</v>
      </c>
      <c r="EP3" s="41" t="s">
        <v>1117</v>
      </c>
      <c r="EQ3" s="41" t="s">
        <v>1118</v>
      </c>
      <c r="ER3" s="41" t="s">
        <v>1119</v>
      </c>
      <c r="ES3" s="41" t="s">
        <v>1120</v>
      </c>
      <c r="ET3" s="41" t="s">
        <v>1121</v>
      </c>
      <c r="EU3" s="41" t="s">
        <v>1122</v>
      </c>
      <c r="EV3" s="41" t="s">
        <v>1123</v>
      </c>
      <c r="EW3" s="41" t="s">
        <v>1124</v>
      </c>
      <c r="EX3" s="41" t="s">
        <v>1125</v>
      </c>
      <c r="EY3" s="41" t="s">
        <v>815</v>
      </c>
      <c r="EZ3" s="41" t="s">
        <v>1126</v>
      </c>
      <c r="FA3" s="41" t="s">
        <v>1127</v>
      </c>
      <c r="FB3" s="41" t="s">
        <v>815</v>
      </c>
      <c r="FC3" s="41" t="s">
        <v>1128</v>
      </c>
      <c r="FD3" s="41" t="s">
        <v>1129</v>
      </c>
      <c r="FE3" s="41" t="s">
        <v>1130</v>
      </c>
      <c r="FF3" s="41" t="s">
        <v>1131</v>
      </c>
      <c r="FG3" s="41" t="s">
        <v>1132</v>
      </c>
      <c r="FH3" s="41" t="s">
        <v>1133</v>
      </c>
      <c r="FI3" s="41" t="s">
        <v>1134</v>
      </c>
      <c r="FJ3" s="41" t="s">
        <v>1135</v>
      </c>
      <c r="FK3" s="41" t="s">
        <v>1136</v>
      </c>
      <c r="FL3" s="41" t="s">
        <v>1137</v>
      </c>
      <c r="FM3" s="41" t="s">
        <v>1138</v>
      </c>
      <c r="FN3" s="41" t="s">
        <v>1139</v>
      </c>
      <c r="FO3" s="41" t="s">
        <v>1140</v>
      </c>
      <c r="FP3" s="41" t="s">
        <v>1141</v>
      </c>
      <c r="FQ3" s="41" t="s">
        <v>1142</v>
      </c>
      <c r="FR3" s="41" t="s">
        <v>1143</v>
      </c>
      <c r="FS3" s="41" t="s">
        <v>1144</v>
      </c>
      <c r="FT3" s="41" t="s">
        <v>1145</v>
      </c>
      <c r="FU3" s="41" t="s">
        <v>1146</v>
      </c>
      <c r="FV3" s="41" t="s">
        <v>1147</v>
      </c>
      <c r="FW3" s="41" t="s">
        <v>1148</v>
      </c>
      <c r="FX3" s="41" t="s">
        <v>1149</v>
      </c>
      <c r="FY3" s="41" t="s">
        <v>1150</v>
      </c>
      <c r="FZ3" s="41" t="s">
        <v>1151</v>
      </c>
      <c r="GA3" s="41" t="s">
        <v>1152</v>
      </c>
      <c r="GB3" s="41" t="s">
        <v>1153</v>
      </c>
      <c r="GC3" s="41" t="s">
        <v>815</v>
      </c>
      <c r="GD3" s="41" t="s">
        <v>1154</v>
      </c>
      <c r="GE3" s="41" t="s">
        <v>1155</v>
      </c>
      <c r="GF3" s="41" t="s">
        <v>815</v>
      </c>
      <c r="GG3" s="41" t="s">
        <v>1156</v>
      </c>
      <c r="GH3" s="41" t="s">
        <v>1157</v>
      </c>
      <c r="GI3" s="41" t="s">
        <v>1158</v>
      </c>
      <c r="GJ3" s="41" t="s">
        <v>1159</v>
      </c>
      <c r="GK3" s="41" t="s">
        <v>1160</v>
      </c>
      <c r="GL3" s="41" t="s">
        <v>1161</v>
      </c>
      <c r="GM3" s="41" t="s">
        <v>1162</v>
      </c>
      <c r="GN3" s="41" t="s">
        <v>1163</v>
      </c>
      <c r="GO3" s="41" t="s">
        <v>1164</v>
      </c>
      <c r="GP3" s="41" t="s">
        <v>1165</v>
      </c>
      <c r="GQ3" s="41" t="s">
        <v>1166</v>
      </c>
      <c r="GR3" s="41" t="s">
        <v>1167</v>
      </c>
      <c r="GS3" s="41" t="s">
        <v>1168</v>
      </c>
      <c r="GT3" s="41" t="s">
        <v>1169</v>
      </c>
      <c r="GU3" s="41" t="s">
        <v>1170</v>
      </c>
      <c r="GV3" s="41" t="s">
        <v>1171</v>
      </c>
      <c r="GW3" s="41" t="s">
        <v>1172</v>
      </c>
      <c r="GX3" s="41" t="s">
        <v>1173</v>
      </c>
      <c r="GY3" s="41" t="s">
        <v>1174</v>
      </c>
      <c r="GZ3" s="41" t="s">
        <v>1175</v>
      </c>
      <c r="HA3" s="41" t="s">
        <v>1176</v>
      </c>
      <c r="HB3" s="41" t="s">
        <v>1177</v>
      </c>
      <c r="HC3" s="41" t="s">
        <v>1178</v>
      </c>
      <c r="HD3" s="41" t="s">
        <v>1179</v>
      </c>
      <c r="HE3" s="41" t="s">
        <v>1180</v>
      </c>
      <c r="HF3" s="41" t="s">
        <v>1181</v>
      </c>
      <c r="HG3" s="41" t="s">
        <v>1182</v>
      </c>
      <c r="HH3" s="41" t="s">
        <v>1183</v>
      </c>
      <c r="HI3" s="41" t="s">
        <v>1184</v>
      </c>
      <c r="HJ3" s="41" t="s">
        <v>815</v>
      </c>
      <c r="HK3" s="41" t="s">
        <v>1185</v>
      </c>
      <c r="HL3" s="41" t="s">
        <v>1186</v>
      </c>
      <c r="HM3" s="41" t="s">
        <v>1187</v>
      </c>
      <c r="HN3" s="41" t="s">
        <v>1188</v>
      </c>
      <c r="HO3" s="41" t="s">
        <v>1189</v>
      </c>
      <c r="HP3" s="41" t="s">
        <v>1190</v>
      </c>
      <c r="HQ3" s="41" t="s">
        <v>1191</v>
      </c>
      <c r="HR3" s="41" t="s">
        <v>1192</v>
      </c>
      <c r="HS3" s="41" t="s">
        <v>1193</v>
      </c>
      <c r="HT3" s="41" t="s">
        <v>1194</v>
      </c>
      <c r="HU3" s="41" t="s">
        <v>1195</v>
      </c>
      <c r="HV3" s="41" t="s">
        <v>1196</v>
      </c>
      <c r="HW3" s="41" t="s">
        <v>1197</v>
      </c>
      <c r="HX3" s="41" t="s">
        <v>1198</v>
      </c>
      <c r="HY3" s="41" t="s">
        <v>1199</v>
      </c>
      <c r="HZ3" s="41" t="s">
        <v>1200</v>
      </c>
      <c r="IA3" s="41" t="s">
        <v>1201</v>
      </c>
      <c r="IB3" s="41" t="s">
        <v>1202</v>
      </c>
      <c r="IC3" s="41" t="s">
        <v>1203</v>
      </c>
      <c r="ID3" s="41" t="s">
        <v>1204</v>
      </c>
      <c r="IE3" s="41" t="s">
        <v>1205</v>
      </c>
      <c r="IF3" s="41" t="s">
        <v>1206</v>
      </c>
      <c r="IG3" s="41" t="s">
        <v>1207</v>
      </c>
      <c r="IH3" s="41" t="s">
        <v>1208</v>
      </c>
      <c r="II3" s="41" t="s">
        <v>1209</v>
      </c>
      <c r="IJ3" s="41" t="s">
        <v>1210</v>
      </c>
      <c r="IK3" s="41" t="s">
        <v>815</v>
      </c>
      <c r="IL3" s="41" t="s">
        <v>1211</v>
      </c>
      <c r="IM3" s="41" t="s">
        <v>1212</v>
      </c>
      <c r="IN3" s="41" t="s">
        <v>815</v>
      </c>
      <c r="IO3" s="41" t="s">
        <v>1213</v>
      </c>
      <c r="IP3" s="41" t="s">
        <v>1214</v>
      </c>
      <c r="IQ3" s="41" t="s">
        <v>1215</v>
      </c>
      <c r="IR3" s="41" t="s">
        <v>1216</v>
      </c>
      <c r="IS3" s="41" t="s">
        <v>1217</v>
      </c>
      <c r="IT3" s="41" t="s">
        <v>1218</v>
      </c>
      <c r="IU3" s="41" t="s">
        <v>1219</v>
      </c>
      <c r="IV3" s="41" t="s">
        <v>1220</v>
      </c>
      <c r="IW3" s="41" t="s">
        <v>1221</v>
      </c>
      <c r="IX3" s="41" t="s">
        <v>1222</v>
      </c>
      <c r="IY3" s="41" t="s">
        <v>1223</v>
      </c>
      <c r="IZ3" s="41" t="s">
        <v>1224</v>
      </c>
      <c r="JA3" s="41" t="s">
        <v>1225</v>
      </c>
      <c r="JB3" s="41" t="s">
        <v>1226</v>
      </c>
      <c r="JC3" s="41" t="s">
        <v>1227</v>
      </c>
      <c r="JD3" s="41" t="s">
        <v>1228</v>
      </c>
      <c r="JE3" s="41" t="s">
        <v>1229</v>
      </c>
      <c r="JF3" s="41" t="s">
        <v>1230</v>
      </c>
      <c r="JG3" s="41" t="s">
        <v>1231</v>
      </c>
      <c r="JH3" s="41" t="s">
        <v>1232</v>
      </c>
      <c r="JI3" s="41" t="s">
        <v>1233</v>
      </c>
      <c r="JJ3" s="41" t="s">
        <v>1234</v>
      </c>
      <c r="JK3" s="41" t="s">
        <v>1235</v>
      </c>
      <c r="JL3" s="41" t="s">
        <v>1236</v>
      </c>
      <c r="JM3" s="41" t="s">
        <v>1237</v>
      </c>
      <c r="JN3" s="41" t="s">
        <v>1238</v>
      </c>
      <c r="JO3" s="41" t="s">
        <v>815</v>
      </c>
      <c r="JP3" s="41" t="s">
        <v>1239</v>
      </c>
      <c r="JQ3" s="41" t="s">
        <v>1240</v>
      </c>
      <c r="JR3" s="41" t="s">
        <v>815</v>
      </c>
      <c r="JS3" s="41" t="s">
        <v>815</v>
      </c>
      <c r="JT3" s="41" t="s">
        <v>815</v>
      </c>
      <c r="JU3" s="41" t="s">
        <v>815</v>
      </c>
      <c r="JV3" s="41" t="s">
        <v>815</v>
      </c>
      <c r="JW3" s="41" t="s">
        <v>815</v>
      </c>
      <c r="JX3" s="41" t="s">
        <v>815</v>
      </c>
      <c r="JY3" s="41" t="s">
        <v>815</v>
      </c>
      <c r="JZ3" s="41" t="s">
        <v>815</v>
      </c>
      <c r="KA3" s="41" t="s">
        <v>815</v>
      </c>
      <c r="KB3" s="41" t="s">
        <v>815</v>
      </c>
      <c r="KC3" s="41" t="s">
        <v>815</v>
      </c>
      <c r="KD3" s="41" t="s">
        <v>815</v>
      </c>
      <c r="KE3" s="41" t="s">
        <v>815</v>
      </c>
      <c r="KF3" s="41" t="s">
        <v>815</v>
      </c>
      <c r="KG3" s="41" t="s">
        <v>815</v>
      </c>
      <c r="KH3" s="41" t="s">
        <v>815</v>
      </c>
      <c r="KI3" s="41" t="s">
        <v>815</v>
      </c>
      <c r="KJ3" s="41" t="s">
        <v>815</v>
      </c>
      <c r="KK3" s="41" t="s">
        <v>815</v>
      </c>
      <c r="KL3" s="41" t="s">
        <v>815</v>
      </c>
      <c r="KM3" s="41" t="s">
        <v>815</v>
      </c>
      <c r="KN3" s="41" t="s">
        <v>815</v>
      </c>
      <c r="KO3" s="41" t="s">
        <v>815</v>
      </c>
      <c r="KP3" s="41" t="s">
        <v>815</v>
      </c>
      <c r="KQ3" s="41" t="s">
        <v>815</v>
      </c>
      <c r="KR3" s="41" t="s">
        <v>815</v>
      </c>
      <c r="KS3" s="41" t="s">
        <v>815</v>
      </c>
      <c r="KT3" s="41" t="s">
        <v>815</v>
      </c>
      <c r="KU3" s="41" t="s">
        <v>815</v>
      </c>
      <c r="KV3" s="41" t="s">
        <v>815</v>
      </c>
      <c r="KW3" s="41" t="s">
        <v>815</v>
      </c>
      <c r="KX3" s="41" t="s">
        <v>815</v>
      </c>
      <c r="KY3" s="41" t="s">
        <v>815</v>
      </c>
      <c r="KZ3" s="41" t="s">
        <v>815</v>
      </c>
      <c r="LA3" s="41" t="s">
        <v>815</v>
      </c>
      <c r="LB3" s="41" t="s">
        <v>815</v>
      </c>
    </row>
    <row r="4" spans="1:314" x14ac:dyDescent="0.25">
      <c r="A4" t="s">
        <v>36</v>
      </c>
      <c r="B4" t="s">
        <v>37</v>
      </c>
      <c r="C4" t="s">
        <v>38</v>
      </c>
      <c r="D4" t="s">
        <v>39</v>
      </c>
      <c r="E4" t="s">
        <v>40</v>
      </c>
      <c r="F4" t="s">
        <v>41</v>
      </c>
      <c r="G4" t="s">
        <v>42</v>
      </c>
      <c r="H4" t="s">
        <v>43</v>
      </c>
      <c r="I4" t="s">
        <v>44</v>
      </c>
      <c r="J4" t="s">
        <v>45</v>
      </c>
      <c r="K4" t="s">
        <v>46</v>
      </c>
      <c r="L4" t="s">
        <v>47</v>
      </c>
      <c r="M4" t="s">
        <v>48</v>
      </c>
      <c r="N4" t="s">
        <v>49</v>
      </c>
      <c r="O4" t="s">
        <v>50</v>
      </c>
      <c r="P4" t="s">
        <v>51</v>
      </c>
      <c r="Q4" t="s">
        <v>52</v>
      </c>
      <c r="R4" t="s">
        <v>53</v>
      </c>
      <c r="S4" t="s">
        <v>54</v>
      </c>
      <c r="T4" t="s">
        <v>55</v>
      </c>
      <c r="U4" t="s">
        <v>56</v>
      </c>
      <c r="V4" t="s">
        <v>57</v>
      </c>
      <c r="W4" t="s">
        <v>58</v>
      </c>
      <c r="X4" t="s">
        <v>59</v>
      </c>
      <c r="Y4" t="s">
        <v>60</v>
      </c>
      <c r="Z4" t="s">
        <v>61</v>
      </c>
      <c r="AA4" t="s">
        <v>62</v>
      </c>
      <c r="AB4" t="s">
        <v>63</v>
      </c>
      <c r="AC4" t="s">
        <v>64</v>
      </c>
      <c r="AD4" t="s">
        <v>65</v>
      </c>
      <c r="AE4" t="s">
        <v>66</v>
      </c>
      <c r="AF4" t="s">
        <v>67</v>
      </c>
      <c r="AG4" t="s">
        <v>68</v>
      </c>
      <c r="AH4" t="s">
        <v>69</v>
      </c>
      <c r="AI4" t="s">
        <v>70</v>
      </c>
      <c r="AJ4" t="s">
        <v>71</v>
      </c>
      <c r="AK4" t="s">
        <v>72</v>
      </c>
      <c r="AL4" t="s">
        <v>73</v>
      </c>
      <c r="AM4" t="s">
        <v>74</v>
      </c>
      <c r="AN4" t="s">
        <v>75</v>
      </c>
      <c r="AO4" t="s">
        <v>76</v>
      </c>
      <c r="AP4" t="s">
        <v>77</v>
      </c>
      <c r="AQ4" t="s">
        <v>78</v>
      </c>
      <c r="AR4" t="s">
        <v>79</v>
      </c>
      <c r="AS4" t="s">
        <v>80</v>
      </c>
      <c r="AT4" t="s">
        <v>81</v>
      </c>
      <c r="AU4" t="s">
        <v>82</v>
      </c>
      <c r="AV4" t="s">
        <v>83</v>
      </c>
      <c r="AW4" t="s">
        <v>84</v>
      </c>
      <c r="AX4" t="s">
        <v>85</v>
      </c>
      <c r="AY4" t="s">
        <v>86</v>
      </c>
      <c r="AZ4" t="s">
        <v>87</v>
      </c>
      <c r="BA4" t="s">
        <v>88</v>
      </c>
      <c r="BB4" t="s">
        <v>89</v>
      </c>
      <c r="BC4" t="s">
        <v>90</v>
      </c>
      <c r="BD4" t="s">
        <v>91</v>
      </c>
      <c r="BE4" t="s">
        <v>92</v>
      </c>
      <c r="BF4" t="s">
        <v>93</v>
      </c>
      <c r="BG4" t="s">
        <v>94</v>
      </c>
      <c r="BH4" t="s">
        <v>95</v>
      </c>
      <c r="BI4" t="s">
        <v>96</v>
      </c>
      <c r="BJ4" t="s">
        <v>97</v>
      </c>
      <c r="BK4" t="s">
        <v>98</v>
      </c>
      <c r="BL4" t="s">
        <v>99</v>
      </c>
      <c r="BM4" t="s">
        <v>100</v>
      </c>
      <c r="BN4" t="s">
        <v>101</v>
      </c>
      <c r="BO4" t="s">
        <v>102</v>
      </c>
      <c r="BP4" t="s">
        <v>103</v>
      </c>
      <c r="BQ4" t="s">
        <v>104</v>
      </c>
      <c r="BR4" t="s">
        <v>105</v>
      </c>
      <c r="BS4" t="s">
        <v>106</v>
      </c>
      <c r="BT4" t="s">
        <v>107</v>
      </c>
      <c r="BU4" t="s">
        <v>108</v>
      </c>
      <c r="BV4" t="s">
        <v>109</v>
      </c>
      <c r="BW4" t="s">
        <v>110</v>
      </c>
      <c r="BX4" t="s">
        <v>111</v>
      </c>
      <c r="BY4" t="s">
        <v>112</v>
      </c>
      <c r="BZ4" t="s">
        <v>113</v>
      </c>
      <c r="CA4" t="s">
        <v>114</v>
      </c>
      <c r="CB4" t="s">
        <v>115</v>
      </c>
      <c r="CC4" t="s">
        <v>116</v>
      </c>
      <c r="CD4" t="s">
        <v>117</v>
      </c>
      <c r="CE4" t="s">
        <v>118</v>
      </c>
      <c r="CF4" t="s">
        <v>119</v>
      </c>
      <c r="CG4" t="s">
        <v>120</v>
      </c>
      <c r="CH4" t="s">
        <v>121</v>
      </c>
      <c r="CI4" t="s">
        <v>122</v>
      </c>
      <c r="CJ4" t="s">
        <v>123</v>
      </c>
      <c r="CK4" t="s">
        <v>124</v>
      </c>
      <c r="CL4" t="s">
        <v>125</v>
      </c>
      <c r="CM4" t="s">
        <v>126</v>
      </c>
      <c r="CN4" t="s">
        <v>127</v>
      </c>
      <c r="CO4" t="s">
        <v>128</v>
      </c>
      <c r="CP4" t="s">
        <v>129</v>
      </c>
      <c r="CQ4" t="s">
        <v>130</v>
      </c>
      <c r="CR4" t="s">
        <v>131</v>
      </c>
      <c r="CS4" t="s">
        <v>132</v>
      </c>
      <c r="CT4" t="s">
        <v>133</v>
      </c>
      <c r="CU4" t="s">
        <v>134</v>
      </c>
      <c r="CV4" t="s">
        <v>135</v>
      </c>
      <c r="CW4" t="s">
        <v>136</v>
      </c>
      <c r="CX4" t="s">
        <v>137</v>
      </c>
      <c r="CY4" t="s">
        <v>138</v>
      </c>
      <c r="CZ4" t="s">
        <v>139</v>
      </c>
      <c r="DA4" t="s">
        <v>140</v>
      </c>
      <c r="DB4" t="s">
        <v>141</v>
      </c>
      <c r="DC4" t="s">
        <v>142</v>
      </c>
      <c r="DD4" t="s">
        <v>143</v>
      </c>
      <c r="DE4" t="s">
        <v>144</v>
      </c>
      <c r="DF4" t="s">
        <v>145</v>
      </c>
      <c r="DG4" t="s">
        <v>146</v>
      </c>
      <c r="DH4" t="s">
        <v>147</v>
      </c>
      <c r="DI4" t="s">
        <v>148</v>
      </c>
      <c r="DJ4" t="s">
        <v>149</v>
      </c>
      <c r="DK4" t="s">
        <v>150</v>
      </c>
      <c r="DL4" t="s">
        <v>151</v>
      </c>
      <c r="DM4" t="s">
        <v>152</v>
      </c>
      <c r="DN4" t="s">
        <v>153</v>
      </c>
      <c r="DO4" t="s">
        <v>154</v>
      </c>
      <c r="DP4" t="s">
        <v>155</v>
      </c>
      <c r="DQ4" t="s">
        <v>156</v>
      </c>
      <c r="DR4" t="s">
        <v>157</v>
      </c>
      <c r="DS4" t="s">
        <v>158</v>
      </c>
      <c r="DT4" t="s">
        <v>159</v>
      </c>
      <c r="DU4" t="s">
        <v>160</v>
      </c>
      <c r="DV4" t="s">
        <v>161</v>
      </c>
      <c r="DW4" t="s">
        <v>162</v>
      </c>
      <c r="DX4" t="s">
        <v>163</v>
      </c>
      <c r="DY4" t="s">
        <v>164</v>
      </c>
      <c r="DZ4" t="s">
        <v>165</v>
      </c>
      <c r="EA4" t="s">
        <v>166</v>
      </c>
      <c r="EB4" t="s">
        <v>167</v>
      </c>
      <c r="EC4" t="s">
        <v>168</v>
      </c>
      <c r="ED4" t="s">
        <v>169</v>
      </c>
      <c r="EE4" t="s">
        <v>170</v>
      </c>
      <c r="EF4" t="s">
        <v>171</v>
      </c>
      <c r="EG4" t="s">
        <v>172</v>
      </c>
      <c r="EH4" t="s">
        <v>173</v>
      </c>
      <c r="EI4" t="s">
        <v>174</v>
      </c>
      <c r="EJ4" t="s">
        <v>175</v>
      </c>
      <c r="EK4" t="s">
        <v>176</v>
      </c>
      <c r="EL4" t="s">
        <v>177</v>
      </c>
      <c r="EM4" t="s">
        <v>178</v>
      </c>
      <c r="EN4" t="s">
        <v>179</v>
      </c>
      <c r="EO4" t="s">
        <v>180</v>
      </c>
      <c r="EP4" t="s">
        <v>181</v>
      </c>
      <c r="EQ4" t="s">
        <v>182</v>
      </c>
      <c r="ER4" t="s">
        <v>183</v>
      </c>
      <c r="ES4" t="s">
        <v>184</v>
      </c>
      <c r="ET4" t="s">
        <v>185</v>
      </c>
      <c r="EU4" t="s">
        <v>186</v>
      </c>
      <c r="EV4" t="s">
        <v>187</v>
      </c>
      <c r="EW4" t="s">
        <v>188</v>
      </c>
      <c r="EX4" t="s">
        <v>189</v>
      </c>
      <c r="EY4" t="s">
        <v>190</v>
      </c>
      <c r="EZ4" t="s">
        <v>191</v>
      </c>
      <c r="FA4" t="s">
        <v>192</v>
      </c>
      <c r="FB4" t="s">
        <v>193</v>
      </c>
      <c r="FC4" t="s">
        <v>194</v>
      </c>
      <c r="FD4" t="s">
        <v>195</v>
      </c>
      <c r="FE4" t="s">
        <v>196</v>
      </c>
      <c r="FF4" t="s">
        <v>197</v>
      </c>
      <c r="FG4" t="s">
        <v>198</v>
      </c>
      <c r="FH4" t="s">
        <v>199</v>
      </c>
      <c r="FI4" t="s">
        <v>200</v>
      </c>
      <c r="FJ4" t="s">
        <v>201</v>
      </c>
      <c r="FK4" t="s">
        <v>202</v>
      </c>
      <c r="FL4" t="s">
        <v>203</v>
      </c>
      <c r="FM4" t="s">
        <v>204</v>
      </c>
      <c r="FN4" t="s">
        <v>205</v>
      </c>
      <c r="FO4" t="s">
        <v>206</v>
      </c>
      <c r="FP4" t="s">
        <v>207</v>
      </c>
      <c r="FQ4" t="s">
        <v>208</v>
      </c>
      <c r="FR4" t="s">
        <v>209</v>
      </c>
      <c r="FS4" t="s">
        <v>210</v>
      </c>
      <c r="FT4" t="s">
        <v>211</v>
      </c>
      <c r="FU4" t="s">
        <v>212</v>
      </c>
      <c r="FV4" t="s">
        <v>213</v>
      </c>
      <c r="FW4" t="s">
        <v>214</v>
      </c>
      <c r="FX4" t="s">
        <v>215</v>
      </c>
      <c r="FY4" t="s">
        <v>216</v>
      </c>
      <c r="FZ4" t="s">
        <v>217</v>
      </c>
      <c r="GA4" t="s">
        <v>218</v>
      </c>
      <c r="GB4" t="s">
        <v>219</v>
      </c>
      <c r="GC4" t="s">
        <v>220</v>
      </c>
      <c r="GD4" t="s">
        <v>221</v>
      </c>
      <c r="GE4" t="s">
        <v>222</v>
      </c>
      <c r="GF4" t="s">
        <v>223</v>
      </c>
      <c r="GG4" t="s">
        <v>224</v>
      </c>
      <c r="GH4" t="s">
        <v>225</v>
      </c>
      <c r="GI4" t="s">
        <v>226</v>
      </c>
      <c r="GJ4" t="s">
        <v>227</v>
      </c>
      <c r="GK4" t="s">
        <v>228</v>
      </c>
      <c r="GL4" t="s">
        <v>229</v>
      </c>
      <c r="GM4" t="s">
        <v>230</v>
      </c>
      <c r="GN4" t="s">
        <v>231</v>
      </c>
      <c r="GO4" t="s">
        <v>232</v>
      </c>
      <c r="GP4" t="s">
        <v>233</v>
      </c>
      <c r="GQ4" t="s">
        <v>234</v>
      </c>
      <c r="GR4" t="s">
        <v>235</v>
      </c>
      <c r="GS4" t="s">
        <v>236</v>
      </c>
      <c r="GT4" t="s">
        <v>237</v>
      </c>
      <c r="GU4" t="s">
        <v>238</v>
      </c>
      <c r="GV4" t="s">
        <v>239</v>
      </c>
      <c r="GW4" t="s">
        <v>240</v>
      </c>
      <c r="GX4" t="s">
        <v>241</v>
      </c>
      <c r="GY4" t="s">
        <v>242</v>
      </c>
      <c r="GZ4" t="s">
        <v>243</v>
      </c>
      <c r="HA4" t="s">
        <v>244</v>
      </c>
      <c r="HB4" t="s">
        <v>245</v>
      </c>
      <c r="HC4" t="s">
        <v>246</v>
      </c>
      <c r="HD4" t="s">
        <v>247</v>
      </c>
      <c r="HE4" t="s">
        <v>248</v>
      </c>
      <c r="HF4" t="s">
        <v>249</v>
      </c>
      <c r="HG4" t="s">
        <v>250</v>
      </c>
      <c r="HH4" t="s">
        <v>251</v>
      </c>
      <c r="HI4" t="s">
        <v>252</v>
      </c>
      <c r="HJ4" t="s">
        <v>253</v>
      </c>
      <c r="HK4" t="s">
        <v>254</v>
      </c>
      <c r="HL4" t="s">
        <v>255</v>
      </c>
      <c r="HM4" t="s">
        <v>256</v>
      </c>
      <c r="HN4" t="s">
        <v>257</v>
      </c>
      <c r="HO4" t="s">
        <v>258</v>
      </c>
      <c r="HP4" t="s">
        <v>259</v>
      </c>
      <c r="HQ4" t="s">
        <v>260</v>
      </c>
      <c r="HR4" t="s">
        <v>261</v>
      </c>
      <c r="HS4" t="s">
        <v>262</v>
      </c>
      <c r="HT4" t="s">
        <v>263</v>
      </c>
      <c r="HU4" t="s">
        <v>264</v>
      </c>
      <c r="HV4" t="s">
        <v>265</v>
      </c>
      <c r="HW4" t="s">
        <v>266</v>
      </c>
      <c r="HX4" t="s">
        <v>267</v>
      </c>
      <c r="HY4" t="s">
        <v>268</v>
      </c>
      <c r="HZ4" t="s">
        <v>269</v>
      </c>
      <c r="IA4" t="s">
        <v>270</v>
      </c>
      <c r="IB4" t="s">
        <v>271</v>
      </c>
      <c r="IC4" t="s">
        <v>272</v>
      </c>
      <c r="ID4" t="s">
        <v>273</v>
      </c>
      <c r="IE4" t="s">
        <v>274</v>
      </c>
      <c r="IF4" t="s">
        <v>275</v>
      </c>
      <c r="IG4" t="s">
        <v>276</v>
      </c>
      <c r="IH4" t="s">
        <v>277</v>
      </c>
      <c r="II4" t="s">
        <v>278</v>
      </c>
      <c r="IJ4" t="s">
        <v>279</v>
      </c>
      <c r="IK4" t="s">
        <v>280</v>
      </c>
      <c r="IL4" t="s">
        <v>281</v>
      </c>
      <c r="IM4" t="s">
        <v>282</v>
      </c>
      <c r="IN4" t="s">
        <v>283</v>
      </c>
      <c r="IO4" t="s">
        <v>284</v>
      </c>
      <c r="IP4" t="s">
        <v>285</v>
      </c>
      <c r="IQ4" t="s">
        <v>286</v>
      </c>
      <c r="IR4" t="s">
        <v>287</v>
      </c>
      <c r="IS4" t="s">
        <v>288</v>
      </c>
      <c r="IT4" t="s">
        <v>289</v>
      </c>
      <c r="IU4" t="s">
        <v>290</v>
      </c>
      <c r="IV4" t="s">
        <v>291</v>
      </c>
      <c r="IW4" t="s">
        <v>292</v>
      </c>
      <c r="IX4" t="s">
        <v>293</v>
      </c>
      <c r="IY4" t="s">
        <v>294</v>
      </c>
      <c r="IZ4" t="s">
        <v>295</v>
      </c>
      <c r="JA4" t="s">
        <v>296</v>
      </c>
      <c r="JB4" t="s">
        <v>297</v>
      </c>
      <c r="JC4" t="s">
        <v>298</v>
      </c>
      <c r="JD4" t="s">
        <v>299</v>
      </c>
      <c r="JE4" t="s">
        <v>300</v>
      </c>
      <c r="JF4" t="s">
        <v>301</v>
      </c>
      <c r="JG4" t="s">
        <v>302</v>
      </c>
      <c r="JH4" t="s">
        <v>303</v>
      </c>
      <c r="JI4" t="s">
        <v>304</v>
      </c>
      <c r="JJ4" t="s">
        <v>305</v>
      </c>
      <c r="JK4" t="s">
        <v>306</v>
      </c>
      <c r="JL4" t="s">
        <v>307</v>
      </c>
      <c r="JM4" t="s">
        <v>308</v>
      </c>
      <c r="JN4" t="s">
        <v>309</v>
      </c>
      <c r="JO4" t="s">
        <v>310</v>
      </c>
      <c r="JP4" t="s">
        <v>311</v>
      </c>
      <c r="JQ4" t="s">
        <v>312</v>
      </c>
      <c r="JR4" t="s">
        <v>313</v>
      </c>
      <c r="JS4" t="s">
        <v>314</v>
      </c>
      <c r="JT4" t="s">
        <v>315</v>
      </c>
      <c r="JU4" t="s">
        <v>316</v>
      </c>
      <c r="JV4" t="s">
        <v>317</v>
      </c>
      <c r="JW4" t="s">
        <v>318</v>
      </c>
      <c r="JX4" t="s">
        <v>319</v>
      </c>
      <c r="JY4" t="s">
        <v>320</v>
      </c>
      <c r="JZ4" t="s">
        <v>321</v>
      </c>
      <c r="KA4" t="s">
        <v>322</v>
      </c>
      <c r="KB4" t="s">
        <v>323</v>
      </c>
      <c r="KC4" t="s">
        <v>324</v>
      </c>
      <c r="KD4" t="s">
        <v>325</v>
      </c>
      <c r="KE4" t="s">
        <v>326</v>
      </c>
      <c r="KF4" t="s">
        <v>327</v>
      </c>
      <c r="KG4" t="s">
        <v>328</v>
      </c>
      <c r="KH4" t="s">
        <v>329</v>
      </c>
      <c r="KI4" t="s">
        <v>330</v>
      </c>
      <c r="KJ4" t="s">
        <v>331</v>
      </c>
      <c r="KK4" t="s">
        <v>332</v>
      </c>
      <c r="KL4" t="s">
        <v>333</v>
      </c>
      <c r="KM4" t="s">
        <v>334</v>
      </c>
      <c r="KN4" t="s">
        <v>335</v>
      </c>
      <c r="KO4" t="s">
        <v>336</v>
      </c>
      <c r="KP4" t="s">
        <v>337</v>
      </c>
      <c r="KQ4" t="s">
        <v>338</v>
      </c>
      <c r="KR4" t="s">
        <v>339</v>
      </c>
      <c r="KS4" t="s">
        <v>340</v>
      </c>
      <c r="KT4" t="s">
        <v>341</v>
      </c>
      <c r="KU4" t="s">
        <v>342</v>
      </c>
      <c r="KV4" t="s">
        <v>343</v>
      </c>
      <c r="KW4" t="s">
        <v>344</v>
      </c>
      <c r="KX4" t="s">
        <v>345</v>
      </c>
      <c r="KY4" t="s">
        <v>346</v>
      </c>
      <c r="KZ4" t="s">
        <v>347</v>
      </c>
      <c r="LA4" t="s">
        <v>348</v>
      </c>
      <c r="LB4" t="s">
        <v>349</v>
      </c>
    </row>
    <row r="5" spans="1:314" x14ac:dyDescent="0.25">
      <c r="A5" t="s">
        <v>350</v>
      </c>
      <c r="B5" t="s">
        <v>351</v>
      </c>
      <c r="C5" t="s">
        <v>352</v>
      </c>
      <c r="D5" t="s">
        <v>353</v>
      </c>
      <c r="E5" s="2">
        <v>40939.588912037034</v>
      </c>
      <c r="G5" t="s">
        <v>354</v>
      </c>
      <c r="H5" t="s">
        <v>355</v>
      </c>
      <c r="I5" t="s">
        <v>356</v>
      </c>
      <c r="J5" t="s">
        <v>357</v>
      </c>
      <c r="K5" t="s">
        <v>358</v>
      </c>
      <c r="L5">
        <v>0</v>
      </c>
      <c r="M5">
        <v>0</v>
      </c>
      <c r="N5">
        <v>0</v>
      </c>
      <c r="O5">
        <v>27491572</v>
      </c>
      <c r="P5">
        <v>0</v>
      </c>
      <c r="Q5">
        <v>470156</v>
      </c>
      <c r="R5">
        <v>0</v>
      </c>
      <c r="S5">
        <v>470156</v>
      </c>
      <c r="T5">
        <v>2578245</v>
      </c>
      <c r="U5">
        <v>1752686</v>
      </c>
      <c r="V5">
        <v>1831628</v>
      </c>
      <c r="W5">
        <v>0</v>
      </c>
      <c r="X5">
        <v>0</v>
      </c>
      <c r="Y5">
        <v>0</v>
      </c>
      <c r="Z5">
        <v>6162559</v>
      </c>
      <c r="AA5">
        <v>1023770</v>
      </c>
      <c r="AB5">
        <v>288421</v>
      </c>
      <c r="AC5">
        <v>811074</v>
      </c>
      <c r="AD5">
        <v>0</v>
      </c>
      <c r="AE5">
        <v>0</v>
      </c>
      <c r="AF5">
        <v>413632</v>
      </c>
      <c r="AG5">
        <v>2536897</v>
      </c>
      <c r="AH5">
        <v>3602015</v>
      </c>
      <c r="AI5">
        <v>2041107</v>
      </c>
      <c r="AJ5">
        <v>2642702</v>
      </c>
      <c r="AK5">
        <v>0</v>
      </c>
      <c r="AL5">
        <v>0</v>
      </c>
      <c r="AM5">
        <v>413632</v>
      </c>
      <c r="AN5">
        <v>8699456</v>
      </c>
      <c r="AO5">
        <v>0</v>
      </c>
      <c r="AP5">
        <v>0</v>
      </c>
      <c r="AQ5">
        <v>69742</v>
      </c>
      <c r="AR5">
        <v>0</v>
      </c>
      <c r="AS5">
        <v>69742</v>
      </c>
      <c r="AT5">
        <v>0</v>
      </c>
      <c r="AU5">
        <v>0</v>
      </c>
      <c r="AV5">
        <v>58758</v>
      </c>
      <c r="AW5">
        <v>0</v>
      </c>
      <c r="AX5">
        <v>58758</v>
      </c>
      <c r="AY5">
        <v>0</v>
      </c>
      <c r="AZ5">
        <v>0</v>
      </c>
      <c r="BA5">
        <v>128500</v>
      </c>
      <c r="BB5">
        <v>0</v>
      </c>
      <c r="BC5">
        <v>128500</v>
      </c>
      <c r="BD5">
        <v>1407320</v>
      </c>
      <c r="BE5">
        <v>0</v>
      </c>
      <c r="BF5">
        <v>0</v>
      </c>
      <c r="BG5">
        <v>0</v>
      </c>
      <c r="BH5">
        <v>0</v>
      </c>
      <c r="BI5">
        <v>1407320</v>
      </c>
      <c r="BJ5">
        <v>0</v>
      </c>
      <c r="BK5">
        <v>0</v>
      </c>
      <c r="BL5">
        <v>391211</v>
      </c>
      <c r="BM5">
        <v>0</v>
      </c>
      <c r="BN5">
        <v>0</v>
      </c>
      <c r="BO5">
        <v>391211</v>
      </c>
      <c r="BP5">
        <v>2726426</v>
      </c>
      <c r="BQ5">
        <v>0</v>
      </c>
      <c r="BR5">
        <v>0</v>
      </c>
      <c r="BS5">
        <v>0</v>
      </c>
      <c r="BT5">
        <v>0</v>
      </c>
      <c r="BU5">
        <v>2726426</v>
      </c>
      <c r="BV5">
        <v>4133746</v>
      </c>
      <c r="BW5">
        <v>0</v>
      </c>
      <c r="BX5">
        <v>391211</v>
      </c>
      <c r="BY5">
        <v>0</v>
      </c>
      <c r="BZ5">
        <v>0</v>
      </c>
      <c r="CA5">
        <v>4524957</v>
      </c>
      <c r="CB5">
        <v>0</v>
      </c>
      <c r="CC5">
        <v>0</v>
      </c>
      <c r="CD5">
        <v>0</v>
      </c>
      <c r="CE5">
        <v>0</v>
      </c>
      <c r="CF5">
        <v>0</v>
      </c>
      <c r="CG5">
        <v>0</v>
      </c>
      <c r="CH5">
        <v>0</v>
      </c>
      <c r="CI5">
        <v>0</v>
      </c>
      <c r="CJ5">
        <v>0</v>
      </c>
      <c r="CK5">
        <v>0</v>
      </c>
      <c r="CL5">
        <v>0</v>
      </c>
      <c r="CM5">
        <v>0</v>
      </c>
      <c r="CN5">
        <v>0</v>
      </c>
      <c r="CO5">
        <v>0</v>
      </c>
      <c r="CP5">
        <v>0</v>
      </c>
      <c r="CQ5">
        <v>0</v>
      </c>
      <c r="CR5" t="s">
        <v>350</v>
      </c>
      <c r="CS5">
        <v>875128</v>
      </c>
      <c r="CT5">
        <v>0</v>
      </c>
      <c r="CU5">
        <v>12342</v>
      </c>
      <c r="CV5">
        <v>15184</v>
      </c>
      <c r="CW5">
        <v>319252</v>
      </c>
      <c r="CX5">
        <v>293636</v>
      </c>
      <c r="CY5">
        <v>100</v>
      </c>
      <c r="CZ5">
        <v>39272</v>
      </c>
      <c r="DA5">
        <v>48322</v>
      </c>
      <c r="DB5">
        <v>3295</v>
      </c>
      <c r="DC5">
        <v>67408</v>
      </c>
      <c r="DD5">
        <v>0</v>
      </c>
      <c r="DE5">
        <v>48610</v>
      </c>
      <c r="DF5">
        <v>215472</v>
      </c>
      <c r="DG5">
        <v>88656</v>
      </c>
      <c r="DH5">
        <v>127583</v>
      </c>
      <c r="DI5">
        <v>0</v>
      </c>
      <c r="DJ5">
        <v>233005</v>
      </c>
      <c r="DK5">
        <v>35248</v>
      </c>
      <c r="DL5">
        <v>57904</v>
      </c>
      <c r="DM5">
        <v>93776</v>
      </c>
      <c r="DN5">
        <v>16624</v>
      </c>
      <c r="DO5">
        <v>0</v>
      </c>
      <c r="DP5">
        <v>17660</v>
      </c>
      <c r="DQ5">
        <v>50688</v>
      </c>
      <c r="DR5">
        <v>92280</v>
      </c>
      <c r="DS5">
        <v>362160</v>
      </c>
      <c r="DT5">
        <v>119472</v>
      </c>
      <c r="DU5">
        <v>0</v>
      </c>
      <c r="DV5">
        <v>128336</v>
      </c>
      <c r="DW5">
        <v>46032</v>
      </c>
      <c r="DX5">
        <v>2532317</v>
      </c>
      <c r="DY5">
        <v>79469</v>
      </c>
      <c r="DZ5">
        <v>97917</v>
      </c>
      <c r="EA5">
        <v>653305</v>
      </c>
      <c r="EB5">
        <v>1279239</v>
      </c>
      <c r="EC5">
        <v>0</v>
      </c>
      <c r="ED5">
        <v>203064</v>
      </c>
      <c r="EE5">
        <v>644542</v>
      </c>
      <c r="EF5">
        <v>399</v>
      </c>
      <c r="EG5">
        <v>312249</v>
      </c>
      <c r="EH5">
        <v>0</v>
      </c>
      <c r="EI5">
        <v>516137</v>
      </c>
      <c r="EJ5">
        <v>701470</v>
      </c>
      <c r="EK5">
        <v>190561</v>
      </c>
      <c r="EL5">
        <v>863783</v>
      </c>
      <c r="EM5">
        <v>0</v>
      </c>
      <c r="EN5">
        <v>1167640</v>
      </c>
      <c r="EO5">
        <v>414155</v>
      </c>
      <c r="EP5">
        <v>354185</v>
      </c>
      <c r="EQ5">
        <v>341918</v>
      </c>
      <c r="ER5">
        <v>104370</v>
      </c>
      <c r="ES5">
        <v>0</v>
      </c>
      <c r="ET5">
        <v>21892</v>
      </c>
      <c r="EU5">
        <v>457336</v>
      </c>
      <c r="EV5">
        <v>324777</v>
      </c>
      <c r="EW5">
        <v>1319031</v>
      </c>
      <c r="EX5">
        <v>1013809</v>
      </c>
      <c r="EY5">
        <v>0</v>
      </c>
      <c r="EZ5">
        <v>499751</v>
      </c>
      <c r="FA5">
        <v>198120</v>
      </c>
      <c r="FB5">
        <v>11759119</v>
      </c>
      <c r="FC5">
        <v>0</v>
      </c>
      <c r="FD5">
        <v>0</v>
      </c>
      <c r="FE5">
        <v>696</v>
      </c>
      <c r="FF5">
        <v>16298</v>
      </c>
      <c r="FG5">
        <v>0</v>
      </c>
      <c r="FH5">
        <v>1077</v>
      </c>
      <c r="FI5">
        <v>0</v>
      </c>
      <c r="FJ5">
        <v>0</v>
      </c>
      <c r="FK5">
        <v>0</v>
      </c>
      <c r="FL5">
        <v>0</v>
      </c>
      <c r="FM5">
        <v>12022</v>
      </c>
      <c r="FN5">
        <v>0</v>
      </c>
      <c r="FO5">
        <v>0</v>
      </c>
      <c r="FP5">
        <v>5330</v>
      </c>
      <c r="FQ5">
        <v>0</v>
      </c>
      <c r="FR5">
        <v>7168</v>
      </c>
      <c r="FS5">
        <v>0</v>
      </c>
      <c r="FT5">
        <v>0</v>
      </c>
      <c r="FU5">
        <v>0</v>
      </c>
      <c r="FV5">
        <v>0</v>
      </c>
      <c r="FW5">
        <v>0</v>
      </c>
      <c r="FX5">
        <v>0</v>
      </c>
      <c r="FY5">
        <v>3770</v>
      </c>
      <c r="FZ5">
        <v>0</v>
      </c>
      <c r="GA5">
        <v>0</v>
      </c>
      <c r="GB5">
        <v>15967</v>
      </c>
      <c r="GC5">
        <v>0</v>
      </c>
      <c r="GD5">
        <v>0</v>
      </c>
      <c r="GE5">
        <v>13204</v>
      </c>
      <c r="GF5">
        <v>75532</v>
      </c>
      <c r="GG5">
        <v>5876</v>
      </c>
      <c r="GH5">
        <v>7241</v>
      </c>
      <c r="GI5">
        <v>48361</v>
      </c>
      <c r="GJ5">
        <v>95800</v>
      </c>
      <c r="GK5">
        <v>0</v>
      </c>
      <c r="GL5">
        <v>15095</v>
      </c>
      <c r="GM5">
        <v>47661</v>
      </c>
      <c r="GN5">
        <v>30</v>
      </c>
      <c r="GO5">
        <v>23090</v>
      </c>
      <c r="GP5">
        <v>0</v>
      </c>
      <c r="GQ5">
        <v>39055</v>
      </c>
      <c r="GR5">
        <v>51871</v>
      </c>
      <c r="GS5">
        <v>14091</v>
      </c>
      <c r="GT5">
        <v>64268</v>
      </c>
      <c r="GU5">
        <v>0</v>
      </c>
      <c r="GV5">
        <v>86873</v>
      </c>
      <c r="GW5">
        <v>30625</v>
      </c>
      <c r="GX5">
        <v>26191</v>
      </c>
      <c r="GY5">
        <v>25284</v>
      </c>
      <c r="GZ5">
        <v>7718</v>
      </c>
      <c r="HA5">
        <v>0</v>
      </c>
      <c r="HB5">
        <v>1619</v>
      </c>
      <c r="HC5">
        <v>34097</v>
      </c>
      <c r="HD5">
        <v>24016</v>
      </c>
      <c r="HE5">
        <v>97537</v>
      </c>
      <c r="HF5">
        <v>76148</v>
      </c>
      <c r="HG5">
        <v>0</v>
      </c>
      <c r="HH5">
        <v>36955</v>
      </c>
      <c r="HI5">
        <v>15627</v>
      </c>
      <c r="HJ5">
        <v>875128</v>
      </c>
      <c r="HK5">
        <v>8579</v>
      </c>
      <c r="HL5">
        <v>38238</v>
      </c>
      <c r="HM5">
        <v>118079</v>
      </c>
      <c r="HN5">
        <v>88240</v>
      </c>
      <c r="HO5">
        <v>2696</v>
      </c>
      <c r="HP5">
        <v>48195</v>
      </c>
      <c r="HQ5">
        <v>54433</v>
      </c>
      <c r="HR5">
        <v>618</v>
      </c>
      <c r="HS5">
        <v>33105</v>
      </c>
      <c r="HT5">
        <v>0</v>
      </c>
      <c r="HU5">
        <v>115952</v>
      </c>
      <c r="HV5">
        <v>42665</v>
      </c>
      <c r="HW5">
        <v>18572</v>
      </c>
      <c r="HX5">
        <v>84798</v>
      </c>
      <c r="HY5">
        <v>0</v>
      </c>
      <c r="HZ5">
        <v>258499</v>
      </c>
      <c r="IA5">
        <v>50644</v>
      </c>
      <c r="IB5">
        <v>40232</v>
      </c>
      <c r="IC5">
        <v>21448</v>
      </c>
      <c r="ID5">
        <v>48732</v>
      </c>
      <c r="IE5">
        <v>0</v>
      </c>
      <c r="IF5">
        <v>7402</v>
      </c>
      <c r="IG5">
        <v>16677</v>
      </c>
      <c r="IH5">
        <v>66776</v>
      </c>
      <c r="II5">
        <v>77416</v>
      </c>
      <c r="IJ5">
        <v>93409</v>
      </c>
      <c r="IK5">
        <v>0</v>
      </c>
      <c r="IL5">
        <v>26619</v>
      </c>
      <c r="IM5">
        <v>10332</v>
      </c>
      <c r="IN5">
        <v>1372356</v>
      </c>
      <c r="IO5">
        <v>14455</v>
      </c>
      <c r="IP5">
        <v>45479</v>
      </c>
      <c r="IQ5">
        <v>167136</v>
      </c>
      <c r="IR5">
        <v>200338</v>
      </c>
      <c r="IS5">
        <v>2696</v>
      </c>
      <c r="IT5">
        <v>64367</v>
      </c>
      <c r="IU5">
        <v>102094</v>
      </c>
      <c r="IV5">
        <v>648</v>
      </c>
      <c r="IW5">
        <v>56195</v>
      </c>
      <c r="IX5">
        <v>0</v>
      </c>
      <c r="IY5">
        <v>167029</v>
      </c>
      <c r="IZ5">
        <v>94536</v>
      </c>
      <c r="JA5">
        <v>32663</v>
      </c>
      <c r="JB5">
        <v>154396</v>
      </c>
      <c r="JC5">
        <v>0</v>
      </c>
      <c r="JD5">
        <v>352540</v>
      </c>
      <c r="JE5">
        <v>81269</v>
      </c>
      <c r="JF5">
        <v>66423</v>
      </c>
      <c r="JG5">
        <v>46732</v>
      </c>
      <c r="JH5">
        <v>56450</v>
      </c>
      <c r="JI5">
        <v>0</v>
      </c>
      <c r="JJ5">
        <v>9021</v>
      </c>
      <c r="JK5">
        <v>54544</v>
      </c>
      <c r="JL5">
        <v>90792</v>
      </c>
      <c r="JM5">
        <v>174953</v>
      </c>
      <c r="JN5">
        <v>185524</v>
      </c>
      <c r="JO5">
        <v>0</v>
      </c>
      <c r="JP5">
        <v>63574</v>
      </c>
      <c r="JQ5">
        <v>39163</v>
      </c>
      <c r="JR5">
        <v>2323016</v>
      </c>
      <c r="JS5">
        <v>93924</v>
      </c>
      <c r="JT5">
        <v>143396</v>
      </c>
      <c r="JU5">
        <v>820441</v>
      </c>
      <c r="JV5">
        <v>1479577</v>
      </c>
      <c r="JW5">
        <v>2696</v>
      </c>
      <c r="JX5">
        <v>267431</v>
      </c>
      <c r="JY5">
        <v>746636</v>
      </c>
      <c r="JZ5">
        <v>1047</v>
      </c>
      <c r="KA5">
        <v>368444</v>
      </c>
      <c r="KB5">
        <v>0</v>
      </c>
      <c r="KC5">
        <v>683166</v>
      </c>
      <c r="KD5">
        <v>796006</v>
      </c>
      <c r="KE5">
        <v>223224</v>
      </c>
      <c r="KF5">
        <v>1018179</v>
      </c>
      <c r="KG5">
        <v>0</v>
      </c>
      <c r="KH5">
        <v>1520180</v>
      </c>
      <c r="KI5">
        <v>495424</v>
      </c>
      <c r="KJ5">
        <v>420608</v>
      </c>
      <c r="KK5">
        <v>388650</v>
      </c>
      <c r="KL5">
        <v>160820</v>
      </c>
      <c r="KM5">
        <v>0</v>
      </c>
      <c r="KN5">
        <v>30913</v>
      </c>
      <c r="KO5">
        <v>511880</v>
      </c>
      <c r="KP5">
        <v>415569</v>
      </c>
      <c r="KQ5">
        <v>1493984</v>
      </c>
      <c r="KR5">
        <v>1199333</v>
      </c>
      <c r="KS5">
        <v>0</v>
      </c>
      <c r="KT5">
        <v>563325</v>
      </c>
      <c r="KU5">
        <v>237283</v>
      </c>
      <c r="KV5">
        <v>14082135</v>
      </c>
      <c r="KW5" t="s">
        <v>359</v>
      </c>
      <c r="KX5">
        <v>23251747</v>
      </c>
      <c r="KY5">
        <v>4653457</v>
      </c>
      <c r="KZ5">
        <v>27905204</v>
      </c>
      <c r="LA5">
        <v>0</v>
      </c>
      <c r="LB5">
        <v>413632</v>
      </c>
    </row>
    <row r="6" spans="1:314" x14ac:dyDescent="0.25">
      <c r="A6" t="s">
        <v>360</v>
      </c>
      <c r="B6" t="s">
        <v>361</v>
      </c>
      <c r="C6" t="s">
        <v>352</v>
      </c>
      <c r="D6" t="s">
        <v>362</v>
      </c>
      <c r="E6" s="2">
        <v>40933.701863425929</v>
      </c>
      <c r="G6" t="s">
        <v>363</v>
      </c>
      <c r="H6" t="s">
        <v>364</v>
      </c>
      <c r="I6" t="s">
        <v>365</v>
      </c>
      <c r="J6" t="s">
        <v>366</v>
      </c>
      <c r="K6" t="s">
        <v>367</v>
      </c>
      <c r="L6">
        <v>0</v>
      </c>
      <c r="M6">
        <v>0</v>
      </c>
      <c r="N6">
        <v>0</v>
      </c>
      <c r="O6">
        <v>49984463</v>
      </c>
      <c r="P6">
        <v>0</v>
      </c>
      <c r="Q6">
        <v>2296418</v>
      </c>
      <c r="R6">
        <v>0</v>
      </c>
      <c r="S6">
        <v>2296418</v>
      </c>
      <c r="T6">
        <v>5536681</v>
      </c>
      <c r="U6">
        <v>2779939</v>
      </c>
      <c r="V6">
        <v>2228945</v>
      </c>
      <c r="W6">
        <v>0</v>
      </c>
      <c r="X6">
        <v>0</v>
      </c>
      <c r="Y6">
        <v>0</v>
      </c>
      <c r="Z6">
        <v>10545565</v>
      </c>
      <c r="AA6">
        <v>4033998</v>
      </c>
      <c r="AB6">
        <v>287401</v>
      </c>
      <c r="AC6">
        <v>429032</v>
      </c>
      <c r="AD6">
        <v>0</v>
      </c>
      <c r="AE6">
        <v>0</v>
      </c>
      <c r="AF6">
        <v>1511934</v>
      </c>
      <c r="AG6">
        <v>6262365</v>
      </c>
      <c r="AH6">
        <v>9570679</v>
      </c>
      <c r="AI6">
        <v>3067340</v>
      </c>
      <c r="AJ6">
        <v>2657977</v>
      </c>
      <c r="AK6">
        <v>0</v>
      </c>
      <c r="AL6">
        <v>0</v>
      </c>
      <c r="AM6">
        <v>1511934</v>
      </c>
      <c r="AN6">
        <v>16807930</v>
      </c>
      <c r="AO6">
        <v>975733</v>
      </c>
      <c r="AP6">
        <v>0</v>
      </c>
      <c r="AQ6">
        <v>730667</v>
      </c>
      <c r="AR6">
        <v>0</v>
      </c>
      <c r="AS6">
        <v>1706400</v>
      </c>
      <c r="AT6">
        <v>188371</v>
      </c>
      <c r="AU6">
        <v>0</v>
      </c>
      <c r="AV6">
        <v>226176</v>
      </c>
      <c r="AW6">
        <v>372744</v>
      </c>
      <c r="AX6">
        <v>787291</v>
      </c>
      <c r="AY6">
        <v>1164104</v>
      </c>
      <c r="AZ6">
        <v>0</v>
      </c>
      <c r="BA6">
        <v>956843</v>
      </c>
      <c r="BB6">
        <v>372744</v>
      </c>
      <c r="BC6">
        <v>2493691</v>
      </c>
      <c r="BD6">
        <v>2489150</v>
      </c>
      <c r="BE6">
        <v>0</v>
      </c>
      <c r="BF6">
        <v>0</v>
      </c>
      <c r="BG6">
        <v>0</v>
      </c>
      <c r="BH6">
        <v>0</v>
      </c>
      <c r="BI6">
        <v>2489150</v>
      </c>
      <c r="BJ6">
        <v>0</v>
      </c>
      <c r="BK6">
        <v>0</v>
      </c>
      <c r="BL6">
        <v>928589</v>
      </c>
      <c r="BM6">
        <v>0</v>
      </c>
      <c r="BN6">
        <v>0</v>
      </c>
      <c r="BO6">
        <v>928589</v>
      </c>
      <c r="BP6">
        <v>2528504</v>
      </c>
      <c r="BQ6">
        <v>1222261</v>
      </c>
      <c r="BR6">
        <v>0</v>
      </c>
      <c r="BS6">
        <v>0</v>
      </c>
      <c r="BT6">
        <v>117885</v>
      </c>
      <c r="BU6">
        <v>3868650</v>
      </c>
      <c r="BV6">
        <v>5017654</v>
      </c>
      <c r="BW6">
        <v>1222261</v>
      </c>
      <c r="BX6">
        <v>928589</v>
      </c>
      <c r="BY6">
        <v>0</v>
      </c>
      <c r="BZ6">
        <v>117885</v>
      </c>
      <c r="CA6">
        <v>7286389</v>
      </c>
      <c r="CB6">
        <v>0</v>
      </c>
      <c r="CC6">
        <v>0</v>
      </c>
      <c r="CD6">
        <v>0</v>
      </c>
      <c r="CE6">
        <v>0</v>
      </c>
      <c r="CF6">
        <v>0</v>
      </c>
      <c r="CG6">
        <v>0</v>
      </c>
      <c r="CH6">
        <v>0</v>
      </c>
      <c r="CI6">
        <v>0</v>
      </c>
      <c r="CJ6">
        <v>0</v>
      </c>
      <c r="CK6">
        <v>0</v>
      </c>
      <c r="CL6">
        <v>0</v>
      </c>
      <c r="CM6">
        <v>0</v>
      </c>
      <c r="CN6">
        <v>0</v>
      </c>
      <c r="CO6">
        <v>0</v>
      </c>
      <c r="CP6">
        <v>0</v>
      </c>
      <c r="CQ6">
        <v>0</v>
      </c>
      <c r="CR6" t="s">
        <v>360</v>
      </c>
      <c r="CS6">
        <v>2355958</v>
      </c>
      <c r="CT6">
        <v>0</v>
      </c>
      <c r="CU6">
        <v>12468</v>
      </c>
      <c r="CV6">
        <v>24544</v>
      </c>
      <c r="CW6">
        <v>505328</v>
      </c>
      <c r="CX6">
        <v>384155</v>
      </c>
      <c r="CY6">
        <v>576</v>
      </c>
      <c r="CZ6">
        <v>41405</v>
      </c>
      <c r="DA6">
        <v>47524</v>
      </c>
      <c r="DB6">
        <v>16952</v>
      </c>
      <c r="DC6">
        <v>202589</v>
      </c>
      <c r="DD6">
        <v>4640</v>
      </c>
      <c r="DE6">
        <v>219649</v>
      </c>
      <c r="DF6">
        <v>469440</v>
      </c>
      <c r="DG6">
        <v>46580</v>
      </c>
      <c r="DH6">
        <v>384941</v>
      </c>
      <c r="DI6">
        <v>56020</v>
      </c>
      <c r="DJ6">
        <v>344933</v>
      </c>
      <c r="DK6">
        <v>25120</v>
      </c>
      <c r="DL6">
        <v>123269</v>
      </c>
      <c r="DM6">
        <v>277752</v>
      </c>
      <c r="DN6">
        <v>52492</v>
      </c>
      <c r="DO6">
        <v>159159</v>
      </c>
      <c r="DP6">
        <v>19568</v>
      </c>
      <c r="DQ6">
        <v>96320</v>
      </c>
      <c r="DR6">
        <v>231204</v>
      </c>
      <c r="DS6">
        <v>657575</v>
      </c>
      <c r="DT6">
        <v>258926</v>
      </c>
      <c r="DU6">
        <v>0</v>
      </c>
      <c r="DV6">
        <v>348448</v>
      </c>
      <c r="DW6">
        <v>246144</v>
      </c>
      <c r="DX6">
        <v>5257721</v>
      </c>
      <c r="DY6">
        <v>36952</v>
      </c>
      <c r="DZ6">
        <v>82127</v>
      </c>
      <c r="EA6">
        <v>1516618</v>
      </c>
      <c r="EB6">
        <v>1249992</v>
      </c>
      <c r="EC6">
        <v>1927</v>
      </c>
      <c r="ED6">
        <v>128447</v>
      </c>
      <c r="EE6">
        <v>153462</v>
      </c>
      <c r="EF6">
        <v>56723</v>
      </c>
      <c r="EG6">
        <v>449185</v>
      </c>
      <c r="EH6">
        <v>13922</v>
      </c>
      <c r="EI6">
        <v>671680</v>
      </c>
      <c r="EJ6">
        <v>1381685</v>
      </c>
      <c r="EK6">
        <v>141022</v>
      </c>
      <c r="EL6">
        <v>1738442</v>
      </c>
      <c r="EM6">
        <v>194354</v>
      </c>
      <c r="EN6">
        <v>1161497</v>
      </c>
      <c r="EO6">
        <v>95313</v>
      </c>
      <c r="EP6">
        <v>623232</v>
      </c>
      <c r="EQ6">
        <v>825580</v>
      </c>
      <c r="ER6">
        <v>175644</v>
      </c>
      <c r="ES6">
        <v>532650</v>
      </c>
      <c r="ET6">
        <v>64966</v>
      </c>
      <c r="EU6">
        <v>158714</v>
      </c>
      <c r="EV6">
        <v>342768</v>
      </c>
      <c r="EW6">
        <v>1167847</v>
      </c>
      <c r="EX6">
        <v>791825</v>
      </c>
      <c r="EY6">
        <v>15277</v>
      </c>
      <c r="EZ6">
        <v>1035714</v>
      </c>
      <c r="FA6">
        <v>724466</v>
      </c>
      <c r="FB6">
        <v>15532031</v>
      </c>
      <c r="FC6">
        <v>9450</v>
      </c>
      <c r="FD6">
        <v>17341</v>
      </c>
      <c r="FE6">
        <v>184545</v>
      </c>
      <c r="FF6">
        <v>233797</v>
      </c>
      <c r="FG6">
        <v>407</v>
      </c>
      <c r="FH6">
        <v>38787</v>
      </c>
      <c r="FI6">
        <v>23148</v>
      </c>
      <c r="FJ6">
        <v>11977</v>
      </c>
      <c r="FK6">
        <v>64692</v>
      </c>
      <c r="FL6">
        <v>1691</v>
      </c>
      <c r="FM6">
        <v>149854</v>
      </c>
      <c r="FN6">
        <v>386058</v>
      </c>
      <c r="FO6">
        <v>17286</v>
      </c>
      <c r="FP6">
        <v>204507</v>
      </c>
      <c r="FQ6">
        <v>32575</v>
      </c>
      <c r="FR6">
        <v>226107</v>
      </c>
      <c r="FS6">
        <v>8595</v>
      </c>
      <c r="FT6">
        <v>40492</v>
      </c>
      <c r="FU6">
        <v>146996</v>
      </c>
      <c r="FV6">
        <v>37087</v>
      </c>
      <c r="FW6">
        <v>116880</v>
      </c>
      <c r="FX6">
        <v>12463</v>
      </c>
      <c r="FY6">
        <v>13091</v>
      </c>
      <c r="FZ6">
        <v>464920</v>
      </c>
      <c r="GA6">
        <v>120153</v>
      </c>
      <c r="GB6">
        <v>76559</v>
      </c>
      <c r="GC6">
        <v>347968</v>
      </c>
      <c r="GD6">
        <v>184411</v>
      </c>
      <c r="GE6">
        <v>202424</v>
      </c>
      <c r="GF6">
        <v>3374261</v>
      </c>
      <c r="GG6">
        <v>5782</v>
      </c>
      <c r="GH6">
        <v>12395</v>
      </c>
      <c r="GI6">
        <v>211986</v>
      </c>
      <c r="GJ6">
        <v>184898</v>
      </c>
      <c r="GK6">
        <v>291</v>
      </c>
      <c r="GL6">
        <v>20839</v>
      </c>
      <c r="GM6">
        <v>22008</v>
      </c>
      <c r="GN6">
        <v>8561</v>
      </c>
      <c r="GO6">
        <v>64035</v>
      </c>
      <c r="GP6">
        <v>1946</v>
      </c>
      <c r="GQ6">
        <v>102373</v>
      </c>
      <c r="GR6">
        <v>220283</v>
      </c>
      <c r="GS6">
        <v>19727</v>
      </c>
      <c r="GT6">
        <v>242115</v>
      </c>
      <c r="GU6">
        <v>28278</v>
      </c>
      <c r="GV6">
        <v>172913</v>
      </c>
      <c r="GW6">
        <v>12948</v>
      </c>
      <c r="GX6">
        <v>82708</v>
      </c>
      <c r="GY6">
        <v>121195</v>
      </c>
      <c r="GZ6">
        <v>26509</v>
      </c>
      <c r="HA6">
        <v>80939</v>
      </c>
      <c r="HB6">
        <v>9649</v>
      </c>
      <c r="HC6">
        <v>21409</v>
      </c>
      <c r="HD6">
        <v>100648</v>
      </c>
      <c r="HE6">
        <v>160501</v>
      </c>
      <c r="HF6">
        <v>108211</v>
      </c>
      <c r="HG6">
        <v>45265</v>
      </c>
      <c r="HH6">
        <v>152043</v>
      </c>
      <c r="HI6">
        <v>115502</v>
      </c>
      <c r="HJ6">
        <v>2355958</v>
      </c>
      <c r="HK6">
        <v>5900</v>
      </c>
      <c r="HL6">
        <v>22925</v>
      </c>
      <c r="HM6">
        <v>113832</v>
      </c>
      <c r="HN6">
        <v>67179</v>
      </c>
      <c r="HO6">
        <v>538</v>
      </c>
      <c r="HP6">
        <v>24177</v>
      </c>
      <c r="HQ6">
        <v>7756</v>
      </c>
      <c r="HR6">
        <v>15833</v>
      </c>
      <c r="HS6">
        <v>44021</v>
      </c>
      <c r="HT6">
        <v>1037</v>
      </c>
      <c r="HU6">
        <v>107897</v>
      </c>
      <c r="HV6">
        <v>141878</v>
      </c>
      <c r="HW6">
        <v>12589</v>
      </c>
      <c r="HX6">
        <v>271033</v>
      </c>
      <c r="HY6">
        <v>13966</v>
      </c>
      <c r="HZ6">
        <v>97877</v>
      </c>
      <c r="IA6">
        <v>5517</v>
      </c>
      <c r="IB6">
        <v>99014</v>
      </c>
      <c r="IC6">
        <v>68832</v>
      </c>
      <c r="ID6">
        <v>49029</v>
      </c>
      <c r="IE6">
        <v>150030</v>
      </c>
      <c r="IF6">
        <v>14501</v>
      </c>
      <c r="IG6">
        <v>6010</v>
      </c>
      <c r="IH6">
        <v>127662</v>
      </c>
      <c r="II6">
        <v>45300</v>
      </c>
      <c r="IJ6">
        <v>66624</v>
      </c>
      <c r="IK6">
        <v>98647</v>
      </c>
      <c r="IL6">
        <v>86352</v>
      </c>
      <c r="IM6">
        <v>74392</v>
      </c>
      <c r="IN6">
        <v>1840348</v>
      </c>
      <c r="IO6">
        <v>21132</v>
      </c>
      <c r="IP6">
        <v>52661</v>
      </c>
      <c r="IQ6">
        <v>510363</v>
      </c>
      <c r="IR6">
        <v>485874</v>
      </c>
      <c r="IS6">
        <v>1236</v>
      </c>
      <c r="IT6">
        <v>83803</v>
      </c>
      <c r="IU6">
        <v>52912</v>
      </c>
      <c r="IV6">
        <v>36371</v>
      </c>
      <c r="IW6">
        <v>172748</v>
      </c>
      <c r="IX6">
        <v>4674</v>
      </c>
      <c r="IY6">
        <v>360124</v>
      </c>
      <c r="IZ6">
        <v>748219</v>
      </c>
      <c r="JA6">
        <v>49602</v>
      </c>
      <c r="JB6">
        <v>717655</v>
      </c>
      <c r="JC6">
        <v>74819</v>
      </c>
      <c r="JD6">
        <v>496897</v>
      </c>
      <c r="JE6">
        <v>27060</v>
      </c>
      <c r="JF6">
        <v>222214</v>
      </c>
      <c r="JG6">
        <v>337023</v>
      </c>
      <c r="JH6">
        <v>112625</v>
      </c>
      <c r="JI6">
        <v>347849</v>
      </c>
      <c r="JJ6">
        <v>36613</v>
      </c>
      <c r="JK6">
        <v>40510</v>
      </c>
      <c r="JL6">
        <v>693230</v>
      </c>
      <c r="JM6">
        <v>325954</v>
      </c>
      <c r="JN6">
        <v>251394</v>
      </c>
      <c r="JO6">
        <v>491880</v>
      </c>
      <c r="JP6">
        <v>422806</v>
      </c>
      <c r="JQ6">
        <v>392318</v>
      </c>
      <c r="JR6">
        <v>7570567</v>
      </c>
      <c r="JS6">
        <v>58084</v>
      </c>
      <c r="JT6">
        <v>134788</v>
      </c>
      <c r="JU6">
        <v>2026981</v>
      </c>
      <c r="JV6">
        <v>1735866</v>
      </c>
      <c r="JW6">
        <v>3163</v>
      </c>
      <c r="JX6">
        <v>212250</v>
      </c>
      <c r="JY6">
        <v>206374</v>
      </c>
      <c r="JZ6">
        <v>93094</v>
      </c>
      <c r="KA6">
        <v>621933</v>
      </c>
      <c r="KB6">
        <v>18596</v>
      </c>
      <c r="KC6">
        <v>1031804</v>
      </c>
      <c r="KD6">
        <v>2129904</v>
      </c>
      <c r="KE6">
        <v>190624</v>
      </c>
      <c r="KF6">
        <v>2456097</v>
      </c>
      <c r="KG6">
        <v>269173</v>
      </c>
      <c r="KH6">
        <v>1658394</v>
      </c>
      <c r="KI6">
        <v>122373</v>
      </c>
      <c r="KJ6">
        <v>845446</v>
      </c>
      <c r="KK6">
        <v>1162603</v>
      </c>
      <c r="KL6">
        <v>288269</v>
      </c>
      <c r="KM6">
        <v>880499</v>
      </c>
      <c r="KN6">
        <v>101579</v>
      </c>
      <c r="KO6">
        <v>199224</v>
      </c>
      <c r="KP6">
        <v>1035998</v>
      </c>
      <c r="KQ6">
        <v>1493801</v>
      </c>
      <c r="KR6">
        <v>1043219</v>
      </c>
      <c r="KS6">
        <v>507157</v>
      </c>
      <c r="KT6">
        <v>1458520</v>
      </c>
      <c r="KU6">
        <v>1116784</v>
      </c>
      <c r="KV6">
        <v>23102598</v>
      </c>
      <c r="KW6" t="s">
        <v>359</v>
      </c>
      <c r="KX6">
        <v>42206946</v>
      </c>
      <c r="KY6">
        <v>9780080</v>
      </c>
      <c r="KZ6">
        <v>51987026</v>
      </c>
      <c r="LA6">
        <v>0</v>
      </c>
      <c r="LB6">
        <v>2002563</v>
      </c>
    </row>
    <row r="7" spans="1:314" x14ac:dyDescent="0.25">
      <c r="A7" t="s">
        <v>368</v>
      </c>
      <c r="B7" t="s">
        <v>369</v>
      </c>
      <c r="C7" t="s">
        <v>352</v>
      </c>
      <c r="D7" t="s">
        <v>370</v>
      </c>
      <c r="E7" s="2">
        <v>40940.6871875</v>
      </c>
      <c r="G7" t="s">
        <v>371</v>
      </c>
      <c r="H7" t="s">
        <v>372</v>
      </c>
      <c r="I7" t="s">
        <v>373</v>
      </c>
      <c r="J7" t="s">
        <v>374</v>
      </c>
      <c r="K7" t="s">
        <v>375</v>
      </c>
      <c r="L7">
        <v>0</v>
      </c>
      <c r="M7">
        <v>0</v>
      </c>
      <c r="N7">
        <v>0</v>
      </c>
      <c r="O7">
        <v>17698472</v>
      </c>
      <c r="P7">
        <v>0</v>
      </c>
      <c r="Q7">
        <v>146069</v>
      </c>
      <c r="R7">
        <v>0</v>
      </c>
      <c r="S7">
        <v>146069</v>
      </c>
      <c r="T7">
        <v>2290972</v>
      </c>
      <c r="U7">
        <v>574686</v>
      </c>
      <c r="V7">
        <v>565670</v>
      </c>
      <c r="W7">
        <v>0</v>
      </c>
      <c r="X7">
        <v>0</v>
      </c>
      <c r="Y7">
        <v>0</v>
      </c>
      <c r="Z7">
        <v>3431328</v>
      </c>
      <c r="AA7">
        <v>2180890</v>
      </c>
      <c r="AB7">
        <v>250982</v>
      </c>
      <c r="AC7">
        <v>179800</v>
      </c>
      <c r="AD7">
        <v>0</v>
      </c>
      <c r="AE7">
        <v>92094</v>
      </c>
      <c r="AF7">
        <v>432542</v>
      </c>
      <c r="AG7">
        <v>3136308</v>
      </c>
      <c r="AH7">
        <v>4471862</v>
      </c>
      <c r="AI7">
        <v>825668</v>
      </c>
      <c r="AJ7">
        <v>745470</v>
      </c>
      <c r="AK7">
        <v>0</v>
      </c>
      <c r="AL7">
        <v>92094</v>
      </c>
      <c r="AM7">
        <v>432542</v>
      </c>
      <c r="AN7">
        <v>6567636</v>
      </c>
      <c r="AO7">
        <v>0</v>
      </c>
      <c r="AP7">
        <v>0</v>
      </c>
      <c r="AQ7">
        <v>66949</v>
      </c>
      <c r="AR7">
        <v>0</v>
      </c>
      <c r="AS7">
        <v>66949</v>
      </c>
      <c r="AT7">
        <v>0</v>
      </c>
      <c r="AU7">
        <v>0</v>
      </c>
      <c r="AV7">
        <v>159177</v>
      </c>
      <c r="AW7">
        <v>0</v>
      </c>
      <c r="AX7">
        <v>159177</v>
      </c>
      <c r="AY7">
        <v>0</v>
      </c>
      <c r="AZ7">
        <v>0</v>
      </c>
      <c r="BA7">
        <v>226126</v>
      </c>
      <c r="BB7">
        <v>0</v>
      </c>
      <c r="BC7">
        <v>226126</v>
      </c>
      <c r="BD7">
        <v>780358</v>
      </c>
      <c r="BE7">
        <v>0</v>
      </c>
      <c r="BF7">
        <v>0</v>
      </c>
      <c r="BG7">
        <v>0</v>
      </c>
      <c r="BH7">
        <v>0</v>
      </c>
      <c r="BI7">
        <v>780358</v>
      </c>
      <c r="BJ7">
        <v>0</v>
      </c>
      <c r="BK7">
        <v>0</v>
      </c>
      <c r="BL7">
        <v>281358</v>
      </c>
      <c r="BM7">
        <v>0</v>
      </c>
      <c r="BN7">
        <v>0</v>
      </c>
      <c r="BO7">
        <v>281358</v>
      </c>
      <c r="BP7">
        <v>1751254</v>
      </c>
      <c r="BQ7">
        <v>0</v>
      </c>
      <c r="BR7">
        <v>0</v>
      </c>
      <c r="BS7">
        <v>0</v>
      </c>
      <c r="BT7">
        <v>0</v>
      </c>
      <c r="BU7">
        <v>1751254</v>
      </c>
      <c r="BV7">
        <v>2531612</v>
      </c>
      <c r="BW7">
        <v>0</v>
      </c>
      <c r="BX7">
        <v>281358</v>
      </c>
      <c r="BY7">
        <v>0</v>
      </c>
      <c r="BZ7">
        <v>0</v>
      </c>
      <c r="CA7">
        <v>2812970</v>
      </c>
      <c r="CB7">
        <v>0</v>
      </c>
      <c r="CC7">
        <v>0</v>
      </c>
      <c r="CD7">
        <v>0</v>
      </c>
      <c r="CE7">
        <v>0</v>
      </c>
      <c r="CF7">
        <v>0</v>
      </c>
      <c r="CG7">
        <v>0</v>
      </c>
      <c r="CH7">
        <v>0</v>
      </c>
      <c r="CI7">
        <v>0</v>
      </c>
      <c r="CJ7">
        <v>0</v>
      </c>
      <c r="CK7">
        <v>0</v>
      </c>
      <c r="CL7">
        <v>0</v>
      </c>
      <c r="CM7">
        <v>0</v>
      </c>
      <c r="CN7">
        <v>0</v>
      </c>
      <c r="CO7">
        <v>0</v>
      </c>
      <c r="CP7">
        <v>0</v>
      </c>
      <c r="CQ7">
        <v>0</v>
      </c>
      <c r="CR7" t="s">
        <v>368</v>
      </c>
      <c r="CS7">
        <v>226530</v>
      </c>
      <c r="CT7">
        <v>0</v>
      </c>
      <c r="CU7">
        <v>11568</v>
      </c>
      <c r="CV7">
        <v>122131</v>
      </c>
      <c r="CW7">
        <v>181536</v>
      </c>
      <c r="CX7">
        <v>121088</v>
      </c>
      <c r="CY7">
        <v>0</v>
      </c>
      <c r="CZ7">
        <v>15193</v>
      </c>
      <c r="DA7">
        <v>144140</v>
      </c>
      <c r="DB7">
        <v>20984</v>
      </c>
      <c r="DC7">
        <v>162006</v>
      </c>
      <c r="DD7">
        <v>672</v>
      </c>
      <c r="DE7">
        <v>126394</v>
      </c>
      <c r="DF7">
        <v>258560</v>
      </c>
      <c r="DG7">
        <v>17872</v>
      </c>
      <c r="DH7">
        <v>34124</v>
      </c>
      <c r="DI7">
        <v>37984</v>
      </c>
      <c r="DJ7">
        <v>84893</v>
      </c>
      <c r="DK7">
        <v>0</v>
      </c>
      <c r="DL7">
        <v>133632</v>
      </c>
      <c r="DM7">
        <v>63280</v>
      </c>
      <c r="DN7">
        <v>31840</v>
      </c>
      <c r="DO7">
        <v>32246</v>
      </c>
      <c r="DP7">
        <v>1248</v>
      </c>
      <c r="DQ7">
        <v>35888</v>
      </c>
      <c r="DR7">
        <v>55437</v>
      </c>
      <c r="DS7">
        <v>276288</v>
      </c>
      <c r="DT7">
        <v>68048</v>
      </c>
      <c r="DU7">
        <v>0</v>
      </c>
      <c r="DV7">
        <v>101760</v>
      </c>
      <c r="DW7">
        <v>70472</v>
      </c>
      <c r="DX7">
        <v>2209284</v>
      </c>
      <c r="DY7">
        <v>109051</v>
      </c>
      <c r="DZ7">
        <v>212115</v>
      </c>
      <c r="EA7">
        <v>455741</v>
      </c>
      <c r="EB7">
        <v>451713</v>
      </c>
      <c r="EC7">
        <v>0</v>
      </c>
      <c r="ED7">
        <v>149028</v>
      </c>
      <c r="EE7">
        <v>442783</v>
      </c>
      <c r="EF7">
        <v>84289</v>
      </c>
      <c r="EG7">
        <v>509698</v>
      </c>
      <c r="EH7">
        <v>0</v>
      </c>
      <c r="EI7">
        <v>194140</v>
      </c>
      <c r="EJ7">
        <v>576499</v>
      </c>
      <c r="EK7">
        <v>53413</v>
      </c>
      <c r="EL7">
        <v>170744</v>
      </c>
      <c r="EM7">
        <v>284536</v>
      </c>
      <c r="EN7">
        <v>178866</v>
      </c>
      <c r="EO7">
        <v>0</v>
      </c>
      <c r="EP7">
        <v>518227</v>
      </c>
      <c r="EQ7">
        <v>270038</v>
      </c>
      <c r="ER7">
        <v>95552</v>
      </c>
      <c r="ES7">
        <v>56371</v>
      </c>
      <c r="ET7">
        <v>91733</v>
      </c>
      <c r="EU7">
        <v>140251</v>
      </c>
      <c r="EV7">
        <v>171967</v>
      </c>
      <c r="EW7">
        <v>707234</v>
      </c>
      <c r="EX7">
        <v>185550</v>
      </c>
      <c r="EY7">
        <v>0</v>
      </c>
      <c r="EZ7">
        <v>258614</v>
      </c>
      <c r="FA7">
        <v>240946</v>
      </c>
      <c r="FB7">
        <v>6609099</v>
      </c>
      <c r="FC7">
        <v>976</v>
      </c>
      <c r="FD7">
        <v>10180</v>
      </c>
      <c r="FE7">
        <v>70116</v>
      </c>
      <c r="FF7">
        <v>32318</v>
      </c>
      <c r="FG7">
        <v>0</v>
      </c>
      <c r="FH7">
        <v>0</v>
      </c>
      <c r="FI7">
        <v>69375</v>
      </c>
      <c r="FJ7">
        <v>1344</v>
      </c>
      <c r="FK7">
        <v>144218</v>
      </c>
      <c r="FL7">
        <v>0</v>
      </c>
      <c r="FM7">
        <v>3623</v>
      </c>
      <c r="FN7">
        <v>0</v>
      </c>
      <c r="FO7">
        <v>0</v>
      </c>
      <c r="FP7">
        <v>82423</v>
      </c>
      <c r="FQ7">
        <v>145091</v>
      </c>
      <c r="FR7">
        <v>228637</v>
      </c>
      <c r="FS7">
        <v>0</v>
      </c>
      <c r="FT7">
        <v>54261</v>
      </c>
      <c r="FU7">
        <v>0</v>
      </c>
      <c r="FV7">
        <v>0</v>
      </c>
      <c r="FW7">
        <v>0</v>
      </c>
      <c r="FX7">
        <v>0</v>
      </c>
      <c r="FY7">
        <v>9264</v>
      </c>
      <c r="FZ7">
        <v>1596</v>
      </c>
      <c r="GA7">
        <v>0</v>
      </c>
      <c r="GB7">
        <v>0</v>
      </c>
      <c r="GC7">
        <v>0</v>
      </c>
      <c r="GD7">
        <v>8165</v>
      </c>
      <c r="GE7">
        <v>0</v>
      </c>
      <c r="GF7">
        <v>861587</v>
      </c>
      <c r="GG7">
        <v>3336</v>
      </c>
      <c r="GH7">
        <v>6741</v>
      </c>
      <c r="GI7">
        <v>15945</v>
      </c>
      <c r="GJ7">
        <v>14677</v>
      </c>
      <c r="GK7">
        <v>0</v>
      </c>
      <c r="GL7">
        <v>4519</v>
      </c>
      <c r="GM7">
        <v>15530</v>
      </c>
      <c r="GN7">
        <v>2597</v>
      </c>
      <c r="GO7">
        <v>19828</v>
      </c>
      <c r="GP7">
        <v>0</v>
      </c>
      <c r="GQ7">
        <v>5997</v>
      </c>
      <c r="GR7">
        <v>17481</v>
      </c>
      <c r="GS7">
        <v>1620</v>
      </c>
      <c r="GT7">
        <v>7677</v>
      </c>
      <c r="GU7">
        <v>13027</v>
      </c>
      <c r="GV7">
        <v>12357</v>
      </c>
      <c r="GW7">
        <v>0</v>
      </c>
      <c r="GX7">
        <v>17359</v>
      </c>
      <c r="GY7">
        <v>8188</v>
      </c>
      <c r="GZ7">
        <v>2897</v>
      </c>
      <c r="HA7">
        <v>1709</v>
      </c>
      <c r="HB7">
        <v>2782</v>
      </c>
      <c r="HC7">
        <v>4534</v>
      </c>
      <c r="HD7">
        <v>5263</v>
      </c>
      <c r="HE7">
        <v>21445</v>
      </c>
      <c r="HF7">
        <v>5626</v>
      </c>
      <c r="HG7">
        <v>0</v>
      </c>
      <c r="HH7">
        <v>8089</v>
      </c>
      <c r="HI7">
        <v>7306</v>
      </c>
      <c r="HJ7">
        <v>226530</v>
      </c>
      <c r="HK7">
        <v>6100</v>
      </c>
      <c r="HL7">
        <v>79772</v>
      </c>
      <c r="HM7">
        <v>35770</v>
      </c>
      <c r="HN7">
        <v>51286</v>
      </c>
      <c r="HO7">
        <v>0</v>
      </c>
      <c r="HP7">
        <v>122</v>
      </c>
      <c r="HQ7">
        <v>28000</v>
      </c>
      <c r="HR7">
        <v>683</v>
      </c>
      <c r="HS7">
        <v>34964</v>
      </c>
      <c r="HT7">
        <v>0</v>
      </c>
      <c r="HU7">
        <v>25806</v>
      </c>
      <c r="HV7">
        <v>5786</v>
      </c>
      <c r="HW7">
        <v>1704</v>
      </c>
      <c r="HX7">
        <v>68451</v>
      </c>
      <c r="HY7">
        <v>76690</v>
      </c>
      <c r="HZ7">
        <v>45423</v>
      </c>
      <c r="IA7">
        <v>0</v>
      </c>
      <c r="IB7">
        <v>73156</v>
      </c>
      <c r="IC7">
        <v>5280</v>
      </c>
      <c r="ID7">
        <v>4551</v>
      </c>
      <c r="IE7">
        <v>13629</v>
      </c>
      <c r="IF7">
        <v>18836</v>
      </c>
      <c r="IG7">
        <v>33498</v>
      </c>
      <c r="IH7">
        <v>43029</v>
      </c>
      <c r="II7">
        <v>12014</v>
      </c>
      <c r="IJ7">
        <v>8713</v>
      </c>
      <c r="IK7">
        <v>0</v>
      </c>
      <c r="IL7">
        <v>1063</v>
      </c>
      <c r="IM7">
        <v>6671</v>
      </c>
      <c r="IN7">
        <v>680997</v>
      </c>
      <c r="IO7">
        <v>10412</v>
      </c>
      <c r="IP7">
        <v>96693</v>
      </c>
      <c r="IQ7">
        <v>121831</v>
      </c>
      <c r="IR7">
        <v>98281</v>
      </c>
      <c r="IS7">
        <v>0</v>
      </c>
      <c r="IT7">
        <v>4641</v>
      </c>
      <c r="IU7">
        <v>112905</v>
      </c>
      <c r="IV7">
        <v>4624</v>
      </c>
      <c r="IW7">
        <v>199010</v>
      </c>
      <c r="IX7">
        <v>0</v>
      </c>
      <c r="IY7">
        <v>35426</v>
      </c>
      <c r="IZ7">
        <v>23267</v>
      </c>
      <c r="JA7">
        <v>3324</v>
      </c>
      <c r="JB7">
        <v>158551</v>
      </c>
      <c r="JC7">
        <v>234808</v>
      </c>
      <c r="JD7">
        <v>286417</v>
      </c>
      <c r="JE7">
        <v>0</v>
      </c>
      <c r="JF7">
        <v>144776</v>
      </c>
      <c r="JG7">
        <v>13468</v>
      </c>
      <c r="JH7">
        <v>7448</v>
      </c>
      <c r="JI7">
        <v>15338</v>
      </c>
      <c r="JJ7">
        <v>21618</v>
      </c>
      <c r="JK7">
        <v>47296</v>
      </c>
      <c r="JL7">
        <v>49888</v>
      </c>
      <c r="JM7">
        <v>33459</v>
      </c>
      <c r="JN7">
        <v>14339</v>
      </c>
      <c r="JO7">
        <v>0</v>
      </c>
      <c r="JP7">
        <v>17317</v>
      </c>
      <c r="JQ7">
        <v>13977</v>
      </c>
      <c r="JR7">
        <v>1769114</v>
      </c>
      <c r="JS7">
        <v>119463</v>
      </c>
      <c r="JT7">
        <v>308808</v>
      </c>
      <c r="JU7">
        <v>577572</v>
      </c>
      <c r="JV7">
        <v>549994</v>
      </c>
      <c r="JW7">
        <v>0</v>
      </c>
      <c r="JX7">
        <v>153669</v>
      </c>
      <c r="JY7">
        <v>555688</v>
      </c>
      <c r="JZ7">
        <v>88913</v>
      </c>
      <c r="KA7">
        <v>708708</v>
      </c>
      <c r="KB7">
        <v>0</v>
      </c>
      <c r="KC7">
        <v>229566</v>
      </c>
      <c r="KD7">
        <v>599766</v>
      </c>
      <c r="KE7">
        <v>56737</v>
      </c>
      <c r="KF7">
        <v>329295</v>
      </c>
      <c r="KG7">
        <v>519344</v>
      </c>
      <c r="KH7">
        <v>465283</v>
      </c>
      <c r="KI7">
        <v>0</v>
      </c>
      <c r="KJ7">
        <v>663003</v>
      </c>
      <c r="KK7">
        <v>283506</v>
      </c>
      <c r="KL7">
        <v>103000</v>
      </c>
      <c r="KM7">
        <v>71709</v>
      </c>
      <c r="KN7">
        <v>113351</v>
      </c>
      <c r="KO7">
        <v>187547</v>
      </c>
      <c r="KP7">
        <v>221855</v>
      </c>
      <c r="KQ7">
        <v>740693</v>
      </c>
      <c r="KR7">
        <v>199889</v>
      </c>
      <c r="KS7">
        <v>0</v>
      </c>
      <c r="KT7">
        <v>275931</v>
      </c>
      <c r="KU7">
        <v>254923</v>
      </c>
      <c r="KV7">
        <v>8378213</v>
      </c>
      <c r="KW7" t="s">
        <v>359</v>
      </c>
      <c r="KX7">
        <v>15091918</v>
      </c>
      <c r="KY7">
        <v>3039096</v>
      </c>
      <c r="KZ7">
        <v>18131014</v>
      </c>
      <c r="LA7">
        <v>0</v>
      </c>
      <c r="LB7">
        <v>432542</v>
      </c>
    </row>
    <row r="8" spans="1:314" x14ac:dyDescent="0.25">
      <c r="A8" t="s">
        <v>376</v>
      </c>
      <c r="B8" t="s">
        <v>377</v>
      </c>
      <c r="C8" t="s">
        <v>352</v>
      </c>
      <c r="D8" t="s">
        <v>378</v>
      </c>
      <c r="E8" s="2">
        <v>40932.492777777778</v>
      </c>
      <c r="G8" t="s">
        <v>379</v>
      </c>
      <c r="H8" t="s">
        <v>380</v>
      </c>
      <c r="I8" t="s">
        <v>381</v>
      </c>
      <c r="J8" t="s">
        <v>382</v>
      </c>
      <c r="K8" t="s">
        <v>383</v>
      </c>
      <c r="L8">
        <v>0</v>
      </c>
      <c r="M8">
        <v>0</v>
      </c>
      <c r="N8">
        <v>0</v>
      </c>
      <c r="O8">
        <v>57668969</v>
      </c>
      <c r="P8">
        <v>0</v>
      </c>
      <c r="Q8">
        <v>733038</v>
      </c>
      <c r="R8">
        <v>0</v>
      </c>
      <c r="S8">
        <v>733038</v>
      </c>
      <c r="T8">
        <v>3871182</v>
      </c>
      <c r="U8">
        <v>3630928</v>
      </c>
      <c r="V8">
        <v>2734141</v>
      </c>
      <c r="W8">
        <v>0</v>
      </c>
      <c r="X8">
        <v>0</v>
      </c>
      <c r="Y8">
        <v>0</v>
      </c>
      <c r="Z8">
        <v>10236251</v>
      </c>
      <c r="AA8">
        <v>2946085</v>
      </c>
      <c r="AB8">
        <v>723462</v>
      </c>
      <c r="AC8">
        <v>563986</v>
      </c>
      <c r="AD8">
        <v>0</v>
      </c>
      <c r="AE8">
        <v>578605</v>
      </c>
      <c r="AF8">
        <v>383999</v>
      </c>
      <c r="AG8">
        <v>5196137</v>
      </c>
      <c r="AH8">
        <v>6817267</v>
      </c>
      <c r="AI8">
        <v>4354390</v>
      </c>
      <c r="AJ8">
        <v>3298127</v>
      </c>
      <c r="AK8">
        <v>0</v>
      </c>
      <c r="AL8">
        <v>578605</v>
      </c>
      <c r="AM8">
        <v>383999</v>
      </c>
      <c r="AN8">
        <v>15432388</v>
      </c>
      <c r="AO8">
        <v>0</v>
      </c>
      <c r="AP8">
        <v>278450</v>
      </c>
      <c r="AQ8">
        <v>0</v>
      </c>
      <c r="AR8">
        <v>0</v>
      </c>
      <c r="AS8">
        <v>278450</v>
      </c>
      <c r="AT8">
        <v>0</v>
      </c>
      <c r="AU8">
        <v>167204</v>
      </c>
      <c r="AV8">
        <v>49087</v>
      </c>
      <c r="AW8">
        <v>0</v>
      </c>
      <c r="AX8">
        <v>216291</v>
      </c>
      <c r="AY8">
        <v>0</v>
      </c>
      <c r="AZ8">
        <v>445654</v>
      </c>
      <c r="BA8">
        <v>49087</v>
      </c>
      <c r="BB8">
        <v>0</v>
      </c>
      <c r="BC8">
        <v>494741</v>
      </c>
      <c r="BD8">
        <v>1420118</v>
      </c>
      <c r="BE8">
        <v>0</v>
      </c>
      <c r="BF8">
        <v>0</v>
      </c>
      <c r="BG8">
        <v>0</v>
      </c>
      <c r="BH8">
        <v>0</v>
      </c>
      <c r="BI8">
        <v>1420118</v>
      </c>
      <c r="BJ8">
        <v>0</v>
      </c>
      <c r="BK8">
        <v>0</v>
      </c>
      <c r="BL8">
        <v>556636</v>
      </c>
      <c r="BM8">
        <v>0</v>
      </c>
      <c r="BN8">
        <v>0</v>
      </c>
      <c r="BO8">
        <v>556636</v>
      </c>
      <c r="BP8">
        <v>4800838</v>
      </c>
      <c r="BQ8">
        <v>1286952</v>
      </c>
      <c r="BR8">
        <v>0</v>
      </c>
      <c r="BS8">
        <v>0</v>
      </c>
      <c r="BT8">
        <v>327525</v>
      </c>
      <c r="BU8">
        <v>6415315</v>
      </c>
      <c r="BV8">
        <v>6220956</v>
      </c>
      <c r="BW8">
        <v>1286952</v>
      </c>
      <c r="BX8">
        <v>556636</v>
      </c>
      <c r="BY8">
        <v>0</v>
      </c>
      <c r="BZ8">
        <v>327525</v>
      </c>
      <c r="CA8">
        <v>8392069</v>
      </c>
      <c r="CB8">
        <v>0</v>
      </c>
      <c r="CC8">
        <v>0</v>
      </c>
      <c r="CD8">
        <v>0</v>
      </c>
      <c r="CE8">
        <v>0</v>
      </c>
      <c r="CF8">
        <v>0</v>
      </c>
      <c r="CG8">
        <v>0</v>
      </c>
      <c r="CH8">
        <v>0</v>
      </c>
      <c r="CI8">
        <v>0</v>
      </c>
      <c r="CJ8">
        <v>0</v>
      </c>
      <c r="CK8">
        <v>0</v>
      </c>
      <c r="CL8">
        <v>0</v>
      </c>
      <c r="CM8">
        <v>0</v>
      </c>
      <c r="CN8">
        <v>0</v>
      </c>
      <c r="CO8">
        <v>0</v>
      </c>
      <c r="CP8">
        <v>0</v>
      </c>
      <c r="CQ8">
        <v>0</v>
      </c>
      <c r="CR8" t="s">
        <v>376</v>
      </c>
      <c r="CS8">
        <v>2381207</v>
      </c>
      <c r="CT8">
        <v>0</v>
      </c>
      <c r="CU8">
        <v>71088</v>
      </c>
      <c r="CV8">
        <v>53692</v>
      </c>
      <c r="CW8">
        <v>1415680</v>
      </c>
      <c r="CX8">
        <v>394303</v>
      </c>
      <c r="CY8">
        <v>0</v>
      </c>
      <c r="CZ8">
        <v>10368</v>
      </c>
      <c r="DA8">
        <v>120505</v>
      </c>
      <c r="DB8">
        <v>5416</v>
      </c>
      <c r="DC8">
        <v>110250</v>
      </c>
      <c r="DD8">
        <v>0</v>
      </c>
      <c r="DE8">
        <v>22225</v>
      </c>
      <c r="DF8">
        <v>847224</v>
      </c>
      <c r="DG8">
        <v>142704</v>
      </c>
      <c r="DH8">
        <v>136708</v>
      </c>
      <c r="DI8">
        <v>17424</v>
      </c>
      <c r="DJ8">
        <v>316256</v>
      </c>
      <c r="DK8">
        <v>0</v>
      </c>
      <c r="DL8">
        <v>71208</v>
      </c>
      <c r="DM8">
        <v>788120</v>
      </c>
      <c r="DN8">
        <v>1140</v>
      </c>
      <c r="DO8">
        <v>10400</v>
      </c>
      <c r="DP8">
        <v>6376</v>
      </c>
      <c r="DQ8">
        <v>229824</v>
      </c>
      <c r="DR8">
        <v>158748</v>
      </c>
      <c r="DS8">
        <v>1853952</v>
      </c>
      <c r="DT8">
        <v>437792</v>
      </c>
      <c r="DU8">
        <v>0</v>
      </c>
      <c r="DV8">
        <v>181088</v>
      </c>
      <c r="DW8">
        <v>264128</v>
      </c>
      <c r="DX8">
        <v>7666619</v>
      </c>
      <c r="DY8">
        <v>360563</v>
      </c>
      <c r="DZ8">
        <v>55469</v>
      </c>
      <c r="EA8">
        <v>3432068</v>
      </c>
      <c r="EB8">
        <v>1635227</v>
      </c>
      <c r="EC8">
        <v>0</v>
      </c>
      <c r="ED8">
        <v>15950</v>
      </c>
      <c r="EE8">
        <v>309135</v>
      </c>
      <c r="EF8">
        <v>5595</v>
      </c>
      <c r="EG8">
        <v>137335</v>
      </c>
      <c r="EH8">
        <v>0</v>
      </c>
      <c r="EI8">
        <v>81460</v>
      </c>
      <c r="EJ8">
        <v>3071536</v>
      </c>
      <c r="EK8">
        <v>548889</v>
      </c>
      <c r="EL8">
        <v>1273542</v>
      </c>
      <c r="EM8">
        <v>310784</v>
      </c>
      <c r="EN8">
        <v>1079433</v>
      </c>
      <c r="EO8">
        <v>0</v>
      </c>
      <c r="EP8">
        <v>297042</v>
      </c>
      <c r="EQ8">
        <v>2757347</v>
      </c>
      <c r="ER8">
        <v>1178</v>
      </c>
      <c r="ES8">
        <v>10744</v>
      </c>
      <c r="ET8">
        <v>6587</v>
      </c>
      <c r="EU8">
        <v>1053831</v>
      </c>
      <c r="EV8">
        <v>317795</v>
      </c>
      <c r="EW8">
        <v>4863096</v>
      </c>
      <c r="EX8">
        <v>1605818</v>
      </c>
      <c r="EY8">
        <v>0</v>
      </c>
      <c r="EZ8">
        <v>633562</v>
      </c>
      <c r="FA8">
        <v>957573</v>
      </c>
      <c r="FB8">
        <v>24821559</v>
      </c>
      <c r="FC8">
        <v>2221</v>
      </c>
      <c r="FD8">
        <v>241485</v>
      </c>
      <c r="FE8">
        <v>129557</v>
      </c>
      <c r="FF8">
        <v>99291</v>
      </c>
      <c r="FG8">
        <v>0</v>
      </c>
      <c r="FH8">
        <v>0</v>
      </c>
      <c r="FI8">
        <v>89500</v>
      </c>
      <c r="FJ8">
        <v>24359</v>
      </c>
      <c r="FK8">
        <v>2070</v>
      </c>
      <c r="FL8">
        <v>0</v>
      </c>
      <c r="FM8">
        <v>0</v>
      </c>
      <c r="FN8">
        <v>399745</v>
      </c>
      <c r="FO8">
        <v>5189</v>
      </c>
      <c r="FP8">
        <v>260149</v>
      </c>
      <c r="FQ8">
        <v>88772</v>
      </c>
      <c r="FR8">
        <v>539989</v>
      </c>
      <c r="FS8">
        <v>0</v>
      </c>
      <c r="FT8">
        <v>76984</v>
      </c>
      <c r="FU8">
        <v>8505</v>
      </c>
      <c r="FV8">
        <v>5127</v>
      </c>
      <c r="FW8">
        <v>46775</v>
      </c>
      <c r="FX8">
        <v>28677</v>
      </c>
      <c r="FY8">
        <v>33590</v>
      </c>
      <c r="FZ8">
        <v>13679</v>
      </c>
      <c r="GA8">
        <v>7344</v>
      </c>
      <c r="GB8">
        <v>67134</v>
      </c>
      <c r="GC8">
        <v>0</v>
      </c>
      <c r="GD8">
        <v>1954</v>
      </c>
      <c r="GE8">
        <v>124624</v>
      </c>
      <c r="GF8">
        <v>2296720</v>
      </c>
      <c r="GG8">
        <v>31855</v>
      </c>
      <c r="GH8">
        <v>26075</v>
      </c>
      <c r="GI8">
        <v>312740</v>
      </c>
      <c r="GJ8">
        <v>152305</v>
      </c>
      <c r="GK8">
        <v>0</v>
      </c>
      <c r="GL8">
        <v>1401</v>
      </c>
      <c r="GM8">
        <v>35003</v>
      </c>
      <c r="GN8">
        <v>2630</v>
      </c>
      <c r="GO8">
        <v>12241</v>
      </c>
      <c r="GP8">
        <v>0</v>
      </c>
      <c r="GQ8">
        <v>7153</v>
      </c>
      <c r="GR8">
        <v>304807</v>
      </c>
      <c r="GS8">
        <v>48653</v>
      </c>
      <c r="GT8">
        <v>134671</v>
      </c>
      <c r="GU8">
        <v>35084</v>
      </c>
      <c r="GV8">
        <v>142199</v>
      </c>
      <c r="GW8">
        <v>0</v>
      </c>
      <c r="GX8">
        <v>32843</v>
      </c>
      <c r="GY8">
        <v>242864</v>
      </c>
      <c r="GZ8">
        <v>554</v>
      </c>
      <c r="HA8">
        <v>5051</v>
      </c>
      <c r="HB8">
        <v>3096</v>
      </c>
      <c r="HC8">
        <v>95484</v>
      </c>
      <c r="HD8">
        <v>29106</v>
      </c>
      <c r="HE8">
        <v>427665</v>
      </c>
      <c r="HF8">
        <v>146899</v>
      </c>
      <c r="HG8">
        <v>0</v>
      </c>
      <c r="HH8">
        <v>55804</v>
      </c>
      <c r="HI8">
        <v>95026</v>
      </c>
      <c r="HJ8">
        <v>2381207</v>
      </c>
      <c r="HK8">
        <v>35093</v>
      </c>
      <c r="HL8">
        <v>238271</v>
      </c>
      <c r="HM8">
        <v>249829</v>
      </c>
      <c r="HN8">
        <v>83228</v>
      </c>
      <c r="HO8">
        <v>0</v>
      </c>
      <c r="HP8">
        <v>0</v>
      </c>
      <c r="HQ8">
        <v>1317631</v>
      </c>
      <c r="HR8">
        <v>24035</v>
      </c>
      <c r="HS8">
        <v>13187</v>
      </c>
      <c r="HT8">
        <v>0</v>
      </c>
      <c r="HU8">
        <v>61914</v>
      </c>
      <c r="HV8">
        <v>129889</v>
      </c>
      <c r="HW8">
        <v>21625</v>
      </c>
      <c r="HX8">
        <v>117713</v>
      </c>
      <c r="HY8">
        <v>40980</v>
      </c>
      <c r="HZ8">
        <v>372743</v>
      </c>
      <c r="IA8">
        <v>0</v>
      </c>
      <c r="IB8">
        <v>52167</v>
      </c>
      <c r="IC8">
        <v>68501</v>
      </c>
      <c r="ID8">
        <v>5059</v>
      </c>
      <c r="IE8">
        <v>46153</v>
      </c>
      <c r="IF8">
        <v>28295</v>
      </c>
      <c r="IG8">
        <v>99127</v>
      </c>
      <c r="IH8">
        <v>412418</v>
      </c>
      <c r="II8">
        <v>104467</v>
      </c>
      <c r="IJ8">
        <v>250212</v>
      </c>
      <c r="IK8">
        <v>0</v>
      </c>
      <c r="IL8">
        <v>15740</v>
      </c>
      <c r="IM8">
        <v>40494</v>
      </c>
      <c r="IN8">
        <v>3828771</v>
      </c>
      <c r="IO8">
        <v>69169</v>
      </c>
      <c r="IP8">
        <v>505831</v>
      </c>
      <c r="IQ8">
        <v>692126</v>
      </c>
      <c r="IR8">
        <v>334824</v>
      </c>
      <c r="IS8">
        <v>0</v>
      </c>
      <c r="IT8">
        <v>1401</v>
      </c>
      <c r="IU8">
        <v>1442134</v>
      </c>
      <c r="IV8">
        <v>51024</v>
      </c>
      <c r="IW8">
        <v>27498</v>
      </c>
      <c r="IX8">
        <v>0</v>
      </c>
      <c r="IY8">
        <v>69067</v>
      </c>
      <c r="IZ8">
        <v>834441</v>
      </c>
      <c r="JA8">
        <v>75467</v>
      </c>
      <c r="JB8">
        <v>512533</v>
      </c>
      <c r="JC8">
        <v>164836</v>
      </c>
      <c r="JD8">
        <v>1054931</v>
      </c>
      <c r="JE8">
        <v>0</v>
      </c>
      <c r="JF8">
        <v>161994</v>
      </c>
      <c r="JG8">
        <v>319870</v>
      </c>
      <c r="JH8">
        <v>10740</v>
      </c>
      <c r="JI8">
        <v>97979</v>
      </c>
      <c r="JJ8">
        <v>60068</v>
      </c>
      <c r="JK8">
        <v>228201</v>
      </c>
      <c r="JL8">
        <v>455203</v>
      </c>
      <c r="JM8">
        <v>539476</v>
      </c>
      <c r="JN8">
        <v>464245</v>
      </c>
      <c r="JO8">
        <v>0</v>
      </c>
      <c r="JP8">
        <v>73498</v>
      </c>
      <c r="JQ8">
        <v>260144</v>
      </c>
      <c r="JR8">
        <v>8506698</v>
      </c>
      <c r="JS8">
        <v>429732</v>
      </c>
      <c r="JT8">
        <v>561300</v>
      </c>
      <c r="JU8">
        <v>4124194</v>
      </c>
      <c r="JV8">
        <v>1970051</v>
      </c>
      <c r="JW8">
        <v>0</v>
      </c>
      <c r="JX8">
        <v>17351</v>
      </c>
      <c r="JY8">
        <v>1751269</v>
      </c>
      <c r="JZ8">
        <v>56619</v>
      </c>
      <c r="KA8">
        <v>164833</v>
      </c>
      <c r="KB8">
        <v>0</v>
      </c>
      <c r="KC8">
        <v>150527</v>
      </c>
      <c r="KD8">
        <v>3905977</v>
      </c>
      <c r="KE8">
        <v>624356</v>
      </c>
      <c r="KF8">
        <v>1786075</v>
      </c>
      <c r="KG8">
        <v>475620</v>
      </c>
      <c r="KH8">
        <v>2134364</v>
      </c>
      <c r="KI8">
        <v>0</v>
      </c>
      <c r="KJ8">
        <v>459036</v>
      </c>
      <c r="KK8">
        <v>3077217</v>
      </c>
      <c r="KL8">
        <v>11918</v>
      </c>
      <c r="KM8">
        <v>108723</v>
      </c>
      <c r="KN8">
        <v>66655</v>
      </c>
      <c r="KO8">
        <v>1282032</v>
      </c>
      <c r="KP8">
        <v>772998</v>
      </c>
      <c r="KQ8">
        <v>5402572</v>
      </c>
      <c r="KR8">
        <v>2070063</v>
      </c>
      <c r="KS8">
        <v>0</v>
      </c>
      <c r="KT8">
        <v>707060</v>
      </c>
      <c r="KU8">
        <v>1217717</v>
      </c>
      <c r="KV8">
        <v>33328257</v>
      </c>
      <c r="KW8" t="s">
        <v>359</v>
      </c>
      <c r="KX8">
        <v>49493683</v>
      </c>
      <c r="KY8">
        <v>8886810</v>
      </c>
      <c r="KZ8">
        <v>58380493</v>
      </c>
      <c r="LA8">
        <v>0</v>
      </c>
      <c r="LB8">
        <v>711524</v>
      </c>
    </row>
    <row r="9" spans="1:314" x14ac:dyDescent="0.25">
      <c r="A9" t="s">
        <v>384</v>
      </c>
      <c r="B9" t="s">
        <v>385</v>
      </c>
      <c r="C9" t="s">
        <v>352</v>
      </c>
      <c r="D9" t="s">
        <v>386</v>
      </c>
      <c r="E9" s="2">
        <v>40933.44290509259</v>
      </c>
      <c r="G9" t="s">
        <v>387</v>
      </c>
      <c r="H9" t="s">
        <v>388</v>
      </c>
      <c r="I9" t="s">
        <v>389</v>
      </c>
      <c r="J9" t="s">
        <v>390</v>
      </c>
      <c r="K9" t="s">
        <v>391</v>
      </c>
      <c r="L9">
        <v>0</v>
      </c>
      <c r="M9">
        <v>0</v>
      </c>
      <c r="N9">
        <v>0</v>
      </c>
      <c r="O9">
        <v>12414105</v>
      </c>
      <c r="P9">
        <v>0</v>
      </c>
      <c r="Q9">
        <v>364177</v>
      </c>
      <c r="R9">
        <v>0</v>
      </c>
      <c r="S9">
        <v>364177</v>
      </c>
      <c r="T9">
        <v>1064703</v>
      </c>
      <c r="U9">
        <v>939191</v>
      </c>
      <c r="V9">
        <v>689601</v>
      </c>
      <c r="W9">
        <v>0</v>
      </c>
      <c r="X9">
        <v>0</v>
      </c>
      <c r="Y9">
        <v>0</v>
      </c>
      <c r="Z9">
        <v>2693495</v>
      </c>
      <c r="AA9">
        <v>1178656</v>
      </c>
      <c r="AB9">
        <v>245731</v>
      </c>
      <c r="AC9">
        <v>190645</v>
      </c>
      <c r="AD9">
        <v>0</v>
      </c>
      <c r="AE9">
        <v>0</v>
      </c>
      <c r="AF9">
        <v>300937</v>
      </c>
      <c r="AG9">
        <v>1915969</v>
      </c>
      <c r="AH9">
        <v>2243359</v>
      </c>
      <c r="AI9">
        <v>1184922</v>
      </c>
      <c r="AJ9">
        <v>880246</v>
      </c>
      <c r="AK9">
        <v>0</v>
      </c>
      <c r="AL9">
        <v>0</v>
      </c>
      <c r="AM9">
        <v>300937</v>
      </c>
      <c r="AN9">
        <v>4609464</v>
      </c>
      <c r="AO9">
        <v>0</v>
      </c>
      <c r="AP9">
        <v>0</v>
      </c>
      <c r="AQ9">
        <v>0</v>
      </c>
      <c r="AR9">
        <v>0</v>
      </c>
      <c r="AS9">
        <v>0</v>
      </c>
      <c r="AT9">
        <v>0</v>
      </c>
      <c r="AU9">
        <v>0</v>
      </c>
      <c r="AV9">
        <v>250</v>
      </c>
      <c r="AW9">
        <v>0</v>
      </c>
      <c r="AX9">
        <v>250</v>
      </c>
      <c r="AY9">
        <v>0</v>
      </c>
      <c r="AZ9">
        <v>0</v>
      </c>
      <c r="BA9">
        <v>250</v>
      </c>
      <c r="BB9">
        <v>0</v>
      </c>
      <c r="BC9">
        <v>250</v>
      </c>
      <c r="BD9">
        <v>424825</v>
      </c>
      <c r="BE9">
        <v>0</v>
      </c>
      <c r="BF9">
        <v>0</v>
      </c>
      <c r="BG9">
        <v>0</v>
      </c>
      <c r="BH9">
        <v>0</v>
      </c>
      <c r="BI9">
        <v>424825</v>
      </c>
      <c r="BJ9">
        <v>0</v>
      </c>
      <c r="BK9">
        <v>0</v>
      </c>
      <c r="BL9">
        <v>29609</v>
      </c>
      <c r="BM9">
        <v>0</v>
      </c>
      <c r="BN9">
        <v>0</v>
      </c>
      <c r="BO9">
        <v>29609</v>
      </c>
      <c r="BP9">
        <v>1402434</v>
      </c>
      <c r="BQ9">
        <v>0</v>
      </c>
      <c r="BR9">
        <v>0</v>
      </c>
      <c r="BS9">
        <v>0</v>
      </c>
      <c r="BT9">
        <v>0</v>
      </c>
      <c r="BU9">
        <v>1402434</v>
      </c>
      <c r="BV9">
        <v>1827259</v>
      </c>
      <c r="BW9">
        <v>0</v>
      </c>
      <c r="BX9">
        <v>29609</v>
      </c>
      <c r="BY9">
        <v>0</v>
      </c>
      <c r="BZ9">
        <v>0</v>
      </c>
      <c r="CA9">
        <v>1856868</v>
      </c>
      <c r="CB9">
        <v>0</v>
      </c>
      <c r="CC9">
        <v>0</v>
      </c>
      <c r="CD9">
        <v>0</v>
      </c>
      <c r="CE9">
        <v>0</v>
      </c>
      <c r="CF9">
        <v>0</v>
      </c>
      <c r="CG9">
        <v>0</v>
      </c>
      <c r="CH9">
        <v>0</v>
      </c>
      <c r="CI9">
        <v>0</v>
      </c>
      <c r="CJ9">
        <v>0</v>
      </c>
      <c r="CK9">
        <v>0</v>
      </c>
      <c r="CL9">
        <v>0</v>
      </c>
      <c r="CM9">
        <v>0</v>
      </c>
      <c r="CN9">
        <v>0</v>
      </c>
      <c r="CO9">
        <v>0</v>
      </c>
      <c r="CP9">
        <v>0</v>
      </c>
      <c r="CQ9">
        <v>0</v>
      </c>
      <c r="CR9" t="s">
        <v>384</v>
      </c>
      <c r="CS9">
        <v>380076</v>
      </c>
      <c r="CT9">
        <v>0</v>
      </c>
      <c r="CU9">
        <v>5600</v>
      </c>
      <c r="CV9">
        <v>24640</v>
      </c>
      <c r="CW9">
        <v>288448</v>
      </c>
      <c r="CX9">
        <v>125456</v>
      </c>
      <c r="CY9">
        <v>0</v>
      </c>
      <c r="CZ9">
        <v>0</v>
      </c>
      <c r="DA9">
        <v>12896</v>
      </c>
      <c r="DB9">
        <v>4512</v>
      </c>
      <c r="DC9">
        <v>94354</v>
      </c>
      <c r="DD9">
        <v>0</v>
      </c>
      <c r="DE9">
        <v>15792</v>
      </c>
      <c r="DF9">
        <v>220032</v>
      </c>
      <c r="DG9">
        <v>25936</v>
      </c>
      <c r="DH9">
        <v>63152</v>
      </c>
      <c r="DI9">
        <v>0</v>
      </c>
      <c r="DJ9">
        <v>91008</v>
      </c>
      <c r="DK9">
        <v>18112</v>
      </c>
      <c r="DL9">
        <v>99200</v>
      </c>
      <c r="DM9">
        <v>142144</v>
      </c>
      <c r="DN9">
        <v>45600</v>
      </c>
      <c r="DO9">
        <v>0</v>
      </c>
      <c r="DP9">
        <v>2448</v>
      </c>
      <c r="DQ9">
        <v>71088</v>
      </c>
      <c r="DR9">
        <v>47328</v>
      </c>
      <c r="DS9">
        <v>362640</v>
      </c>
      <c r="DT9">
        <v>98784</v>
      </c>
      <c r="DU9">
        <v>0</v>
      </c>
      <c r="DV9">
        <v>90928</v>
      </c>
      <c r="DW9">
        <v>51516</v>
      </c>
      <c r="DX9">
        <v>2001614</v>
      </c>
      <c r="DY9">
        <v>88988</v>
      </c>
      <c r="DZ9">
        <v>71490</v>
      </c>
      <c r="EA9">
        <v>532165</v>
      </c>
      <c r="EB9">
        <v>177563</v>
      </c>
      <c r="EC9">
        <v>0</v>
      </c>
      <c r="ED9">
        <v>0</v>
      </c>
      <c r="EE9">
        <v>155598</v>
      </c>
      <c r="EF9">
        <v>13748</v>
      </c>
      <c r="EG9">
        <v>175847</v>
      </c>
      <c r="EH9">
        <v>0</v>
      </c>
      <c r="EI9">
        <v>45369</v>
      </c>
      <c r="EJ9">
        <v>606275</v>
      </c>
      <c r="EK9">
        <v>18341</v>
      </c>
      <c r="EL9">
        <v>205127</v>
      </c>
      <c r="EM9">
        <v>0</v>
      </c>
      <c r="EN9">
        <v>142452</v>
      </c>
      <c r="EO9">
        <v>132146</v>
      </c>
      <c r="EP9">
        <v>360561</v>
      </c>
      <c r="EQ9">
        <v>299278</v>
      </c>
      <c r="ER9">
        <v>132926</v>
      </c>
      <c r="ES9">
        <v>0</v>
      </c>
      <c r="ET9">
        <v>6874</v>
      </c>
      <c r="EU9">
        <v>567105</v>
      </c>
      <c r="EV9">
        <v>136461</v>
      </c>
      <c r="EW9">
        <v>748653</v>
      </c>
      <c r="EX9">
        <v>249101</v>
      </c>
      <c r="EY9">
        <v>0</v>
      </c>
      <c r="EZ9">
        <v>205661</v>
      </c>
      <c r="FA9">
        <v>132354</v>
      </c>
      <c r="FB9">
        <v>5204083</v>
      </c>
      <c r="FC9">
        <v>0</v>
      </c>
      <c r="FD9">
        <v>0</v>
      </c>
      <c r="FE9">
        <v>596</v>
      </c>
      <c r="FF9">
        <v>0</v>
      </c>
      <c r="FG9">
        <v>0</v>
      </c>
      <c r="FH9">
        <v>0</v>
      </c>
      <c r="FI9">
        <v>0</v>
      </c>
      <c r="FJ9">
        <v>0</v>
      </c>
      <c r="FK9">
        <v>0</v>
      </c>
      <c r="FL9">
        <v>0</v>
      </c>
      <c r="FM9">
        <v>0</v>
      </c>
      <c r="FN9">
        <v>0</v>
      </c>
      <c r="FO9">
        <v>0</v>
      </c>
      <c r="FP9">
        <v>18867</v>
      </c>
      <c r="FQ9">
        <v>0</v>
      </c>
      <c r="FR9">
        <v>0</v>
      </c>
      <c r="FS9">
        <v>0</v>
      </c>
      <c r="FT9">
        <v>0</v>
      </c>
      <c r="FU9">
        <v>0</v>
      </c>
      <c r="FV9">
        <v>3631</v>
      </c>
      <c r="FW9">
        <v>0</v>
      </c>
      <c r="FX9">
        <v>0</v>
      </c>
      <c r="FY9">
        <v>0</v>
      </c>
      <c r="FZ9">
        <v>0</v>
      </c>
      <c r="GA9">
        <v>0</v>
      </c>
      <c r="GB9">
        <v>2386</v>
      </c>
      <c r="GC9">
        <v>0</v>
      </c>
      <c r="GD9">
        <v>0</v>
      </c>
      <c r="GE9">
        <v>0</v>
      </c>
      <c r="GF9">
        <v>25480</v>
      </c>
      <c r="GG9">
        <v>6468</v>
      </c>
      <c r="GH9">
        <v>5196</v>
      </c>
      <c r="GI9">
        <v>38720</v>
      </c>
      <c r="GJ9">
        <v>12905</v>
      </c>
      <c r="GK9">
        <v>0</v>
      </c>
      <c r="GL9">
        <v>0</v>
      </c>
      <c r="GM9">
        <v>11309</v>
      </c>
      <c r="GN9">
        <v>999</v>
      </c>
      <c r="GO9">
        <v>12780</v>
      </c>
      <c r="GP9">
        <v>0</v>
      </c>
      <c r="GQ9">
        <v>3297</v>
      </c>
      <c r="GR9">
        <v>44063</v>
      </c>
      <c r="GS9">
        <v>1333</v>
      </c>
      <c r="GT9">
        <v>16280</v>
      </c>
      <c r="GU9">
        <v>0</v>
      </c>
      <c r="GV9">
        <v>10353</v>
      </c>
      <c r="GW9">
        <v>9604</v>
      </c>
      <c r="GX9">
        <v>26205</v>
      </c>
      <c r="GY9">
        <v>21751</v>
      </c>
      <c r="GZ9">
        <v>9925</v>
      </c>
      <c r="HA9">
        <v>0</v>
      </c>
      <c r="HB9">
        <v>500</v>
      </c>
      <c r="HC9">
        <v>41216</v>
      </c>
      <c r="HD9">
        <v>9918</v>
      </c>
      <c r="HE9">
        <v>54411</v>
      </c>
      <c r="HF9">
        <v>18278</v>
      </c>
      <c r="HG9">
        <v>0</v>
      </c>
      <c r="HH9">
        <v>14947</v>
      </c>
      <c r="HI9">
        <v>9619</v>
      </c>
      <c r="HJ9">
        <v>380076</v>
      </c>
      <c r="HK9">
        <v>7347</v>
      </c>
      <c r="HL9">
        <v>11632</v>
      </c>
      <c r="HM9">
        <v>38092</v>
      </c>
      <c r="HN9">
        <v>9817</v>
      </c>
      <c r="HO9">
        <v>0</v>
      </c>
      <c r="HP9">
        <v>0</v>
      </c>
      <c r="HQ9">
        <v>2611</v>
      </c>
      <c r="HR9">
        <v>2237</v>
      </c>
      <c r="HS9">
        <v>20776</v>
      </c>
      <c r="HT9">
        <v>0</v>
      </c>
      <c r="HU9">
        <v>7382</v>
      </c>
      <c r="HV9">
        <v>18912</v>
      </c>
      <c r="HW9">
        <v>2461</v>
      </c>
      <c r="HX9">
        <v>53336</v>
      </c>
      <c r="HY9">
        <v>0</v>
      </c>
      <c r="HZ9">
        <v>11879</v>
      </c>
      <c r="IA9">
        <v>7633</v>
      </c>
      <c r="IB9">
        <v>20154</v>
      </c>
      <c r="IC9">
        <v>6624</v>
      </c>
      <c r="ID9">
        <v>17202</v>
      </c>
      <c r="IE9">
        <v>0</v>
      </c>
      <c r="IF9">
        <v>1118</v>
      </c>
      <c r="IG9">
        <v>49456</v>
      </c>
      <c r="IH9">
        <v>18682</v>
      </c>
      <c r="II9">
        <v>28449</v>
      </c>
      <c r="IJ9">
        <v>113451</v>
      </c>
      <c r="IK9">
        <v>-196273</v>
      </c>
      <c r="IL9">
        <v>14484</v>
      </c>
      <c r="IM9">
        <v>7182</v>
      </c>
      <c r="IN9">
        <v>274644</v>
      </c>
      <c r="IO9">
        <v>13815</v>
      </c>
      <c r="IP9">
        <v>16828</v>
      </c>
      <c r="IQ9">
        <v>77408</v>
      </c>
      <c r="IR9">
        <v>22722</v>
      </c>
      <c r="IS9">
        <v>0</v>
      </c>
      <c r="IT9">
        <v>0</v>
      </c>
      <c r="IU9">
        <v>13920</v>
      </c>
      <c r="IV9">
        <v>3236</v>
      </c>
      <c r="IW9">
        <v>33556</v>
      </c>
      <c r="IX9">
        <v>0</v>
      </c>
      <c r="IY9">
        <v>10679</v>
      </c>
      <c r="IZ9">
        <v>62975</v>
      </c>
      <c r="JA9">
        <v>3794</v>
      </c>
      <c r="JB9">
        <v>88483</v>
      </c>
      <c r="JC9">
        <v>0</v>
      </c>
      <c r="JD9">
        <v>22232</v>
      </c>
      <c r="JE9">
        <v>17237</v>
      </c>
      <c r="JF9">
        <v>46359</v>
      </c>
      <c r="JG9">
        <v>28375</v>
      </c>
      <c r="JH9">
        <v>30758</v>
      </c>
      <c r="JI9">
        <v>0</v>
      </c>
      <c r="JJ9">
        <v>1618</v>
      </c>
      <c r="JK9">
        <v>90672</v>
      </c>
      <c r="JL9">
        <v>28600</v>
      </c>
      <c r="JM9">
        <v>82860</v>
      </c>
      <c r="JN9">
        <v>134115</v>
      </c>
      <c r="JO9">
        <v>-196273</v>
      </c>
      <c r="JP9">
        <v>29431</v>
      </c>
      <c r="JQ9">
        <v>16801</v>
      </c>
      <c r="JR9">
        <v>680200</v>
      </c>
      <c r="JS9">
        <v>102803</v>
      </c>
      <c r="JT9">
        <v>88318</v>
      </c>
      <c r="JU9">
        <v>609573</v>
      </c>
      <c r="JV9">
        <v>200285</v>
      </c>
      <c r="JW9">
        <v>0</v>
      </c>
      <c r="JX9">
        <v>0</v>
      </c>
      <c r="JY9">
        <v>169518</v>
      </c>
      <c r="JZ9">
        <v>16984</v>
      </c>
      <c r="KA9">
        <v>209403</v>
      </c>
      <c r="KB9">
        <v>0</v>
      </c>
      <c r="KC9">
        <v>56048</v>
      </c>
      <c r="KD9">
        <v>669250</v>
      </c>
      <c r="KE9">
        <v>22135</v>
      </c>
      <c r="KF9">
        <v>293610</v>
      </c>
      <c r="KG9">
        <v>0</v>
      </c>
      <c r="KH9">
        <v>164684</v>
      </c>
      <c r="KI9">
        <v>149383</v>
      </c>
      <c r="KJ9">
        <v>406920</v>
      </c>
      <c r="KK9">
        <v>327653</v>
      </c>
      <c r="KL9">
        <v>163684</v>
      </c>
      <c r="KM9">
        <v>0</v>
      </c>
      <c r="KN9">
        <v>8492</v>
      </c>
      <c r="KO9">
        <v>657777</v>
      </c>
      <c r="KP9">
        <v>165061</v>
      </c>
      <c r="KQ9">
        <v>831513</v>
      </c>
      <c r="KR9">
        <v>383216</v>
      </c>
      <c r="KS9">
        <v>-196273</v>
      </c>
      <c r="KT9">
        <v>235092</v>
      </c>
      <c r="KU9">
        <v>149155</v>
      </c>
      <c r="KV9">
        <v>5884283</v>
      </c>
      <c r="KW9" t="s">
        <v>359</v>
      </c>
      <c r="KX9">
        <v>10857924</v>
      </c>
      <c r="KY9">
        <v>1857118</v>
      </c>
      <c r="KZ9">
        <v>12715042</v>
      </c>
      <c r="LA9">
        <v>0</v>
      </c>
      <c r="LB9">
        <v>300937</v>
      </c>
    </row>
    <row r="10" spans="1:314" x14ac:dyDescent="0.25">
      <c r="A10" t="s">
        <v>392</v>
      </c>
      <c r="B10" t="s">
        <v>393</v>
      </c>
      <c r="C10" t="s">
        <v>352</v>
      </c>
      <c r="D10" t="s">
        <v>394</v>
      </c>
      <c r="E10" s="2">
        <v>40935.434259259258</v>
      </c>
      <c r="G10" t="s">
        <v>395</v>
      </c>
      <c r="H10" t="s">
        <v>396</v>
      </c>
      <c r="I10" t="s">
        <v>373</v>
      </c>
      <c r="J10" t="s">
        <v>397</v>
      </c>
      <c r="K10" t="s">
        <v>398</v>
      </c>
      <c r="L10">
        <v>0</v>
      </c>
      <c r="M10">
        <v>0</v>
      </c>
      <c r="N10">
        <v>0</v>
      </c>
      <c r="O10">
        <v>5437502</v>
      </c>
      <c r="P10">
        <v>0</v>
      </c>
      <c r="Q10">
        <v>98822</v>
      </c>
      <c r="R10">
        <v>0</v>
      </c>
      <c r="S10">
        <v>98822</v>
      </c>
      <c r="T10">
        <v>444010</v>
      </c>
      <c r="U10">
        <v>314936</v>
      </c>
      <c r="V10">
        <v>361478</v>
      </c>
      <c r="W10">
        <v>0</v>
      </c>
      <c r="X10">
        <v>0</v>
      </c>
      <c r="Y10">
        <v>0</v>
      </c>
      <c r="Z10">
        <v>1120424</v>
      </c>
      <c r="AA10">
        <v>476436</v>
      </c>
      <c r="AB10">
        <v>92937</v>
      </c>
      <c r="AC10">
        <v>48161</v>
      </c>
      <c r="AD10">
        <v>0</v>
      </c>
      <c r="AE10">
        <v>0</v>
      </c>
      <c r="AF10">
        <v>390854</v>
      </c>
      <c r="AG10">
        <v>1008388</v>
      </c>
      <c r="AH10">
        <v>920446</v>
      </c>
      <c r="AI10">
        <v>407873</v>
      </c>
      <c r="AJ10">
        <v>409639</v>
      </c>
      <c r="AK10">
        <v>0</v>
      </c>
      <c r="AL10">
        <v>0</v>
      </c>
      <c r="AM10">
        <v>390854</v>
      </c>
      <c r="AN10">
        <v>2128812</v>
      </c>
      <c r="AO10">
        <v>0</v>
      </c>
      <c r="AP10">
        <v>0</v>
      </c>
      <c r="AQ10">
        <v>0</v>
      </c>
      <c r="AR10">
        <v>0</v>
      </c>
      <c r="AS10">
        <v>0</v>
      </c>
      <c r="AT10">
        <v>0</v>
      </c>
      <c r="AU10">
        <v>0</v>
      </c>
      <c r="AV10">
        <v>0</v>
      </c>
      <c r="AW10">
        <v>0</v>
      </c>
      <c r="AX10">
        <v>0</v>
      </c>
      <c r="AY10">
        <v>0</v>
      </c>
      <c r="AZ10">
        <v>0</v>
      </c>
      <c r="BA10">
        <v>0</v>
      </c>
      <c r="BB10">
        <v>0</v>
      </c>
      <c r="BC10">
        <v>0</v>
      </c>
      <c r="BD10">
        <v>308335</v>
      </c>
      <c r="BE10">
        <v>0</v>
      </c>
      <c r="BF10">
        <v>0</v>
      </c>
      <c r="BG10">
        <v>0</v>
      </c>
      <c r="BH10">
        <v>0</v>
      </c>
      <c r="BI10">
        <v>308335</v>
      </c>
      <c r="BJ10">
        <v>0</v>
      </c>
      <c r="BK10">
        <v>0</v>
      </c>
      <c r="BL10">
        <v>101670</v>
      </c>
      <c r="BM10">
        <v>0</v>
      </c>
      <c r="BN10">
        <v>0</v>
      </c>
      <c r="BO10">
        <v>101670</v>
      </c>
      <c r="BP10">
        <v>588955</v>
      </c>
      <c r="BQ10">
        <v>0</v>
      </c>
      <c r="BR10">
        <v>0</v>
      </c>
      <c r="BS10">
        <v>0</v>
      </c>
      <c r="BT10">
        <v>6868</v>
      </c>
      <c r="BU10">
        <v>595823</v>
      </c>
      <c r="BV10">
        <v>897290</v>
      </c>
      <c r="BW10">
        <v>0</v>
      </c>
      <c r="BX10">
        <v>101670</v>
      </c>
      <c r="BY10">
        <v>0</v>
      </c>
      <c r="BZ10">
        <v>6868</v>
      </c>
      <c r="CA10">
        <v>1005828</v>
      </c>
      <c r="CB10">
        <v>0</v>
      </c>
      <c r="CC10">
        <v>0</v>
      </c>
      <c r="CD10">
        <v>0</v>
      </c>
      <c r="CE10">
        <v>0</v>
      </c>
      <c r="CF10">
        <v>0</v>
      </c>
      <c r="CG10">
        <v>0</v>
      </c>
      <c r="CH10">
        <v>0</v>
      </c>
      <c r="CI10">
        <v>0</v>
      </c>
      <c r="CJ10">
        <v>0</v>
      </c>
      <c r="CK10">
        <v>0</v>
      </c>
      <c r="CL10">
        <v>0</v>
      </c>
      <c r="CM10">
        <v>0</v>
      </c>
      <c r="CN10">
        <v>0</v>
      </c>
      <c r="CO10">
        <v>0</v>
      </c>
      <c r="CP10">
        <v>0</v>
      </c>
      <c r="CQ10">
        <v>0</v>
      </c>
      <c r="CR10" t="s">
        <v>392</v>
      </c>
      <c r="CS10">
        <v>176219</v>
      </c>
      <c r="CT10">
        <v>0</v>
      </c>
      <c r="CU10">
        <v>40384</v>
      </c>
      <c r="CV10">
        <v>27452</v>
      </c>
      <c r="CW10">
        <v>86704</v>
      </c>
      <c r="CX10">
        <v>26732</v>
      </c>
      <c r="CY10">
        <v>0</v>
      </c>
      <c r="CZ10">
        <v>0</v>
      </c>
      <c r="DA10">
        <v>23024</v>
      </c>
      <c r="DB10">
        <v>0</v>
      </c>
      <c r="DC10">
        <v>49280</v>
      </c>
      <c r="DD10">
        <v>0</v>
      </c>
      <c r="DE10">
        <v>42840</v>
      </c>
      <c r="DF10">
        <v>81936</v>
      </c>
      <c r="DG10">
        <v>11472</v>
      </c>
      <c r="DH10">
        <v>0</v>
      </c>
      <c r="DI10">
        <v>0</v>
      </c>
      <c r="DJ10">
        <v>9532</v>
      </c>
      <c r="DK10">
        <v>0</v>
      </c>
      <c r="DL10">
        <v>96224</v>
      </c>
      <c r="DM10">
        <v>33632</v>
      </c>
      <c r="DN10">
        <v>0</v>
      </c>
      <c r="DO10">
        <v>0</v>
      </c>
      <c r="DP10">
        <v>1030</v>
      </c>
      <c r="DQ10">
        <v>49280</v>
      </c>
      <c r="DR10">
        <v>21171</v>
      </c>
      <c r="DS10">
        <v>122816</v>
      </c>
      <c r="DT10">
        <v>35520</v>
      </c>
      <c r="DU10">
        <v>0</v>
      </c>
      <c r="DV10">
        <v>33440</v>
      </c>
      <c r="DW10">
        <v>19840</v>
      </c>
      <c r="DX10">
        <v>812309</v>
      </c>
      <c r="DY10">
        <v>162570</v>
      </c>
      <c r="DZ10">
        <v>66803</v>
      </c>
      <c r="EA10">
        <v>189039</v>
      </c>
      <c r="EB10">
        <v>135847</v>
      </c>
      <c r="EC10">
        <v>0</v>
      </c>
      <c r="ED10">
        <v>0</v>
      </c>
      <c r="EE10">
        <v>59390</v>
      </c>
      <c r="EF10">
        <v>0</v>
      </c>
      <c r="EG10">
        <v>75167</v>
      </c>
      <c r="EH10">
        <v>0</v>
      </c>
      <c r="EI10">
        <v>169701</v>
      </c>
      <c r="EJ10">
        <v>183368</v>
      </c>
      <c r="EK10">
        <v>16300</v>
      </c>
      <c r="EL10">
        <v>0</v>
      </c>
      <c r="EM10">
        <v>0</v>
      </c>
      <c r="EN10">
        <v>10670</v>
      </c>
      <c r="EO10">
        <v>0</v>
      </c>
      <c r="EP10">
        <v>254900</v>
      </c>
      <c r="EQ10">
        <v>157163</v>
      </c>
      <c r="ER10">
        <v>0</v>
      </c>
      <c r="ES10">
        <v>0</v>
      </c>
      <c r="ET10">
        <v>1281</v>
      </c>
      <c r="EU10">
        <v>309898</v>
      </c>
      <c r="EV10">
        <v>39513</v>
      </c>
      <c r="EW10">
        <v>249686</v>
      </c>
      <c r="EX10">
        <v>62604</v>
      </c>
      <c r="EY10">
        <v>0</v>
      </c>
      <c r="EZ10">
        <v>27399</v>
      </c>
      <c r="FA10">
        <v>52813</v>
      </c>
      <c r="FB10">
        <v>2224112</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176219</v>
      </c>
      <c r="HK10">
        <v>38560</v>
      </c>
      <c r="HL10">
        <v>20054</v>
      </c>
      <c r="HM10">
        <v>8787</v>
      </c>
      <c r="HN10">
        <v>712</v>
      </c>
      <c r="HO10">
        <v>0</v>
      </c>
      <c r="HP10">
        <v>0</v>
      </c>
      <c r="HQ10">
        <v>2965</v>
      </c>
      <c r="HR10">
        <v>0</v>
      </c>
      <c r="HS10">
        <v>24043</v>
      </c>
      <c r="HT10">
        <v>0</v>
      </c>
      <c r="HU10">
        <v>10440</v>
      </c>
      <c r="HV10">
        <v>5288</v>
      </c>
      <c r="HW10">
        <v>305</v>
      </c>
      <c r="HX10">
        <v>0</v>
      </c>
      <c r="HY10">
        <v>0</v>
      </c>
      <c r="HZ10">
        <v>16970</v>
      </c>
      <c r="IA10">
        <v>0</v>
      </c>
      <c r="IB10">
        <v>58288</v>
      </c>
      <c r="IC10">
        <v>895</v>
      </c>
      <c r="ID10">
        <v>0</v>
      </c>
      <c r="IE10">
        <v>0</v>
      </c>
      <c r="IF10">
        <v>27</v>
      </c>
      <c r="IG10">
        <v>1633</v>
      </c>
      <c r="IH10">
        <v>603</v>
      </c>
      <c r="II10">
        <v>5566</v>
      </c>
      <c r="IJ10">
        <v>3626</v>
      </c>
      <c r="IK10">
        <v>0</v>
      </c>
      <c r="IL10">
        <v>890</v>
      </c>
      <c r="IM10">
        <v>1779</v>
      </c>
      <c r="IN10">
        <v>201431</v>
      </c>
      <c r="IO10">
        <v>38560</v>
      </c>
      <c r="IP10">
        <v>20054</v>
      </c>
      <c r="IQ10">
        <v>8787</v>
      </c>
      <c r="IR10">
        <v>712</v>
      </c>
      <c r="IS10">
        <v>0</v>
      </c>
      <c r="IT10">
        <v>0</v>
      </c>
      <c r="IU10">
        <v>2965</v>
      </c>
      <c r="IV10">
        <v>0</v>
      </c>
      <c r="IW10">
        <v>24043</v>
      </c>
      <c r="IX10">
        <v>0</v>
      </c>
      <c r="IY10">
        <v>10440</v>
      </c>
      <c r="IZ10">
        <v>5288</v>
      </c>
      <c r="JA10">
        <v>305</v>
      </c>
      <c r="JB10">
        <v>0</v>
      </c>
      <c r="JC10">
        <v>0</v>
      </c>
      <c r="JD10">
        <v>16970</v>
      </c>
      <c r="JE10">
        <v>0</v>
      </c>
      <c r="JF10">
        <v>58288</v>
      </c>
      <c r="JG10">
        <v>895</v>
      </c>
      <c r="JH10">
        <v>0</v>
      </c>
      <c r="JI10">
        <v>0</v>
      </c>
      <c r="JJ10">
        <v>27</v>
      </c>
      <c r="JK10">
        <v>1633</v>
      </c>
      <c r="JL10">
        <v>603</v>
      </c>
      <c r="JM10">
        <v>5566</v>
      </c>
      <c r="JN10">
        <v>3626</v>
      </c>
      <c r="JO10">
        <v>0</v>
      </c>
      <c r="JP10">
        <v>890</v>
      </c>
      <c r="JQ10">
        <v>1779</v>
      </c>
      <c r="JR10">
        <v>377650</v>
      </c>
      <c r="JS10">
        <v>201130</v>
      </c>
      <c r="JT10">
        <v>86857</v>
      </c>
      <c r="JU10">
        <v>197826</v>
      </c>
      <c r="JV10">
        <v>136559</v>
      </c>
      <c r="JW10">
        <v>0</v>
      </c>
      <c r="JX10">
        <v>0</v>
      </c>
      <c r="JY10">
        <v>62355</v>
      </c>
      <c r="JZ10">
        <v>0</v>
      </c>
      <c r="KA10">
        <v>99210</v>
      </c>
      <c r="KB10">
        <v>0</v>
      </c>
      <c r="KC10">
        <v>180141</v>
      </c>
      <c r="KD10">
        <v>188656</v>
      </c>
      <c r="KE10">
        <v>16605</v>
      </c>
      <c r="KF10">
        <v>0</v>
      </c>
      <c r="KG10">
        <v>0</v>
      </c>
      <c r="KH10">
        <v>27640</v>
      </c>
      <c r="KI10">
        <v>0</v>
      </c>
      <c r="KJ10">
        <v>313188</v>
      </c>
      <c r="KK10">
        <v>158058</v>
      </c>
      <c r="KL10">
        <v>0</v>
      </c>
      <c r="KM10">
        <v>0</v>
      </c>
      <c r="KN10">
        <v>1308</v>
      </c>
      <c r="KO10">
        <v>311531</v>
      </c>
      <c r="KP10">
        <v>40116</v>
      </c>
      <c r="KQ10">
        <v>255252</v>
      </c>
      <c r="KR10">
        <v>66230</v>
      </c>
      <c r="KS10">
        <v>0</v>
      </c>
      <c r="KT10">
        <v>28289</v>
      </c>
      <c r="KU10">
        <v>54592</v>
      </c>
      <c r="KV10">
        <v>2601762</v>
      </c>
      <c r="KW10" t="s">
        <v>359</v>
      </c>
      <c r="KX10">
        <v>4829396</v>
      </c>
      <c r="KY10">
        <v>1005828</v>
      </c>
      <c r="KZ10">
        <v>5835224</v>
      </c>
      <c r="LA10">
        <v>0</v>
      </c>
      <c r="LB10">
        <v>397722</v>
      </c>
    </row>
    <row r="11" spans="1:314" x14ac:dyDescent="0.25">
      <c r="A11" t="s">
        <v>399</v>
      </c>
      <c r="B11" t="s">
        <v>400</v>
      </c>
      <c r="C11" t="s">
        <v>352</v>
      </c>
      <c r="D11" t="s">
        <v>401</v>
      </c>
      <c r="E11" s="2">
        <v>40932.565416666665</v>
      </c>
      <c r="G11" t="s">
        <v>402</v>
      </c>
      <c r="H11" t="s">
        <v>403</v>
      </c>
      <c r="I11" t="s">
        <v>404</v>
      </c>
      <c r="J11" t="s">
        <v>405</v>
      </c>
      <c r="K11" t="s">
        <v>406</v>
      </c>
      <c r="L11">
        <v>0</v>
      </c>
      <c r="M11">
        <v>0</v>
      </c>
      <c r="N11">
        <v>0</v>
      </c>
      <c r="O11">
        <v>26753206</v>
      </c>
      <c r="P11">
        <v>0</v>
      </c>
      <c r="Q11">
        <v>417198</v>
      </c>
      <c r="R11">
        <v>0</v>
      </c>
      <c r="S11">
        <v>417198</v>
      </c>
      <c r="T11">
        <v>1678978</v>
      </c>
      <c r="U11">
        <v>1372314</v>
      </c>
      <c r="V11">
        <v>1832002</v>
      </c>
      <c r="W11">
        <v>70317</v>
      </c>
      <c r="X11">
        <v>0</v>
      </c>
      <c r="Y11">
        <v>0</v>
      </c>
      <c r="Z11">
        <v>4953611</v>
      </c>
      <c r="AA11">
        <v>2086105</v>
      </c>
      <c r="AB11">
        <v>216129</v>
      </c>
      <c r="AC11">
        <v>349284</v>
      </c>
      <c r="AD11">
        <v>76903</v>
      </c>
      <c r="AE11">
        <v>0</v>
      </c>
      <c r="AF11">
        <v>404002</v>
      </c>
      <c r="AG11">
        <v>3132423</v>
      </c>
      <c r="AH11">
        <v>3765083</v>
      </c>
      <c r="AI11">
        <v>1588443</v>
      </c>
      <c r="AJ11">
        <v>2181286</v>
      </c>
      <c r="AK11">
        <v>147220</v>
      </c>
      <c r="AL11">
        <v>0</v>
      </c>
      <c r="AM11">
        <v>404002</v>
      </c>
      <c r="AN11">
        <v>8086034</v>
      </c>
      <c r="AO11">
        <v>0</v>
      </c>
      <c r="AP11">
        <v>0</v>
      </c>
      <c r="AQ11">
        <v>304483</v>
      </c>
      <c r="AR11">
        <v>0</v>
      </c>
      <c r="AS11">
        <v>304483</v>
      </c>
      <c r="AT11">
        <v>0</v>
      </c>
      <c r="AU11">
        <v>0</v>
      </c>
      <c r="AV11">
        <v>148298</v>
      </c>
      <c r="AW11">
        <v>0</v>
      </c>
      <c r="AX11">
        <v>148298</v>
      </c>
      <c r="AY11">
        <v>0</v>
      </c>
      <c r="AZ11">
        <v>0</v>
      </c>
      <c r="BA11">
        <v>452781</v>
      </c>
      <c r="BB11">
        <v>0</v>
      </c>
      <c r="BC11">
        <v>452781</v>
      </c>
      <c r="BD11">
        <v>434371</v>
      </c>
      <c r="BE11">
        <v>0</v>
      </c>
      <c r="BF11">
        <v>0</v>
      </c>
      <c r="BG11">
        <v>0</v>
      </c>
      <c r="BH11">
        <v>0</v>
      </c>
      <c r="BI11">
        <v>434371</v>
      </c>
      <c r="BJ11">
        <v>0</v>
      </c>
      <c r="BK11">
        <v>0</v>
      </c>
      <c r="BL11">
        <v>105884</v>
      </c>
      <c r="BM11">
        <v>0</v>
      </c>
      <c r="BN11">
        <v>0</v>
      </c>
      <c r="BO11">
        <v>105884</v>
      </c>
      <c r="BP11">
        <v>2895773</v>
      </c>
      <c r="BQ11">
        <v>736839</v>
      </c>
      <c r="BR11">
        <v>0</v>
      </c>
      <c r="BS11">
        <v>0</v>
      </c>
      <c r="BT11">
        <v>674723</v>
      </c>
      <c r="BU11">
        <v>4307335</v>
      </c>
      <c r="BV11">
        <v>3330144</v>
      </c>
      <c r="BW11">
        <v>736839</v>
      </c>
      <c r="BX11">
        <v>105884</v>
      </c>
      <c r="BY11">
        <v>0</v>
      </c>
      <c r="BZ11">
        <v>674723</v>
      </c>
      <c r="CA11">
        <v>4847590</v>
      </c>
      <c r="CB11">
        <v>0</v>
      </c>
      <c r="CC11">
        <v>0</v>
      </c>
      <c r="CD11">
        <v>0</v>
      </c>
      <c r="CE11">
        <v>0</v>
      </c>
      <c r="CF11">
        <v>0</v>
      </c>
      <c r="CG11">
        <v>0</v>
      </c>
      <c r="CH11">
        <v>0</v>
      </c>
      <c r="CI11">
        <v>0</v>
      </c>
      <c r="CJ11">
        <v>0</v>
      </c>
      <c r="CK11">
        <v>0</v>
      </c>
      <c r="CL11">
        <v>0</v>
      </c>
      <c r="CM11">
        <v>0</v>
      </c>
      <c r="CN11">
        <v>0</v>
      </c>
      <c r="CO11">
        <v>0</v>
      </c>
      <c r="CP11">
        <v>0</v>
      </c>
      <c r="CQ11">
        <v>0</v>
      </c>
      <c r="CR11" t="s">
        <v>399</v>
      </c>
      <c r="CS11">
        <v>862510</v>
      </c>
      <c r="CT11">
        <v>0</v>
      </c>
      <c r="CU11">
        <v>66224</v>
      </c>
      <c r="CV11">
        <v>7172</v>
      </c>
      <c r="CW11">
        <v>343472</v>
      </c>
      <c r="CX11">
        <v>194287</v>
      </c>
      <c r="CY11">
        <v>0</v>
      </c>
      <c r="CZ11">
        <v>5312</v>
      </c>
      <c r="DA11">
        <v>32266</v>
      </c>
      <c r="DB11">
        <v>1540</v>
      </c>
      <c r="DC11">
        <v>138800</v>
      </c>
      <c r="DD11">
        <v>0</v>
      </c>
      <c r="DE11">
        <v>32363</v>
      </c>
      <c r="DF11">
        <v>480592</v>
      </c>
      <c r="DG11">
        <v>81232</v>
      </c>
      <c r="DH11">
        <v>132686</v>
      </c>
      <c r="DI11">
        <v>0</v>
      </c>
      <c r="DJ11">
        <v>149216</v>
      </c>
      <c r="DK11">
        <v>0</v>
      </c>
      <c r="DL11">
        <v>255920</v>
      </c>
      <c r="DM11">
        <v>278752</v>
      </c>
      <c r="DN11">
        <v>0</v>
      </c>
      <c r="DO11">
        <v>0</v>
      </c>
      <c r="DP11">
        <v>3960</v>
      </c>
      <c r="DQ11">
        <v>102384</v>
      </c>
      <c r="DR11">
        <v>32448</v>
      </c>
      <c r="DS11">
        <v>819712</v>
      </c>
      <c r="DT11">
        <v>175662</v>
      </c>
      <c r="DU11">
        <v>0</v>
      </c>
      <c r="DV11">
        <v>180960</v>
      </c>
      <c r="DW11">
        <v>49200</v>
      </c>
      <c r="DX11">
        <v>3564160</v>
      </c>
      <c r="DY11">
        <v>235836</v>
      </c>
      <c r="DZ11">
        <v>107223</v>
      </c>
      <c r="EA11">
        <v>834865</v>
      </c>
      <c r="EB11">
        <v>327576</v>
      </c>
      <c r="EC11">
        <v>0</v>
      </c>
      <c r="ED11">
        <v>677</v>
      </c>
      <c r="EE11">
        <v>373055</v>
      </c>
      <c r="EF11">
        <v>35</v>
      </c>
      <c r="EG11">
        <v>359393</v>
      </c>
      <c r="EH11">
        <v>0</v>
      </c>
      <c r="EI11">
        <v>39569</v>
      </c>
      <c r="EJ11">
        <v>1478996</v>
      </c>
      <c r="EK11">
        <v>131285</v>
      </c>
      <c r="EL11">
        <v>709373</v>
      </c>
      <c r="EM11">
        <v>0</v>
      </c>
      <c r="EN11">
        <v>633560</v>
      </c>
      <c r="EO11">
        <v>0</v>
      </c>
      <c r="EP11">
        <v>897381</v>
      </c>
      <c r="EQ11">
        <v>614540</v>
      </c>
      <c r="ER11">
        <v>0</v>
      </c>
      <c r="ES11">
        <v>0</v>
      </c>
      <c r="ET11">
        <v>3662</v>
      </c>
      <c r="EU11">
        <v>319008</v>
      </c>
      <c r="EV11">
        <v>123322</v>
      </c>
      <c r="EW11">
        <v>1896660</v>
      </c>
      <c r="EX11">
        <v>514377</v>
      </c>
      <c r="EY11">
        <v>0</v>
      </c>
      <c r="EZ11">
        <v>437017</v>
      </c>
      <c r="FA11">
        <v>168692</v>
      </c>
      <c r="FB11">
        <v>10206102</v>
      </c>
      <c r="FC11">
        <v>78336</v>
      </c>
      <c r="FD11">
        <v>4728</v>
      </c>
      <c r="FE11">
        <v>34033</v>
      </c>
      <c r="FF11">
        <v>15857</v>
      </c>
      <c r="FG11">
        <v>0</v>
      </c>
      <c r="FH11">
        <v>338</v>
      </c>
      <c r="FI11">
        <v>3858</v>
      </c>
      <c r="FJ11">
        <v>75</v>
      </c>
      <c r="FK11">
        <v>47202</v>
      </c>
      <c r="FL11">
        <v>0</v>
      </c>
      <c r="FM11">
        <v>4471</v>
      </c>
      <c r="FN11">
        <v>121552</v>
      </c>
      <c r="FO11">
        <v>3926</v>
      </c>
      <c r="FP11">
        <v>78232</v>
      </c>
      <c r="FQ11">
        <v>0</v>
      </c>
      <c r="FR11">
        <v>78866</v>
      </c>
      <c r="FS11">
        <v>0</v>
      </c>
      <c r="FT11">
        <v>53162</v>
      </c>
      <c r="FU11">
        <v>30640</v>
      </c>
      <c r="FV11">
        <v>0</v>
      </c>
      <c r="FW11">
        <v>0</v>
      </c>
      <c r="FX11">
        <v>697</v>
      </c>
      <c r="FY11">
        <v>44803</v>
      </c>
      <c r="FZ11">
        <v>1582</v>
      </c>
      <c r="GA11">
        <v>11974</v>
      </c>
      <c r="GB11">
        <v>38880</v>
      </c>
      <c r="GC11">
        <v>0</v>
      </c>
      <c r="GD11">
        <v>8861</v>
      </c>
      <c r="GE11">
        <v>2357</v>
      </c>
      <c r="GF11">
        <v>664430</v>
      </c>
      <c r="GG11">
        <v>24928</v>
      </c>
      <c r="GH11">
        <v>8883</v>
      </c>
      <c r="GI11">
        <v>68942</v>
      </c>
      <c r="GJ11">
        <v>27249</v>
      </c>
      <c r="GK11">
        <v>0</v>
      </c>
      <c r="GL11">
        <v>81</v>
      </c>
      <c r="GM11">
        <v>29906</v>
      </c>
      <c r="GN11">
        <v>9</v>
      </c>
      <c r="GO11">
        <v>32261</v>
      </c>
      <c r="GP11">
        <v>0</v>
      </c>
      <c r="GQ11">
        <v>3494</v>
      </c>
      <c r="GR11">
        <v>126994</v>
      </c>
      <c r="GS11">
        <v>10728</v>
      </c>
      <c r="GT11">
        <v>62492</v>
      </c>
      <c r="GU11">
        <v>0</v>
      </c>
      <c r="GV11">
        <v>56527</v>
      </c>
      <c r="GW11">
        <v>0</v>
      </c>
      <c r="GX11">
        <v>75420</v>
      </c>
      <c r="GY11">
        <v>51191</v>
      </c>
      <c r="GZ11">
        <v>0</v>
      </c>
      <c r="HA11">
        <v>0</v>
      </c>
      <c r="HB11">
        <v>346</v>
      </c>
      <c r="HC11">
        <v>28866</v>
      </c>
      <c r="HD11">
        <v>9910</v>
      </c>
      <c r="HE11">
        <v>151438</v>
      </c>
      <c r="HF11">
        <v>43898</v>
      </c>
      <c r="HG11">
        <v>0</v>
      </c>
      <c r="HH11">
        <v>35378</v>
      </c>
      <c r="HI11">
        <v>13572</v>
      </c>
      <c r="HJ11">
        <v>862510</v>
      </c>
      <c r="HK11">
        <v>165157</v>
      </c>
      <c r="HL11">
        <v>26855</v>
      </c>
      <c r="HM11">
        <v>251288</v>
      </c>
      <c r="HN11">
        <v>104600</v>
      </c>
      <c r="HO11">
        <v>0</v>
      </c>
      <c r="HP11">
        <v>2088</v>
      </c>
      <c r="HQ11">
        <v>34040</v>
      </c>
      <c r="HR11">
        <v>499</v>
      </c>
      <c r="HS11">
        <v>93817</v>
      </c>
      <c r="HT11">
        <v>0</v>
      </c>
      <c r="HU11">
        <v>30219</v>
      </c>
      <c r="HV11">
        <v>252940</v>
      </c>
      <c r="HW11">
        <v>31398</v>
      </c>
      <c r="HX11">
        <v>136646</v>
      </c>
      <c r="HY11">
        <v>0</v>
      </c>
      <c r="HZ11">
        <v>261740</v>
      </c>
      <c r="IA11">
        <v>0</v>
      </c>
      <c r="IB11">
        <v>210640</v>
      </c>
      <c r="IC11">
        <v>107116</v>
      </c>
      <c r="ID11">
        <v>0</v>
      </c>
      <c r="IE11">
        <v>0</v>
      </c>
      <c r="IF11">
        <v>1283</v>
      </c>
      <c r="IG11">
        <v>36770</v>
      </c>
      <c r="IH11">
        <v>14784</v>
      </c>
      <c r="II11">
        <v>305385</v>
      </c>
      <c r="IJ11">
        <v>136936</v>
      </c>
      <c r="IK11">
        <v>0</v>
      </c>
      <c r="IL11">
        <v>70479</v>
      </c>
      <c r="IM11">
        <v>20606</v>
      </c>
      <c r="IN11">
        <v>2295286</v>
      </c>
      <c r="IO11">
        <v>268421</v>
      </c>
      <c r="IP11">
        <v>40466</v>
      </c>
      <c r="IQ11">
        <v>354263</v>
      </c>
      <c r="IR11">
        <v>147706</v>
      </c>
      <c r="IS11">
        <v>0</v>
      </c>
      <c r="IT11">
        <v>2507</v>
      </c>
      <c r="IU11">
        <v>67804</v>
      </c>
      <c r="IV11">
        <v>583</v>
      </c>
      <c r="IW11">
        <v>173280</v>
      </c>
      <c r="IX11">
        <v>0</v>
      </c>
      <c r="IY11">
        <v>38184</v>
      </c>
      <c r="IZ11">
        <v>501486</v>
      </c>
      <c r="JA11">
        <v>46052</v>
      </c>
      <c r="JB11">
        <v>277370</v>
      </c>
      <c r="JC11">
        <v>0</v>
      </c>
      <c r="JD11">
        <v>397133</v>
      </c>
      <c r="JE11">
        <v>0</v>
      </c>
      <c r="JF11">
        <v>339222</v>
      </c>
      <c r="JG11">
        <v>188947</v>
      </c>
      <c r="JH11">
        <v>0</v>
      </c>
      <c r="JI11">
        <v>0</v>
      </c>
      <c r="JJ11">
        <v>2326</v>
      </c>
      <c r="JK11">
        <v>110439</v>
      </c>
      <c r="JL11">
        <v>26276</v>
      </c>
      <c r="JM11">
        <v>468797</v>
      </c>
      <c r="JN11">
        <v>219714</v>
      </c>
      <c r="JO11">
        <v>0</v>
      </c>
      <c r="JP11">
        <v>114718</v>
      </c>
      <c r="JQ11">
        <v>36535</v>
      </c>
      <c r="JR11">
        <v>3822226</v>
      </c>
      <c r="JS11">
        <v>504257</v>
      </c>
      <c r="JT11">
        <v>147689</v>
      </c>
      <c r="JU11">
        <v>1189128</v>
      </c>
      <c r="JV11">
        <v>475282</v>
      </c>
      <c r="JW11">
        <v>0</v>
      </c>
      <c r="JX11">
        <v>3184</v>
      </c>
      <c r="JY11">
        <v>440859</v>
      </c>
      <c r="JZ11">
        <v>618</v>
      </c>
      <c r="KA11">
        <v>532673</v>
      </c>
      <c r="KB11">
        <v>0</v>
      </c>
      <c r="KC11">
        <v>77753</v>
      </c>
      <c r="KD11">
        <v>1980482</v>
      </c>
      <c r="KE11">
        <v>177337</v>
      </c>
      <c r="KF11">
        <v>986743</v>
      </c>
      <c r="KG11">
        <v>0</v>
      </c>
      <c r="KH11">
        <v>1030693</v>
      </c>
      <c r="KI11">
        <v>0</v>
      </c>
      <c r="KJ11">
        <v>1236603</v>
      </c>
      <c r="KK11">
        <v>803487</v>
      </c>
      <c r="KL11">
        <v>0</v>
      </c>
      <c r="KM11">
        <v>0</v>
      </c>
      <c r="KN11">
        <v>5988</v>
      </c>
      <c r="KO11">
        <v>429447</v>
      </c>
      <c r="KP11">
        <v>149598</v>
      </c>
      <c r="KQ11">
        <v>2365457</v>
      </c>
      <c r="KR11">
        <v>734091</v>
      </c>
      <c r="KS11">
        <v>0</v>
      </c>
      <c r="KT11">
        <v>551735</v>
      </c>
      <c r="KU11">
        <v>205227</v>
      </c>
      <c r="KV11">
        <v>14028328</v>
      </c>
      <c r="KW11" t="s">
        <v>359</v>
      </c>
      <c r="KX11">
        <v>22531560</v>
      </c>
      <c r="KY11">
        <v>5300371</v>
      </c>
      <c r="KZ11">
        <v>27831931</v>
      </c>
      <c r="LA11">
        <v>0</v>
      </c>
      <c r="LB11">
        <v>1078725</v>
      </c>
    </row>
    <row r="12" spans="1:314" x14ac:dyDescent="0.25">
      <c r="A12" t="s">
        <v>407</v>
      </c>
      <c r="B12" t="s">
        <v>408</v>
      </c>
      <c r="C12" t="s">
        <v>352</v>
      </c>
      <c r="D12" t="s">
        <v>409</v>
      </c>
      <c r="E12" s="2">
        <v>40931.327916666669</v>
      </c>
      <c r="G12" t="s">
        <v>410</v>
      </c>
      <c r="H12" t="s">
        <v>411</v>
      </c>
      <c r="I12" t="s">
        <v>412</v>
      </c>
      <c r="J12" t="s">
        <v>413</v>
      </c>
      <c r="K12" t="s">
        <v>414</v>
      </c>
      <c r="L12">
        <v>0</v>
      </c>
      <c r="M12">
        <v>0</v>
      </c>
      <c r="N12">
        <v>0</v>
      </c>
      <c r="O12">
        <v>65889525</v>
      </c>
      <c r="P12">
        <v>0</v>
      </c>
      <c r="Q12">
        <v>3292480</v>
      </c>
      <c r="R12">
        <v>0</v>
      </c>
      <c r="S12">
        <v>3292480</v>
      </c>
      <c r="T12">
        <v>7092710</v>
      </c>
      <c r="U12">
        <v>3360873</v>
      </c>
      <c r="V12">
        <v>3623337</v>
      </c>
      <c r="W12">
        <v>0</v>
      </c>
      <c r="X12">
        <v>0</v>
      </c>
      <c r="Y12">
        <v>0</v>
      </c>
      <c r="Z12">
        <v>14076920</v>
      </c>
      <c r="AA12">
        <v>5703558</v>
      </c>
      <c r="AB12">
        <v>802441</v>
      </c>
      <c r="AC12">
        <v>789070</v>
      </c>
      <c r="AD12">
        <v>0</v>
      </c>
      <c r="AE12">
        <v>0</v>
      </c>
      <c r="AF12">
        <v>0</v>
      </c>
      <c r="AG12">
        <v>7295069</v>
      </c>
      <c r="AH12">
        <v>12796268</v>
      </c>
      <c r="AI12">
        <v>4163314</v>
      </c>
      <c r="AJ12">
        <v>4412407</v>
      </c>
      <c r="AK12">
        <v>0</v>
      </c>
      <c r="AL12">
        <v>0</v>
      </c>
      <c r="AM12">
        <v>0</v>
      </c>
      <c r="AN12">
        <v>21371989</v>
      </c>
      <c r="AO12">
        <v>229881</v>
      </c>
      <c r="AP12">
        <v>0</v>
      </c>
      <c r="AQ12">
        <v>22999</v>
      </c>
      <c r="AR12">
        <v>0</v>
      </c>
      <c r="AS12">
        <v>252880</v>
      </c>
      <c r="AT12">
        <v>34986</v>
      </c>
      <c r="AU12">
        <v>0</v>
      </c>
      <c r="AV12">
        <v>72084</v>
      </c>
      <c r="AW12">
        <v>0</v>
      </c>
      <c r="AX12">
        <v>107070</v>
      </c>
      <c r="AY12">
        <v>264867</v>
      </c>
      <c r="AZ12">
        <v>0</v>
      </c>
      <c r="BA12">
        <v>95083</v>
      </c>
      <c r="BB12">
        <v>0</v>
      </c>
      <c r="BC12">
        <v>359950</v>
      </c>
      <c r="BD12">
        <v>2079443</v>
      </c>
      <c r="BE12">
        <v>0</v>
      </c>
      <c r="BF12">
        <v>0</v>
      </c>
      <c r="BG12">
        <v>0</v>
      </c>
      <c r="BH12">
        <v>0</v>
      </c>
      <c r="BI12">
        <v>2079443</v>
      </c>
      <c r="BJ12">
        <v>0</v>
      </c>
      <c r="BK12">
        <v>0</v>
      </c>
      <c r="BL12">
        <v>598766</v>
      </c>
      <c r="BM12">
        <v>0</v>
      </c>
      <c r="BN12">
        <v>0</v>
      </c>
      <c r="BO12">
        <v>598766</v>
      </c>
      <c r="BP12">
        <v>6374819</v>
      </c>
      <c r="BQ12">
        <v>0</v>
      </c>
      <c r="BR12">
        <v>0</v>
      </c>
      <c r="BS12">
        <v>0</v>
      </c>
      <c r="BT12">
        <v>2518861</v>
      </c>
      <c r="BU12">
        <v>8893680</v>
      </c>
      <c r="BV12">
        <v>8454262</v>
      </c>
      <c r="BW12">
        <v>0</v>
      </c>
      <c r="BX12">
        <v>598766</v>
      </c>
      <c r="BY12">
        <v>0</v>
      </c>
      <c r="BZ12">
        <v>2518861</v>
      </c>
      <c r="CA12">
        <v>11571889</v>
      </c>
      <c r="CB12">
        <v>0</v>
      </c>
      <c r="CC12">
        <v>0</v>
      </c>
      <c r="CD12">
        <v>0</v>
      </c>
      <c r="CE12">
        <v>0</v>
      </c>
      <c r="CF12">
        <v>0</v>
      </c>
      <c r="CG12">
        <v>0</v>
      </c>
      <c r="CH12">
        <v>0</v>
      </c>
      <c r="CI12">
        <v>0</v>
      </c>
      <c r="CJ12">
        <v>0</v>
      </c>
      <c r="CK12">
        <v>0</v>
      </c>
      <c r="CL12">
        <v>0</v>
      </c>
      <c r="CM12">
        <v>0</v>
      </c>
      <c r="CN12">
        <v>0</v>
      </c>
      <c r="CO12">
        <v>0</v>
      </c>
      <c r="CP12">
        <v>0</v>
      </c>
      <c r="CQ12">
        <v>0</v>
      </c>
      <c r="CR12" t="s">
        <v>407</v>
      </c>
      <c r="CS12">
        <v>4917700</v>
      </c>
      <c r="CT12">
        <v>0</v>
      </c>
      <c r="CU12">
        <v>330</v>
      </c>
      <c r="CV12">
        <v>205815</v>
      </c>
      <c r="CW12">
        <v>592724</v>
      </c>
      <c r="CX12">
        <v>348050</v>
      </c>
      <c r="CY12">
        <v>0</v>
      </c>
      <c r="CZ12">
        <v>44671</v>
      </c>
      <c r="DA12">
        <v>204667</v>
      </c>
      <c r="DB12">
        <v>64890</v>
      </c>
      <c r="DC12">
        <v>240009</v>
      </c>
      <c r="DD12">
        <v>3104</v>
      </c>
      <c r="DE12">
        <v>185244</v>
      </c>
      <c r="DF12">
        <v>579689</v>
      </c>
      <c r="DG12">
        <v>104768</v>
      </c>
      <c r="DH12">
        <v>315968</v>
      </c>
      <c r="DI12">
        <v>34176</v>
      </c>
      <c r="DJ12">
        <v>495737</v>
      </c>
      <c r="DK12">
        <v>23648</v>
      </c>
      <c r="DL12">
        <v>336</v>
      </c>
      <c r="DM12">
        <v>225760</v>
      </c>
      <c r="DN12">
        <v>84584</v>
      </c>
      <c r="DO12">
        <v>173424</v>
      </c>
      <c r="DP12">
        <v>31519</v>
      </c>
      <c r="DQ12">
        <v>134736</v>
      </c>
      <c r="DR12">
        <v>182348</v>
      </c>
      <c r="DS12">
        <v>676054</v>
      </c>
      <c r="DT12">
        <v>297872</v>
      </c>
      <c r="DU12">
        <v>0</v>
      </c>
      <c r="DV12">
        <v>253472</v>
      </c>
      <c r="DW12">
        <v>244960</v>
      </c>
      <c r="DX12">
        <v>5748555</v>
      </c>
      <c r="DY12">
        <v>114</v>
      </c>
      <c r="DZ12">
        <v>484127</v>
      </c>
      <c r="EA12">
        <v>1803758</v>
      </c>
      <c r="EB12">
        <v>1440982</v>
      </c>
      <c r="EC12">
        <v>0</v>
      </c>
      <c r="ED12">
        <v>169573</v>
      </c>
      <c r="EE12">
        <v>884141</v>
      </c>
      <c r="EF12">
        <v>32964</v>
      </c>
      <c r="EG12">
        <v>911901</v>
      </c>
      <c r="EH12">
        <v>15996</v>
      </c>
      <c r="EI12">
        <v>560391</v>
      </c>
      <c r="EJ12">
        <v>2506249</v>
      </c>
      <c r="EK12">
        <v>308027</v>
      </c>
      <c r="EL12">
        <v>2396971</v>
      </c>
      <c r="EM12">
        <v>374116</v>
      </c>
      <c r="EN12">
        <v>2336656</v>
      </c>
      <c r="EO12">
        <v>186403</v>
      </c>
      <c r="EP12">
        <v>1720</v>
      </c>
      <c r="EQ12">
        <v>1053888</v>
      </c>
      <c r="ER12">
        <v>496104</v>
      </c>
      <c r="ES12">
        <v>551500</v>
      </c>
      <c r="ET12">
        <v>162864</v>
      </c>
      <c r="EU12">
        <v>528412</v>
      </c>
      <c r="EV12">
        <v>857695</v>
      </c>
      <c r="EW12">
        <v>2517548</v>
      </c>
      <c r="EX12">
        <v>2121290</v>
      </c>
      <c r="EY12">
        <v>0</v>
      </c>
      <c r="EZ12">
        <v>1273500</v>
      </c>
      <c r="FA12">
        <v>1197464</v>
      </c>
      <c r="FB12">
        <v>25174354</v>
      </c>
      <c r="FC12">
        <v>57</v>
      </c>
      <c r="FD12">
        <v>10875</v>
      </c>
      <c r="FE12">
        <v>1822</v>
      </c>
      <c r="FF12">
        <v>57529</v>
      </c>
      <c r="FG12">
        <v>0</v>
      </c>
      <c r="FH12">
        <v>14361</v>
      </c>
      <c r="FI12">
        <v>12215</v>
      </c>
      <c r="FJ12">
        <v>10508</v>
      </c>
      <c r="FK12">
        <v>32999</v>
      </c>
      <c r="FL12">
        <v>512</v>
      </c>
      <c r="FM12">
        <v>3750</v>
      </c>
      <c r="FN12">
        <v>66675</v>
      </c>
      <c r="FO12">
        <v>36971</v>
      </c>
      <c r="FP12">
        <v>8672</v>
      </c>
      <c r="FQ12">
        <v>0</v>
      </c>
      <c r="FR12">
        <v>46497</v>
      </c>
      <c r="FS12">
        <v>0</v>
      </c>
      <c r="FT12">
        <v>0</v>
      </c>
      <c r="FU12">
        <v>0</v>
      </c>
      <c r="FV12">
        <v>37249</v>
      </c>
      <c r="FW12">
        <v>6470</v>
      </c>
      <c r="FX12">
        <v>0</v>
      </c>
      <c r="FY12">
        <v>3843</v>
      </c>
      <c r="FZ12">
        <v>18452</v>
      </c>
      <c r="GA12">
        <v>823</v>
      </c>
      <c r="GB12">
        <v>34451</v>
      </c>
      <c r="GC12">
        <v>0</v>
      </c>
      <c r="GD12">
        <v>73600</v>
      </c>
      <c r="GE12">
        <v>55015</v>
      </c>
      <c r="GF12">
        <v>533346</v>
      </c>
      <c r="GG12">
        <v>33</v>
      </c>
      <c r="GH12">
        <v>94690</v>
      </c>
      <c r="GI12">
        <v>345395</v>
      </c>
      <c r="GJ12">
        <v>286654</v>
      </c>
      <c r="GK12">
        <v>0</v>
      </c>
      <c r="GL12">
        <v>35185</v>
      </c>
      <c r="GM12">
        <v>171467</v>
      </c>
      <c r="GN12">
        <v>8316</v>
      </c>
      <c r="GO12">
        <v>180753</v>
      </c>
      <c r="GP12">
        <v>3158</v>
      </c>
      <c r="GQ12">
        <v>107916</v>
      </c>
      <c r="GR12">
        <v>492182</v>
      </c>
      <c r="GS12">
        <v>65996</v>
      </c>
      <c r="GT12">
        <v>460182</v>
      </c>
      <c r="GU12">
        <v>71566</v>
      </c>
      <c r="GV12">
        <v>455880</v>
      </c>
      <c r="GW12">
        <v>35658</v>
      </c>
      <c r="GX12">
        <v>329</v>
      </c>
      <c r="GY12">
        <v>201601</v>
      </c>
      <c r="GZ12">
        <v>102027</v>
      </c>
      <c r="HA12">
        <v>106736</v>
      </c>
      <c r="HB12">
        <v>31155</v>
      </c>
      <c r="HC12">
        <v>101817</v>
      </c>
      <c r="HD12">
        <v>167601</v>
      </c>
      <c r="HE12">
        <v>481746</v>
      </c>
      <c r="HF12">
        <v>412378</v>
      </c>
      <c r="HG12">
        <v>0</v>
      </c>
      <c r="HH12">
        <v>257691</v>
      </c>
      <c r="HI12">
        <v>239590</v>
      </c>
      <c r="HJ12">
        <v>4917700</v>
      </c>
      <c r="HK12">
        <v>54</v>
      </c>
      <c r="HL12">
        <v>105153</v>
      </c>
      <c r="HM12">
        <v>110857</v>
      </c>
      <c r="HN12">
        <v>38608</v>
      </c>
      <c r="HO12">
        <v>0</v>
      </c>
      <c r="HP12">
        <v>10812</v>
      </c>
      <c r="HQ12">
        <v>16164</v>
      </c>
      <c r="HR12">
        <v>10209</v>
      </c>
      <c r="HS12">
        <v>120951</v>
      </c>
      <c r="HT12">
        <v>100</v>
      </c>
      <c r="HU12">
        <v>28166</v>
      </c>
      <c r="HV12">
        <v>28592</v>
      </c>
      <c r="HW12">
        <v>13170</v>
      </c>
      <c r="HX12">
        <v>161925</v>
      </c>
      <c r="HY12">
        <v>30018</v>
      </c>
      <c r="HZ12">
        <v>122632</v>
      </c>
      <c r="IA12">
        <v>6059</v>
      </c>
      <c r="IB12">
        <v>109</v>
      </c>
      <c r="IC12">
        <v>2157</v>
      </c>
      <c r="ID12">
        <v>51706</v>
      </c>
      <c r="IE12">
        <v>98845</v>
      </c>
      <c r="IF12">
        <v>7403</v>
      </c>
      <c r="IG12">
        <v>10992</v>
      </c>
      <c r="IH12">
        <v>65904</v>
      </c>
      <c r="II12">
        <v>6881</v>
      </c>
      <c r="IJ12">
        <v>106732</v>
      </c>
      <c r="IK12">
        <v>0</v>
      </c>
      <c r="IL12">
        <v>14387</v>
      </c>
      <c r="IM12">
        <v>18092</v>
      </c>
      <c r="IN12">
        <v>1186678</v>
      </c>
      <c r="IO12">
        <v>144</v>
      </c>
      <c r="IP12">
        <v>210718</v>
      </c>
      <c r="IQ12">
        <v>458074</v>
      </c>
      <c r="IR12">
        <v>382791</v>
      </c>
      <c r="IS12">
        <v>0</v>
      </c>
      <c r="IT12">
        <v>60358</v>
      </c>
      <c r="IU12">
        <v>199846</v>
      </c>
      <c r="IV12">
        <v>29033</v>
      </c>
      <c r="IW12">
        <v>334703</v>
      </c>
      <c r="IX12">
        <v>3770</v>
      </c>
      <c r="IY12">
        <v>139832</v>
      </c>
      <c r="IZ12">
        <v>587449</v>
      </c>
      <c r="JA12">
        <v>116137</v>
      </c>
      <c r="JB12">
        <v>630779</v>
      </c>
      <c r="JC12">
        <v>101584</v>
      </c>
      <c r="JD12">
        <v>625009</v>
      </c>
      <c r="JE12">
        <v>41717</v>
      </c>
      <c r="JF12">
        <v>438</v>
      </c>
      <c r="JG12">
        <v>203758</v>
      </c>
      <c r="JH12">
        <v>190982</v>
      </c>
      <c r="JI12">
        <v>212051</v>
      </c>
      <c r="JJ12">
        <v>38558</v>
      </c>
      <c r="JK12">
        <v>116652</v>
      </c>
      <c r="JL12">
        <v>251957</v>
      </c>
      <c r="JM12">
        <v>489450</v>
      </c>
      <c r="JN12">
        <v>553561</v>
      </c>
      <c r="JO12">
        <v>0</v>
      </c>
      <c r="JP12">
        <v>345678</v>
      </c>
      <c r="JQ12">
        <v>312697</v>
      </c>
      <c r="JR12">
        <v>6637724</v>
      </c>
      <c r="JS12">
        <v>258</v>
      </c>
      <c r="JT12">
        <v>694845</v>
      </c>
      <c r="JU12">
        <v>2261832</v>
      </c>
      <c r="JV12">
        <v>1823773</v>
      </c>
      <c r="JW12">
        <v>0</v>
      </c>
      <c r="JX12">
        <v>229931</v>
      </c>
      <c r="JY12">
        <v>1083987</v>
      </c>
      <c r="JZ12">
        <v>61997</v>
      </c>
      <c r="KA12">
        <v>1246604</v>
      </c>
      <c r="KB12">
        <v>19766</v>
      </c>
      <c r="KC12">
        <v>700223</v>
      </c>
      <c r="KD12">
        <v>3093698</v>
      </c>
      <c r="KE12">
        <v>424164</v>
      </c>
      <c r="KF12">
        <v>3027750</v>
      </c>
      <c r="KG12">
        <v>475700</v>
      </c>
      <c r="KH12">
        <v>2961665</v>
      </c>
      <c r="KI12">
        <v>228120</v>
      </c>
      <c r="KJ12">
        <v>2158</v>
      </c>
      <c r="KK12">
        <v>1257646</v>
      </c>
      <c r="KL12">
        <v>687086</v>
      </c>
      <c r="KM12">
        <v>763551</v>
      </c>
      <c r="KN12">
        <v>201422</v>
      </c>
      <c r="KO12">
        <v>645064</v>
      </c>
      <c r="KP12">
        <v>1109652</v>
      </c>
      <c r="KQ12">
        <v>3006998</v>
      </c>
      <c r="KR12">
        <v>2674851</v>
      </c>
      <c r="KS12">
        <v>0</v>
      </c>
      <c r="KT12">
        <v>1619178</v>
      </c>
      <c r="KU12">
        <v>1510161</v>
      </c>
      <c r="KV12">
        <v>31812078</v>
      </c>
      <c r="KW12" t="s">
        <v>359</v>
      </c>
      <c r="KX12">
        <v>56476547</v>
      </c>
      <c r="KY12">
        <v>11931839</v>
      </c>
      <c r="KZ12">
        <v>68408386</v>
      </c>
      <c r="LA12">
        <v>0</v>
      </c>
      <c r="LB12">
        <v>2518861</v>
      </c>
    </row>
    <row r="13" spans="1:314" x14ac:dyDescent="0.25">
      <c r="A13" t="s">
        <v>415</v>
      </c>
      <c r="B13" t="s">
        <v>416</v>
      </c>
      <c r="C13" t="s">
        <v>352</v>
      </c>
      <c r="D13" t="s">
        <v>417</v>
      </c>
      <c r="E13" s="2">
        <v>40931.419293981482</v>
      </c>
      <c r="G13" t="s">
        <v>418</v>
      </c>
      <c r="H13" t="s">
        <v>419</v>
      </c>
      <c r="I13" t="s">
        <v>381</v>
      </c>
      <c r="J13" t="s">
        <v>420</v>
      </c>
      <c r="K13" t="s">
        <v>421</v>
      </c>
      <c r="L13">
        <v>0</v>
      </c>
      <c r="M13">
        <v>0</v>
      </c>
      <c r="N13">
        <v>0</v>
      </c>
      <c r="O13">
        <v>6565387</v>
      </c>
      <c r="P13">
        <v>0</v>
      </c>
      <c r="Q13">
        <v>182889</v>
      </c>
      <c r="R13">
        <v>0</v>
      </c>
      <c r="S13">
        <v>182889</v>
      </c>
      <c r="T13">
        <v>807454</v>
      </c>
      <c r="U13">
        <v>291371</v>
      </c>
      <c r="V13">
        <v>63905</v>
      </c>
      <c r="W13">
        <v>0</v>
      </c>
      <c r="X13">
        <v>0</v>
      </c>
      <c r="Y13">
        <v>0</v>
      </c>
      <c r="Z13">
        <v>1162730</v>
      </c>
      <c r="AA13">
        <v>708324</v>
      </c>
      <c r="AB13">
        <v>248353</v>
      </c>
      <c r="AC13">
        <v>88534</v>
      </c>
      <c r="AD13">
        <v>0</v>
      </c>
      <c r="AE13">
        <v>78312</v>
      </c>
      <c r="AF13">
        <v>291994</v>
      </c>
      <c r="AG13">
        <v>1415517</v>
      </c>
      <c r="AH13">
        <v>1515778</v>
      </c>
      <c r="AI13">
        <v>539724</v>
      </c>
      <c r="AJ13">
        <v>152439</v>
      </c>
      <c r="AK13">
        <v>0</v>
      </c>
      <c r="AL13">
        <v>78312</v>
      </c>
      <c r="AM13">
        <v>291994</v>
      </c>
      <c r="AN13">
        <v>2578247</v>
      </c>
      <c r="AO13">
        <v>0</v>
      </c>
      <c r="AP13">
        <v>0</v>
      </c>
      <c r="AQ13">
        <v>0</v>
      </c>
      <c r="AR13">
        <v>0</v>
      </c>
      <c r="AS13">
        <v>0</v>
      </c>
      <c r="AT13">
        <v>0</v>
      </c>
      <c r="AU13">
        <v>0</v>
      </c>
      <c r="AV13">
        <v>0</v>
      </c>
      <c r="AW13">
        <v>0</v>
      </c>
      <c r="AX13">
        <v>0</v>
      </c>
      <c r="AY13">
        <v>0</v>
      </c>
      <c r="AZ13">
        <v>0</v>
      </c>
      <c r="BA13">
        <v>0</v>
      </c>
      <c r="BB13">
        <v>0</v>
      </c>
      <c r="BC13">
        <v>0</v>
      </c>
      <c r="BD13">
        <v>320735</v>
      </c>
      <c r="BE13">
        <v>0</v>
      </c>
      <c r="BF13">
        <v>0</v>
      </c>
      <c r="BG13">
        <v>0</v>
      </c>
      <c r="BH13">
        <v>0</v>
      </c>
      <c r="BI13">
        <v>320735</v>
      </c>
      <c r="BJ13">
        <v>0</v>
      </c>
      <c r="BK13">
        <v>0</v>
      </c>
      <c r="BL13">
        <v>34541</v>
      </c>
      <c r="BM13">
        <v>0</v>
      </c>
      <c r="BN13">
        <v>0</v>
      </c>
      <c r="BO13">
        <v>34541</v>
      </c>
      <c r="BP13">
        <v>471415</v>
      </c>
      <c r="BQ13">
        <v>0</v>
      </c>
      <c r="BR13">
        <v>0</v>
      </c>
      <c r="BS13">
        <v>0</v>
      </c>
      <c r="BT13">
        <v>0</v>
      </c>
      <c r="BU13">
        <v>471415</v>
      </c>
      <c r="BV13">
        <v>792150</v>
      </c>
      <c r="BW13">
        <v>0</v>
      </c>
      <c r="BX13">
        <v>34541</v>
      </c>
      <c r="BY13">
        <v>0</v>
      </c>
      <c r="BZ13">
        <v>0</v>
      </c>
      <c r="CA13">
        <v>826691</v>
      </c>
      <c r="CB13">
        <v>0</v>
      </c>
      <c r="CC13">
        <v>0</v>
      </c>
      <c r="CD13">
        <v>0</v>
      </c>
      <c r="CE13">
        <v>0</v>
      </c>
      <c r="CF13">
        <v>0</v>
      </c>
      <c r="CG13">
        <v>0</v>
      </c>
      <c r="CH13">
        <v>0</v>
      </c>
      <c r="CI13">
        <v>0</v>
      </c>
      <c r="CJ13">
        <v>0</v>
      </c>
      <c r="CK13">
        <v>0</v>
      </c>
      <c r="CL13">
        <v>0</v>
      </c>
      <c r="CM13">
        <v>0</v>
      </c>
      <c r="CN13">
        <v>0</v>
      </c>
      <c r="CO13">
        <v>0</v>
      </c>
      <c r="CP13">
        <v>0</v>
      </c>
      <c r="CQ13">
        <v>0</v>
      </c>
      <c r="CR13" t="s">
        <v>415</v>
      </c>
      <c r="CS13">
        <v>238679</v>
      </c>
      <c r="CT13">
        <v>0</v>
      </c>
      <c r="CU13">
        <v>13592</v>
      </c>
      <c r="CV13">
        <v>84648</v>
      </c>
      <c r="CW13">
        <v>47424</v>
      </c>
      <c r="CX13">
        <v>24213</v>
      </c>
      <c r="CY13">
        <v>0</v>
      </c>
      <c r="CZ13">
        <v>112</v>
      </c>
      <c r="DA13">
        <v>4253</v>
      </c>
      <c r="DB13">
        <v>2776</v>
      </c>
      <c r="DC13">
        <v>74928</v>
      </c>
      <c r="DD13">
        <v>0</v>
      </c>
      <c r="DE13">
        <v>55025</v>
      </c>
      <c r="DF13">
        <v>55856</v>
      </c>
      <c r="DG13">
        <v>12126</v>
      </c>
      <c r="DH13">
        <v>880</v>
      </c>
      <c r="DI13">
        <v>0</v>
      </c>
      <c r="DJ13">
        <v>15771</v>
      </c>
      <c r="DK13">
        <v>0</v>
      </c>
      <c r="DL13">
        <v>38872</v>
      </c>
      <c r="DM13">
        <v>39208</v>
      </c>
      <c r="DN13">
        <v>0</v>
      </c>
      <c r="DO13">
        <v>1682</v>
      </c>
      <c r="DP13">
        <v>0</v>
      </c>
      <c r="DQ13">
        <v>17902</v>
      </c>
      <c r="DR13">
        <v>8629</v>
      </c>
      <c r="DS13">
        <v>87600</v>
      </c>
      <c r="DT13">
        <v>13376</v>
      </c>
      <c r="DU13">
        <v>0</v>
      </c>
      <c r="DV13">
        <v>30640</v>
      </c>
      <c r="DW13">
        <v>47120</v>
      </c>
      <c r="DX13">
        <v>676633</v>
      </c>
      <c r="DY13">
        <v>180000</v>
      </c>
      <c r="DZ13">
        <v>59034</v>
      </c>
      <c r="EA13">
        <v>182600</v>
      </c>
      <c r="EB13">
        <v>79034</v>
      </c>
      <c r="EC13">
        <v>0</v>
      </c>
      <c r="ED13">
        <v>29033</v>
      </c>
      <c r="EE13">
        <v>104000</v>
      </c>
      <c r="EF13">
        <v>80030</v>
      </c>
      <c r="EG13">
        <v>80000</v>
      </c>
      <c r="EH13">
        <v>0</v>
      </c>
      <c r="EI13">
        <v>89693</v>
      </c>
      <c r="EJ13">
        <v>187444</v>
      </c>
      <c r="EK13">
        <v>29025</v>
      </c>
      <c r="EL13">
        <v>19040</v>
      </c>
      <c r="EM13">
        <v>0</v>
      </c>
      <c r="EN13">
        <v>29055</v>
      </c>
      <c r="EO13">
        <v>0</v>
      </c>
      <c r="EP13">
        <v>146734</v>
      </c>
      <c r="EQ13">
        <v>80883</v>
      </c>
      <c r="ER13">
        <v>0</v>
      </c>
      <c r="ES13">
        <v>15034</v>
      </c>
      <c r="ET13">
        <v>0</v>
      </c>
      <c r="EU13">
        <v>205032</v>
      </c>
      <c r="EV13">
        <v>19060</v>
      </c>
      <c r="EW13">
        <v>86728</v>
      </c>
      <c r="EX13">
        <v>44000</v>
      </c>
      <c r="EY13">
        <v>0</v>
      </c>
      <c r="EZ13">
        <v>47825</v>
      </c>
      <c r="FA13">
        <v>50000</v>
      </c>
      <c r="FB13">
        <v>1843284</v>
      </c>
      <c r="FC13">
        <v>0</v>
      </c>
      <c r="FD13">
        <v>0</v>
      </c>
      <c r="FE13">
        <v>25000</v>
      </c>
      <c r="FF13">
        <v>0</v>
      </c>
      <c r="FG13">
        <v>0</v>
      </c>
      <c r="FH13">
        <v>0</v>
      </c>
      <c r="FI13">
        <v>0</v>
      </c>
      <c r="FJ13">
        <v>24000</v>
      </c>
      <c r="FK13">
        <v>0</v>
      </c>
      <c r="FL13">
        <v>0</v>
      </c>
      <c r="FM13">
        <v>0</v>
      </c>
      <c r="FN13">
        <v>40000</v>
      </c>
      <c r="FO13">
        <v>0</v>
      </c>
      <c r="FP13">
        <v>0</v>
      </c>
      <c r="FQ13">
        <v>0</v>
      </c>
      <c r="FR13">
        <v>0</v>
      </c>
      <c r="FS13">
        <v>0</v>
      </c>
      <c r="FT13">
        <v>25000</v>
      </c>
      <c r="FU13">
        <v>0</v>
      </c>
      <c r="FV13">
        <v>0</v>
      </c>
      <c r="FW13">
        <v>0</v>
      </c>
      <c r="FX13">
        <v>0</v>
      </c>
      <c r="FY13">
        <v>0</v>
      </c>
      <c r="FZ13">
        <v>0</v>
      </c>
      <c r="GA13">
        <v>0</v>
      </c>
      <c r="GB13">
        <v>0</v>
      </c>
      <c r="GC13">
        <v>0</v>
      </c>
      <c r="GD13">
        <v>0</v>
      </c>
      <c r="GE13">
        <v>0</v>
      </c>
      <c r="GF13">
        <v>114000</v>
      </c>
      <c r="GG13">
        <v>21950</v>
      </c>
      <c r="GH13">
        <v>7199</v>
      </c>
      <c r="GI13">
        <v>25316</v>
      </c>
      <c r="GJ13">
        <v>9638</v>
      </c>
      <c r="GK13">
        <v>0</v>
      </c>
      <c r="GL13">
        <v>3540</v>
      </c>
      <c r="GM13">
        <v>12682</v>
      </c>
      <c r="GN13">
        <v>12686</v>
      </c>
      <c r="GO13">
        <v>9756</v>
      </c>
      <c r="GP13">
        <v>0</v>
      </c>
      <c r="GQ13">
        <v>10938</v>
      </c>
      <c r="GR13">
        <v>27735</v>
      </c>
      <c r="GS13">
        <v>3539</v>
      </c>
      <c r="GT13">
        <v>2322</v>
      </c>
      <c r="GU13">
        <v>0</v>
      </c>
      <c r="GV13">
        <v>3543</v>
      </c>
      <c r="GW13">
        <v>0</v>
      </c>
      <c r="GX13">
        <v>20942</v>
      </c>
      <c r="GY13">
        <v>9863</v>
      </c>
      <c r="GZ13">
        <v>0</v>
      </c>
      <c r="HA13">
        <v>1833</v>
      </c>
      <c r="HB13">
        <v>0</v>
      </c>
      <c r="HC13">
        <v>25002</v>
      </c>
      <c r="HD13">
        <v>2324</v>
      </c>
      <c r="HE13">
        <v>10576</v>
      </c>
      <c r="HF13">
        <v>5366</v>
      </c>
      <c r="HG13">
        <v>0</v>
      </c>
      <c r="HH13">
        <v>5832</v>
      </c>
      <c r="HI13">
        <v>6097</v>
      </c>
      <c r="HJ13">
        <v>238679</v>
      </c>
      <c r="HK13">
        <v>75000</v>
      </c>
      <c r="HL13">
        <v>139567</v>
      </c>
      <c r="HM13">
        <v>75151</v>
      </c>
      <c r="HN13">
        <v>50000</v>
      </c>
      <c r="HO13">
        <v>0</v>
      </c>
      <c r="HP13">
        <v>5000</v>
      </c>
      <c r="HQ13">
        <v>50000</v>
      </c>
      <c r="HR13">
        <v>10000</v>
      </c>
      <c r="HS13">
        <v>118095</v>
      </c>
      <c r="HT13">
        <v>0</v>
      </c>
      <c r="HU13">
        <v>85887</v>
      </c>
      <c r="HV13">
        <v>85000</v>
      </c>
      <c r="HW13">
        <v>21472</v>
      </c>
      <c r="HX13">
        <v>10000</v>
      </c>
      <c r="HY13">
        <v>0</v>
      </c>
      <c r="HZ13">
        <v>21472</v>
      </c>
      <c r="IA13">
        <v>0</v>
      </c>
      <c r="IB13">
        <v>100000</v>
      </c>
      <c r="IC13">
        <v>15000</v>
      </c>
      <c r="ID13">
        <v>0</v>
      </c>
      <c r="IE13">
        <v>10000</v>
      </c>
      <c r="IF13">
        <v>0</v>
      </c>
      <c r="IG13">
        <v>32208</v>
      </c>
      <c r="IH13">
        <v>10736</v>
      </c>
      <c r="II13">
        <v>84003</v>
      </c>
      <c r="IJ13">
        <v>10000</v>
      </c>
      <c r="IK13">
        <v>0</v>
      </c>
      <c r="IL13">
        <v>30000</v>
      </c>
      <c r="IM13">
        <v>35000</v>
      </c>
      <c r="IN13">
        <v>1073591</v>
      </c>
      <c r="IO13">
        <v>96950</v>
      </c>
      <c r="IP13">
        <v>146766</v>
      </c>
      <c r="IQ13">
        <v>125467</v>
      </c>
      <c r="IR13">
        <v>59638</v>
      </c>
      <c r="IS13">
        <v>0</v>
      </c>
      <c r="IT13">
        <v>8540</v>
      </c>
      <c r="IU13">
        <v>62682</v>
      </c>
      <c r="IV13">
        <v>46686</v>
      </c>
      <c r="IW13">
        <v>127851</v>
      </c>
      <c r="IX13">
        <v>0</v>
      </c>
      <c r="IY13">
        <v>96825</v>
      </c>
      <c r="IZ13">
        <v>152735</v>
      </c>
      <c r="JA13">
        <v>25011</v>
      </c>
      <c r="JB13">
        <v>12322</v>
      </c>
      <c r="JC13">
        <v>0</v>
      </c>
      <c r="JD13">
        <v>25015</v>
      </c>
      <c r="JE13">
        <v>0</v>
      </c>
      <c r="JF13">
        <v>145942</v>
      </c>
      <c r="JG13">
        <v>24863</v>
      </c>
      <c r="JH13">
        <v>0</v>
      </c>
      <c r="JI13">
        <v>11833</v>
      </c>
      <c r="JJ13">
        <v>0</v>
      </c>
      <c r="JK13">
        <v>57210</v>
      </c>
      <c r="JL13">
        <v>13060</v>
      </c>
      <c r="JM13">
        <v>94579</v>
      </c>
      <c r="JN13">
        <v>15366</v>
      </c>
      <c r="JO13">
        <v>0</v>
      </c>
      <c r="JP13">
        <v>35832</v>
      </c>
      <c r="JQ13">
        <v>41097</v>
      </c>
      <c r="JR13">
        <v>1426270</v>
      </c>
      <c r="JS13">
        <v>276950</v>
      </c>
      <c r="JT13">
        <v>205800</v>
      </c>
      <c r="JU13">
        <v>308067</v>
      </c>
      <c r="JV13">
        <v>138672</v>
      </c>
      <c r="JW13">
        <v>0</v>
      </c>
      <c r="JX13">
        <v>37573</v>
      </c>
      <c r="JY13">
        <v>166682</v>
      </c>
      <c r="JZ13">
        <v>126716</v>
      </c>
      <c r="KA13">
        <v>207851</v>
      </c>
      <c r="KB13">
        <v>0</v>
      </c>
      <c r="KC13">
        <v>186518</v>
      </c>
      <c r="KD13">
        <v>340179</v>
      </c>
      <c r="KE13">
        <v>54036</v>
      </c>
      <c r="KF13">
        <v>31362</v>
      </c>
      <c r="KG13">
        <v>0</v>
      </c>
      <c r="KH13">
        <v>54070</v>
      </c>
      <c r="KI13">
        <v>0</v>
      </c>
      <c r="KJ13">
        <v>292676</v>
      </c>
      <c r="KK13">
        <v>105746</v>
      </c>
      <c r="KL13">
        <v>0</v>
      </c>
      <c r="KM13">
        <v>26867</v>
      </c>
      <c r="KN13">
        <v>0</v>
      </c>
      <c r="KO13">
        <v>262242</v>
      </c>
      <c r="KP13">
        <v>32120</v>
      </c>
      <c r="KQ13">
        <v>181307</v>
      </c>
      <c r="KR13">
        <v>59366</v>
      </c>
      <c r="KS13">
        <v>0</v>
      </c>
      <c r="KT13">
        <v>83657</v>
      </c>
      <c r="KU13">
        <v>91097</v>
      </c>
      <c r="KV13">
        <v>3269554</v>
      </c>
      <c r="KW13" t="s">
        <v>359</v>
      </c>
      <c r="KX13">
        <v>6030690</v>
      </c>
      <c r="KY13">
        <v>826691</v>
      </c>
      <c r="KZ13">
        <v>6857381</v>
      </c>
      <c r="LA13">
        <v>0</v>
      </c>
      <c r="LB13">
        <v>291994</v>
      </c>
    </row>
    <row r="14" spans="1:314" x14ac:dyDescent="0.25">
      <c r="A14" t="s">
        <v>422</v>
      </c>
      <c r="B14" t="s">
        <v>423</v>
      </c>
      <c r="C14" t="s">
        <v>352</v>
      </c>
      <c r="D14" t="s">
        <v>424</v>
      </c>
      <c r="E14" s="2">
        <v>40933.36209490741</v>
      </c>
      <c r="G14" t="s">
        <v>425</v>
      </c>
      <c r="H14" t="s">
        <v>426</v>
      </c>
      <c r="I14" t="s">
        <v>427</v>
      </c>
      <c r="J14" t="s">
        <v>428</v>
      </c>
      <c r="K14" t="s">
        <v>429</v>
      </c>
      <c r="L14">
        <v>0</v>
      </c>
      <c r="M14">
        <v>0</v>
      </c>
      <c r="N14">
        <v>0</v>
      </c>
      <c r="O14">
        <v>21468048</v>
      </c>
      <c r="P14">
        <v>0</v>
      </c>
      <c r="Q14">
        <v>529950</v>
      </c>
      <c r="R14">
        <v>0</v>
      </c>
      <c r="S14">
        <v>529950</v>
      </c>
      <c r="T14">
        <v>1642418</v>
      </c>
      <c r="U14">
        <v>1316239</v>
      </c>
      <c r="V14">
        <v>817019</v>
      </c>
      <c r="W14">
        <v>0</v>
      </c>
      <c r="X14">
        <v>0</v>
      </c>
      <c r="Y14">
        <v>0</v>
      </c>
      <c r="Z14">
        <v>3775676</v>
      </c>
      <c r="AA14">
        <v>1628178</v>
      </c>
      <c r="AB14">
        <v>299539</v>
      </c>
      <c r="AC14">
        <v>435916</v>
      </c>
      <c r="AD14">
        <v>0</v>
      </c>
      <c r="AE14">
        <v>0</v>
      </c>
      <c r="AF14">
        <v>403530</v>
      </c>
      <c r="AG14">
        <v>2767163</v>
      </c>
      <c r="AH14">
        <v>3270596</v>
      </c>
      <c r="AI14">
        <v>1615778</v>
      </c>
      <c r="AJ14">
        <v>1252935</v>
      </c>
      <c r="AK14">
        <v>0</v>
      </c>
      <c r="AL14">
        <v>0</v>
      </c>
      <c r="AM14">
        <v>403530</v>
      </c>
      <c r="AN14">
        <v>6542839</v>
      </c>
      <c r="AO14">
        <v>26764</v>
      </c>
      <c r="AP14">
        <v>0</v>
      </c>
      <c r="AQ14">
        <v>267050</v>
      </c>
      <c r="AR14">
        <v>0</v>
      </c>
      <c r="AS14">
        <v>293814</v>
      </c>
      <c r="AT14">
        <v>70</v>
      </c>
      <c r="AU14">
        <v>0</v>
      </c>
      <c r="AV14">
        <v>141451</v>
      </c>
      <c r="AW14">
        <v>0</v>
      </c>
      <c r="AX14">
        <v>141521</v>
      </c>
      <c r="AY14">
        <v>26834</v>
      </c>
      <c r="AZ14">
        <v>0</v>
      </c>
      <c r="BA14">
        <v>408501</v>
      </c>
      <c r="BB14">
        <v>0</v>
      </c>
      <c r="BC14">
        <v>435335</v>
      </c>
      <c r="BD14">
        <v>563235</v>
      </c>
      <c r="BE14">
        <v>0</v>
      </c>
      <c r="BF14">
        <v>0</v>
      </c>
      <c r="BG14">
        <v>0</v>
      </c>
      <c r="BH14">
        <v>0</v>
      </c>
      <c r="BI14">
        <v>563235</v>
      </c>
      <c r="BJ14">
        <v>0</v>
      </c>
      <c r="BK14">
        <v>0</v>
      </c>
      <c r="BL14">
        <v>167758</v>
      </c>
      <c r="BM14">
        <v>0</v>
      </c>
      <c r="BN14">
        <v>0</v>
      </c>
      <c r="BO14">
        <v>167758</v>
      </c>
      <c r="BP14">
        <v>3373367</v>
      </c>
      <c r="BQ14">
        <v>289793</v>
      </c>
      <c r="BR14">
        <v>0</v>
      </c>
      <c r="BS14">
        <v>0</v>
      </c>
      <c r="BT14">
        <v>79910</v>
      </c>
      <c r="BU14">
        <v>3743070</v>
      </c>
      <c r="BV14">
        <v>3936602</v>
      </c>
      <c r="BW14">
        <v>289793</v>
      </c>
      <c r="BX14">
        <v>167758</v>
      </c>
      <c r="BY14">
        <v>0</v>
      </c>
      <c r="BZ14">
        <v>79910</v>
      </c>
      <c r="CA14">
        <v>4474063</v>
      </c>
      <c r="CB14">
        <v>0</v>
      </c>
      <c r="CC14">
        <v>0</v>
      </c>
      <c r="CD14">
        <v>0</v>
      </c>
      <c r="CE14">
        <v>0</v>
      </c>
      <c r="CF14">
        <v>0</v>
      </c>
      <c r="CG14">
        <v>0</v>
      </c>
      <c r="CH14">
        <v>0</v>
      </c>
      <c r="CI14">
        <v>0</v>
      </c>
      <c r="CJ14">
        <v>0</v>
      </c>
      <c r="CK14">
        <v>0</v>
      </c>
      <c r="CL14">
        <v>0</v>
      </c>
      <c r="CM14">
        <v>0</v>
      </c>
      <c r="CN14">
        <v>0</v>
      </c>
      <c r="CO14">
        <v>0</v>
      </c>
      <c r="CP14">
        <v>0</v>
      </c>
      <c r="CQ14">
        <v>0</v>
      </c>
      <c r="CR14" t="s">
        <v>422</v>
      </c>
      <c r="CS14">
        <v>1066500</v>
      </c>
      <c r="CT14">
        <v>0</v>
      </c>
      <c r="CU14">
        <v>13489</v>
      </c>
      <c r="CV14">
        <v>61744</v>
      </c>
      <c r="CW14">
        <v>309264</v>
      </c>
      <c r="CX14">
        <v>116949</v>
      </c>
      <c r="CY14">
        <v>0</v>
      </c>
      <c r="CZ14">
        <v>0</v>
      </c>
      <c r="DA14">
        <v>78072</v>
      </c>
      <c r="DB14">
        <v>484</v>
      </c>
      <c r="DC14">
        <v>183008</v>
      </c>
      <c r="DD14">
        <v>1152</v>
      </c>
      <c r="DE14">
        <v>61363</v>
      </c>
      <c r="DF14">
        <v>285408</v>
      </c>
      <c r="DG14">
        <v>17024</v>
      </c>
      <c r="DH14">
        <v>242597</v>
      </c>
      <c r="DI14">
        <v>0</v>
      </c>
      <c r="DJ14">
        <v>157770</v>
      </c>
      <c r="DK14">
        <v>0</v>
      </c>
      <c r="DL14">
        <v>97152</v>
      </c>
      <c r="DM14">
        <v>125552</v>
      </c>
      <c r="DN14">
        <v>26216</v>
      </c>
      <c r="DO14">
        <v>12236</v>
      </c>
      <c r="DP14">
        <v>17685</v>
      </c>
      <c r="DQ14">
        <v>20304</v>
      </c>
      <c r="DR14">
        <v>85222</v>
      </c>
      <c r="DS14">
        <v>437056</v>
      </c>
      <c r="DT14">
        <v>112640</v>
      </c>
      <c r="DU14">
        <v>0</v>
      </c>
      <c r="DV14">
        <v>132928</v>
      </c>
      <c r="DW14">
        <v>67728</v>
      </c>
      <c r="DX14">
        <v>2663043</v>
      </c>
      <c r="DY14">
        <v>8896</v>
      </c>
      <c r="DZ14">
        <v>115262</v>
      </c>
      <c r="EA14">
        <v>776244</v>
      </c>
      <c r="EB14">
        <v>286375</v>
      </c>
      <c r="EC14">
        <v>0</v>
      </c>
      <c r="ED14">
        <v>0</v>
      </c>
      <c r="EE14">
        <v>234507</v>
      </c>
      <c r="EF14">
        <v>0</v>
      </c>
      <c r="EG14">
        <v>651748</v>
      </c>
      <c r="EH14">
        <v>3009</v>
      </c>
      <c r="EI14">
        <v>242660</v>
      </c>
      <c r="EJ14">
        <v>618637</v>
      </c>
      <c r="EK14">
        <v>66283</v>
      </c>
      <c r="EL14">
        <v>1351620</v>
      </c>
      <c r="EM14">
        <v>0</v>
      </c>
      <c r="EN14">
        <v>373079</v>
      </c>
      <c r="EO14">
        <v>0</v>
      </c>
      <c r="EP14">
        <v>351331</v>
      </c>
      <c r="EQ14">
        <v>339796</v>
      </c>
      <c r="ER14">
        <v>73176</v>
      </c>
      <c r="ES14">
        <v>0</v>
      </c>
      <c r="ET14">
        <v>108761</v>
      </c>
      <c r="EU14">
        <v>0</v>
      </c>
      <c r="EV14">
        <v>225202</v>
      </c>
      <c r="EW14">
        <v>993741</v>
      </c>
      <c r="EX14">
        <v>317761</v>
      </c>
      <c r="EY14">
        <v>0</v>
      </c>
      <c r="EZ14">
        <v>212915</v>
      </c>
      <c r="FA14">
        <v>90290</v>
      </c>
      <c r="FB14">
        <v>7441293</v>
      </c>
      <c r="FC14">
        <v>450</v>
      </c>
      <c r="FD14">
        <v>41545</v>
      </c>
      <c r="FE14">
        <v>81374</v>
      </c>
      <c r="FF14">
        <v>5236</v>
      </c>
      <c r="FG14">
        <v>0</v>
      </c>
      <c r="FH14">
        <v>0</v>
      </c>
      <c r="FI14">
        <v>9408</v>
      </c>
      <c r="FJ14">
        <v>0</v>
      </c>
      <c r="FK14">
        <v>0</v>
      </c>
      <c r="FL14">
        <v>0</v>
      </c>
      <c r="FM14">
        <v>19968</v>
      </c>
      <c r="FN14">
        <v>0</v>
      </c>
      <c r="FO14">
        <v>0</v>
      </c>
      <c r="FP14">
        <v>18660</v>
      </c>
      <c r="FQ14">
        <v>0</v>
      </c>
      <c r="FR14">
        <v>71707</v>
      </c>
      <c r="FS14">
        <v>0</v>
      </c>
      <c r="FT14">
        <v>21600</v>
      </c>
      <c r="FU14">
        <v>0</v>
      </c>
      <c r="FV14">
        <v>0</v>
      </c>
      <c r="FW14">
        <v>0</v>
      </c>
      <c r="FX14">
        <v>0</v>
      </c>
      <c r="FY14">
        <v>0</v>
      </c>
      <c r="FZ14">
        <v>37054</v>
      </c>
      <c r="GA14">
        <v>0</v>
      </c>
      <c r="GB14">
        <v>4788</v>
      </c>
      <c r="GC14">
        <v>0</v>
      </c>
      <c r="GD14">
        <v>8090</v>
      </c>
      <c r="GE14">
        <v>96662</v>
      </c>
      <c r="GF14">
        <v>416542</v>
      </c>
      <c r="GG14">
        <v>1268</v>
      </c>
      <c r="GH14">
        <v>21283</v>
      </c>
      <c r="GI14">
        <v>116400</v>
      </c>
      <c r="GJ14">
        <v>39579</v>
      </c>
      <c r="GK14">
        <v>0</v>
      </c>
      <c r="GL14">
        <v>0</v>
      </c>
      <c r="GM14">
        <v>33105</v>
      </c>
      <c r="GN14">
        <v>0</v>
      </c>
      <c r="GO14">
        <v>88458</v>
      </c>
      <c r="GP14">
        <v>408</v>
      </c>
      <c r="GQ14">
        <v>35645</v>
      </c>
      <c r="GR14">
        <v>83964</v>
      </c>
      <c r="GS14">
        <v>8996</v>
      </c>
      <c r="GT14">
        <v>185980</v>
      </c>
      <c r="GU14">
        <v>0</v>
      </c>
      <c r="GV14">
        <v>60368</v>
      </c>
      <c r="GW14">
        <v>0</v>
      </c>
      <c r="GX14">
        <v>50616</v>
      </c>
      <c r="GY14">
        <v>46119</v>
      </c>
      <c r="GZ14">
        <v>9932</v>
      </c>
      <c r="HA14">
        <v>0</v>
      </c>
      <c r="HB14">
        <v>14762</v>
      </c>
      <c r="HC14">
        <v>0</v>
      </c>
      <c r="HD14">
        <v>35595</v>
      </c>
      <c r="HE14">
        <v>134875</v>
      </c>
      <c r="HF14">
        <v>43778</v>
      </c>
      <c r="HG14">
        <v>0</v>
      </c>
      <c r="HH14">
        <v>29996</v>
      </c>
      <c r="HI14">
        <v>25374</v>
      </c>
      <c r="HJ14">
        <v>1066500</v>
      </c>
      <c r="HK14">
        <v>21692</v>
      </c>
      <c r="HL14">
        <v>39484</v>
      </c>
      <c r="HM14">
        <v>113064</v>
      </c>
      <c r="HN14">
        <v>167619</v>
      </c>
      <c r="HO14">
        <v>0</v>
      </c>
      <c r="HP14">
        <v>0</v>
      </c>
      <c r="HQ14">
        <v>104826</v>
      </c>
      <c r="HR14">
        <v>0</v>
      </c>
      <c r="HS14">
        <v>66710</v>
      </c>
      <c r="HT14">
        <v>2433</v>
      </c>
      <c r="HU14">
        <v>129102</v>
      </c>
      <c r="HV14">
        <v>48928</v>
      </c>
      <c r="HW14">
        <v>2213</v>
      </c>
      <c r="HX14">
        <v>70333</v>
      </c>
      <c r="HY14">
        <v>0</v>
      </c>
      <c r="HZ14">
        <v>98572</v>
      </c>
      <c r="IA14">
        <v>0</v>
      </c>
      <c r="IB14">
        <v>3671</v>
      </c>
      <c r="IC14">
        <v>3701</v>
      </c>
      <c r="ID14">
        <v>20746</v>
      </c>
      <c r="IE14">
        <v>0</v>
      </c>
      <c r="IF14">
        <v>9604</v>
      </c>
      <c r="IG14">
        <v>100</v>
      </c>
      <c r="IH14">
        <v>40116</v>
      </c>
      <c r="II14">
        <v>23199</v>
      </c>
      <c r="IJ14">
        <v>35993</v>
      </c>
      <c r="IK14">
        <v>0</v>
      </c>
      <c r="IL14">
        <v>25272</v>
      </c>
      <c r="IM14">
        <v>17588</v>
      </c>
      <c r="IN14">
        <v>1044966</v>
      </c>
      <c r="IO14">
        <v>23410</v>
      </c>
      <c r="IP14">
        <v>102312</v>
      </c>
      <c r="IQ14">
        <v>310838</v>
      </c>
      <c r="IR14">
        <v>212434</v>
      </c>
      <c r="IS14">
        <v>0</v>
      </c>
      <c r="IT14">
        <v>0</v>
      </c>
      <c r="IU14">
        <v>147339</v>
      </c>
      <c r="IV14">
        <v>0</v>
      </c>
      <c r="IW14">
        <v>155168</v>
      </c>
      <c r="IX14">
        <v>2841</v>
      </c>
      <c r="IY14">
        <v>184715</v>
      </c>
      <c r="IZ14">
        <v>132892</v>
      </c>
      <c r="JA14">
        <v>11209</v>
      </c>
      <c r="JB14">
        <v>274973</v>
      </c>
      <c r="JC14">
        <v>0</v>
      </c>
      <c r="JD14">
        <v>230647</v>
      </c>
      <c r="JE14">
        <v>0</v>
      </c>
      <c r="JF14">
        <v>75887</v>
      </c>
      <c r="JG14">
        <v>49820</v>
      </c>
      <c r="JH14">
        <v>30678</v>
      </c>
      <c r="JI14">
        <v>0</v>
      </c>
      <c r="JJ14">
        <v>24366</v>
      </c>
      <c r="JK14">
        <v>100</v>
      </c>
      <c r="JL14">
        <v>112765</v>
      </c>
      <c r="JM14">
        <v>158074</v>
      </c>
      <c r="JN14">
        <v>84559</v>
      </c>
      <c r="JO14">
        <v>0</v>
      </c>
      <c r="JP14">
        <v>63358</v>
      </c>
      <c r="JQ14">
        <v>139624</v>
      </c>
      <c r="JR14">
        <v>2528008</v>
      </c>
      <c r="JS14">
        <v>32306</v>
      </c>
      <c r="JT14">
        <v>217574</v>
      </c>
      <c r="JU14">
        <v>1087082</v>
      </c>
      <c r="JV14">
        <v>498809</v>
      </c>
      <c r="JW14">
        <v>0</v>
      </c>
      <c r="JX14">
        <v>0</v>
      </c>
      <c r="JY14">
        <v>381846</v>
      </c>
      <c r="JZ14">
        <v>0</v>
      </c>
      <c r="KA14">
        <v>806916</v>
      </c>
      <c r="KB14">
        <v>5850</v>
      </c>
      <c r="KC14">
        <v>427375</v>
      </c>
      <c r="KD14">
        <v>751529</v>
      </c>
      <c r="KE14">
        <v>77492</v>
      </c>
      <c r="KF14">
        <v>1626593</v>
      </c>
      <c r="KG14">
        <v>0</v>
      </c>
      <c r="KH14">
        <v>603726</v>
      </c>
      <c r="KI14">
        <v>0</v>
      </c>
      <c r="KJ14">
        <v>427218</v>
      </c>
      <c r="KK14">
        <v>389616</v>
      </c>
      <c r="KL14">
        <v>103854</v>
      </c>
      <c r="KM14">
        <v>0</v>
      </c>
      <c r="KN14">
        <v>133127</v>
      </c>
      <c r="KO14">
        <v>100</v>
      </c>
      <c r="KP14">
        <v>337967</v>
      </c>
      <c r="KQ14">
        <v>1151815</v>
      </c>
      <c r="KR14">
        <v>402320</v>
      </c>
      <c r="KS14">
        <v>0</v>
      </c>
      <c r="KT14">
        <v>276273</v>
      </c>
      <c r="KU14">
        <v>229914</v>
      </c>
      <c r="KV14">
        <v>9969301</v>
      </c>
      <c r="KW14" t="s">
        <v>430</v>
      </c>
      <c r="KX14">
        <v>17042090</v>
      </c>
      <c r="KY14">
        <v>4909398</v>
      </c>
      <c r="KZ14">
        <v>21951488</v>
      </c>
      <c r="LA14">
        <v>0</v>
      </c>
      <c r="LB14">
        <v>483440</v>
      </c>
    </row>
    <row r="15" spans="1:314" x14ac:dyDescent="0.25">
      <c r="A15" t="s">
        <v>431</v>
      </c>
      <c r="B15" t="s">
        <v>432</v>
      </c>
      <c r="C15" t="s">
        <v>352</v>
      </c>
      <c r="D15" t="s">
        <v>433</v>
      </c>
      <c r="E15" s="2">
        <v>40934.664317129631</v>
      </c>
      <c r="G15" t="s">
        <v>434</v>
      </c>
      <c r="H15" t="s">
        <v>435</v>
      </c>
      <c r="I15" t="s">
        <v>436</v>
      </c>
      <c r="J15" t="s">
        <v>437</v>
      </c>
      <c r="K15" t="s">
        <v>438</v>
      </c>
      <c r="L15">
        <v>0</v>
      </c>
      <c r="M15">
        <v>0</v>
      </c>
      <c r="N15">
        <v>0</v>
      </c>
      <c r="O15">
        <v>25899247</v>
      </c>
      <c r="P15">
        <v>0</v>
      </c>
      <c r="Q15">
        <v>1132565</v>
      </c>
      <c r="R15">
        <v>0</v>
      </c>
      <c r="S15">
        <v>1132565</v>
      </c>
      <c r="T15">
        <v>2160834</v>
      </c>
      <c r="U15">
        <v>1823363</v>
      </c>
      <c r="V15">
        <v>2114067</v>
      </c>
      <c r="W15">
        <v>0</v>
      </c>
      <c r="X15">
        <v>0</v>
      </c>
      <c r="Y15">
        <v>0</v>
      </c>
      <c r="Z15">
        <v>6098264</v>
      </c>
      <c r="AA15">
        <v>685230</v>
      </c>
      <c r="AB15">
        <v>433343</v>
      </c>
      <c r="AC15">
        <v>1130012</v>
      </c>
      <c r="AD15">
        <v>0</v>
      </c>
      <c r="AE15">
        <v>2150</v>
      </c>
      <c r="AF15">
        <v>482738</v>
      </c>
      <c r="AG15">
        <v>2733473</v>
      </c>
      <c r="AH15">
        <v>2846064</v>
      </c>
      <c r="AI15">
        <v>2256706</v>
      </c>
      <c r="AJ15">
        <v>3244079</v>
      </c>
      <c r="AK15">
        <v>0</v>
      </c>
      <c r="AL15">
        <v>2150</v>
      </c>
      <c r="AM15">
        <v>482738</v>
      </c>
      <c r="AN15">
        <v>8831737</v>
      </c>
      <c r="AO15">
        <v>256093</v>
      </c>
      <c r="AP15">
        <v>0</v>
      </c>
      <c r="AQ15">
        <v>0</v>
      </c>
      <c r="AR15">
        <v>0</v>
      </c>
      <c r="AS15">
        <v>256093</v>
      </c>
      <c r="AT15">
        <v>45099</v>
      </c>
      <c r="AU15">
        <v>0</v>
      </c>
      <c r="AV15">
        <v>0</v>
      </c>
      <c r="AW15">
        <v>0</v>
      </c>
      <c r="AX15">
        <v>45099</v>
      </c>
      <c r="AY15">
        <v>301192</v>
      </c>
      <c r="AZ15">
        <v>0</v>
      </c>
      <c r="BA15">
        <v>0</v>
      </c>
      <c r="BB15">
        <v>0</v>
      </c>
      <c r="BC15">
        <v>301192</v>
      </c>
      <c r="BD15">
        <v>1003515</v>
      </c>
      <c r="BE15">
        <v>0</v>
      </c>
      <c r="BF15">
        <v>0</v>
      </c>
      <c r="BG15">
        <v>0</v>
      </c>
      <c r="BH15">
        <v>0</v>
      </c>
      <c r="BI15">
        <v>1003515</v>
      </c>
      <c r="BJ15">
        <v>0</v>
      </c>
      <c r="BK15">
        <v>0</v>
      </c>
      <c r="BL15">
        <v>457963</v>
      </c>
      <c r="BM15">
        <v>0</v>
      </c>
      <c r="BN15">
        <v>0</v>
      </c>
      <c r="BO15">
        <v>457963</v>
      </c>
      <c r="BP15">
        <v>1505584</v>
      </c>
      <c r="BQ15">
        <v>35989</v>
      </c>
      <c r="BR15">
        <v>0</v>
      </c>
      <c r="BS15">
        <v>0</v>
      </c>
      <c r="BT15">
        <v>9304</v>
      </c>
      <c r="BU15">
        <v>1550877</v>
      </c>
      <c r="BV15">
        <v>2509099</v>
      </c>
      <c r="BW15">
        <v>35989</v>
      </c>
      <c r="BX15">
        <v>457963</v>
      </c>
      <c r="BY15">
        <v>0</v>
      </c>
      <c r="BZ15">
        <v>9304</v>
      </c>
      <c r="CA15">
        <v>3012355</v>
      </c>
      <c r="CB15">
        <v>0</v>
      </c>
      <c r="CC15">
        <v>0</v>
      </c>
      <c r="CD15">
        <v>0</v>
      </c>
      <c r="CE15">
        <v>0</v>
      </c>
      <c r="CF15">
        <v>0</v>
      </c>
      <c r="CG15">
        <v>0</v>
      </c>
      <c r="CH15">
        <v>0</v>
      </c>
      <c r="CI15">
        <v>0</v>
      </c>
      <c r="CJ15">
        <v>0</v>
      </c>
      <c r="CK15">
        <v>0</v>
      </c>
      <c r="CL15">
        <v>0</v>
      </c>
      <c r="CM15">
        <v>0</v>
      </c>
      <c r="CN15">
        <v>0</v>
      </c>
      <c r="CO15">
        <v>0</v>
      </c>
      <c r="CP15">
        <v>0</v>
      </c>
      <c r="CQ15">
        <v>0</v>
      </c>
      <c r="CR15" t="s">
        <v>431</v>
      </c>
      <c r="CS15">
        <v>1605361</v>
      </c>
      <c r="CT15">
        <v>0</v>
      </c>
      <c r="CU15">
        <v>90144</v>
      </c>
      <c r="CV15">
        <v>124336</v>
      </c>
      <c r="CW15">
        <v>408708</v>
      </c>
      <c r="CX15">
        <v>442435</v>
      </c>
      <c r="CY15">
        <v>0</v>
      </c>
      <c r="CZ15">
        <v>8243</v>
      </c>
      <c r="DA15">
        <v>108556</v>
      </c>
      <c r="DB15">
        <v>98186</v>
      </c>
      <c r="DC15">
        <v>200328</v>
      </c>
      <c r="DD15">
        <v>0</v>
      </c>
      <c r="DE15">
        <v>166372</v>
      </c>
      <c r="DF15">
        <v>357256</v>
      </c>
      <c r="DG15">
        <v>51584</v>
      </c>
      <c r="DH15">
        <v>217400</v>
      </c>
      <c r="DI15">
        <v>0</v>
      </c>
      <c r="DJ15">
        <v>167003</v>
      </c>
      <c r="DK15">
        <v>0</v>
      </c>
      <c r="DL15">
        <v>88076</v>
      </c>
      <c r="DM15">
        <v>149472</v>
      </c>
      <c r="DN15">
        <v>111776</v>
      </c>
      <c r="DO15">
        <v>0</v>
      </c>
      <c r="DP15">
        <v>2456</v>
      </c>
      <c r="DQ15">
        <v>61560</v>
      </c>
      <c r="DR15">
        <v>62969</v>
      </c>
      <c r="DS15">
        <v>582432</v>
      </c>
      <c r="DT15">
        <v>183968</v>
      </c>
      <c r="DU15">
        <v>0</v>
      </c>
      <c r="DV15">
        <v>179152</v>
      </c>
      <c r="DW15">
        <v>81744</v>
      </c>
      <c r="DX15">
        <v>3944156</v>
      </c>
      <c r="DY15">
        <v>229748</v>
      </c>
      <c r="DZ15">
        <v>210040</v>
      </c>
      <c r="EA15">
        <v>1063874</v>
      </c>
      <c r="EB15">
        <v>1211349</v>
      </c>
      <c r="EC15">
        <v>0</v>
      </c>
      <c r="ED15">
        <v>57522</v>
      </c>
      <c r="EE15">
        <v>216415</v>
      </c>
      <c r="EF15">
        <v>253819</v>
      </c>
      <c r="EG15">
        <v>445206</v>
      </c>
      <c r="EH15">
        <v>0</v>
      </c>
      <c r="EI15">
        <v>328765</v>
      </c>
      <c r="EJ15">
        <v>905247</v>
      </c>
      <c r="EK15">
        <v>103015</v>
      </c>
      <c r="EL15">
        <v>901813</v>
      </c>
      <c r="EM15">
        <v>0</v>
      </c>
      <c r="EN15">
        <v>333657</v>
      </c>
      <c r="EO15">
        <v>0</v>
      </c>
      <c r="EP15">
        <v>251359</v>
      </c>
      <c r="EQ15">
        <v>427269</v>
      </c>
      <c r="ER15">
        <v>207184</v>
      </c>
      <c r="ES15">
        <v>0</v>
      </c>
      <c r="ET15">
        <v>9600</v>
      </c>
      <c r="EU15">
        <v>275297</v>
      </c>
      <c r="EV15">
        <v>180387</v>
      </c>
      <c r="EW15">
        <v>1416489</v>
      </c>
      <c r="EX15">
        <v>708034</v>
      </c>
      <c r="EY15">
        <v>0</v>
      </c>
      <c r="EZ15">
        <v>446863</v>
      </c>
      <c r="FA15">
        <v>291951</v>
      </c>
      <c r="FB15">
        <v>10474903</v>
      </c>
      <c r="FC15">
        <v>264</v>
      </c>
      <c r="FD15">
        <v>6436</v>
      </c>
      <c r="FE15">
        <v>6967</v>
      </c>
      <c r="FF15">
        <v>23209</v>
      </c>
      <c r="FG15">
        <v>0</v>
      </c>
      <c r="FH15">
        <v>0</v>
      </c>
      <c r="FI15">
        <v>0</v>
      </c>
      <c r="FJ15">
        <v>0</v>
      </c>
      <c r="FK15">
        <v>23187</v>
      </c>
      <c r="FL15">
        <v>0</v>
      </c>
      <c r="FM15">
        <v>0</v>
      </c>
      <c r="FN15">
        <v>1472</v>
      </c>
      <c r="FO15">
        <v>0</v>
      </c>
      <c r="FP15">
        <v>0</v>
      </c>
      <c r="FQ15">
        <v>0</v>
      </c>
      <c r="FR15">
        <v>8490</v>
      </c>
      <c r="FS15">
        <v>0</v>
      </c>
      <c r="FT15">
        <v>12729</v>
      </c>
      <c r="FU15">
        <v>5784</v>
      </c>
      <c r="FV15">
        <v>10410</v>
      </c>
      <c r="FW15">
        <v>0</v>
      </c>
      <c r="FX15">
        <v>0</v>
      </c>
      <c r="FY15">
        <v>0</v>
      </c>
      <c r="FZ15">
        <v>595</v>
      </c>
      <c r="GA15">
        <v>1179</v>
      </c>
      <c r="GB15">
        <v>18054</v>
      </c>
      <c r="GC15">
        <v>0</v>
      </c>
      <c r="GD15">
        <v>1410</v>
      </c>
      <c r="GE15">
        <v>0</v>
      </c>
      <c r="GF15">
        <v>120186</v>
      </c>
      <c r="GG15">
        <v>34851</v>
      </c>
      <c r="GH15">
        <v>32800</v>
      </c>
      <c r="GI15">
        <v>162253</v>
      </c>
      <c r="GJ15">
        <v>187059</v>
      </c>
      <c r="GK15">
        <v>0</v>
      </c>
      <c r="GL15">
        <v>8716</v>
      </c>
      <c r="GM15">
        <v>32791</v>
      </c>
      <c r="GN15">
        <v>38458</v>
      </c>
      <c r="GO15">
        <v>70971</v>
      </c>
      <c r="GP15">
        <v>0</v>
      </c>
      <c r="GQ15">
        <v>49814</v>
      </c>
      <c r="GR15">
        <v>137385</v>
      </c>
      <c r="GS15">
        <v>15609</v>
      </c>
      <c r="GT15">
        <v>136642</v>
      </c>
      <c r="GU15">
        <v>0</v>
      </c>
      <c r="GV15">
        <v>51842</v>
      </c>
      <c r="GW15">
        <v>0</v>
      </c>
      <c r="GX15">
        <v>40014</v>
      </c>
      <c r="GY15">
        <v>65616</v>
      </c>
      <c r="GZ15">
        <v>32970</v>
      </c>
      <c r="HA15">
        <v>0</v>
      </c>
      <c r="HB15">
        <v>1455</v>
      </c>
      <c r="HC15">
        <v>41713</v>
      </c>
      <c r="HD15">
        <v>27422</v>
      </c>
      <c r="HE15">
        <v>214804</v>
      </c>
      <c r="HF15">
        <v>110016</v>
      </c>
      <c r="HG15">
        <v>0</v>
      </c>
      <c r="HH15">
        <v>67922</v>
      </c>
      <c r="HI15">
        <v>44236</v>
      </c>
      <c r="HJ15">
        <v>1605361</v>
      </c>
      <c r="HK15">
        <v>30796</v>
      </c>
      <c r="HL15">
        <v>43914</v>
      </c>
      <c r="HM15">
        <v>75490</v>
      </c>
      <c r="HN15">
        <v>129597</v>
      </c>
      <c r="HO15">
        <v>0</v>
      </c>
      <c r="HP15">
        <v>13492</v>
      </c>
      <c r="HQ15">
        <v>2349</v>
      </c>
      <c r="HR15">
        <v>7288</v>
      </c>
      <c r="HS15">
        <v>60120</v>
      </c>
      <c r="HT15">
        <v>0</v>
      </c>
      <c r="HU15">
        <v>40042</v>
      </c>
      <c r="HV15">
        <v>21360</v>
      </c>
      <c r="HW15">
        <v>2216</v>
      </c>
      <c r="HX15">
        <v>101184</v>
      </c>
      <c r="HY15">
        <v>0</v>
      </c>
      <c r="HZ15">
        <v>65754</v>
      </c>
      <c r="IA15">
        <v>0</v>
      </c>
      <c r="IB15">
        <v>55657</v>
      </c>
      <c r="IC15">
        <v>51744</v>
      </c>
      <c r="ID15">
        <v>22955</v>
      </c>
      <c r="IE15">
        <v>0</v>
      </c>
      <c r="IF15">
        <v>0</v>
      </c>
      <c r="IG15">
        <v>10215</v>
      </c>
      <c r="IH15">
        <v>5600</v>
      </c>
      <c r="II15">
        <v>42918</v>
      </c>
      <c r="IJ15">
        <v>98233</v>
      </c>
      <c r="IK15">
        <v>0</v>
      </c>
      <c r="IL15">
        <v>16503</v>
      </c>
      <c r="IM15">
        <v>15563</v>
      </c>
      <c r="IN15">
        <v>912990</v>
      </c>
      <c r="IO15">
        <v>65911</v>
      </c>
      <c r="IP15">
        <v>83150</v>
      </c>
      <c r="IQ15">
        <v>244710</v>
      </c>
      <c r="IR15">
        <v>339865</v>
      </c>
      <c r="IS15">
        <v>0</v>
      </c>
      <c r="IT15">
        <v>22208</v>
      </c>
      <c r="IU15">
        <v>35140</v>
      </c>
      <c r="IV15">
        <v>45746</v>
      </c>
      <c r="IW15">
        <v>154278</v>
      </c>
      <c r="IX15">
        <v>0</v>
      </c>
      <c r="IY15">
        <v>89856</v>
      </c>
      <c r="IZ15">
        <v>160217</v>
      </c>
      <c r="JA15">
        <v>17825</v>
      </c>
      <c r="JB15">
        <v>237826</v>
      </c>
      <c r="JC15">
        <v>0</v>
      </c>
      <c r="JD15">
        <v>126086</v>
      </c>
      <c r="JE15">
        <v>0</v>
      </c>
      <c r="JF15">
        <v>108400</v>
      </c>
      <c r="JG15">
        <v>123144</v>
      </c>
      <c r="JH15">
        <v>66335</v>
      </c>
      <c r="JI15">
        <v>0</v>
      </c>
      <c r="JJ15">
        <v>1455</v>
      </c>
      <c r="JK15">
        <v>51928</v>
      </c>
      <c r="JL15">
        <v>33617</v>
      </c>
      <c r="JM15">
        <v>258901</v>
      </c>
      <c r="JN15">
        <v>226303</v>
      </c>
      <c r="JO15">
        <v>0</v>
      </c>
      <c r="JP15">
        <v>85835</v>
      </c>
      <c r="JQ15">
        <v>59799</v>
      </c>
      <c r="JR15">
        <v>2638537</v>
      </c>
      <c r="JS15">
        <v>295659</v>
      </c>
      <c r="JT15">
        <v>293190</v>
      </c>
      <c r="JU15">
        <v>1308584</v>
      </c>
      <c r="JV15">
        <v>1551214</v>
      </c>
      <c r="JW15">
        <v>0</v>
      </c>
      <c r="JX15">
        <v>79730</v>
      </c>
      <c r="JY15">
        <v>251555</v>
      </c>
      <c r="JZ15">
        <v>299565</v>
      </c>
      <c r="KA15">
        <v>599484</v>
      </c>
      <c r="KB15">
        <v>0</v>
      </c>
      <c r="KC15">
        <v>418621</v>
      </c>
      <c r="KD15">
        <v>1065464</v>
      </c>
      <c r="KE15">
        <v>120840</v>
      </c>
      <c r="KF15">
        <v>1139639</v>
      </c>
      <c r="KG15">
        <v>0</v>
      </c>
      <c r="KH15">
        <v>459743</v>
      </c>
      <c r="KI15">
        <v>0</v>
      </c>
      <c r="KJ15">
        <v>359759</v>
      </c>
      <c r="KK15">
        <v>550413</v>
      </c>
      <c r="KL15">
        <v>273519</v>
      </c>
      <c r="KM15">
        <v>0</v>
      </c>
      <c r="KN15">
        <v>11055</v>
      </c>
      <c r="KO15">
        <v>327225</v>
      </c>
      <c r="KP15">
        <v>214004</v>
      </c>
      <c r="KQ15">
        <v>1675390</v>
      </c>
      <c r="KR15">
        <v>934337</v>
      </c>
      <c r="KS15">
        <v>0</v>
      </c>
      <c r="KT15">
        <v>532698</v>
      </c>
      <c r="KU15">
        <v>351750</v>
      </c>
      <c r="KV15">
        <v>13113440</v>
      </c>
      <c r="KW15" t="s">
        <v>359</v>
      </c>
      <c r="KX15">
        <v>23077742</v>
      </c>
      <c r="KY15">
        <v>3313547</v>
      </c>
      <c r="KZ15">
        <v>26391289</v>
      </c>
      <c r="LA15">
        <v>0</v>
      </c>
      <c r="LB15">
        <v>492042</v>
      </c>
    </row>
    <row r="16" spans="1:314" x14ac:dyDescent="0.25">
      <c r="A16" t="s">
        <v>439</v>
      </c>
      <c r="B16" t="s">
        <v>440</v>
      </c>
      <c r="C16" t="s">
        <v>352</v>
      </c>
      <c r="D16" t="s">
        <v>441</v>
      </c>
      <c r="E16" s="2">
        <v>40934.660902777781</v>
      </c>
      <c r="G16" t="s">
        <v>442</v>
      </c>
      <c r="H16" t="s">
        <v>443</v>
      </c>
      <c r="I16" t="s">
        <v>444</v>
      </c>
      <c r="J16" t="s">
        <v>445</v>
      </c>
      <c r="K16" t="s">
        <v>446</v>
      </c>
      <c r="L16">
        <v>0</v>
      </c>
      <c r="M16">
        <v>0</v>
      </c>
      <c r="N16">
        <v>0</v>
      </c>
      <c r="O16">
        <v>15357993</v>
      </c>
      <c r="P16">
        <v>0</v>
      </c>
      <c r="Q16">
        <v>576349</v>
      </c>
      <c r="R16">
        <v>0</v>
      </c>
      <c r="S16">
        <v>576349</v>
      </c>
      <c r="T16">
        <v>1397270</v>
      </c>
      <c r="U16">
        <v>1134344</v>
      </c>
      <c r="V16">
        <v>814634</v>
      </c>
      <c r="W16">
        <v>0</v>
      </c>
      <c r="X16">
        <v>0</v>
      </c>
      <c r="Y16">
        <v>0</v>
      </c>
      <c r="Z16">
        <v>3346248</v>
      </c>
      <c r="AA16">
        <v>1277500</v>
      </c>
      <c r="AB16">
        <v>222664</v>
      </c>
      <c r="AC16">
        <v>231181</v>
      </c>
      <c r="AD16">
        <v>0</v>
      </c>
      <c r="AE16">
        <v>0</v>
      </c>
      <c r="AF16">
        <v>295994</v>
      </c>
      <c r="AG16">
        <v>2027339</v>
      </c>
      <c r="AH16">
        <v>2674770</v>
      </c>
      <c r="AI16">
        <v>1357008</v>
      </c>
      <c r="AJ16">
        <v>1045815</v>
      </c>
      <c r="AK16">
        <v>0</v>
      </c>
      <c r="AL16">
        <v>0</v>
      </c>
      <c r="AM16">
        <v>295994</v>
      </c>
      <c r="AN16">
        <v>5373587</v>
      </c>
      <c r="AO16">
        <v>0</v>
      </c>
      <c r="AP16">
        <v>217812</v>
      </c>
      <c r="AQ16">
        <v>0</v>
      </c>
      <c r="AR16">
        <v>0</v>
      </c>
      <c r="AS16">
        <v>217812</v>
      </c>
      <c r="AT16">
        <v>0</v>
      </c>
      <c r="AU16">
        <v>88712</v>
      </c>
      <c r="AV16">
        <v>0</v>
      </c>
      <c r="AW16">
        <v>0</v>
      </c>
      <c r="AX16">
        <v>88712</v>
      </c>
      <c r="AY16">
        <v>0</v>
      </c>
      <c r="AZ16">
        <v>306524</v>
      </c>
      <c r="BA16">
        <v>0</v>
      </c>
      <c r="BB16">
        <v>0</v>
      </c>
      <c r="BC16">
        <v>306524</v>
      </c>
      <c r="BD16">
        <v>305163</v>
      </c>
      <c r="BE16">
        <v>0</v>
      </c>
      <c r="BF16">
        <v>0</v>
      </c>
      <c r="BG16">
        <v>0</v>
      </c>
      <c r="BH16">
        <v>0</v>
      </c>
      <c r="BI16">
        <v>305163</v>
      </c>
      <c r="BJ16">
        <v>0</v>
      </c>
      <c r="BK16">
        <v>0</v>
      </c>
      <c r="BL16">
        <v>35270</v>
      </c>
      <c r="BM16">
        <v>0</v>
      </c>
      <c r="BN16">
        <v>0</v>
      </c>
      <c r="BO16">
        <v>35270</v>
      </c>
      <c r="BP16">
        <v>2126639</v>
      </c>
      <c r="BQ16">
        <v>0</v>
      </c>
      <c r="BR16">
        <v>0</v>
      </c>
      <c r="BS16">
        <v>0</v>
      </c>
      <c r="BT16">
        <v>8818</v>
      </c>
      <c r="BU16">
        <v>2135457</v>
      </c>
      <c r="BV16">
        <v>2431802</v>
      </c>
      <c r="BW16">
        <v>0</v>
      </c>
      <c r="BX16">
        <v>35270</v>
      </c>
      <c r="BY16">
        <v>0</v>
      </c>
      <c r="BZ16">
        <v>8818</v>
      </c>
      <c r="CA16">
        <v>2475890</v>
      </c>
      <c r="CB16">
        <v>0</v>
      </c>
      <c r="CC16">
        <v>0</v>
      </c>
      <c r="CD16">
        <v>0</v>
      </c>
      <c r="CE16">
        <v>0</v>
      </c>
      <c r="CF16">
        <v>0</v>
      </c>
      <c r="CG16">
        <v>0</v>
      </c>
      <c r="CH16">
        <v>0</v>
      </c>
      <c r="CI16">
        <v>0</v>
      </c>
      <c r="CJ16">
        <v>0</v>
      </c>
      <c r="CK16">
        <v>0</v>
      </c>
      <c r="CL16">
        <v>0</v>
      </c>
      <c r="CM16">
        <v>0</v>
      </c>
      <c r="CN16">
        <v>0</v>
      </c>
      <c r="CO16">
        <v>0</v>
      </c>
      <c r="CP16">
        <v>0</v>
      </c>
      <c r="CQ16">
        <v>0</v>
      </c>
      <c r="CR16" t="s">
        <v>439</v>
      </c>
      <c r="CS16">
        <v>121033</v>
      </c>
      <c r="CT16">
        <v>0</v>
      </c>
      <c r="CU16">
        <v>10960</v>
      </c>
      <c r="CV16">
        <v>61075</v>
      </c>
      <c r="CW16">
        <v>254560</v>
      </c>
      <c r="CX16">
        <v>179210</v>
      </c>
      <c r="CY16">
        <v>0</v>
      </c>
      <c r="CZ16">
        <v>11520</v>
      </c>
      <c r="DA16">
        <v>31922</v>
      </c>
      <c r="DB16">
        <v>440</v>
      </c>
      <c r="DC16">
        <v>249014</v>
      </c>
      <c r="DD16">
        <v>64</v>
      </c>
      <c r="DE16">
        <v>8576</v>
      </c>
      <c r="DF16">
        <v>250288</v>
      </c>
      <c r="DG16">
        <v>40704</v>
      </c>
      <c r="DH16">
        <v>34664</v>
      </c>
      <c r="DI16">
        <v>0</v>
      </c>
      <c r="DJ16">
        <v>135139</v>
      </c>
      <c r="DK16">
        <v>0</v>
      </c>
      <c r="DL16">
        <v>136304</v>
      </c>
      <c r="DM16">
        <v>131184</v>
      </c>
      <c r="DN16">
        <v>31424</v>
      </c>
      <c r="DO16">
        <v>0</v>
      </c>
      <c r="DP16">
        <v>960</v>
      </c>
      <c r="DQ16">
        <v>80512</v>
      </c>
      <c r="DR16">
        <v>124944</v>
      </c>
      <c r="DS16">
        <v>298480</v>
      </c>
      <c r="DT16">
        <v>117552</v>
      </c>
      <c r="DU16">
        <v>0</v>
      </c>
      <c r="DV16">
        <v>126016</v>
      </c>
      <c r="DW16">
        <v>80544</v>
      </c>
      <c r="DX16">
        <v>2396056</v>
      </c>
      <c r="DY16">
        <v>67388</v>
      </c>
      <c r="DZ16">
        <v>187839</v>
      </c>
      <c r="EA16">
        <v>632702</v>
      </c>
      <c r="EB16">
        <v>96576</v>
      </c>
      <c r="EC16">
        <v>0</v>
      </c>
      <c r="ED16">
        <v>102411</v>
      </c>
      <c r="EE16">
        <v>306111</v>
      </c>
      <c r="EF16">
        <v>5853</v>
      </c>
      <c r="EG16">
        <v>589357</v>
      </c>
      <c r="EH16">
        <v>100</v>
      </c>
      <c r="EI16">
        <v>12927</v>
      </c>
      <c r="EJ16">
        <v>510806</v>
      </c>
      <c r="EK16">
        <v>65930</v>
      </c>
      <c r="EL16">
        <v>286358</v>
      </c>
      <c r="EM16">
        <v>0</v>
      </c>
      <c r="EN16">
        <v>343754</v>
      </c>
      <c r="EO16">
        <v>0</v>
      </c>
      <c r="EP16">
        <v>685261</v>
      </c>
      <c r="EQ16">
        <v>244134</v>
      </c>
      <c r="ER16">
        <v>77098</v>
      </c>
      <c r="ES16">
        <v>0</v>
      </c>
      <c r="ET16">
        <v>2500</v>
      </c>
      <c r="EU16">
        <v>558460</v>
      </c>
      <c r="EV16">
        <v>229118</v>
      </c>
      <c r="EW16">
        <v>577592</v>
      </c>
      <c r="EX16">
        <v>348058</v>
      </c>
      <c r="EY16">
        <v>0</v>
      </c>
      <c r="EZ16">
        <v>200829</v>
      </c>
      <c r="FA16">
        <v>149174</v>
      </c>
      <c r="FB16">
        <v>6280336</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0</v>
      </c>
      <c r="HH16">
        <v>0</v>
      </c>
      <c r="HI16">
        <v>0</v>
      </c>
      <c r="HJ16">
        <v>121033</v>
      </c>
      <c r="HK16">
        <v>10551</v>
      </c>
      <c r="HL16">
        <v>39177</v>
      </c>
      <c r="HM16">
        <v>54221</v>
      </c>
      <c r="HN16">
        <v>3405</v>
      </c>
      <c r="HO16">
        <v>0</v>
      </c>
      <c r="HP16">
        <v>1496</v>
      </c>
      <c r="HQ16">
        <v>7413</v>
      </c>
      <c r="HR16">
        <v>4984</v>
      </c>
      <c r="HS16">
        <v>59658</v>
      </c>
      <c r="HT16">
        <v>0</v>
      </c>
      <c r="HU16">
        <v>631</v>
      </c>
      <c r="HV16">
        <v>6349</v>
      </c>
      <c r="HW16">
        <v>498</v>
      </c>
      <c r="HX16">
        <v>17608</v>
      </c>
      <c r="HY16">
        <v>0</v>
      </c>
      <c r="HZ16">
        <v>66273</v>
      </c>
      <c r="IA16">
        <v>0</v>
      </c>
      <c r="IB16">
        <v>67850</v>
      </c>
      <c r="IC16">
        <v>2228</v>
      </c>
      <c r="ID16">
        <v>75856</v>
      </c>
      <c r="IE16">
        <v>0</v>
      </c>
      <c r="IF16">
        <v>100</v>
      </c>
      <c r="IG16">
        <v>27284</v>
      </c>
      <c r="IH16">
        <v>44303</v>
      </c>
      <c r="II16">
        <v>14022</v>
      </c>
      <c r="IJ16">
        <v>22725</v>
      </c>
      <c r="IK16">
        <v>0</v>
      </c>
      <c r="IL16">
        <v>888</v>
      </c>
      <c r="IM16">
        <v>1566</v>
      </c>
      <c r="IN16">
        <v>529086</v>
      </c>
      <c r="IO16">
        <v>10551</v>
      </c>
      <c r="IP16">
        <v>39177</v>
      </c>
      <c r="IQ16">
        <v>54221</v>
      </c>
      <c r="IR16">
        <v>3405</v>
      </c>
      <c r="IS16">
        <v>0</v>
      </c>
      <c r="IT16">
        <v>1496</v>
      </c>
      <c r="IU16">
        <v>7413</v>
      </c>
      <c r="IV16">
        <v>4984</v>
      </c>
      <c r="IW16">
        <v>59658</v>
      </c>
      <c r="IX16">
        <v>0</v>
      </c>
      <c r="IY16">
        <v>631</v>
      </c>
      <c r="IZ16">
        <v>6349</v>
      </c>
      <c r="JA16">
        <v>498</v>
      </c>
      <c r="JB16">
        <v>17608</v>
      </c>
      <c r="JC16">
        <v>0</v>
      </c>
      <c r="JD16">
        <v>66273</v>
      </c>
      <c r="JE16">
        <v>0</v>
      </c>
      <c r="JF16">
        <v>67850</v>
      </c>
      <c r="JG16">
        <v>2228</v>
      </c>
      <c r="JH16">
        <v>75856</v>
      </c>
      <c r="JI16">
        <v>0</v>
      </c>
      <c r="JJ16">
        <v>100</v>
      </c>
      <c r="JK16">
        <v>27284</v>
      </c>
      <c r="JL16">
        <v>44303</v>
      </c>
      <c r="JM16">
        <v>14022</v>
      </c>
      <c r="JN16">
        <v>22725</v>
      </c>
      <c r="JO16">
        <v>0</v>
      </c>
      <c r="JP16">
        <v>888</v>
      </c>
      <c r="JQ16">
        <v>1566</v>
      </c>
      <c r="JR16">
        <v>650119</v>
      </c>
      <c r="JS16">
        <v>77939</v>
      </c>
      <c r="JT16">
        <v>227016</v>
      </c>
      <c r="JU16">
        <v>686923</v>
      </c>
      <c r="JV16">
        <v>99981</v>
      </c>
      <c r="JW16">
        <v>0</v>
      </c>
      <c r="JX16">
        <v>103907</v>
      </c>
      <c r="JY16">
        <v>313524</v>
      </c>
      <c r="JZ16">
        <v>10837</v>
      </c>
      <c r="KA16">
        <v>649015</v>
      </c>
      <c r="KB16">
        <v>100</v>
      </c>
      <c r="KC16">
        <v>13558</v>
      </c>
      <c r="KD16">
        <v>517155</v>
      </c>
      <c r="KE16">
        <v>66428</v>
      </c>
      <c r="KF16">
        <v>303966</v>
      </c>
      <c r="KG16">
        <v>0</v>
      </c>
      <c r="KH16">
        <v>410027</v>
      </c>
      <c r="KI16">
        <v>0</v>
      </c>
      <c r="KJ16">
        <v>753111</v>
      </c>
      <c r="KK16">
        <v>246362</v>
      </c>
      <c r="KL16">
        <v>152954</v>
      </c>
      <c r="KM16">
        <v>0</v>
      </c>
      <c r="KN16">
        <v>2600</v>
      </c>
      <c r="KO16">
        <v>585744</v>
      </c>
      <c r="KP16">
        <v>273421</v>
      </c>
      <c r="KQ16">
        <v>591614</v>
      </c>
      <c r="KR16">
        <v>370783</v>
      </c>
      <c r="KS16">
        <v>0</v>
      </c>
      <c r="KT16">
        <v>201717</v>
      </c>
      <c r="KU16">
        <v>150740</v>
      </c>
      <c r="KV16">
        <v>6930455</v>
      </c>
      <c r="KW16" t="s">
        <v>359</v>
      </c>
      <c r="KX16">
        <v>12880391</v>
      </c>
      <c r="KY16">
        <v>2782414</v>
      </c>
      <c r="KZ16">
        <v>15662805</v>
      </c>
      <c r="LA16">
        <v>0</v>
      </c>
      <c r="LB16">
        <v>304812</v>
      </c>
    </row>
    <row r="17" spans="1:314" x14ac:dyDescent="0.25">
      <c r="A17" t="s">
        <v>447</v>
      </c>
      <c r="B17" t="s">
        <v>448</v>
      </c>
      <c r="C17" t="s">
        <v>352</v>
      </c>
      <c r="D17" t="s">
        <v>449</v>
      </c>
      <c r="E17" s="2">
        <v>40933.613333333335</v>
      </c>
      <c r="G17" t="s">
        <v>450</v>
      </c>
      <c r="H17" t="s">
        <v>451</v>
      </c>
      <c r="I17" t="s">
        <v>452</v>
      </c>
      <c r="J17" t="s">
        <v>453</v>
      </c>
      <c r="K17" t="s">
        <v>454</v>
      </c>
      <c r="L17">
        <v>0</v>
      </c>
      <c r="M17">
        <v>0</v>
      </c>
      <c r="N17">
        <v>0</v>
      </c>
      <c r="O17">
        <v>22157401</v>
      </c>
      <c r="P17">
        <v>0</v>
      </c>
      <c r="Q17">
        <v>920407</v>
      </c>
      <c r="R17">
        <v>0</v>
      </c>
      <c r="S17">
        <v>920407</v>
      </c>
      <c r="T17">
        <v>2709130</v>
      </c>
      <c r="U17">
        <v>1420876</v>
      </c>
      <c r="V17">
        <v>807875</v>
      </c>
      <c r="W17">
        <v>0</v>
      </c>
      <c r="X17">
        <v>0</v>
      </c>
      <c r="Y17">
        <v>0</v>
      </c>
      <c r="Z17">
        <v>4937881</v>
      </c>
      <c r="AA17">
        <v>1859306</v>
      </c>
      <c r="AB17">
        <v>486417</v>
      </c>
      <c r="AC17">
        <v>281324</v>
      </c>
      <c r="AD17">
        <v>0</v>
      </c>
      <c r="AE17">
        <v>0</v>
      </c>
      <c r="AF17">
        <v>398899</v>
      </c>
      <c r="AG17">
        <v>3025946</v>
      </c>
      <c r="AH17">
        <v>4568436</v>
      </c>
      <c r="AI17">
        <v>1907293</v>
      </c>
      <c r="AJ17">
        <v>1089199</v>
      </c>
      <c r="AK17">
        <v>0</v>
      </c>
      <c r="AL17">
        <v>0</v>
      </c>
      <c r="AM17">
        <v>398899</v>
      </c>
      <c r="AN17">
        <v>7963827</v>
      </c>
      <c r="AO17">
        <v>7335</v>
      </c>
      <c r="AP17">
        <v>0</v>
      </c>
      <c r="AQ17">
        <v>0</v>
      </c>
      <c r="AR17">
        <v>0</v>
      </c>
      <c r="AS17">
        <v>7335</v>
      </c>
      <c r="AT17">
        <v>6233</v>
      </c>
      <c r="AU17">
        <v>0</v>
      </c>
      <c r="AV17">
        <v>0</v>
      </c>
      <c r="AW17">
        <v>0</v>
      </c>
      <c r="AX17">
        <v>6233</v>
      </c>
      <c r="AY17">
        <v>13568</v>
      </c>
      <c r="AZ17">
        <v>0</v>
      </c>
      <c r="BA17">
        <v>0</v>
      </c>
      <c r="BB17">
        <v>0</v>
      </c>
      <c r="BC17">
        <v>13568</v>
      </c>
      <c r="BD17">
        <v>806033</v>
      </c>
      <c r="BE17">
        <v>0</v>
      </c>
      <c r="BF17">
        <v>0</v>
      </c>
      <c r="BG17">
        <v>0</v>
      </c>
      <c r="BH17">
        <v>0</v>
      </c>
      <c r="BI17">
        <v>806033</v>
      </c>
      <c r="BJ17">
        <v>0</v>
      </c>
      <c r="BK17">
        <v>0</v>
      </c>
      <c r="BL17">
        <v>240674</v>
      </c>
      <c r="BM17">
        <v>0</v>
      </c>
      <c r="BN17">
        <v>0</v>
      </c>
      <c r="BO17">
        <v>240674</v>
      </c>
      <c r="BP17">
        <v>2375768</v>
      </c>
      <c r="BQ17">
        <v>34133</v>
      </c>
      <c r="BR17">
        <v>0</v>
      </c>
      <c r="BS17">
        <v>0</v>
      </c>
      <c r="BT17">
        <v>958951</v>
      </c>
      <c r="BU17">
        <v>3368852</v>
      </c>
      <c r="BV17">
        <v>3181801</v>
      </c>
      <c r="BW17">
        <v>34133</v>
      </c>
      <c r="BX17">
        <v>240674</v>
      </c>
      <c r="BY17">
        <v>0</v>
      </c>
      <c r="BZ17">
        <v>958951</v>
      </c>
      <c r="CA17">
        <v>4415559</v>
      </c>
      <c r="CB17">
        <v>0</v>
      </c>
      <c r="CC17">
        <v>0</v>
      </c>
      <c r="CD17">
        <v>0</v>
      </c>
      <c r="CE17">
        <v>0</v>
      </c>
      <c r="CF17">
        <v>0</v>
      </c>
      <c r="CG17">
        <v>0</v>
      </c>
      <c r="CH17">
        <v>0</v>
      </c>
      <c r="CI17">
        <v>0</v>
      </c>
      <c r="CJ17">
        <v>0</v>
      </c>
      <c r="CK17">
        <v>0</v>
      </c>
      <c r="CL17">
        <v>0</v>
      </c>
      <c r="CM17">
        <v>0</v>
      </c>
      <c r="CN17">
        <v>0</v>
      </c>
      <c r="CO17">
        <v>0</v>
      </c>
      <c r="CP17">
        <v>0</v>
      </c>
      <c r="CQ17">
        <v>0</v>
      </c>
      <c r="CR17" t="s">
        <v>447</v>
      </c>
      <c r="CS17">
        <v>704712</v>
      </c>
      <c r="CT17">
        <v>0</v>
      </c>
      <c r="CU17">
        <v>56437</v>
      </c>
      <c r="CV17">
        <v>27336</v>
      </c>
      <c r="CW17">
        <v>217344</v>
      </c>
      <c r="CX17">
        <v>234638</v>
      </c>
      <c r="CY17">
        <v>0</v>
      </c>
      <c r="CZ17">
        <v>39465</v>
      </c>
      <c r="DA17">
        <v>119458</v>
      </c>
      <c r="DB17">
        <v>125042</v>
      </c>
      <c r="DC17">
        <v>326680</v>
      </c>
      <c r="DD17">
        <v>0</v>
      </c>
      <c r="DE17">
        <v>219959</v>
      </c>
      <c r="DF17">
        <v>190560</v>
      </c>
      <c r="DG17">
        <v>42720</v>
      </c>
      <c r="DH17">
        <v>42568</v>
      </c>
      <c r="DI17">
        <v>22544</v>
      </c>
      <c r="DJ17">
        <v>130507</v>
      </c>
      <c r="DK17">
        <v>11760</v>
      </c>
      <c r="DL17">
        <v>104352</v>
      </c>
      <c r="DM17">
        <v>73792</v>
      </c>
      <c r="DN17">
        <v>8096</v>
      </c>
      <c r="DO17">
        <v>9118</v>
      </c>
      <c r="DP17">
        <v>17053</v>
      </c>
      <c r="DQ17">
        <v>20368</v>
      </c>
      <c r="DR17">
        <v>125032</v>
      </c>
      <c r="DS17">
        <v>330928</v>
      </c>
      <c r="DT17">
        <v>81666</v>
      </c>
      <c r="DU17">
        <v>0</v>
      </c>
      <c r="DV17">
        <v>107664</v>
      </c>
      <c r="DW17">
        <v>64800</v>
      </c>
      <c r="DX17">
        <v>2749887</v>
      </c>
      <c r="DY17">
        <v>165006</v>
      </c>
      <c r="DZ17">
        <v>37603</v>
      </c>
      <c r="EA17">
        <v>504872</v>
      </c>
      <c r="EB17">
        <v>547552</v>
      </c>
      <c r="EC17">
        <v>0</v>
      </c>
      <c r="ED17">
        <v>146088</v>
      </c>
      <c r="EE17">
        <v>328022</v>
      </c>
      <c r="EF17">
        <v>337070</v>
      </c>
      <c r="EG17">
        <v>415671</v>
      </c>
      <c r="EH17">
        <v>0</v>
      </c>
      <c r="EI17">
        <v>312212</v>
      </c>
      <c r="EJ17">
        <v>649179</v>
      </c>
      <c r="EK17">
        <v>114226</v>
      </c>
      <c r="EL17">
        <v>256086</v>
      </c>
      <c r="EM17">
        <v>223122</v>
      </c>
      <c r="EN17">
        <v>462928</v>
      </c>
      <c r="EO17">
        <v>100665</v>
      </c>
      <c r="EP17">
        <v>441775</v>
      </c>
      <c r="EQ17">
        <v>294005</v>
      </c>
      <c r="ER17">
        <v>27376</v>
      </c>
      <c r="ES17">
        <v>14992</v>
      </c>
      <c r="ET17">
        <v>37400</v>
      </c>
      <c r="EU17">
        <v>548772</v>
      </c>
      <c r="EV17">
        <v>416840</v>
      </c>
      <c r="EW17">
        <v>739570</v>
      </c>
      <c r="EX17">
        <v>256553</v>
      </c>
      <c r="EY17">
        <v>0</v>
      </c>
      <c r="EZ17">
        <v>273628</v>
      </c>
      <c r="FA17">
        <v>259277</v>
      </c>
      <c r="FB17">
        <v>7910490</v>
      </c>
      <c r="FC17">
        <v>9145</v>
      </c>
      <c r="FD17">
        <v>3634</v>
      </c>
      <c r="FE17">
        <v>41623</v>
      </c>
      <c r="FF17">
        <v>25705</v>
      </c>
      <c r="FG17">
        <v>0</v>
      </c>
      <c r="FH17">
        <v>28239</v>
      </c>
      <c r="FI17">
        <v>27452</v>
      </c>
      <c r="FJ17">
        <v>0</v>
      </c>
      <c r="FK17">
        <v>37567</v>
      </c>
      <c r="FL17">
        <v>0</v>
      </c>
      <c r="FM17">
        <v>11663</v>
      </c>
      <c r="FN17">
        <v>55149</v>
      </c>
      <c r="FO17">
        <v>980</v>
      </c>
      <c r="FP17">
        <v>43978</v>
      </c>
      <c r="FQ17">
        <v>27726</v>
      </c>
      <c r="FR17">
        <v>0</v>
      </c>
      <c r="FS17">
        <v>0</v>
      </c>
      <c r="FT17">
        <v>0</v>
      </c>
      <c r="FU17">
        <v>28213</v>
      </c>
      <c r="FV17">
        <v>195</v>
      </c>
      <c r="FW17">
        <v>287</v>
      </c>
      <c r="FX17">
        <v>1784</v>
      </c>
      <c r="FY17">
        <v>2981</v>
      </c>
      <c r="FZ17">
        <v>230046</v>
      </c>
      <c r="GA17">
        <v>17456</v>
      </c>
      <c r="GB17">
        <v>3867</v>
      </c>
      <c r="GC17">
        <v>0</v>
      </c>
      <c r="GD17">
        <v>18168</v>
      </c>
      <c r="GE17">
        <v>15016</v>
      </c>
      <c r="GF17">
        <v>630874</v>
      </c>
      <c r="GG17">
        <v>14368</v>
      </c>
      <c r="GH17">
        <v>3402</v>
      </c>
      <c r="GI17">
        <v>45089</v>
      </c>
      <c r="GJ17">
        <v>47297</v>
      </c>
      <c r="GK17">
        <v>0</v>
      </c>
      <c r="GL17">
        <v>14383</v>
      </c>
      <c r="GM17">
        <v>29329</v>
      </c>
      <c r="GN17">
        <v>27810</v>
      </c>
      <c r="GO17">
        <v>37395</v>
      </c>
      <c r="GP17">
        <v>0</v>
      </c>
      <c r="GQ17">
        <v>26722</v>
      </c>
      <c r="GR17">
        <v>58111</v>
      </c>
      <c r="GS17">
        <v>9505</v>
      </c>
      <c r="GT17">
        <v>24757</v>
      </c>
      <c r="GU17">
        <v>20696</v>
      </c>
      <c r="GV17">
        <v>38194</v>
      </c>
      <c r="GW17">
        <v>8305</v>
      </c>
      <c r="GX17">
        <v>36449</v>
      </c>
      <c r="GY17">
        <v>26585</v>
      </c>
      <c r="GZ17">
        <v>2275</v>
      </c>
      <c r="HA17">
        <v>1261</v>
      </c>
      <c r="HB17">
        <v>3233</v>
      </c>
      <c r="HC17">
        <v>45523</v>
      </c>
      <c r="HD17">
        <v>53372</v>
      </c>
      <c r="HE17">
        <v>62459</v>
      </c>
      <c r="HF17">
        <v>21486</v>
      </c>
      <c r="HG17">
        <v>0</v>
      </c>
      <c r="HH17">
        <v>24075</v>
      </c>
      <c r="HI17">
        <v>22631</v>
      </c>
      <c r="HJ17">
        <v>704712</v>
      </c>
      <c r="HK17">
        <v>43055</v>
      </c>
      <c r="HL17">
        <v>15587</v>
      </c>
      <c r="HM17">
        <v>39720</v>
      </c>
      <c r="HN17">
        <v>36630</v>
      </c>
      <c r="HO17">
        <v>0</v>
      </c>
      <c r="HP17">
        <v>3263</v>
      </c>
      <c r="HQ17">
        <v>111779</v>
      </c>
      <c r="HR17">
        <v>19356</v>
      </c>
      <c r="HS17">
        <v>115811</v>
      </c>
      <c r="HT17">
        <v>0</v>
      </c>
      <c r="HU17">
        <v>44906</v>
      </c>
      <c r="HV17">
        <v>44092</v>
      </c>
      <c r="HW17">
        <v>616</v>
      </c>
      <c r="HX17">
        <v>46133</v>
      </c>
      <c r="HY17">
        <v>75113</v>
      </c>
      <c r="HZ17">
        <v>55491</v>
      </c>
      <c r="IA17">
        <v>18519</v>
      </c>
      <c r="IB17">
        <v>44812</v>
      </c>
      <c r="IC17">
        <v>10378</v>
      </c>
      <c r="ID17">
        <v>1882</v>
      </c>
      <c r="IE17">
        <v>418</v>
      </c>
      <c r="IF17">
        <v>4240</v>
      </c>
      <c r="IG17">
        <v>881</v>
      </c>
      <c r="IH17">
        <v>119645</v>
      </c>
      <c r="II17">
        <v>38323</v>
      </c>
      <c r="IJ17">
        <v>46649</v>
      </c>
      <c r="IK17">
        <v>0</v>
      </c>
      <c r="IL17">
        <v>11169</v>
      </c>
      <c r="IM17">
        <v>7346</v>
      </c>
      <c r="IN17">
        <v>955814</v>
      </c>
      <c r="IO17">
        <v>66568</v>
      </c>
      <c r="IP17">
        <v>22623</v>
      </c>
      <c r="IQ17">
        <v>126432</v>
      </c>
      <c r="IR17">
        <v>109632</v>
      </c>
      <c r="IS17">
        <v>0</v>
      </c>
      <c r="IT17">
        <v>45885</v>
      </c>
      <c r="IU17">
        <v>168560</v>
      </c>
      <c r="IV17">
        <v>47166</v>
      </c>
      <c r="IW17">
        <v>190773</v>
      </c>
      <c r="IX17">
        <v>0</v>
      </c>
      <c r="IY17">
        <v>83291</v>
      </c>
      <c r="IZ17">
        <v>157352</v>
      </c>
      <c r="JA17">
        <v>11101</v>
      </c>
      <c r="JB17">
        <v>114868</v>
      </c>
      <c r="JC17">
        <v>123535</v>
      </c>
      <c r="JD17">
        <v>93685</v>
      </c>
      <c r="JE17">
        <v>26824</v>
      </c>
      <c r="JF17">
        <v>81261</v>
      </c>
      <c r="JG17">
        <v>65176</v>
      </c>
      <c r="JH17">
        <v>4352</v>
      </c>
      <c r="JI17">
        <v>1966</v>
      </c>
      <c r="JJ17">
        <v>9257</v>
      </c>
      <c r="JK17">
        <v>49385</v>
      </c>
      <c r="JL17">
        <v>403063</v>
      </c>
      <c r="JM17">
        <v>118238</v>
      </c>
      <c r="JN17">
        <v>72002</v>
      </c>
      <c r="JO17">
        <v>0</v>
      </c>
      <c r="JP17">
        <v>53412</v>
      </c>
      <c r="JQ17">
        <v>44993</v>
      </c>
      <c r="JR17">
        <v>2291400</v>
      </c>
      <c r="JS17">
        <v>231574</v>
      </c>
      <c r="JT17">
        <v>60226</v>
      </c>
      <c r="JU17">
        <v>631304</v>
      </c>
      <c r="JV17">
        <v>657184</v>
      </c>
      <c r="JW17">
        <v>0</v>
      </c>
      <c r="JX17">
        <v>191973</v>
      </c>
      <c r="JY17">
        <v>496582</v>
      </c>
      <c r="JZ17">
        <v>384236</v>
      </c>
      <c r="KA17">
        <v>606444</v>
      </c>
      <c r="KB17">
        <v>0</v>
      </c>
      <c r="KC17">
        <v>395503</v>
      </c>
      <c r="KD17">
        <v>806531</v>
      </c>
      <c r="KE17">
        <v>125327</v>
      </c>
      <c r="KF17">
        <v>370954</v>
      </c>
      <c r="KG17">
        <v>346657</v>
      </c>
      <c r="KH17">
        <v>556613</v>
      </c>
      <c r="KI17">
        <v>127489</v>
      </c>
      <c r="KJ17">
        <v>523036</v>
      </c>
      <c r="KK17">
        <v>359181</v>
      </c>
      <c r="KL17">
        <v>31728</v>
      </c>
      <c r="KM17">
        <v>16958</v>
      </c>
      <c r="KN17">
        <v>46657</v>
      </c>
      <c r="KO17">
        <v>598157</v>
      </c>
      <c r="KP17">
        <v>819903</v>
      </c>
      <c r="KQ17">
        <v>857808</v>
      </c>
      <c r="KR17">
        <v>328555</v>
      </c>
      <c r="KS17">
        <v>0</v>
      </c>
      <c r="KT17">
        <v>327040</v>
      </c>
      <c r="KU17">
        <v>304270</v>
      </c>
      <c r="KV17">
        <v>10201890</v>
      </c>
      <c r="KW17" t="s">
        <v>359</v>
      </c>
      <c r="KX17">
        <v>19086124</v>
      </c>
      <c r="KY17">
        <v>4429127</v>
      </c>
      <c r="KZ17">
        <v>23515251</v>
      </c>
      <c r="LA17">
        <v>0</v>
      </c>
      <c r="LB17">
        <v>1357850</v>
      </c>
    </row>
    <row r="18" spans="1:314" x14ac:dyDescent="0.25">
      <c r="A18" t="s">
        <v>455</v>
      </c>
      <c r="B18" t="s">
        <v>456</v>
      </c>
      <c r="C18" t="s">
        <v>352</v>
      </c>
      <c r="D18" t="s">
        <v>457</v>
      </c>
      <c r="E18" s="2">
        <v>40933.562488425923</v>
      </c>
      <c r="G18" t="s">
        <v>458</v>
      </c>
      <c r="H18" t="s">
        <v>459</v>
      </c>
      <c r="I18" t="s">
        <v>460</v>
      </c>
      <c r="J18" t="s">
        <v>461</v>
      </c>
      <c r="K18" t="s">
        <v>462</v>
      </c>
      <c r="L18">
        <v>0</v>
      </c>
      <c r="M18">
        <v>0</v>
      </c>
      <c r="N18">
        <v>0</v>
      </c>
      <c r="O18">
        <v>26928898</v>
      </c>
      <c r="P18">
        <v>0</v>
      </c>
      <c r="Q18">
        <v>1146837</v>
      </c>
      <c r="R18">
        <v>0</v>
      </c>
      <c r="S18">
        <v>1146837</v>
      </c>
      <c r="T18">
        <v>2300198</v>
      </c>
      <c r="U18">
        <v>1117197</v>
      </c>
      <c r="V18">
        <v>2395658</v>
      </c>
      <c r="W18">
        <v>0</v>
      </c>
      <c r="X18">
        <v>0</v>
      </c>
      <c r="Y18">
        <v>0</v>
      </c>
      <c r="Z18">
        <v>5813053</v>
      </c>
      <c r="AA18">
        <v>1425477</v>
      </c>
      <c r="AB18">
        <v>354608</v>
      </c>
      <c r="AC18">
        <v>332276</v>
      </c>
      <c r="AD18">
        <v>0</v>
      </c>
      <c r="AE18">
        <v>184553</v>
      </c>
      <c r="AF18">
        <v>1074698</v>
      </c>
      <c r="AG18">
        <v>3371612</v>
      </c>
      <c r="AH18">
        <v>3725675</v>
      </c>
      <c r="AI18">
        <v>1471805</v>
      </c>
      <c r="AJ18">
        <v>2727934</v>
      </c>
      <c r="AK18">
        <v>0</v>
      </c>
      <c r="AL18">
        <v>184553</v>
      </c>
      <c r="AM18">
        <v>1074698</v>
      </c>
      <c r="AN18">
        <v>9184665</v>
      </c>
      <c r="AO18">
        <v>85706</v>
      </c>
      <c r="AP18">
        <v>0</v>
      </c>
      <c r="AQ18">
        <v>0</v>
      </c>
      <c r="AR18">
        <v>0</v>
      </c>
      <c r="AS18">
        <v>85706</v>
      </c>
      <c r="AT18">
        <v>102158</v>
      </c>
      <c r="AU18">
        <v>0</v>
      </c>
      <c r="AV18">
        <v>0</v>
      </c>
      <c r="AW18">
        <v>74658</v>
      </c>
      <c r="AX18">
        <v>176816</v>
      </c>
      <c r="AY18">
        <v>187864</v>
      </c>
      <c r="AZ18">
        <v>0</v>
      </c>
      <c r="BA18">
        <v>0</v>
      </c>
      <c r="BB18">
        <v>74658</v>
      </c>
      <c r="BC18">
        <v>262522</v>
      </c>
      <c r="BD18">
        <v>809951</v>
      </c>
      <c r="BE18">
        <v>0</v>
      </c>
      <c r="BF18">
        <v>0</v>
      </c>
      <c r="BG18">
        <v>0</v>
      </c>
      <c r="BH18">
        <v>0</v>
      </c>
      <c r="BI18">
        <v>809951</v>
      </c>
      <c r="BJ18">
        <v>0</v>
      </c>
      <c r="BK18">
        <v>0</v>
      </c>
      <c r="BL18">
        <v>218301</v>
      </c>
      <c r="BM18">
        <v>0</v>
      </c>
      <c r="BN18">
        <v>0</v>
      </c>
      <c r="BO18">
        <v>218301</v>
      </c>
      <c r="BP18">
        <v>2310223</v>
      </c>
      <c r="BQ18">
        <v>0</v>
      </c>
      <c r="BR18">
        <v>0</v>
      </c>
      <c r="BS18">
        <v>0</v>
      </c>
      <c r="BT18">
        <v>37742</v>
      </c>
      <c r="BU18">
        <v>2347965</v>
      </c>
      <c r="BV18">
        <v>3120174</v>
      </c>
      <c r="BW18">
        <v>0</v>
      </c>
      <c r="BX18">
        <v>218301</v>
      </c>
      <c r="BY18">
        <v>0</v>
      </c>
      <c r="BZ18">
        <v>37742</v>
      </c>
      <c r="CA18">
        <v>3376217</v>
      </c>
      <c r="CB18">
        <v>0</v>
      </c>
      <c r="CC18">
        <v>0</v>
      </c>
      <c r="CD18">
        <v>0</v>
      </c>
      <c r="CE18">
        <v>0</v>
      </c>
      <c r="CF18">
        <v>0</v>
      </c>
      <c r="CG18">
        <v>0</v>
      </c>
      <c r="CH18">
        <v>0</v>
      </c>
      <c r="CI18">
        <v>0</v>
      </c>
      <c r="CJ18">
        <v>0</v>
      </c>
      <c r="CK18">
        <v>0</v>
      </c>
      <c r="CL18">
        <v>0</v>
      </c>
      <c r="CM18">
        <v>0</v>
      </c>
      <c r="CN18">
        <v>0</v>
      </c>
      <c r="CO18">
        <v>0</v>
      </c>
      <c r="CP18">
        <v>0</v>
      </c>
      <c r="CQ18">
        <v>0</v>
      </c>
      <c r="CR18" t="s">
        <v>455</v>
      </c>
      <c r="CS18">
        <v>383769</v>
      </c>
      <c r="CT18">
        <v>0</v>
      </c>
      <c r="CU18">
        <v>21824</v>
      </c>
      <c r="CV18">
        <v>41252</v>
      </c>
      <c r="CW18">
        <v>328752</v>
      </c>
      <c r="CX18">
        <v>216763</v>
      </c>
      <c r="CY18">
        <v>0</v>
      </c>
      <c r="CZ18">
        <v>14788</v>
      </c>
      <c r="DA18">
        <v>251066</v>
      </c>
      <c r="DB18">
        <v>10753</v>
      </c>
      <c r="DC18">
        <v>202864</v>
      </c>
      <c r="DD18">
        <v>1216</v>
      </c>
      <c r="DE18">
        <v>184604</v>
      </c>
      <c r="DF18">
        <v>302800</v>
      </c>
      <c r="DG18">
        <v>21896</v>
      </c>
      <c r="DH18">
        <v>166638</v>
      </c>
      <c r="DI18">
        <v>0</v>
      </c>
      <c r="DJ18">
        <v>200630</v>
      </c>
      <c r="DK18">
        <v>0</v>
      </c>
      <c r="DL18">
        <v>99920</v>
      </c>
      <c r="DM18">
        <v>113152</v>
      </c>
      <c r="DN18">
        <v>68200</v>
      </c>
      <c r="DO18">
        <v>60386</v>
      </c>
      <c r="DP18">
        <v>11988</v>
      </c>
      <c r="DQ18">
        <v>129532</v>
      </c>
      <c r="DR18">
        <v>318038</v>
      </c>
      <c r="DS18">
        <v>495168</v>
      </c>
      <c r="DT18">
        <v>218786</v>
      </c>
      <c r="DU18">
        <v>0</v>
      </c>
      <c r="DV18">
        <v>210048</v>
      </c>
      <c r="DW18">
        <v>163384</v>
      </c>
      <c r="DX18">
        <v>3854448</v>
      </c>
      <c r="DY18">
        <v>70420</v>
      </c>
      <c r="DZ18">
        <v>185215</v>
      </c>
      <c r="EA18">
        <v>1044311</v>
      </c>
      <c r="EB18">
        <v>711808</v>
      </c>
      <c r="EC18">
        <v>0</v>
      </c>
      <c r="ED18">
        <v>70680</v>
      </c>
      <c r="EE18">
        <v>394396</v>
      </c>
      <c r="EF18">
        <v>210843</v>
      </c>
      <c r="EG18">
        <v>444364</v>
      </c>
      <c r="EH18">
        <v>13306</v>
      </c>
      <c r="EI18">
        <v>462031</v>
      </c>
      <c r="EJ18">
        <v>1056231</v>
      </c>
      <c r="EK18">
        <v>163999</v>
      </c>
      <c r="EL18">
        <v>850582</v>
      </c>
      <c r="EM18">
        <v>0</v>
      </c>
      <c r="EN18">
        <v>654944</v>
      </c>
      <c r="EO18">
        <v>0</v>
      </c>
      <c r="EP18">
        <v>330005</v>
      </c>
      <c r="EQ18">
        <v>322357</v>
      </c>
      <c r="ER18">
        <v>244804</v>
      </c>
      <c r="ES18">
        <v>70624</v>
      </c>
      <c r="ET18">
        <v>223</v>
      </c>
      <c r="EU18">
        <v>605105</v>
      </c>
      <c r="EV18">
        <v>847244</v>
      </c>
      <c r="EW18">
        <v>1144196</v>
      </c>
      <c r="EX18">
        <v>875034</v>
      </c>
      <c r="EY18">
        <v>0</v>
      </c>
      <c r="EZ18">
        <v>602579</v>
      </c>
      <c r="FA18">
        <v>265432</v>
      </c>
      <c r="FB18">
        <v>11640733</v>
      </c>
      <c r="FC18">
        <v>223</v>
      </c>
      <c r="FD18">
        <v>422</v>
      </c>
      <c r="FE18">
        <v>121177</v>
      </c>
      <c r="FF18">
        <v>29413</v>
      </c>
      <c r="FG18">
        <v>0</v>
      </c>
      <c r="FH18">
        <v>7696</v>
      </c>
      <c r="FI18">
        <v>168492</v>
      </c>
      <c r="FJ18">
        <v>667</v>
      </c>
      <c r="FK18">
        <v>8187</v>
      </c>
      <c r="FL18">
        <v>12</v>
      </c>
      <c r="FM18">
        <v>35707</v>
      </c>
      <c r="FN18">
        <v>3097</v>
      </c>
      <c r="FO18">
        <v>224</v>
      </c>
      <c r="FP18">
        <v>3704</v>
      </c>
      <c r="FQ18">
        <v>0</v>
      </c>
      <c r="FR18">
        <v>3178</v>
      </c>
      <c r="FS18">
        <v>0</v>
      </c>
      <c r="FT18">
        <v>1022</v>
      </c>
      <c r="FU18">
        <v>2902</v>
      </c>
      <c r="FV18">
        <v>697</v>
      </c>
      <c r="FW18">
        <v>1052</v>
      </c>
      <c r="FX18">
        <v>123</v>
      </c>
      <c r="FY18">
        <v>1325</v>
      </c>
      <c r="FZ18">
        <v>225105</v>
      </c>
      <c r="GA18">
        <v>5270</v>
      </c>
      <c r="GB18">
        <v>11753</v>
      </c>
      <c r="GC18">
        <v>0</v>
      </c>
      <c r="GD18">
        <v>7538</v>
      </c>
      <c r="GE18">
        <v>5993</v>
      </c>
      <c r="GF18">
        <v>644979</v>
      </c>
      <c r="GG18">
        <v>2207</v>
      </c>
      <c r="GH18">
        <v>5799</v>
      </c>
      <c r="GI18">
        <v>36406</v>
      </c>
      <c r="GJ18">
        <v>23154</v>
      </c>
      <c r="GK18">
        <v>0</v>
      </c>
      <c r="GL18">
        <v>2448</v>
      </c>
      <c r="GM18">
        <v>17583</v>
      </c>
      <c r="GN18">
        <v>6607</v>
      </c>
      <c r="GO18">
        <v>14136</v>
      </c>
      <c r="GP18">
        <v>416</v>
      </c>
      <c r="GQ18">
        <v>15548</v>
      </c>
      <c r="GR18">
        <v>33090</v>
      </c>
      <c r="GS18">
        <v>5130</v>
      </c>
      <c r="GT18">
        <v>26685</v>
      </c>
      <c r="GU18">
        <v>0</v>
      </c>
      <c r="GV18">
        <v>20558</v>
      </c>
      <c r="GW18">
        <v>0</v>
      </c>
      <c r="GX18">
        <v>10340</v>
      </c>
      <c r="GY18">
        <v>10160</v>
      </c>
      <c r="GZ18">
        <v>7669</v>
      </c>
      <c r="HA18">
        <v>2239</v>
      </c>
      <c r="HB18">
        <v>11</v>
      </c>
      <c r="HC18">
        <v>18943</v>
      </c>
      <c r="HD18">
        <v>33497</v>
      </c>
      <c r="HE18">
        <v>35906</v>
      </c>
      <c r="HF18">
        <v>27701</v>
      </c>
      <c r="HG18">
        <v>0</v>
      </c>
      <c r="HH18">
        <v>19058</v>
      </c>
      <c r="HI18">
        <v>8479</v>
      </c>
      <c r="HJ18">
        <v>383769</v>
      </c>
      <c r="HK18">
        <v>6253</v>
      </c>
      <c r="HL18">
        <v>26482</v>
      </c>
      <c r="HM18">
        <v>112050</v>
      </c>
      <c r="HN18">
        <v>37317</v>
      </c>
      <c r="HO18">
        <v>0</v>
      </c>
      <c r="HP18">
        <v>21425</v>
      </c>
      <c r="HQ18">
        <v>64263</v>
      </c>
      <c r="HR18">
        <v>84495</v>
      </c>
      <c r="HS18">
        <v>29100</v>
      </c>
      <c r="HT18">
        <v>2163</v>
      </c>
      <c r="HU18">
        <v>130009</v>
      </c>
      <c r="HV18">
        <v>37396</v>
      </c>
      <c r="HW18">
        <v>4475</v>
      </c>
      <c r="HX18">
        <v>127470</v>
      </c>
      <c r="HY18">
        <v>0</v>
      </c>
      <c r="HZ18">
        <v>117653</v>
      </c>
      <c r="IA18">
        <v>0</v>
      </c>
      <c r="IB18">
        <v>25582</v>
      </c>
      <c r="IC18">
        <v>8061</v>
      </c>
      <c r="ID18">
        <v>63537</v>
      </c>
      <c r="IE18">
        <v>18951</v>
      </c>
      <c r="IF18">
        <v>232</v>
      </c>
      <c r="IG18">
        <v>71931</v>
      </c>
      <c r="IH18">
        <v>290059</v>
      </c>
      <c r="II18">
        <v>28095</v>
      </c>
      <c r="IJ18">
        <v>139900</v>
      </c>
      <c r="IK18">
        <v>0</v>
      </c>
      <c r="IL18">
        <v>19034</v>
      </c>
      <c r="IM18">
        <v>10341</v>
      </c>
      <c r="IN18">
        <v>1476274</v>
      </c>
      <c r="IO18">
        <v>8683</v>
      </c>
      <c r="IP18">
        <v>32703</v>
      </c>
      <c r="IQ18">
        <v>269633</v>
      </c>
      <c r="IR18">
        <v>89884</v>
      </c>
      <c r="IS18">
        <v>0</v>
      </c>
      <c r="IT18">
        <v>31569</v>
      </c>
      <c r="IU18">
        <v>250338</v>
      </c>
      <c r="IV18">
        <v>91769</v>
      </c>
      <c r="IW18">
        <v>51423</v>
      </c>
      <c r="IX18">
        <v>2591</v>
      </c>
      <c r="IY18">
        <v>181264</v>
      </c>
      <c r="IZ18">
        <v>73583</v>
      </c>
      <c r="JA18">
        <v>9829</v>
      </c>
      <c r="JB18">
        <v>157859</v>
      </c>
      <c r="JC18">
        <v>0</v>
      </c>
      <c r="JD18">
        <v>141389</v>
      </c>
      <c r="JE18">
        <v>0</v>
      </c>
      <c r="JF18">
        <v>36944</v>
      </c>
      <c r="JG18">
        <v>21123</v>
      </c>
      <c r="JH18">
        <v>71903</v>
      </c>
      <c r="JI18">
        <v>22242</v>
      </c>
      <c r="JJ18">
        <v>366</v>
      </c>
      <c r="JK18">
        <v>92199</v>
      </c>
      <c r="JL18">
        <v>548661</v>
      </c>
      <c r="JM18">
        <v>69271</v>
      </c>
      <c r="JN18">
        <v>179354</v>
      </c>
      <c r="JO18">
        <v>0</v>
      </c>
      <c r="JP18">
        <v>45630</v>
      </c>
      <c r="JQ18">
        <v>24813</v>
      </c>
      <c r="JR18">
        <v>2505022</v>
      </c>
      <c r="JS18">
        <v>79103</v>
      </c>
      <c r="JT18">
        <v>217918</v>
      </c>
      <c r="JU18">
        <v>1313944</v>
      </c>
      <c r="JV18">
        <v>801692</v>
      </c>
      <c r="JW18">
        <v>0</v>
      </c>
      <c r="JX18">
        <v>102249</v>
      </c>
      <c r="JY18">
        <v>644734</v>
      </c>
      <c r="JZ18">
        <v>302612</v>
      </c>
      <c r="KA18">
        <v>495787</v>
      </c>
      <c r="KB18">
        <v>15897</v>
      </c>
      <c r="KC18">
        <v>643295</v>
      </c>
      <c r="KD18">
        <v>1129814</v>
      </c>
      <c r="KE18">
        <v>173828</v>
      </c>
      <c r="KF18">
        <v>1008441</v>
      </c>
      <c r="KG18">
        <v>0</v>
      </c>
      <c r="KH18">
        <v>796333</v>
      </c>
      <c r="KI18">
        <v>0</v>
      </c>
      <c r="KJ18">
        <v>366949</v>
      </c>
      <c r="KK18">
        <v>343480</v>
      </c>
      <c r="KL18">
        <v>316707</v>
      </c>
      <c r="KM18">
        <v>92866</v>
      </c>
      <c r="KN18">
        <v>589</v>
      </c>
      <c r="KO18">
        <v>697304</v>
      </c>
      <c r="KP18">
        <v>1395905</v>
      </c>
      <c r="KQ18">
        <v>1213467</v>
      </c>
      <c r="KR18">
        <v>1054388</v>
      </c>
      <c r="KS18">
        <v>0</v>
      </c>
      <c r="KT18">
        <v>648209</v>
      </c>
      <c r="KU18">
        <v>290245</v>
      </c>
      <c r="KV18">
        <v>14145755</v>
      </c>
      <c r="KW18" t="s">
        <v>359</v>
      </c>
      <c r="KX18">
        <v>24477257</v>
      </c>
      <c r="KY18">
        <v>3638739</v>
      </c>
      <c r="KZ18">
        <v>28115996</v>
      </c>
      <c r="LA18">
        <v>0</v>
      </c>
      <c r="LB18">
        <v>1187098</v>
      </c>
    </row>
    <row r="19" spans="1:314" x14ac:dyDescent="0.25">
      <c r="A19" t="s">
        <v>463</v>
      </c>
      <c r="B19" t="s">
        <v>464</v>
      </c>
      <c r="C19" t="s">
        <v>352</v>
      </c>
      <c r="D19" t="s">
        <v>465</v>
      </c>
      <c r="E19" s="2">
        <v>40939.770543981482</v>
      </c>
      <c r="G19" t="s">
        <v>466</v>
      </c>
      <c r="H19" t="s">
        <v>467</v>
      </c>
      <c r="I19" t="s">
        <v>412</v>
      </c>
      <c r="J19" t="s">
        <v>468</v>
      </c>
      <c r="K19" t="s">
        <v>469</v>
      </c>
      <c r="L19">
        <v>0</v>
      </c>
      <c r="M19">
        <v>0</v>
      </c>
      <c r="N19">
        <v>0</v>
      </c>
      <c r="O19">
        <v>44788895</v>
      </c>
      <c r="P19">
        <v>0</v>
      </c>
      <c r="Q19">
        <v>2291206</v>
      </c>
      <c r="R19">
        <v>0</v>
      </c>
      <c r="S19">
        <v>2291206</v>
      </c>
      <c r="T19">
        <v>5943907</v>
      </c>
      <c r="U19">
        <v>4083542</v>
      </c>
      <c r="V19">
        <v>2683274</v>
      </c>
      <c r="W19">
        <v>0</v>
      </c>
      <c r="X19">
        <v>0</v>
      </c>
      <c r="Y19">
        <v>0</v>
      </c>
      <c r="Z19">
        <v>12710723</v>
      </c>
      <c r="AA19">
        <v>2736335</v>
      </c>
      <c r="AB19">
        <v>641425</v>
      </c>
      <c r="AC19">
        <v>408562</v>
      </c>
      <c r="AD19">
        <v>0</v>
      </c>
      <c r="AE19">
        <v>256590</v>
      </c>
      <c r="AF19">
        <v>714586</v>
      </c>
      <c r="AG19">
        <v>4757498</v>
      </c>
      <c r="AH19">
        <v>8680242</v>
      </c>
      <c r="AI19">
        <v>4724967</v>
      </c>
      <c r="AJ19">
        <v>3091836</v>
      </c>
      <c r="AK19">
        <v>0</v>
      </c>
      <c r="AL19">
        <v>256590</v>
      </c>
      <c r="AM19">
        <v>714586</v>
      </c>
      <c r="AN19">
        <v>17468221</v>
      </c>
      <c r="AO19">
        <v>0</v>
      </c>
      <c r="AP19">
        <v>0</v>
      </c>
      <c r="AQ19">
        <v>180959</v>
      </c>
      <c r="AR19">
        <v>0</v>
      </c>
      <c r="AS19">
        <v>180959</v>
      </c>
      <c r="AT19">
        <v>0</v>
      </c>
      <c r="AU19">
        <v>0</v>
      </c>
      <c r="AV19">
        <v>10569</v>
      </c>
      <c r="AW19">
        <v>0</v>
      </c>
      <c r="AX19">
        <v>10569</v>
      </c>
      <c r="AY19">
        <v>0</v>
      </c>
      <c r="AZ19">
        <v>0</v>
      </c>
      <c r="BA19">
        <v>191528</v>
      </c>
      <c r="BB19">
        <v>0</v>
      </c>
      <c r="BC19">
        <v>191528</v>
      </c>
      <c r="BD19">
        <v>1864982</v>
      </c>
      <c r="BE19">
        <v>0</v>
      </c>
      <c r="BF19">
        <v>0</v>
      </c>
      <c r="BG19">
        <v>0</v>
      </c>
      <c r="BH19">
        <v>0</v>
      </c>
      <c r="BI19">
        <v>1864982</v>
      </c>
      <c r="BJ19">
        <v>0</v>
      </c>
      <c r="BK19">
        <v>0</v>
      </c>
      <c r="BL19">
        <v>471540</v>
      </c>
      <c r="BM19">
        <v>0</v>
      </c>
      <c r="BN19">
        <v>0</v>
      </c>
      <c r="BO19">
        <v>471540</v>
      </c>
      <c r="BP19">
        <v>3032937</v>
      </c>
      <c r="BQ19">
        <v>0</v>
      </c>
      <c r="BR19">
        <v>0</v>
      </c>
      <c r="BS19">
        <v>0</v>
      </c>
      <c r="BT19">
        <v>50355</v>
      </c>
      <c r="BU19">
        <v>3083292</v>
      </c>
      <c r="BV19">
        <v>4897919</v>
      </c>
      <c r="BW19">
        <v>0</v>
      </c>
      <c r="BX19">
        <v>471540</v>
      </c>
      <c r="BY19">
        <v>0</v>
      </c>
      <c r="BZ19">
        <v>50355</v>
      </c>
      <c r="CA19">
        <v>5419814</v>
      </c>
      <c r="CB19">
        <v>0</v>
      </c>
      <c r="CC19">
        <v>0</v>
      </c>
      <c r="CD19">
        <v>0</v>
      </c>
      <c r="CE19">
        <v>0</v>
      </c>
      <c r="CF19">
        <v>0</v>
      </c>
      <c r="CG19">
        <v>0</v>
      </c>
      <c r="CH19">
        <v>0</v>
      </c>
      <c r="CI19">
        <v>0</v>
      </c>
      <c r="CJ19">
        <v>0</v>
      </c>
      <c r="CK19">
        <v>0</v>
      </c>
      <c r="CL19">
        <v>0</v>
      </c>
      <c r="CM19">
        <v>0</v>
      </c>
      <c r="CN19">
        <v>0</v>
      </c>
      <c r="CO19">
        <v>0</v>
      </c>
      <c r="CP19">
        <v>0</v>
      </c>
      <c r="CQ19">
        <v>0</v>
      </c>
      <c r="CR19" t="s">
        <v>463</v>
      </c>
      <c r="CS19">
        <v>2829393</v>
      </c>
      <c r="CT19">
        <v>0</v>
      </c>
      <c r="CU19">
        <v>0</v>
      </c>
      <c r="CV19">
        <v>22512</v>
      </c>
      <c r="CW19">
        <v>328088</v>
      </c>
      <c r="CX19">
        <v>146773</v>
      </c>
      <c r="CY19">
        <v>0</v>
      </c>
      <c r="CZ19">
        <v>10364</v>
      </c>
      <c r="DA19">
        <v>227708</v>
      </c>
      <c r="DB19">
        <v>26564</v>
      </c>
      <c r="DC19">
        <v>78056</v>
      </c>
      <c r="DD19">
        <v>0</v>
      </c>
      <c r="DE19">
        <v>101531</v>
      </c>
      <c r="DF19">
        <v>420528</v>
      </c>
      <c r="DG19">
        <v>18912</v>
      </c>
      <c r="DH19">
        <v>86092</v>
      </c>
      <c r="DI19">
        <v>0</v>
      </c>
      <c r="DJ19">
        <v>223256</v>
      </c>
      <c r="DK19">
        <v>0</v>
      </c>
      <c r="DL19">
        <v>58624</v>
      </c>
      <c r="DM19">
        <v>241216</v>
      </c>
      <c r="DN19">
        <v>78512</v>
      </c>
      <c r="DO19">
        <v>52216</v>
      </c>
      <c r="DP19">
        <v>27568</v>
      </c>
      <c r="DQ19">
        <v>94368</v>
      </c>
      <c r="DR19">
        <v>173052</v>
      </c>
      <c r="DS19">
        <v>687408</v>
      </c>
      <c r="DT19">
        <v>273872</v>
      </c>
      <c r="DU19">
        <v>0</v>
      </c>
      <c r="DV19">
        <v>191136</v>
      </c>
      <c r="DW19">
        <v>357920</v>
      </c>
      <c r="DX19">
        <v>3926276</v>
      </c>
      <c r="DY19">
        <v>0</v>
      </c>
      <c r="DZ19">
        <v>0</v>
      </c>
      <c r="EA19">
        <v>1056711</v>
      </c>
      <c r="EB19">
        <v>807093</v>
      </c>
      <c r="EC19">
        <v>0</v>
      </c>
      <c r="ED19">
        <v>17045</v>
      </c>
      <c r="EE19">
        <v>1201213</v>
      </c>
      <c r="EF19">
        <v>445798</v>
      </c>
      <c r="EG19">
        <v>0</v>
      </c>
      <c r="EH19">
        <v>0</v>
      </c>
      <c r="EI19">
        <v>0</v>
      </c>
      <c r="EJ19">
        <v>2299216</v>
      </c>
      <c r="EK19">
        <v>446066</v>
      </c>
      <c r="EL19">
        <v>582800</v>
      </c>
      <c r="EM19">
        <v>0</v>
      </c>
      <c r="EN19">
        <v>785736</v>
      </c>
      <c r="EO19">
        <v>0</v>
      </c>
      <c r="EP19">
        <v>656991</v>
      </c>
      <c r="EQ19">
        <v>784498</v>
      </c>
      <c r="ER19">
        <v>608004</v>
      </c>
      <c r="ES19">
        <v>0</v>
      </c>
      <c r="ET19">
        <v>203550</v>
      </c>
      <c r="EU19">
        <v>404486</v>
      </c>
      <c r="EV19">
        <v>534189</v>
      </c>
      <c r="EW19">
        <v>1420410</v>
      </c>
      <c r="EX19">
        <v>1292713</v>
      </c>
      <c r="EY19">
        <v>0</v>
      </c>
      <c r="EZ19">
        <v>616391</v>
      </c>
      <c r="FA19">
        <v>551115</v>
      </c>
      <c r="FB19">
        <v>14714025</v>
      </c>
      <c r="FC19">
        <v>0</v>
      </c>
      <c r="FD19">
        <v>0</v>
      </c>
      <c r="FE19">
        <v>89116</v>
      </c>
      <c r="FF19">
        <v>17066</v>
      </c>
      <c r="FG19">
        <v>0</v>
      </c>
      <c r="FH19">
        <v>744</v>
      </c>
      <c r="FI19">
        <v>182491</v>
      </c>
      <c r="FJ19">
        <v>59470</v>
      </c>
      <c r="FK19">
        <v>0</v>
      </c>
      <c r="FL19">
        <v>0</v>
      </c>
      <c r="FM19">
        <v>0</v>
      </c>
      <c r="FN19">
        <v>712075</v>
      </c>
      <c r="FO19">
        <v>22841</v>
      </c>
      <c r="FP19">
        <v>85170</v>
      </c>
      <c r="FQ19">
        <v>0</v>
      </c>
      <c r="FR19">
        <v>110041</v>
      </c>
      <c r="FS19">
        <v>0</v>
      </c>
      <c r="FT19">
        <v>25870</v>
      </c>
      <c r="FU19">
        <v>20577</v>
      </c>
      <c r="FV19">
        <v>47817</v>
      </c>
      <c r="FW19">
        <v>0</v>
      </c>
      <c r="FX19">
        <v>30924</v>
      </c>
      <c r="FY19">
        <v>72429</v>
      </c>
      <c r="FZ19">
        <v>104587</v>
      </c>
      <c r="GA19">
        <v>22610</v>
      </c>
      <c r="GB19">
        <v>47753</v>
      </c>
      <c r="GC19">
        <v>0</v>
      </c>
      <c r="GD19">
        <v>16168</v>
      </c>
      <c r="GE19">
        <v>24060</v>
      </c>
      <c r="GF19">
        <v>1691809</v>
      </c>
      <c r="GG19">
        <v>0</v>
      </c>
      <c r="GH19">
        <v>0</v>
      </c>
      <c r="GI19">
        <v>197612</v>
      </c>
      <c r="GJ19">
        <v>142137</v>
      </c>
      <c r="GK19">
        <v>0</v>
      </c>
      <c r="GL19">
        <v>3068</v>
      </c>
      <c r="GM19">
        <v>238637</v>
      </c>
      <c r="GN19">
        <v>87140</v>
      </c>
      <c r="GO19">
        <v>0</v>
      </c>
      <c r="GP19">
        <v>0</v>
      </c>
      <c r="GQ19">
        <v>0</v>
      </c>
      <c r="GR19">
        <v>519335</v>
      </c>
      <c r="GS19">
        <v>80869</v>
      </c>
      <c r="GT19">
        <v>115200</v>
      </c>
      <c r="GU19">
        <v>0</v>
      </c>
      <c r="GV19">
        <v>154488</v>
      </c>
      <c r="GW19">
        <v>0</v>
      </c>
      <c r="GX19">
        <v>117768</v>
      </c>
      <c r="GY19">
        <v>138845</v>
      </c>
      <c r="GZ19">
        <v>113105</v>
      </c>
      <c r="HA19">
        <v>0</v>
      </c>
      <c r="HB19">
        <v>40438</v>
      </c>
      <c r="HC19">
        <v>82250</v>
      </c>
      <c r="HD19">
        <v>110165</v>
      </c>
      <c r="HE19">
        <v>248867</v>
      </c>
      <c r="HF19">
        <v>231180</v>
      </c>
      <c r="HG19">
        <v>0</v>
      </c>
      <c r="HH19">
        <v>109093</v>
      </c>
      <c r="HI19">
        <v>99196</v>
      </c>
      <c r="HJ19">
        <v>2829393</v>
      </c>
      <c r="HK19">
        <v>0</v>
      </c>
      <c r="HL19">
        <v>0</v>
      </c>
      <c r="HM19">
        <v>69180</v>
      </c>
      <c r="HN19">
        <v>11455</v>
      </c>
      <c r="HO19">
        <v>0</v>
      </c>
      <c r="HP19">
        <v>245</v>
      </c>
      <c r="HQ19">
        <v>106643</v>
      </c>
      <c r="HR19">
        <v>88901</v>
      </c>
      <c r="HS19">
        <v>0</v>
      </c>
      <c r="HT19">
        <v>0</v>
      </c>
      <c r="HU19">
        <v>0</v>
      </c>
      <c r="HV19">
        <v>176467</v>
      </c>
      <c r="HW19">
        <v>4927</v>
      </c>
      <c r="HX19">
        <v>30722</v>
      </c>
      <c r="HY19">
        <v>0</v>
      </c>
      <c r="HZ19">
        <v>104164</v>
      </c>
      <c r="IA19">
        <v>0</v>
      </c>
      <c r="IB19">
        <v>29393</v>
      </c>
      <c r="IC19">
        <v>8179</v>
      </c>
      <c r="ID19">
        <v>38200</v>
      </c>
      <c r="IE19">
        <v>0</v>
      </c>
      <c r="IF19">
        <v>18071</v>
      </c>
      <c r="IG19">
        <v>30475</v>
      </c>
      <c r="IH19">
        <v>22289</v>
      </c>
      <c r="II19">
        <v>39793</v>
      </c>
      <c r="IJ19">
        <v>154398</v>
      </c>
      <c r="IK19">
        <v>0</v>
      </c>
      <c r="IL19">
        <v>6427</v>
      </c>
      <c r="IM19">
        <v>7911</v>
      </c>
      <c r="IN19">
        <v>947840</v>
      </c>
      <c r="IO19">
        <v>0</v>
      </c>
      <c r="IP19">
        <v>0</v>
      </c>
      <c r="IQ19">
        <v>355908</v>
      </c>
      <c r="IR19">
        <v>170658</v>
      </c>
      <c r="IS19">
        <v>0</v>
      </c>
      <c r="IT19">
        <v>4057</v>
      </c>
      <c r="IU19">
        <v>527771</v>
      </c>
      <c r="IV19">
        <v>235511</v>
      </c>
      <c r="IW19">
        <v>0</v>
      </c>
      <c r="IX19">
        <v>0</v>
      </c>
      <c r="IY19">
        <v>0</v>
      </c>
      <c r="IZ19">
        <v>1407877</v>
      </c>
      <c r="JA19">
        <v>108637</v>
      </c>
      <c r="JB19">
        <v>231092</v>
      </c>
      <c r="JC19">
        <v>0</v>
      </c>
      <c r="JD19">
        <v>368693</v>
      </c>
      <c r="JE19">
        <v>0</v>
      </c>
      <c r="JF19">
        <v>173031</v>
      </c>
      <c r="JG19">
        <v>167601</v>
      </c>
      <c r="JH19">
        <v>199122</v>
      </c>
      <c r="JI19">
        <v>0</v>
      </c>
      <c r="JJ19">
        <v>89433</v>
      </c>
      <c r="JK19">
        <v>185154</v>
      </c>
      <c r="JL19">
        <v>237041</v>
      </c>
      <c r="JM19">
        <v>311270</v>
      </c>
      <c r="JN19">
        <v>433331</v>
      </c>
      <c r="JO19">
        <v>0</v>
      </c>
      <c r="JP19">
        <v>131688</v>
      </c>
      <c r="JQ19">
        <v>131167</v>
      </c>
      <c r="JR19">
        <v>5469042</v>
      </c>
      <c r="JS19">
        <v>0</v>
      </c>
      <c r="JT19">
        <v>0</v>
      </c>
      <c r="JU19">
        <v>1412619</v>
      </c>
      <c r="JV19">
        <v>977751</v>
      </c>
      <c r="JW19">
        <v>0</v>
      </c>
      <c r="JX19">
        <v>21102</v>
      </c>
      <c r="JY19">
        <v>1728984</v>
      </c>
      <c r="JZ19">
        <v>681309</v>
      </c>
      <c r="KA19">
        <v>0</v>
      </c>
      <c r="KB19">
        <v>0</v>
      </c>
      <c r="KC19">
        <v>0</v>
      </c>
      <c r="KD19">
        <v>3707093</v>
      </c>
      <c r="KE19">
        <v>554703</v>
      </c>
      <c r="KF19">
        <v>813892</v>
      </c>
      <c r="KG19">
        <v>0</v>
      </c>
      <c r="KH19">
        <v>1154429</v>
      </c>
      <c r="KI19">
        <v>0</v>
      </c>
      <c r="KJ19">
        <v>830022</v>
      </c>
      <c r="KK19">
        <v>952099</v>
      </c>
      <c r="KL19">
        <v>807126</v>
      </c>
      <c r="KM19">
        <v>0</v>
      </c>
      <c r="KN19">
        <v>292983</v>
      </c>
      <c r="KO19">
        <v>589640</v>
      </c>
      <c r="KP19">
        <v>771230</v>
      </c>
      <c r="KQ19">
        <v>1731680</v>
      </c>
      <c r="KR19">
        <v>1726044</v>
      </c>
      <c r="KS19">
        <v>0</v>
      </c>
      <c r="KT19">
        <v>748079</v>
      </c>
      <c r="KU19">
        <v>682282</v>
      </c>
      <c r="KV19">
        <v>20183067</v>
      </c>
      <c r="KW19" t="s">
        <v>359</v>
      </c>
      <c r="KX19">
        <v>39942494</v>
      </c>
      <c r="KY19">
        <v>5611342</v>
      </c>
      <c r="KZ19">
        <v>45553836</v>
      </c>
      <c r="LA19">
        <v>0</v>
      </c>
      <c r="LB19">
        <v>764941</v>
      </c>
    </row>
    <row r="20" spans="1:314" x14ac:dyDescent="0.25">
      <c r="A20" t="s">
        <v>470</v>
      </c>
      <c r="B20" t="s">
        <v>471</v>
      </c>
      <c r="C20" t="s">
        <v>352</v>
      </c>
      <c r="D20" t="s">
        <v>472</v>
      </c>
      <c r="E20" s="2">
        <v>40931.627465277779</v>
      </c>
      <c r="G20" t="s">
        <v>473</v>
      </c>
      <c r="H20" t="s">
        <v>474</v>
      </c>
      <c r="I20" t="s">
        <v>475</v>
      </c>
      <c r="J20" t="s">
        <v>476</v>
      </c>
      <c r="K20" t="s">
        <v>477</v>
      </c>
      <c r="L20">
        <v>0</v>
      </c>
      <c r="M20">
        <v>0</v>
      </c>
      <c r="N20">
        <v>0</v>
      </c>
      <c r="O20">
        <v>33672763</v>
      </c>
      <c r="P20">
        <v>0</v>
      </c>
      <c r="Q20">
        <v>1199568</v>
      </c>
      <c r="R20">
        <v>0</v>
      </c>
      <c r="S20">
        <v>1199568</v>
      </c>
      <c r="T20">
        <v>4121531</v>
      </c>
      <c r="U20">
        <v>1792009</v>
      </c>
      <c r="V20">
        <v>1946768</v>
      </c>
      <c r="W20">
        <v>0</v>
      </c>
      <c r="X20">
        <v>0</v>
      </c>
      <c r="Y20">
        <v>0</v>
      </c>
      <c r="Z20">
        <v>7860308</v>
      </c>
      <c r="AA20">
        <v>1678924</v>
      </c>
      <c r="AB20">
        <v>275573</v>
      </c>
      <c r="AC20">
        <v>309500</v>
      </c>
      <c r="AD20">
        <v>0</v>
      </c>
      <c r="AE20">
        <v>0</v>
      </c>
      <c r="AF20">
        <v>0</v>
      </c>
      <c r="AG20">
        <v>2263997</v>
      </c>
      <c r="AH20">
        <v>5800455</v>
      </c>
      <c r="AI20">
        <v>2067582</v>
      </c>
      <c r="AJ20">
        <v>2256268</v>
      </c>
      <c r="AK20">
        <v>0</v>
      </c>
      <c r="AL20">
        <v>0</v>
      </c>
      <c r="AM20">
        <v>0</v>
      </c>
      <c r="AN20">
        <v>10124305</v>
      </c>
      <c r="AO20">
        <v>521379</v>
      </c>
      <c r="AP20">
        <v>0</v>
      </c>
      <c r="AQ20">
        <v>0</v>
      </c>
      <c r="AR20">
        <v>0</v>
      </c>
      <c r="AS20">
        <v>521379</v>
      </c>
      <c r="AT20">
        <v>593583</v>
      </c>
      <c r="AU20">
        <v>0</v>
      </c>
      <c r="AV20">
        <v>0</v>
      </c>
      <c r="AW20">
        <v>0</v>
      </c>
      <c r="AX20">
        <v>593583</v>
      </c>
      <c r="AY20">
        <v>1114962</v>
      </c>
      <c r="AZ20">
        <v>0</v>
      </c>
      <c r="BA20">
        <v>0</v>
      </c>
      <c r="BB20">
        <v>0</v>
      </c>
      <c r="BC20">
        <v>1114962</v>
      </c>
      <c r="BD20">
        <v>1645461</v>
      </c>
      <c r="BE20">
        <v>0</v>
      </c>
      <c r="BF20">
        <v>0</v>
      </c>
      <c r="BG20">
        <v>0</v>
      </c>
      <c r="BH20">
        <v>0</v>
      </c>
      <c r="BI20">
        <v>1645461</v>
      </c>
      <c r="BJ20">
        <v>0</v>
      </c>
      <c r="BK20">
        <v>0</v>
      </c>
      <c r="BL20">
        <v>235495</v>
      </c>
      <c r="BM20">
        <v>0</v>
      </c>
      <c r="BN20">
        <v>0</v>
      </c>
      <c r="BO20">
        <v>235495</v>
      </c>
      <c r="BP20">
        <v>3245948</v>
      </c>
      <c r="BQ20">
        <v>0</v>
      </c>
      <c r="BR20">
        <v>0</v>
      </c>
      <c r="BS20">
        <v>0</v>
      </c>
      <c r="BT20">
        <v>500485</v>
      </c>
      <c r="BU20">
        <v>3746433</v>
      </c>
      <c r="BV20">
        <v>4891409</v>
      </c>
      <c r="BW20">
        <v>0</v>
      </c>
      <c r="BX20">
        <v>235495</v>
      </c>
      <c r="BY20">
        <v>0</v>
      </c>
      <c r="BZ20">
        <v>500485</v>
      </c>
      <c r="CA20">
        <v>5627389</v>
      </c>
      <c r="CB20">
        <v>0</v>
      </c>
      <c r="CC20">
        <v>0</v>
      </c>
      <c r="CD20">
        <v>0</v>
      </c>
      <c r="CE20">
        <v>0</v>
      </c>
      <c r="CF20">
        <v>0</v>
      </c>
      <c r="CG20">
        <v>0</v>
      </c>
      <c r="CH20">
        <v>0</v>
      </c>
      <c r="CI20">
        <v>0</v>
      </c>
      <c r="CJ20">
        <v>0</v>
      </c>
      <c r="CK20">
        <v>0</v>
      </c>
      <c r="CL20">
        <v>0</v>
      </c>
      <c r="CM20">
        <v>0</v>
      </c>
      <c r="CN20">
        <v>0</v>
      </c>
      <c r="CO20">
        <v>0</v>
      </c>
      <c r="CP20">
        <v>0</v>
      </c>
      <c r="CQ20">
        <v>0</v>
      </c>
      <c r="CR20" t="s">
        <v>470</v>
      </c>
      <c r="CS20">
        <v>1901270</v>
      </c>
      <c r="CT20">
        <v>0</v>
      </c>
      <c r="CU20">
        <v>86176</v>
      </c>
      <c r="CV20">
        <v>135616</v>
      </c>
      <c r="CW20">
        <v>422304</v>
      </c>
      <c r="CX20">
        <v>243349</v>
      </c>
      <c r="CY20">
        <v>12000</v>
      </c>
      <c r="CZ20">
        <v>27808</v>
      </c>
      <c r="DA20">
        <v>156780</v>
      </c>
      <c r="DB20">
        <v>84534</v>
      </c>
      <c r="DC20">
        <v>235064</v>
      </c>
      <c r="DD20">
        <v>0</v>
      </c>
      <c r="DE20">
        <v>207462</v>
      </c>
      <c r="DF20">
        <v>270672</v>
      </c>
      <c r="DG20">
        <v>34256</v>
      </c>
      <c r="DH20">
        <v>172201</v>
      </c>
      <c r="DI20">
        <v>0</v>
      </c>
      <c r="DJ20">
        <v>51916</v>
      </c>
      <c r="DK20">
        <v>0</v>
      </c>
      <c r="DL20">
        <v>42864</v>
      </c>
      <c r="DM20">
        <v>118176</v>
      </c>
      <c r="DN20">
        <v>32304</v>
      </c>
      <c r="DO20">
        <v>38656</v>
      </c>
      <c r="DP20">
        <v>32760</v>
      </c>
      <c r="DQ20">
        <v>76224</v>
      </c>
      <c r="DR20">
        <v>35632</v>
      </c>
      <c r="DS20">
        <v>339472</v>
      </c>
      <c r="DT20">
        <v>132047</v>
      </c>
      <c r="DU20">
        <v>0</v>
      </c>
      <c r="DV20">
        <v>124960</v>
      </c>
      <c r="DW20">
        <v>118320</v>
      </c>
      <c r="DX20">
        <v>3231553</v>
      </c>
      <c r="DY20">
        <v>189209</v>
      </c>
      <c r="DZ20">
        <v>851851</v>
      </c>
      <c r="EA20">
        <v>1248563</v>
      </c>
      <c r="EB20">
        <v>771664</v>
      </c>
      <c r="EC20">
        <v>11324</v>
      </c>
      <c r="ED20">
        <v>114381</v>
      </c>
      <c r="EE20">
        <v>722507</v>
      </c>
      <c r="EF20">
        <v>498653</v>
      </c>
      <c r="EG20">
        <v>478729</v>
      </c>
      <c r="EH20">
        <v>0</v>
      </c>
      <c r="EI20">
        <v>638396</v>
      </c>
      <c r="EJ20">
        <v>1341001</v>
      </c>
      <c r="EK20">
        <v>207438</v>
      </c>
      <c r="EL20">
        <v>945611</v>
      </c>
      <c r="EM20">
        <v>0</v>
      </c>
      <c r="EN20">
        <v>316819</v>
      </c>
      <c r="EO20">
        <v>0</v>
      </c>
      <c r="EP20">
        <v>240826</v>
      </c>
      <c r="EQ20">
        <v>494683</v>
      </c>
      <c r="ER20">
        <v>57625</v>
      </c>
      <c r="ES20">
        <v>134359</v>
      </c>
      <c r="ET20">
        <v>0</v>
      </c>
      <c r="EU20">
        <v>563292</v>
      </c>
      <c r="EV20">
        <v>73522</v>
      </c>
      <c r="EW20">
        <v>1063035</v>
      </c>
      <c r="EX20">
        <v>637650</v>
      </c>
      <c r="EY20">
        <v>0</v>
      </c>
      <c r="EZ20">
        <v>514874</v>
      </c>
      <c r="FA20">
        <v>574714</v>
      </c>
      <c r="FB20">
        <v>12690726</v>
      </c>
      <c r="FC20">
        <v>0</v>
      </c>
      <c r="FD20">
        <v>10012</v>
      </c>
      <c r="FE20">
        <v>58124</v>
      </c>
      <c r="FF20">
        <v>5565</v>
      </c>
      <c r="FG20">
        <v>0</v>
      </c>
      <c r="FH20">
        <v>58</v>
      </c>
      <c r="FI20">
        <v>425</v>
      </c>
      <c r="FJ20">
        <v>1738</v>
      </c>
      <c r="FK20">
        <v>0</v>
      </c>
      <c r="FL20">
        <v>0</v>
      </c>
      <c r="FM20">
        <v>5659</v>
      </c>
      <c r="FN20">
        <v>51857</v>
      </c>
      <c r="FO20">
        <v>4105</v>
      </c>
      <c r="FP20">
        <v>129998</v>
      </c>
      <c r="FQ20">
        <v>0</v>
      </c>
      <c r="FR20">
        <v>55001</v>
      </c>
      <c r="FS20">
        <v>0</v>
      </c>
      <c r="FT20">
        <v>0</v>
      </c>
      <c r="FU20">
        <v>48147</v>
      </c>
      <c r="FV20">
        <v>0</v>
      </c>
      <c r="FW20">
        <v>0</v>
      </c>
      <c r="FX20">
        <v>0</v>
      </c>
      <c r="FY20">
        <v>158625</v>
      </c>
      <c r="FZ20">
        <v>1542</v>
      </c>
      <c r="GA20">
        <v>0</v>
      </c>
      <c r="GB20">
        <v>63075</v>
      </c>
      <c r="GC20">
        <v>0</v>
      </c>
      <c r="GD20">
        <v>0</v>
      </c>
      <c r="GE20">
        <v>0</v>
      </c>
      <c r="GF20">
        <v>593931</v>
      </c>
      <c r="GG20">
        <v>27079</v>
      </c>
      <c r="GH20">
        <v>123348</v>
      </c>
      <c r="GI20">
        <v>187010</v>
      </c>
      <c r="GJ20">
        <v>111235</v>
      </c>
      <c r="GK20">
        <v>1621</v>
      </c>
      <c r="GL20">
        <v>16378</v>
      </c>
      <c r="GM20">
        <v>103464</v>
      </c>
      <c r="GN20">
        <v>71615</v>
      </c>
      <c r="GO20">
        <v>68515</v>
      </c>
      <c r="GP20">
        <v>0</v>
      </c>
      <c r="GQ20">
        <v>92176</v>
      </c>
      <c r="GR20">
        <v>199343</v>
      </c>
      <c r="GS20">
        <v>30276</v>
      </c>
      <c r="GT20">
        <v>153939</v>
      </c>
      <c r="GU20">
        <v>0</v>
      </c>
      <c r="GV20">
        <v>53214</v>
      </c>
      <c r="GW20">
        <v>0</v>
      </c>
      <c r="GX20">
        <v>34466</v>
      </c>
      <c r="GY20">
        <v>77689</v>
      </c>
      <c r="GZ20">
        <v>8247</v>
      </c>
      <c r="HA20">
        <v>19229</v>
      </c>
      <c r="HB20">
        <v>0</v>
      </c>
      <c r="HC20">
        <v>103319</v>
      </c>
      <c r="HD20">
        <v>10743</v>
      </c>
      <c r="HE20">
        <v>152139</v>
      </c>
      <c r="HF20">
        <v>100286</v>
      </c>
      <c r="HG20">
        <v>0</v>
      </c>
      <c r="HH20">
        <v>73688</v>
      </c>
      <c r="HI20">
        <v>82252</v>
      </c>
      <c r="HJ20">
        <v>1901270</v>
      </c>
      <c r="HK20">
        <v>19391</v>
      </c>
      <c r="HL20">
        <v>21981</v>
      </c>
      <c r="HM20">
        <v>80649</v>
      </c>
      <c r="HN20">
        <v>36104</v>
      </c>
      <c r="HO20">
        <v>149328</v>
      </c>
      <c r="HP20">
        <v>21394</v>
      </c>
      <c r="HQ20">
        <v>43002</v>
      </c>
      <c r="HR20">
        <v>111626</v>
      </c>
      <c r="HS20">
        <v>79563</v>
      </c>
      <c r="HT20">
        <v>0</v>
      </c>
      <c r="HU20">
        <v>40529</v>
      </c>
      <c r="HV20">
        <v>58740</v>
      </c>
      <c r="HW20">
        <v>3326</v>
      </c>
      <c r="HX20">
        <v>53867</v>
      </c>
      <c r="HY20">
        <v>0</v>
      </c>
      <c r="HZ20">
        <v>19237</v>
      </c>
      <c r="IA20">
        <v>0</v>
      </c>
      <c r="IB20">
        <v>51942</v>
      </c>
      <c r="IC20">
        <v>31221</v>
      </c>
      <c r="ID20">
        <v>1452</v>
      </c>
      <c r="IE20">
        <v>8107</v>
      </c>
      <c r="IF20">
        <v>0</v>
      </c>
      <c r="IG20">
        <v>37234</v>
      </c>
      <c r="IH20">
        <v>2179</v>
      </c>
      <c r="II20">
        <v>28674</v>
      </c>
      <c r="IJ20">
        <v>21551</v>
      </c>
      <c r="IK20">
        <v>0</v>
      </c>
      <c r="IL20">
        <v>0</v>
      </c>
      <c r="IM20">
        <v>0</v>
      </c>
      <c r="IN20">
        <v>921097</v>
      </c>
      <c r="IO20">
        <v>46470</v>
      </c>
      <c r="IP20">
        <v>155341</v>
      </c>
      <c r="IQ20">
        <v>325783</v>
      </c>
      <c r="IR20">
        <v>152904</v>
      </c>
      <c r="IS20">
        <v>150949</v>
      </c>
      <c r="IT20">
        <v>37830</v>
      </c>
      <c r="IU20">
        <v>146891</v>
      </c>
      <c r="IV20">
        <v>184979</v>
      </c>
      <c r="IW20">
        <v>148078</v>
      </c>
      <c r="IX20">
        <v>0</v>
      </c>
      <c r="IY20">
        <v>138364</v>
      </c>
      <c r="IZ20">
        <v>309940</v>
      </c>
      <c r="JA20">
        <v>37707</v>
      </c>
      <c r="JB20">
        <v>337804</v>
      </c>
      <c r="JC20">
        <v>0</v>
      </c>
      <c r="JD20">
        <v>127452</v>
      </c>
      <c r="JE20">
        <v>0</v>
      </c>
      <c r="JF20">
        <v>86408</v>
      </c>
      <c r="JG20">
        <v>157057</v>
      </c>
      <c r="JH20">
        <v>9699</v>
      </c>
      <c r="JI20">
        <v>27336</v>
      </c>
      <c r="JJ20">
        <v>0</v>
      </c>
      <c r="JK20">
        <v>299178</v>
      </c>
      <c r="JL20">
        <v>14464</v>
      </c>
      <c r="JM20">
        <v>180813</v>
      </c>
      <c r="JN20">
        <v>184912</v>
      </c>
      <c r="JO20">
        <v>0</v>
      </c>
      <c r="JP20">
        <v>73688</v>
      </c>
      <c r="JQ20">
        <v>82252</v>
      </c>
      <c r="JR20">
        <v>3416298</v>
      </c>
      <c r="JS20">
        <v>235679</v>
      </c>
      <c r="JT20">
        <v>1007192</v>
      </c>
      <c r="JU20">
        <v>1574346</v>
      </c>
      <c r="JV20">
        <v>924568</v>
      </c>
      <c r="JW20">
        <v>162273</v>
      </c>
      <c r="JX20">
        <v>152211</v>
      </c>
      <c r="JY20">
        <v>869398</v>
      </c>
      <c r="JZ20">
        <v>683632</v>
      </c>
      <c r="KA20">
        <v>626807</v>
      </c>
      <c r="KB20">
        <v>0</v>
      </c>
      <c r="KC20">
        <v>776760</v>
      </c>
      <c r="KD20">
        <v>1650941</v>
      </c>
      <c r="KE20">
        <v>245145</v>
      </c>
      <c r="KF20">
        <v>1283415</v>
      </c>
      <c r="KG20">
        <v>0</v>
      </c>
      <c r="KH20">
        <v>444271</v>
      </c>
      <c r="KI20">
        <v>0</v>
      </c>
      <c r="KJ20">
        <v>327234</v>
      </c>
      <c r="KK20">
        <v>651740</v>
      </c>
      <c r="KL20">
        <v>67324</v>
      </c>
      <c r="KM20">
        <v>161695</v>
      </c>
      <c r="KN20">
        <v>0</v>
      </c>
      <c r="KO20">
        <v>862470</v>
      </c>
      <c r="KP20">
        <v>87986</v>
      </c>
      <c r="KQ20">
        <v>1243848</v>
      </c>
      <c r="KR20">
        <v>822562</v>
      </c>
      <c r="KS20">
        <v>0</v>
      </c>
      <c r="KT20">
        <v>588562</v>
      </c>
      <c r="KU20">
        <v>656966</v>
      </c>
      <c r="KV20">
        <v>16107024</v>
      </c>
      <c r="KW20" t="s">
        <v>359</v>
      </c>
      <c r="KX20">
        <v>27430897</v>
      </c>
      <c r="KY20">
        <v>6742351</v>
      </c>
      <c r="KZ20">
        <v>34173248</v>
      </c>
      <c r="LA20">
        <v>0</v>
      </c>
      <c r="LB20">
        <v>500485</v>
      </c>
    </row>
    <row r="21" spans="1:314" x14ac:dyDescent="0.25">
      <c r="A21" t="s">
        <v>478</v>
      </c>
      <c r="B21" t="s">
        <v>479</v>
      </c>
      <c r="C21" t="s">
        <v>352</v>
      </c>
      <c r="D21" t="s">
        <v>480</v>
      </c>
      <c r="E21" s="2">
        <v>40920.362361111111</v>
      </c>
      <c r="G21" t="s">
        <v>481</v>
      </c>
      <c r="H21" t="s">
        <v>482</v>
      </c>
      <c r="I21" t="s">
        <v>483</v>
      </c>
      <c r="J21" t="s">
        <v>484</v>
      </c>
      <c r="K21" t="s">
        <v>485</v>
      </c>
      <c r="L21">
        <v>0</v>
      </c>
      <c r="M21">
        <v>0</v>
      </c>
      <c r="N21">
        <v>0</v>
      </c>
      <c r="O21">
        <v>45391000</v>
      </c>
      <c r="P21">
        <v>0</v>
      </c>
      <c r="Q21">
        <v>486129</v>
      </c>
      <c r="R21">
        <v>0</v>
      </c>
      <c r="S21">
        <v>486129</v>
      </c>
      <c r="T21">
        <v>4077428</v>
      </c>
      <c r="U21">
        <v>1808532</v>
      </c>
      <c r="V21">
        <v>1387647</v>
      </c>
      <c r="W21">
        <v>0</v>
      </c>
      <c r="X21">
        <v>0</v>
      </c>
      <c r="Y21">
        <v>0</v>
      </c>
      <c r="Z21">
        <v>7273607</v>
      </c>
      <c r="AA21">
        <v>2837366</v>
      </c>
      <c r="AB21">
        <v>955185</v>
      </c>
      <c r="AC21">
        <v>362174</v>
      </c>
      <c r="AD21">
        <v>0</v>
      </c>
      <c r="AE21">
        <v>1360805</v>
      </c>
      <c r="AF21">
        <v>0</v>
      </c>
      <c r="AG21">
        <v>5515530</v>
      </c>
      <c r="AH21">
        <v>6914794</v>
      </c>
      <c r="AI21">
        <v>2763717</v>
      </c>
      <c r="AJ21">
        <v>1749821</v>
      </c>
      <c r="AK21">
        <v>0</v>
      </c>
      <c r="AL21">
        <v>1360805</v>
      </c>
      <c r="AM21">
        <v>0</v>
      </c>
      <c r="AN21">
        <v>12789137</v>
      </c>
      <c r="AO21">
        <v>264311</v>
      </c>
      <c r="AP21">
        <v>0</v>
      </c>
      <c r="AQ21">
        <v>186859</v>
      </c>
      <c r="AR21">
        <v>0</v>
      </c>
      <c r="AS21">
        <v>451170</v>
      </c>
      <c r="AT21">
        <v>56216</v>
      </c>
      <c r="AU21">
        <v>0</v>
      </c>
      <c r="AV21">
        <v>87929</v>
      </c>
      <c r="AW21">
        <v>0</v>
      </c>
      <c r="AX21">
        <v>144145</v>
      </c>
      <c r="AY21">
        <v>320527</v>
      </c>
      <c r="AZ21">
        <v>0</v>
      </c>
      <c r="BA21">
        <v>274788</v>
      </c>
      <c r="BB21">
        <v>0</v>
      </c>
      <c r="BC21">
        <v>595315</v>
      </c>
      <c r="BD21">
        <v>1357695</v>
      </c>
      <c r="BE21">
        <v>0</v>
      </c>
      <c r="BF21">
        <v>0</v>
      </c>
      <c r="BG21">
        <v>0</v>
      </c>
      <c r="BH21">
        <v>0</v>
      </c>
      <c r="BI21">
        <v>1357695</v>
      </c>
      <c r="BJ21">
        <v>0</v>
      </c>
      <c r="BK21">
        <v>0</v>
      </c>
      <c r="BL21">
        <v>500585</v>
      </c>
      <c r="BM21">
        <v>0</v>
      </c>
      <c r="BN21">
        <v>0</v>
      </c>
      <c r="BO21">
        <v>500585</v>
      </c>
      <c r="BP21">
        <v>3706911</v>
      </c>
      <c r="BQ21">
        <v>0</v>
      </c>
      <c r="BR21">
        <v>0</v>
      </c>
      <c r="BS21">
        <v>0</v>
      </c>
      <c r="BT21">
        <v>386884</v>
      </c>
      <c r="BU21">
        <v>4093795</v>
      </c>
      <c r="BV21">
        <v>5064606</v>
      </c>
      <c r="BW21">
        <v>0</v>
      </c>
      <c r="BX21">
        <v>500585</v>
      </c>
      <c r="BY21">
        <v>0</v>
      </c>
      <c r="BZ21">
        <v>386884</v>
      </c>
      <c r="CA21">
        <v>5952075</v>
      </c>
      <c r="CB21">
        <v>0</v>
      </c>
      <c r="CC21">
        <v>0</v>
      </c>
      <c r="CD21">
        <v>0</v>
      </c>
      <c r="CE21">
        <v>0</v>
      </c>
      <c r="CF21">
        <v>0</v>
      </c>
      <c r="CG21">
        <v>0</v>
      </c>
      <c r="CH21">
        <v>0</v>
      </c>
      <c r="CI21">
        <v>0</v>
      </c>
      <c r="CJ21">
        <v>0</v>
      </c>
      <c r="CK21">
        <v>0</v>
      </c>
      <c r="CL21">
        <v>0</v>
      </c>
      <c r="CM21">
        <v>0</v>
      </c>
      <c r="CN21">
        <v>0</v>
      </c>
      <c r="CO21">
        <v>0</v>
      </c>
      <c r="CP21">
        <v>0</v>
      </c>
      <c r="CQ21">
        <v>0</v>
      </c>
      <c r="CR21" t="s">
        <v>478</v>
      </c>
      <c r="CS21">
        <v>1374369</v>
      </c>
      <c r="CT21">
        <v>0</v>
      </c>
      <c r="CU21">
        <v>55012</v>
      </c>
      <c r="CV21">
        <v>0</v>
      </c>
      <c r="CW21">
        <v>707696</v>
      </c>
      <c r="CX21">
        <v>339679</v>
      </c>
      <c r="CY21">
        <v>0</v>
      </c>
      <c r="CZ21">
        <v>17666</v>
      </c>
      <c r="DA21">
        <v>148858</v>
      </c>
      <c r="DB21">
        <v>1752</v>
      </c>
      <c r="DC21">
        <v>182847</v>
      </c>
      <c r="DD21">
        <v>2528</v>
      </c>
      <c r="DE21">
        <v>5156</v>
      </c>
      <c r="DF21">
        <v>545618</v>
      </c>
      <c r="DG21">
        <v>91513</v>
      </c>
      <c r="DH21">
        <v>228445</v>
      </c>
      <c r="DI21">
        <v>0</v>
      </c>
      <c r="DJ21">
        <v>368042</v>
      </c>
      <c r="DK21">
        <v>61072</v>
      </c>
      <c r="DL21">
        <v>90600</v>
      </c>
      <c r="DM21">
        <v>163616</v>
      </c>
      <c r="DN21">
        <v>0</v>
      </c>
      <c r="DO21">
        <v>46830</v>
      </c>
      <c r="DP21">
        <v>2048</v>
      </c>
      <c r="DQ21">
        <v>139468</v>
      </c>
      <c r="DR21">
        <v>184242</v>
      </c>
      <c r="DS21">
        <v>768672</v>
      </c>
      <c r="DT21">
        <v>334800</v>
      </c>
      <c r="DU21">
        <v>0</v>
      </c>
      <c r="DV21">
        <v>213152</v>
      </c>
      <c r="DW21">
        <v>195648</v>
      </c>
      <c r="DX21">
        <v>4894960</v>
      </c>
      <c r="DY21">
        <v>123783</v>
      </c>
      <c r="DZ21">
        <v>0</v>
      </c>
      <c r="EA21">
        <v>2088753</v>
      </c>
      <c r="EB21">
        <v>1367964</v>
      </c>
      <c r="EC21">
        <v>0</v>
      </c>
      <c r="ED21">
        <v>5430</v>
      </c>
      <c r="EE21">
        <v>1130895</v>
      </c>
      <c r="EF21">
        <v>0</v>
      </c>
      <c r="EG21">
        <v>534747</v>
      </c>
      <c r="EH21">
        <v>0</v>
      </c>
      <c r="EI21">
        <v>44771</v>
      </c>
      <c r="EJ21">
        <v>3029432</v>
      </c>
      <c r="EK21">
        <v>285282</v>
      </c>
      <c r="EL21">
        <v>1740168</v>
      </c>
      <c r="EM21">
        <v>0</v>
      </c>
      <c r="EN21">
        <v>1808985</v>
      </c>
      <c r="EO21">
        <v>448772</v>
      </c>
      <c r="EP21">
        <v>387718</v>
      </c>
      <c r="EQ21">
        <v>648009</v>
      </c>
      <c r="ER21">
        <v>0</v>
      </c>
      <c r="ES21">
        <v>0</v>
      </c>
      <c r="ET21">
        <v>0</v>
      </c>
      <c r="EU21">
        <v>797258</v>
      </c>
      <c r="EV21">
        <v>376146</v>
      </c>
      <c r="EW21">
        <v>1894861</v>
      </c>
      <c r="EX21">
        <v>1900482</v>
      </c>
      <c r="EY21">
        <v>0</v>
      </c>
      <c r="EZ21">
        <v>844166</v>
      </c>
      <c r="FA21">
        <v>112042</v>
      </c>
      <c r="FB21">
        <v>19569664</v>
      </c>
      <c r="FC21">
        <v>175274</v>
      </c>
      <c r="FD21">
        <v>0</v>
      </c>
      <c r="FE21">
        <v>86115</v>
      </c>
      <c r="FF21">
        <v>176883</v>
      </c>
      <c r="FG21">
        <v>0</v>
      </c>
      <c r="FH21">
        <v>0</v>
      </c>
      <c r="FI21">
        <v>47904</v>
      </c>
      <c r="FJ21">
        <v>0</v>
      </c>
      <c r="FK21">
        <v>587106</v>
      </c>
      <c r="FL21">
        <v>0</v>
      </c>
      <c r="FM21">
        <v>0</v>
      </c>
      <c r="FN21">
        <v>126109</v>
      </c>
      <c r="FO21">
        <v>0</v>
      </c>
      <c r="FP21">
        <v>139339</v>
      </c>
      <c r="FQ21">
        <v>0</v>
      </c>
      <c r="FR21">
        <v>157989</v>
      </c>
      <c r="FS21">
        <v>15961</v>
      </c>
      <c r="FT21">
        <v>13685</v>
      </c>
      <c r="FU21">
        <v>69629</v>
      </c>
      <c r="FV21">
        <v>0</v>
      </c>
      <c r="FW21">
        <v>0</v>
      </c>
      <c r="FX21">
        <v>0</v>
      </c>
      <c r="FY21">
        <v>60777</v>
      </c>
      <c r="FZ21">
        <v>323587</v>
      </c>
      <c r="GA21">
        <v>111277</v>
      </c>
      <c r="GB21">
        <v>138544</v>
      </c>
      <c r="GC21">
        <v>0</v>
      </c>
      <c r="GD21">
        <v>23290</v>
      </c>
      <c r="GE21">
        <v>0</v>
      </c>
      <c r="GF21">
        <v>2253469</v>
      </c>
      <c r="GG21">
        <v>18834</v>
      </c>
      <c r="GH21">
        <v>0</v>
      </c>
      <c r="GI21">
        <v>136968</v>
      </c>
      <c r="GJ21">
        <v>97291</v>
      </c>
      <c r="GK21">
        <v>0</v>
      </c>
      <c r="GL21">
        <v>342</v>
      </c>
      <c r="GM21">
        <v>74238</v>
      </c>
      <c r="GN21">
        <v>0</v>
      </c>
      <c r="GO21">
        <v>70652</v>
      </c>
      <c r="GP21">
        <v>0</v>
      </c>
      <c r="GQ21">
        <v>2820</v>
      </c>
      <c r="GR21">
        <v>198728</v>
      </c>
      <c r="GS21">
        <v>17966</v>
      </c>
      <c r="GT21">
        <v>118367</v>
      </c>
      <c r="GU21">
        <v>0</v>
      </c>
      <c r="GV21">
        <v>123875</v>
      </c>
      <c r="GW21">
        <v>29268</v>
      </c>
      <c r="GX21">
        <v>25279</v>
      </c>
      <c r="GY21">
        <v>45195</v>
      </c>
      <c r="GZ21">
        <v>0</v>
      </c>
      <c r="HA21">
        <v>0</v>
      </c>
      <c r="HB21">
        <v>0</v>
      </c>
      <c r="HC21">
        <v>54037</v>
      </c>
      <c r="HD21">
        <v>44068</v>
      </c>
      <c r="HE21">
        <v>126342</v>
      </c>
      <c r="HF21">
        <v>128413</v>
      </c>
      <c r="HG21">
        <v>0</v>
      </c>
      <c r="HH21">
        <v>54630</v>
      </c>
      <c r="HI21">
        <v>7056</v>
      </c>
      <c r="HJ21">
        <v>1374369</v>
      </c>
      <c r="HK21">
        <v>79812</v>
      </c>
      <c r="HL21">
        <v>0</v>
      </c>
      <c r="HM21">
        <v>190888</v>
      </c>
      <c r="HN21">
        <v>288470</v>
      </c>
      <c r="HO21">
        <v>0</v>
      </c>
      <c r="HP21">
        <v>2510</v>
      </c>
      <c r="HQ21">
        <v>96446</v>
      </c>
      <c r="HR21">
        <v>243</v>
      </c>
      <c r="HS21">
        <v>185524</v>
      </c>
      <c r="HT21">
        <v>350</v>
      </c>
      <c r="HU21">
        <v>4129</v>
      </c>
      <c r="HV21">
        <v>159737</v>
      </c>
      <c r="HW21">
        <v>21056</v>
      </c>
      <c r="HX21">
        <v>195223</v>
      </c>
      <c r="HY21">
        <v>0</v>
      </c>
      <c r="HZ21">
        <v>474138</v>
      </c>
      <c r="IA21">
        <v>31244</v>
      </c>
      <c r="IB21">
        <v>30361</v>
      </c>
      <c r="IC21">
        <v>28561</v>
      </c>
      <c r="ID21">
        <v>0</v>
      </c>
      <c r="IE21">
        <v>331161</v>
      </c>
      <c r="IF21">
        <v>284</v>
      </c>
      <c r="IG21">
        <v>58718</v>
      </c>
      <c r="IH21">
        <v>210606</v>
      </c>
      <c r="II21">
        <v>179527</v>
      </c>
      <c r="IJ21">
        <v>126756</v>
      </c>
      <c r="IK21">
        <v>0</v>
      </c>
      <c r="IL21">
        <v>34317</v>
      </c>
      <c r="IM21">
        <v>27665</v>
      </c>
      <c r="IN21">
        <v>2757726</v>
      </c>
      <c r="IO21">
        <v>273920</v>
      </c>
      <c r="IP21">
        <v>0</v>
      </c>
      <c r="IQ21">
        <v>413971</v>
      </c>
      <c r="IR21">
        <v>562644</v>
      </c>
      <c r="IS21">
        <v>0</v>
      </c>
      <c r="IT21">
        <v>2852</v>
      </c>
      <c r="IU21">
        <v>218588</v>
      </c>
      <c r="IV21">
        <v>243</v>
      </c>
      <c r="IW21">
        <v>843282</v>
      </c>
      <c r="IX21">
        <v>350</v>
      </c>
      <c r="IY21">
        <v>6949</v>
      </c>
      <c r="IZ21">
        <v>484574</v>
      </c>
      <c r="JA21">
        <v>39022</v>
      </c>
      <c r="JB21">
        <v>452929</v>
      </c>
      <c r="JC21">
        <v>0</v>
      </c>
      <c r="JD21">
        <v>756002</v>
      </c>
      <c r="JE21">
        <v>76473</v>
      </c>
      <c r="JF21">
        <v>69325</v>
      </c>
      <c r="JG21">
        <v>143385</v>
      </c>
      <c r="JH21">
        <v>0</v>
      </c>
      <c r="JI21">
        <v>331161</v>
      </c>
      <c r="JJ21">
        <v>284</v>
      </c>
      <c r="JK21">
        <v>173532</v>
      </c>
      <c r="JL21">
        <v>578261</v>
      </c>
      <c r="JM21">
        <v>417146</v>
      </c>
      <c r="JN21">
        <v>393713</v>
      </c>
      <c r="JO21">
        <v>0</v>
      </c>
      <c r="JP21">
        <v>112237</v>
      </c>
      <c r="JQ21">
        <v>34721</v>
      </c>
      <c r="JR21">
        <v>6385564</v>
      </c>
      <c r="JS21">
        <v>397703</v>
      </c>
      <c r="JT21">
        <v>0</v>
      </c>
      <c r="JU21">
        <v>2502724</v>
      </c>
      <c r="JV21">
        <v>1930608</v>
      </c>
      <c r="JW21">
        <v>0</v>
      </c>
      <c r="JX21">
        <v>8282</v>
      </c>
      <c r="JY21">
        <v>1349483</v>
      </c>
      <c r="JZ21">
        <v>243</v>
      </c>
      <c r="KA21">
        <v>1378029</v>
      </c>
      <c r="KB21">
        <v>350</v>
      </c>
      <c r="KC21">
        <v>51720</v>
      </c>
      <c r="KD21">
        <v>3514006</v>
      </c>
      <c r="KE21">
        <v>324304</v>
      </c>
      <c r="KF21">
        <v>2193097</v>
      </c>
      <c r="KG21">
        <v>0</v>
      </c>
      <c r="KH21">
        <v>2564987</v>
      </c>
      <c r="KI21">
        <v>525245</v>
      </c>
      <c r="KJ21">
        <v>457043</v>
      </c>
      <c r="KK21">
        <v>791394</v>
      </c>
      <c r="KL21">
        <v>0</v>
      </c>
      <c r="KM21">
        <v>331161</v>
      </c>
      <c r="KN21">
        <v>284</v>
      </c>
      <c r="KO21">
        <v>970790</v>
      </c>
      <c r="KP21">
        <v>954407</v>
      </c>
      <c r="KQ21">
        <v>2312007</v>
      </c>
      <c r="KR21">
        <v>2294195</v>
      </c>
      <c r="KS21">
        <v>0</v>
      </c>
      <c r="KT21">
        <v>956403</v>
      </c>
      <c r="KU21">
        <v>146763</v>
      </c>
      <c r="KV21">
        <v>25955228</v>
      </c>
      <c r="KW21" t="s">
        <v>359</v>
      </c>
      <c r="KX21">
        <v>39230494</v>
      </c>
      <c r="KY21">
        <v>6547390</v>
      </c>
      <c r="KZ21">
        <v>45777884</v>
      </c>
      <c r="LA21">
        <v>0</v>
      </c>
      <c r="LB21">
        <v>386884</v>
      </c>
    </row>
    <row r="22" spans="1:314" x14ac:dyDescent="0.25">
      <c r="A22" t="s">
        <v>486</v>
      </c>
      <c r="B22" t="s">
        <v>487</v>
      </c>
      <c r="C22" t="s">
        <v>352</v>
      </c>
      <c r="D22" t="s">
        <v>488</v>
      </c>
      <c r="E22" s="2">
        <v>40939.40347222222</v>
      </c>
      <c r="G22" t="s">
        <v>489</v>
      </c>
      <c r="H22" t="s">
        <v>490</v>
      </c>
      <c r="I22" t="s">
        <v>491</v>
      </c>
      <c r="J22" t="s">
        <v>492</v>
      </c>
      <c r="K22" t="s">
        <v>493</v>
      </c>
      <c r="L22">
        <v>0</v>
      </c>
      <c r="M22">
        <v>0</v>
      </c>
      <c r="N22">
        <v>0</v>
      </c>
      <c r="O22">
        <v>30477921</v>
      </c>
      <c r="P22">
        <v>0</v>
      </c>
      <c r="Q22">
        <v>1148565</v>
      </c>
      <c r="R22">
        <v>0</v>
      </c>
      <c r="S22">
        <v>1148565</v>
      </c>
      <c r="T22">
        <v>2621667</v>
      </c>
      <c r="U22">
        <v>1959712</v>
      </c>
      <c r="V22">
        <v>2389434</v>
      </c>
      <c r="W22">
        <v>0</v>
      </c>
      <c r="X22">
        <v>0</v>
      </c>
      <c r="Y22">
        <v>0</v>
      </c>
      <c r="Z22">
        <v>6970813</v>
      </c>
      <c r="AA22">
        <v>1622273</v>
      </c>
      <c r="AB22">
        <v>603935</v>
      </c>
      <c r="AC22">
        <v>537384</v>
      </c>
      <c r="AD22">
        <v>0</v>
      </c>
      <c r="AE22">
        <v>0</v>
      </c>
      <c r="AF22">
        <v>172496</v>
      </c>
      <c r="AG22">
        <v>2936088</v>
      </c>
      <c r="AH22">
        <v>4243940</v>
      </c>
      <c r="AI22">
        <v>2563647</v>
      </c>
      <c r="AJ22">
        <v>2926818</v>
      </c>
      <c r="AK22">
        <v>0</v>
      </c>
      <c r="AL22">
        <v>0</v>
      </c>
      <c r="AM22">
        <v>172496</v>
      </c>
      <c r="AN22">
        <v>9906901</v>
      </c>
      <c r="AO22">
        <v>0</v>
      </c>
      <c r="AP22">
        <v>0</v>
      </c>
      <c r="AQ22">
        <v>28900</v>
      </c>
      <c r="AR22">
        <v>0</v>
      </c>
      <c r="AS22">
        <v>28900</v>
      </c>
      <c r="AT22">
        <v>0</v>
      </c>
      <c r="AU22">
        <v>0</v>
      </c>
      <c r="AV22">
        <v>4532</v>
      </c>
      <c r="AW22">
        <v>0</v>
      </c>
      <c r="AX22">
        <v>4532</v>
      </c>
      <c r="AY22">
        <v>0</v>
      </c>
      <c r="AZ22">
        <v>0</v>
      </c>
      <c r="BA22">
        <v>33432</v>
      </c>
      <c r="BB22">
        <v>0</v>
      </c>
      <c r="BC22">
        <v>33432</v>
      </c>
      <c r="BD22">
        <v>692624</v>
      </c>
      <c r="BE22">
        <v>0</v>
      </c>
      <c r="BF22">
        <v>0</v>
      </c>
      <c r="BG22">
        <v>0</v>
      </c>
      <c r="BH22">
        <v>0</v>
      </c>
      <c r="BI22">
        <v>692624</v>
      </c>
      <c r="BJ22">
        <v>0</v>
      </c>
      <c r="BK22">
        <v>0</v>
      </c>
      <c r="BL22">
        <v>113651</v>
      </c>
      <c r="BM22">
        <v>0</v>
      </c>
      <c r="BN22">
        <v>0</v>
      </c>
      <c r="BO22">
        <v>113651</v>
      </c>
      <c r="BP22">
        <v>3061380</v>
      </c>
      <c r="BQ22">
        <v>642766</v>
      </c>
      <c r="BR22">
        <v>0</v>
      </c>
      <c r="BS22">
        <v>0</v>
      </c>
      <c r="BT22">
        <v>55402</v>
      </c>
      <c r="BU22">
        <v>3759548</v>
      </c>
      <c r="BV22">
        <v>3754004</v>
      </c>
      <c r="BW22">
        <v>642766</v>
      </c>
      <c r="BX22">
        <v>113651</v>
      </c>
      <c r="BY22">
        <v>0</v>
      </c>
      <c r="BZ22">
        <v>55402</v>
      </c>
      <c r="CA22">
        <v>4565823</v>
      </c>
      <c r="CB22">
        <v>0</v>
      </c>
      <c r="CC22">
        <v>0</v>
      </c>
      <c r="CD22">
        <v>0</v>
      </c>
      <c r="CE22">
        <v>0</v>
      </c>
      <c r="CF22">
        <v>0</v>
      </c>
      <c r="CG22">
        <v>0</v>
      </c>
      <c r="CH22">
        <v>0</v>
      </c>
      <c r="CI22">
        <v>0</v>
      </c>
      <c r="CJ22">
        <v>0</v>
      </c>
      <c r="CK22">
        <v>0</v>
      </c>
      <c r="CL22">
        <v>0</v>
      </c>
      <c r="CM22">
        <v>0</v>
      </c>
      <c r="CN22">
        <v>0</v>
      </c>
      <c r="CO22">
        <v>0</v>
      </c>
      <c r="CP22">
        <v>0</v>
      </c>
      <c r="CQ22">
        <v>0</v>
      </c>
      <c r="CR22" t="s">
        <v>486</v>
      </c>
      <c r="CS22">
        <v>1968836</v>
      </c>
      <c r="CT22">
        <v>0</v>
      </c>
      <c r="CU22">
        <v>16432</v>
      </c>
      <c r="CV22">
        <v>55168</v>
      </c>
      <c r="CW22">
        <v>578496</v>
      </c>
      <c r="CX22">
        <v>445442</v>
      </c>
      <c r="CY22">
        <v>0</v>
      </c>
      <c r="CZ22">
        <v>14216</v>
      </c>
      <c r="DA22">
        <v>375915</v>
      </c>
      <c r="DB22">
        <v>2464</v>
      </c>
      <c r="DC22">
        <v>666689</v>
      </c>
      <c r="DD22">
        <v>624</v>
      </c>
      <c r="DE22">
        <v>116016</v>
      </c>
      <c r="DF22">
        <v>625048</v>
      </c>
      <c r="DG22">
        <v>64732</v>
      </c>
      <c r="DH22">
        <v>134544</v>
      </c>
      <c r="DI22">
        <v>0</v>
      </c>
      <c r="DJ22">
        <v>209531</v>
      </c>
      <c r="DK22">
        <v>0</v>
      </c>
      <c r="DL22">
        <v>140032</v>
      </c>
      <c r="DM22">
        <v>234928</v>
      </c>
      <c r="DN22">
        <v>1012</v>
      </c>
      <c r="DO22">
        <v>27840</v>
      </c>
      <c r="DP22">
        <v>6192</v>
      </c>
      <c r="DQ22">
        <v>224640</v>
      </c>
      <c r="DR22">
        <v>301892</v>
      </c>
      <c r="DS22">
        <v>716408</v>
      </c>
      <c r="DT22">
        <v>244720</v>
      </c>
      <c r="DU22">
        <v>0</v>
      </c>
      <c r="DV22">
        <v>334848</v>
      </c>
      <c r="DW22">
        <v>229472</v>
      </c>
      <c r="DX22">
        <v>5767301</v>
      </c>
      <c r="DY22">
        <v>123408</v>
      </c>
      <c r="DZ22">
        <v>60993</v>
      </c>
      <c r="EA22">
        <v>1169115</v>
      </c>
      <c r="EB22">
        <v>1043893</v>
      </c>
      <c r="EC22">
        <v>0</v>
      </c>
      <c r="ED22">
        <v>62859</v>
      </c>
      <c r="EE22">
        <v>590492</v>
      </c>
      <c r="EF22">
        <v>11149</v>
      </c>
      <c r="EG22">
        <v>341434</v>
      </c>
      <c r="EH22">
        <v>1239</v>
      </c>
      <c r="EI22">
        <v>143066</v>
      </c>
      <c r="EJ22">
        <v>1549492</v>
      </c>
      <c r="EK22">
        <v>82612</v>
      </c>
      <c r="EL22">
        <v>791478</v>
      </c>
      <c r="EM22">
        <v>0</v>
      </c>
      <c r="EN22">
        <v>452307</v>
      </c>
      <c r="EO22">
        <v>0</v>
      </c>
      <c r="EP22">
        <v>646603</v>
      </c>
      <c r="EQ22">
        <v>689555</v>
      </c>
      <c r="ER22">
        <v>2327</v>
      </c>
      <c r="ES22">
        <v>13712</v>
      </c>
      <c r="ET22">
        <v>20939</v>
      </c>
      <c r="EU22">
        <v>490211</v>
      </c>
      <c r="EV22">
        <v>479636</v>
      </c>
      <c r="EW22">
        <v>1568317</v>
      </c>
      <c r="EX22">
        <v>632779</v>
      </c>
      <c r="EY22">
        <v>0</v>
      </c>
      <c r="EZ22">
        <v>619633</v>
      </c>
      <c r="FA22">
        <v>411455</v>
      </c>
      <c r="FB22">
        <v>11998704</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20250</v>
      </c>
      <c r="GH22">
        <v>10008</v>
      </c>
      <c r="GI22">
        <v>191837</v>
      </c>
      <c r="GJ22">
        <v>171290</v>
      </c>
      <c r="GK22">
        <v>0</v>
      </c>
      <c r="GL22">
        <v>10314</v>
      </c>
      <c r="GM22">
        <v>96892</v>
      </c>
      <c r="GN22">
        <v>1829</v>
      </c>
      <c r="GO22">
        <v>56025</v>
      </c>
      <c r="GP22">
        <v>203</v>
      </c>
      <c r="GQ22">
        <v>23475</v>
      </c>
      <c r="GR22">
        <v>254252</v>
      </c>
      <c r="GS22">
        <v>13556</v>
      </c>
      <c r="GT22">
        <v>129872</v>
      </c>
      <c r="GU22">
        <v>0</v>
      </c>
      <c r="GV22">
        <v>74218</v>
      </c>
      <c r="GW22">
        <v>0</v>
      </c>
      <c r="GX22">
        <v>106099</v>
      </c>
      <c r="GY22">
        <v>113147</v>
      </c>
      <c r="GZ22">
        <v>382</v>
      </c>
      <c r="HA22">
        <v>2250</v>
      </c>
      <c r="HB22">
        <v>3436</v>
      </c>
      <c r="HC22">
        <v>80437</v>
      </c>
      <c r="HD22">
        <v>78702</v>
      </c>
      <c r="HE22">
        <v>257341</v>
      </c>
      <c r="HF22">
        <v>103831</v>
      </c>
      <c r="HG22">
        <v>0</v>
      </c>
      <c r="HH22">
        <v>101674</v>
      </c>
      <c r="HI22">
        <v>67515</v>
      </c>
      <c r="HJ22">
        <v>1968836</v>
      </c>
      <c r="HK22">
        <v>10684</v>
      </c>
      <c r="HL22">
        <v>6015</v>
      </c>
      <c r="HM22">
        <v>97428</v>
      </c>
      <c r="HN22">
        <v>161393</v>
      </c>
      <c r="HO22">
        <v>0</v>
      </c>
      <c r="HP22">
        <v>1254</v>
      </c>
      <c r="HQ22">
        <v>22512</v>
      </c>
      <c r="HR22">
        <v>17</v>
      </c>
      <c r="HS22">
        <v>3796</v>
      </c>
      <c r="HT22">
        <v>2</v>
      </c>
      <c r="HU22">
        <v>45250</v>
      </c>
      <c r="HV22">
        <v>44660</v>
      </c>
      <c r="HW22">
        <v>4428</v>
      </c>
      <c r="HX22">
        <v>90809</v>
      </c>
      <c r="HY22">
        <v>0</v>
      </c>
      <c r="HZ22">
        <v>75439</v>
      </c>
      <c r="IA22">
        <v>0</v>
      </c>
      <c r="IB22">
        <v>87269</v>
      </c>
      <c r="IC22">
        <v>9022</v>
      </c>
      <c r="ID22">
        <v>21</v>
      </c>
      <c r="IE22">
        <v>1187</v>
      </c>
      <c r="IF22">
        <v>189</v>
      </c>
      <c r="IG22">
        <v>36594</v>
      </c>
      <c r="IH22">
        <v>256941</v>
      </c>
      <c r="II22">
        <v>39682</v>
      </c>
      <c r="IJ22">
        <v>69454</v>
      </c>
      <c r="IK22">
        <v>0</v>
      </c>
      <c r="IL22">
        <v>10093</v>
      </c>
      <c r="IM22">
        <v>9419</v>
      </c>
      <c r="IN22">
        <v>1083558</v>
      </c>
      <c r="IO22">
        <v>30934</v>
      </c>
      <c r="IP22">
        <v>16023</v>
      </c>
      <c r="IQ22">
        <v>289265</v>
      </c>
      <c r="IR22">
        <v>332683</v>
      </c>
      <c r="IS22">
        <v>0</v>
      </c>
      <c r="IT22">
        <v>11568</v>
      </c>
      <c r="IU22">
        <v>119404</v>
      </c>
      <c r="IV22">
        <v>1846</v>
      </c>
      <c r="IW22">
        <v>59821</v>
      </c>
      <c r="IX22">
        <v>205</v>
      </c>
      <c r="IY22">
        <v>68725</v>
      </c>
      <c r="IZ22">
        <v>298912</v>
      </c>
      <c r="JA22">
        <v>17984</v>
      </c>
      <c r="JB22">
        <v>220681</v>
      </c>
      <c r="JC22">
        <v>0</v>
      </c>
      <c r="JD22">
        <v>149657</v>
      </c>
      <c r="JE22">
        <v>0</v>
      </c>
      <c r="JF22">
        <v>193368</v>
      </c>
      <c r="JG22">
        <v>122169</v>
      </c>
      <c r="JH22">
        <v>403</v>
      </c>
      <c r="JI22">
        <v>3437</v>
      </c>
      <c r="JJ22">
        <v>3625</v>
      </c>
      <c r="JK22">
        <v>117031</v>
      </c>
      <c r="JL22">
        <v>335643</v>
      </c>
      <c r="JM22">
        <v>297023</v>
      </c>
      <c r="JN22">
        <v>173285</v>
      </c>
      <c r="JO22">
        <v>0</v>
      </c>
      <c r="JP22">
        <v>111767</v>
      </c>
      <c r="JQ22">
        <v>76934</v>
      </c>
      <c r="JR22">
        <v>3052394</v>
      </c>
      <c r="JS22">
        <v>154342</v>
      </c>
      <c r="JT22">
        <v>77016</v>
      </c>
      <c r="JU22">
        <v>1458380</v>
      </c>
      <c r="JV22">
        <v>1376576</v>
      </c>
      <c r="JW22">
        <v>0</v>
      </c>
      <c r="JX22">
        <v>74427</v>
      </c>
      <c r="JY22">
        <v>709896</v>
      </c>
      <c r="JZ22">
        <v>12995</v>
      </c>
      <c r="KA22">
        <v>401255</v>
      </c>
      <c r="KB22">
        <v>1444</v>
      </c>
      <c r="KC22">
        <v>211791</v>
      </c>
      <c r="KD22">
        <v>1848404</v>
      </c>
      <c r="KE22">
        <v>100596</v>
      </c>
      <c r="KF22">
        <v>1012159</v>
      </c>
      <c r="KG22">
        <v>0</v>
      </c>
      <c r="KH22">
        <v>601964</v>
      </c>
      <c r="KI22">
        <v>0</v>
      </c>
      <c r="KJ22">
        <v>839971</v>
      </c>
      <c r="KK22">
        <v>811724</v>
      </c>
      <c r="KL22">
        <v>2730</v>
      </c>
      <c r="KM22">
        <v>17149</v>
      </c>
      <c r="KN22">
        <v>24564</v>
      </c>
      <c r="KO22">
        <v>607242</v>
      </c>
      <c r="KP22">
        <v>815279</v>
      </c>
      <c r="KQ22">
        <v>1865340</v>
      </c>
      <c r="KR22">
        <v>806064</v>
      </c>
      <c r="KS22">
        <v>0</v>
      </c>
      <c r="KT22">
        <v>731400</v>
      </c>
      <c r="KU22">
        <v>488389</v>
      </c>
      <c r="KV22">
        <v>15051098</v>
      </c>
      <c r="KW22" t="s">
        <v>494</v>
      </c>
      <c r="KX22">
        <v>26106564</v>
      </c>
      <c r="KY22">
        <v>4599255</v>
      </c>
      <c r="KZ22">
        <v>30705819</v>
      </c>
      <c r="LA22">
        <v>0</v>
      </c>
      <c r="LB22">
        <v>227898</v>
      </c>
    </row>
    <row r="23" spans="1:314" x14ac:dyDescent="0.25">
      <c r="A23" t="s">
        <v>495</v>
      </c>
      <c r="B23" t="s">
        <v>496</v>
      </c>
      <c r="C23" t="s">
        <v>352</v>
      </c>
      <c r="D23" t="s">
        <v>497</v>
      </c>
      <c r="E23" s="2">
        <v>40939.937557870369</v>
      </c>
      <c r="G23" t="s">
        <v>498</v>
      </c>
      <c r="H23" t="s">
        <v>499</v>
      </c>
      <c r="I23" t="s">
        <v>452</v>
      </c>
      <c r="J23" t="s">
        <v>500</v>
      </c>
      <c r="K23" t="s">
        <v>501</v>
      </c>
      <c r="L23">
        <v>0</v>
      </c>
      <c r="M23">
        <v>0</v>
      </c>
      <c r="N23">
        <v>0</v>
      </c>
      <c r="O23">
        <v>28589385</v>
      </c>
      <c r="P23">
        <v>0</v>
      </c>
      <c r="Q23">
        <v>1714606</v>
      </c>
      <c r="R23">
        <v>0</v>
      </c>
      <c r="S23">
        <v>1714606</v>
      </c>
      <c r="T23">
        <v>2577619</v>
      </c>
      <c r="U23">
        <v>1847337</v>
      </c>
      <c r="V23">
        <v>2156608</v>
      </c>
      <c r="W23">
        <v>0</v>
      </c>
      <c r="X23">
        <v>0</v>
      </c>
      <c r="Y23">
        <v>0</v>
      </c>
      <c r="Z23">
        <v>6581564</v>
      </c>
      <c r="AA23">
        <v>2227710</v>
      </c>
      <c r="AB23">
        <v>351332</v>
      </c>
      <c r="AC23">
        <v>506261</v>
      </c>
      <c r="AD23">
        <v>0</v>
      </c>
      <c r="AE23">
        <v>647756</v>
      </c>
      <c r="AF23">
        <v>704860</v>
      </c>
      <c r="AG23">
        <v>4437919</v>
      </c>
      <c r="AH23">
        <v>4805329</v>
      </c>
      <c r="AI23">
        <v>2198669</v>
      </c>
      <c r="AJ23">
        <v>2662869</v>
      </c>
      <c r="AK23">
        <v>0</v>
      </c>
      <c r="AL23">
        <v>647756</v>
      </c>
      <c r="AM23">
        <v>704860</v>
      </c>
      <c r="AN23">
        <v>11019483</v>
      </c>
      <c r="AO23">
        <v>105413</v>
      </c>
      <c r="AP23">
        <v>0</v>
      </c>
      <c r="AQ23">
        <v>438240</v>
      </c>
      <c r="AR23">
        <v>0</v>
      </c>
      <c r="AS23">
        <v>543653</v>
      </c>
      <c r="AT23">
        <v>54959</v>
      </c>
      <c r="AU23">
        <v>0</v>
      </c>
      <c r="AV23">
        <v>79844</v>
      </c>
      <c r="AW23">
        <v>0</v>
      </c>
      <c r="AX23">
        <v>134803</v>
      </c>
      <c r="AY23">
        <v>160372</v>
      </c>
      <c r="AZ23">
        <v>0</v>
      </c>
      <c r="BA23">
        <v>518084</v>
      </c>
      <c r="BB23">
        <v>0</v>
      </c>
      <c r="BC23">
        <v>678456</v>
      </c>
      <c r="BD23">
        <v>936497</v>
      </c>
      <c r="BE23">
        <v>0</v>
      </c>
      <c r="BF23">
        <v>0</v>
      </c>
      <c r="BG23">
        <v>0</v>
      </c>
      <c r="BH23">
        <v>0</v>
      </c>
      <c r="BI23">
        <v>936497</v>
      </c>
      <c r="BJ23">
        <v>0</v>
      </c>
      <c r="BK23">
        <v>0</v>
      </c>
      <c r="BL23">
        <v>220276</v>
      </c>
      <c r="BM23">
        <v>0</v>
      </c>
      <c r="BN23">
        <v>0</v>
      </c>
      <c r="BO23">
        <v>220276</v>
      </c>
      <c r="BP23">
        <v>2570901</v>
      </c>
      <c r="BQ23">
        <v>0</v>
      </c>
      <c r="BR23">
        <v>0</v>
      </c>
      <c r="BS23">
        <v>0</v>
      </c>
      <c r="BT23">
        <v>0</v>
      </c>
      <c r="BU23">
        <v>2570901</v>
      </c>
      <c r="BV23">
        <v>3507398</v>
      </c>
      <c r="BW23">
        <v>0</v>
      </c>
      <c r="BX23">
        <v>220276</v>
      </c>
      <c r="BY23">
        <v>0</v>
      </c>
      <c r="BZ23">
        <v>0</v>
      </c>
      <c r="CA23">
        <v>3727674</v>
      </c>
      <c r="CB23">
        <v>0</v>
      </c>
      <c r="CC23">
        <v>0</v>
      </c>
      <c r="CD23">
        <v>0</v>
      </c>
      <c r="CE23">
        <v>0</v>
      </c>
      <c r="CF23">
        <v>0</v>
      </c>
      <c r="CG23">
        <v>0</v>
      </c>
      <c r="CH23">
        <v>0</v>
      </c>
      <c r="CI23">
        <v>0</v>
      </c>
      <c r="CJ23">
        <v>0</v>
      </c>
      <c r="CK23">
        <v>0</v>
      </c>
      <c r="CL23">
        <v>0</v>
      </c>
      <c r="CM23">
        <v>0</v>
      </c>
      <c r="CN23">
        <v>0</v>
      </c>
      <c r="CO23">
        <v>0</v>
      </c>
      <c r="CP23">
        <v>0</v>
      </c>
      <c r="CQ23">
        <v>0</v>
      </c>
      <c r="CR23" t="s">
        <v>495</v>
      </c>
      <c r="CS23">
        <v>701138</v>
      </c>
      <c r="CT23">
        <v>0</v>
      </c>
      <c r="CU23">
        <v>19290</v>
      </c>
      <c r="CV23">
        <v>40248</v>
      </c>
      <c r="CW23">
        <v>219408</v>
      </c>
      <c r="CX23">
        <v>168602</v>
      </c>
      <c r="CY23">
        <v>96</v>
      </c>
      <c r="CZ23">
        <v>50812</v>
      </c>
      <c r="DA23">
        <v>27929</v>
      </c>
      <c r="DB23">
        <v>44184</v>
      </c>
      <c r="DC23">
        <v>168972</v>
      </c>
      <c r="DD23">
        <v>0</v>
      </c>
      <c r="DE23">
        <v>114514</v>
      </c>
      <c r="DF23">
        <v>240753</v>
      </c>
      <c r="DG23">
        <v>14832</v>
      </c>
      <c r="DH23">
        <v>130929</v>
      </c>
      <c r="DI23">
        <v>0</v>
      </c>
      <c r="DJ23">
        <v>176579</v>
      </c>
      <c r="DK23">
        <v>168</v>
      </c>
      <c r="DL23">
        <v>68512</v>
      </c>
      <c r="DM23">
        <v>114288</v>
      </c>
      <c r="DN23">
        <v>39751</v>
      </c>
      <c r="DO23">
        <v>44302</v>
      </c>
      <c r="DP23">
        <v>7512</v>
      </c>
      <c r="DQ23">
        <v>92240</v>
      </c>
      <c r="DR23">
        <v>67928</v>
      </c>
      <c r="DS23">
        <v>322416</v>
      </c>
      <c r="DT23">
        <v>117802</v>
      </c>
      <c r="DU23">
        <v>0</v>
      </c>
      <c r="DV23">
        <v>114048</v>
      </c>
      <c r="DW23">
        <v>52864</v>
      </c>
      <c r="DX23">
        <v>2458979</v>
      </c>
      <c r="DY23">
        <v>52442</v>
      </c>
      <c r="DZ23">
        <v>160250</v>
      </c>
      <c r="EA23">
        <v>564971</v>
      </c>
      <c r="EB23">
        <v>779325</v>
      </c>
      <c r="EC23">
        <v>0</v>
      </c>
      <c r="ED23">
        <v>26412</v>
      </c>
      <c r="EE23">
        <v>48873</v>
      </c>
      <c r="EF23">
        <v>27310</v>
      </c>
      <c r="EG23">
        <v>429490</v>
      </c>
      <c r="EH23">
        <v>0</v>
      </c>
      <c r="EI23">
        <v>317604</v>
      </c>
      <c r="EJ23">
        <v>931304</v>
      </c>
      <c r="EK23">
        <v>53623</v>
      </c>
      <c r="EL23">
        <v>933366</v>
      </c>
      <c r="EM23">
        <v>0</v>
      </c>
      <c r="EN23">
        <v>890848</v>
      </c>
      <c r="EO23">
        <v>0</v>
      </c>
      <c r="EP23">
        <v>247343</v>
      </c>
      <c r="EQ23">
        <v>446461</v>
      </c>
      <c r="ER23">
        <v>72210</v>
      </c>
      <c r="ES23">
        <v>134342</v>
      </c>
      <c r="ET23">
        <v>23586</v>
      </c>
      <c r="EU23">
        <v>378259</v>
      </c>
      <c r="EV23">
        <v>414110</v>
      </c>
      <c r="EW23">
        <v>955555</v>
      </c>
      <c r="EX23">
        <v>565525</v>
      </c>
      <c r="EY23">
        <v>0</v>
      </c>
      <c r="EZ23">
        <v>340002</v>
      </c>
      <c r="FA23">
        <v>287102</v>
      </c>
      <c r="FB23">
        <v>9080313</v>
      </c>
      <c r="FC23">
        <v>0</v>
      </c>
      <c r="FD23">
        <v>0</v>
      </c>
      <c r="FE23">
        <v>60370</v>
      </c>
      <c r="FF23">
        <v>45865</v>
      </c>
      <c r="FG23">
        <v>0</v>
      </c>
      <c r="FH23">
        <v>1310</v>
      </c>
      <c r="FI23">
        <v>6115</v>
      </c>
      <c r="FJ23">
        <v>1293</v>
      </c>
      <c r="FK23">
        <v>60167</v>
      </c>
      <c r="FL23">
        <v>0</v>
      </c>
      <c r="FM23">
        <v>19417</v>
      </c>
      <c r="FN23">
        <v>4978</v>
      </c>
      <c r="FO23">
        <v>0</v>
      </c>
      <c r="FP23">
        <v>115778</v>
      </c>
      <c r="FQ23">
        <v>0</v>
      </c>
      <c r="FR23">
        <v>41328</v>
      </c>
      <c r="FS23">
        <v>0</v>
      </c>
      <c r="FT23">
        <v>43668</v>
      </c>
      <c r="FU23">
        <v>3595</v>
      </c>
      <c r="FV23">
        <v>15023</v>
      </c>
      <c r="FW23">
        <v>3007</v>
      </c>
      <c r="FX23">
        <v>1117</v>
      </c>
      <c r="FY23">
        <v>138919</v>
      </c>
      <c r="FZ23">
        <v>15822</v>
      </c>
      <c r="GA23">
        <v>16972</v>
      </c>
      <c r="GB23">
        <v>33049</v>
      </c>
      <c r="GC23">
        <v>0</v>
      </c>
      <c r="GD23">
        <v>23317</v>
      </c>
      <c r="GE23">
        <v>12699</v>
      </c>
      <c r="GF23">
        <v>663809</v>
      </c>
      <c r="GG23">
        <v>3773</v>
      </c>
      <c r="GH23">
        <v>11531</v>
      </c>
      <c r="GI23">
        <v>44996</v>
      </c>
      <c r="GJ23">
        <v>59377</v>
      </c>
      <c r="GK23">
        <v>0</v>
      </c>
      <c r="GL23">
        <v>1995</v>
      </c>
      <c r="GM23">
        <v>3957</v>
      </c>
      <c r="GN23">
        <v>2058</v>
      </c>
      <c r="GO23">
        <v>35233</v>
      </c>
      <c r="GP23">
        <v>0</v>
      </c>
      <c r="GQ23">
        <v>24250</v>
      </c>
      <c r="GR23">
        <v>67370</v>
      </c>
      <c r="GS23">
        <v>3858</v>
      </c>
      <c r="GT23">
        <v>75491</v>
      </c>
      <c r="GU23">
        <v>0</v>
      </c>
      <c r="GV23">
        <v>67075</v>
      </c>
      <c r="GW23">
        <v>0</v>
      </c>
      <c r="GX23">
        <v>20940</v>
      </c>
      <c r="GY23">
        <v>32384</v>
      </c>
      <c r="GZ23">
        <v>6277</v>
      </c>
      <c r="HA23">
        <v>9883</v>
      </c>
      <c r="HB23">
        <v>1778</v>
      </c>
      <c r="HC23">
        <v>37214</v>
      </c>
      <c r="HD23">
        <v>30936</v>
      </c>
      <c r="HE23">
        <v>69978</v>
      </c>
      <c r="HF23">
        <v>43070</v>
      </c>
      <c r="HG23">
        <v>0</v>
      </c>
      <c r="HH23">
        <v>26143</v>
      </c>
      <c r="HI23">
        <v>21572</v>
      </c>
      <c r="HJ23">
        <v>701138</v>
      </c>
      <c r="HK23">
        <v>7006</v>
      </c>
      <c r="HL23">
        <v>93557</v>
      </c>
      <c r="HM23">
        <v>63285</v>
      </c>
      <c r="HN23">
        <v>127942</v>
      </c>
      <c r="HO23">
        <v>241</v>
      </c>
      <c r="HP23">
        <v>2568</v>
      </c>
      <c r="HQ23">
        <v>11636</v>
      </c>
      <c r="HR23">
        <v>10566</v>
      </c>
      <c r="HS23">
        <v>80095</v>
      </c>
      <c r="HT23">
        <v>0</v>
      </c>
      <c r="HU23">
        <v>45597</v>
      </c>
      <c r="HV23">
        <v>59514</v>
      </c>
      <c r="HW23">
        <v>1342</v>
      </c>
      <c r="HX23">
        <v>102925</v>
      </c>
      <c r="HY23">
        <v>0</v>
      </c>
      <c r="HZ23">
        <v>159938</v>
      </c>
      <c r="IA23">
        <v>398</v>
      </c>
      <c r="IB23">
        <v>41390</v>
      </c>
      <c r="IC23">
        <v>17470</v>
      </c>
      <c r="ID23">
        <v>35207</v>
      </c>
      <c r="IE23">
        <v>647777</v>
      </c>
      <c r="IF23">
        <v>2911</v>
      </c>
      <c r="IG23">
        <v>18116</v>
      </c>
      <c r="IH23">
        <v>53707</v>
      </c>
      <c r="II23">
        <v>43989</v>
      </c>
      <c r="IJ23">
        <v>59489</v>
      </c>
      <c r="IK23">
        <v>0</v>
      </c>
      <c r="IL23">
        <v>8935</v>
      </c>
      <c r="IM23">
        <v>13165</v>
      </c>
      <c r="IN23">
        <v>1708766</v>
      </c>
      <c r="IO23">
        <v>10779</v>
      </c>
      <c r="IP23">
        <v>105088</v>
      </c>
      <c r="IQ23">
        <v>168651</v>
      </c>
      <c r="IR23">
        <v>233184</v>
      </c>
      <c r="IS23">
        <v>241</v>
      </c>
      <c r="IT23">
        <v>5873</v>
      </c>
      <c r="IU23">
        <v>21708</v>
      </c>
      <c r="IV23">
        <v>13917</v>
      </c>
      <c r="IW23">
        <v>175495</v>
      </c>
      <c r="IX23">
        <v>0</v>
      </c>
      <c r="IY23">
        <v>89264</v>
      </c>
      <c r="IZ23">
        <v>131862</v>
      </c>
      <c r="JA23">
        <v>5200</v>
      </c>
      <c r="JB23">
        <v>294194</v>
      </c>
      <c r="JC23">
        <v>0</v>
      </c>
      <c r="JD23">
        <v>268341</v>
      </c>
      <c r="JE23">
        <v>398</v>
      </c>
      <c r="JF23">
        <v>105998</v>
      </c>
      <c r="JG23">
        <v>53449</v>
      </c>
      <c r="JH23">
        <v>56507</v>
      </c>
      <c r="JI23">
        <v>660667</v>
      </c>
      <c r="JJ23">
        <v>5806</v>
      </c>
      <c r="JK23">
        <v>194249</v>
      </c>
      <c r="JL23">
        <v>100465</v>
      </c>
      <c r="JM23">
        <v>130939</v>
      </c>
      <c r="JN23">
        <v>135608</v>
      </c>
      <c r="JO23">
        <v>0</v>
      </c>
      <c r="JP23">
        <v>58395</v>
      </c>
      <c r="JQ23">
        <v>47436</v>
      </c>
      <c r="JR23">
        <v>3073713</v>
      </c>
      <c r="JS23">
        <v>63221</v>
      </c>
      <c r="JT23">
        <v>265338</v>
      </c>
      <c r="JU23">
        <v>733622</v>
      </c>
      <c r="JV23">
        <v>1012509</v>
      </c>
      <c r="JW23">
        <v>241</v>
      </c>
      <c r="JX23">
        <v>32285</v>
      </c>
      <c r="JY23">
        <v>70581</v>
      </c>
      <c r="JZ23">
        <v>41227</v>
      </c>
      <c r="KA23">
        <v>604985</v>
      </c>
      <c r="KB23">
        <v>0</v>
      </c>
      <c r="KC23">
        <v>406868</v>
      </c>
      <c r="KD23">
        <v>1063166</v>
      </c>
      <c r="KE23">
        <v>58823</v>
      </c>
      <c r="KF23">
        <v>1227560</v>
      </c>
      <c r="KG23">
        <v>0</v>
      </c>
      <c r="KH23">
        <v>1159189</v>
      </c>
      <c r="KI23">
        <v>398</v>
      </c>
      <c r="KJ23">
        <v>353341</v>
      </c>
      <c r="KK23">
        <v>499910</v>
      </c>
      <c r="KL23">
        <v>128717</v>
      </c>
      <c r="KM23">
        <v>795009</v>
      </c>
      <c r="KN23">
        <v>29392</v>
      </c>
      <c r="KO23">
        <v>572508</v>
      </c>
      <c r="KP23">
        <v>514575</v>
      </c>
      <c r="KQ23">
        <v>1086494</v>
      </c>
      <c r="KR23">
        <v>701133</v>
      </c>
      <c r="KS23">
        <v>0</v>
      </c>
      <c r="KT23">
        <v>398397</v>
      </c>
      <c r="KU23">
        <v>334538</v>
      </c>
      <c r="KV23">
        <v>12154026</v>
      </c>
      <c r="KW23" t="s">
        <v>359</v>
      </c>
      <c r="KX23">
        <v>24888115</v>
      </c>
      <c r="KY23">
        <v>4406130</v>
      </c>
      <c r="KZ23">
        <v>29294245</v>
      </c>
      <c r="LA23">
        <v>0</v>
      </c>
      <c r="LB23">
        <v>704860</v>
      </c>
    </row>
    <row r="24" spans="1:314" x14ac:dyDescent="0.25">
      <c r="A24" t="s">
        <v>502</v>
      </c>
      <c r="B24" t="s">
        <v>503</v>
      </c>
      <c r="C24" t="s">
        <v>352</v>
      </c>
      <c r="D24" t="s">
        <v>504</v>
      </c>
      <c r="E24" s="2">
        <v>40934.548726851855</v>
      </c>
      <c r="G24" t="s">
        <v>505</v>
      </c>
      <c r="H24" t="s">
        <v>506</v>
      </c>
      <c r="I24" t="s">
        <v>507</v>
      </c>
      <c r="J24" t="s">
        <v>508</v>
      </c>
      <c r="K24" t="s">
        <v>509</v>
      </c>
      <c r="L24">
        <v>0</v>
      </c>
      <c r="M24">
        <v>0</v>
      </c>
      <c r="N24">
        <v>0</v>
      </c>
      <c r="O24">
        <v>11111075</v>
      </c>
      <c r="P24">
        <v>0</v>
      </c>
      <c r="Q24">
        <v>402105</v>
      </c>
      <c r="R24">
        <v>0</v>
      </c>
      <c r="S24">
        <v>402105</v>
      </c>
      <c r="T24">
        <v>795831</v>
      </c>
      <c r="U24">
        <v>722913</v>
      </c>
      <c r="V24">
        <v>1284347</v>
      </c>
      <c r="W24">
        <v>0</v>
      </c>
      <c r="X24">
        <v>0</v>
      </c>
      <c r="Y24">
        <v>0</v>
      </c>
      <c r="Z24">
        <v>2803091</v>
      </c>
      <c r="AA24">
        <v>764849</v>
      </c>
      <c r="AB24">
        <v>128676</v>
      </c>
      <c r="AC24">
        <v>384792</v>
      </c>
      <c r="AD24">
        <v>0</v>
      </c>
      <c r="AE24">
        <v>0</v>
      </c>
      <c r="AF24">
        <v>0</v>
      </c>
      <c r="AG24">
        <v>1278317</v>
      </c>
      <c r="AH24">
        <v>1560680</v>
      </c>
      <c r="AI24">
        <v>851589</v>
      </c>
      <c r="AJ24">
        <v>1669139</v>
      </c>
      <c r="AK24">
        <v>0</v>
      </c>
      <c r="AL24">
        <v>0</v>
      </c>
      <c r="AM24">
        <v>0</v>
      </c>
      <c r="AN24">
        <v>4081408</v>
      </c>
      <c r="AO24">
        <v>0</v>
      </c>
      <c r="AP24">
        <v>0</v>
      </c>
      <c r="AQ24">
        <v>0</v>
      </c>
      <c r="AR24">
        <v>0</v>
      </c>
      <c r="AS24">
        <v>0</v>
      </c>
      <c r="AT24">
        <v>0</v>
      </c>
      <c r="AU24">
        <v>0</v>
      </c>
      <c r="AV24">
        <v>0</v>
      </c>
      <c r="AW24">
        <v>0</v>
      </c>
      <c r="AX24">
        <v>0</v>
      </c>
      <c r="AY24">
        <v>0</v>
      </c>
      <c r="AZ24">
        <v>0</v>
      </c>
      <c r="BA24">
        <v>0</v>
      </c>
      <c r="BB24">
        <v>0</v>
      </c>
      <c r="BC24">
        <v>0</v>
      </c>
      <c r="BD24">
        <v>267474</v>
      </c>
      <c r="BE24">
        <v>0</v>
      </c>
      <c r="BF24">
        <v>0</v>
      </c>
      <c r="BG24">
        <v>0</v>
      </c>
      <c r="BH24">
        <v>0</v>
      </c>
      <c r="BI24">
        <v>267474</v>
      </c>
      <c r="BJ24">
        <v>0</v>
      </c>
      <c r="BK24">
        <v>0</v>
      </c>
      <c r="BL24">
        <v>78463</v>
      </c>
      <c r="BM24">
        <v>0</v>
      </c>
      <c r="BN24">
        <v>0</v>
      </c>
      <c r="BO24">
        <v>78463</v>
      </c>
      <c r="BP24">
        <v>1037706</v>
      </c>
      <c r="BQ24">
        <v>0</v>
      </c>
      <c r="BR24">
        <v>0</v>
      </c>
      <c r="BS24">
        <v>0</v>
      </c>
      <c r="BT24">
        <v>202608</v>
      </c>
      <c r="BU24">
        <v>1240314</v>
      </c>
      <c r="BV24">
        <v>1305180</v>
      </c>
      <c r="BW24">
        <v>0</v>
      </c>
      <c r="BX24">
        <v>78463</v>
      </c>
      <c r="BY24">
        <v>0</v>
      </c>
      <c r="BZ24">
        <v>202608</v>
      </c>
      <c r="CA24">
        <v>1586251</v>
      </c>
      <c r="CB24">
        <v>0</v>
      </c>
      <c r="CC24">
        <v>0</v>
      </c>
      <c r="CD24">
        <v>0</v>
      </c>
      <c r="CE24">
        <v>0</v>
      </c>
      <c r="CF24">
        <v>0</v>
      </c>
      <c r="CG24">
        <v>0</v>
      </c>
      <c r="CH24">
        <v>0</v>
      </c>
      <c r="CI24">
        <v>0</v>
      </c>
      <c r="CJ24">
        <v>0</v>
      </c>
      <c r="CK24">
        <v>0</v>
      </c>
      <c r="CL24">
        <v>0</v>
      </c>
      <c r="CM24">
        <v>0</v>
      </c>
      <c r="CN24">
        <v>0</v>
      </c>
      <c r="CO24">
        <v>0</v>
      </c>
      <c r="CP24">
        <v>0</v>
      </c>
      <c r="CQ24">
        <v>0</v>
      </c>
      <c r="CR24" t="s">
        <v>502</v>
      </c>
      <c r="CS24">
        <v>446847</v>
      </c>
      <c r="CT24">
        <v>0</v>
      </c>
      <c r="CU24">
        <v>5376</v>
      </c>
      <c r="CV24">
        <v>14448</v>
      </c>
      <c r="CW24">
        <v>156064</v>
      </c>
      <c r="CX24">
        <v>66966</v>
      </c>
      <c r="CY24">
        <v>0</v>
      </c>
      <c r="CZ24">
        <v>4272</v>
      </c>
      <c r="DA24">
        <v>25875</v>
      </c>
      <c r="DB24">
        <v>7744</v>
      </c>
      <c r="DC24">
        <v>81314</v>
      </c>
      <c r="DD24">
        <v>0</v>
      </c>
      <c r="DE24">
        <v>37312</v>
      </c>
      <c r="DF24">
        <v>84192</v>
      </c>
      <c r="DG24">
        <v>13770</v>
      </c>
      <c r="DH24">
        <v>124818</v>
      </c>
      <c r="DI24">
        <v>0</v>
      </c>
      <c r="DJ24">
        <v>94500</v>
      </c>
      <c r="DK24">
        <v>0</v>
      </c>
      <c r="DL24">
        <v>75164</v>
      </c>
      <c r="DM24">
        <v>30752</v>
      </c>
      <c r="DN24">
        <v>0</v>
      </c>
      <c r="DO24">
        <v>1280</v>
      </c>
      <c r="DP24">
        <v>1152</v>
      </c>
      <c r="DQ24">
        <v>40032</v>
      </c>
      <c r="DR24">
        <v>4368</v>
      </c>
      <c r="DS24">
        <v>141648</v>
      </c>
      <c r="DT24">
        <v>74256</v>
      </c>
      <c r="DU24">
        <v>0</v>
      </c>
      <c r="DV24">
        <v>55008</v>
      </c>
      <c r="DW24">
        <v>13776</v>
      </c>
      <c r="DX24">
        <v>1154087</v>
      </c>
      <c r="DY24">
        <v>29894</v>
      </c>
      <c r="DZ24">
        <v>75920</v>
      </c>
      <c r="EA24">
        <v>394971</v>
      </c>
      <c r="EB24">
        <v>185570</v>
      </c>
      <c r="EC24">
        <v>0</v>
      </c>
      <c r="ED24">
        <v>45779</v>
      </c>
      <c r="EE24">
        <v>257410</v>
      </c>
      <c r="EF24">
        <v>40992</v>
      </c>
      <c r="EG24">
        <v>180592</v>
      </c>
      <c r="EH24">
        <v>0</v>
      </c>
      <c r="EI24">
        <v>88873</v>
      </c>
      <c r="EJ24">
        <v>301556</v>
      </c>
      <c r="EK24">
        <v>55867</v>
      </c>
      <c r="EL24">
        <v>647953</v>
      </c>
      <c r="EM24">
        <v>0</v>
      </c>
      <c r="EN24">
        <v>325249</v>
      </c>
      <c r="EO24">
        <v>0</v>
      </c>
      <c r="EP24">
        <v>346580</v>
      </c>
      <c r="EQ24">
        <v>201054</v>
      </c>
      <c r="ER24">
        <v>0</v>
      </c>
      <c r="ES24">
        <v>16270</v>
      </c>
      <c r="ET24">
        <v>14643</v>
      </c>
      <c r="EU24">
        <v>174235</v>
      </c>
      <c r="EV24">
        <v>10151</v>
      </c>
      <c r="EW24">
        <v>289801</v>
      </c>
      <c r="EX24">
        <v>301559</v>
      </c>
      <c r="EY24">
        <v>0</v>
      </c>
      <c r="EZ24">
        <v>126030</v>
      </c>
      <c r="FA24">
        <v>31480</v>
      </c>
      <c r="FB24">
        <v>4142429</v>
      </c>
      <c r="FC24">
        <v>6047</v>
      </c>
      <c r="FD24">
        <v>0</v>
      </c>
      <c r="FE24">
        <v>0</v>
      </c>
      <c r="FF24">
        <v>179</v>
      </c>
      <c r="FG24">
        <v>0</v>
      </c>
      <c r="FH24">
        <v>0</v>
      </c>
      <c r="FI24">
        <v>98</v>
      </c>
      <c r="FJ24">
        <v>8063</v>
      </c>
      <c r="FK24">
        <v>1323</v>
      </c>
      <c r="FL24">
        <v>0</v>
      </c>
      <c r="FM24">
        <v>18014</v>
      </c>
      <c r="FN24">
        <v>3402</v>
      </c>
      <c r="FO24">
        <v>1087</v>
      </c>
      <c r="FP24">
        <v>26567</v>
      </c>
      <c r="FQ24">
        <v>0</v>
      </c>
      <c r="FR24">
        <v>12929</v>
      </c>
      <c r="FS24">
        <v>0</v>
      </c>
      <c r="FT24">
        <v>12817</v>
      </c>
      <c r="FU24">
        <v>6888</v>
      </c>
      <c r="FV24">
        <v>0</v>
      </c>
      <c r="FW24">
        <v>3291</v>
      </c>
      <c r="FX24">
        <v>2962</v>
      </c>
      <c r="FY24">
        <v>2005</v>
      </c>
      <c r="FZ24">
        <v>286</v>
      </c>
      <c r="GA24">
        <v>11636</v>
      </c>
      <c r="GB24">
        <v>3443</v>
      </c>
      <c r="GC24">
        <v>0</v>
      </c>
      <c r="GD24">
        <v>1400</v>
      </c>
      <c r="GE24">
        <v>350</v>
      </c>
      <c r="GF24">
        <v>122787</v>
      </c>
      <c r="GG24">
        <v>3765</v>
      </c>
      <c r="GH24">
        <v>7954</v>
      </c>
      <c r="GI24">
        <v>41379</v>
      </c>
      <c r="GJ24">
        <v>19460</v>
      </c>
      <c r="GK24">
        <v>0</v>
      </c>
      <c r="GL24">
        <v>4796</v>
      </c>
      <c r="GM24">
        <v>26978</v>
      </c>
      <c r="GN24">
        <v>5139</v>
      </c>
      <c r="GO24">
        <v>19058</v>
      </c>
      <c r="GP24">
        <v>0</v>
      </c>
      <c r="GQ24">
        <v>11198</v>
      </c>
      <c r="GR24">
        <v>31949</v>
      </c>
      <c r="GS24">
        <v>5967</v>
      </c>
      <c r="GT24">
        <v>70666</v>
      </c>
      <c r="GU24">
        <v>0</v>
      </c>
      <c r="GV24">
        <v>35429</v>
      </c>
      <c r="GW24">
        <v>0</v>
      </c>
      <c r="GX24">
        <v>37652</v>
      </c>
      <c r="GY24">
        <v>21785</v>
      </c>
      <c r="GZ24">
        <v>0</v>
      </c>
      <c r="HA24">
        <v>2049</v>
      </c>
      <c r="HB24">
        <v>1844</v>
      </c>
      <c r="HC24">
        <v>18464</v>
      </c>
      <c r="HD24">
        <v>1093</v>
      </c>
      <c r="HE24">
        <v>31580</v>
      </c>
      <c r="HF24">
        <v>31954</v>
      </c>
      <c r="HG24">
        <v>0</v>
      </c>
      <c r="HH24">
        <v>13350</v>
      </c>
      <c r="HI24">
        <v>3335</v>
      </c>
      <c r="HJ24">
        <v>446847</v>
      </c>
      <c r="HK24">
        <v>19560</v>
      </c>
      <c r="HL24">
        <v>49360</v>
      </c>
      <c r="HM24">
        <v>45773</v>
      </c>
      <c r="HN24">
        <v>15988</v>
      </c>
      <c r="HO24">
        <v>0</v>
      </c>
      <c r="HP24">
        <v>4661</v>
      </c>
      <c r="HQ24">
        <v>9996</v>
      </c>
      <c r="HR24">
        <v>26513</v>
      </c>
      <c r="HS24">
        <v>19131</v>
      </c>
      <c r="HT24">
        <v>0</v>
      </c>
      <c r="HU24">
        <v>58278</v>
      </c>
      <c r="HV24">
        <v>16089</v>
      </c>
      <c r="HW24">
        <v>914</v>
      </c>
      <c r="HX24">
        <v>53972</v>
      </c>
      <c r="HY24">
        <v>0</v>
      </c>
      <c r="HZ24">
        <v>52731</v>
      </c>
      <c r="IA24">
        <v>0</v>
      </c>
      <c r="IB24">
        <v>19575</v>
      </c>
      <c r="IC24">
        <v>18900</v>
      </c>
      <c r="ID24">
        <v>0</v>
      </c>
      <c r="IE24">
        <v>10645</v>
      </c>
      <c r="IF24">
        <v>9580</v>
      </c>
      <c r="IG24">
        <v>17525</v>
      </c>
      <c r="IH24">
        <v>395</v>
      </c>
      <c r="II24">
        <v>24135</v>
      </c>
      <c r="IJ24">
        <v>50405</v>
      </c>
      <c r="IK24">
        <v>0</v>
      </c>
      <c r="IL24">
        <v>6185</v>
      </c>
      <c r="IM24">
        <v>1545</v>
      </c>
      <c r="IN24">
        <v>531856</v>
      </c>
      <c r="IO24">
        <v>29372</v>
      </c>
      <c r="IP24">
        <v>57314</v>
      </c>
      <c r="IQ24">
        <v>87152</v>
      </c>
      <c r="IR24">
        <v>35627</v>
      </c>
      <c r="IS24">
        <v>0</v>
      </c>
      <c r="IT24">
        <v>9457</v>
      </c>
      <c r="IU24">
        <v>37072</v>
      </c>
      <c r="IV24">
        <v>39715</v>
      </c>
      <c r="IW24">
        <v>39512</v>
      </c>
      <c r="IX24">
        <v>0</v>
      </c>
      <c r="IY24">
        <v>87490</v>
      </c>
      <c r="IZ24">
        <v>51440</v>
      </c>
      <c r="JA24">
        <v>7968</v>
      </c>
      <c r="JB24">
        <v>151205</v>
      </c>
      <c r="JC24">
        <v>0</v>
      </c>
      <c r="JD24">
        <v>101089</v>
      </c>
      <c r="JE24">
        <v>0</v>
      </c>
      <c r="JF24">
        <v>70044</v>
      </c>
      <c r="JG24">
        <v>47573</v>
      </c>
      <c r="JH24">
        <v>0</v>
      </c>
      <c r="JI24">
        <v>15985</v>
      </c>
      <c r="JJ24">
        <v>14386</v>
      </c>
      <c r="JK24">
        <v>37994</v>
      </c>
      <c r="JL24">
        <v>1774</v>
      </c>
      <c r="JM24">
        <v>67351</v>
      </c>
      <c r="JN24">
        <v>85802</v>
      </c>
      <c r="JO24">
        <v>0</v>
      </c>
      <c r="JP24">
        <v>20935</v>
      </c>
      <c r="JQ24">
        <v>5230</v>
      </c>
      <c r="JR24">
        <v>1101490</v>
      </c>
      <c r="JS24">
        <v>59266</v>
      </c>
      <c r="JT24">
        <v>133234</v>
      </c>
      <c r="JU24">
        <v>482123</v>
      </c>
      <c r="JV24">
        <v>221197</v>
      </c>
      <c r="JW24">
        <v>0</v>
      </c>
      <c r="JX24">
        <v>55236</v>
      </c>
      <c r="JY24">
        <v>294482</v>
      </c>
      <c r="JZ24">
        <v>80707</v>
      </c>
      <c r="KA24">
        <v>220104</v>
      </c>
      <c r="KB24">
        <v>0</v>
      </c>
      <c r="KC24">
        <v>176363</v>
      </c>
      <c r="KD24">
        <v>352996</v>
      </c>
      <c r="KE24">
        <v>63835</v>
      </c>
      <c r="KF24">
        <v>799158</v>
      </c>
      <c r="KG24">
        <v>0</v>
      </c>
      <c r="KH24">
        <v>426338</v>
      </c>
      <c r="KI24">
        <v>0</v>
      </c>
      <c r="KJ24">
        <v>416624</v>
      </c>
      <c r="KK24">
        <v>248627</v>
      </c>
      <c r="KL24">
        <v>0</v>
      </c>
      <c r="KM24">
        <v>32255</v>
      </c>
      <c r="KN24">
        <v>29029</v>
      </c>
      <c r="KO24">
        <v>212229</v>
      </c>
      <c r="KP24">
        <v>11925</v>
      </c>
      <c r="KQ24">
        <v>357152</v>
      </c>
      <c r="KR24">
        <v>387361</v>
      </c>
      <c r="KS24">
        <v>0</v>
      </c>
      <c r="KT24">
        <v>146965</v>
      </c>
      <c r="KU24">
        <v>36710</v>
      </c>
      <c r="KV24">
        <v>5243919</v>
      </c>
      <c r="KW24" t="s">
        <v>359</v>
      </c>
      <c r="KX24">
        <v>9727432</v>
      </c>
      <c r="KY24">
        <v>1586251</v>
      </c>
      <c r="KZ24">
        <v>11313683</v>
      </c>
      <c r="LA24">
        <v>0</v>
      </c>
      <c r="LB24">
        <v>202608</v>
      </c>
    </row>
    <row r="25" spans="1:314" x14ac:dyDescent="0.25">
      <c r="A25" t="s">
        <v>510</v>
      </c>
      <c r="B25" t="s">
        <v>511</v>
      </c>
      <c r="C25" t="s">
        <v>352</v>
      </c>
      <c r="D25" t="s">
        <v>512</v>
      </c>
      <c r="E25" s="2">
        <v>40932.382881944446</v>
      </c>
      <c r="G25" t="s">
        <v>513</v>
      </c>
      <c r="H25" t="s">
        <v>514</v>
      </c>
      <c r="I25" t="s">
        <v>452</v>
      </c>
      <c r="J25" t="s">
        <v>515</v>
      </c>
      <c r="K25" t="s">
        <v>516</v>
      </c>
      <c r="L25">
        <v>0</v>
      </c>
      <c r="M25">
        <v>0</v>
      </c>
      <c r="N25">
        <v>0</v>
      </c>
      <c r="O25">
        <v>18019128</v>
      </c>
      <c r="P25">
        <v>0</v>
      </c>
      <c r="Q25">
        <v>488545</v>
      </c>
      <c r="R25">
        <v>0</v>
      </c>
      <c r="S25">
        <v>488545</v>
      </c>
      <c r="T25">
        <v>1407014</v>
      </c>
      <c r="U25">
        <v>1033578</v>
      </c>
      <c r="V25">
        <v>925739</v>
      </c>
      <c r="W25">
        <v>0</v>
      </c>
      <c r="X25">
        <v>0</v>
      </c>
      <c r="Y25">
        <v>0</v>
      </c>
      <c r="Z25">
        <v>3366331</v>
      </c>
      <c r="AA25">
        <v>939375</v>
      </c>
      <c r="AB25">
        <v>261373</v>
      </c>
      <c r="AC25">
        <v>231406</v>
      </c>
      <c r="AD25">
        <v>0</v>
      </c>
      <c r="AE25">
        <v>174102</v>
      </c>
      <c r="AF25">
        <v>702725</v>
      </c>
      <c r="AG25">
        <v>2308981</v>
      </c>
      <c r="AH25">
        <v>2346389</v>
      </c>
      <c r="AI25">
        <v>1294951</v>
      </c>
      <c r="AJ25">
        <v>1157145</v>
      </c>
      <c r="AK25">
        <v>0</v>
      </c>
      <c r="AL25">
        <v>174102</v>
      </c>
      <c r="AM25">
        <v>702725</v>
      </c>
      <c r="AN25">
        <v>5675312</v>
      </c>
      <c r="AO25">
        <v>199091</v>
      </c>
      <c r="AP25">
        <v>0</v>
      </c>
      <c r="AQ25">
        <v>0</v>
      </c>
      <c r="AR25">
        <v>0</v>
      </c>
      <c r="AS25">
        <v>199091</v>
      </c>
      <c r="AT25">
        <v>55191</v>
      </c>
      <c r="AU25">
        <v>0</v>
      </c>
      <c r="AV25">
        <v>0</v>
      </c>
      <c r="AW25">
        <v>0</v>
      </c>
      <c r="AX25">
        <v>55191</v>
      </c>
      <c r="AY25">
        <v>254282</v>
      </c>
      <c r="AZ25">
        <v>0</v>
      </c>
      <c r="BA25">
        <v>0</v>
      </c>
      <c r="BB25">
        <v>0</v>
      </c>
      <c r="BC25">
        <v>254282</v>
      </c>
      <c r="BD25">
        <v>831937</v>
      </c>
      <c r="BE25">
        <v>0</v>
      </c>
      <c r="BF25">
        <v>0</v>
      </c>
      <c r="BG25">
        <v>0</v>
      </c>
      <c r="BH25">
        <v>0</v>
      </c>
      <c r="BI25">
        <v>831937</v>
      </c>
      <c r="BJ25">
        <v>0</v>
      </c>
      <c r="BK25">
        <v>0</v>
      </c>
      <c r="BL25">
        <v>171994</v>
      </c>
      <c r="BM25">
        <v>0</v>
      </c>
      <c r="BN25">
        <v>0</v>
      </c>
      <c r="BO25">
        <v>171994</v>
      </c>
      <c r="BP25">
        <v>1399542</v>
      </c>
      <c r="BQ25">
        <v>0</v>
      </c>
      <c r="BR25">
        <v>0</v>
      </c>
      <c r="BS25">
        <v>0</v>
      </c>
      <c r="BT25">
        <v>85737</v>
      </c>
      <c r="BU25">
        <v>1485279</v>
      </c>
      <c r="BV25">
        <v>2231479</v>
      </c>
      <c r="BW25">
        <v>0</v>
      </c>
      <c r="BX25">
        <v>171994</v>
      </c>
      <c r="BY25">
        <v>0</v>
      </c>
      <c r="BZ25">
        <v>85737</v>
      </c>
      <c r="CA25">
        <v>2489210</v>
      </c>
      <c r="CB25">
        <v>0</v>
      </c>
      <c r="CC25">
        <v>0</v>
      </c>
      <c r="CD25">
        <v>0</v>
      </c>
      <c r="CE25">
        <v>0</v>
      </c>
      <c r="CF25">
        <v>0</v>
      </c>
      <c r="CG25">
        <v>0</v>
      </c>
      <c r="CH25">
        <v>0</v>
      </c>
      <c r="CI25">
        <v>0</v>
      </c>
      <c r="CJ25">
        <v>0</v>
      </c>
      <c r="CK25">
        <v>0</v>
      </c>
      <c r="CL25">
        <v>0</v>
      </c>
      <c r="CM25">
        <v>0</v>
      </c>
      <c r="CN25">
        <v>0</v>
      </c>
      <c r="CO25">
        <v>0</v>
      </c>
      <c r="CP25">
        <v>0</v>
      </c>
      <c r="CQ25">
        <v>0</v>
      </c>
      <c r="CR25" t="s">
        <v>510</v>
      </c>
      <c r="CS25">
        <v>1069590</v>
      </c>
      <c r="CT25">
        <v>0</v>
      </c>
      <c r="CU25">
        <v>7828</v>
      </c>
      <c r="CV25">
        <v>227480</v>
      </c>
      <c r="CW25">
        <v>427184</v>
      </c>
      <c r="CX25">
        <v>128358</v>
      </c>
      <c r="CY25">
        <v>0</v>
      </c>
      <c r="CZ25">
        <v>11888</v>
      </c>
      <c r="DA25">
        <v>118337</v>
      </c>
      <c r="DB25">
        <v>668</v>
      </c>
      <c r="DC25">
        <v>73675</v>
      </c>
      <c r="DD25">
        <v>0</v>
      </c>
      <c r="DE25">
        <v>285633</v>
      </c>
      <c r="DF25">
        <v>299312</v>
      </c>
      <c r="DG25">
        <v>47128</v>
      </c>
      <c r="DH25">
        <v>59904</v>
      </c>
      <c r="DI25">
        <v>0</v>
      </c>
      <c r="DJ25">
        <v>195494</v>
      </c>
      <c r="DK25">
        <v>0</v>
      </c>
      <c r="DL25">
        <v>86644</v>
      </c>
      <c r="DM25">
        <v>120960</v>
      </c>
      <c r="DN25">
        <v>0</v>
      </c>
      <c r="DO25">
        <v>1764</v>
      </c>
      <c r="DP25">
        <v>4880</v>
      </c>
      <c r="DQ25">
        <v>116496</v>
      </c>
      <c r="DR25">
        <v>45160</v>
      </c>
      <c r="DS25">
        <v>458888</v>
      </c>
      <c r="DT25">
        <v>117152</v>
      </c>
      <c r="DU25">
        <v>0</v>
      </c>
      <c r="DV25">
        <v>216912</v>
      </c>
      <c r="DW25">
        <v>118624</v>
      </c>
      <c r="DX25">
        <v>3170369</v>
      </c>
      <c r="DY25">
        <v>48153</v>
      </c>
      <c r="DZ25">
        <v>697337</v>
      </c>
      <c r="EA25">
        <v>689340</v>
      </c>
      <c r="EB25">
        <v>253752</v>
      </c>
      <c r="EC25">
        <v>0</v>
      </c>
      <c r="ED25">
        <v>40513</v>
      </c>
      <c r="EE25">
        <v>314435</v>
      </c>
      <c r="EF25">
        <v>1441</v>
      </c>
      <c r="EG25">
        <v>255068</v>
      </c>
      <c r="EH25">
        <v>0</v>
      </c>
      <c r="EI25">
        <v>313290</v>
      </c>
      <c r="EJ25">
        <v>678073</v>
      </c>
      <c r="EK25">
        <v>125243</v>
      </c>
      <c r="EL25">
        <v>508314</v>
      </c>
      <c r="EM25">
        <v>0</v>
      </c>
      <c r="EN25">
        <v>507340</v>
      </c>
      <c r="EO25">
        <v>0</v>
      </c>
      <c r="EP25">
        <v>465240</v>
      </c>
      <c r="EQ25">
        <v>414095</v>
      </c>
      <c r="ER25">
        <v>0</v>
      </c>
      <c r="ES25">
        <v>29032</v>
      </c>
      <c r="ET25">
        <v>311</v>
      </c>
      <c r="EU25">
        <v>340068</v>
      </c>
      <c r="EV25">
        <v>64240</v>
      </c>
      <c r="EW25">
        <v>1017363</v>
      </c>
      <c r="EX25">
        <v>317611</v>
      </c>
      <c r="EY25">
        <v>0</v>
      </c>
      <c r="EZ25">
        <v>294647</v>
      </c>
      <c r="FA25">
        <v>344515</v>
      </c>
      <c r="FB25">
        <v>7719421</v>
      </c>
      <c r="FC25">
        <v>647</v>
      </c>
      <c r="FD25">
        <v>2807</v>
      </c>
      <c r="FE25">
        <v>54145</v>
      </c>
      <c r="FF25">
        <v>5975</v>
      </c>
      <c r="FG25">
        <v>0</v>
      </c>
      <c r="FH25">
        <v>0</v>
      </c>
      <c r="FI25">
        <v>1594</v>
      </c>
      <c r="FJ25">
        <v>671</v>
      </c>
      <c r="FK25">
        <v>3583</v>
      </c>
      <c r="FL25">
        <v>0</v>
      </c>
      <c r="FM25">
        <v>4087</v>
      </c>
      <c r="FN25">
        <v>44592</v>
      </c>
      <c r="FO25">
        <v>168</v>
      </c>
      <c r="FP25">
        <v>8350</v>
      </c>
      <c r="FQ25">
        <v>0</v>
      </c>
      <c r="FR25">
        <v>33598</v>
      </c>
      <c r="FS25">
        <v>0</v>
      </c>
      <c r="FT25">
        <v>690</v>
      </c>
      <c r="FU25">
        <v>0</v>
      </c>
      <c r="FV25">
        <v>0</v>
      </c>
      <c r="FW25">
        <v>1774</v>
      </c>
      <c r="FX25">
        <v>145</v>
      </c>
      <c r="FY25">
        <v>0</v>
      </c>
      <c r="FZ25">
        <v>555</v>
      </c>
      <c r="GA25">
        <v>56</v>
      </c>
      <c r="GB25">
        <v>193</v>
      </c>
      <c r="GC25">
        <v>0</v>
      </c>
      <c r="GD25">
        <v>28400</v>
      </c>
      <c r="GE25">
        <v>88392</v>
      </c>
      <c r="GF25">
        <v>280422</v>
      </c>
      <c r="GG25">
        <v>6525</v>
      </c>
      <c r="GH25">
        <v>93610</v>
      </c>
      <c r="GI25">
        <v>99405</v>
      </c>
      <c r="GJ25">
        <v>34726</v>
      </c>
      <c r="GK25">
        <v>0</v>
      </c>
      <c r="GL25">
        <v>5417</v>
      </c>
      <c r="GM25">
        <v>42254</v>
      </c>
      <c r="GN25">
        <v>282</v>
      </c>
      <c r="GO25">
        <v>34582</v>
      </c>
      <c r="GP25">
        <v>0</v>
      </c>
      <c r="GQ25">
        <v>42434</v>
      </c>
      <c r="GR25">
        <v>96621</v>
      </c>
      <c r="GS25">
        <v>16768</v>
      </c>
      <c r="GT25">
        <v>69079</v>
      </c>
      <c r="GU25">
        <v>0</v>
      </c>
      <c r="GV25">
        <v>72324</v>
      </c>
      <c r="GW25">
        <v>0</v>
      </c>
      <c r="GX25">
        <v>62295</v>
      </c>
      <c r="GY25">
        <v>55365</v>
      </c>
      <c r="GZ25">
        <v>0</v>
      </c>
      <c r="HA25">
        <v>4119</v>
      </c>
      <c r="HB25">
        <v>61</v>
      </c>
      <c r="HC25">
        <v>45468</v>
      </c>
      <c r="HD25">
        <v>8663</v>
      </c>
      <c r="HE25">
        <v>136030</v>
      </c>
      <c r="HF25">
        <v>42491</v>
      </c>
      <c r="HG25">
        <v>0</v>
      </c>
      <c r="HH25">
        <v>43192</v>
      </c>
      <c r="HI25">
        <v>57880</v>
      </c>
      <c r="HJ25">
        <v>1069590</v>
      </c>
      <c r="HK25">
        <v>3568</v>
      </c>
      <c r="HL25">
        <v>180820</v>
      </c>
      <c r="HM25">
        <v>32925</v>
      </c>
      <c r="HN25">
        <v>31047</v>
      </c>
      <c r="HO25">
        <v>0</v>
      </c>
      <c r="HP25">
        <v>5541</v>
      </c>
      <c r="HQ25">
        <v>12762</v>
      </c>
      <c r="HR25">
        <v>2436</v>
      </c>
      <c r="HS25">
        <v>37168</v>
      </c>
      <c r="HT25">
        <v>0</v>
      </c>
      <c r="HU25">
        <v>67891</v>
      </c>
      <c r="HV25">
        <v>19086</v>
      </c>
      <c r="HW25">
        <v>1898</v>
      </c>
      <c r="HX25">
        <v>54014</v>
      </c>
      <c r="HY25">
        <v>0</v>
      </c>
      <c r="HZ25">
        <v>174287</v>
      </c>
      <c r="IA25">
        <v>0</v>
      </c>
      <c r="IB25">
        <v>27026</v>
      </c>
      <c r="IC25">
        <v>14761</v>
      </c>
      <c r="ID25">
        <v>0</v>
      </c>
      <c r="IE25">
        <v>6432</v>
      </c>
      <c r="IF25">
        <v>525</v>
      </c>
      <c r="IG25">
        <v>37250</v>
      </c>
      <c r="IH25">
        <v>18591</v>
      </c>
      <c r="II25">
        <v>18164</v>
      </c>
      <c r="IJ25">
        <v>57535</v>
      </c>
      <c r="IK25">
        <v>13742</v>
      </c>
      <c r="IL25">
        <v>8955</v>
      </c>
      <c r="IM25">
        <v>4384</v>
      </c>
      <c r="IN25">
        <v>830808</v>
      </c>
      <c r="IO25">
        <v>10740</v>
      </c>
      <c r="IP25">
        <v>277237</v>
      </c>
      <c r="IQ25">
        <v>186475</v>
      </c>
      <c r="IR25">
        <v>71748</v>
      </c>
      <c r="IS25">
        <v>0</v>
      </c>
      <c r="IT25">
        <v>10958</v>
      </c>
      <c r="IU25">
        <v>56610</v>
      </c>
      <c r="IV25">
        <v>3389</v>
      </c>
      <c r="IW25">
        <v>75333</v>
      </c>
      <c r="IX25">
        <v>0</v>
      </c>
      <c r="IY25">
        <v>114412</v>
      </c>
      <c r="IZ25">
        <v>160299</v>
      </c>
      <c r="JA25">
        <v>18834</v>
      </c>
      <c r="JB25">
        <v>131443</v>
      </c>
      <c r="JC25">
        <v>0</v>
      </c>
      <c r="JD25">
        <v>280209</v>
      </c>
      <c r="JE25">
        <v>0</v>
      </c>
      <c r="JF25">
        <v>90011</v>
      </c>
      <c r="JG25">
        <v>70126</v>
      </c>
      <c r="JH25">
        <v>0</v>
      </c>
      <c r="JI25">
        <v>12325</v>
      </c>
      <c r="JJ25">
        <v>731</v>
      </c>
      <c r="JK25">
        <v>82718</v>
      </c>
      <c r="JL25">
        <v>27809</v>
      </c>
      <c r="JM25">
        <v>154250</v>
      </c>
      <c r="JN25">
        <v>100219</v>
      </c>
      <c r="JO25">
        <v>13742</v>
      </c>
      <c r="JP25">
        <v>80547</v>
      </c>
      <c r="JQ25">
        <v>150656</v>
      </c>
      <c r="JR25">
        <v>2180820</v>
      </c>
      <c r="JS25">
        <v>58893</v>
      </c>
      <c r="JT25">
        <v>974574</v>
      </c>
      <c r="JU25">
        <v>875815</v>
      </c>
      <c r="JV25">
        <v>325500</v>
      </c>
      <c r="JW25">
        <v>0</v>
      </c>
      <c r="JX25">
        <v>51471</v>
      </c>
      <c r="JY25">
        <v>371045</v>
      </c>
      <c r="JZ25">
        <v>4830</v>
      </c>
      <c r="KA25">
        <v>330401</v>
      </c>
      <c r="KB25">
        <v>0</v>
      </c>
      <c r="KC25">
        <v>427702</v>
      </c>
      <c r="KD25">
        <v>838372</v>
      </c>
      <c r="KE25">
        <v>144077</v>
      </c>
      <c r="KF25">
        <v>639757</v>
      </c>
      <c r="KG25">
        <v>0</v>
      </c>
      <c r="KH25">
        <v>787549</v>
      </c>
      <c r="KI25">
        <v>0</v>
      </c>
      <c r="KJ25">
        <v>555251</v>
      </c>
      <c r="KK25">
        <v>484221</v>
      </c>
      <c r="KL25">
        <v>0</v>
      </c>
      <c r="KM25">
        <v>41357</v>
      </c>
      <c r="KN25">
        <v>1042</v>
      </c>
      <c r="KO25">
        <v>422786</v>
      </c>
      <c r="KP25">
        <v>92049</v>
      </c>
      <c r="KQ25">
        <v>1171613</v>
      </c>
      <c r="KR25">
        <v>417830</v>
      </c>
      <c r="KS25">
        <v>13742</v>
      </c>
      <c r="KT25">
        <v>375194</v>
      </c>
      <c r="KU25">
        <v>495171</v>
      </c>
      <c r="KV25">
        <v>9900241</v>
      </c>
      <c r="KW25" t="s">
        <v>359</v>
      </c>
      <c r="KX25">
        <v>16064098</v>
      </c>
      <c r="KY25">
        <v>2743492</v>
      </c>
      <c r="KZ25">
        <v>18807590</v>
      </c>
      <c r="LA25">
        <v>0</v>
      </c>
      <c r="LB25">
        <v>788462</v>
      </c>
    </row>
    <row r="26" spans="1:314" ht="15" customHeight="1" x14ac:dyDescent="0.25">
      <c r="A26" t="s">
        <v>517</v>
      </c>
      <c r="B26" t="s">
        <v>518</v>
      </c>
      <c r="E26" s="2">
        <v>40164.624571759261</v>
      </c>
      <c r="G26" t="s">
        <v>519</v>
      </c>
      <c r="H26" t="s">
        <v>520</v>
      </c>
      <c r="I26" t="s">
        <v>521</v>
      </c>
      <c r="J26" t="s">
        <v>522</v>
      </c>
      <c r="K26" t="s">
        <v>523</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t="s">
        <v>517</v>
      </c>
      <c r="CS26">
        <v>0</v>
      </c>
      <c r="CT26">
        <v>0</v>
      </c>
      <c r="CU26">
        <v>2688</v>
      </c>
      <c r="CV26">
        <v>18144</v>
      </c>
      <c r="CW26">
        <v>67392</v>
      </c>
      <c r="CX26">
        <v>10064</v>
      </c>
      <c r="CY26">
        <v>0</v>
      </c>
      <c r="CZ26">
        <v>0</v>
      </c>
      <c r="DA26">
        <v>33632</v>
      </c>
      <c r="DB26">
        <v>0</v>
      </c>
      <c r="DC26">
        <v>125408</v>
      </c>
      <c r="DD26">
        <v>0</v>
      </c>
      <c r="DE26">
        <v>2480</v>
      </c>
      <c r="DF26">
        <v>107232</v>
      </c>
      <c r="DG26">
        <v>2928</v>
      </c>
      <c r="DH26">
        <v>9472</v>
      </c>
      <c r="DI26">
        <v>0</v>
      </c>
      <c r="DJ26">
        <v>13014</v>
      </c>
      <c r="DK26">
        <v>0</v>
      </c>
      <c r="DL26">
        <v>90128</v>
      </c>
      <c r="DM26">
        <v>29264</v>
      </c>
      <c r="DN26">
        <v>0</v>
      </c>
      <c r="DO26">
        <v>600</v>
      </c>
      <c r="DP26">
        <v>512</v>
      </c>
      <c r="DQ26">
        <v>34752</v>
      </c>
      <c r="DR26">
        <v>0</v>
      </c>
      <c r="DS26">
        <v>103968</v>
      </c>
      <c r="DT26">
        <v>21632</v>
      </c>
      <c r="DU26">
        <v>0</v>
      </c>
      <c r="DV26">
        <v>27104</v>
      </c>
      <c r="DW26">
        <v>36112</v>
      </c>
      <c r="DX26">
        <v>736526</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v>0</v>
      </c>
      <c r="KL26">
        <v>0</v>
      </c>
      <c r="KM26">
        <v>0</v>
      </c>
      <c r="KN26">
        <v>0</v>
      </c>
      <c r="KO26">
        <v>0</v>
      </c>
      <c r="KP26">
        <v>0</v>
      </c>
      <c r="KQ26">
        <v>0</v>
      </c>
      <c r="KR26">
        <v>0</v>
      </c>
      <c r="KS26">
        <v>0</v>
      </c>
      <c r="KT26">
        <v>0</v>
      </c>
      <c r="KU26">
        <v>0</v>
      </c>
      <c r="KV26">
        <v>0</v>
      </c>
      <c r="KW26" t="s">
        <v>359</v>
      </c>
      <c r="KX26">
        <v>0</v>
      </c>
      <c r="KY26">
        <v>0</v>
      </c>
      <c r="KZ26">
        <v>0</v>
      </c>
      <c r="LA26">
        <v>0</v>
      </c>
      <c r="LB26">
        <v>0</v>
      </c>
    </row>
    <row r="27" spans="1:314" x14ac:dyDescent="0.25">
      <c r="A27" t="s">
        <v>524</v>
      </c>
      <c r="B27" t="s">
        <v>525</v>
      </c>
      <c r="C27" t="s">
        <v>352</v>
      </c>
      <c r="D27" t="s">
        <v>526</v>
      </c>
      <c r="E27" s="2">
        <v>40939.360277777778</v>
      </c>
      <c r="G27" t="s">
        <v>527</v>
      </c>
      <c r="H27" t="s">
        <v>528</v>
      </c>
      <c r="I27" t="s">
        <v>529</v>
      </c>
      <c r="J27" t="s">
        <v>530</v>
      </c>
      <c r="K27" t="s">
        <v>531</v>
      </c>
      <c r="L27">
        <v>0</v>
      </c>
      <c r="M27">
        <v>0</v>
      </c>
      <c r="N27">
        <v>0</v>
      </c>
      <c r="O27">
        <v>250208893</v>
      </c>
      <c r="P27">
        <v>0</v>
      </c>
      <c r="Q27">
        <v>5994038</v>
      </c>
      <c r="R27">
        <v>0</v>
      </c>
      <c r="S27">
        <v>5994038</v>
      </c>
      <c r="T27">
        <v>29580897</v>
      </c>
      <c r="U27">
        <v>17747373</v>
      </c>
      <c r="V27">
        <v>16107768</v>
      </c>
      <c r="W27">
        <v>0</v>
      </c>
      <c r="X27">
        <v>0</v>
      </c>
      <c r="Y27">
        <v>0</v>
      </c>
      <c r="Z27">
        <v>63436038</v>
      </c>
      <c r="AA27">
        <v>15164487</v>
      </c>
      <c r="AB27">
        <v>5219222</v>
      </c>
      <c r="AC27">
        <v>5685614</v>
      </c>
      <c r="AD27">
        <v>0</v>
      </c>
      <c r="AE27">
        <v>882407</v>
      </c>
      <c r="AF27">
        <v>5018513</v>
      </c>
      <c r="AG27">
        <v>31970243</v>
      </c>
      <c r="AH27">
        <v>44745384</v>
      </c>
      <c r="AI27">
        <v>22966595</v>
      </c>
      <c r="AJ27">
        <v>21793382</v>
      </c>
      <c r="AK27">
        <v>0</v>
      </c>
      <c r="AL27">
        <v>882407</v>
      </c>
      <c r="AM27">
        <v>5018513</v>
      </c>
      <c r="AN27">
        <v>95406281</v>
      </c>
      <c r="AO27">
        <v>0</v>
      </c>
      <c r="AP27">
        <v>0</v>
      </c>
      <c r="AQ27">
        <v>123420</v>
      </c>
      <c r="AR27">
        <v>0</v>
      </c>
      <c r="AS27">
        <v>123420</v>
      </c>
      <c r="AT27">
        <v>0</v>
      </c>
      <c r="AU27">
        <v>0</v>
      </c>
      <c r="AV27">
        <v>111004</v>
      </c>
      <c r="AW27">
        <v>0</v>
      </c>
      <c r="AX27">
        <v>111004</v>
      </c>
      <c r="AY27">
        <v>0</v>
      </c>
      <c r="AZ27">
        <v>0</v>
      </c>
      <c r="BA27">
        <v>234424</v>
      </c>
      <c r="BB27">
        <v>0</v>
      </c>
      <c r="BC27">
        <v>234424</v>
      </c>
      <c r="BD27">
        <v>9251613</v>
      </c>
      <c r="BE27">
        <v>0</v>
      </c>
      <c r="BF27">
        <v>0</v>
      </c>
      <c r="BG27">
        <v>0</v>
      </c>
      <c r="BH27">
        <v>0</v>
      </c>
      <c r="BI27">
        <v>9251613</v>
      </c>
      <c r="BJ27">
        <v>0</v>
      </c>
      <c r="BK27">
        <v>0</v>
      </c>
      <c r="BL27">
        <v>3266321</v>
      </c>
      <c r="BM27">
        <v>0</v>
      </c>
      <c r="BN27">
        <v>0</v>
      </c>
      <c r="BO27">
        <v>3266321</v>
      </c>
      <c r="BP27">
        <v>16180343</v>
      </c>
      <c r="BQ27">
        <v>4359102</v>
      </c>
      <c r="BR27">
        <v>0</v>
      </c>
      <c r="BS27">
        <v>0</v>
      </c>
      <c r="BT27">
        <v>0</v>
      </c>
      <c r="BU27">
        <v>20539445</v>
      </c>
      <c r="BV27">
        <v>25431956</v>
      </c>
      <c r="BW27">
        <v>4359102</v>
      </c>
      <c r="BX27">
        <v>3266321</v>
      </c>
      <c r="BY27">
        <v>0</v>
      </c>
      <c r="BZ27">
        <v>0</v>
      </c>
      <c r="CA27">
        <v>33057379</v>
      </c>
      <c r="CB27">
        <v>0</v>
      </c>
      <c r="CC27">
        <v>0</v>
      </c>
      <c r="CD27">
        <v>0</v>
      </c>
      <c r="CE27">
        <v>0</v>
      </c>
      <c r="CF27">
        <v>0</v>
      </c>
      <c r="CG27">
        <v>0</v>
      </c>
      <c r="CH27">
        <v>0</v>
      </c>
      <c r="CI27">
        <v>0</v>
      </c>
      <c r="CJ27">
        <v>0</v>
      </c>
      <c r="CK27">
        <v>0</v>
      </c>
      <c r="CL27">
        <v>0</v>
      </c>
      <c r="CM27">
        <v>0</v>
      </c>
      <c r="CN27">
        <v>0</v>
      </c>
      <c r="CO27">
        <v>0</v>
      </c>
      <c r="CP27">
        <v>0</v>
      </c>
      <c r="CQ27">
        <v>0</v>
      </c>
      <c r="CR27" t="s">
        <v>524</v>
      </c>
      <c r="CS27">
        <v>11156389</v>
      </c>
      <c r="CT27">
        <v>0</v>
      </c>
      <c r="CU27">
        <v>77440</v>
      </c>
      <c r="CV27">
        <v>178702</v>
      </c>
      <c r="CW27">
        <v>2573776</v>
      </c>
      <c r="CX27">
        <v>1138720</v>
      </c>
      <c r="CY27">
        <v>9404</v>
      </c>
      <c r="CZ27">
        <v>249856</v>
      </c>
      <c r="DA27">
        <v>856388</v>
      </c>
      <c r="DB27">
        <v>52246</v>
      </c>
      <c r="DC27">
        <v>664400</v>
      </c>
      <c r="DD27">
        <v>26624</v>
      </c>
      <c r="DE27">
        <v>331995</v>
      </c>
      <c r="DF27">
        <v>2845212</v>
      </c>
      <c r="DG27">
        <v>832628</v>
      </c>
      <c r="DH27">
        <v>591002</v>
      </c>
      <c r="DI27">
        <v>0</v>
      </c>
      <c r="DJ27">
        <v>780120</v>
      </c>
      <c r="DK27">
        <v>43936</v>
      </c>
      <c r="DL27">
        <v>229264</v>
      </c>
      <c r="DM27">
        <v>1195936</v>
      </c>
      <c r="DN27">
        <v>220950</v>
      </c>
      <c r="DO27">
        <v>213017</v>
      </c>
      <c r="DP27">
        <v>67740</v>
      </c>
      <c r="DQ27">
        <v>780624</v>
      </c>
      <c r="DR27">
        <v>559024</v>
      </c>
      <c r="DS27">
        <v>3904127</v>
      </c>
      <c r="DT27">
        <v>1324825</v>
      </c>
      <c r="DU27">
        <v>0</v>
      </c>
      <c r="DV27">
        <v>2110672</v>
      </c>
      <c r="DW27">
        <v>1680896</v>
      </c>
      <c r="DX27">
        <v>23539524</v>
      </c>
      <c r="DY27">
        <v>116862</v>
      </c>
      <c r="DZ27">
        <v>889780</v>
      </c>
      <c r="EA27">
        <v>9739026</v>
      </c>
      <c r="EB27">
        <v>3901785</v>
      </c>
      <c r="EC27">
        <v>53361</v>
      </c>
      <c r="ED27">
        <v>886577</v>
      </c>
      <c r="EE27">
        <v>4691634</v>
      </c>
      <c r="EF27">
        <v>207539</v>
      </c>
      <c r="EG27">
        <v>1660035</v>
      </c>
      <c r="EH27">
        <v>232343</v>
      </c>
      <c r="EI27">
        <v>1595383</v>
      </c>
      <c r="EJ27">
        <v>9948652</v>
      </c>
      <c r="EK27">
        <v>2312660</v>
      </c>
      <c r="EL27">
        <v>4627721</v>
      </c>
      <c r="EM27">
        <v>0</v>
      </c>
      <c r="EN27">
        <v>2773531</v>
      </c>
      <c r="EO27">
        <v>504543</v>
      </c>
      <c r="EP27">
        <v>1791319</v>
      </c>
      <c r="EQ27">
        <v>3736877</v>
      </c>
      <c r="ER27">
        <v>974199</v>
      </c>
      <c r="ES27">
        <v>836202</v>
      </c>
      <c r="ET27">
        <v>126652</v>
      </c>
      <c r="EU27">
        <v>3082800</v>
      </c>
      <c r="EV27">
        <v>1684726</v>
      </c>
      <c r="EW27">
        <v>12912641</v>
      </c>
      <c r="EX27">
        <v>5334536</v>
      </c>
      <c r="EY27">
        <v>0</v>
      </c>
      <c r="EZ27">
        <v>6595105</v>
      </c>
      <c r="FA27">
        <v>5877470</v>
      </c>
      <c r="FB27">
        <v>87093959</v>
      </c>
      <c r="FC27">
        <v>45026</v>
      </c>
      <c r="FD27">
        <v>102904</v>
      </c>
      <c r="FE27">
        <v>1165134</v>
      </c>
      <c r="FF27">
        <v>421583</v>
      </c>
      <c r="FG27">
        <v>0</v>
      </c>
      <c r="FH27">
        <v>409708</v>
      </c>
      <c r="FI27">
        <v>625001</v>
      </c>
      <c r="FJ27">
        <v>0</v>
      </c>
      <c r="FK27">
        <v>1191816</v>
      </c>
      <c r="FL27">
        <v>40672</v>
      </c>
      <c r="FM27">
        <v>382533</v>
      </c>
      <c r="FN27">
        <v>1012498</v>
      </c>
      <c r="FO27">
        <v>443480</v>
      </c>
      <c r="FP27">
        <v>1532559</v>
      </c>
      <c r="FQ27">
        <v>0</v>
      </c>
      <c r="FR27">
        <v>239849</v>
      </c>
      <c r="FS27">
        <v>47393</v>
      </c>
      <c r="FT27">
        <v>57099</v>
      </c>
      <c r="FU27">
        <v>227132</v>
      </c>
      <c r="FV27">
        <v>163691</v>
      </c>
      <c r="FW27">
        <v>73025</v>
      </c>
      <c r="FX27">
        <v>39217</v>
      </c>
      <c r="FY27">
        <v>289900</v>
      </c>
      <c r="FZ27">
        <v>153232</v>
      </c>
      <c r="GA27">
        <v>304078</v>
      </c>
      <c r="GB27">
        <v>866315</v>
      </c>
      <c r="GC27">
        <v>0</v>
      </c>
      <c r="GD27">
        <v>400858</v>
      </c>
      <c r="GE27">
        <v>598164</v>
      </c>
      <c r="GF27">
        <v>10832867</v>
      </c>
      <c r="GG27">
        <v>18443</v>
      </c>
      <c r="GH27">
        <v>113092</v>
      </c>
      <c r="GI27">
        <v>1242265</v>
      </c>
      <c r="GJ27">
        <v>492543</v>
      </c>
      <c r="GK27">
        <v>6079</v>
      </c>
      <c r="GL27">
        <v>147680</v>
      </c>
      <c r="GM27">
        <v>605702</v>
      </c>
      <c r="GN27">
        <v>23644</v>
      </c>
      <c r="GO27">
        <v>324899</v>
      </c>
      <c r="GP27">
        <v>31103</v>
      </c>
      <c r="GQ27">
        <v>225336</v>
      </c>
      <c r="GR27">
        <v>1248757</v>
      </c>
      <c r="GS27">
        <v>313995</v>
      </c>
      <c r="GT27">
        <v>701815</v>
      </c>
      <c r="GU27">
        <v>0</v>
      </c>
      <c r="GV27">
        <v>343302</v>
      </c>
      <c r="GW27">
        <v>62880</v>
      </c>
      <c r="GX27">
        <v>210582</v>
      </c>
      <c r="GY27">
        <v>451603</v>
      </c>
      <c r="GZ27">
        <v>129635</v>
      </c>
      <c r="HA27">
        <v>103584</v>
      </c>
      <c r="HB27">
        <v>18897</v>
      </c>
      <c r="HC27">
        <v>384237</v>
      </c>
      <c r="HD27">
        <v>209391</v>
      </c>
      <c r="HE27">
        <v>1505725</v>
      </c>
      <c r="HF27">
        <v>706437</v>
      </c>
      <c r="HG27">
        <v>0</v>
      </c>
      <c r="HH27">
        <v>797020</v>
      </c>
      <c r="HI27">
        <v>737742</v>
      </c>
      <c r="HJ27">
        <v>11156389</v>
      </c>
      <c r="HK27">
        <v>-21807</v>
      </c>
      <c r="HL27">
        <v>177290</v>
      </c>
      <c r="HM27">
        <v>1711106</v>
      </c>
      <c r="HN27">
        <v>1006050</v>
      </c>
      <c r="HO27">
        <v>274356</v>
      </c>
      <c r="HP27">
        <v>104003</v>
      </c>
      <c r="HQ27">
        <v>929095</v>
      </c>
      <c r="HR27">
        <v>283326</v>
      </c>
      <c r="HS27">
        <v>117378</v>
      </c>
      <c r="HT27">
        <v>46961</v>
      </c>
      <c r="HU27">
        <v>647135</v>
      </c>
      <c r="HV27">
        <v>336526</v>
      </c>
      <c r="HW27">
        <v>19632</v>
      </c>
      <c r="HX27">
        <v>1234875</v>
      </c>
      <c r="HY27">
        <v>0</v>
      </c>
      <c r="HZ27">
        <v>346144</v>
      </c>
      <c r="IA27">
        <v>67104</v>
      </c>
      <c r="IB27">
        <v>35824</v>
      </c>
      <c r="IC27">
        <v>192097</v>
      </c>
      <c r="ID27">
        <v>214915</v>
      </c>
      <c r="IE27">
        <v>-101651</v>
      </c>
      <c r="IF27">
        <v>155652</v>
      </c>
      <c r="IG27">
        <v>175426</v>
      </c>
      <c r="IH27">
        <v>521554</v>
      </c>
      <c r="II27">
        <v>200123</v>
      </c>
      <c r="IJ27">
        <v>2241116</v>
      </c>
      <c r="IK27">
        <v>0</v>
      </c>
      <c r="IL27">
        <v>339026</v>
      </c>
      <c r="IM27">
        <v>198813</v>
      </c>
      <c r="IN27">
        <v>11452069</v>
      </c>
      <c r="IO27">
        <v>41662</v>
      </c>
      <c r="IP27">
        <v>393286</v>
      </c>
      <c r="IQ27">
        <v>4118505</v>
      </c>
      <c r="IR27">
        <v>1920176</v>
      </c>
      <c r="IS27">
        <v>280435</v>
      </c>
      <c r="IT27">
        <v>661391</v>
      </c>
      <c r="IU27">
        <v>2159798</v>
      </c>
      <c r="IV27">
        <v>306970</v>
      </c>
      <c r="IW27">
        <v>1634093</v>
      </c>
      <c r="IX27">
        <v>118736</v>
      </c>
      <c r="IY27">
        <v>1255004</v>
      </c>
      <c r="IZ27">
        <v>2597781</v>
      </c>
      <c r="JA27">
        <v>777107</v>
      </c>
      <c r="JB27">
        <v>3469249</v>
      </c>
      <c r="JC27">
        <v>0</v>
      </c>
      <c r="JD27">
        <v>929295</v>
      </c>
      <c r="JE27">
        <v>177377</v>
      </c>
      <c r="JF27">
        <v>303505</v>
      </c>
      <c r="JG27">
        <v>870832</v>
      </c>
      <c r="JH27">
        <v>508241</v>
      </c>
      <c r="JI27">
        <v>74958</v>
      </c>
      <c r="JJ27">
        <v>213766</v>
      </c>
      <c r="JK27">
        <v>849563</v>
      </c>
      <c r="JL27">
        <v>884177</v>
      </c>
      <c r="JM27">
        <v>2009926</v>
      </c>
      <c r="JN27">
        <v>3813868</v>
      </c>
      <c r="JO27">
        <v>0</v>
      </c>
      <c r="JP27">
        <v>1536904</v>
      </c>
      <c r="JQ27">
        <v>1534719</v>
      </c>
      <c r="JR27">
        <v>33441325</v>
      </c>
      <c r="JS27">
        <v>158524</v>
      </c>
      <c r="JT27">
        <v>1283066</v>
      </c>
      <c r="JU27">
        <v>13857531</v>
      </c>
      <c r="JV27">
        <v>5821961</v>
      </c>
      <c r="JW27">
        <v>333796</v>
      </c>
      <c r="JX27">
        <v>1547968</v>
      </c>
      <c r="JY27">
        <v>6851432</v>
      </c>
      <c r="JZ27">
        <v>514509</v>
      </c>
      <c r="KA27">
        <v>3294128</v>
      </c>
      <c r="KB27">
        <v>351079</v>
      </c>
      <c r="KC27">
        <v>2850387</v>
      </c>
      <c r="KD27">
        <v>12546433</v>
      </c>
      <c r="KE27">
        <v>3089767</v>
      </c>
      <c r="KF27">
        <v>8096970</v>
      </c>
      <c r="KG27">
        <v>0</v>
      </c>
      <c r="KH27">
        <v>3702826</v>
      </c>
      <c r="KI27">
        <v>681920</v>
      </c>
      <c r="KJ27">
        <v>2094824</v>
      </c>
      <c r="KK27">
        <v>4607709</v>
      </c>
      <c r="KL27">
        <v>1482440</v>
      </c>
      <c r="KM27">
        <v>911160</v>
      </c>
      <c r="KN27">
        <v>340418</v>
      </c>
      <c r="KO27">
        <v>3932363</v>
      </c>
      <c r="KP27">
        <v>2568903</v>
      </c>
      <c r="KQ27">
        <v>14922567</v>
      </c>
      <c r="KR27">
        <v>9148404</v>
      </c>
      <c r="KS27">
        <v>0</v>
      </c>
      <c r="KT27">
        <v>8132009</v>
      </c>
      <c r="KU27">
        <v>7412189</v>
      </c>
      <c r="KV27">
        <v>120535284</v>
      </c>
      <c r="KW27" t="s">
        <v>359</v>
      </c>
      <c r="KX27">
        <v>221935603</v>
      </c>
      <c r="KY27">
        <v>33291803</v>
      </c>
      <c r="KZ27">
        <v>255227406</v>
      </c>
      <c r="LA27">
        <v>0</v>
      </c>
      <c r="LB27">
        <v>5018513</v>
      </c>
    </row>
    <row r="28" spans="1:314" x14ac:dyDescent="0.25">
      <c r="A28" t="s">
        <v>532</v>
      </c>
      <c r="B28" t="s">
        <v>533</v>
      </c>
      <c r="C28" t="s">
        <v>352</v>
      </c>
      <c r="D28" t="s">
        <v>534</v>
      </c>
      <c r="E28" s="2">
        <v>40940.575798611113</v>
      </c>
      <c r="G28" t="s">
        <v>535</v>
      </c>
      <c r="H28" t="s">
        <v>536</v>
      </c>
      <c r="I28" t="s">
        <v>412</v>
      </c>
      <c r="J28" t="s">
        <v>537</v>
      </c>
      <c r="K28" t="s">
        <v>538</v>
      </c>
      <c r="L28">
        <v>0</v>
      </c>
      <c r="M28">
        <v>0</v>
      </c>
      <c r="N28">
        <v>0</v>
      </c>
      <c r="O28">
        <v>126227677</v>
      </c>
      <c r="P28">
        <v>0</v>
      </c>
      <c r="Q28">
        <v>4357144</v>
      </c>
      <c r="R28">
        <v>0</v>
      </c>
      <c r="S28">
        <v>4357144</v>
      </c>
      <c r="T28">
        <v>13643904</v>
      </c>
      <c r="U28">
        <v>8491678</v>
      </c>
      <c r="V28">
        <v>6872001</v>
      </c>
      <c r="W28">
        <v>0</v>
      </c>
      <c r="X28">
        <v>0</v>
      </c>
      <c r="Y28">
        <v>0</v>
      </c>
      <c r="Z28">
        <v>29007583</v>
      </c>
      <c r="AA28">
        <v>12238523</v>
      </c>
      <c r="AB28">
        <v>1364116</v>
      </c>
      <c r="AC28">
        <v>1738190</v>
      </c>
      <c r="AD28">
        <v>0</v>
      </c>
      <c r="AE28">
        <v>0</v>
      </c>
      <c r="AF28">
        <v>0</v>
      </c>
      <c r="AG28">
        <v>15340829</v>
      </c>
      <c r="AH28">
        <v>25882427</v>
      </c>
      <c r="AI28">
        <v>9855794</v>
      </c>
      <c r="AJ28">
        <v>8610191</v>
      </c>
      <c r="AK28">
        <v>0</v>
      </c>
      <c r="AL28">
        <v>0</v>
      </c>
      <c r="AM28">
        <v>0</v>
      </c>
      <c r="AN28">
        <v>44348412</v>
      </c>
      <c r="AO28">
        <v>2081862</v>
      </c>
      <c r="AP28">
        <v>0</v>
      </c>
      <c r="AQ28">
        <v>0</v>
      </c>
      <c r="AR28">
        <v>0</v>
      </c>
      <c r="AS28">
        <v>2081862</v>
      </c>
      <c r="AT28">
        <v>1922175</v>
      </c>
      <c r="AU28">
        <v>0</v>
      </c>
      <c r="AV28">
        <v>0</v>
      </c>
      <c r="AW28">
        <v>0</v>
      </c>
      <c r="AX28">
        <v>1922175</v>
      </c>
      <c r="AY28">
        <v>4004037</v>
      </c>
      <c r="AZ28">
        <v>0</v>
      </c>
      <c r="BA28">
        <v>0</v>
      </c>
      <c r="BB28">
        <v>0</v>
      </c>
      <c r="BC28">
        <v>4004037</v>
      </c>
      <c r="BD28">
        <v>3180139</v>
      </c>
      <c r="BE28">
        <v>0</v>
      </c>
      <c r="BF28">
        <v>0</v>
      </c>
      <c r="BG28">
        <v>0</v>
      </c>
      <c r="BH28">
        <v>0</v>
      </c>
      <c r="BI28">
        <v>3180139</v>
      </c>
      <c r="BJ28">
        <v>0</v>
      </c>
      <c r="BK28">
        <v>0</v>
      </c>
      <c r="BL28">
        <v>1728039</v>
      </c>
      <c r="BM28">
        <v>0</v>
      </c>
      <c r="BN28">
        <v>0</v>
      </c>
      <c r="BO28">
        <v>1728039</v>
      </c>
      <c r="BP28">
        <v>10578587</v>
      </c>
      <c r="BQ28">
        <v>0</v>
      </c>
      <c r="BR28">
        <v>0</v>
      </c>
      <c r="BS28">
        <v>0</v>
      </c>
      <c r="BT28">
        <v>0</v>
      </c>
      <c r="BU28">
        <v>10578587</v>
      </c>
      <c r="BV28">
        <v>13758726</v>
      </c>
      <c r="BW28">
        <v>0</v>
      </c>
      <c r="BX28">
        <v>1728039</v>
      </c>
      <c r="BY28">
        <v>0</v>
      </c>
      <c r="BZ28">
        <v>0</v>
      </c>
      <c r="CA28">
        <v>15486765</v>
      </c>
      <c r="CB28">
        <v>0</v>
      </c>
      <c r="CC28">
        <v>0</v>
      </c>
      <c r="CD28">
        <v>0</v>
      </c>
      <c r="CE28">
        <v>0</v>
      </c>
      <c r="CF28">
        <v>0</v>
      </c>
      <c r="CG28">
        <v>0</v>
      </c>
      <c r="CH28">
        <v>0</v>
      </c>
      <c r="CI28">
        <v>0</v>
      </c>
      <c r="CJ28">
        <v>0</v>
      </c>
      <c r="CK28">
        <v>0</v>
      </c>
      <c r="CL28">
        <v>0</v>
      </c>
      <c r="CM28">
        <v>0</v>
      </c>
      <c r="CN28">
        <v>0</v>
      </c>
      <c r="CO28">
        <v>0</v>
      </c>
      <c r="CP28">
        <v>0</v>
      </c>
      <c r="CQ28">
        <v>0</v>
      </c>
      <c r="CR28" t="s">
        <v>532</v>
      </c>
      <c r="CS28">
        <v>5371148</v>
      </c>
      <c r="CT28">
        <v>0</v>
      </c>
      <c r="CU28">
        <v>16416</v>
      </c>
      <c r="CV28">
        <v>237652</v>
      </c>
      <c r="CW28">
        <v>1847048</v>
      </c>
      <c r="CX28">
        <v>766004</v>
      </c>
      <c r="CY28">
        <v>36576</v>
      </c>
      <c r="CZ28">
        <v>76388</v>
      </c>
      <c r="DA28">
        <v>262025</v>
      </c>
      <c r="DB28">
        <v>76013</v>
      </c>
      <c r="DC28">
        <v>894574</v>
      </c>
      <c r="DD28">
        <v>0</v>
      </c>
      <c r="DE28">
        <v>335756</v>
      </c>
      <c r="DF28">
        <v>1368240</v>
      </c>
      <c r="DG28">
        <v>177640</v>
      </c>
      <c r="DH28">
        <v>404336</v>
      </c>
      <c r="DI28">
        <v>0</v>
      </c>
      <c r="DJ28">
        <v>735638</v>
      </c>
      <c r="DK28">
        <v>62848</v>
      </c>
      <c r="DL28">
        <v>268064</v>
      </c>
      <c r="DM28">
        <v>801936</v>
      </c>
      <c r="DN28">
        <v>300568</v>
      </c>
      <c r="DO28">
        <v>78209</v>
      </c>
      <c r="DP28">
        <v>18424</v>
      </c>
      <c r="DQ28">
        <v>585360</v>
      </c>
      <c r="DR28">
        <v>178576</v>
      </c>
      <c r="DS28">
        <v>2057040</v>
      </c>
      <c r="DT28">
        <v>683568</v>
      </c>
      <c r="DU28">
        <v>0</v>
      </c>
      <c r="DV28">
        <v>733744</v>
      </c>
      <c r="DW28">
        <v>555904</v>
      </c>
      <c r="DX28">
        <v>13558547</v>
      </c>
      <c r="DY28">
        <v>0</v>
      </c>
      <c r="DZ28">
        <v>654339</v>
      </c>
      <c r="EA28">
        <v>4274025</v>
      </c>
      <c r="EB28">
        <v>2044924</v>
      </c>
      <c r="EC28">
        <v>210951</v>
      </c>
      <c r="ED28">
        <v>203788</v>
      </c>
      <c r="EE28">
        <v>1225097</v>
      </c>
      <c r="EF28">
        <v>3496</v>
      </c>
      <c r="EG28">
        <v>2759488</v>
      </c>
      <c r="EH28">
        <v>638275</v>
      </c>
      <c r="EI28">
        <v>898777</v>
      </c>
      <c r="EJ28">
        <v>4309951</v>
      </c>
      <c r="EK28">
        <v>528154</v>
      </c>
      <c r="EL28">
        <v>2334659</v>
      </c>
      <c r="EM28">
        <v>0</v>
      </c>
      <c r="EN28">
        <v>3885983</v>
      </c>
      <c r="EO28">
        <v>360426</v>
      </c>
      <c r="EP28">
        <v>1840182</v>
      </c>
      <c r="EQ28">
        <v>2483231</v>
      </c>
      <c r="ER28">
        <v>1524194</v>
      </c>
      <c r="ES28">
        <v>264931</v>
      </c>
      <c r="ET28">
        <v>34086</v>
      </c>
      <c r="EU28">
        <v>1936167</v>
      </c>
      <c r="EV28">
        <v>745274</v>
      </c>
      <c r="EW28">
        <v>6038094</v>
      </c>
      <c r="EX28">
        <v>3003121</v>
      </c>
      <c r="EY28">
        <v>0</v>
      </c>
      <c r="EZ28">
        <v>2195360</v>
      </c>
      <c r="FA28">
        <v>1629927</v>
      </c>
      <c r="FB28">
        <v>46026900</v>
      </c>
      <c r="FC28">
        <v>0</v>
      </c>
      <c r="FD28">
        <v>99492</v>
      </c>
      <c r="FE28">
        <v>303809</v>
      </c>
      <c r="FF28">
        <v>68292</v>
      </c>
      <c r="FG28">
        <v>10179</v>
      </c>
      <c r="FH28">
        <v>11657</v>
      </c>
      <c r="FI28">
        <v>37219</v>
      </c>
      <c r="FJ28">
        <v>0</v>
      </c>
      <c r="FK28">
        <v>864882</v>
      </c>
      <c r="FL28">
        <v>60039</v>
      </c>
      <c r="FM28">
        <v>107519</v>
      </c>
      <c r="FN28">
        <v>59631</v>
      </c>
      <c r="FO28">
        <v>640</v>
      </c>
      <c r="FP28">
        <v>195008</v>
      </c>
      <c r="FQ28">
        <v>0</v>
      </c>
      <c r="FR28">
        <v>204319</v>
      </c>
      <c r="FS28">
        <v>8942</v>
      </c>
      <c r="FT28">
        <v>72146</v>
      </c>
      <c r="FU28">
        <v>260914</v>
      </c>
      <c r="FV28">
        <v>188334</v>
      </c>
      <c r="FW28">
        <v>36120</v>
      </c>
      <c r="FX28">
        <v>0</v>
      </c>
      <c r="FY28">
        <v>49424</v>
      </c>
      <c r="FZ28">
        <v>18918</v>
      </c>
      <c r="GA28">
        <v>136409</v>
      </c>
      <c r="GB28">
        <v>185114</v>
      </c>
      <c r="GC28">
        <v>0</v>
      </c>
      <c r="GD28">
        <v>15428</v>
      </c>
      <c r="GE28">
        <v>24042</v>
      </c>
      <c r="GF28">
        <v>3018477</v>
      </c>
      <c r="GG28">
        <v>0</v>
      </c>
      <c r="GH28">
        <v>82555</v>
      </c>
      <c r="GI28">
        <v>501336</v>
      </c>
      <c r="GJ28">
        <v>231426</v>
      </c>
      <c r="GK28">
        <v>24217</v>
      </c>
      <c r="GL28">
        <v>23594</v>
      </c>
      <c r="GM28">
        <v>138241</v>
      </c>
      <c r="GN28">
        <v>383</v>
      </c>
      <c r="GO28">
        <v>396919</v>
      </c>
      <c r="GP28">
        <v>76475</v>
      </c>
      <c r="GQ28">
        <v>110203</v>
      </c>
      <c r="GR28">
        <v>478530</v>
      </c>
      <c r="GS28">
        <v>57910</v>
      </c>
      <c r="GT28">
        <v>277034</v>
      </c>
      <c r="GU28">
        <v>0</v>
      </c>
      <c r="GV28">
        <v>447945</v>
      </c>
      <c r="GW28">
        <v>40451</v>
      </c>
      <c r="GX28">
        <v>209426</v>
      </c>
      <c r="GY28">
        <v>300522</v>
      </c>
      <c r="GZ28">
        <v>187546</v>
      </c>
      <c r="HA28">
        <v>32969</v>
      </c>
      <c r="HB28">
        <v>3733</v>
      </c>
      <c r="HC28">
        <v>217450</v>
      </c>
      <c r="HD28">
        <v>83690</v>
      </c>
      <c r="HE28">
        <v>676194</v>
      </c>
      <c r="HF28">
        <v>349156</v>
      </c>
      <c r="HG28">
        <v>0</v>
      </c>
      <c r="HH28">
        <v>242112</v>
      </c>
      <c r="HI28">
        <v>181133</v>
      </c>
      <c r="HJ28">
        <v>5371148</v>
      </c>
      <c r="HK28">
        <v>0</v>
      </c>
      <c r="HL28">
        <v>130555</v>
      </c>
      <c r="HM28">
        <v>421346</v>
      </c>
      <c r="HN28">
        <v>220776</v>
      </c>
      <c r="HO28">
        <v>778037</v>
      </c>
      <c r="HP28">
        <v>35929</v>
      </c>
      <c r="HQ28">
        <v>59558</v>
      </c>
      <c r="HR28">
        <v>44566</v>
      </c>
      <c r="HS28">
        <v>343984</v>
      </c>
      <c r="HT28">
        <v>31031</v>
      </c>
      <c r="HU28">
        <v>94750</v>
      </c>
      <c r="HV28">
        <v>70580</v>
      </c>
      <c r="HW28">
        <v>6742</v>
      </c>
      <c r="HX28">
        <v>112012</v>
      </c>
      <c r="HY28">
        <v>0</v>
      </c>
      <c r="HZ28">
        <v>216669</v>
      </c>
      <c r="IA28">
        <v>18509</v>
      </c>
      <c r="IB28">
        <v>59335</v>
      </c>
      <c r="IC28">
        <v>63871</v>
      </c>
      <c r="ID28">
        <v>131843</v>
      </c>
      <c r="IE28">
        <v>185238</v>
      </c>
      <c r="IF28">
        <v>4834</v>
      </c>
      <c r="IG28">
        <v>130666</v>
      </c>
      <c r="IH28">
        <v>66546</v>
      </c>
      <c r="II28">
        <v>87938</v>
      </c>
      <c r="IJ28">
        <v>247963</v>
      </c>
      <c r="IK28">
        <v>0</v>
      </c>
      <c r="IL28">
        <v>29358</v>
      </c>
      <c r="IM28">
        <v>22158</v>
      </c>
      <c r="IN28">
        <v>3614794</v>
      </c>
      <c r="IO28">
        <v>0</v>
      </c>
      <c r="IP28">
        <v>312602</v>
      </c>
      <c r="IQ28">
        <v>1226491</v>
      </c>
      <c r="IR28">
        <v>520494</v>
      </c>
      <c r="IS28">
        <v>812433</v>
      </c>
      <c r="IT28">
        <v>71180</v>
      </c>
      <c r="IU28">
        <v>235018</v>
      </c>
      <c r="IV28">
        <v>44949</v>
      </c>
      <c r="IW28">
        <v>1605785</v>
      </c>
      <c r="IX28">
        <v>167545</v>
      </c>
      <c r="IY28">
        <v>312472</v>
      </c>
      <c r="IZ28">
        <v>608741</v>
      </c>
      <c r="JA28">
        <v>65292</v>
      </c>
      <c r="JB28">
        <v>584054</v>
      </c>
      <c r="JC28">
        <v>0</v>
      </c>
      <c r="JD28">
        <v>868933</v>
      </c>
      <c r="JE28">
        <v>67902</v>
      </c>
      <c r="JF28">
        <v>340907</v>
      </c>
      <c r="JG28">
        <v>625307</v>
      </c>
      <c r="JH28">
        <v>507723</v>
      </c>
      <c r="JI28">
        <v>254327</v>
      </c>
      <c r="JJ28">
        <v>8567</v>
      </c>
      <c r="JK28">
        <v>397540</v>
      </c>
      <c r="JL28">
        <v>169154</v>
      </c>
      <c r="JM28">
        <v>900541</v>
      </c>
      <c r="JN28">
        <v>782233</v>
      </c>
      <c r="JO28">
        <v>0</v>
      </c>
      <c r="JP28">
        <v>286898</v>
      </c>
      <c r="JQ28">
        <v>227333</v>
      </c>
      <c r="JR28">
        <v>12004419</v>
      </c>
      <c r="JS28">
        <v>0</v>
      </c>
      <c r="JT28">
        <v>966941</v>
      </c>
      <c r="JU28">
        <v>5500516</v>
      </c>
      <c r="JV28">
        <v>2565418</v>
      </c>
      <c r="JW28">
        <v>1023384</v>
      </c>
      <c r="JX28">
        <v>274968</v>
      </c>
      <c r="JY28">
        <v>1460115</v>
      </c>
      <c r="JZ28">
        <v>48445</v>
      </c>
      <c r="KA28">
        <v>4365273</v>
      </c>
      <c r="KB28">
        <v>805820</v>
      </c>
      <c r="KC28">
        <v>1211249</v>
      </c>
      <c r="KD28">
        <v>4918692</v>
      </c>
      <c r="KE28">
        <v>593446</v>
      </c>
      <c r="KF28">
        <v>2918713</v>
      </c>
      <c r="KG28">
        <v>0</v>
      </c>
      <c r="KH28">
        <v>4754916</v>
      </c>
      <c r="KI28">
        <v>428328</v>
      </c>
      <c r="KJ28">
        <v>2181089</v>
      </c>
      <c r="KK28">
        <v>3108538</v>
      </c>
      <c r="KL28">
        <v>2031917</v>
      </c>
      <c r="KM28">
        <v>519258</v>
      </c>
      <c r="KN28">
        <v>42653</v>
      </c>
      <c r="KO28">
        <v>2333707</v>
      </c>
      <c r="KP28">
        <v>914428</v>
      </c>
      <c r="KQ28">
        <v>6938635</v>
      </c>
      <c r="KR28">
        <v>3785354</v>
      </c>
      <c r="KS28">
        <v>0</v>
      </c>
      <c r="KT28">
        <v>2482258</v>
      </c>
      <c r="KU28">
        <v>1857260</v>
      </c>
      <c r="KV28">
        <v>58031319</v>
      </c>
      <c r="KW28" t="s">
        <v>539</v>
      </c>
      <c r="KX28">
        <v>106736875</v>
      </c>
      <c r="KY28">
        <v>19490802</v>
      </c>
      <c r="KZ28">
        <v>126227677</v>
      </c>
      <c r="LA28">
        <v>0</v>
      </c>
      <c r="LB28">
        <v>0</v>
      </c>
    </row>
    <row r="29" spans="1:314" x14ac:dyDescent="0.25">
      <c r="A29" t="s">
        <v>540</v>
      </c>
      <c r="B29" t="s">
        <v>541</v>
      </c>
      <c r="C29" t="s">
        <v>352</v>
      </c>
      <c r="D29" t="s">
        <v>542</v>
      </c>
      <c r="E29" s="2">
        <v>40934.481874999998</v>
      </c>
      <c r="G29" t="s">
        <v>543</v>
      </c>
      <c r="H29" t="s">
        <v>544</v>
      </c>
      <c r="I29" t="s">
        <v>545</v>
      </c>
      <c r="J29" t="s">
        <v>546</v>
      </c>
      <c r="K29" t="s">
        <v>547</v>
      </c>
      <c r="L29">
        <v>0</v>
      </c>
      <c r="M29">
        <v>0</v>
      </c>
      <c r="N29">
        <v>0</v>
      </c>
      <c r="O29">
        <v>40007861</v>
      </c>
      <c r="P29">
        <v>0</v>
      </c>
      <c r="Q29">
        <v>1598063</v>
      </c>
      <c r="R29">
        <v>0</v>
      </c>
      <c r="S29">
        <v>1598063</v>
      </c>
      <c r="T29">
        <v>2218404</v>
      </c>
      <c r="U29">
        <v>2861325</v>
      </c>
      <c r="V29">
        <v>1445110</v>
      </c>
      <c r="W29">
        <v>0</v>
      </c>
      <c r="X29">
        <v>0</v>
      </c>
      <c r="Y29">
        <v>0</v>
      </c>
      <c r="Z29">
        <v>6524839</v>
      </c>
      <c r="AA29">
        <v>1590617</v>
      </c>
      <c r="AB29">
        <v>1202832</v>
      </c>
      <c r="AC29">
        <v>433314</v>
      </c>
      <c r="AD29">
        <v>0</v>
      </c>
      <c r="AE29">
        <v>107786</v>
      </c>
      <c r="AF29">
        <v>935586</v>
      </c>
      <c r="AG29">
        <v>4270135</v>
      </c>
      <c r="AH29">
        <v>3809021</v>
      </c>
      <c r="AI29">
        <v>4064157</v>
      </c>
      <c r="AJ29">
        <v>1878424</v>
      </c>
      <c r="AK29">
        <v>0</v>
      </c>
      <c r="AL29">
        <v>107786</v>
      </c>
      <c r="AM29">
        <v>935586</v>
      </c>
      <c r="AN29">
        <v>10794974</v>
      </c>
      <c r="AO29">
        <v>0</v>
      </c>
      <c r="AP29">
        <v>0</v>
      </c>
      <c r="AQ29">
        <v>493453</v>
      </c>
      <c r="AR29">
        <v>0</v>
      </c>
      <c r="AS29">
        <v>493453</v>
      </c>
      <c r="AT29">
        <v>0</v>
      </c>
      <c r="AU29">
        <v>0</v>
      </c>
      <c r="AV29">
        <v>452804</v>
      </c>
      <c r="AW29">
        <v>0</v>
      </c>
      <c r="AX29">
        <v>452804</v>
      </c>
      <c r="AY29">
        <v>0</v>
      </c>
      <c r="AZ29">
        <v>0</v>
      </c>
      <c r="BA29">
        <v>946257</v>
      </c>
      <c r="BB29">
        <v>0</v>
      </c>
      <c r="BC29">
        <v>946257</v>
      </c>
      <c r="BD29">
        <v>1831856</v>
      </c>
      <c r="BE29">
        <v>0</v>
      </c>
      <c r="BF29">
        <v>0</v>
      </c>
      <c r="BG29">
        <v>0</v>
      </c>
      <c r="BH29">
        <v>0</v>
      </c>
      <c r="BI29">
        <v>1831856</v>
      </c>
      <c r="BJ29">
        <v>0</v>
      </c>
      <c r="BK29">
        <v>0</v>
      </c>
      <c r="BL29">
        <v>978264</v>
      </c>
      <c r="BM29">
        <v>0</v>
      </c>
      <c r="BN29">
        <v>0</v>
      </c>
      <c r="BO29">
        <v>978264</v>
      </c>
      <c r="BP29">
        <v>2710162</v>
      </c>
      <c r="BQ29">
        <v>0</v>
      </c>
      <c r="BR29">
        <v>0</v>
      </c>
      <c r="BS29">
        <v>0</v>
      </c>
      <c r="BT29">
        <v>103112</v>
      </c>
      <c r="BU29">
        <v>2813274</v>
      </c>
      <c r="BV29">
        <v>4542018</v>
      </c>
      <c r="BW29">
        <v>0</v>
      </c>
      <c r="BX29">
        <v>978264</v>
      </c>
      <c r="BY29">
        <v>0</v>
      </c>
      <c r="BZ29">
        <v>103112</v>
      </c>
      <c r="CA29">
        <v>5623394</v>
      </c>
      <c r="CB29">
        <v>0</v>
      </c>
      <c r="CC29">
        <v>0</v>
      </c>
      <c r="CD29">
        <v>0</v>
      </c>
      <c r="CE29">
        <v>0</v>
      </c>
      <c r="CF29">
        <v>0</v>
      </c>
      <c r="CG29">
        <v>0</v>
      </c>
      <c r="CH29">
        <v>0</v>
      </c>
      <c r="CI29">
        <v>0</v>
      </c>
      <c r="CJ29">
        <v>0</v>
      </c>
      <c r="CK29">
        <v>0</v>
      </c>
      <c r="CL29">
        <v>0</v>
      </c>
      <c r="CM29">
        <v>0</v>
      </c>
      <c r="CN29">
        <v>0</v>
      </c>
      <c r="CO29">
        <v>0</v>
      </c>
      <c r="CP29">
        <v>0</v>
      </c>
      <c r="CQ29">
        <v>0</v>
      </c>
      <c r="CR29" t="s">
        <v>540</v>
      </c>
      <c r="CS29">
        <v>2868816</v>
      </c>
      <c r="CT29">
        <v>0</v>
      </c>
      <c r="CU29">
        <v>33980</v>
      </c>
      <c r="CV29">
        <v>71776</v>
      </c>
      <c r="CW29">
        <v>527136</v>
      </c>
      <c r="CX29">
        <v>182804</v>
      </c>
      <c r="CY29">
        <v>0</v>
      </c>
      <c r="CZ29">
        <v>135988</v>
      </c>
      <c r="DA29">
        <v>217629</v>
      </c>
      <c r="DB29">
        <v>21968</v>
      </c>
      <c r="DC29">
        <v>171808</v>
      </c>
      <c r="DD29">
        <v>6656</v>
      </c>
      <c r="DE29">
        <v>65040</v>
      </c>
      <c r="DF29">
        <v>369506</v>
      </c>
      <c r="DG29">
        <v>152784</v>
      </c>
      <c r="DH29">
        <v>114812</v>
      </c>
      <c r="DI29">
        <v>0</v>
      </c>
      <c r="DJ29">
        <v>187185</v>
      </c>
      <c r="DK29">
        <v>25888</v>
      </c>
      <c r="DL29">
        <v>198640</v>
      </c>
      <c r="DM29">
        <v>307228</v>
      </c>
      <c r="DN29">
        <v>88112</v>
      </c>
      <c r="DO29">
        <v>56272</v>
      </c>
      <c r="DP29">
        <v>5840</v>
      </c>
      <c r="DQ29">
        <v>114336</v>
      </c>
      <c r="DR29">
        <v>303688</v>
      </c>
      <c r="DS29">
        <v>889400</v>
      </c>
      <c r="DT29">
        <v>310222</v>
      </c>
      <c r="DU29">
        <v>0</v>
      </c>
      <c r="DV29">
        <v>247008</v>
      </c>
      <c r="DW29">
        <v>98928</v>
      </c>
      <c r="DX29">
        <v>4904634</v>
      </c>
      <c r="DY29">
        <v>259938</v>
      </c>
      <c r="DZ29">
        <v>286894</v>
      </c>
      <c r="EA29">
        <v>1529410</v>
      </c>
      <c r="EB29">
        <v>1043788</v>
      </c>
      <c r="EC29">
        <v>0</v>
      </c>
      <c r="ED29">
        <v>605369</v>
      </c>
      <c r="EE29">
        <v>581701</v>
      </c>
      <c r="EF29">
        <v>54667</v>
      </c>
      <c r="EG29">
        <v>430841</v>
      </c>
      <c r="EH29">
        <v>178551</v>
      </c>
      <c r="EI29">
        <v>272375</v>
      </c>
      <c r="EJ29">
        <v>474868</v>
      </c>
      <c r="EK29">
        <v>1088994</v>
      </c>
      <c r="EL29">
        <v>409954</v>
      </c>
      <c r="EM29">
        <v>0</v>
      </c>
      <c r="EN29">
        <v>544033</v>
      </c>
      <c r="EO29">
        <v>128873</v>
      </c>
      <c r="EP29">
        <v>691092</v>
      </c>
      <c r="EQ29">
        <v>834678</v>
      </c>
      <c r="ER29">
        <v>278155</v>
      </c>
      <c r="ES29">
        <v>108608</v>
      </c>
      <c r="ET29">
        <v>14532</v>
      </c>
      <c r="EU29">
        <v>1094773</v>
      </c>
      <c r="EV29">
        <v>353063</v>
      </c>
      <c r="EW29">
        <v>3212842</v>
      </c>
      <c r="EX29">
        <v>1932936</v>
      </c>
      <c r="EY29">
        <v>0</v>
      </c>
      <c r="EZ29">
        <v>641277</v>
      </c>
      <c r="FA29">
        <v>353678</v>
      </c>
      <c r="FB29">
        <v>17405890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2868816</v>
      </c>
      <c r="HK29">
        <v>34343</v>
      </c>
      <c r="HL29">
        <v>125538</v>
      </c>
      <c r="HM29">
        <v>253893</v>
      </c>
      <c r="HN29">
        <v>33814</v>
      </c>
      <c r="HO29">
        <v>0</v>
      </c>
      <c r="HP29">
        <v>169102</v>
      </c>
      <c r="HQ29">
        <v>307684</v>
      </c>
      <c r="HR29">
        <v>7841</v>
      </c>
      <c r="HS29">
        <v>81386</v>
      </c>
      <c r="HT29">
        <v>2200</v>
      </c>
      <c r="HU29">
        <v>32314</v>
      </c>
      <c r="HV29">
        <v>30415</v>
      </c>
      <c r="HW29">
        <v>8336</v>
      </c>
      <c r="HX29">
        <v>83758</v>
      </c>
      <c r="HY29">
        <v>0</v>
      </c>
      <c r="HZ29">
        <v>48251</v>
      </c>
      <c r="IA29">
        <v>13821</v>
      </c>
      <c r="IB29">
        <v>73965</v>
      </c>
      <c r="IC29">
        <v>33046</v>
      </c>
      <c r="ID29">
        <v>82608</v>
      </c>
      <c r="IE29">
        <v>14595</v>
      </c>
      <c r="IF29">
        <v>27875</v>
      </c>
      <c r="IG29">
        <v>9191</v>
      </c>
      <c r="IH29">
        <v>73961</v>
      </c>
      <c r="II29">
        <v>80994</v>
      </c>
      <c r="IJ29">
        <v>142365</v>
      </c>
      <c r="IK29">
        <v>0</v>
      </c>
      <c r="IL29">
        <v>4799</v>
      </c>
      <c r="IM29">
        <v>33070</v>
      </c>
      <c r="IN29">
        <v>1809165</v>
      </c>
      <c r="IO29">
        <v>34343</v>
      </c>
      <c r="IP29">
        <v>125538</v>
      </c>
      <c r="IQ29">
        <v>253893</v>
      </c>
      <c r="IR29">
        <v>33814</v>
      </c>
      <c r="IS29">
        <v>0</v>
      </c>
      <c r="IT29">
        <v>169102</v>
      </c>
      <c r="IU29">
        <v>307684</v>
      </c>
      <c r="IV29">
        <v>7841</v>
      </c>
      <c r="IW29">
        <v>81386</v>
      </c>
      <c r="IX29">
        <v>2200</v>
      </c>
      <c r="IY29">
        <v>32314</v>
      </c>
      <c r="IZ29">
        <v>30415</v>
      </c>
      <c r="JA29">
        <v>8336</v>
      </c>
      <c r="JB29">
        <v>83758</v>
      </c>
      <c r="JC29">
        <v>0</v>
      </c>
      <c r="JD29">
        <v>48251</v>
      </c>
      <c r="JE29">
        <v>13821</v>
      </c>
      <c r="JF29">
        <v>73965</v>
      </c>
      <c r="JG29">
        <v>33046</v>
      </c>
      <c r="JH29">
        <v>82608</v>
      </c>
      <c r="JI29">
        <v>14595</v>
      </c>
      <c r="JJ29">
        <v>27875</v>
      </c>
      <c r="JK29">
        <v>9191</v>
      </c>
      <c r="JL29">
        <v>73961</v>
      </c>
      <c r="JM29">
        <v>80994</v>
      </c>
      <c r="JN29">
        <v>142365</v>
      </c>
      <c r="JO29">
        <v>0</v>
      </c>
      <c r="JP29">
        <v>4799</v>
      </c>
      <c r="JQ29">
        <v>33070</v>
      </c>
      <c r="JR29">
        <v>4677981</v>
      </c>
      <c r="JS29">
        <v>294281</v>
      </c>
      <c r="JT29">
        <v>412432</v>
      </c>
      <c r="JU29">
        <v>1783303</v>
      </c>
      <c r="JV29">
        <v>1077602</v>
      </c>
      <c r="JW29">
        <v>0</v>
      </c>
      <c r="JX29">
        <v>774471</v>
      </c>
      <c r="JY29">
        <v>889385</v>
      </c>
      <c r="JZ29">
        <v>62508</v>
      </c>
      <c r="KA29">
        <v>512227</v>
      </c>
      <c r="KB29">
        <v>180751</v>
      </c>
      <c r="KC29">
        <v>304689</v>
      </c>
      <c r="KD29">
        <v>505283</v>
      </c>
      <c r="KE29">
        <v>1097330</v>
      </c>
      <c r="KF29">
        <v>493712</v>
      </c>
      <c r="KG29">
        <v>0</v>
      </c>
      <c r="KH29">
        <v>592284</v>
      </c>
      <c r="KI29">
        <v>142694</v>
      </c>
      <c r="KJ29">
        <v>765057</v>
      </c>
      <c r="KK29">
        <v>867724</v>
      </c>
      <c r="KL29">
        <v>360763</v>
      </c>
      <c r="KM29">
        <v>123203</v>
      </c>
      <c r="KN29">
        <v>42407</v>
      </c>
      <c r="KO29">
        <v>1103964</v>
      </c>
      <c r="KP29">
        <v>427024</v>
      </c>
      <c r="KQ29">
        <v>3293836</v>
      </c>
      <c r="KR29">
        <v>2075301</v>
      </c>
      <c r="KS29">
        <v>0</v>
      </c>
      <c r="KT29">
        <v>646076</v>
      </c>
      <c r="KU29">
        <v>386748</v>
      </c>
      <c r="KV29">
        <v>22083871</v>
      </c>
      <c r="KW29" t="s">
        <v>359</v>
      </c>
      <c r="KX29">
        <v>34476908</v>
      </c>
      <c r="KY29">
        <v>6569651</v>
      </c>
      <c r="KZ29">
        <v>41046559</v>
      </c>
      <c r="LA29">
        <v>0</v>
      </c>
      <c r="LB29">
        <v>1038698</v>
      </c>
    </row>
    <row r="30" spans="1:314" x14ac:dyDescent="0.25">
      <c r="A30" t="s">
        <v>548</v>
      </c>
      <c r="B30" t="s">
        <v>549</v>
      </c>
      <c r="C30" t="s">
        <v>352</v>
      </c>
      <c r="D30" t="s">
        <v>550</v>
      </c>
      <c r="E30" s="2">
        <v>40927.406469907408</v>
      </c>
      <c r="G30" t="s">
        <v>551</v>
      </c>
      <c r="H30" t="s">
        <v>552</v>
      </c>
      <c r="I30" t="s">
        <v>553</v>
      </c>
      <c r="J30" t="s">
        <v>554</v>
      </c>
      <c r="K30" t="s">
        <v>555</v>
      </c>
      <c r="L30">
        <v>0</v>
      </c>
      <c r="M30">
        <v>0</v>
      </c>
      <c r="N30">
        <v>0</v>
      </c>
      <c r="O30">
        <v>22644007</v>
      </c>
      <c r="P30">
        <v>0</v>
      </c>
      <c r="Q30">
        <v>467974</v>
      </c>
      <c r="R30">
        <v>0</v>
      </c>
      <c r="S30">
        <v>467974</v>
      </c>
      <c r="T30">
        <v>2261621</v>
      </c>
      <c r="U30">
        <v>1314543</v>
      </c>
      <c r="V30">
        <v>1751533</v>
      </c>
      <c r="W30">
        <v>0</v>
      </c>
      <c r="X30">
        <v>0</v>
      </c>
      <c r="Y30">
        <v>0</v>
      </c>
      <c r="Z30">
        <v>5327697</v>
      </c>
      <c r="AA30">
        <v>1432259</v>
      </c>
      <c r="AB30">
        <v>293701</v>
      </c>
      <c r="AC30">
        <v>398460</v>
      </c>
      <c r="AD30">
        <v>0</v>
      </c>
      <c r="AE30">
        <v>0</v>
      </c>
      <c r="AF30">
        <v>307359</v>
      </c>
      <c r="AG30">
        <v>2431779</v>
      </c>
      <c r="AH30">
        <v>3693880</v>
      </c>
      <c r="AI30">
        <v>1608244</v>
      </c>
      <c r="AJ30">
        <v>2149993</v>
      </c>
      <c r="AK30">
        <v>0</v>
      </c>
      <c r="AL30">
        <v>0</v>
      </c>
      <c r="AM30">
        <v>307359</v>
      </c>
      <c r="AN30">
        <v>7759476</v>
      </c>
      <c r="AO30">
        <v>0</v>
      </c>
      <c r="AP30">
        <v>0</v>
      </c>
      <c r="AQ30">
        <v>48611</v>
      </c>
      <c r="AR30">
        <v>0</v>
      </c>
      <c r="AS30">
        <v>48611</v>
      </c>
      <c r="AT30">
        <v>0</v>
      </c>
      <c r="AU30">
        <v>0</v>
      </c>
      <c r="AV30">
        <v>30653</v>
      </c>
      <c r="AW30">
        <v>0</v>
      </c>
      <c r="AX30">
        <v>30653</v>
      </c>
      <c r="AY30">
        <v>0</v>
      </c>
      <c r="AZ30">
        <v>0</v>
      </c>
      <c r="BA30">
        <v>79264</v>
      </c>
      <c r="BB30">
        <v>0</v>
      </c>
      <c r="BC30">
        <v>79264</v>
      </c>
      <c r="BD30">
        <v>927103</v>
      </c>
      <c r="BE30">
        <v>0</v>
      </c>
      <c r="BF30">
        <v>0</v>
      </c>
      <c r="BG30">
        <v>0</v>
      </c>
      <c r="BH30">
        <v>0</v>
      </c>
      <c r="BI30">
        <v>927103</v>
      </c>
      <c r="BJ30">
        <v>0</v>
      </c>
      <c r="BK30">
        <v>0</v>
      </c>
      <c r="BL30">
        <v>80698</v>
      </c>
      <c r="BM30">
        <v>0</v>
      </c>
      <c r="BN30">
        <v>0</v>
      </c>
      <c r="BO30">
        <v>80698</v>
      </c>
      <c r="BP30">
        <v>2761793</v>
      </c>
      <c r="BQ30">
        <v>0</v>
      </c>
      <c r="BR30">
        <v>0</v>
      </c>
      <c r="BS30">
        <v>0</v>
      </c>
      <c r="BT30">
        <v>107005</v>
      </c>
      <c r="BU30">
        <v>2868798</v>
      </c>
      <c r="BV30">
        <v>3688896</v>
      </c>
      <c r="BW30">
        <v>0</v>
      </c>
      <c r="BX30">
        <v>80698</v>
      </c>
      <c r="BY30">
        <v>0</v>
      </c>
      <c r="BZ30">
        <v>107005</v>
      </c>
      <c r="CA30">
        <v>3876599</v>
      </c>
      <c r="CB30">
        <v>0</v>
      </c>
      <c r="CC30">
        <v>0</v>
      </c>
      <c r="CD30">
        <v>0</v>
      </c>
      <c r="CE30">
        <v>0</v>
      </c>
      <c r="CF30">
        <v>0</v>
      </c>
      <c r="CG30">
        <v>0</v>
      </c>
      <c r="CH30">
        <v>0</v>
      </c>
      <c r="CI30">
        <v>0</v>
      </c>
      <c r="CJ30">
        <v>0</v>
      </c>
      <c r="CK30">
        <v>0</v>
      </c>
      <c r="CL30">
        <v>0</v>
      </c>
      <c r="CM30">
        <v>0</v>
      </c>
      <c r="CN30">
        <v>0</v>
      </c>
      <c r="CO30">
        <v>0</v>
      </c>
      <c r="CP30">
        <v>0</v>
      </c>
      <c r="CQ30">
        <v>0</v>
      </c>
      <c r="CR30" t="s">
        <v>548</v>
      </c>
      <c r="CS30">
        <v>782512</v>
      </c>
      <c r="CT30">
        <v>0</v>
      </c>
      <c r="CU30">
        <v>27648</v>
      </c>
      <c r="CV30">
        <v>16544</v>
      </c>
      <c r="CW30">
        <v>259168</v>
      </c>
      <c r="CX30">
        <v>141146</v>
      </c>
      <c r="CY30">
        <v>0</v>
      </c>
      <c r="CZ30">
        <v>8400</v>
      </c>
      <c r="DA30">
        <v>122757</v>
      </c>
      <c r="DB30">
        <v>10560</v>
      </c>
      <c r="DC30">
        <v>135005</v>
      </c>
      <c r="DD30">
        <v>512</v>
      </c>
      <c r="DE30">
        <v>27776</v>
      </c>
      <c r="DF30">
        <v>277248</v>
      </c>
      <c r="DG30">
        <v>26688</v>
      </c>
      <c r="DH30">
        <v>31824</v>
      </c>
      <c r="DI30">
        <v>0</v>
      </c>
      <c r="DJ30">
        <v>44105</v>
      </c>
      <c r="DK30">
        <v>0</v>
      </c>
      <c r="DL30">
        <v>99152</v>
      </c>
      <c r="DM30">
        <v>114144</v>
      </c>
      <c r="DN30">
        <v>59712</v>
      </c>
      <c r="DO30">
        <v>51348</v>
      </c>
      <c r="DP30">
        <v>8800</v>
      </c>
      <c r="DQ30">
        <v>77904</v>
      </c>
      <c r="DR30">
        <v>123088</v>
      </c>
      <c r="DS30">
        <v>492120</v>
      </c>
      <c r="DT30">
        <v>80832</v>
      </c>
      <c r="DU30">
        <v>0</v>
      </c>
      <c r="DV30">
        <v>177984</v>
      </c>
      <c r="DW30">
        <v>209040</v>
      </c>
      <c r="DX30">
        <v>2623505</v>
      </c>
      <c r="DY30">
        <v>102808</v>
      </c>
      <c r="DZ30">
        <v>76984</v>
      </c>
      <c r="EA30">
        <v>777461</v>
      </c>
      <c r="EB30">
        <v>554492</v>
      </c>
      <c r="EC30">
        <v>0</v>
      </c>
      <c r="ED30">
        <v>36106</v>
      </c>
      <c r="EE30">
        <v>247749</v>
      </c>
      <c r="EF30">
        <v>56882</v>
      </c>
      <c r="EG30">
        <v>372620</v>
      </c>
      <c r="EH30">
        <v>2816</v>
      </c>
      <c r="EI30">
        <v>84484</v>
      </c>
      <c r="EJ30">
        <v>1183355</v>
      </c>
      <c r="EK30">
        <v>8273</v>
      </c>
      <c r="EL30">
        <v>380827</v>
      </c>
      <c r="EM30">
        <v>0</v>
      </c>
      <c r="EN30">
        <v>216480</v>
      </c>
      <c r="EO30">
        <v>0</v>
      </c>
      <c r="EP30">
        <v>573120</v>
      </c>
      <c r="EQ30">
        <v>567285</v>
      </c>
      <c r="ER30">
        <v>236489</v>
      </c>
      <c r="ES30">
        <v>192029</v>
      </c>
      <c r="ET30">
        <v>25345</v>
      </c>
      <c r="EU30">
        <v>229744</v>
      </c>
      <c r="EV30">
        <v>227190</v>
      </c>
      <c r="EW30">
        <v>1248127</v>
      </c>
      <c r="EX30">
        <v>207295</v>
      </c>
      <c r="EY30">
        <v>0</v>
      </c>
      <c r="EZ30">
        <v>288436</v>
      </c>
      <c r="FA30">
        <v>264411</v>
      </c>
      <c r="FB30">
        <v>8160808</v>
      </c>
      <c r="FC30">
        <v>0</v>
      </c>
      <c r="FD30">
        <v>0</v>
      </c>
      <c r="FE30">
        <v>4116</v>
      </c>
      <c r="FF30">
        <v>2750</v>
      </c>
      <c r="FG30">
        <v>0</v>
      </c>
      <c r="FH30">
        <v>2048</v>
      </c>
      <c r="FI30">
        <v>0</v>
      </c>
      <c r="FJ30">
        <v>0</v>
      </c>
      <c r="FK30">
        <v>4258</v>
      </c>
      <c r="FL30">
        <v>0</v>
      </c>
      <c r="FM30">
        <v>0</v>
      </c>
      <c r="FN30">
        <v>87377</v>
      </c>
      <c r="FO30">
        <v>0</v>
      </c>
      <c r="FP30">
        <v>24199</v>
      </c>
      <c r="FQ30">
        <v>0</v>
      </c>
      <c r="FR30">
        <v>28151</v>
      </c>
      <c r="FS30">
        <v>0</v>
      </c>
      <c r="FT30">
        <v>70076</v>
      </c>
      <c r="FU30">
        <v>83362</v>
      </c>
      <c r="FV30">
        <v>812</v>
      </c>
      <c r="FW30">
        <v>33306</v>
      </c>
      <c r="FX30">
        <v>0</v>
      </c>
      <c r="FY30">
        <v>45982</v>
      </c>
      <c r="FZ30">
        <v>96495</v>
      </c>
      <c r="GA30">
        <v>1470</v>
      </c>
      <c r="GB30">
        <v>0</v>
      </c>
      <c r="GC30">
        <v>0</v>
      </c>
      <c r="GD30">
        <v>173006</v>
      </c>
      <c r="GE30">
        <v>171665</v>
      </c>
      <c r="GF30">
        <v>829073</v>
      </c>
      <c r="GG30">
        <v>8949</v>
      </c>
      <c r="GH30">
        <v>6701</v>
      </c>
      <c r="GI30">
        <v>68031</v>
      </c>
      <c r="GJ30">
        <v>48504</v>
      </c>
      <c r="GK30">
        <v>0</v>
      </c>
      <c r="GL30">
        <v>3321</v>
      </c>
      <c r="GM30">
        <v>21565</v>
      </c>
      <c r="GN30">
        <v>4951</v>
      </c>
      <c r="GO30">
        <v>32805</v>
      </c>
      <c r="GP30">
        <v>245</v>
      </c>
      <c r="GQ30">
        <v>7354</v>
      </c>
      <c r="GR30">
        <v>110609</v>
      </c>
      <c r="GS30">
        <v>720</v>
      </c>
      <c r="GT30">
        <v>35255</v>
      </c>
      <c r="GU30">
        <v>0</v>
      </c>
      <c r="GV30">
        <v>21294</v>
      </c>
      <c r="GW30">
        <v>0</v>
      </c>
      <c r="GX30">
        <v>55986</v>
      </c>
      <c r="GY30">
        <v>56635</v>
      </c>
      <c r="GZ30">
        <v>20656</v>
      </c>
      <c r="HA30">
        <v>19614</v>
      </c>
      <c r="HB30">
        <v>2206</v>
      </c>
      <c r="HC30">
        <v>24000</v>
      </c>
      <c r="HD30">
        <v>28175</v>
      </c>
      <c r="HE30">
        <v>108769</v>
      </c>
      <c r="HF30">
        <v>18044</v>
      </c>
      <c r="HG30">
        <v>0</v>
      </c>
      <c r="HH30">
        <v>40166</v>
      </c>
      <c r="HI30">
        <v>37958</v>
      </c>
      <c r="HJ30">
        <v>782512</v>
      </c>
      <c r="HK30">
        <v>13736</v>
      </c>
      <c r="HL30">
        <v>20692</v>
      </c>
      <c r="HM30">
        <v>102703</v>
      </c>
      <c r="HN30">
        <v>52023</v>
      </c>
      <c r="HO30">
        <v>0</v>
      </c>
      <c r="HP30">
        <v>2240</v>
      </c>
      <c r="HQ30">
        <v>41648</v>
      </c>
      <c r="HR30">
        <v>31972</v>
      </c>
      <c r="HS30">
        <v>63177</v>
      </c>
      <c r="HT30">
        <v>502</v>
      </c>
      <c r="HU30">
        <v>15050</v>
      </c>
      <c r="HV30">
        <v>72677</v>
      </c>
      <c r="HW30">
        <v>308</v>
      </c>
      <c r="HX30">
        <v>24124</v>
      </c>
      <c r="HY30">
        <v>0</v>
      </c>
      <c r="HZ30">
        <v>33084</v>
      </c>
      <c r="IA30">
        <v>0</v>
      </c>
      <c r="IB30">
        <v>60014</v>
      </c>
      <c r="IC30">
        <v>45779</v>
      </c>
      <c r="ID30">
        <v>49071</v>
      </c>
      <c r="IE30">
        <v>195997</v>
      </c>
      <c r="IF30">
        <v>4515</v>
      </c>
      <c r="IG30">
        <v>32852</v>
      </c>
      <c r="IH30">
        <v>43782</v>
      </c>
      <c r="II30">
        <v>120575</v>
      </c>
      <c r="IJ30">
        <v>17005</v>
      </c>
      <c r="IK30">
        <v>0</v>
      </c>
      <c r="IL30">
        <v>30241</v>
      </c>
      <c r="IM30">
        <v>28898</v>
      </c>
      <c r="IN30">
        <v>1102665</v>
      </c>
      <c r="IO30">
        <v>22685</v>
      </c>
      <c r="IP30">
        <v>27393</v>
      </c>
      <c r="IQ30">
        <v>174850</v>
      </c>
      <c r="IR30">
        <v>103277</v>
      </c>
      <c r="IS30">
        <v>0</v>
      </c>
      <c r="IT30">
        <v>7609</v>
      </c>
      <c r="IU30">
        <v>63213</v>
      </c>
      <c r="IV30">
        <v>36923</v>
      </c>
      <c r="IW30">
        <v>100240</v>
      </c>
      <c r="IX30">
        <v>747</v>
      </c>
      <c r="IY30">
        <v>22404</v>
      </c>
      <c r="IZ30">
        <v>270663</v>
      </c>
      <c r="JA30">
        <v>1028</v>
      </c>
      <c r="JB30">
        <v>83578</v>
      </c>
      <c r="JC30">
        <v>0</v>
      </c>
      <c r="JD30">
        <v>82529</v>
      </c>
      <c r="JE30">
        <v>0</v>
      </c>
      <c r="JF30">
        <v>186076</v>
      </c>
      <c r="JG30">
        <v>185776</v>
      </c>
      <c r="JH30">
        <v>70539</v>
      </c>
      <c r="JI30">
        <v>248917</v>
      </c>
      <c r="JJ30">
        <v>6721</v>
      </c>
      <c r="JK30">
        <v>102834</v>
      </c>
      <c r="JL30">
        <v>168452</v>
      </c>
      <c r="JM30">
        <v>230814</v>
      </c>
      <c r="JN30">
        <v>35049</v>
      </c>
      <c r="JO30">
        <v>0</v>
      </c>
      <c r="JP30">
        <v>243413</v>
      </c>
      <c r="JQ30">
        <v>238521</v>
      </c>
      <c r="JR30">
        <v>2714250</v>
      </c>
      <c r="JS30">
        <v>125493</v>
      </c>
      <c r="JT30">
        <v>104377</v>
      </c>
      <c r="JU30">
        <v>952311</v>
      </c>
      <c r="JV30">
        <v>657769</v>
      </c>
      <c r="JW30">
        <v>0</v>
      </c>
      <c r="JX30">
        <v>43715</v>
      </c>
      <c r="JY30">
        <v>310962</v>
      </c>
      <c r="JZ30">
        <v>93805</v>
      </c>
      <c r="KA30">
        <v>472860</v>
      </c>
      <c r="KB30">
        <v>3563</v>
      </c>
      <c r="KC30">
        <v>106888</v>
      </c>
      <c r="KD30">
        <v>1454018</v>
      </c>
      <c r="KE30">
        <v>9301</v>
      </c>
      <c r="KF30">
        <v>464405</v>
      </c>
      <c r="KG30">
        <v>0</v>
      </c>
      <c r="KH30">
        <v>299009</v>
      </c>
      <c r="KI30">
        <v>0</v>
      </c>
      <c r="KJ30">
        <v>759196</v>
      </c>
      <c r="KK30">
        <v>753061</v>
      </c>
      <c r="KL30">
        <v>307028</v>
      </c>
      <c r="KM30">
        <v>440946</v>
      </c>
      <c r="KN30">
        <v>32066</v>
      </c>
      <c r="KO30">
        <v>332578</v>
      </c>
      <c r="KP30">
        <v>395642</v>
      </c>
      <c r="KQ30">
        <v>1478941</v>
      </c>
      <c r="KR30">
        <v>242344</v>
      </c>
      <c r="KS30">
        <v>0</v>
      </c>
      <c r="KT30">
        <v>531849</v>
      </c>
      <c r="KU30">
        <v>502932</v>
      </c>
      <c r="KV30">
        <v>10875058</v>
      </c>
      <c r="KW30" t="s">
        <v>556</v>
      </c>
      <c r="KX30">
        <v>19102508</v>
      </c>
      <c r="KY30">
        <v>3955863</v>
      </c>
      <c r="KZ30">
        <v>23058371</v>
      </c>
      <c r="LA30">
        <v>0</v>
      </c>
      <c r="LB30">
        <v>414364</v>
      </c>
    </row>
    <row r="31" spans="1:314" x14ac:dyDescent="0.25">
      <c r="A31" t="s">
        <v>557</v>
      </c>
      <c r="B31" t="s">
        <v>558</v>
      </c>
      <c r="C31" t="s">
        <v>352</v>
      </c>
      <c r="D31" t="s">
        <v>559</v>
      </c>
      <c r="E31" s="2">
        <v>40932.688379629632</v>
      </c>
      <c r="G31" t="s">
        <v>560</v>
      </c>
      <c r="H31" t="s">
        <v>561</v>
      </c>
      <c r="I31" t="s">
        <v>562</v>
      </c>
      <c r="J31" t="s">
        <v>563</v>
      </c>
      <c r="K31" t="s">
        <v>564</v>
      </c>
      <c r="L31">
        <v>0</v>
      </c>
      <c r="M31">
        <v>0</v>
      </c>
      <c r="N31">
        <v>0</v>
      </c>
      <c r="O31">
        <v>208602127</v>
      </c>
      <c r="P31">
        <v>0</v>
      </c>
      <c r="Q31">
        <v>10777287</v>
      </c>
      <c r="R31">
        <v>0</v>
      </c>
      <c r="S31">
        <v>10777287</v>
      </c>
      <c r="T31">
        <v>14681491</v>
      </c>
      <c r="U31">
        <v>14876756</v>
      </c>
      <c r="V31">
        <v>13887427</v>
      </c>
      <c r="W31">
        <v>0</v>
      </c>
      <c r="X31">
        <v>0</v>
      </c>
      <c r="Y31">
        <v>0</v>
      </c>
      <c r="Z31">
        <v>43445674</v>
      </c>
      <c r="AA31">
        <v>7057996</v>
      </c>
      <c r="AB31">
        <v>3660588</v>
      </c>
      <c r="AC31">
        <v>2767545</v>
      </c>
      <c r="AD31">
        <v>0</v>
      </c>
      <c r="AE31">
        <v>1171689</v>
      </c>
      <c r="AF31">
        <v>5110403</v>
      </c>
      <c r="AG31">
        <v>19768221</v>
      </c>
      <c r="AH31">
        <v>21739487</v>
      </c>
      <c r="AI31">
        <v>18537344</v>
      </c>
      <c r="AJ31">
        <v>16654972</v>
      </c>
      <c r="AK31">
        <v>0</v>
      </c>
      <c r="AL31">
        <v>1171689</v>
      </c>
      <c r="AM31">
        <v>5110403</v>
      </c>
      <c r="AN31">
        <v>63213895</v>
      </c>
      <c r="AO31">
        <v>3168293</v>
      </c>
      <c r="AP31">
        <v>0</v>
      </c>
      <c r="AQ31">
        <v>0</v>
      </c>
      <c r="AR31">
        <v>0</v>
      </c>
      <c r="AS31">
        <v>3168293</v>
      </c>
      <c r="AT31">
        <v>657251</v>
      </c>
      <c r="AU31">
        <v>0</v>
      </c>
      <c r="AV31">
        <v>0</v>
      </c>
      <c r="AW31">
        <v>131445</v>
      </c>
      <c r="AX31">
        <v>788696</v>
      </c>
      <c r="AY31">
        <v>3825544</v>
      </c>
      <c r="AZ31">
        <v>0</v>
      </c>
      <c r="BA31">
        <v>0</v>
      </c>
      <c r="BB31">
        <v>131445</v>
      </c>
      <c r="BC31">
        <v>3956989</v>
      </c>
      <c r="BD31">
        <v>8006056</v>
      </c>
      <c r="BE31">
        <v>0</v>
      </c>
      <c r="BF31">
        <v>0</v>
      </c>
      <c r="BG31">
        <v>0</v>
      </c>
      <c r="BH31">
        <v>0</v>
      </c>
      <c r="BI31">
        <v>8006056</v>
      </c>
      <c r="BJ31">
        <v>0</v>
      </c>
      <c r="BK31">
        <v>0</v>
      </c>
      <c r="BL31">
        <v>3335542</v>
      </c>
      <c r="BM31">
        <v>0</v>
      </c>
      <c r="BN31">
        <v>0</v>
      </c>
      <c r="BO31">
        <v>3335542</v>
      </c>
      <c r="BP31">
        <v>21554228</v>
      </c>
      <c r="BQ31">
        <v>2045619</v>
      </c>
      <c r="BR31">
        <v>0</v>
      </c>
      <c r="BS31">
        <v>0</v>
      </c>
      <c r="BT31">
        <v>630392</v>
      </c>
      <c r="BU31">
        <v>24230239</v>
      </c>
      <c r="BV31">
        <v>29560284</v>
      </c>
      <c r="BW31">
        <v>2045619</v>
      </c>
      <c r="BX31">
        <v>3335542</v>
      </c>
      <c r="BY31">
        <v>0</v>
      </c>
      <c r="BZ31">
        <v>630392</v>
      </c>
      <c r="CA31">
        <v>35571837</v>
      </c>
      <c r="CB31">
        <v>0</v>
      </c>
      <c r="CC31">
        <v>0</v>
      </c>
      <c r="CD31">
        <v>0</v>
      </c>
      <c r="CE31">
        <v>0</v>
      </c>
      <c r="CF31">
        <v>0</v>
      </c>
      <c r="CG31">
        <v>0</v>
      </c>
      <c r="CH31">
        <v>0</v>
      </c>
      <c r="CI31">
        <v>0</v>
      </c>
      <c r="CJ31">
        <v>0</v>
      </c>
      <c r="CK31">
        <v>0</v>
      </c>
      <c r="CL31">
        <v>0</v>
      </c>
      <c r="CM31">
        <v>0</v>
      </c>
      <c r="CN31">
        <v>0</v>
      </c>
      <c r="CO31">
        <v>0</v>
      </c>
      <c r="CP31">
        <v>0</v>
      </c>
      <c r="CQ31">
        <v>0</v>
      </c>
      <c r="CR31" t="s">
        <v>557</v>
      </c>
      <c r="CS31">
        <v>12978746</v>
      </c>
      <c r="CT31">
        <v>0</v>
      </c>
      <c r="CU31">
        <v>41468</v>
      </c>
      <c r="CV31">
        <v>47894</v>
      </c>
      <c r="CW31">
        <v>2760288</v>
      </c>
      <c r="CX31">
        <v>1487342</v>
      </c>
      <c r="CY31">
        <v>0</v>
      </c>
      <c r="CZ31">
        <v>407672</v>
      </c>
      <c r="DA31">
        <v>751026</v>
      </c>
      <c r="DB31">
        <v>2028</v>
      </c>
      <c r="DC31">
        <v>283608</v>
      </c>
      <c r="DD31">
        <v>16688</v>
      </c>
      <c r="DE31">
        <v>286937</v>
      </c>
      <c r="DF31">
        <v>2859232</v>
      </c>
      <c r="DG31">
        <v>553294</v>
      </c>
      <c r="DH31">
        <v>347971</v>
      </c>
      <c r="DI31">
        <v>33952</v>
      </c>
      <c r="DJ31">
        <v>360728</v>
      </c>
      <c r="DK31">
        <v>38816</v>
      </c>
      <c r="DL31">
        <v>0</v>
      </c>
      <c r="DM31">
        <v>768493</v>
      </c>
      <c r="DN31">
        <v>126824</v>
      </c>
      <c r="DO31">
        <v>212096</v>
      </c>
      <c r="DP31">
        <v>42828</v>
      </c>
      <c r="DQ31">
        <v>659472</v>
      </c>
      <c r="DR31">
        <v>429064</v>
      </c>
      <c r="DS31">
        <v>3946240</v>
      </c>
      <c r="DT31">
        <v>1336964</v>
      </c>
      <c r="DU31">
        <v>0</v>
      </c>
      <c r="DV31">
        <v>1311184</v>
      </c>
      <c r="DW31">
        <v>644880</v>
      </c>
      <c r="DX31">
        <v>19756989</v>
      </c>
      <c r="DY31">
        <v>107995</v>
      </c>
      <c r="DZ31">
        <v>447117</v>
      </c>
      <c r="EA31">
        <v>7835292</v>
      </c>
      <c r="EB31">
        <v>3047725</v>
      </c>
      <c r="EC31">
        <v>0</v>
      </c>
      <c r="ED31">
        <v>796617</v>
      </c>
      <c r="EE31">
        <v>3364984</v>
      </c>
      <c r="EF31">
        <v>640</v>
      </c>
      <c r="EG31">
        <v>1011969</v>
      </c>
      <c r="EH31">
        <v>75697</v>
      </c>
      <c r="EI31">
        <v>1323201</v>
      </c>
      <c r="EJ31">
        <v>8653910</v>
      </c>
      <c r="EK31">
        <v>1537671</v>
      </c>
      <c r="EL31">
        <v>2914843</v>
      </c>
      <c r="EM31">
        <v>515163</v>
      </c>
      <c r="EN31">
        <v>1822038</v>
      </c>
      <c r="EO31">
        <v>436196</v>
      </c>
      <c r="EP31">
        <v>0</v>
      </c>
      <c r="EQ31">
        <v>2249382</v>
      </c>
      <c r="ER31">
        <v>609972</v>
      </c>
      <c r="ES31">
        <v>911206</v>
      </c>
      <c r="ET31">
        <v>3880</v>
      </c>
      <c r="EU31">
        <v>2180351</v>
      </c>
      <c r="EV31">
        <v>1705631</v>
      </c>
      <c r="EW31">
        <v>9548754</v>
      </c>
      <c r="EX31">
        <v>5401691</v>
      </c>
      <c r="EY31">
        <v>0</v>
      </c>
      <c r="EZ31">
        <v>3837838</v>
      </c>
      <c r="FA31">
        <v>1951830</v>
      </c>
      <c r="FB31">
        <v>62291593</v>
      </c>
      <c r="FC31">
        <v>27996</v>
      </c>
      <c r="FD31">
        <v>70479</v>
      </c>
      <c r="FE31">
        <v>1562497</v>
      </c>
      <c r="FF31">
        <v>1057804</v>
      </c>
      <c r="FG31">
        <v>0</v>
      </c>
      <c r="FH31">
        <v>1117050</v>
      </c>
      <c r="FI31">
        <v>594591</v>
      </c>
      <c r="FJ31">
        <v>2069</v>
      </c>
      <c r="FK31">
        <v>182356</v>
      </c>
      <c r="FL31">
        <v>10399</v>
      </c>
      <c r="FM31">
        <v>285328</v>
      </c>
      <c r="FN31">
        <v>1642168</v>
      </c>
      <c r="FO31">
        <v>320665</v>
      </c>
      <c r="FP31">
        <v>617016</v>
      </c>
      <c r="FQ31">
        <v>34037</v>
      </c>
      <c r="FR31">
        <v>834224</v>
      </c>
      <c r="FS31">
        <v>33465</v>
      </c>
      <c r="FT31">
        <v>0</v>
      </c>
      <c r="FU31">
        <v>448865</v>
      </c>
      <c r="FV31">
        <v>126577</v>
      </c>
      <c r="FW31">
        <v>171921</v>
      </c>
      <c r="FX31">
        <v>26570</v>
      </c>
      <c r="FY31">
        <v>397506</v>
      </c>
      <c r="FZ31">
        <v>1448052</v>
      </c>
      <c r="GA31">
        <v>2161246</v>
      </c>
      <c r="GB31">
        <v>816463</v>
      </c>
      <c r="GC31">
        <v>0</v>
      </c>
      <c r="GD31">
        <v>765843</v>
      </c>
      <c r="GE31">
        <v>370380</v>
      </c>
      <c r="GF31">
        <v>15125567</v>
      </c>
      <c r="GG31">
        <v>22798</v>
      </c>
      <c r="GH31">
        <v>86773</v>
      </c>
      <c r="GI31">
        <v>1575510</v>
      </c>
      <c r="GJ31">
        <v>688279</v>
      </c>
      <c r="GK31">
        <v>0</v>
      </c>
      <c r="GL31">
        <v>320820</v>
      </c>
      <c r="GM31">
        <v>663810</v>
      </c>
      <c r="GN31">
        <v>454</v>
      </c>
      <c r="GO31">
        <v>200225</v>
      </c>
      <c r="GP31">
        <v>14434</v>
      </c>
      <c r="GQ31">
        <v>269665</v>
      </c>
      <c r="GR31">
        <v>1726105</v>
      </c>
      <c r="GS31">
        <v>311544</v>
      </c>
      <c r="GT31">
        <v>592105</v>
      </c>
      <c r="GU31">
        <v>92072</v>
      </c>
      <c r="GV31">
        <v>445314</v>
      </c>
      <c r="GW31">
        <v>78737</v>
      </c>
      <c r="GX31">
        <v>0</v>
      </c>
      <c r="GY31">
        <v>452353</v>
      </c>
      <c r="GZ31">
        <v>123480</v>
      </c>
      <c r="HA31">
        <v>181583</v>
      </c>
      <c r="HB31">
        <v>5105</v>
      </c>
      <c r="HC31">
        <v>432170</v>
      </c>
      <c r="HD31">
        <v>528705</v>
      </c>
      <c r="HE31">
        <v>1963145</v>
      </c>
      <c r="HF31">
        <v>1042454</v>
      </c>
      <c r="HG31">
        <v>0</v>
      </c>
      <c r="HH31">
        <v>771793</v>
      </c>
      <c r="HI31">
        <v>389311</v>
      </c>
      <c r="HJ31">
        <v>12978746</v>
      </c>
      <c r="HK31">
        <v>19232</v>
      </c>
      <c r="HL31">
        <v>71237</v>
      </c>
      <c r="HM31">
        <v>1241148</v>
      </c>
      <c r="HN31">
        <v>574772</v>
      </c>
      <c r="HO31">
        <v>0</v>
      </c>
      <c r="HP31">
        <v>365213</v>
      </c>
      <c r="HQ31">
        <v>543339</v>
      </c>
      <c r="HR31">
        <v>515</v>
      </c>
      <c r="HS31">
        <v>158986</v>
      </c>
      <c r="HT31">
        <v>11395</v>
      </c>
      <c r="HU31">
        <v>223659</v>
      </c>
      <c r="HV31">
        <v>1338821</v>
      </c>
      <c r="HW31">
        <v>243579</v>
      </c>
      <c r="HX31">
        <v>461384</v>
      </c>
      <c r="HY31">
        <v>70936</v>
      </c>
      <c r="HZ31">
        <v>365395</v>
      </c>
      <c r="IA31">
        <v>60207</v>
      </c>
      <c r="IB31">
        <v>0</v>
      </c>
      <c r="IC31">
        <v>350788</v>
      </c>
      <c r="ID31">
        <v>111371</v>
      </c>
      <c r="IE31">
        <v>150642</v>
      </c>
      <c r="IF31">
        <v>5307</v>
      </c>
      <c r="IG31">
        <v>350728</v>
      </c>
      <c r="IH31">
        <v>568049</v>
      </c>
      <c r="II31">
        <v>1529369</v>
      </c>
      <c r="IJ31">
        <v>841914</v>
      </c>
      <c r="IK31">
        <v>0</v>
      </c>
      <c r="IL31">
        <v>598505</v>
      </c>
      <c r="IM31">
        <v>301962</v>
      </c>
      <c r="IN31">
        <v>10558453</v>
      </c>
      <c r="IO31">
        <v>70026</v>
      </c>
      <c r="IP31">
        <v>228489</v>
      </c>
      <c r="IQ31">
        <v>4379155</v>
      </c>
      <c r="IR31">
        <v>2320855</v>
      </c>
      <c r="IS31">
        <v>0</v>
      </c>
      <c r="IT31">
        <v>1803083</v>
      </c>
      <c r="IU31">
        <v>1801740</v>
      </c>
      <c r="IV31">
        <v>3038</v>
      </c>
      <c r="IW31">
        <v>541567</v>
      </c>
      <c r="IX31">
        <v>36228</v>
      </c>
      <c r="IY31">
        <v>778652</v>
      </c>
      <c r="IZ31">
        <v>4707094</v>
      </c>
      <c r="JA31">
        <v>875788</v>
      </c>
      <c r="JB31">
        <v>1670505</v>
      </c>
      <c r="JC31">
        <v>197045</v>
      </c>
      <c r="JD31">
        <v>1644933</v>
      </c>
      <c r="JE31">
        <v>172409</v>
      </c>
      <c r="JF31">
        <v>0</v>
      </c>
      <c r="JG31">
        <v>1252006</v>
      </c>
      <c r="JH31">
        <v>361428</v>
      </c>
      <c r="JI31">
        <v>504146</v>
      </c>
      <c r="JJ31">
        <v>36982</v>
      </c>
      <c r="JK31">
        <v>1180404</v>
      </c>
      <c r="JL31">
        <v>2544806</v>
      </c>
      <c r="JM31">
        <v>5653760</v>
      </c>
      <c r="JN31">
        <v>2700831</v>
      </c>
      <c r="JO31">
        <v>0</v>
      </c>
      <c r="JP31">
        <v>2136141</v>
      </c>
      <c r="JQ31">
        <v>1061653</v>
      </c>
      <c r="JR31">
        <v>38662766</v>
      </c>
      <c r="JS31">
        <v>178021</v>
      </c>
      <c r="JT31">
        <v>675606</v>
      </c>
      <c r="JU31">
        <v>12214447</v>
      </c>
      <c r="JV31">
        <v>5368580</v>
      </c>
      <c r="JW31">
        <v>0</v>
      </c>
      <c r="JX31">
        <v>2599700</v>
      </c>
      <c r="JY31">
        <v>5166724</v>
      </c>
      <c r="JZ31">
        <v>3678</v>
      </c>
      <c r="KA31">
        <v>1553536</v>
      </c>
      <c r="KB31">
        <v>111925</v>
      </c>
      <c r="KC31">
        <v>2101853</v>
      </c>
      <c r="KD31">
        <v>13361004</v>
      </c>
      <c r="KE31">
        <v>2413459</v>
      </c>
      <c r="KF31">
        <v>4585348</v>
      </c>
      <c r="KG31">
        <v>712208</v>
      </c>
      <c r="KH31">
        <v>3466971</v>
      </c>
      <c r="KI31">
        <v>608605</v>
      </c>
      <c r="KJ31">
        <v>0</v>
      </c>
      <c r="KK31">
        <v>3501388</v>
      </c>
      <c r="KL31">
        <v>971400</v>
      </c>
      <c r="KM31">
        <v>1415352</v>
      </c>
      <c r="KN31">
        <v>40862</v>
      </c>
      <c r="KO31">
        <v>3360755</v>
      </c>
      <c r="KP31">
        <v>4250437</v>
      </c>
      <c r="KQ31">
        <v>15202514</v>
      </c>
      <c r="KR31">
        <v>8102522</v>
      </c>
      <c r="KS31">
        <v>0</v>
      </c>
      <c r="KT31">
        <v>5973979</v>
      </c>
      <c r="KU31">
        <v>3013483</v>
      </c>
      <c r="KV31">
        <v>100954359</v>
      </c>
      <c r="KW31" t="s">
        <v>359</v>
      </c>
      <c r="KX31">
        <v>174945541</v>
      </c>
      <c r="KY31">
        <v>39528826</v>
      </c>
      <c r="KZ31">
        <v>214474367</v>
      </c>
      <c r="LA31">
        <v>0</v>
      </c>
      <c r="LB31">
        <v>5872240</v>
      </c>
    </row>
    <row r="32" spans="1:314" x14ac:dyDescent="0.25">
      <c r="A32" t="s">
        <v>565</v>
      </c>
      <c r="B32" t="s">
        <v>566</v>
      </c>
      <c r="C32" t="s">
        <v>352</v>
      </c>
      <c r="D32" t="s">
        <v>567</v>
      </c>
      <c r="E32" s="2">
        <v>40919.572777777779</v>
      </c>
      <c r="G32" t="s">
        <v>568</v>
      </c>
      <c r="H32" t="s">
        <v>569</v>
      </c>
      <c r="I32" t="s">
        <v>570</v>
      </c>
      <c r="J32" t="s">
        <v>571</v>
      </c>
      <c r="K32" t="s">
        <v>572</v>
      </c>
      <c r="L32">
        <v>0</v>
      </c>
      <c r="M32">
        <v>0</v>
      </c>
      <c r="N32">
        <v>0</v>
      </c>
      <c r="O32">
        <v>22849278</v>
      </c>
      <c r="P32">
        <v>0</v>
      </c>
      <c r="Q32">
        <v>768335</v>
      </c>
      <c r="R32">
        <v>0</v>
      </c>
      <c r="S32">
        <v>768335</v>
      </c>
      <c r="T32">
        <v>2506886</v>
      </c>
      <c r="U32">
        <v>1153257</v>
      </c>
      <c r="V32">
        <v>1439773</v>
      </c>
      <c r="W32">
        <v>0</v>
      </c>
      <c r="X32">
        <v>0</v>
      </c>
      <c r="Y32">
        <v>0</v>
      </c>
      <c r="Z32">
        <v>5099916</v>
      </c>
      <c r="AA32">
        <v>1498646</v>
      </c>
      <c r="AB32">
        <v>211706</v>
      </c>
      <c r="AC32">
        <v>442219</v>
      </c>
      <c r="AD32">
        <v>0</v>
      </c>
      <c r="AE32">
        <v>0</v>
      </c>
      <c r="AF32">
        <v>308275</v>
      </c>
      <c r="AG32">
        <v>2460846</v>
      </c>
      <c r="AH32">
        <v>4005532</v>
      </c>
      <c r="AI32">
        <v>1364963</v>
      </c>
      <c r="AJ32">
        <v>1881992</v>
      </c>
      <c r="AK32">
        <v>0</v>
      </c>
      <c r="AL32">
        <v>0</v>
      </c>
      <c r="AM32">
        <v>308275</v>
      </c>
      <c r="AN32">
        <v>7560762</v>
      </c>
      <c r="AO32">
        <v>239080</v>
      </c>
      <c r="AP32">
        <v>0</v>
      </c>
      <c r="AQ32">
        <v>0</v>
      </c>
      <c r="AR32">
        <v>0</v>
      </c>
      <c r="AS32">
        <v>239080</v>
      </c>
      <c r="AT32">
        <v>51134</v>
      </c>
      <c r="AU32">
        <v>0</v>
      </c>
      <c r="AV32">
        <v>0</v>
      </c>
      <c r="AW32">
        <v>49607</v>
      </c>
      <c r="AX32">
        <v>100741</v>
      </c>
      <c r="AY32">
        <v>290214</v>
      </c>
      <c r="AZ32">
        <v>0</v>
      </c>
      <c r="BA32">
        <v>0</v>
      </c>
      <c r="BB32">
        <v>49607</v>
      </c>
      <c r="BC32">
        <v>339821</v>
      </c>
      <c r="BD32">
        <v>580940</v>
      </c>
      <c r="BE32">
        <v>0</v>
      </c>
      <c r="BF32">
        <v>0</v>
      </c>
      <c r="BG32">
        <v>0</v>
      </c>
      <c r="BH32">
        <v>0</v>
      </c>
      <c r="BI32">
        <v>580940</v>
      </c>
      <c r="BJ32">
        <v>0</v>
      </c>
      <c r="BK32">
        <v>0</v>
      </c>
      <c r="BL32">
        <v>243934</v>
      </c>
      <c r="BM32">
        <v>0</v>
      </c>
      <c r="BN32">
        <v>0</v>
      </c>
      <c r="BO32">
        <v>243934</v>
      </c>
      <c r="BP32">
        <v>2147696</v>
      </c>
      <c r="BQ32">
        <v>0</v>
      </c>
      <c r="BR32">
        <v>0</v>
      </c>
      <c r="BS32">
        <v>0</v>
      </c>
      <c r="BT32">
        <v>46568</v>
      </c>
      <c r="BU32">
        <v>2194264</v>
      </c>
      <c r="BV32">
        <v>2728636</v>
      </c>
      <c r="BW32">
        <v>0</v>
      </c>
      <c r="BX32">
        <v>243934</v>
      </c>
      <c r="BY32">
        <v>0</v>
      </c>
      <c r="BZ32">
        <v>46568</v>
      </c>
      <c r="CA32">
        <v>3019138</v>
      </c>
      <c r="CB32">
        <v>0</v>
      </c>
      <c r="CC32">
        <v>0</v>
      </c>
      <c r="CD32">
        <v>0</v>
      </c>
      <c r="CE32">
        <v>0</v>
      </c>
      <c r="CF32">
        <v>0</v>
      </c>
      <c r="CG32">
        <v>0</v>
      </c>
      <c r="CH32">
        <v>0</v>
      </c>
      <c r="CI32">
        <v>0</v>
      </c>
      <c r="CJ32">
        <v>0</v>
      </c>
      <c r="CK32">
        <v>0</v>
      </c>
      <c r="CL32">
        <v>0</v>
      </c>
      <c r="CM32">
        <v>0</v>
      </c>
      <c r="CN32">
        <v>0</v>
      </c>
      <c r="CO32">
        <v>0</v>
      </c>
      <c r="CP32">
        <v>0</v>
      </c>
      <c r="CQ32">
        <v>0</v>
      </c>
      <c r="CR32" t="s">
        <v>565</v>
      </c>
      <c r="CS32">
        <v>1188858</v>
      </c>
      <c r="CT32">
        <v>0</v>
      </c>
      <c r="CU32">
        <v>16544</v>
      </c>
      <c r="CV32">
        <v>0</v>
      </c>
      <c r="CW32">
        <v>327728</v>
      </c>
      <c r="CX32">
        <v>203020</v>
      </c>
      <c r="CY32">
        <v>0</v>
      </c>
      <c r="CZ32">
        <v>2224</v>
      </c>
      <c r="DA32">
        <v>132762</v>
      </c>
      <c r="DB32">
        <v>0</v>
      </c>
      <c r="DC32">
        <v>47067</v>
      </c>
      <c r="DD32">
        <v>0</v>
      </c>
      <c r="DE32">
        <v>32208</v>
      </c>
      <c r="DF32">
        <v>413888</v>
      </c>
      <c r="DG32">
        <v>26048</v>
      </c>
      <c r="DH32">
        <v>112330</v>
      </c>
      <c r="DI32">
        <v>18675</v>
      </c>
      <c r="DJ32">
        <v>193306</v>
      </c>
      <c r="DK32">
        <v>32048</v>
      </c>
      <c r="DL32">
        <v>115888</v>
      </c>
      <c r="DM32">
        <v>94108</v>
      </c>
      <c r="DN32">
        <v>0</v>
      </c>
      <c r="DO32">
        <v>355</v>
      </c>
      <c r="DP32">
        <v>9356</v>
      </c>
      <c r="DQ32">
        <v>68352</v>
      </c>
      <c r="DR32">
        <v>86084</v>
      </c>
      <c r="DS32">
        <v>393082</v>
      </c>
      <c r="DT32">
        <v>159184</v>
      </c>
      <c r="DU32">
        <v>0</v>
      </c>
      <c r="DV32">
        <v>143712</v>
      </c>
      <c r="DW32">
        <v>102144</v>
      </c>
      <c r="DX32">
        <v>2730113</v>
      </c>
      <c r="DY32">
        <v>55141</v>
      </c>
      <c r="DZ32">
        <v>0</v>
      </c>
      <c r="EA32">
        <v>1002993</v>
      </c>
      <c r="EB32">
        <v>452132</v>
      </c>
      <c r="EC32">
        <v>0</v>
      </c>
      <c r="ED32">
        <v>10226</v>
      </c>
      <c r="EE32">
        <v>358222</v>
      </c>
      <c r="EF32">
        <v>0</v>
      </c>
      <c r="EG32">
        <v>129717</v>
      </c>
      <c r="EH32">
        <v>0</v>
      </c>
      <c r="EI32">
        <v>97156</v>
      </c>
      <c r="EJ32">
        <v>894398</v>
      </c>
      <c r="EK32">
        <v>84961</v>
      </c>
      <c r="EL32">
        <v>656905</v>
      </c>
      <c r="EM32">
        <v>321140</v>
      </c>
      <c r="EN32">
        <v>592702</v>
      </c>
      <c r="EO32">
        <v>200606</v>
      </c>
      <c r="EP32">
        <v>596701</v>
      </c>
      <c r="EQ32">
        <v>351167</v>
      </c>
      <c r="ER32">
        <v>0</v>
      </c>
      <c r="ES32">
        <v>879</v>
      </c>
      <c r="ET32">
        <v>33661</v>
      </c>
      <c r="EU32">
        <v>317647</v>
      </c>
      <c r="EV32">
        <v>211211</v>
      </c>
      <c r="EW32">
        <v>1027208</v>
      </c>
      <c r="EX32">
        <v>721864</v>
      </c>
      <c r="EY32">
        <v>0</v>
      </c>
      <c r="EZ32">
        <v>444742</v>
      </c>
      <c r="FA32">
        <v>391766</v>
      </c>
      <c r="FB32">
        <v>8953145</v>
      </c>
      <c r="FC32">
        <v>0</v>
      </c>
      <c r="FD32">
        <v>0</v>
      </c>
      <c r="FE32">
        <v>41434</v>
      </c>
      <c r="FF32">
        <v>4375</v>
      </c>
      <c r="FG32">
        <v>0</v>
      </c>
      <c r="FH32">
        <v>356</v>
      </c>
      <c r="FI32">
        <v>23793</v>
      </c>
      <c r="FJ32">
        <v>0</v>
      </c>
      <c r="FK32">
        <v>10602</v>
      </c>
      <c r="FL32">
        <v>0</v>
      </c>
      <c r="FM32">
        <v>0</v>
      </c>
      <c r="FN32">
        <v>0</v>
      </c>
      <c r="FO32">
        <v>0</v>
      </c>
      <c r="FP32">
        <v>15180</v>
      </c>
      <c r="FQ32">
        <v>30150</v>
      </c>
      <c r="FR32">
        <v>69051</v>
      </c>
      <c r="FS32">
        <v>11851</v>
      </c>
      <c r="FT32">
        <v>39013</v>
      </c>
      <c r="FU32">
        <v>0</v>
      </c>
      <c r="FV32">
        <v>0</v>
      </c>
      <c r="FW32">
        <v>0</v>
      </c>
      <c r="FX32">
        <v>1509</v>
      </c>
      <c r="FY32">
        <v>0</v>
      </c>
      <c r="FZ32">
        <v>47128</v>
      </c>
      <c r="GA32">
        <v>2022</v>
      </c>
      <c r="GB32">
        <v>30527</v>
      </c>
      <c r="GC32">
        <v>0</v>
      </c>
      <c r="GD32">
        <v>0</v>
      </c>
      <c r="GE32">
        <v>0</v>
      </c>
      <c r="GF32">
        <v>326991</v>
      </c>
      <c r="GG32">
        <v>7064</v>
      </c>
      <c r="GH32">
        <v>0</v>
      </c>
      <c r="GI32">
        <v>133799</v>
      </c>
      <c r="GJ32">
        <v>58482</v>
      </c>
      <c r="GK32">
        <v>0</v>
      </c>
      <c r="GL32">
        <v>1356</v>
      </c>
      <c r="GM32">
        <v>48939</v>
      </c>
      <c r="GN32">
        <v>0</v>
      </c>
      <c r="GO32">
        <v>17976</v>
      </c>
      <c r="GP32">
        <v>0</v>
      </c>
      <c r="GQ32">
        <v>12446</v>
      </c>
      <c r="GR32">
        <v>114579</v>
      </c>
      <c r="GS32">
        <v>10884</v>
      </c>
      <c r="GT32">
        <v>86099</v>
      </c>
      <c r="GU32">
        <v>45003</v>
      </c>
      <c r="GV32">
        <v>84776</v>
      </c>
      <c r="GW32">
        <v>27217</v>
      </c>
      <c r="GX32">
        <v>81440</v>
      </c>
      <c r="GY32">
        <v>44987</v>
      </c>
      <c r="GZ32">
        <v>0</v>
      </c>
      <c r="HA32">
        <v>113</v>
      </c>
      <c r="HB32">
        <v>4506</v>
      </c>
      <c r="HC32">
        <v>40693</v>
      </c>
      <c r="HD32">
        <v>33095</v>
      </c>
      <c r="HE32">
        <v>131852</v>
      </c>
      <c r="HF32">
        <v>96387</v>
      </c>
      <c r="HG32">
        <v>0</v>
      </c>
      <c r="HH32">
        <v>56975</v>
      </c>
      <c r="HI32">
        <v>50188</v>
      </c>
      <c r="HJ32">
        <v>1188858</v>
      </c>
      <c r="HK32">
        <v>5114</v>
      </c>
      <c r="HL32">
        <v>0</v>
      </c>
      <c r="HM32">
        <v>125955</v>
      </c>
      <c r="HN32">
        <v>36012</v>
      </c>
      <c r="HO32">
        <v>0</v>
      </c>
      <c r="HP32">
        <v>2434</v>
      </c>
      <c r="HQ32">
        <v>36764</v>
      </c>
      <c r="HR32">
        <v>0</v>
      </c>
      <c r="HS32">
        <v>15038</v>
      </c>
      <c r="HT32">
        <v>0</v>
      </c>
      <c r="HU32">
        <v>273081</v>
      </c>
      <c r="HV32">
        <v>33405</v>
      </c>
      <c r="HW32">
        <v>5165</v>
      </c>
      <c r="HX32">
        <v>36584</v>
      </c>
      <c r="HY32">
        <v>43985</v>
      </c>
      <c r="HZ32">
        <v>143912</v>
      </c>
      <c r="IA32">
        <v>15345</v>
      </c>
      <c r="IB32">
        <v>23345</v>
      </c>
      <c r="IC32">
        <v>11343</v>
      </c>
      <c r="ID32">
        <v>0</v>
      </c>
      <c r="IE32">
        <v>564</v>
      </c>
      <c r="IF32">
        <v>3809</v>
      </c>
      <c r="IG32">
        <v>5013</v>
      </c>
      <c r="IH32">
        <v>26735</v>
      </c>
      <c r="II32">
        <v>75554</v>
      </c>
      <c r="IJ32">
        <v>160477</v>
      </c>
      <c r="IK32">
        <v>0</v>
      </c>
      <c r="IL32">
        <v>9268</v>
      </c>
      <c r="IM32">
        <v>7776</v>
      </c>
      <c r="IN32">
        <v>1096678</v>
      </c>
      <c r="IO32">
        <v>12178</v>
      </c>
      <c r="IP32">
        <v>0</v>
      </c>
      <c r="IQ32">
        <v>301188</v>
      </c>
      <c r="IR32">
        <v>98869</v>
      </c>
      <c r="IS32">
        <v>0</v>
      </c>
      <c r="IT32">
        <v>4146</v>
      </c>
      <c r="IU32">
        <v>109496</v>
      </c>
      <c r="IV32">
        <v>0</v>
      </c>
      <c r="IW32">
        <v>43616</v>
      </c>
      <c r="IX32">
        <v>0</v>
      </c>
      <c r="IY32">
        <v>285527</v>
      </c>
      <c r="IZ32">
        <v>147984</v>
      </c>
      <c r="JA32">
        <v>16049</v>
      </c>
      <c r="JB32">
        <v>137863</v>
      </c>
      <c r="JC32">
        <v>119138</v>
      </c>
      <c r="JD32">
        <v>297739</v>
      </c>
      <c r="JE32">
        <v>54413</v>
      </c>
      <c r="JF32">
        <v>143798</v>
      </c>
      <c r="JG32">
        <v>56330</v>
      </c>
      <c r="JH32">
        <v>0</v>
      </c>
      <c r="JI32">
        <v>677</v>
      </c>
      <c r="JJ32">
        <v>9824</v>
      </c>
      <c r="JK32">
        <v>45706</v>
      </c>
      <c r="JL32">
        <v>106958</v>
      </c>
      <c r="JM32">
        <v>209428</v>
      </c>
      <c r="JN32">
        <v>287391</v>
      </c>
      <c r="JO32">
        <v>0</v>
      </c>
      <c r="JP32">
        <v>66243</v>
      </c>
      <c r="JQ32">
        <v>57964</v>
      </c>
      <c r="JR32">
        <v>2612527</v>
      </c>
      <c r="JS32">
        <v>67319</v>
      </c>
      <c r="JT32">
        <v>0</v>
      </c>
      <c r="JU32">
        <v>1304181</v>
      </c>
      <c r="JV32">
        <v>551001</v>
      </c>
      <c r="JW32">
        <v>0</v>
      </c>
      <c r="JX32">
        <v>14372</v>
      </c>
      <c r="JY32">
        <v>467718</v>
      </c>
      <c r="JZ32">
        <v>0</v>
      </c>
      <c r="KA32">
        <v>173333</v>
      </c>
      <c r="KB32">
        <v>0</v>
      </c>
      <c r="KC32">
        <v>382683</v>
      </c>
      <c r="KD32">
        <v>1042382</v>
      </c>
      <c r="KE32">
        <v>101010</v>
      </c>
      <c r="KF32">
        <v>794768</v>
      </c>
      <c r="KG32">
        <v>440278</v>
      </c>
      <c r="KH32">
        <v>890441</v>
      </c>
      <c r="KI32">
        <v>255019</v>
      </c>
      <c r="KJ32">
        <v>740499</v>
      </c>
      <c r="KK32">
        <v>407497</v>
      </c>
      <c r="KL32">
        <v>0</v>
      </c>
      <c r="KM32">
        <v>1556</v>
      </c>
      <c r="KN32">
        <v>43485</v>
      </c>
      <c r="KO32">
        <v>363353</v>
      </c>
      <c r="KP32">
        <v>318169</v>
      </c>
      <c r="KQ32">
        <v>1236636</v>
      </c>
      <c r="KR32">
        <v>1009255</v>
      </c>
      <c r="KS32">
        <v>0</v>
      </c>
      <c r="KT32">
        <v>510985</v>
      </c>
      <c r="KU32">
        <v>449730</v>
      </c>
      <c r="KV32">
        <v>11565672</v>
      </c>
      <c r="KW32" t="s">
        <v>359</v>
      </c>
      <c r="KX32">
        <v>19894769</v>
      </c>
      <c r="KY32">
        <v>3358959</v>
      </c>
      <c r="KZ32">
        <v>23253728</v>
      </c>
      <c r="LA32">
        <v>0</v>
      </c>
      <c r="LB32">
        <v>404450</v>
      </c>
    </row>
    <row r="33" spans="1:314" ht="15" customHeight="1" x14ac:dyDescent="0.25">
      <c r="A33" t="s">
        <v>573</v>
      </c>
      <c r="B33" t="s">
        <v>574</v>
      </c>
      <c r="E33" s="2">
        <v>40551.485960648148</v>
      </c>
      <c r="G33" t="s">
        <v>575</v>
      </c>
      <c r="H33" t="s">
        <v>576</v>
      </c>
      <c r="I33" t="s">
        <v>577</v>
      </c>
      <c r="J33" t="s">
        <v>578</v>
      </c>
      <c r="K33" t="s">
        <v>579</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t="s">
        <v>573</v>
      </c>
      <c r="CS33">
        <v>0</v>
      </c>
      <c r="CT33">
        <v>0</v>
      </c>
      <c r="CU33">
        <v>1288</v>
      </c>
      <c r="CV33">
        <v>106993</v>
      </c>
      <c r="CW33">
        <v>260856</v>
      </c>
      <c r="CX33">
        <v>179635</v>
      </c>
      <c r="CY33">
        <v>0</v>
      </c>
      <c r="CZ33">
        <v>9392</v>
      </c>
      <c r="DA33">
        <v>78339</v>
      </c>
      <c r="DB33">
        <v>44340</v>
      </c>
      <c r="DC33">
        <v>185380</v>
      </c>
      <c r="DD33">
        <v>0</v>
      </c>
      <c r="DE33">
        <v>196840</v>
      </c>
      <c r="DF33">
        <v>182096</v>
      </c>
      <c r="DG33">
        <v>29597</v>
      </c>
      <c r="DH33">
        <v>128986</v>
      </c>
      <c r="DI33">
        <v>994</v>
      </c>
      <c r="DJ33">
        <v>75848</v>
      </c>
      <c r="DK33">
        <v>0</v>
      </c>
      <c r="DL33">
        <v>147824</v>
      </c>
      <c r="DM33">
        <v>101392</v>
      </c>
      <c r="DN33">
        <v>105940</v>
      </c>
      <c r="DO33">
        <v>20990</v>
      </c>
      <c r="DP33">
        <v>16968</v>
      </c>
      <c r="DQ33">
        <v>16928</v>
      </c>
      <c r="DR33">
        <v>33984</v>
      </c>
      <c r="DS33">
        <v>291600</v>
      </c>
      <c r="DT33">
        <v>77071</v>
      </c>
      <c r="DU33">
        <v>0</v>
      </c>
      <c r="DV33">
        <v>121664</v>
      </c>
      <c r="DW33">
        <v>118592</v>
      </c>
      <c r="DX33">
        <v>2533537</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v>0</v>
      </c>
      <c r="IF33">
        <v>0</v>
      </c>
      <c r="IG33">
        <v>0</v>
      </c>
      <c r="IH33">
        <v>0</v>
      </c>
      <c r="II33">
        <v>0</v>
      </c>
      <c r="IJ33">
        <v>0</v>
      </c>
      <c r="IK33">
        <v>0</v>
      </c>
      <c r="IL33">
        <v>0</v>
      </c>
      <c r="IM33">
        <v>0</v>
      </c>
      <c r="IN33">
        <v>0</v>
      </c>
      <c r="IO33">
        <v>0</v>
      </c>
      <c r="IP33">
        <v>0</v>
      </c>
      <c r="IQ33">
        <v>0</v>
      </c>
      <c r="IR33">
        <v>0</v>
      </c>
      <c r="IS33">
        <v>0</v>
      </c>
      <c r="IT33">
        <v>0</v>
      </c>
      <c r="IU33">
        <v>0</v>
      </c>
      <c r="IV33">
        <v>0</v>
      </c>
      <c r="IW33">
        <v>0</v>
      </c>
      <c r="IX33">
        <v>0</v>
      </c>
      <c r="IY33">
        <v>0</v>
      </c>
      <c r="IZ33">
        <v>0</v>
      </c>
      <c r="JA33">
        <v>0</v>
      </c>
      <c r="JB33">
        <v>0</v>
      </c>
      <c r="JC33">
        <v>0</v>
      </c>
      <c r="JD33">
        <v>0</v>
      </c>
      <c r="JE33">
        <v>0</v>
      </c>
      <c r="JF33">
        <v>0</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t="s">
        <v>359</v>
      </c>
      <c r="KX33">
        <v>0</v>
      </c>
      <c r="KY33">
        <v>0</v>
      </c>
      <c r="KZ33">
        <v>0</v>
      </c>
      <c r="LA33">
        <v>0</v>
      </c>
      <c r="LB33">
        <v>0</v>
      </c>
    </row>
    <row r="34" spans="1:314" x14ac:dyDescent="0.25">
      <c r="A34" t="s">
        <v>580</v>
      </c>
      <c r="B34" t="s">
        <v>581</v>
      </c>
      <c r="C34" t="s">
        <v>352</v>
      </c>
      <c r="D34" t="s">
        <v>582</v>
      </c>
      <c r="E34" s="2">
        <v>40939.693460648145</v>
      </c>
      <c r="G34" t="s">
        <v>583</v>
      </c>
      <c r="H34" t="s">
        <v>584</v>
      </c>
      <c r="I34" t="s">
        <v>585</v>
      </c>
      <c r="J34" t="s">
        <v>586</v>
      </c>
      <c r="K34" t="s">
        <v>587</v>
      </c>
      <c r="L34">
        <v>0</v>
      </c>
      <c r="M34">
        <v>0</v>
      </c>
      <c r="N34">
        <v>0</v>
      </c>
      <c r="O34">
        <v>46908191</v>
      </c>
      <c r="P34">
        <v>0</v>
      </c>
      <c r="Q34">
        <v>381604</v>
      </c>
      <c r="R34">
        <v>0</v>
      </c>
      <c r="S34">
        <v>381604</v>
      </c>
      <c r="T34">
        <v>2923047</v>
      </c>
      <c r="U34">
        <v>2498259</v>
      </c>
      <c r="V34">
        <v>1181260</v>
      </c>
      <c r="W34">
        <v>181292</v>
      </c>
      <c r="X34">
        <v>0</v>
      </c>
      <c r="Y34">
        <v>0</v>
      </c>
      <c r="Z34">
        <v>6783858</v>
      </c>
      <c r="AA34">
        <v>1596537</v>
      </c>
      <c r="AB34">
        <v>2515454</v>
      </c>
      <c r="AC34">
        <v>1820012</v>
      </c>
      <c r="AD34">
        <v>42072</v>
      </c>
      <c r="AE34">
        <v>2258776</v>
      </c>
      <c r="AF34">
        <v>1147248</v>
      </c>
      <c r="AG34">
        <v>9380099</v>
      </c>
      <c r="AH34">
        <v>4519584</v>
      </c>
      <c r="AI34">
        <v>5013713</v>
      </c>
      <c r="AJ34">
        <v>3001272</v>
      </c>
      <c r="AK34">
        <v>223364</v>
      </c>
      <c r="AL34">
        <v>2258776</v>
      </c>
      <c r="AM34">
        <v>1147248</v>
      </c>
      <c r="AN34">
        <v>16163957</v>
      </c>
      <c r="AO34">
        <v>0</v>
      </c>
      <c r="AP34">
        <v>0</v>
      </c>
      <c r="AQ34">
        <v>25252</v>
      </c>
      <c r="AR34">
        <v>0</v>
      </c>
      <c r="AS34">
        <v>25252</v>
      </c>
      <c r="AT34">
        <v>0</v>
      </c>
      <c r="AU34">
        <v>0</v>
      </c>
      <c r="AV34">
        <v>38216</v>
      </c>
      <c r="AW34">
        <v>0</v>
      </c>
      <c r="AX34">
        <v>38216</v>
      </c>
      <c r="AY34">
        <v>0</v>
      </c>
      <c r="AZ34">
        <v>0</v>
      </c>
      <c r="BA34">
        <v>63468</v>
      </c>
      <c r="BB34">
        <v>0</v>
      </c>
      <c r="BC34">
        <v>63468</v>
      </c>
      <c r="BD34">
        <v>1469378</v>
      </c>
      <c r="BE34">
        <v>0</v>
      </c>
      <c r="BF34">
        <v>0</v>
      </c>
      <c r="BG34">
        <v>0</v>
      </c>
      <c r="BH34">
        <v>0</v>
      </c>
      <c r="BI34">
        <v>1469378</v>
      </c>
      <c r="BJ34">
        <v>0</v>
      </c>
      <c r="BK34">
        <v>0</v>
      </c>
      <c r="BL34">
        <v>889062</v>
      </c>
      <c r="BM34">
        <v>0</v>
      </c>
      <c r="BN34">
        <v>0</v>
      </c>
      <c r="BO34">
        <v>889062</v>
      </c>
      <c r="BP34">
        <v>4215025</v>
      </c>
      <c r="BQ34">
        <v>0</v>
      </c>
      <c r="BR34">
        <v>0</v>
      </c>
      <c r="BS34">
        <v>0</v>
      </c>
      <c r="BT34">
        <v>111076</v>
      </c>
      <c r="BU34">
        <v>4326101</v>
      </c>
      <c r="BV34">
        <v>5684403</v>
      </c>
      <c r="BW34">
        <v>0</v>
      </c>
      <c r="BX34">
        <v>889062</v>
      </c>
      <c r="BY34">
        <v>0</v>
      </c>
      <c r="BZ34">
        <v>111076</v>
      </c>
      <c r="CA34">
        <v>6684541</v>
      </c>
      <c r="CB34">
        <v>0</v>
      </c>
      <c r="CC34">
        <v>0</v>
      </c>
      <c r="CD34">
        <v>0</v>
      </c>
      <c r="CE34">
        <v>0</v>
      </c>
      <c r="CF34">
        <v>0</v>
      </c>
      <c r="CG34">
        <v>0</v>
      </c>
      <c r="CH34">
        <v>0</v>
      </c>
      <c r="CI34">
        <v>0</v>
      </c>
      <c r="CJ34">
        <v>0</v>
      </c>
      <c r="CK34">
        <v>0</v>
      </c>
      <c r="CL34">
        <v>0</v>
      </c>
      <c r="CM34">
        <v>0</v>
      </c>
      <c r="CN34">
        <v>0</v>
      </c>
      <c r="CO34">
        <v>0</v>
      </c>
      <c r="CP34">
        <v>0</v>
      </c>
      <c r="CQ34">
        <v>0</v>
      </c>
      <c r="CR34" t="s">
        <v>580</v>
      </c>
      <c r="CS34">
        <v>381604</v>
      </c>
      <c r="CT34">
        <v>0</v>
      </c>
      <c r="CU34">
        <v>54336</v>
      </c>
      <c r="CV34">
        <v>401920</v>
      </c>
      <c r="CW34">
        <v>118160</v>
      </c>
      <c r="CX34">
        <v>189120</v>
      </c>
      <c r="CY34">
        <v>66928</v>
      </c>
      <c r="CZ34">
        <v>160496</v>
      </c>
      <c r="DA34">
        <v>382688</v>
      </c>
      <c r="DB34">
        <v>204164</v>
      </c>
      <c r="DC34">
        <v>80560</v>
      </c>
      <c r="DD34">
        <v>0</v>
      </c>
      <c r="DE34">
        <v>795600</v>
      </c>
      <c r="DF34">
        <v>123072</v>
      </c>
      <c r="DG34">
        <v>9216</v>
      </c>
      <c r="DH34">
        <v>177016</v>
      </c>
      <c r="DI34">
        <v>0</v>
      </c>
      <c r="DJ34">
        <v>47184</v>
      </c>
      <c r="DK34">
        <v>0</v>
      </c>
      <c r="DL34">
        <v>0</v>
      </c>
      <c r="DM34">
        <v>63408</v>
      </c>
      <c r="DN34">
        <v>400157</v>
      </c>
      <c r="DO34">
        <v>308004</v>
      </c>
      <c r="DP34">
        <v>265424</v>
      </c>
      <c r="DQ34">
        <v>0</v>
      </c>
      <c r="DR34">
        <v>14016</v>
      </c>
      <c r="DS34">
        <v>102992</v>
      </c>
      <c r="DT34">
        <v>103824</v>
      </c>
      <c r="DU34">
        <v>0</v>
      </c>
      <c r="DV34">
        <v>245808</v>
      </c>
      <c r="DW34">
        <v>252640</v>
      </c>
      <c r="DX34">
        <v>4566733</v>
      </c>
      <c r="DY34">
        <v>255526</v>
      </c>
      <c r="DZ34">
        <v>1005628</v>
      </c>
      <c r="EA34">
        <v>42693</v>
      </c>
      <c r="EB34">
        <v>198773</v>
      </c>
      <c r="EC34">
        <v>774657</v>
      </c>
      <c r="ED34">
        <v>271383</v>
      </c>
      <c r="EE34">
        <v>823747</v>
      </c>
      <c r="EF34">
        <v>357839</v>
      </c>
      <c r="EG34">
        <v>309112</v>
      </c>
      <c r="EH34">
        <v>0</v>
      </c>
      <c r="EI34">
        <v>3316424</v>
      </c>
      <c r="EJ34">
        <v>228834</v>
      </c>
      <c r="EK34">
        <v>411</v>
      </c>
      <c r="EL34">
        <v>245591</v>
      </c>
      <c r="EM34">
        <v>0</v>
      </c>
      <c r="EN34">
        <v>65289</v>
      </c>
      <c r="EO34">
        <v>0</v>
      </c>
      <c r="EP34">
        <v>0</v>
      </c>
      <c r="EQ34">
        <v>161504</v>
      </c>
      <c r="ER34">
        <v>1252904</v>
      </c>
      <c r="ES34">
        <v>822681</v>
      </c>
      <c r="ET34">
        <v>97198</v>
      </c>
      <c r="EU34">
        <v>0</v>
      </c>
      <c r="EV34">
        <v>624</v>
      </c>
      <c r="EW34">
        <v>367952</v>
      </c>
      <c r="EX34">
        <v>702394</v>
      </c>
      <c r="EY34">
        <v>0</v>
      </c>
      <c r="EZ34">
        <v>607884</v>
      </c>
      <c r="FA34">
        <v>464725</v>
      </c>
      <c r="FB34">
        <v>12373773</v>
      </c>
      <c r="FC34">
        <v>92883</v>
      </c>
      <c r="FD34">
        <v>333325</v>
      </c>
      <c r="FE34">
        <v>82618</v>
      </c>
      <c r="FF34">
        <v>99431</v>
      </c>
      <c r="FG34">
        <v>262518</v>
      </c>
      <c r="FH34">
        <v>77068</v>
      </c>
      <c r="FI34">
        <v>196460</v>
      </c>
      <c r="FJ34">
        <v>99277</v>
      </c>
      <c r="FK34">
        <v>69283</v>
      </c>
      <c r="FL34">
        <v>0</v>
      </c>
      <c r="FM34">
        <v>1194123</v>
      </c>
      <c r="FN34">
        <v>67555</v>
      </c>
      <c r="FO34">
        <v>4003</v>
      </c>
      <c r="FP34">
        <v>105977</v>
      </c>
      <c r="FQ34">
        <v>0</v>
      </c>
      <c r="FR34">
        <v>28227</v>
      </c>
      <c r="FS34">
        <v>0</v>
      </c>
      <c r="FT34">
        <v>0</v>
      </c>
      <c r="FU34">
        <v>35553</v>
      </c>
      <c r="FV34">
        <v>306545</v>
      </c>
      <c r="FW34">
        <v>343825</v>
      </c>
      <c r="FX34">
        <v>130977</v>
      </c>
      <c r="FY34">
        <v>0</v>
      </c>
      <c r="FZ34">
        <v>6088</v>
      </c>
      <c r="GA34">
        <v>114230</v>
      </c>
      <c r="GB34">
        <v>55650</v>
      </c>
      <c r="GC34">
        <v>0</v>
      </c>
      <c r="GD34">
        <v>136907</v>
      </c>
      <c r="GE34">
        <v>138358</v>
      </c>
      <c r="GF34">
        <v>3980881</v>
      </c>
      <c r="GG34">
        <v>8129</v>
      </c>
      <c r="GH34">
        <v>31242</v>
      </c>
      <c r="GI34">
        <v>2924</v>
      </c>
      <c r="GJ34">
        <v>6958</v>
      </c>
      <c r="GK34">
        <v>24200</v>
      </c>
      <c r="GL34">
        <v>8130</v>
      </c>
      <c r="GM34">
        <v>23805</v>
      </c>
      <c r="GN34">
        <v>10666</v>
      </c>
      <c r="GO34">
        <v>8829</v>
      </c>
      <c r="GP34">
        <v>0</v>
      </c>
      <c r="GQ34">
        <v>105245</v>
      </c>
      <c r="GR34">
        <v>6916</v>
      </c>
      <c r="GS34">
        <v>103</v>
      </c>
      <c r="GT34">
        <v>8203</v>
      </c>
      <c r="GU34">
        <v>0</v>
      </c>
      <c r="GV34">
        <v>2182</v>
      </c>
      <c r="GW34">
        <v>0</v>
      </c>
      <c r="GX34">
        <v>0</v>
      </c>
      <c r="GY34">
        <v>4598</v>
      </c>
      <c r="GZ34">
        <v>36387</v>
      </c>
      <c r="HA34">
        <v>27218</v>
      </c>
      <c r="HB34">
        <v>5324</v>
      </c>
      <c r="HC34">
        <v>0</v>
      </c>
      <c r="HD34">
        <v>157</v>
      </c>
      <c r="HE34">
        <v>11251</v>
      </c>
      <c r="HF34">
        <v>17687</v>
      </c>
      <c r="HG34">
        <v>0</v>
      </c>
      <c r="HH34">
        <v>17378</v>
      </c>
      <c r="HI34">
        <v>14072</v>
      </c>
      <c r="HJ34">
        <v>381604</v>
      </c>
      <c r="HK34">
        <v>76776</v>
      </c>
      <c r="HL34">
        <v>530399</v>
      </c>
      <c r="HM34">
        <v>84668</v>
      </c>
      <c r="HN34">
        <v>371117</v>
      </c>
      <c r="HO34">
        <v>745693</v>
      </c>
      <c r="HP34">
        <v>362493</v>
      </c>
      <c r="HQ34">
        <v>461423</v>
      </c>
      <c r="HR34">
        <v>416273</v>
      </c>
      <c r="HS34">
        <v>249624</v>
      </c>
      <c r="HT34">
        <v>0</v>
      </c>
      <c r="HU34">
        <v>1095136</v>
      </c>
      <c r="HV34">
        <v>264577</v>
      </c>
      <c r="HW34">
        <v>328851</v>
      </c>
      <c r="HX34">
        <v>103360</v>
      </c>
      <c r="HY34">
        <v>0</v>
      </c>
      <c r="HZ34">
        <v>219431</v>
      </c>
      <c r="IA34">
        <v>0</v>
      </c>
      <c r="IB34">
        <v>0</v>
      </c>
      <c r="IC34">
        <v>136695</v>
      </c>
      <c r="ID34">
        <v>469172</v>
      </c>
      <c r="IE34">
        <v>512739</v>
      </c>
      <c r="IF34">
        <v>605124</v>
      </c>
      <c r="IG34">
        <v>0</v>
      </c>
      <c r="IH34">
        <v>518711</v>
      </c>
      <c r="II34">
        <v>116890</v>
      </c>
      <c r="IJ34">
        <v>136946</v>
      </c>
      <c r="IK34">
        <v>0</v>
      </c>
      <c r="IL34">
        <v>168924</v>
      </c>
      <c r="IM34">
        <v>161665</v>
      </c>
      <c r="IN34">
        <v>8136687</v>
      </c>
      <c r="IO34">
        <v>177788</v>
      </c>
      <c r="IP34">
        <v>894966</v>
      </c>
      <c r="IQ34">
        <v>170210</v>
      </c>
      <c r="IR34">
        <v>477506</v>
      </c>
      <c r="IS34">
        <v>1032411</v>
      </c>
      <c r="IT34">
        <v>447691</v>
      </c>
      <c r="IU34">
        <v>681688</v>
      </c>
      <c r="IV34">
        <v>526216</v>
      </c>
      <c r="IW34">
        <v>327736</v>
      </c>
      <c r="IX34">
        <v>0</v>
      </c>
      <c r="IY34">
        <v>2394504</v>
      </c>
      <c r="IZ34">
        <v>339048</v>
      </c>
      <c r="JA34">
        <v>332957</v>
      </c>
      <c r="JB34">
        <v>217540</v>
      </c>
      <c r="JC34">
        <v>0</v>
      </c>
      <c r="JD34">
        <v>249840</v>
      </c>
      <c r="JE34">
        <v>0</v>
      </c>
      <c r="JF34">
        <v>0</v>
      </c>
      <c r="JG34">
        <v>176846</v>
      </c>
      <c r="JH34">
        <v>812104</v>
      </c>
      <c r="JI34">
        <v>883782</v>
      </c>
      <c r="JJ34">
        <v>741425</v>
      </c>
      <c r="JK34">
        <v>0</v>
      </c>
      <c r="JL34">
        <v>524956</v>
      </c>
      <c r="JM34">
        <v>242371</v>
      </c>
      <c r="JN34">
        <v>210283</v>
      </c>
      <c r="JO34">
        <v>0</v>
      </c>
      <c r="JP34">
        <v>323209</v>
      </c>
      <c r="JQ34">
        <v>314095</v>
      </c>
      <c r="JR34">
        <v>12499172</v>
      </c>
      <c r="JS34">
        <v>433314</v>
      </c>
      <c r="JT34">
        <v>1900594</v>
      </c>
      <c r="JU34">
        <v>212903</v>
      </c>
      <c r="JV34">
        <v>676279</v>
      </c>
      <c r="JW34">
        <v>1807068</v>
      </c>
      <c r="JX34">
        <v>719074</v>
      </c>
      <c r="JY34">
        <v>1505435</v>
      </c>
      <c r="JZ34">
        <v>884055</v>
      </c>
      <c r="KA34">
        <v>636848</v>
      </c>
      <c r="KB34">
        <v>0</v>
      </c>
      <c r="KC34">
        <v>5710928</v>
      </c>
      <c r="KD34">
        <v>567882</v>
      </c>
      <c r="KE34">
        <v>333368</v>
      </c>
      <c r="KF34">
        <v>463131</v>
      </c>
      <c r="KG34">
        <v>0</v>
      </c>
      <c r="KH34">
        <v>315129</v>
      </c>
      <c r="KI34">
        <v>0</v>
      </c>
      <c r="KJ34">
        <v>0</v>
      </c>
      <c r="KK34">
        <v>338350</v>
      </c>
      <c r="KL34">
        <v>2065008</v>
      </c>
      <c r="KM34">
        <v>1706463</v>
      </c>
      <c r="KN34">
        <v>838623</v>
      </c>
      <c r="KO34">
        <v>0</v>
      </c>
      <c r="KP34">
        <v>525580</v>
      </c>
      <c r="KQ34">
        <v>610323</v>
      </c>
      <c r="KR34">
        <v>912677</v>
      </c>
      <c r="KS34">
        <v>0</v>
      </c>
      <c r="KT34">
        <v>931093</v>
      </c>
      <c r="KU34">
        <v>778820</v>
      </c>
      <c r="KV34">
        <v>24872945</v>
      </c>
      <c r="KW34" t="s">
        <v>359</v>
      </c>
      <c r="KX34">
        <v>41418506</v>
      </c>
      <c r="KY34">
        <v>6748009</v>
      </c>
      <c r="KZ34">
        <v>48166515</v>
      </c>
      <c r="LA34">
        <v>0</v>
      </c>
      <c r="LB34">
        <v>1258324</v>
      </c>
    </row>
    <row r="35" spans="1:314" ht="15" customHeight="1" x14ac:dyDescent="0.25">
      <c r="A35" t="s">
        <v>588</v>
      </c>
      <c r="B35" t="s">
        <v>589</v>
      </c>
      <c r="E35" s="2">
        <v>40967.70140046296</v>
      </c>
      <c r="G35" t="s">
        <v>590</v>
      </c>
      <c r="H35" t="s">
        <v>591</v>
      </c>
      <c r="I35" t="s">
        <v>592</v>
      </c>
      <c r="J35" t="s">
        <v>593</v>
      </c>
      <c r="K35" t="s">
        <v>594</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t="s">
        <v>588</v>
      </c>
      <c r="CS35">
        <v>0</v>
      </c>
      <c r="CT35">
        <v>0</v>
      </c>
      <c r="CU35">
        <v>15504</v>
      </c>
      <c r="CV35">
        <v>9520</v>
      </c>
      <c r="CW35">
        <v>522720</v>
      </c>
      <c r="CX35">
        <v>183069</v>
      </c>
      <c r="CY35">
        <v>0</v>
      </c>
      <c r="CZ35">
        <v>34060</v>
      </c>
      <c r="DA35">
        <v>112635</v>
      </c>
      <c r="DB35">
        <v>31840</v>
      </c>
      <c r="DC35">
        <v>96624</v>
      </c>
      <c r="DD35">
        <v>4880</v>
      </c>
      <c r="DE35">
        <v>97182</v>
      </c>
      <c r="DF35">
        <v>357818</v>
      </c>
      <c r="DG35">
        <v>269376</v>
      </c>
      <c r="DH35">
        <v>162544</v>
      </c>
      <c r="DI35">
        <v>0</v>
      </c>
      <c r="DJ35">
        <v>203257</v>
      </c>
      <c r="DK35">
        <v>35744</v>
      </c>
      <c r="DL35">
        <v>99672</v>
      </c>
      <c r="DM35">
        <v>248697</v>
      </c>
      <c r="DN35">
        <v>70800</v>
      </c>
      <c r="DO35">
        <v>0</v>
      </c>
      <c r="DP35">
        <v>6976</v>
      </c>
      <c r="DQ35">
        <v>87232</v>
      </c>
      <c r="DR35">
        <v>112315</v>
      </c>
      <c r="DS35">
        <v>695904</v>
      </c>
      <c r="DT35">
        <v>255824</v>
      </c>
      <c r="DU35">
        <v>0</v>
      </c>
      <c r="DV35">
        <v>260112</v>
      </c>
      <c r="DW35">
        <v>151632</v>
      </c>
      <c r="DX35">
        <v>4125937</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t="s">
        <v>359</v>
      </c>
      <c r="KX35">
        <v>0</v>
      </c>
      <c r="KY35">
        <v>0</v>
      </c>
      <c r="KZ35">
        <v>0</v>
      </c>
      <c r="LA35">
        <v>0</v>
      </c>
      <c r="LB35">
        <v>0</v>
      </c>
    </row>
    <row r="36" spans="1:314" x14ac:dyDescent="0.25">
      <c r="A36" t="s">
        <v>595</v>
      </c>
      <c r="B36" t="s">
        <v>596</v>
      </c>
      <c r="C36" t="s">
        <v>352</v>
      </c>
      <c r="D36" t="s">
        <v>597</v>
      </c>
      <c r="E36" s="2">
        <v>40938.49560185185</v>
      </c>
      <c r="G36" t="s">
        <v>598</v>
      </c>
      <c r="H36" t="s">
        <v>599</v>
      </c>
      <c r="I36" t="s">
        <v>600</v>
      </c>
      <c r="J36" t="s">
        <v>601</v>
      </c>
      <c r="K36" t="s">
        <v>602</v>
      </c>
      <c r="L36">
        <v>0</v>
      </c>
      <c r="M36">
        <v>0</v>
      </c>
      <c r="N36">
        <v>0</v>
      </c>
      <c r="O36">
        <v>51413372</v>
      </c>
      <c r="P36">
        <v>0</v>
      </c>
      <c r="Q36">
        <v>2514778</v>
      </c>
      <c r="R36">
        <v>0</v>
      </c>
      <c r="S36">
        <v>2514778</v>
      </c>
      <c r="T36">
        <v>4711089</v>
      </c>
      <c r="U36">
        <v>4063978</v>
      </c>
      <c r="V36">
        <v>1771382</v>
      </c>
      <c r="W36">
        <v>0</v>
      </c>
      <c r="X36">
        <v>0</v>
      </c>
      <c r="Y36">
        <v>0</v>
      </c>
      <c r="Z36">
        <v>10546449</v>
      </c>
      <c r="AA36">
        <v>3426308</v>
      </c>
      <c r="AB36">
        <v>2183753</v>
      </c>
      <c r="AC36">
        <v>549447</v>
      </c>
      <c r="AD36">
        <v>0</v>
      </c>
      <c r="AE36">
        <v>1330893</v>
      </c>
      <c r="AF36">
        <v>939677</v>
      </c>
      <c r="AG36">
        <v>8430078</v>
      </c>
      <c r="AH36">
        <v>8137397</v>
      </c>
      <c r="AI36">
        <v>6247731</v>
      </c>
      <c r="AJ36">
        <v>2320829</v>
      </c>
      <c r="AK36">
        <v>0</v>
      </c>
      <c r="AL36">
        <v>1330893</v>
      </c>
      <c r="AM36">
        <v>939677</v>
      </c>
      <c r="AN36">
        <v>18976527</v>
      </c>
      <c r="AO36">
        <v>0</v>
      </c>
      <c r="AP36">
        <v>0</v>
      </c>
      <c r="AQ36">
        <v>44803</v>
      </c>
      <c r="AR36">
        <v>0</v>
      </c>
      <c r="AS36">
        <v>44803</v>
      </c>
      <c r="AT36">
        <v>0</v>
      </c>
      <c r="AU36">
        <v>0</v>
      </c>
      <c r="AV36">
        <v>28793</v>
      </c>
      <c r="AW36">
        <v>21389</v>
      </c>
      <c r="AX36">
        <v>50182</v>
      </c>
      <c r="AY36">
        <v>0</v>
      </c>
      <c r="AZ36">
        <v>0</v>
      </c>
      <c r="BA36">
        <v>73596</v>
      </c>
      <c r="BB36">
        <v>21389</v>
      </c>
      <c r="BC36">
        <v>94985</v>
      </c>
      <c r="BD36">
        <v>994746</v>
      </c>
      <c r="BE36">
        <v>0</v>
      </c>
      <c r="BF36">
        <v>0</v>
      </c>
      <c r="BG36">
        <v>0</v>
      </c>
      <c r="BH36">
        <v>0</v>
      </c>
      <c r="BI36">
        <v>994746</v>
      </c>
      <c r="BJ36">
        <v>0</v>
      </c>
      <c r="BK36">
        <v>0</v>
      </c>
      <c r="BL36">
        <v>334209</v>
      </c>
      <c r="BM36">
        <v>0</v>
      </c>
      <c r="BN36">
        <v>0</v>
      </c>
      <c r="BO36">
        <v>334209</v>
      </c>
      <c r="BP36">
        <v>3529936</v>
      </c>
      <c r="BQ36">
        <v>195608</v>
      </c>
      <c r="BR36">
        <v>0</v>
      </c>
      <c r="BS36">
        <v>0</v>
      </c>
      <c r="BT36">
        <v>77285</v>
      </c>
      <c r="BU36">
        <v>3802829</v>
      </c>
      <c r="BV36">
        <v>4524682</v>
      </c>
      <c r="BW36">
        <v>195608</v>
      </c>
      <c r="BX36">
        <v>334209</v>
      </c>
      <c r="BY36">
        <v>0</v>
      </c>
      <c r="BZ36">
        <v>77285</v>
      </c>
      <c r="CA36">
        <v>5131784</v>
      </c>
      <c r="CB36">
        <v>0</v>
      </c>
      <c r="CC36">
        <v>0</v>
      </c>
      <c r="CD36">
        <v>0</v>
      </c>
      <c r="CE36">
        <v>0</v>
      </c>
      <c r="CF36">
        <v>0</v>
      </c>
      <c r="CG36">
        <v>0</v>
      </c>
      <c r="CH36">
        <v>0</v>
      </c>
      <c r="CI36">
        <v>0</v>
      </c>
      <c r="CJ36">
        <v>0</v>
      </c>
      <c r="CK36">
        <v>0</v>
      </c>
      <c r="CL36">
        <v>0</v>
      </c>
      <c r="CM36">
        <v>0</v>
      </c>
      <c r="CN36">
        <v>0</v>
      </c>
      <c r="CO36">
        <v>0</v>
      </c>
      <c r="CP36">
        <v>0</v>
      </c>
      <c r="CQ36">
        <v>0</v>
      </c>
      <c r="CR36" t="s">
        <v>595</v>
      </c>
      <c r="CS36">
        <v>830007</v>
      </c>
      <c r="CT36">
        <v>0</v>
      </c>
      <c r="CU36">
        <v>42288</v>
      </c>
      <c r="CV36">
        <v>47004</v>
      </c>
      <c r="CW36">
        <v>899968</v>
      </c>
      <c r="CX36">
        <v>447535</v>
      </c>
      <c r="CY36">
        <v>0</v>
      </c>
      <c r="CZ36">
        <v>61848</v>
      </c>
      <c r="DA36">
        <v>229884</v>
      </c>
      <c r="DB36">
        <v>13372</v>
      </c>
      <c r="DC36">
        <v>114459</v>
      </c>
      <c r="DD36">
        <v>4672</v>
      </c>
      <c r="DE36">
        <v>169418</v>
      </c>
      <c r="DF36">
        <v>503616</v>
      </c>
      <c r="DG36">
        <v>139193</v>
      </c>
      <c r="DH36">
        <v>215217</v>
      </c>
      <c r="DI36">
        <v>40472</v>
      </c>
      <c r="DJ36">
        <v>355795</v>
      </c>
      <c r="DK36">
        <v>60880</v>
      </c>
      <c r="DL36">
        <v>297584</v>
      </c>
      <c r="DM36">
        <v>291480</v>
      </c>
      <c r="DN36">
        <v>90607</v>
      </c>
      <c r="DO36">
        <v>21132</v>
      </c>
      <c r="DP36">
        <v>40864</v>
      </c>
      <c r="DQ36">
        <v>119958</v>
      </c>
      <c r="DR36">
        <v>95930</v>
      </c>
      <c r="DS36">
        <v>794832</v>
      </c>
      <c r="DT36">
        <v>384040</v>
      </c>
      <c r="DU36">
        <v>0</v>
      </c>
      <c r="DV36">
        <v>247792</v>
      </c>
      <c r="DW36">
        <v>323696</v>
      </c>
      <c r="DX36">
        <v>6053536</v>
      </c>
      <c r="DY36">
        <v>51631</v>
      </c>
      <c r="DZ36">
        <v>173234</v>
      </c>
      <c r="EA36">
        <v>1648236</v>
      </c>
      <c r="EB36">
        <v>829071</v>
      </c>
      <c r="EC36">
        <v>0</v>
      </c>
      <c r="ED36">
        <v>668054</v>
      </c>
      <c r="EE36">
        <v>1235802</v>
      </c>
      <c r="EF36">
        <v>2471</v>
      </c>
      <c r="EG36">
        <v>167047</v>
      </c>
      <c r="EH36">
        <v>863</v>
      </c>
      <c r="EI36">
        <v>515815</v>
      </c>
      <c r="EJ36">
        <v>1610633</v>
      </c>
      <c r="EK36">
        <v>228951</v>
      </c>
      <c r="EL36">
        <v>1200201</v>
      </c>
      <c r="EM36">
        <v>342571</v>
      </c>
      <c r="EN36">
        <v>1370335</v>
      </c>
      <c r="EO36">
        <v>254901</v>
      </c>
      <c r="EP36">
        <v>815105</v>
      </c>
      <c r="EQ36">
        <v>856457</v>
      </c>
      <c r="ER36">
        <v>311916</v>
      </c>
      <c r="ES36">
        <v>3880</v>
      </c>
      <c r="ET36">
        <v>7551</v>
      </c>
      <c r="EU36">
        <v>987342</v>
      </c>
      <c r="EV36">
        <v>283949</v>
      </c>
      <c r="EW36">
        <v>2064064</v>
      </c>
      <c r="EX36">
        <v>1229727</v>
      </c>
      <c r="EY36">
        <v>0</v>
      </c>
      <c r="EZ36">
        <v>781892</v>
      </c>
      <c r="FA36">
        <v>600659</v>
      </c>
      <c r="FB36">
        <v>18242358</v>
      </c>
      <c r="FC36">
        <v>4338</v>
      </c>
      <c r="FD36">
        <v>5806</v>
      </c>
      <c r="FE36">
        <v>570053</v>
      </c>
      <c r="FF36">
        <v>52909</v>
      </c>
      <c r="FG36">
        <v>0</v>
      </c>
      <c r="FH36">
        <v>48527</v>
      </c>
      <c r="FI36">
        <v>41574</v>
      </c>
      <c r="FJ36">
        <v>2540</v>
      </c>
      <c r="FK36">
        <v>179153</v>
      </c>
      <c r="FL36">
        <v>887</v>
      </c>
      <c r="FM36">
        <v>32506</v>
      </c>
      <c r="FN36">
        <v>113600</v>
      </c>
      <c r="FO36">
        <v>51859</v>
      </c>
      <c r="FP36">
        <v>77201</v>
      </c>
      <c r="FQ36">
        <v>44609</v>
      </c>
      <c r="FR36">
        <v>106339</v>
      </c>
      <c r="FS36">
        <v>7816</v>
      </c>
      <c r="FT36">
        <v>72193</v>
      </c>
      <c r="FU36">
        <v>29901</v>
      </c>
      <c r="FV36">
        <v>20855</v>
      </c>
      <c r="FW36">
        <v>3990</v>
      </c>
      <c r="FX36">
        <v>7763</v>
      </c>
      <c r="FY36">
        <v>18907</v>
      </c>
      <c r="FZ36">
        <v>11341</v>
      </c>
      <c r="GA36">
        <v>81536</v>
      </c>
      <c r="GB36">
        <v>125809</v>
      </c>
      <c r="GC36">
        <v>0</v>
      </c>
      <c r="GD36">
        <v>39501</v>
      </c>
      <c r="GE36">
        <v>33206</v>
      </c>
      <c r="GF36">
        <v>1784719</v>
      </c>
      <c r="GG36">
        <v>2320</v>
      </c>
      <c r="GH36">
        <v>7420</v>
      </c>
      <c r="GI36">
        <v>91935</v>
      </c>
      <c r="GJ36">
        <v>36553</v>
      </c>
      <c r="GK36">
        <v>0</v>
      </c>
      <c r="GL36">
        <v>29698</v>
      </c>
      <c r="GM36">
        <v>52940</v>
      </c>
      <c r="GN36">
        <v>208</v>
      </c>
      <c r="GO36">
        <v>14348</v>
      </c>
      <c r="GP36">
        <v>73</v>
      </c>
      <c r="GQ36">
        <v>22725</v>
      </c>
      <c r="GR36">
        <v>71460</v>
      </c>
      <c r="GS36">
        <v>11638</v>
      </c>
      <c r="GT36">
        <v>52941</v>
      </c>
      <c r="GU36">
        <v>16046</v>
      </c>
      <c r="GV36">
        <v>61200</v>
      </c>
      <c r="GW36">
        <v>10888</v>
      </c>
      <c r="GX36">
        <v>36773</v>
      </c>
      <c r="GY36">
        <v>36734</v>
      </c>
      <c r="GZ36">
        <v>13791</v>
      </c>
      <c r="HA36">
        <v>326</v>
      </c>
      <c r="HB36">
        <v>635</v>
      </c>
      <c r="HC36">
        <v>41703</v>
      </c>
      <c r="HD36">
        <v>12238</v>
      </c>
      <c r="HE36">
        <v>88923</v>
      </c>
      <c r="HF36">
        <v>56179</v>
      </c>
      <c r="HG36">
        <v>0</v>
      </c>
      <c r="HH36">
        <v>34042</v>
      </c>
      <c r="HI36">
        <v>26270</v>
      </c>
      <c r="HJ36">
        <v>830007</v>
      </c>
      <c r="HK36">
        <v>30675</v>
      </c>
      <c r="HL36">
        <v>99190</v>
      </c>
      <c r="HM36">
        <v>641562</v>
      </c>
      <c r="HN36">
        <v>277424</v>
      </c>
      <c r="HO36">
        <v>0</v>
      </c>
      <c r="HP36">
        <v>66171</v>
      </c>
      <c r="HQ36">
        <v>179685</v>
      </c>
      <c r="HR36">
        <v>19557</v>
      </c>
      <c r="HS36">
        <v>110662</v>
      </c>
      <c r="HT36">
        <v>6833</v>
      </c>
      <c r="HU36">
        <v>191902</v>
      </c>
      <c r="HV36">
        <v>358770</v>
      </c>
      <c r="HW36">
        <v>86692</v>
      </c>
      <c r="HX36">
        <v>205962</v>
      </c>
      <c r="HY36">
        <v>63603</v>
      </c>
      <c r="HZ36">
        <v>325058</v>
      </c>
      <c r="IA36">
        <v>59906</v>
      </c>
      <c r="IB36">
        <v>243245</v>
      </c>
      <c r="IC36">
        <v>181395</v>
      </c>
      <c r="ID36">
        <v>78767</v>
      </c>
      <c r="IE36">
        <v>30670</v>
      </c>
      <c r="IF36">
        <v>59655</v>
      </c>
      <c r="IG36">
        <v>92160</v>
      </c>
      <c r="IH36">
        <v>138812</v>
      </c>
      <c r="II36">
        <v>498174</v>
      </c>
      <c r="IJ36">
        <v>475358</v>
      </c>
      <c r="IK36">
        <v>0</v>
      </c>
      <c r="IL36">
        <v>162533</v>
      </c>
      <c r="IM36">
        <v>192144</v>
      </c>
      <c r="IN36">
        <v>4876565</v>
      </c>
      <c r="IO36">
        <v>37333</v>
      </c>
      <c r="IP36">
        <v>112416</v>
      </c>
      <c r="IQ36">
        <v>1303550</v>
      </c>
      <c r="IR36">
        <v>366886</v>
      </c>
      <c r="IS36">
        <v>0</v>
      </c>
      <c r="IT36">
        <v>144396</v>
      </c>
      <c r="IU36">
        <v>274199</v>
      </c>
      <c r="IV36">
        <v>22305</v>
      </c>
      <c r="IW36">
        <v>304163</v>
      </c>
      <c r="IX36">
        <v>7793</v>
      </c>
      <c r="IY36">
        <v>247133</v>
      </c>
      <c r="IZ36">
        <v>543830</v>
      </c>
      <c r="JA36">
        <v>150189</v>
      </c>
      <c r="JB36">
        <v>336104</v>
      </c>
      <c r="JC36">
        <v>124258</v>
      </c>
      <c r="JD36">
        <v>492597</v>
      </c>
      <c r="JE36">
        <v>78610</v>
      </c>
      <c r="JF36">
        <v>352211</v>
      </c>
      <c r="JG36">
        <v>248030</v>
      </c>
      <c r="JH36">
        <v>113413</v>
      </c>
      <c r="JI36">
        <v>34986</v>
      </c>
      <c r="JJ36">
        <v>68053</v>
      </c>
      <c r="JK36">
        <v>152770</v>
      </c>
      <c r="JL36">
        <v>162391</v>
      </c>
      <c r="JM36">
        <v>668633</v>
      </c>
      <c r="JN36">
        <v>657346</v>
      </c>
      <c r="JO36">
        <v>0</v>
      </c>
      <c r="JP36">
        <v>236076</v>
      </c>
      <c r="JQ36">
        <v>251620</v>
      </c>
      <c r="JR36">
        <v>7491291</v>
      </c>
      <c r="JS36">
        <v>88964</v>
      </c>
      <c r="JT36">
        <v>285650</v>
      </c>
      <c r="JU36">
        <v>2951786</v>
      </c>
      <c r="JV36">
        <v>1195957</v>
      </c>
      <c r="JW36">
        <v>0</v>
      </c>
      <c r="JX36">
        <v>812450</v>
      </c>
      <c r="JY36">
        <v>1510001</v>
      </c>
      <c r="JZ36">
        <v>24776</v>
      </c>
      <c r="KA36">
        <v>471210</v>
      </c>
      <c r="KB36">
        <v>8656</v>
      </c>
      <c r="KC36">
        <v>762948</v>
      </c>
      <c r="KD36">
        <v>2154463</v>
      </c>
      <c r="KE36">
        <v>379140</v>
      </c>
      <c r="KF36">
        <v>1536305</v>
      </c>
      <c r="KG36">
        <v>466829</v>
      </c>
      <c r="KH36">
        <v>1862932</v>
      </c>
      <c r="KI36">
        <v>333511</v>
      </c>
      <c r="KJ36">
        <v>1167316</v>
      </c>
      <c r="KK36">
        <v>1104487</v>
      </c>
      <c r="KL36">
        <v>425329</v>
      </c>
      <c r="KM36">
        <v>38866</v>
      </c>
      <c r="KN36">
        <v>75604</v>
      </c>
      <c r="KO36">
        <v>1140112</v>
      </c>
      <c r="KP36">
        <v>446340</v>
      </c>
      <c r="KQ36">
        <v>2732697</v>
      </c>
      <c r="KR36">
        <v>1887073</v>
      </c>
      <c r="KS36">
        <v>0</v>
      </c>
      <c r="KT36">
        <v>1017968</v>
      </c>
      <c r="KU36">
        <v>852279</v>
      </c>
      <c r="KV36">
        <v>25733649</v>
      </c>
      <c r="KW36" t="s">
        <v>359</v>
      </c>
      <c r="KX36">
        <v>47224954</v>
      </c>
      <c r="KY36">
        <v>5226769</v>
      </c>
      <c r="KZ36">
        <v>52451723</v>
      </c>
      <c r="LA36">
        <v>0</v>
      </c>
      <c r="LB36">
        <v>1038351</v>
      </c>
    </row>
    <row r="37" spans="1:314" x14ac:dyDescent="0.25">
      <c r="A37" t="s">
        <v>603</v>
      </c>
      <c r="B37" t="s">
        <v>604</v>
      </c>
      <c r="C37" t="s">
        <v>352</v>
      </c>
      <c r="D37" t="s">
        <v>605</v>
      </c>
      <c r="E37" s="2">
        <v>40925.7503125</v>
      </c>
      <c r="G37" t="s">
        <v>606</v>
      </c>
      <c r="H37" t="s">
        <v>607</v>
      </c>
      <c r="I37" t="s">
        <v>608</v>
      </c>
      <c r="J37" t="s">
        <v>609</v>
      </c>
      <c r="K37" t="s">
        <v>610</v>
      </c>
      <c r="L37">
        <v>0</v>
      </c>
      <c r="M37">
        <v>0</v>
      </c>
      <c r="N37">
        <v>0</v>
      </c>
      <c r="O37">
        <v>20826231</v>
      </c>
      <c r="P37">
        <v>0</v>
      </c>
      <c r="Q37">
        <v>639730</v>
      </c>
      <c r="R37">
        <v>0</v>
      </c>
      <c r="S37">
        <v>639730</v>
      </c>
      <c r="T37">
        <v>2109332</v>
      </c>
      <c r="U37">
        <v>1473844</v>
      </c>
      <c r="V37">
        <v>1314553</v>
      </c>
      <c r="W37">
        <v>0</v>
      </c>
      <c r="X37">
        <v>162319</v>
      </c>
      <c r="Y37">
        <v>0</v>
      </c>
      <c r="Z37">
        <v>5060048</v>
      </c>
      <c r="AA37">
        <v>1197691</v>
      </c>
      <c r="AB37">
        <v>369890</v>
      </c>
      <c r="AC37">
        <v>609660</v>
      </c>
      <c r="AD37">
        <v>0</v>
      </c>
      <c r="AE37">
        <v>325183</v>
      </c>
      <c r="AF37">
        <v>343381</v>
      </c>
      <c r="AG37">
        <v>2845805</v>
      </c>
      <c r="AH37">
        <v>3307023</v>
      </c>
      <c r="AI37">
        <v>1843734</v>
      </c>
      <c r="AJ37">
        <v>1924213</v>
      </c>
      <c r="AK37">
        <v>0</v>
      </c>
      <c r="AL37">
        <v>487502</v>
      </c>
      <c r="AM37">
        <v>343381</v>
      </c>
      <c r="AN37">
        <v>7905853</v>
      </c>
      <c r="AO37">
        <v>0</v>
      </c>
      <c r="AP37">
        <v>0</v>
      </c>
      <c r="AQ37">
        <v>20421</v>
      </c>
      <c r="AR37">
        <v>0</v>
      </c>
      <c r="AS37">
        <v>20421</v>
      </c>
      <c r="AT37">
        <v>0</v>
      </c>
      <c r="AU37">
        <v>0</v>
      </c>
      <c r="AV37">
        <v>68176</v>
      </c>
      <c r="AW37">
        <v>0</v>
      </c>
      <c r="AX37">
        <v>68176</v>
      </c>
      <c r="AY37">
        <v>0</v>
      </c>
      <c r="AZ37">
        <v>0</v>
      </c>
      <c r="BA37">
        <v>88597</v>
      </c>
      <c r="BB37">
        <v>0</v>
      </c>
      <c r="BC37">
        <v>88597</v>
      </c>
      <c r="BD37">
        <v>860405</v>
      </c>
      <c r="BE37">
        <v>0</v>
      </c>
      <c r="BF37">
        <v>0</v>
      </c>
      <c r="BG37">
        <v>0</v>
      </c>
      <c r="BH37">
        <v>0</v>
      </c>
      <c r="BI37">
        <v>860405</v>
      </c>
      <c r="BJ37">
        <v>0</v>
      </c>
      <c r="BK37">
        <v>0</v>
      </c>
      <c r="BL37">
        <v>339145</v>
      </c>
      <c r="BM37">
        <v>0</v>
      </c>
      <c r="BN37">
        <v>0</v>
      </c>
      <c r="BO37">
        <v>339145</v>
      </c>
      <c r="BP37">
        <v>1373706</v>
      </c>
      <c r="BQ37">
        <v>425077</v>
      </c>
      <c r="BR37">
        <v>0</v>
      </c>
      <c r="BS37">
        <v>0</v>
      </c>
      <c r="BT37">
        <v>11706</v>
      </c>
      <c r="BU37">
        <v>1810489</v>
      </c>
      <c r="BV37">
        <v>2234111</v>
      </c>
      <c r="BW37">
        <v>425077</v>
      </c>
      <c r="BX37">
        <v>339145</v>
      </c>
      <c r="BY37">
        <v>0</v>
      </c>
      <c r="BZ37">
        <v>11706</v>
      </c>
      <c r="CA37">
        <v>3010039</v>
      </c>
      <c r="CB37">
        <v>0</v>
      </c>
      <c r="CC37">
        <v>0</v>
      </c>
      <c r="CD37">
        <v>0</v>
      </c>
      <c r="CE37">
        <v>0</v>
      </c>
      <c r="CF37">
        <v>0</v>
      </c>
      <c r="CG37">
        <v>0</v>
      </c>
      <c r="CH37">
        <v>0</v>
      </c>
      <c r="CI37">
        <v>0</v>
      </c>
      <c r="CJ37">
        <v>0</v>
      </c>
      <c r="CK37">
        <v>0</v>
      </c>
      <c r="CL37">
        <v>0</v>
      </c>
      <c r="CM37">
        <v>0</v>
      </c>
      <c r="CN37">
        <v>0</v>
      </c>
      <c r="CO37">
        <v>0</v>
      </c>
      <c r="CP37">
        <v>0</v>
      </c>
      <c r="CQ37">
        <v>0</v>
      </c>
      <c r="CR37" t="s">
        <v>603</v>
      </c>
      <c r="CS37">
        <v>807795</v>
      </c>
      <c r="CT37">
        <v>0</v>
      </c>
      <c r="CU37">
        <v>11520</v>
      </c>
      <c r="CV37">
        <v>22947</v>
      </c>
      <c r="CW37">
        <v>260071</v>
      </c>
      <c r="CX37">
        <v>116346</v>
      </c>
      <c r="CY37">
        <v>0</v>
      </c>
      <c r="CZ37">
        <v>1433</v>
      </c>
      <c r="DA37">
        <v>67870</v>
      </c>
      <c r="DB37">
        <v>8918</v>
      </c>
      <c r="DC37">
        <v>15378</v>
      </c>
      <c r="DD37">
        <v>0</v>
      </c>
      <c r="DE37">
        <v>72821</v>
      </c>
      <c r="DF37">
        <v>196183</v>
      </c>
      <c r="DG37">
        <v>13164</v>
      </c>
      <c r="DH37">
        <v>159152</v>
      </c>
      <c r="DI37">
        <v>0</v>
      </c>
      <c r="DJ37">
        <v>116007</v>
      </c>
      <c r="DK37">
        <v>31888</v>
      </c>
      <c r="DL37">
        <v>202672</v>
      </c>
      <c r="DM37">
        <v>78384</v>
      </c>
      <c r="DN37">
        <v>1670</v>
      </c>
      <c r="DO37">
        <v>5148</v>
      </c>
      <c r="DP37">
        <v>1728</v>
      </c>
      <c r="DQ37">
        <v>69792</v>
      </c>
      <c r="DR37">
        <v>72879</v>
      </c>
      <c r="DS37">
        <v>316560</v>
      </c>
      <c r="DT37">
        <v>71416</v>
      </c>
      <c r="DU37">
        <v>0</v>
      </c>
      <c r="DV37">
        <v>85472</v>
      </c>
      <c r="DW37">
        <v>40320</v>
      </c>
      <c r="DX37">
        <v>2039739</v>
      </c>
      <c r="DY37">
        <v>0</v>
      </c>
      <c r="DZ37">
        <v>65889</v>
      </c>
      <c r="EA37">
        <v>779178</v>
      </c>
      <c r="EB37">
        <v>239971</v>
      </c>
      <c r="EC37">
        <v>0</v>
      </c>
      <c r="ED37">
        <v>7653</v>
      </c>
      <c r="EE37">
        <v>359099</v>
      </c>
      <c r="EF37">
        <v>63620</v>
      </c>
      <c r="EG37">
        <v>120</v>
      </c>
      <c r="EH37">
        <v>0</v>
      </c>
      <c r="EI37">
        <v>98252</v>
      </c>
      <c r="EJ37">
        <v>722669</v>
      </c>
      <c r="EK37">
        <v>0</v>
      </c>
      <c r="EL37">
        <v>903082</v>
      </c>
      <c r="EM37">
        <v>0</v>
      </c>
      <c r="EN37">
        <v>422657</v>
      </c>
      <c r="EO37">
        <v>210488</v>
      </c>
      <c r="EP37">
        <v>873398</v>
      </c>
      <c r="EQ37">
        <v>295771</v>
      </c>
      <c r="ER37">
        <v>0</v>
      </c>
      <c r="ES37">
        <v>200</v>
      </c>
      <c r="ET37">
        <v>0</v>
      </c>
      <c r="EU37">
        <v>204285</v>
      </c>
      <c r="EV37">
        <v>163418</v>
      </c>
      <c r="EW37">
        <v>718655</v>
      </c>
      <c r="EX37">
        <v>353540</v>
      </c>
      <c r="EY37">
        <v>0</v>
      </c>
      <c r="EZ37">
        <v>207169</v>
      </c>
      <c r="FA37">
        <v>140039</v>
      </c>
      <c r="FB37">
        <v>6829153</v>
      </c>
      <c r="FC37">
        <v>0</v>
      </c>
      <c r="FD37">
        <v>3350</v>
      </c>
      <c r="FE37">
        <v>37831</v>
      </c>
      <c r="FF37">
        <v>6701</v>
      </c>
      <c r="FG37">
        <v>0</v>
      </c>
      <c r="FH37">
        <v>0</v>
      </c>
      <c r="FI37">
        <v>3350</v>
      </c>
      <c r="FJ37">
        <v>0</v>
      </c>
      <c r="FK37">
        <v>140</v>
      </c>
      <c r="FL37">
        <v>0</v>
      </c>
      <c r="FM37">
        <v>3351</v>
      </c>
      <c r="FN37">
        <v>97090</v>
      </c>
      <c r="FO37">
        <v>0</v>
      </c>
      <c r="FP37">
        <v>146959</v>
      </c>
      <c r="FQ37">
        <v>0</v>
      </c>
      <c r="FR37">
        <v>63500</v>
      </c>
      <c r="FS37">
        <v>24048</v>
      </c>
      <c r="FT37">
        <v>111804</v>
      </c>
      <c r="FU37">
        <v>9791</v>
      </c>
      <c r="FV37">
        <v>0</v>
      </c>
      <c r="FW37">
        <v>0</v>
      </c>
      <c r="FX37">
        <v>0</v>
      </c>
      <c r="FY37">
        <v>2450</v>
      </c>
      <c r="FZ37">
        <v>63916</v>
      </c>
      <c r="GA37">
        <v>24766</v>
      </c>
      <c r="GB37">
        <v>25682</v>
      </c>
      <c r="GC37">
        <v>0</v>
      </c>
      <c r="GD37">
        <v>6942</v>
      </c>
      <c r="GE37">
        <v>905</v>
      </c>
      <c r="GF37">
        <v>632576</v>
      </c>
      <c r="GG37">
        <v>0</v>
      </c>
      <c r="GH37">
        <v>7496</v>
      </c>
      <c r="GI37">
        <v>88448</v>
      </c>
      <c r="GJ37">
        <v>26704</v>
      </c>
      <c r="GK37">
        <v>0</v>
      </c>
      <c r="GL37">
        <v>829</v>
      </c>
      <c r="GM37">
        <v>39238</v>
      </c>
      <c r="GN37">
        <v>6887</v>
      </c>
      <c r="GO37">
        <v>28</v>
      </c>
      <c r="GP37">
        <v>0</v>
      </c>
      <c r="GQ37">
        <v>10999</v>
      </c>
      <c r="GR37">
        <v>88746</v>
      </c>
      <c r="GS37">
        <v>0</v>
      </c>
      <c r="GT37">
        <v>113676</v>
      </c>
      <c r="GU37">
        <v>0</v>
      </c>
      <c r="GV37">
        <v>52631</v>
      </c>
      <c r="GW37">
        <v>25390</v>
      </c>
      <c r="GX37">
        <v>106656</v>
      </c>
      <c r="GY37">
        <v>33080</v>
      </c>
      <c r="GZ37">
        <v>0</v>
      </c>
      <c r="HA37">
        <v>22</v>
      </c>
      <c r="HB37">
        <v>0</v>
      </c>
      <c r="HC37">
        <v>22381</v>
      </c>
      <c r="HD37">
        <v>24611</v>
      </c>
      <c r="HE37">
        <v>80482</v>
      </c>
      <c r="HF37">
        <v>41054</v>
      </c>
      <c r="HG37">
        <v>0</v>
      </c>
      <c r="HH37">
        <v>23179</v>
      </c>
      <c r="HI37">
        <v>15258</v>
      </c>
      <c r="HJ37">
        <v>807795</v>
      </c>
      <c r="HK37">
        <v>0</v>
      </c>
      <c r="HL37">
        <v>20464</v>
      </c>
      <c r="HM37">
        <v>112071</v>
      </c>
      <c r="HN37">
        <v>61310</v>
      </c>
      <c r="HO37">
        <v>0</v>
      </c>
      <c r="HP37">
        <v>0</v>
      </c>
      <c r="HQ37">
        <v>161578</v>
      </c>
      <c r="HR37">
        <v>75613</v>
      </c>
      <c r="HS37">
        <v>1378</v>
      </c>
      <c r="HT37">
        <v>0</v>
      </c>
      <c r="HU37">
        <v>20108</v>
      </c>
      <c r="HV37">
        <v>70987</v>
      </c>
      <c r="HW37">
        <v>0</v>
      </c>
      <c r="HX37">
        <v>137972</v>
      </c>
      <c r="HY37">
        <v>0</v>
      </c>
      <c r="HZ37">
        <v>65119</v>
      </c>
      <c r="IA37">
        <v>25068</v>
      </c>
      <c r="IB37">
        <v>116704</v>
      </c>
      <c r="IC37">
        <v>48947</v>
      </c>
      <c r="ID37">
        <v>0</v>
      </c>
      <c r="IE37">
        <v>0</v>
      </c>
      <c r="IF37">
        <v>0</v>
      </c>
      <c r="IG37">
        <v>15494</v>
      </c>
      <c r="IH37">
        <v>106659</v>
      </c>
      <c r="II37">
        <v>34504</v>
      </c>
      <c r="IJ37">
        <v>87458</v>
      </c>
      <c r="IK37">
        <v>0</v>
      </c>
      <c r="IL37">
        <v>99438</v>
      </c>
      <c r="IM37">
        <v>6703</v>
      </c>
      <c r="IN37">
        <v>1267575</v>
      </c>
      <c r="IO37">
        <v>0</v>
      </c>
      <c r="IP37">
        <v>31310</v>
      </c>
      <c r="IQ37">
        <v>238350</v>
      </c>
      <c r="IR37">
        <v>94715</v>
      </c>
      <c r="IS37">
        <v>0</v>
      </c>
      <c r="IT37">
        <v>829</v>
      </c>
      <c r="IU37">
        <v>204166</v>
      </c>
      <c r="IV37">
        <v>82500</v>
      </c>
      <c r="IW37">
        <v>1546</v>
      </c>
      <c r="IX37">
        <v>0</v>
      </c>
      <c r="IY37">
        <v>34458</v>
      </c>
      <c r="IZ37">
        <v>256823</v>
      </c>
      <c r="JA37">
        <v>0</v>
      </c>
      <c r="JB37">
        <v>398607</v>
      </c>
      <c r="JC37">
        <v>0</v>
      </c>
      <c r="JD37">
        <v>181250</v>
      </c>
      <c r="JE37">
        <v>74506</v>
      </c>
      <c r="JF37">
        <v>335164</v>
      </c>
      <c r="JG37">
        <v>91818</v>
      </c>
      <c r="JH37">
        <v>0</v>
      </c>
      <c r="JI37">
        <v>22</v>
      </c>
      <c r="JJ37">
        <v>0</v>
      </c>
      <c r="JK37">
        <v>40325</v>
      </c>
      <c r="JL37">
        <v>195186</v>
      </c>
      <c r="JM37">
        <v>139752</v>
      </c>
      <c r="JN37">
        <v>154194</v>
      </c>
      <c r="JO37">
        <v>0</v>
      </c>
      <c r="JP37">
        <v>129559</v>
      </c>
      <c r="JQ37">
        <v>22866</v>
      </c>
      <c r="JR37">
        <v>2707946</v>
      </c>
      <c r="JS37">
        <v>0</v>
      </c>
      <c r="JT37">
        <v>97199</v>
      </c>
      <c r="JU37">
        <v>1017528</v>
      </c>
      <c r="JV37">
        <v>334686</v>
      </c>
      <c r="JW37">
        <v>0</v>
      </c>
      <c r="JX37">
        <v>8482</v>
      </c>
      <c r="JY37">
        <v>563265</v>
      </c>
      <c r="JZ37">
        <v>146120</v>
      </c>
      <c r="KA37">
        <v>1666</v>
      </c>
      <c r="KB37">
        <v>0</v>
      </c>
      <c r="KC37">
        <v>132710</v>
      </c>
      <c r="KD37">
        <v>979492</v>
      </c>
      <c r="KE37">
        <v>0</v>
      </c>
      <c r="KF37">
        <v>1301689</v>
      </c>
      <c r="KG37">
        <v>0</v>
      </c>
      <c r="KH37">
        <v>603907</v>
      </c>
      <c r="KI37">
        <v>284994</v>
      </c>
      <c r="KJ37">
        <v>1208562</v>
      </c>
      <c r="KK37">
        <v>387589</v>
      </c>
      <c r="KL37">
        <v>0</v>
      </c>
      <c r="KM37">
        <v>222</v>
      </c>
      <c r="KN37">
        <v>0</v>
      </c>
      <c r="KO37">
        <v>244610</v>
      </c>
      <c r="KP37">
        <v>358604</v>
      </c>
      <c r="KQ37">
        <v>858407</v>
      </c>
      <c r="KR37">
        <v>507734</v>
      </c>
      <c r="KS37">
        <v>0</v>
      </c>
      <c r="KT37">
        <v>336728</v>
      </c>
      <c r="KU37">
        <v>162905</v>
      </c>
      <c r="KV37">
        <v>9537099</v>
      </c>
      <c r="KW37" t="s">
        <v>359</v>
      </c>
      <c r="KX37">
        <v>18082682</v>
      </c>
      <c r="KY37">
        <v>3098636</v>
      </c>
      <c r="KZ37">
        <v>21181318</v>
      </c>
      <c r="LA37">
        <v>0</v>
      </c>
      <c r="LB37">
        <v>355087</v>
      </c>
    </row>
    <row r="38" spans="1:314" x14ac:dyDescent="0.25">
      <c r="A38" t="s">
        <v>611</v>
      </c>
      <c r="B38" t="s">
        <v>612</v>
      </c>
      <c r="C38" t="s">
        <v>352</v>
      </c>
      <c r="D38" t="s">
        <v>613</v>
      </c>
      <c r="E38" s="2">
        <v>40934.688425925924</v>
      </c>
      <c r="G38" t="s">
        <v>614</v>
      </c>
      <c r="H38" t="s">
        <v>615</v>
      </c>
      <c r="I38" t="s">
        <v>616</v>
      </c>
      <c r="J38" t="s">
        <v>617</v>
      </c>
      <c r="K38" t="s">
        <v>618</v>
      </c>
      <c r="L38">
        <v>0</v>
      </c>
      <c r="M38">
        <v>0</v>
      </c>
      <c r="N38">
        <v>0</v>
      </c>
      <c r="O38">
        <v>24842699</v>
      </c>
      <c r="P38">
        <v>0</v>
      </c>
      <c r="Q38">
        <v>486468</v>
      </c>
      <c r="R38">
        <v>0</v>
      </c>
      <c r="S38">
        <v>486468</v>
      </c>
      <c r="T38">
        <v>3418628</v>
      </c>
      <c r="U38">
        <v>1743106</v>
      </c>
      <c r="V38">
        <v>1130561</v>
      </c>
      <c r="W38">
        <v>0</v>
      </c>
      <c r="X38">
        <v>0</v>
      </c>
      <c r="Y38">
        <v>0</v>
      </c>
      <c r="Z38">
        <v>6292295</v>
      </c>
      <c r="AA38">
        <v>2191533</v>
      </c>
      <c r="AB38">
        <v>239457</v>
      </c>
      <c r="AC38">
        <v>228935</v>
      </c>
      <c r="AD38">
        <v>0</v>
      </c>
      <c r="AE38">
        <v>0</v>
      </c>
      <c r="AF38">
        <v>494479</v>
      </c>
      <c r="AG38">
        <v>3154404</v>
      </c>
      <c r="AH38">
        <v>5610161</v>
      </c>
      <c r="AI38">
        <v>1982563</v>
      </c>
      <c r="AJ38">
        <v>1359496</v>
      </c>
      <c r="AK38">
        <v>0</v>
      </c>
      <c r="AL38">
        <v>0</v>
      </c>
      <c r="AM38">
        <v>494479</v>
      </c>
      <c r="AN38">
        <v>9446699</v>
      </c>
      <c r="AO38">
        <v>13068</v>
      </c>
      <c r="AP38">
        <v>0</v>
      </c>
      <c r="AQ38">
        <v>0</v>
      </c>
      <c r="AR38">
        <v>0</v>
      </c>
      <c r="AS38">
        <v>13068</v>
      </c>
      <c r="AT38">
        <v>21792</v>
      </c>
      <c r="AU38">
        <v>0</v>
      </c>
      <c r="AV38">
        <v>0</v>
      </c>
      <c r="AW38">
        <v>0</v>
      </c>
      <c r="AX38">
        <v>21792</v>
      </c>
      <c r="AY38">
        <v>34860</v>
      </c>
      <c r="AZ38">
        <v>0</v>
      </c>
      <c r="BA38">
        <v>0</v>
      </c>
      <c r="BB38">
        <v>0</v>
      </c>
      <c r="BC38">
        <v>34860</v>
      </c>
      <c r="BD38">
        <v>25981</v>
      </c>
      <c r="BE38">
        <v>0</v>
      </c>
      <c r="BF38">
        <v>0</v>
      </c>
      <c r="BG38">
        <v>0</v>
      </c>
      <c r="BH38">
        <v>0</v>
      </c>
      <c r="BI38">
        <v>25981</v>
      </c>
      <c r="BJ38">
        <v>0</v>
      </c>
      <c r="BK38">
        <v>0</v>
      </c>
      <c r="BL38">
        <v>0</v>
      </c>
      <c r="BM38">
        <v>0</v>
      </c>
      <c r="BN38">
        <v>0</v>
      </c>
      <c r="BO38">
        <v>0</v>
      </c>
      <c r="BP38">
        <v>2440277</v>
      </c>
      <c r="BQ38">
        <v>0</v>
      </c>
      <c r="BR38">
        <v>0</v>
      </c>
      <c r="BS38">
        <v>0</v>
      </c>
      <c r="BT38">
        <v>0</v>
      </c>
      <c r="BU38">
        <v>2440277</v>
      </c>
      <c r="BV38">
        <v>2466258</v>
      </c>
      <c r="BW38">
        <v>0</v>
      </c>
      <c r="BX38">
        <v>0</v>
      </c>
      <c r="BY38">
        <v>0</v>
      </c>
      <c r="BZ38">
        <v>0</v>
      </c>
      <c r="CA38">
        <v>2466258</v>
      </c>
      <c r="CB38">
        <v>0</v>
      </c>
      <c r="CC38">
        <v>0</v>
      </c>
      <c r="CD38">
        <v>0</v>
      </c>
      <c r="CE38">
        <v>0</v>
      </c>
      <c r="CF38">
        <v>0</v>
      </c>
      <c r="CG38">
        <v>0</v>
      </c>
      <c r="CH38">
        <v>0</v>
      </c>
      <c r="CI38">
        <v>0</v>
      </c>
      <c r="CJ38">
        <v>0</v>
      </c>
      <c r="CK38">
        <v>0</v>
      </c>
      <c r="CL38">
        <v>0</v>
      </c>
      <c r="CM38">
        <v>0</v>
      </c>
      <c r="CN38">
        <v>0</v>
      </c>
      <c r="CO38">
        <v>0</v>
      </c>
      <c r="CP38">
        <v>0</v>
      </c>
      <c r="CQ38">
        <v>0</v>
      </c>
      <c r="CR38" t="s">
        <v>611</v>
      </c>
      <c r="CS38">
        <v>750358</v>
      </c>
      <c r="CT38">
        <v>0</v>
      </c>
      <c r="CU38">
        <v>30941</v>
      </c>
      <c r="CV38">
        <v>13728</v>
      </c>
      <c r="CW38">
        <v>289440</v>
      </c>
      <c r="CX38">
        <v>93671</v>
      </c>
      <c r="CY38">
        <v>0</v>
      </c>
      <c r="CZ38">
        <v>13872</v>
      </c>
      <c r="DA38">
        <v>129906</v>
      </c>
      <c r="DB38">
        <v>1232</v>
      </c>
      <c r="DC38">
        <v>96058</v>
      </c>
      <c r="DD38">
        <v>0</v>
      </c>
      <c r="DE38">
        <v>4740</v>
      </c>
      <c r="DF38">
        <v>288048</v>
      </c>
      <c r="DG38">
        <v>16032</v>
      </c>
      <c r="DH38">
        <v>162416</v>
      </c>
      <c r="DI38">
        <v>0</v>
      </c>
      <c r="DJ38">
        <v>194376</v>
      </c>
      <c r="DK38">
        <v>53856</v>
      </c>
      <c r="DL38">
        <v>104232</v>
      </c>
      <c r="DM38">
        <v>110080</v>
      </c>
      <c r="DN38">
        <v>7632</v>
      </c>
      <c r="DO38">
        <v>44960</v>
      </c>
      <c r="DP38">
        <v>3792</v>
      </c>
      <c r="DQ38">
        <v>109696</v>
      </c>
      <c r="DR38">
        <v>133320</v>
      </c>
      <c r="DS38">
        <v>459840</v>
      </c>
      <c r="DT38">
        <v>113392</v>
      </c>
      <c r="DU38">
        <v>0</v>
      </c>
      <c r="DV38">
        <v>161664</v>
      </c>
      <c r="DW38">
        <v>36096</v>
      </c>
      <c r="DX38">
        <v>2673020</v>
      </c>
      <c r="DY38">
        <v>112455</v>
      </c>
      <c r="DZ38">
        <v>26314</v>
      </c>
      <c r="EA38">
        <v>702993</v>
      </c>
      <c r="EB38">
        <v>348668</v>
      </c>
      <c r="EC38">
        <v>0</v>
      </c>
      <c r="ED38">
        <v>61496</v>
      </c>
      <c r="EE38">
        <v>357299</v>
      </c>
      <c r="EF38">
        <v>2749</v>
      </c>
      <c r="EG38">
        <v>251787</v>
      </c>
      <c r="EH38">
        <v>0</v>
      </c>
      <c r="EI38">
        <v>11033</v>
      </c>
      <c r="EJ38">
        <v>935421</v>
      </c>
      <c r="EK38">
        <v>50575</v>
      </c>
      <c r="EL38">
        <v>776831</v>
      </c>
      <c r="EM38">
        <v>0</v>
      </c>
      <c r="EN38">
        <v>795592</v>
      </c>
      <c r="EO38">
        <v>296860</v>
      </c>
      <c r="EP38">
        <v>576179</v>
      </c>
      <c r="EQ38">
        <v>416968</v>
      </c>
      <c r="ER38">
        <v>15460</v>
      </c>
      <c r="ES38">
        <v>295910</v>
      </c>
      <c r="ET38">
        <v>10049</v>
      </c>
      <c r="EU38">
        <v>311039</v>
      </c>
      <c r="EV38">
        <v>476737</v>
      </c>
      <c r="EW38">
        <v>1330219</v>
      </c>
      <c r="EX38">
        <v>421755</v>
      </c>
      <c r="EY38">
        <v>0</v>
      </c>
      <c r="EZ38">
        <v>615944</v>
      </c>
      <c r="FA38">
        <v>126126</v>
      </c>
      <c r="FB38">
        <v>9326459</v>
      </c>
      <c r="FC38">
        <v>801</v>
      </c>
      <c r="FD38">
        <v>57959</v>
      </c>
      <c r="FE38">
        <v>58615</v>
      </c>
      <c r="FF38">
        <v>31964</v>
      </c>
      <c r="FG38">
        <v>0</v>
      </c>
      <c r="FH38">
        <v>276</v>
      </c>
      <c r="FI38">
        <v>15107</v>
      </c>
      <c r="FJ38">
        <v>6055</v>
      </c>
      <c r="FK38">
        <v>105597</v>
      </c>
      <c r="FL38">
        <v>0</v>
      </c>
      <c r="FM38">
        <v>24300</v>
      </c>
      <c r="FN38">
        <v>63023</v>
      </c>
      <c r="FO38">
        <v>7610</v>
      </c>
      <c r="FP38">
        <v>84279</v>
      </c>
      <c r="FQ38">
        <v>0</v>
      </c>
      <c r="FR38">
        <v>119002</v>
      </c>
      <c r="FS38">
        <v>4920</v>
      </c>
      <c r="FT38">
        <v>34199</v>
      </c>
      <c r="FU38">
        <v>49935</v>
      </c>
      <c r="FV38">
        <v>34052</v>
      </c>
      <c r="FW38">
        <v>420</v>
      </c>
      <c r="FX38">
        <v>3165</v>
      </c>
      <c r="FY38">
        <v>23610</v>
      </c>
      <c r="FZ38">
        <v>21520</v>
      </c>
      <c r="GA38">
        <v>33508</v>
      </c>
      <c r="GB38">
        <v>195341</v>
      </c>
      <c r="GC38">
        <v>0</v>
      </c>
      <c r="GD38">
        <v>221171</v>
      </c>
      <c r="GE38">
        <v>52780</v>
      </c>
      <c r="GF38">
        <v>1249209</v>
      </c>
      <c r="GG38">
        <v>8036</v>
      </c>
      <c r="GH38">
        <v>5979</v>
      </c>
      <c r="GI38">
        <v>54037</v>
      </c>
      <c r="GJ38">
        <v>27006</v>
      </c>
      <c r="GK38">
        <v>0</v>
      </c>
      <c r="GL38">
        <v>4383</v>
      </c>
      <c r="GM38">
        <v>26423</v>
      </c>
      <c r="GN38">
        <v>625</v>
      </c>
      <c r="GO38">
        <v>25357</v>
      </c>
      <c r="GP38">
        <v>0</v>
      </c>
      <c r="GQ38">
        <v>2507</v>
      </c>
      <c r="GR38">
        <v>70841</v>
      </c>
      <c r="GS38">
        <v>4128</v>
      </c>
      <c r="GT38">
        <v>61097</v>
      </c>
      <c r="GU38">
        <v>0</v>
      </c>
      <c r="GV38">
        <v>64892</v>
      </c>
      <c r="GW38">
        <v>21412</v>
      </c>
      <c r="GX38">
        <v>43307</v>
      </c>
      <c r="GY38">
        <v>33127</v>
      </c>
      <c r="GZ38">
        <v>3513</v>
      </c>
      <c r="HA38">
        <v>21025</v>
      </c>
      <c r="HB38">
        <v>938</v>
      </c>
      <c r="HC38">
        <v>23744</v>
      </c>
      <c r="HD38">
        <v>35352</v>
      </c>
      <c r="HE38">
        <v>96758</v>
      </c>
      <c r="HF38">
        <v>43784</v>
      </c>
      <c r="HG38">
        <v>0</v>
      </c>
      <c r="HH38">
        <v>59394</v>
      </c>
      <c r="HI38">
        <v>12694</v>
      </c>
      <c r="HJ38">
        <v>750358</v>
      </c>
      <c r="HK38">
        <v>81131</v>
      </c>
      <c r="HL38">
        <v>41466</v>
      </c>
      <c r="HM38">
        <v>168477</v>
      </c>
      <c r="HN38">
        <v>39728</v>
      </c>
      <c r="HO38">
        <v>0</v>
      </c>
      <c r="HP38">
        <v>10154</v>
      </c>
      <c r="HQ38">
        <v>31818</v>
      </c>
      <c r="HR38">
        <v>3818</v>
      </c>
      <c r="HS38">
        <v>58738</v>
      </c>
      <c r="HT38">
        <v>0</v>
      </c>
      <c r="HU38">
        <v>15323</v>
      </c>
      <c r="HV38">
        <v>85661</v>
      </c>
      <c r="HW38">
        <v>6980</v>
      </c>
      <c r="HX38">
        <v>149361</v>
      </c>
      <c r="HY38">
        <v>0</v>
      </c>
      <c r="HZ38">
        <v>196057</v>
      </c>
      <c r="IA38">
        <v>30716</v>
      </c>
      <c r="IB38">
        <v>40066</v>
      </c>
      <c r="IC38">
        <v>37217</v>
      </c>
      <c r="ID38">
        <v>25496</v>
      </c>
      <c r="IE38">
        <v>172462</v>
      </c>
      <c r="IF38">
        <v>2544</v>
      </c>
      <c r="IG38">
        <v>20530</v>
      </c>
      <c r="IH38">
        <v>87316</v>
      </c>
      <c r="II38">
        <v>76405</v>
      </c>
      <c r="IJ38">
        <v>97255</v>
      </c>
      <c r="IK38">
        <v>0</v>
      </c>
      <c r="IL38">
        <v>79367</v>
      </c>
      <c r="IM38">
        <v>18781</v>
      </c>
      <c r="IN38">
        <v>1576867</v>
      </c>
      <c r="IO38">
        <v>89968</v>
      </c>
      <c r="IP38">
        <v>105404</v>
      </c>
      <c r="IQ38">
        <v>281129</v>
      </c>
      <c r="IR38">
        <v>98698</v>
      </c>
      <c r="IS38">
        <v>0</v>
      </c>
      <c r="IT38">
        <v>14813</v>
      </c>
      <c r="IU38">
        <v>73348</v>
      </c>
      <c r="IV38">
        <v>10498</v>
      </c>
      <c r="IW38">
        <v>189692</v>
      </c>
      <c r="IX38">
        <v>0</v>
      </c>
      <c r="IY38">
        <v>42130</v>
      </c>
      <c r="IZ38">
        <v>219525</v>
      </c>
      <c r="JA38">
        <v>18718</v>
      </c>
      <c r="JB38">
        <v>294737</v>
      </c>
      <c r="JC38">
        <v>0</v>
      </c>
      <c r="JD38">
        <v>379951</v>
      </c>
      <c r="JE38">
        <v>57048</v>
      </c>
      <c r="JF38">
        <v>117572</v>
      </c>
      <c r="JG38">
        <v>120279</v>
      </c>
      <c r="JH38">
        <v>63061</v>
      </c>
      <c r="JI38">
        <v>193907</v>
      </c>
      <c r="JJ38">
        <v>6647</v>
      </c>
      <c r="JK38">
        <v>67884</v>
      </c>
      <c r="JL38">
        <v>144188</v>
      </c>
      <c r="JM38">
        <v>206671</v>
      </c>
      <c r="JN38">
        <v>336380</v>
      </c>
      <c r="JO38">
        <v>0</v>
      </c>
      <c r="JP38">
        <v>359932</v>
      </c>
      <c r="JQ38">
        <v>84255</v>
      </c>
      <c r="JR38">
        <v>3576434</v>
      </c>
      <c r="JS38">
        <v>202423</v>
      </c>
      <c r="JT38">
        <v>131718</v>
      </c>
      <c r="JU38">
        <v>984122</v>
      </c>
      <c r="JV38">
        <v>447366</v>
      </c>
      <c r="JW38">
        <v>0</v>
      </c>
      <c r="JX38">
        <v>76309</v>
      </c>
      <c r="JY38">
        <v>430647</v>
      </c>
      <c r="JZ38">
        <v>13247</v>
      </c>
      <c r="KA38">
        <v>441479</v>
      </c>
      <c r="KB38">
        <v>0</v>
      </c>
      <c r="KC38">
        <v>53163</v>
      </c>
      <c r="KD38">
        <v>1154946</v>
      </c>
      <c r="KE38">
        <v>69293</v>
      </c>
      <c r="KF38">
        <v>1071568</v>
      </c>
      <c r="KG38">
        <v>0</v>
      </c>
      <c r="KH38">
        <v>1175543</v>
      </c>
      <c r="KI38">
        <v>353908</v>
      </c>
      <c r="KJ38">
        <v>693751</v>
      </c>
      <c r="KK38">
        <v>537247</v>
      </c>
      <c r="KL38">
        <v>78521</v>
      </c>
      <c r="KM38">
        <v>489817</v>
      </c>
      <c r="KN38">
        <v>16696</v>
      </c>
      <c r="KO38">
        <v>378923</v>
      </c>
      <c r="KP38">
        <v>620925</v>
      </c>
      <c r="KQ38">
        <v>1536890</v>
      </c>
      <c r="KR38">
        <v>758135</v>
      </c>
      <c r="KS38">
        <v>0</v>
      </c>
      <c r="KT38">
        <v>975876</v>
      </c>
      <c r="KU38">
        <v>210381</v>
      </c>
      <c r="KV38">
        <v>12902893</v>
      </c>
      <c r="KW38" t="s">
        <v>359</v>
      </c>
      <c r="KX38">
        <v>22836060</v>
      </c>
      <c r="KY38">
        <v>2501118</v>
      </c>
      <c r="KZ38">
        <v>25337178</v>
      </c>
      <c r="LA38">
        <v>0</v>
      </c>
      <c r="LB38">
        <v>494479</v>
      </c>
    </row>
    <row r="39" spans="1:314" x14ac:dyDescent="0.25">
      <c r="A39" t="s">
        <v>619</v>
      </c>
      <c r="B39" t="s">
        <v>620</v>
      </c>
      <c r="C39" t="s">
        <v>352</v>
      </c>
      <c r="D39" t="s">
        <v>621</v>
      </c>
      <c r="E39" s="2">
        <v>40938.563009259262</v>
      </c>
      <c r="G39" t="s">
        <v>622</v>
      </c>
      <c r="H39" t="s">
        <v>623</v>
      </c>
      <c r="I39" t="s">
        <v>624</v>
      </c>
      <c r="J39" t="s">
        <v>625</v>
      </c>
      <c r="K39" t="s">
        <v>626</v>
      </c>
      <c r="L39">
        <v>0</v>
      </c>
      <c r="M39">
        <v>0</v>
      </c>
      <c r="N39">
        <v>0</v>
      </c>
      <c r="O39">
        <v>29144780</v>
      </c>
      <c r="P39">
        <v>0</v>
      </c>
      <c r="Q39">
        <v>901986</v>
      </c>
      <c r="R39">
        <v>0</v>
      </c>
      <c r="S39">
        <v>901986</v>
      </c>
      <c r="T39">
        <v>2904226</v>
      </c>
      <c r="U39">
        <v>1629441</v>
      </c>
      <c r="V39">
        <v>1646810</v>
      </c>
      <c r="W39">
        <v>0</v>
      </c>
      <c r="X39">
        <v>0</v>
      </c>
      <c r="Y39">
        <v>0</v>
      </c>
      <c r="Z39">
        <v>6180477</v>
      </c>
      <c r="AA39">
        <v>2397499</v>
      </c>
      <c r="AB39">
        <v>194800</v>
      </c>
      <c r="AC39">
        <v>440301</v>
      </c>
      <c r="AD39">
        <v>0</v>
      </c>
      <c r="AE39">
        <v>671553</v>
      </c>
      <c r="AF39">
        <v>605999</v>
      </c>
      <c r="AG39">
        <v>4310152</v>
      </c>
      <c r="AH39">
        <v>5301725</v>
      </c>
      <c r="AI39">
        <v>1824241</v>
      </c>
      <c r="AJ39">
        <v>2087111</v>
      </c>
      <c r="AK39">
        <v>0</v>
      </c>
      <c r="AL39">
        <v>671553</v>
      </c>
      <c r="AM39">
        <v>605999</v>
      </c>
      <c r="AN39">
        <v>10490629</v>
      </c>
      <c r="AO39">
        <v>130314</v>
      </c>
      <c r="AP39">
        <v>0</v>
      </c>
      <c r="AQ39">
        <v>310466</v>
      </c>
      <c r="AR39">
        <v>0</v>
      </c>
      <c r="AS39">
        <v>440780</v>
      </c>
      <c r="AT39">
        <v>47031</v>
      </c>
      <c r="AU39">
        <v>0</v>
      </c>
      <c r="AV39">
        <v>145021</v>
      </c>
      <c r="AW39">
        <v>0</v>
      </c>
      <c r="AX39">
        <v>192052</v>
      </c>
      <c r="AY39">
        <v>177345</v>
      </c>
      <c r="AZ39">
        <v>0</v>
      </c>
      <c r="BA39">
        <v>455487</v>
      </c>
      <c r="BB39">
        <v>0</v>
      </c>
      <c r="BC39">
        <v>632832</v>
      </c>
      <c r="BD39">
        <v>1022833</v>
      </c>
      <c r="BE39">
        <v>0</v>
      </c>
      <c r="BF39">
        <v>0</v>
      </c>
      <c r="BG39">
        <v>0</v>
      </c>
      <c r="BH39">
        <v>0</v>
      </c>
      <c r="BI39">
        <v>1022833</v>
      </c>
      <c r="BJ39">
        <v>0</v>
      </c>
      <c r="BK39">
        <v>0</v>
      </c>
      <c r="BL39">
        <v>142105</v>
      </c>
      <c r="BM39">
        <v>0</v>
      </c>
      <c r="BN39">
        <v>0</v>
      </c>
      <c r="BO39">
        <v>142105</v>
      </c>
      <c r="BP39">
        <v>3504134</v>
      </c>
      <c r="BQ39">
        <v>0</v>
      </c>
      <c r="BR39">
        <v>0</v>
      </c>
      <c r="BS39">
        <v>0</v>
      </c>
      <c r="BT39">
        <v>0</v>
      </c>
      <c r="BU39">
        <v>3504134</v>
      </c>
      <c r="BV39">
        <v>4526967</v>
      </c>
      <c r="BW39">
        <v>0</v>
      </c>
      <c r="BX39">
        <v>142105</v>
      </c>
      <c r="BY39">
        <v>0</v>
      </c>
      <c r="BZ39">
        <v>0</v>
      </c>
      <c r="CA39">
        <v>4669072</v>
      </c>
      <c r="CB39">
        <v>0</v>
      </c>
      <c r="CC39">
        <v>0</v>
      </c>
      <c r="CD39">
        <v>0</v>
      </c>
      <c r="CE39">
        <v>0</v>
      </c>
      <c r="CF39">
        <v>0</v>
      </c>
      <c r="CG39">
        <v>0</v>
      </c>
      <c r="CH39">
        <v>0</v>
      </c>
      <c r="CI39">
        <v>0</v>
      </c>
      <c r="CJ39">
        <v>0</v>
      </c>
      <c r="CK39">
        <v>0</v>
      </c>
      <c r="CL39">
        <v>0</v>
      </c>
      <c r="CM39">
        <v>0</v>
      </c>
      <c r="CN39">
        <v>0</v>
      </c>
      <c r="CO39">
        <v>0</v>
      </c>
      <c r="CP39">
        <v>0</v>
      </c>
      <c r="CQ39">
        <v>0</v>
      </c>
      <c r="CR39" t="s">
        <v>619</v>
      </c>
      <c r="CS39">
        <v>1487312</v>
      </c>
      <c r="CT39">
        <v>0</v>
      </c>
      <c r="CU39">
        <v>6048</v>
      </c>
      <c r="CV39">
        <v>65776</v>
      </c>
      <c r="CW39">
        <v>450136</v>
      </c>
      <c r="CX39">
        <v>141059</v>
      </c>
      <c r="CY39">
        <v>0</v>
      </c>
      <c r="CZ39">
        <v>444</v>
      </c>
      <c r="DA39">
        <v>92780</v>
      </c>
      <c r="DB39">
        <v>13664</v>
      </c>
      <c r="DC39">
        <v>131202</v>
      </c>
      <c r="DD39">
        <v>0</v>
      </c>
      <c r="DE39">
        <v>89960</v>
      </c>
      <c r="DF39">
        <v>429096</v>
      </c>
      <c r="DG39">
        <v>18056</v>
      </c>
      <c r="DH39">
        <v>72408</v>
      </c>
      <c r="DI39">
        <v>32544</v>
      </c>
      <c r="DJ39">
        <v>166645</v>
      </c>
      <c r="DK39">
        <v>0</v>
      </c>
      <c r="DL39">
        <v>55328</v>
      </c>
      <c r="DM39">
        <v>207344</v>
      </c>
      <c r="DN39">
        <v>26168</v>
      </c>
      <c r="DO39">
        <v>2040</v>
      </c>
      <c r="DP39">
        <v>4832</v>
      </c>
      <c r="DQ39">
        <v>49608</v>
      </c>
      <c r="DR39">
        <v>102274</v>
      </c>
      <c r="DS39">
        <v>605328</v>
      </c>
      <c r="DT39">
        <v>105672</v>
      </c>
      <c r="DU39">
        <v>0</v>
      </c>
      <c r="DV39">
        <v>54864</v>
      </c>
      <c r="DW39">
        <v>71360</v>
      </c>
      <c r="DX39">
        <v>2994636</v>
      </c>
      <c r="DY39">
        <v>23933</v>
      </c>
      <c r="DZ39">
        <v>341175</v>
      </c>
      <c r="EA39">
        <v>1401618</v>
      </c>
      <c r="EB39">
        <v>242268</v>
      </c>
      <c r="EC39">
        <v>0</v>
      </c>
      <c r="ED39">
        <v>0</v>
      </c>
      <c r="EE39">
        <v>506350</v>
      </c>
      <c r="EF39">
        <v>16527</v>
      </c>
      <c r="EG39">
        <v>426724</v>
      </c>
      <c r="EH39">
        <v>0</v>
      </c>
      <c r="EI39">
        <v>232208</v>
      </c>
      <c r="EJ39">
        <v>1323520</v>
      </c>
      <c r="EK39">
        <v>75778</v>
      </c>
      <c r="EL39">
        <v>757908</v>
      </c>
      <c r="EM39">
        <v>376868</v>
      </c>
      <c r="EN39">
        <v>636951</v>
      </c>
      <c r="EO39">
        <v>0</v>
      </c>
      <c r="EP39">
        <v>258529</v>
      </c>
      <c r="EQ39">
        <v>699649</v>
      </c>
      <c r="ER39">
        <v>93542</v>
      </c>
      <c r="ES39">
        <v>7277</v>
      </c>
      <c r="ET39">
        <v>17478</v>
      </c>
      <c r="EU39">
        <v>209442</v>
      </c>
      <c r="EV39">
        <v>484089</v>
      </c>
      <c r="EW39">
        <v>1615997</v>
      </c>
      <c r="EX39">
        <v>428507</v>
      </c>
      <c r="EY39">
        <v>0</v>
      </c>
      <c r="EZ39">
        <v>124450</v>
      </c>
      <c r="FA39">
        <v>220800</v>
      </c>
      <c r="FB39">
        <v>10521588</v>
      </c>
      <c r="FC39">
        <v>0</v>
      </c>
      <c r="FD39">
        <v>1255</v>
      </c>
      <c r="FE39">
        <v>0</v>
      </c>
      <c r="FF39">
        <v>6820</v>
      </c>
      <c r="FG39">
        <v>0</v>
      </c>
      <c r="FH39">
        <v>630</v>
      </c>
      <c r="FI39">
        <v>4075</v>
      </c>
      <c r="FJ39">
        <v>0</v>
      </c>
      <c r="FK39">
        <v>1247</v>
      </c>
      <c r="FL39">
        <v>0</v>
      </c>
      <c r="FM39">
        <v>2677</v>
      </c>
      <c r="FN39">
        <v>0</v>
      </c>
      <c r="FO39">
        <v>0</v>
      </c>
      <c r="FP39">
        <v>0</v>
      </c>
      <c r="FQ39">
        <v>0</v>
      </c>
      <c r="FR39">
        <v>11986</v>
      </c>
      <c r="FS39">
        <v>0</v>
      </c>
      <c r="FT39">
        <v>0</v>
      </c>
      <c r="FU39">
        <v>0</v>
      </c>
      <c r="FV39">
        <v>950</v>
      </c>
      <c r="FW39">
        <v>0</v>
      </c>
      <c r="FX39">
        <v>0</v>
      </c>
      <c r="FY39">
        <v>0</v>
      </c>
      <c r="FZ39">
        <v>1484</v>
      </c>
      <c r="GA39">
        <v>0</v>
      </c>
      <c r="GB39">
        <v>0</v>
      </c>
      <c r="GC39">
        <v>0</v>
      </c>
      <c r="GD39">
        <v>0</v>
      </c>
      <c r="GE39">
        <v>0</v>
      </c>
      <c r="GF39">
        <v>31124</v>
      </c>
      <c r="GG39">
        <v>3373</v>
      </c>
      <c r="GH39">
        <v>48262</v>
      </c>
      <c r="GI39">
        <v>197546</v>
      </c>
      <c r="GJ39">
        <v>35107</v>
      </c>
      <c r="GK39">
        <v>0</v>
      </c>
      <c r="GL39">
        <v>89</v>
      </c>
      <c r="GM39">
        <v>71940</v>
      </c>
      <c r="GN39">
        <v>2329</v>
      </c>
      <c r="GO39">
        <v>60319</v>
      </c>
      <c r="GP39">
        <v>0</v>
      </c>
      <c r="GQ39">
        <v>33105</v>
      </c>
      <c r="GR39">
        <v>186539</v>
      </c>
      <c r="GS39">
        <v>10680</v>
      </c>
      <c r="GT39">
        <v>106820</v>
      </c>
      <c r="GU39">
        <v>53116</v>
      </c>
      <c r="GV39">
        <v>91462</v>
      </c>
      <c r="GW39">
        <v>0</v>
      </c>
      <c r="GX39">
        <v>36437</v>
      </c>
      <c r="GY39">
        <v>98609</v>
      </c>
      <c r="GZ39">
        <v>13318</v>
      </c>
      <c r="HA39">
        <v>1026</v>
      </c>
      <c r="HB39">
        <v>2463</v>
      </c>
      <c r="HC39">
        <v>29519</v>
      </c>
      <c r="HD39">
        <v>68437</v>
      </c>
      <c r="HE39">
        <v>227761</v>
      </c>
      <c r="HF39">
        <v>60394</v>
      </c>
      <c r="HG39">
        <v>0</v>
      </c>
      <c r="HH39">
        <v>17540</v>
      </c>
      <c r="HI39">
        <v>31120</v>
      </c>
      <c r="HJ39">
        <v>1487312</v>
      </c>
      <c r="HK39">
        <v>2164</v>
      </c>
      <c r="HL39">
        <v>123769</v>
      </c>
      <c r="HM39">
        <v>74886</v>
      </c>
      <c r="HN39">
        <v>27226</v>
      </c>
      <c r="HO39">
        <v>0</v>
      </c>
      <c r="HP39">
        <v>622</v>
      </c>
      <c r="HQ39">
        <v>120335</v>
      </c>
      <c r="HR39">
        <v>5675</v>
      </c>
      <c r="HS39">
        <v>38473</v>
      </c>
      <c r="HT39">
        <v>0</v>
      </c>
      <c r="HU39">
        <v>46161</v>
      </c>
      <c r="HV39">
        <v>16305</v>
      </c>
      <c r="HW39">
        <v>1115</v>
      </c>
      <c r="HX39">
        <v>140804</v>
      </c>
      <c r="HY39">
        <v>43126</v>
      </c>
      <c r="HZ39">
        <v>130543</v>
      </c>
      <c r="IA39">
        <v>0</v>
      </c>
      <c r="IB39">
        <v>16993</v>
      </c>
      <c r="IC39">
        <v>7366</v>
      </c>
      <c r="ID39">
        <v>13762</v>
      </c>
      <c r="IE39">
        <v>1066</v>
      </c>
      <c r="IF39">
        <v>2526</v>
      </c>
      <c r="IG39">
        <v>5036</v>
      </c>
      <c r="IH39">
        <v>104486</v>
      </c>
      <c r="II39">
        <v>44027</v>
      </c>
      <c r="IJ39">
        <v>44803</v>
      </c>
      <c r="IK39">
        <v>0</v>
      </c>
      <c r="IL39">
        <v>1586</v>
      </c>
      <c r="IM39">
        <v>3381</v>
      </c>
      <c r="IN39">
        <v>1016236</v>
      </c>
      <c r="IO39">
        <v>5537</v>
      </c>
      <c r="IP39">
        <v>173286</v>
      </c>
      <c r="IQ39">
        <v>272432</v>
      </c>
      <c r="IR39">
        <v>69153</v>
      </c>
      <c r="IS39">
        <v>0</v>
      </c>
      <c r="IT39">
        <v>1341</v>
      </c>
      <c r="IU39">
        <v>196350</v>
      </c>
      <c r="IV39">
        <v>8004</v>
      </c>
      <c r="IW39">
        <v>100039</v>
      </c>
      <c r="IX39">
        <v>0</v>
      </c>
      <c r="IY39">
        <v>81943</v>
      </c>
      <c r="IZ39">
        <v>202844</v>
      </c>
      <c r="JA39">
        <v>11795</v>
      </c>
      <c r="JB39">
        <v>247624</v>
      </c>
      <c r="JC39">
        <v>96242</v>
      </c>
      <c r="JD39">
        <v>233991</v>
      </c>
      <c r="JE39">
        <v>0</v>
      </c>
      <c r="JF39">
        <v>53430</v>
      </c>
      <c r="JG39">
        <v>105975</v>
      </c>
      <c r="JH39">
        <v>28030</v>
      </c>
      <c r="JI39">
        <v>2092</v>
      </c>
      <c r="JJ39">
        <v>4989</v>
      </c>
      <c r="JK39">
        <v>34555</v>
      </c>
      <c r="JL39">
        <v>174407</v>
      </c>
      <c r="JM39">
        <v>271788</v>
      </c>
      <c r="JN39">
        <v>105197</v>
      </c>
      <c r="JO39">
        <v>0</v>
      </c>
      <c r="JP39">
        <v>19126</v>
      </c>
      <c r="JQ39">
        <v>34501</v>
      </c>
      <c r="JR39">
        <v>2534672</v>
      </c>
      <c r="JS39">
        <v>29470</v>
      </c>
      <c r="JT39">
        <v>514461</v>
      </c>
      <c r="JU39">
        <v>1674050</v>
      </c>
      <c r="JV39">
        <v>311421</v>
      </c>
      <c r="JW39">
        <v>0</v>
      </c>
      <c r="JX39">
        <v>1341</v>
      </c>
      <c r="JY39">
        <v>702700</v>
      </c>
      <c r="JZ39">
        <v>24531</v>
      </c>
      <c r="KA39">
        <v>526763</v>
      </c>
      <c r="KB39">
        <v>0</v>
      </c>
      <c r="KC39">
        <v>314151</v>
      </c>
      <c r="KD39">
        <v>1526364</v>
      </c>
      <c r="KE39">
        <v>87573</v>
      </c>
      <c r="KF39">
        <v>1005532</v>
      </c>
      <c r="KG39">
        <v>473110</v>
      </c>
      <c r="KH39">
        <v>870942</v>
      </c>
      <c r="KI39">
        <v>0</v>
      </c>
      <c r="KJ39">
        <v>311959</v>
      </c>
      <c r="KK39">
        <v>805624</v>
      </c>
      <c r="KL39">
        <v>121572</v>
      </c>
      <c r="KM39">
        <v>9369</v>
      </c>
      <c r="KN39">
        <v>22467</v>
      </c>
      <c r="KO39">
        <v>243997</v>
      </c>
      <c r="KP39">
        <v>658496</v>
      </c>
      <c r="KQ39">
        <v>1887785</v>
      </c>
      <c r="KR39">
        <v>533704</v>
      </c>
      <c r="KS39">
        <v>0</v>
      </c>
      <c r="KT39">
        <v>143576</v>
      </c>
      <c r="KU39">
        <v>255301</v>
      </c>
      <c r="KV39">
        <v>13056260</v>
      </c>
      <c r="KW39" t="s">
        <v>359</v>
      </c>
      <c r="KX39">
        <v>24448875</v>
      </c>
      <c r="KY39">
        <v>5301904</v>
      </c>
      <c r="KZ39">
        <v>29750779</v>
      </c>
      <c r="LA39">
        <v>0</v>
      </c>
      <c r="LB39">
        <v>605999</v>
      </c>
    </row>
    <row r="40" spans="1:314" x14ac:dyDescent="0.25">
      <c r="A40" t="s">
        <v>627</v>
      </c>
      <c r="B40" t="s">
        <v>628</v>
      </c>
      <c r="C40" t="s">
        <v>352</v>
      </c>
      <c r="D40" t="s">
        <v>629</v>
      </c>
      <c r="E40" s="2">
        <v>40938.529803240737</v>
      </c>
      <c r="G40" t="s">
        <v>630</v>
      </c>
      <c r="H40" t="s">
        <v>631</v>
      </c>
      <c r="I40" t="s">
        <v>412</v>
      </c>
      <c r="J40" t="s">
        <v>632</v>
      </c>
      <c r="K40" t="s">
        <v>633</v>
      </c>
      <c r="L40">
        <v>0</v>
      </c>
      <c r="M40">
        <v>0</v>
      </c>
      <c r="N40">
        <v>0</v>
      </c>
      <c r="O40">
        <v>100231263</v>
      </c>
      <c r="P40">
        <v>0</v>
      </c>
      <c r="Q40">
        <v>2612913</v>
      </c>
      <c r="R40">
        <v>0</v>
      </c>
      <c r="S40">
        <v>2612913</v>
      </c>
      <c r="T40">
        <v>5869642</v>
      </c>
      <c r="U40">
        <v>3867423</v>
      </c>
      <c r="V40">
        <v>1744926</v>
      </c>
      <c r="W40">
        <v>0</v>
      </c>
      <c r="X40">
        <v>0</v>
      </c>
      <c r="Y40">
        <v>0</v>
      </c>
      <c r="Z40">
        <v>11481991</v>
      </c>
      <c r="AA40">
        <v>2861451</v>
      </c>
      <c r="AB40">
        <v>692111</v>
      </c>
      <c r="AC40">
        <v>627821</v>
      </c>
      <c r="AD40">
        <v>0</v>
      </c>
      <c r="AE40">
        <v>0</v>
      </c>
      <c r="AF40">
        <v>828477</v>
      </c>
      <c r="AG40">
        <v>5009860</v>
      </c>
      <c r="AH40">
        <v>8731093</v>
      </c>
      <c r="AI40">
        <v>4559534</v>
      </c>
      <c r="AJ40">
        <v>2372747</v>
      </c>
      <c r="AK40">
        <v>0</v>
      </c>
      <c r="AL40">
        <v>0</v>
      </c>
      <c r="AM40">
        <v>828477</v>
      </c>
      <c r="AN40">
        <v>16491851</v>
      </c>
      <c r="AO40">
        <v>27522113</v>
      </c>
      <c r="AP40">
        <v>0</v>
      </c>
      <c r="AQ40">
        <v>506673</v>
      </c>
      <c r="AR40">
        <v>0</v>
      </c>
      <c r="AS40">
        <v>28028786</v>
      </c>
      <c r="AT40">
        <v>17592039</v>
      </c>
      <c r="AU40">
        <v>0</v>
      </c>
      <c r="AV40">
        <v>808717</v>
      </c>
      <c r="AW40">
        <v>421896</v>
      </c>
      <c r="AX40">
        <v>18822652</v>
      </c>
      <c r="AY40">
        <v>45114152</v>
      </c>
      <c r="AZ40">
        <v>0</v>
      </c>
      <c r="BA40">
        <v>1315390</v>
      </c>
      <c r="BB40">
        <v>421896</v>
      </c>
      <c r="BC40">
        <v>46851438</v>
      </c>
      <c r="BD40">
        <v>2562313</v>
      </c>
      <c r="BE40">
        <v>0</v>
      </c>
      <c r="BF40">
        <v>0</v>
      </c>
      <c r="BG40">
        <v>0</v>
      </c>
      <c r="BH40">
        <v>0</v>
      </c>
      <c r="BI40">
        <v>2562313</v>
      </c>
      <c r="BJ40">
        <v>0</v>
      </c>
      <c r="BK40">
        <v>0</v>
      </c>
      <c r="BL40">
        <v>0</v>
      </c>
      <c r="BM40">
        <v>0</v>
      </c>
      <c r="BN40">
        <v>0</v>
      </c>
      <c r="BO40">
        <v>0</v>
      </c>
      <c r="BP40">
        <v>4717271</v>
      </c>
      <c r="BQ40">
        <v>0</v>
      </c>
      <c r="BR40">
        <v>0</v>
      </c>
      <c r="BS40">
        <v>0</v>
      </c>
      <c r="BT40">
        <v>94970</v>
      </c>
      <c r="BU40">
        <v>4812241</v>
      </c>
      <c r="BV40">
        <v>7279584</v>
      </c>
      <c r="BW40">
        <v>0</v>
      </c>
      <c r="BX40">
        <v>0</v>
      </c>
      <c r="BY40">
        <v>0</v>
      </c>
      <c r="BZ40">
        <v>94970</v>
      </c>
      <c r="CA40">
        <v>7374554</v>
      </c>
      <c r="CB40">
        <v>0</v>
      </c>
      <c r="CC40">
        <v>0</v>
      </c>
      <c r="CD40">
        <v>0</v>
      </c>
      <c r="CE40">
        <v>0</v>
      </c>
      <c r="CF40">
        <v>0</v>
      </c>
      <c r="CG40">
        <v>0</v>
      </c>
      <c r="CH40">
        <v>0</v>
      </c>
      <c r="CI40">
        <v>0</v>
      </c>
      <c r="CJ40">
        <v>0</v>
      </c>
      <c r="CK40">
        <v>0</v>
      </c>
      <c r="CL40">
        <v>0</v>
      </c>
      <c r="CM40">
        <v>0</v>
      </c>
      <c r="CN40">
        <v>0</v>
      </c>
      <c r="CO40">
        <v>0</v>
      </c>
      <c r="CP40">
        <v>0</v>
      </c>
      <c r="CQ40">
        <v>0</v>
      </c>
      <c r="CR40" t="s">
        <v>627</v>
      </c>
      <c r="CS40">
        <v>2244327</v>
      </c>
      <c r="CT40">
        <v>0</v>
      </c>
      <c r="CU40">
        <v>84496</v>
      </c>
      <c r="CV40">
        <v>125764</v>
      </c>
      <c r="CW40">
        <v>367872</v>
      </c>
      <c r="CX40">
        <v>918586</v>
      </c>
      <c r="CY40">
        <v>21751</v>
      </c>
      <c r="CZ40">
        <v>39520</v>
      </c>
      <c r="DA40">
        <v>506016</v>
      </c>
      <c r="DB40">
        <v>51080</v>
      </c>
      <c r="DC40">
        <v>289922</v>
      </c>
      <c r="DD40">
        <v>800</v>
      </c>
      <c r="DE40">
        <v>132648</v>
      </c>
      <c r="DF40">
        <v>768896</v>
      </c>
      <c r="DG40">
        <v>133920</v>
      </c>
      <c r="DH40">
        <v>233456</v>
      </c>
      <c r="DI40">
        <v>0</v>
      </c>
      <c r="DJ40">
        <v>167331</v>
      </c>
      <c r="DK40">
        <v>0</v>
      </c>
      <c r="DL40">
        <v>96960</v>
      </c>
      <c r="DM40">
        <v>296778</v>
      </c>
      <c r="DN40">
        <v>37520</v>
      </c>
      <c r="DO40">
        <v>54598</v>
      </c>
      <c r="DP40">
        <v>7984</v>
      </c>
      <c r="DQ40">
        <v>183240</v>
      </c>
      <c r="DR40">
        <v>226080</v>
      </c>
      <c r="DS40">
        <v>1478016</v>
      </c>
      <c r="DT40">
        <v>238192</v>
      </c>
      <c r="DU40">
        <v>0</v>
      </c>
      <c r="DV40">
        <v>407552</v>
      </c>
      <c r="DW40">
        <v>180144</v>
      </c>
      <c r="DX40">
        <v>7049122</v>
      </c>
      <c r="DY40">
        <v>171909</v>
      </c>
      <c r="DZ40">
        <v>177866</v>
      </c>
      <c r="EA40">
        <v>960707</v>
      </c>
      <c r="EB40">
        <v>2145828</v>
      </c>
      <c r="EC40">
        <v>222752</v>
      </c>
      <c r="ED40">
        <v>186779</v>
      </c>
      <c r="EE40">
        <v>1526448</v>
      </c>
      <c r="EF40">
        <v>55436</v>
      </c>
      <c r="EG40">
        <v>940409</v>
      </c>
      <c r="EH40">
        <v>6197</v>
      </c>
      <c r="EI40">
        <v>162698</v>
      </c>
      <c r="EJ40">
        <v>2747620</v>
      </c>
      <c r="EK40">
        <v>410871</v>
      </c>
      <c r="EL40">
        <v>1430522</v>
      </c>
      <c r="EM40">
        <v>0</v>
      </c>
      <c r="EN40">
        <v>911921</v>
      </c>
      <c r="EO40">
        <v>0</v>
      </c>
      <c r="EP40">
        <v>492580</v>
      </c>
      <c r="EQ40">
        <v>871795</v>
      </c>
      <c r="ER40">
        <v>106196</v>
      </c>
      <c r="ES40">
        <v>118826</v>
      </c>
      <c r="ET40">
        <v>16613</v>
      </c>
      <c r="EU40">
        <v>512435</v>
      </c>
      <c r="EV40">
        <v>675361</v>
      </c>
      <c r="EW40">
        <v>3186122</v>
      </c>
      <c r="EX40">
        <v>545384</v>
      </c>
      <c r="EY40">
        <v>0</v>
      </c>
      <c r="EZ40">
        <v>698531</v>
      </c>
      <c r="FA40">
        <v>365510</v>
      </c>
      <c r="FB40">
        <v>19647316</v>
      </c>
      <c r="FC40">
        <v>36616</v>
      </c>
      <c r="FD40">
        <v>44759</v>
      </c>
      <c r="FE40">
        <v>58606</v>
      </c>
      <c r="FF40">
        <v>243169</v>
      </c>
      <c r="FG40">
        <v>277035</v>
      </c>
      <c r="FH40">
        <v>34745</v>
      </c>
      <c r="FI40">
        <v>173961</v>
      </c>
      <c r="FJ40">
        <v>21419</v>
      </c>
      <c r="FK40">
        <v>199085</v>
      </c>
      <c r="FL40">
        <v>163</v>
      </c>
      <c r="FM40">
        <v>45851</v>
      </c>
      <c r="FN40">
        <v>66068</v>
      </c>
      <c r="FO40">
        <v>0</v>
      </c>
      <c r="FP40">
        <v>67994</v>
      </c>
      <c r="FQ40">
        <v>0</v>
      </c>
      <c r="FR40">
        <v>165030</v>
      </c>
      <c r="FS40">
        <v>0</v>
      </c>
      <c r="FT40">
        <v>65438</v>
      </c>
      <c r="FU40">
        <v>94228</v>
      </c>
      <c r="FV40">
        <v>104248</v>
      </c>
      <c r="FW40">
        <v>15116</v>
      </c>
      <c r="FX40">
        <v>4205</v>
      </c>
      <c r="FY40">
        <v>156395</v>
      </c>
      <c r="FZ40">
        <v>89138</v>
      </c>
      <c r="GA40">
        <v>34369</v>
      </c>
      <c r="GB40">
        <v>41093</v>
      </c>
      <c r="GC40">
        <v>0</v>
      </c>
      <c r="GD40">
        <v>23138</v>
      </c>
      <c r="GE40">
        <v>14290</v>
      </c>
      <c r="GF40">
        <v>2076159</v>
      </c>
      <c r="GG40">
        <v>21543</v>
      </c>
      <c r="GH40">
        <v>23000</v>
      </c>
      <c r="GI40">
        <v>105309</v>
      </c>
      <c r="GJ40">
        <v>246816</v>
      </c>
      <c r="GK40">
        <v>51635</v>
      </c>
      <c r="GL40">
        <v>22886</v>
      </c>
      <c r="GM40">
        <v>175675</v>
      </c>
      <c r="GN40">
        <v>7940</v>
      </c>
      <c r="GO40">
        <v>117725</v>
      </c>
      <c r="GP40">
        <v>657</v>
      </c>
      <c r="GQ40">
        <v>21546</v>
      </c>
      <c r="GR40">
        <v>290692</v>
      </c>
      <c r="GS40">
        <v>42448</v>
      </c>
      <c r="GT40">
        <v>154817</v>
      </c>
      <c r="GU40">
        <v>0</v>
      </c>
      <c r="GV40">
        <v>111264</v>
      </c>
      <c r="GW40">
        <v>0</v>
      </c>
      <c r="GX40">
        <v>57651</v>
      </c>
      <c r="GY40">
        <v>99803</v>
      </c>
      <c r="GZ40">
        <v>21742</v>
      </c>
      <c r="HA40">
        <v>13838</v>
      </c>
      <c r="HB40">
        <v>2151</v>
      </c>
      <c r="HC40">
        <v>69099</v>
      </c>
      <c r="HD40">
        <v>78983</v>
      </c>
      <c r="HE40">
        <v>332720</v>
      </c>
      <c r="HF40">
        <v>60591</v>
      </c>
      <c r="HG40">
        <v>0</v>
      </c>
      <c r="HH40">
        <v>74558</v>
      </c>
      <c r="HI40">
        <v>39238</v>
      </c>
      <c r="HJ40">
        <v>2244327</v>
      </c>
      <c r="HK40">
        <v>25374</v>
      </c>
      <c r="HL40">
        <v>47006</v>
      </c>
      <c r="HM40">
        <v>111758</v>
      </c>
      <c r="HN40">
        <v>712412</v>
      </c>
      <c r="HO40">
        <v>329833</v>
      </c>
      <c r="HP40">
        <v>556039</v>
      </c>
      <c r="HQ40">
        <v>240364</v>
      </c>
      <c r="HR40">
        <v>11508</v>
      </c>
      <c r="HS40">
        <v>242879</v>
      </c>
      <c r="HT40">
        <v>43</v>
      </c>
      <c r="HU40">
        <v>30336</v>
      </c>
      <c r="HV40">
        <v>109986</v>
      </c>
      <c r="HW40">
        <v>313</v>
      </c>
      <c r="HX40">
        <v>1101880</v>
      </c>
      <c r="HY40">
        <v>0</v>
      </c>
      <c r="HZ40">
        <v>338575</v>
      </c>
      <c r="IA40">
        <v>0</v>
      </c>
      <c r="IB40">
        <v>65264</v>
      </c>
      <c r="IC40">
        <v>19859</v>
      </c>
      <c r="ID40">
        <v>21708</v>
      </c>
      <c r="IE40">
        <v>15963</v>
      </c>
      <c r="IF40">
        <v>1473</v>
      </c>
      <c r="IG40">
        <v>94172</v>
      </c>
      <c r="IH40">
        <v>30948</v>
      </c>
      <c r="II40">
        <v>85019</v>
      </c>
      <c r="IJ40">
        <v>62345</v>
      </c>
      <c r="IK40">
        <v>0</v>
      </c>
      <c r="IL40">
        <v>19451</v>
      </c>
      <c r="IM40">
        <v>3540</v>
      </c>
      <c r="IN40">
        <v>4278048</v>
      </c>
      <c r="IO40">
        <v>83533</v>
      </c>
      <c r="IP40">
        <v>114765</v>
      </c>
      <c r="IQ40">
        <v>275673</v>
      </c>
      <c r="IR40">
        <v>1202397</v>
      </c>
      <c r="IS40">
        <v>658503</v>
      </c>
      <c r="IT40">
        <v>613670</v>
      </c>
      <c r="IU40">
        <v>590000</v>
      </c>
      <c r="IV40">
        <v>40867</v>
      </c>
      <c r="IW40">
        <v>559689</v>
      </c>
      <c r="IX40">
        <v>863</v>
      </c>
      <c r="IY40">
        <v>97733</v>
      </c>
      <c r="IZ40">
        <v>466746</v>
      </c>
      <c r="JA40">
        <v>42761</v>
      </c>
      <c r="JB40">
        <v>1324691</v>
      </c>
      <c r="JC40">
        <v>0</v>
      </c>
      <c r="JD40">
        <v>614869</v>
      </c>
      <c r="JE40">
        <v>0</v>
      </c>
      <c r="JF40">
        <v>188353</v>
      </c>
      <c r="JG40">
        <v>213890</v>
      </c>
      <c r="JH40">
        <v>147698</v>
      </c>
      <c r="JI40">
        <v>44917</v>
      </c>
      <c r="JJ40">
        <v>7829</v>
      </c>
      <c r="JK40">
        <v>319666</v>
      </c>
      <c r="JL40">
        <v>199069</v>
      </c>
      <c r="JM40">
        <v>452108</v>
      </c>
      <c r="JN40">
        <v>164029</v>
      </c>
      <c r="JO40">
        <v>0</v>
      </c>
      <c r="JP40">
        <v>117147</v>
      </c>
      <c r="JQ40">
        <v>57068</v>
      </c>
      <c r="JR40">
        <v>8598534</v>
      </c>
      <c r="JS40">
        <v>255442</v>
      </c>
      <c r="JT40">
        <v>292631</v>
      </c>
      <c r="JU40">
        <v>1236380</v>
      </c>
      <c r="JV40">
        <v>3348225</v>
      </c>
      <c r="JW40">
        <v>881255</v>
      </c>
      <c r="JX40">
        <v>800449</v>
      </c>
      <c r="JY40">
        <v>2116448</v>
      </c>
      <c r="JZ40">
        <v>96303</v>
      </c>
      <c r="KA40">
        <v>1500098</v>
      </c>
      <c r="KB40">
        <v>7060</v>
      </c>
      <c r="KC40">
        <v>260431</v>
      </c>
      <c r="KD40">
        <v>3214366</v>
      </c>
      <c r="KE40">
        <v>453632</v>
      </c>
      <c r="KF40">
        <v>2755213</v>
      </c>
      <c r="KG40">
        <v>0</v>
      </c>
      <c r="KH40">
        <v>1526790</v>
      </c>
      <c r="KI40">
        <v>0</v>
      </c>
      <c r="KJ40">
        <v>680933</v>
      </c>
      <c r="KK40">
        <v>1085685</v>
      </c>
      <c r="KL40">
        <v>253894</v>
      </c>
      <c r="KM40">
        <v>163743</v>
      </c>
      <c r="KN40">
        <v>24442</v>
      </c>
      <c r="KO40">
        <v>832101</v>
      </c>
      <c r="KP40">
        <v>874430</v>
      </c>
      <c r="KQ40">
        <v>3638230</v>
      </c>
      <c r="KR40">
        <v>709413</v>
      </c>
      <c r="KS40">
        <v>0</v>
      </c>
      <c r="KT40">
        <v>815678</v>
      </c>
      <c r="KU40">
        <v>422578</v>
      </c>
      <c r="KV40">
        <v>28245850</v>
      </c>
      <c r="KW40" t="s">
        <v>359</v>
      </c>
      <c r="KX40">
        <v>47350614</v>
      </c>
      <c r="KY40">
        <v>54225992</v>
      </c>
      <c r="KZ40">
        <v>101576606</v>
      </c>
      <c r="LA40">
        <v>0</v>
      </c>
      <c r="LB40">
        <v>1345343</v>
      </c>
    </row>
    <row r="41" spans="1:314" x14ac:dyDescent="0.25">
      <c r="A41" t="s">
        <v>634</v>
      </c>
      <c r="B41" t="s">
        <v>635</v>
      </c>
      <c r="C41" t="s">
        <v>352</v>
      </c>
      <c r="D41" t="s">
        <v>636</v>
      </c>
      <c r="E41" s="2">
        <v>40939.654409722221</v>
      </c>
      <c r="G41" t="s">
        <v>637</v>
      </c>
      <c r="H41" t="s">
        <v>638</v>
      </c>
      <c r="I41" t="s">
        <v>639</v>
      </c>
      <c r="J41" t="s">
        <v>640</v>
      </c>
      <c r="K41" t="s">
        <v>641</v>
      </c>
      <c r="L41">
        <v>0</v>
      </c>
      <c r="M41">
        <v>0</v>
      </c>
      <c r="N41">
        <v>0</v>
      </c>
      <c r="O41">
        <v>18395806</v>
      </c>
      <c r="P41">
        <v>0</v>
      </c>
      <c r="Q41">
        <v>292708</v>
      </c>
      <c r="R41">
        <v>0</v>
      </c>
      <c r="S41">
        <v>292708</v>
      </c>
      <c r="T41">
        <v>992845</v>
      </c>
      <c r="U41">
        <v>935810</v>
      </c>
      <c r="V41">
        <v>1467634</v>
      </c>
      <c r="W41">
        <v>0</v>
      </c>
      <c r="X41">
        <v>0</v>
      </c>
      <c r="Y41">
        <v>0</v>
      </c>
      <c r="Z41">
        <v>3396289</v>
      </c>
      <c r="AA41">
        <v>1095282</v>
      </c>
      <c r="AB41">
        <v>152239</v>
      </c>
      <c r="AC41">
        <v>687884</v>
      </c>
      <c r="AD41">
        <v>0</v>
      </c>
      <c r="AE41">
        <v>0</v>
      </c>
      <c r="AF41">
        <v>414168</v>
      </c>
      <c r="AG41">
        <v>2349573</v>
      </c>
      <c r="AH41">
        <v>2088127</v>
      </c>
      <c r="AI41">
        <v>1088049</v>
      </c>
      <c r="AJ41">
        <v>2155518</v>
      </c>
      <c r="AK41">
        <v>0</v>
      </c>
      <c r="AL41">
        <v>0</v>
      </c>
      <c r="AM41">
        <v>414168</v>
      </c>
      <c r="AN41">
        <v>5745862</v>
      </c>
      <c r="AO41">
        <v>49178</v>
      </c>
      <c r="AP41">
        <v>0</v>
      </c>
      <c r="AQ41">
        <v>0</v>
      </c>
      <c r="AR41">
        <v>0</v>
      </c>
      <c r="AS41">
        <v>49178</v>
      </c>
      <c r="AT41">
        <v>14836</v>
      </c>
      <c r="AU41">
        <v>0</v>
      </c>
      <c r="AV41">
        <v>0</v>
      </c>
      <c r="AW41">
        <v>1447</v>
      </c>
      <c r="AX41">
        <v>16283</v>
      </c>
      <c r="AY41">
        <v>64014</v>
      </c>
      <c r="AZ41">
        <v>0</v>
      </c>
      <c r="BA41">
        <v>0</v>
      </c>
      <c r="BB41">
        <v>1447</v>
      </c>
      <c r="BC41">
        <v>65461</v>
      </c>
      <c r="BD41">
        <v>852519</v>
      </c>
      <c r="BE41">
        <v>0</v>
      </c>
      <c r="BF41">
        <v>0</v>
      </c>
      <c r="BG41">
        <v>0</v>
      </c>
      <c r="BH41">
        <v>0</v>
      </c>
      <c r="BI41">
        <v>852519</v>
      </c>
      <c r="BJ41">
        <v>0</v>
      </c>
      <c r="BK41">
        <v>0</v>
      </c>
      <c r="BL41">
        <v>72425</v>
      </c>
      <c r="BM41">
        <v>0</v>
      </c>
      <c r="BN41">
        <v>0</v>
      </c>
      <c r="BO41">
        <v>72425</v>
      </c>
      <c r="BP41">
        <v>1330231</v>
      </c>
      <c r="BQ41">
        <v>0</v>
      </c>
      <c r="BR41">
        <v>0</v>
      </c>
      <c r="BS41">
        <v>0</v>
      </c>
      <c r="BT41">
        <v>24958</v>
      </c>
      <c r="BU41">
        <v>1355189</v>
      </c>
      <c r="BV41">
        <v>2182750</v>
      </c>
      <c r="BW41">
        <v>0</v>
      </c>
      <c r="BX41">
        <v>72425</v>
      </c>
      <c r="BY41">
        <v>0</v>
      </c>
      <c r="BZ41">
        <v>24958</v>
      </c>
      <c r="CA41">
        <v>2280133</v>
      </c>
      <c r="CB41">
        <v>0</v>
      </c>
      <c r="CC41">
        <v>0</v>
      </c>
      <c r="CD41">
        <v>0</v>
      </c>
      <c r="CE41">
        <v>0</v>
      </c>
      <c r="CF41">
        <v>0</v>
      </c>
      <c r="CG41">
        <v>0</v>
      </c>
      <c r="CH41">
        <v>0</v>
      </c>
      <c r="CI41">
        <v>0</v>
      </c>
      <c r="CJ41">
        <v>0</v>
      </c>
      <c r="CK41">
        <v>0</v>
      </c>
      <c r="CL41">
        <v>0</v>
      </c>
      <c r="CM41">
        <v>0</v>
      </c>
      <c r="CN41">
        <v>0</v>
      </c>
      <c r="CO41">
        <v>0</v>
      </c>
      <c r="CP41">
        <v>0</v>
      </c>
      <c r="CQ41">
        <v>0</v>
      </c>
      <c r="CR41" t="s">
        <v>634</v>
      </c>
      <c r="CS41">
        <v>742864</v>
      </c>
      <c r="CT41">
        <v>0</v>
      </c>
      <c r="CU41">
        <v>36</v>
      </c>
      <c r="CV41">
        <v>50160</v>
      </c>
      <c r="CW41">
        <v>238512</v>
      </c>
      <c r="CX41">
        <v>131275</v>
      </c>
      <c r="CY41">
        <v>0</v>
      </c>
      <c r="CZ41">
        <v>8280</v>
      </c>
      <c r="DA41">
        <v>42015</v>
      </c>
      <c r="DB41">
        <v>16688</v>
      </c>
      <c r="DC41">
        <v>44380</v>
      </c>
      <c r="DD41">
        <v>656</v>
      </c>
      <c r="DE41">
        <v>37304</v>
      </c>
      <c r="DF41">
        <v>316818</v>
      </c>
      <c r="DG41">
        <v>27588</v>
      </c>
      <c r="DH41">
        <v>192488</v>
      </c>
      <c r="DI41">
        <v>0</v>
      </c>
      <c r="DJ41">
        <v>210863</v>
      </c>
      <c r="DK41">
        <v>27008</v>
      </c>
      <c r="DL41">
        <v>128232</v>
      </c>
      <c r="DM41">
        <v>103264</v>
      </c>
      <c r="DN41">
        <v>13704</v>
      </c>
      <c r="DO41">
        <v>10608</v>
      </c>
      <c r="DP41">
        <v>1536</v>
      </c>
      <c r="DQ41">
        <v>65520</v>
      </c>
      <c r="DR41">
        <v>131889</v>
      </c>
      <c r="DS41">
        <v>377488</v>
      </c>
      <c r="DT41">
        <v>125576</v>
      </c>
      <c r="DU41">
        <v>0</v>
      </c>
      <c r="DV41">
        <v>148736</v>
      </c>
      <c r="DW41">
        <v>166960</v>
      </c>
      <c r="DX41">
        <v>2617584</v>
      </c>
      <c r="DY41">
        <v>336</v>
      </c>
      <c r="DZ41">
        <v>178607</v>
      </c>
      <c r="EA41">
        <v>543282</v>
      </c>
      <c r="EB41">
        <v>419311</v>
      </c>
      <c r="EC41">
        <v>0</v>
      </c>
      <c r="ED41">
        <v>55214</v>
      </c>
      <c r="EE41">
        <v>304156</v>
      </c>
      <c r="EF41">
        <v>55535</v>
      </c>
      <c r="EG41">
        <v>124451</v>
      </c>
      <c r="EH41">
        <v>22746</v>
      </c>
      <c r="EI41">
        <v>123979</v>
      </c>
      <c r="EJ41">
        <v>810589</v>
      </c>
      <c r="EK41">
        <v>75833</v>
      </c>
      <c r="EL41">
        <v>1069965</v>
      </c>
      <c r="EM41">
        <v>0</v>
      </c>
      <c r="EN41">
        <v>772186</v>
      </c>
      <c r="EO41">
        <v>205323</v>
      </c>
      <c r="EP41">
        <v>238486</v>
      </c>
      <c r="EQ41">
        <v>370659</v>
      </c>
      <c r="ER41">
        <v>41578</v>
      </c>
      <c r="ES41">
        <v>47356</v>
      </c>
      <c r="ET41">
        <v>5144</v>
      </c>
      <c r="EU41">
        <v>242592</v>
      </c>
      <c r="EV41">
        <v>329456</v>
      </c>
      <c r="EW41">
        <v>972845</v>
      </c>
      <c r="EX41">
        <v>458808</v>
      </c>
      <c r="EY41">
        <v>0</v>
      </c>
      <c r="EZ41">
        <v>530712</v>
      </c>
      <c r="FA41">
        <v>425208</v>
      </c>
      <c r="FB41">
        <v>8424357</v>
      </c>
      <c r="FC41">
        <v>0</v>
      </c>
      <c r="FD41">
        <v>0</v>
      </c>
      <c r="FE41">
        <v>19479</v>
      </c>
      <c r="FF41">
        <v>0</v>
      </c>
      <c r="FG41">
        <v>0</v>
      </c>
      <c r="FH41">
        <v>0</v>
      </c>
      <c r="FI41">
        <v>49586</v>
      </c>
      <c r="FJ41">
        <v>0</v>
      </c>
      <c r="FK41">
        <v>0</v>
      </c>
      <c r="FL41">
        <v>0</v>
      </c>
      <c r="FM41">
        <v>0</v>
      </c>
      <c r="FN41">
        <v>9281</v>
      </c>
      <c r="FO41">
        <v>0</v>
      </c>
      <c r="FP41">
        <v>83665</v>
      </c>
      <c r="FQ41">
        <v>0</v>
      </c>
      <c r="FR41">
        <v>179</v>
      </c>
      <c r="FS41">
        <v>0</v>
      </c>
      <c r="FT41">
        <v>7744</v>
      </c>
      <c r="FU41">
        <v>7308</v>
      </c>
      <c r="FV41">
        <v>0</v>
      </c>
      <c r="FW41">
        <v>0</v>
      </c>
      <c r="FX41">
        <v>0</v>
      </c>
      <c r="FY41">
        <v>8327</v>
      </c>
      <c r="FZ41">
        <v>88920</v>
      </c>
      <c r="GA41">
        <v>0</v>
      </c>
      <c r="GB41">
        <v>26017</v>
      </c>
      <c r="GC41">
        <v>0</v>
      </c>
      <c r="GD41">
        <v>11908</v>
      </c>
      <c r="GE41">
        <v>7471</v>
      </c>
      <c r="GF41">
        <v>319885</v>
      </c>
      <c r="GG41">
        <v>29</v>
      </c>
      <c r="GH41">
        <v>15173</v>
      </c>
      <c r="GI41">
        <v>47809</v>
      </c>
      <c r="GJ41">
        <v>35622</v>
      </c>
      <c r="GK41">
        <v>0</v>
      </c>
      <c r="GL41">
        <v>4691</v>
      </c>
      <c r="GM41">
        <v>30052</v>
      </c>
      <c r="GN41">
        <v>4718</v>
      </c>
      <c r="GO41">
        <v>10573</v>
      </c>
      <c r="GP41">
        <v>1932</v>
      </c>
      <c r="GQ41">
        <v>10533</v>
      </c>
      <c r="GR41">
        <v>69652</v>
      </c>
      <c r="GS41">
        <v>6442</v>
      </c>
      <c r="GT41">
        <v>98006</v>
      </c>
      <c r="GU41">
        <v>0</v>
      </c>
      <c r="GV41">
        <v>65616</v>
      </c>
      <c r="GW41">
        <v>17443</v>
      </c>
      <c r="GX41">
        <v>20918</v>
      </c>
      <c r="GY41">
        <v>32110</v>
      </c>
      <c r="GZ41">
        <v>3532</v>
      </c>
      <c r="HA41">
        <v>4023</v>
      </c>
      <c r="HB41">
        <v>437</v>
      </c>
      <c r="HC41">
        <v>21317</v>
      </c>
      <c r="HD41">
        <v>35543</v>
      </c>
      <c r="HE41">
        <v>82648</v>
      </c>
      <c r="HF41">
        <v>41188</v>
      </c>
      <c r="HG41">
        <v>0</v>
      </c>
      <c r="HH41">
        <v>46098</v>
      </c>
      <c r="HI41">
        <v>36758</v>
      </c>
      <c r="HJ41">
        <v>742864</v>
      </c>
      <c r="HK41">
        <v>71</v>
      </c>
      <c r="HL41">
        <v>57754</v>
      </c>
      <c r="HM41">
        <v>54665</v>
      </c>
      <c r="HN41">
        <v>18683</v>
      </c>
      <c r="HO41">
        <v>0</v>
      </c>
      <c r="HP41">
        <v>4670</v>
      </c>
      <c r="HQ41">
        <v>12792</v>
      </c>
      <c r="HR41">
        <v>2959</v>
      </c>
      <c r="HS41">
        <v>55455</v>
      </c>
      <c r="HT41">
        <v>704</v>
      </c>
      <c r="HU41">
        <v>6958</v>
      </c>
      <c r="HV41">
        <v>29686</v>
      </c>
      <c r="HW41">
        <v>1807</v>
      </c>
      <c r="HX41">
        <v>267360</v>
      </c>
      <c r="HY41">
        <v>0</v>
      </c>
      <c r="HZ41">
        <v>53468</v>
      </c>
      <c r="IA41">
        <v>4660</v>
      </c>
      <c r="IB41">
        <v>67379</v>
      </c>
      <c r="IC41">
        <v>10413</v>
      </c>
      <c r="ID41">
        <v>6612</v>
      </c>
      <c r="IE41">
        <v>8928</v>
      </c>
      <c r="IF41">
        <v>204</v>
      </c>
      <c r="IG41">
        <v>58093</v>
      </c>
      <c r="IH41">
        <v>75420</v>
      </c>
      <c r="II41">
        <v>41177</v>
      </c>
      <c r="IJ41">
        <v>94732</v>
      </c>
      <c r="IK41">
        <v>0</v>
      </c>
      <c r="IL41">
        <v>16781</v>
      </c>
      <c r="IM41">
        <v>13678</v>
      </c>
      <c r="IN41">
        <v>965109</v>
      </c>
      <c r="IO41">
        <v>100</v>
      </c>
      <c r="IP41">
        <v>72927</v>
      </c>
      <c r="IQ41">
        <v>121953</v>
      </c>
      <c r="IR41">
        <v>54305</v>
      </c>
      <c r="IS41">
        <v>0</v>
      </c>
      <c r="IT41">
        <v>9361</v>
      </c>
      <c r="IU41">
        <v>92430</v>
      </c>
      <c r="IV41">
        <v>7677</v>
      </c>
      <c r="IW41">
        <v>66028</v>
      </c>
      <c r="IX41">
        <v>2636</v>
      </c>
      <c r="IY41">
        <v>17491</v>
      </c>
      <c r="IZ41">
        <v>108619</v>
      </c>
      <c r="JA41">
        <v>8249</v>
      </c>
      <c r="JB41">
        <v>449031</v>
      </c>
      <c r="JC41">
        <v>0</v>
      </c>
      <c r="JD41">
        <v>119263</v>
      </c>
      <c r="JE41">
        <v>22103</v>
      </c>
      <c r="JF41">
        <v>96041</v>
      </c>
      <c r="JG41">
        <v>49831</v>
      </c>
      <c r="JH41">
        <v>10144</v>
      </c>
      <c r="JI41">
        <v>12951</v>
      </c>
      <c r="JJ41">
        <v>641</v>
      </c>
      <c r="JK41">
        <v>87737</v>
      </c>
      <c r="JL41">
        <v>199883</v>
      </c>
      <c r="JM41">
        <v>123825</v>
      </c>
      <c r="JN41">
        <v>161937</v>
      </c>
      <c r="JO41">
        <v>0</v>
      </c>
      <c r="JP41">
        <v>74787</v>
      </c>
      <c r="JQ41">
        <v>57907</v>
      </c>
      <c r="JR41">
        <v>2027858</v>
      </c>
      <c r="JS41">
        <v>436</v>
      </c>
      <c r="JT41">
        <v>251534</v>
      </c>
      <c r="JU41">
        <v>665235</v>
      </c>
      <c r="JV41">
        <v>473616</v>
      </c>
      <c r="JW41">
        <v>0</v>
      </c>
      <c r="JX41">
        <v>64575</v>
      </c>
      <c r="JY41">
        <v>396586</v>
      </c>
      <c r="JZ41">
        <v>63212</v>
      </c>
      <c r="KA41">
        <v>190479</v>
      </c>
      <c r="KB41">
        <v>25382</v>
      </c>
      <c r="KC41">
        <v>141470</v>
      </c>
      <c r="KD41">
        <v>919208</v>
      </c>
      <c r="KE41">
        <v>84082</v>
      </c>
      <c r="KF41">
        <v>1518996</v>
      </c>
      <c r="KG41">
        <v>0</v>
      </c>
      <c r="KH41">
        <v>891449</v>
      </c>
      <c r="KI41">
        <v>227426</v>
      </c>
      <c r="KJ41">
        <v>334527</v>
      </c>
      <c r="KK41">
        <v>420490</v>
      </c>
      <c r="KL41">
        <v>51722</v>
      </c>
      <c r="KM41">
        <v>60307</v>
      </c>
      <c r="KN41">
        <v>5785</v>
      </c>
      <c r="KO41">
        <v>330329</v>
      </c>
      <c r="KP41">
        <v>529339</v>
      </c>
      <c r="KQ41">
        <v>1096670</v>
      </c>
      <c r="KR41">
        <v>620745</v>
      </c>
      <c r="KS41">
        <v>0</v>
      </c>
      <c r="KT41">
        <v>605499</v>
      </c>
      <c r="KU41">
        <v>483115</v>
      </c>
      <c r="KV41">
        <v>10452215</v>
      </c>
      <c r="KW41" t="s">
        <v>359</v>
      </c>
      <c r="KX41">
        <v>16490785</v>
      </c>
      <c r="KY41">
        <v>2345594</v>
      </c>
      <c r="KZ41">
        <v>18836379</v>
      </c>
      <c r="LA41">
        <v>0</v>
      </c>
      <c r="LB41">
        <v>440573</v>
      </c>
    </row>
    <row r="42" spans="1:314" x14ac:dyDescent="0.25">
      <c r="A42" t="s">
        <v>642</v>
      </c>
      <c r="B42" t="s">
        <v>643</v>
      </c>
      <c r="C42" t="s">
        <v>352</v>
      </c>
      <c r="D42" t="s">
        <v>644</v>
      </c>
      <c r="E42" s="2">
        <v>40941.334745370368</v>
      </c>
      <c r="G42" t="s">
        <v>645</v>
      </c>
      <c r="H42" t="s">
        <v>646</v>
      </c>
      <c r="I42" t="s">
        <v>647</v>
      </c>
      <c r="J42" t="s">
        <v>648</v>
      </c>
      <c r="K42" t="s">
        <v>649</v>
      </c>
      <c r="L42">
        <v>0</v>
      </c>
      <c r="M42">
        <v>0</v>
      </c>
      <c r="N42">
        <v>0</v>
      </c>
      <c r="O42">
        <v>14306223</v>
      </c>
      <c r="P42">
        <v>0</v>
      </c>
      <c r="Q42">
        <v>536992</v>
      </c>
      <c r="R42">
        <v>0</v>
      </c>
      <c r="S42">
        <v>536992</v>
      </c>
      <c r="T42">
        <v>1517089</v>
      </c>
      <c r="U42">
        <v>1172335</v>
      </c>
      <c r="V42">
        <v>949505</v>
      </c>
      <c r="W42">
        <v>0</v>
      </c>
      <c r="X42">
        <v>0</v>
      </c>
      <c r="Y42">
        <v>0</v>
      </c>
      <c r="Z42">
        <v>3638929</v>
      </c>
      <c r="AA42">
        <v>1825652</v>
      </c>
      <c r="AB42">
        <v>204664</v>
      </c>
      <c r="AC42">
        <v>142844</v>
      </c>
      <c r="AD42">
        <v>0</v>
      </c>
      <c r="AE42">
        <v>0</v>
      </c>
      <c r="AF42">
        <v>336012</v>
      </c>
      <c r="AG42">
        <v>2509172</v>
      </c>
      <c r="AH42">
        <v>3342741</v>
      </c>
      <c r="AI42">
        <v>1376999</v>
      </c>
      <c r="AJ42">
        <v>1092349</v>
      </c>
      <c r="AK42">
        <v>0</v>
      </c>
      <c r="AL42">
        <v>0</v>
      </c>
      <c r="AM42">
        <v>336012</v>
      </c>
      <c r="AN42">
        <v>6148101</v>
      </c>
      <c r="AO42">
        <v>18390</v>
      </c>
      <c r="AP42">
        <v>0</v>
      </c>
      <c r="AQ42">
        <v>0</v>
      </c>
      <c r="AR42">
        <v>0</v>
      </c>
      <c r="AS42">
        <v>18390</v>
      </c>
      <c r="AT42">
        <v>55749</v>
      </c>
      <c r="AU42">
        <v>0</v>
      </c>
      <c r="AV42">
        <v>0</v>
      </c>
      <c r="AW42">
        <v>0</v>
      </c>
      <c r="AX42">
        <v>55749</v>
      </c>
      <c r="AY42">
        <v>74139</v>
      </c>
      <c r="AZ42">
        <v>0</v>
      </c>
      <c r="BA42">
        <v>0</v>
      </c>
      <c r="BB42">
        <v>0</v>
      </c>
      <c r="BC42">
        <v>74139</v>
      </c>
      <c r="BD42">
        <v>412864</v>
      </c>
      <c r="BE42">
        <v>0</v>
      </c>
      <c r="BF42">
        <v>0</v>
      </c>
      <c r="BG42">
        <v>0</v>
      </c>
      <c r="BH42">
        <v>0</v>
      </c>
      <c r="BI42">
        <v>412864</v>
      </c>
      <c r="BJ42">
        <v>0</v>
      </c>
      <c r="BK42">
        <v>0</v>
      </c>
      <c r="BL42">
        <v>175145</v>
      </c>
      <c r="BM42">
        <v>0</v>
      </c>
      <c r="BN42">
        <v>0</v>
      </c>
      <c r="BO42">
        <v>175145</v>
      </c>
      <c r="BP42">
        <v>1806073</v>
      </c>
      <c r="BQ42">
        <v>0</v>
      </c>
      <c r="BR42">
        <v>0</v>
      </c>
      <c r="BS42">
        <v>0</v>
      </c>
      <c r="BT42">
        <v>0</v>
      </c>
      <c r="BU42">
        <v>1806073</v>
      </c>
      <c r="BV42">
        <v>2218937</v>
      </c>
      <c r="BW42">
        <v>0</v>
      </c>
      <c r="BX42">
        <v>175145</v>
      </c>
      <c r="BY42">
        <v>0</v>
      </c>
      <c r="BZ42">
        <v>0</v>
      </c>
      <c r="CA42">
        <v>2394082</v>
      </c>
      <c r="CB42">
        <v>0</v>
      </c>
      <c r="CC42">
        <v>0</v>
      </c>
      <c r="CD42">
        <v>0</v>
      </c>
      <c r="CE42">
        <v>0</v>
      </c>
      <c r="CF42">
        <v>0</v>
      </c>
      <c r="CG42">
        <v>0</v>
      </c>
      <c r="CH42">
        <v>0</v>
      </c>
      <c r="CI42">
        <v>0</v>
      </c>
      <c r="CJ42">
        <v>0</v>
      </c>
      <c r="CK42">
        <v>0</v>
      </c>
      <c r="CL42">
        <v>0</v>
      </c>
      <c r="CM42">
        <v>0</v>
      </c>
      <c r="CN42">
        <v>0</v>
      </c>
      <c r="CO42">
        <v>0</v>
      </c>
      <c r="CP42">
        <v>0</v>
      </c>
      <c r="CQ42">
        <v>0</v>
      </c>
      <c r="CR42" t="s">
        <v>642</v>
      </c>
      <c r="CS42">
        <v>457450</v>
      </c>
      <c r="CT42">
        <v>0</v>
      </c>
      <c r="CU42">
        <v>18240</v>
      </c>
      <c r="CV42">
        <v>29184</v>
      </c>
      <c r="CW42">
        <v>137040</v>
      </c>
      <c r="CX42">
        <v>43096</v>
      </c>
      <c r="CY42">
        <v>0</v>
      </c>
      <c r="CZ42">
        <v>0</v>
      </c>
      <c r="DA42">
        <v>14449</v>
      </c>
      <c r="DB42">
        <v>1344</v>
      </c>
      <c r="DC42">
        <v>31616</v>
      </c>
      <c r="DD42">
        <v>0</v>
      </c>
      <c r="DE42">
        <v>33216</v>
      </c>
      <c r="DF42">
        <v>115632</v>
      </c>
      <c r="DG42">
        <v>8192</v>
      </c>
      <c r="DH42">
        <v>82644</v>
      </c>
      <c r="DI42">
        <v>0</v>
      </c>
      <c r="DJ42">
        <v>167399</v>
      </c>
      <c r="DK42">
        <v>0</v>
      </c>
      <c r="DL42">
        <v>37552</v>
      </c>
      <c r="DM42">
        <v>44720</v>
      </c>
      <c r="DN42">
        <v>40</v>
      </c>
      <c r="DO42">
        <v>700</v>
      </c>
      <c r="DP42">
        <v>0</v>
      </c>
      <c r="DQ42">
        <v>28208</v>
      </c>
      <c r="DR42">
        <v>23760</v>
      </c>
      <c r="DS42">
        <v>145056</v>
      </c>
      <c r="DT42">
        <v>49040</v>
      </c>
      <c r="DU42">
        <v>0</v>
      </c>
      <c r="DV42">
        <v>85216</v>
      </c>
      <c r="DW42">
        <v>35392</v>
      </c>
      <c r="DX42">
        <v>1131736</v>
      </c>
      <c r="DY42">
        <v>40903</v>
      </c>
      <c r="DZ42">
        <v>95412</v>
      </c>
      <c r="EA42">
        <v>488077</v>
      </c>
      <c r="EB42">
        <v>164329</v>
      </c>
      <c r="EC42">
        <v>0</v>
      </c>
      <c r="ED42">
        <v>0</v>
      </c>
      <c r="EE42">
        <v>62992</v>
      </c>
      <c r="EF42">
        <v>7875</v>
      </c>
      <c r="EG42">
        <v>71278</v>
      </c>
      <c r="EH42">
        <v>0</v>
      </c>
      <c r="EI42">
        <v>48389</v>
      </c>
      <c r="EJ42">
        <v>314807</v>
      </c>
      <c r="EK42">
        <v>8694</v>
      </c>
      <c r="EL42">
        <v>615674</v>
      </c>
      <c r="EM42">
        <v>0</v>
      </c>
      <c r="EN42">
        <v>727458</v>
      </c>
      <c r="EO42">
        <v>0</v>
      </c>
      <c r="EP42">
        <v>184404</v>
      </c>
      <c r="EQ42">
        <v>163696</v>
      </c>
      <c r="ER42">
        <v>500</v>
      </c>
      <c r="ES42">
        <v>1000</v>
      </c>
      <c r="ET42">
        <v>0</v>
      </c>
      <c r="EU42">
        <v>89581</v>
      </c>
      <c r="EV42">
        <v>70033</v>
      </c>
      <c r="EW42">
        <v>429910</v>
      </c>
      <c r="EX42">
        <v>198237</v>
      </c>
      <c r="EY42">
        <v>0</v>
      </c>
      <c r="EZ42">
        <v>162299</v>
      </c>
      <c r="FA42">
        <v>182322</v>
      </c>
      <c r="FB42">
        <v>4127870</v>
      </c>
      <c r="FC42">
        <v>0</v>
      </c>
      <c r="FD42">
        <v>30840</v>
      </c>
      <c r="FE42">
        <v>7980</v>
      </c>
      <c r="FF42">
        <v>0</v>
      </c>
      <c r="FG42">
        <v>0</v>
      </c>
      <c r="FH42">
        <v>0</v>
      </c>
      <c r="FI42">
        <v>0</v>
      </c>
      <c r="FJ42">
        <v>0</v>
      </c>
      <c r="FK42">
        <v>0</v>
      </c>
      <c r="FL42">
        <v>0</v>
      </c>
      <c r="FM42">
        <v>0</v>
      </c>
      <c r="FN42">
        <v>0</v>
      </c>
      <c r="FO42">
        <v>0</v>
      </c>
      <c r="FP42">
        <v>127503</v>
      </c>
      <c r="FQ42">
        <v>0</v>
      </c>
      <c r="FR42">
        <v>31590</v>
      </c>
      <c r="FS42">
        <v>0</v>
      </c>
      <c r="FT42">
        <v>0</v>
      </c>
      <c r="FU42">
        <v>0</v>
      </c>
      <c r="FV42">
        <v>0</v>
      </c>
      <c r="FW42">
        <v>0</v>
      </c>
      <c r="FX42">
        <v>0</v>
      </c>
      <c r="FY42">
        <v>96279</v>
      </c>
      <c r="FZ42">
        <v>18544</v>
      </c>
      <c r="GA42">
        <v>0</v>
      </c>
      <c r="GB42">
        <v>4008</v>
      </c>
      <c r="GC42">
        <v>0</v>
      </c>
      <c r="GD42">
        <v>600</v>
      </c>
      <c r="GE42">
        <v>9695</v>
      </c>
      <c r="GF42">
        <v>327039</v>
      </c>
      <c r="GG42">
        <v>4200</v>
      </c>
      <c r="GH42">
        <v>12964</v>
      </c>
      <c r="GI42">
        <v>50937</v>
      </c>
      <c r="GJ42">
        <v>16874</v>
      </c>
      <c r="GK42">
        <v>0</v>
      </c>
      <c r="GL42">
        <v>0</v>
      </c>
      <c r="GM42">
        <v>6468</v>
      </c>
      <c r="GN42">
        <v>809</v>
      </c>
      <c r="GO42">
        <v>7319</v>
      </c>
      <c r="GP42">
        <v>0</v>
      </c>
      <c r="GQ42">
        <v>4969</v>
      </c>
      <c r="GR42">
        <v>32326</v>
      </c>
      <c r="GS42">
        <v>893</v>
      </c>
      <c r="GT42">
        <v>76313</v>
      </c>
      <c r="GU42">
        <v>0</v>
      </c>
      <c r="GV42">
        <v>77942</v>
      </c>
      <c r="GW42">
        <v>0</v>
      </c>
      <c r="GX42">
        <v>18935</v>
      </c>
      <c r="GY42">
        <v>16809</v>
      </c>
      <c r="GZ42">
        <v>51</v>
      </c>
      <c r="HA42">
        <v>103</v>
      </c>
      <c r="HB42">
        <v>0</v>
      </c>
      <c r="HC42">
        <v>19085</v>
      </c>
      <c r="HD42">
        <v>9095</v>
      </c>
      <c r="HE42">
        <v>44145</v>
      </c>
      <c r="HF42">
        <v>20767</v>
      </c>
      <c r="HG42">
        <v>0</v>
      </c>
      <c r="HH42">
        <v>16727</v>
      </c>
      <c r="HI42">
        <v>19717</v>
      </c>
      <c r="HJ42">
        <v>457450</v>
      </c>
      <c r="HK42">
        <v>15029</v>
      </c>
      <c r="HL42">
        <v>28519</v>
      </c>
      <c r="HM42">
        <v>28392</v>
      </c>
      <c r="HN42">
        <v>6400</v>
      </c>
      <c r="HO42">
        <v>0</v>
      </c>
      <c r="HP42">
        <v>0</v>
      </c>
      <c r="HQ42">
        <v>37261</v>
      </c>
      <c r="HR42">
        <v>15195</v>
      </c>
      <c r="HS42">
        <v>33009</v>
      </c>
      <c r="HT42">
        <v>0</v>
      </c>
      <c r="HU42">
        <v>46918</v>
      </c>
      <c r="HV42">
        <v>48164</v>
      </c>
      <c r="HW42">
        <v>806</v>
      </c>
      <c r="HX42">
        <v>82520</v>
      </c>
      <c r="HY42">
        <v>0</v>
      </c>
      <c r="HZ42">
        <v>91161</v>
      </c>
      <c r="IA42">
        <v>0</v>
      </c>
      <c r="IB42">
        <v>21855</v>
      </c>
      <c r="IC42">
        <v>42773</v>
      </c>
      <c r="ID42">
        <v>459</v>
      </c>
      <c r="IE42">
        <v>1360</v>
      </c>
      <c r="IF42">
        <v>0</v>
      </c>
      <c r="IG42">
        <v>12644</v>
      </c>
      <c r="IH42">
        <v>16430</v>
      </c>
      <c r="II42">
        <v>19017</v>
      </c>
      <c r="IJ42">
        <v>17470</v>
      </c>
      <c r="IK42">
        <v>0</v>
      </c>
      <c r="IL42">
        <v>4550</v>
      </c>
      <c r="IM42">
        <v>6630</v>
      </c>
      <c r="IN42">
        <v>576562</v>
      </c>
      <c r="IO42">
        <v>19229</v>
      </c>
      <c r="IP42">
        <v>72323</v>
      </c>
      <c r="IQ42">
        <v>87309</v>
      </c>
      <c r="IR42">
        <v>23274</v>
      </c>
      <c r="IS42">
        <v>0</v>
      </c>
      <c r="IT42">
        <v>0</v>
      </c>
      <c r="IU42">
        <v>43729</v>
      </c>
      <c r="IV42">
        <v>16004</v>
      </c>
      <c r="IW42">
        <v>40328</v>
      </c>
      <c r="IX42">
        <v>0</v>
      </c>
      <c r="IY42">
        <v>51887</v>
      </c>
      <c r="IZ42">
        <v>80490</v>
      </c>
      <c r="JA42">
        <v>1699</v>
      </c>
      <c r="JB42">
        <v>286336</v>
      </c>
      <c r="JC42">
        <v>0</v>
      </c>
      <c r="JD42">
        <v>200693</v>
      </c>
      <c r="JE42">
        <v>0</v>
      </c>
      <c r="JF42">
        <v>40790</v>
      </c>
      <c r="JG42">
        <v>59582</v>
      </c>
      <c r="JH42">
        <v>510</v>
      </c>
      <c r="JI42">
        <v>1463</v>
      </c>
      <c r="JJ42">
        <v>0</v>
      </c>
      <c r="JK42">
        <v>128008</v>
      </c>
      <c r="JL42">
        <v>44069</v>
      </c>
      <c r="JM42">
        <v>63162</v>
      </c>
      <c r="JN42">
        <v>42245</v>
      </c>
      <c r="JO42">
        <v>0</v>
      </c>
      <c r="JP42">
        <v>21877</v>
      </c>
      <c r="JQ42">
        <v>36042</v>
      </c>
      <c r="JR42">
        <v>1361051</v>
      </c>
      <c r="JS42">
        <v>60132</v>
      </c>
      <c r="JT42">
        <v>167735</v>
      </c>
      <c r="JU42">
        <v>575386</v>
      </c>
      <c r="JV42">
        <v>187603</v>
      </c>
      <c r="JW42">
        <v>0</v>
      </c>
      <c r="JX42">
        <v>0</v>
      </c>
      <c r="JY42">
        <v>106721</v>
      </c>
      <c r="JZ42">
        <v>23879</v>
      </c>
      <c r="KA42">
        <v>111606</v>
      </c>
      <c r="KB42">
        <v>0</v>
      </c>
      <c r="KC42">
        <v>100276</v>
      </c>
      <c r="KD42">
        <v>395297</v>
      </c>
      <c r="KE42">
        <v>10393</v>
      </c>
      <c r="KF42">
        <v>902010</v>
      </c>
      <c r="KG42">
        <v>0</v>
      </c>
      <c r="KH42">
        <v>928151</v>
      </c>
      <c r="KI42">
        <v>0</v>
      </c>
      <c r="KJ42">
        <v>225194</v>
      </c>
      <c r="KK42">
        <v>223278</v>
      </c>
      <c r="KL42">
        <v>1010</v>
      </c>
      <c r="KM42">
        <v>2463</v>
      </c>
      <c r="KN42">
        <v>0</v>
      </c>
      <c r="KO42">
        <v>217589</v>
      </c>
      <c r="KP42">
        <v>114102</v>
      </c>
      <c r="KQ42">
        <v>493072</v>
      </c>
      <c r="KR42">
        <v>240482</v>
      </c>
      <c r="KS42">
        <v>0</v>
      </c>
      <c r="KT42">
        <v>184176</v>
      </c>
      <c r="KU42">
        <v>218364</v>
      </c>
      <c r="KV42">
        <v>5488921</v>
      </c>
      <c r="KW42" t="s">
        <v>359</v>
      </c>
      <c r="KX42">
        <v>12174014</v>
      </c>
      <c r="KY42">
        <v>2468221</v>
      </c>
      <c r="KZ42">
        <v>14642235</v>
      </c>
      <c r="LA42">
        <v>0</v>
      </c>
      <c r="LB42">
        <v>336012</v>
      </c>
    </row>
    <row r="43" spans="1:314" ht="15" customHeight="1" x14ac:dyDescent="0.25">
      <c r="A43" t="s">
        <v>650</v>
      </c>
      <c r="B43" t="s">
        <v>651</v>
      </c>
      <c r="E43" s="2">
        <v>40541.445034722223</v>
      </c>
      <c r="G43" t="s">
        <v>652</v>
      </c>
      <c r="H43" t="s">
        <v>653</v>
      </c>
      <c r="I43" t="s">
        <v>654</v>
      </c>
      <c r="J43" t="s">
        <v>655</v>
      </c>
      <c r="K43" t="s">
        <v>656</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t="s">
        <v>650</v>
      </c>
      <c r="CS43">
        <v>0</v>
      </c>
      <c r="CT43">
        <v>0</v>
      </c>
      <c r="CU43">
        <v>2226</v>
      </c>
      <c r="CV43">
        <v>74575</v>
      </c>
      <c r="CW43">
        <v>335032</v>
      </c>
      <c r="CX43">
        <v>96344</v>
      </c>
      <c r="CY43">
        <v>0</v>
      </c>
      <c r="CZ43">
        <v>1472</v>
      </c>
      <c r="DA43">
        <v>58083</v>
      </c>
      <c r="DB43">
        <v>7416</v>
      </c>
      <c r="DC43">
        <v>121752</v>
      </c>
      <c r="DD43">
        <v>0</v>
      </c>
      <c r="DE43">
        <v>49981</v>
      </c>
      <c r="DF43">
        <v>196080</v>
      </c>
      <c r="DG43">
        <v>14598</v>
      </c>
      <c r="DH43">
        <v>129548</v>
      </c>
      <c r="DI43">
        <v>0</v>
      </c>
      <c r="DJ43">
        <v>115720</v>
      </c>
      <c r="DK43">
        <v>0</v>
      </c>
      <c r="DL43">
        <v>29280</v>
      </c>
      <c r="DM43">
        <v>76664</v>
      </c>
      <c r="DN43">
        <v>0</v>
      </c>
      <c r="DO43">
        <v>0</v>
      </c>
      <c r="DP43">
        <v>12258</v>
      </c>
      <c r="DQ43">
        <v>39744</v>
      </c>
      <c r="DR43">
        <v>98442</v>
      </c>
      <c r="DS43">
        <v>327696</v>
      </c>
      <c r="DT43">
        <v>84480</v>
      </c>
      <c r="DU43">
        <v>0</v>
      </c>
      <c r="DV43">
        <v>214272</v>
      </c>
      <c r="DW43">
        <v>77760</v>
      </c>
      <c r="DX43">
        <v>2163423</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P43">
        <v>0</v>
      </c>
      <c r="IQ43">
        <v>0</v>
      </c>
      <c r="IR43">
        <v>0</v>
      </c>
      <c r="IS43">
        <v>0</v>
      </c>
      <c r="IT43">
        <v>0</v>
      </c>
      <c r="IU43">
        <v>0</v>
      </c>
      <c r="IV43">
        <v>0</v>
      </c>
      <c r="IW43">
        <v>0</v>
      </c>
      <c r="IX43">
        <v>0</v>
      </c>
      <c r="IY43">
        <v>0</v>
      </c>
      <c r="IZ43">
        <v>0</v>
      </c>
      <c r="JA43">
        <v>0</v>
      </c>
      <c r="JB43">
        <v>0</v>
      </c>
      <c r="JC43">
        <v>0</v>
      </c>
      <c r="JD43">
        <v>0</v>
      </c>
      <c r="JE43">
        <v>0</v>
      </c>
      <c r="JF43">
        <v>0</v>
      </c>
      <c r="JG43">
        <v>0</v>
      </c>
      <c r="JH43">
        <v>0</v>
      </c>
      <c r="JI43">
        <v>0</v>
      </c>
      <c r="JJ43">
        <v>0</v>
      </c>
      <c r="JK43">
        <v>0</v>
      </c>
      <c r="JL43">
        <v>0</v>
      </c>
      <c r="JM43">
        <v>0</v>
      </c>
      <c r="JN43">
        <v>0</v>
      </c>
      <c r="JO43">
        <v>0</v>
      </c>
      <c r="JP43">
        <v>0</v>
      </c>
      <c r="JQ43">
        <v>0</v>
      </c>
      <c r="JR43">
        <v>0</v>
      </c>
      <c r="JS43">
        <v>0</v>
      </c>
      <c r="JT43">
        <v>0</v>
      </c>
      <c r="JU43">
        <v>0</v>
      </c>
      <c r="JV43">
        <v>0</v>
      </c>
      <c r="JW43">
        <v>0</v>
      </c>
      <c r="JX43">
        <v>0</v>
      </c>
      <c r="JY43">
        <v>0</v>
      </c>
      <c r="JZ43">
        <v>0</v>
      </c>
      <c r="KA43">
        <v>0</v>
      </c>
      <c r="KB43">
        <v>0</v>
      </c>
      <c r="KC43">
        <v>0</v>
      </c>
      <c r="KD43">
        <v>0</v>
      </c>
      <c r="KE43">
        <v>0</v>
      </c>
      <c r="KF43">
        <v>0</v>
      </c>
      <c r="KG43">
        <v>0</v>
      </c>
      <c r="KH43">
        <v>0</v>
      </c>
      <c r="KI43">
        <v>0</v>
      </c>
      <c r="KJ43">
        <v>0</v>
      </c>
      <c r="KK43">
        <v>0</v>
      </c>
      <c r="KL43">
        <v>0</v>
      </c>
      <c r="KM43">
        <v>0</v>
      </c>
      <c r="KN43">
        <v>0</v>
      </c>
      <c r="KO43">
        <v>0</v>
      </c>
      <c r="KP43">
        <v>0</v>
      </c>
      <c r="KQ43">
        <v>0</v>
      </c>
      <c r="KR43">
        <v>0</v>
      </c>
      <c r="KS43">
        <v>0</v>
      </c>
      <c r="KT43">
        <v>0</v>
      </c>
      <c r="KU43">
        <v>0</v>
      </c>
      <c r="KV43">
        <v>0</v>
      </c>
      <c r="KW43" t="s">
        <v>359</v>
      </c>
      <c r="KX43">
        <v>0</v>
      </c>
      <c r="KY43">
        <v>0</v>
      </c>
      <c r="KZ43">
        <v>0</v>
      </c>
      <c r="LA43">
        <v>0</v>
      </c>
      <c r="LB43">
        <v>0</v>
      </c>
    </row>
    <row r="44" spans="1:314" x14ac:dyDescent="0.25">
      <c r="A44" t="s">
        <v>657</v>
      </c>
      <c r="B44" t="s">
        <v>658</v>
      </c>
      <c r="C44" t="s">
        <v>352</v>
      </c>
      <c r="D44" t="s">
        <v>659</v>
      </c>
      <c r="E44" s="2">
        <v>40925.395370370374</v>
      </c>
      <c r="G44" t="s">
        <v>660</v>
      </c>
      <c r="H44" t="s">
        <v>661</v>
      </c>
      <c r="I44" t="s">
        <v>662</v>
      </c>
      <c r="J44" t="s">
        <v>663</v>
      </c>
      <c r="K44" t="s">
        <v>664</v>
      </c>
      <c r="L44">
        <v>0</v>
      </c>
      <c r="M44">
        <v>0</v>
      </c>
      <c r="N44">
        <v>0</v>
      </c>
      <c r="O44">
        <v>24562466</v>
      </c>
      <c r="P44">
        <v>0</v>
      </c>
      <c r="Q44">
        <v>375178</v>
      </c>
      <c r="R44">
        <v>0</v>
      </c>
      <c r="S44">
        <v>375178</v>
      </c>
      <c r="T44">
        <v>2909746</v>
      </c>
      <c r="U44">
        <v>1529969</v>
      </c>
      <c r="V44">
        <v>743875</v>
      </c>
      <c r="W44">
        <v>0</v>
      </c>
      <c r="X44">
        <v>3580</v>
      </c>
      <c r="Y44">
        <v>0</v>
      </c>
      <c r="Z44">
        <v>5187170</v>
      </c>
      <c r="AA44">
        <v>1431103</v>
      </c>
      <c r="AB44">
        <v>316892</v>
      </c>
      <c r="AC44">
        <v>839478</v>
      </c>
      <c r="AD44">
        <v>0</v>
      </c>
      <c r="AE44">
        <v>280230</v>
      </c>
      <c r="AF44">
        <v>116508</v>
      </c>
      <c r="AG44">
        <v>2984211</v>
      </c>
      <c r="AH44">
        <v>4340849</v>
      </c>
      <c r="AI44">
        <v>1846861</v>
      </c>
      <c r="AJ44">
        <v>1583353</v>
      </c>
      <c r="AK44">
        <v>0</v>
      </c>
      <c r="AL44">
        <v>283810</v>
      </c>
      <c r="AM44">
        <v>116508</v>
      </c>
      <c r="AN44">
        <v>8171381</v>
      </c>
      <c r="AO44">
        <v>64306</v>
      </c>
      <c r="AP44">
        <v>0</v>
      </c>
      <c r="AQ44">
        <v>0</v>
      </c>
      <c r="AR44">
        <v>0</v>
      </c>
      <c r="AS44">
        <v>64306</v>
      </c>
      <c r="AT44">
        <v>1667</v>
      </c>
      <c r="AU44">
        <v>0</v>
      </c>
      <c r="AV44">
        <v>0</v>
      </c>
      <c r="AW44">
        <v>0</v>
      </c>
      <c r="AX44">
        <v>1667</v>
      </c>
      <c r="AY44">
        <v>65973</v>
      </c>
      <c r="AZ44">
        <v>0</v>
      </c>
      <c r="BA44">
        <v>0</v>
      </c>
      <c r="BB44">
        <v>0</v>
      </c>
      <c r="BC44">
        <v>65973</v>
      </c>
      <c r="BD44">
        <v>493801</v>
      </c>
      <c r="BE44">
        <v>0</v>
      </c>
      <c r="BF44">
        <v>0</v>
      </c>
      <c r="BG44">
        <v>0</v>
      </c>
      <c r="BH44">
        <v>0</v>
      </c>
      <c r="BI44">
        <v>493801</v>
      </c>
      <c r="BJ44">
        <v>0</v>
      </c>
      <c r="BK44">
        <v>0</v>
      </c>
      <c r="BL44">
        <v>247076</v>
      </c>
      <c r="BM44">
        <v>0</v>
      </c>
      <c r="BN44">
        <v>0</v>
      </c>
      <c r="BO44">
        <v>247076</v>
      </c>
      <c r="BP44">
        <v>2561500</v>
      </c>
      <c r="BQ44">
        <v>0</v>
      </c>
      <c r="BR44">
        <v>0</v>
      </c>
      <c r="BS44">
        <v>0</v>
      </c>
      <c r="BT44">
        <v>208670</v>
      </c>
      <c r="BU44">
        <v>2770170</v>
      </c>
      <c r="BV44">
        <v>3055301</v>
      </c>
      <c r="BW44">
        <v>0</v>
      </c>
      <c r="BX44">
        <v>247076</v>
      </c>
      <c r="BY44">
        <v>0</v>
      </c>
      <c r="BZ44">
        <v>208670</v>
      </c>
      <c r="CA44">
        <v>3511047</v>
      </c>
      <c r="CB44">
        <v>0</v>
      </c>
      <c r="CC44">
        <v>0</v>
      </c>
      <c r="CD44">
        <v>0</v>
      </c>
      <c r="CE44">
        <v>0</v>
      </c>
      <c r="CF44">
        <v>0</v>
      </c>
      <c r="CG44">
        <v>0</v>
      </c>
      <c r="CH44">
        <v>0</v>
      </c>
      <c r="CI44">
        <v>0</v>
      </c>
      <c r="CJ44">
        <v>0</v>
      </c>
      <c r="CK44">
        <v>0</v>
      </c>
      <c r="CL44">
        <v>0</v>
      </c>
      <c r="CM44">
        <v>0</v>
      </c>
      <c r="CN44">
        <v>0</v>
      </c>
      <c r="CO44">
        <v>0</v>
      </c>
      <c r="CP44">
        <v>0</v>
      </c>
      <c r="CQ44">
        <v>0</v>
      </c>
      <c r="CR44" t="s">
        <v>657</v>
      </c>
      <c r="CS44">
        <v>402735</v>
      </c>
      <c r="CT44">
        <v>0</v>
      </c>
      <c r="CU44">
        <v>8256</v>
      </c>
      <c r="CV44">
        <v>76320</v>
      </c>
      <c r="CW44">
        <v>297376</v>
      </c>
      <c r="CX44">
        <v>145424</v>
      </c>
      <c r="CY44">
        <v>0</v>
      </c>
      <c r="CZ44">
        <v>432</v>
      </c>
      <c r="DA44">
        <v>28294</v>
      </c>
      <c r="DB44">
        <v>65200</v>
      </c>
      <c r="DC44">
        <v>33056</v>
      </c>
      <c r="DD44">
        <v>0</v>
      </c>
      <c r="DE44">
        <v>98736</v>
      </c>
      <c r="DF44">
        <v>164016</v>
      </c>
      <c r="DG44">
        <v>10810</v>
      </c>
      <c r="DH44">
        <v>45808</v>
      </c>
      <c r="DI44">
        <v>0</v>
      </c>
      <c r="DJ44">
        <v>49033</v>
      </c>
      <c r="DK44">
        <v>0</v>
      </c>
      <c r="DL44">
        <v>16784</v>
      </c>
      <c r="DM44">
        <v>78176</v>
      </c>
      <c r="DN44">
        <v>19552</v>
      </c>
      <c r="DO44">
        <v>0</v>
      </c>
      <c r="DP44">
        <v>1200</v>
      </c>
      <c r="DQ44">
        <v>26688</v>
      </c>
      <c r="DR44">
        <v>43760</v>
      </c>
      <c r="DS44">
        <v>334176</v>
      </c>
      <c r="DT44">
        <v>69042</v>
      </c>
      <c r="DU44">
        <v>0</v>
      </c>
      <c r="DV44">
        <v>122080</v>
      </c>
      <c r="DW44">
        <v>28576</v>
      </c>
      <c r="DX44">
        <v>1762795</v>
      </c>
      <c r="DY44">
        <v>9258</v>
      </c>
      <c r="DZ44">
        <v>294385</v>
      </c>
      <c r="EA44">
        <v>921980</v>
      </c>
      <c r="EB44">
        <v>770993</v>
      </c>
      <c r="EC44">
        <v>0</v>
      </c>
      <c r="ED44">
        <v>14379</v>
      </c>
      <c r="EE44">
        <v>73209</v>
      </c>
      <c r="EF44">
        <v>295282</v>
      </c>
      <c r="EG44">
        <v>101754</v>
      </c>
      <c r="EH44">
        <v>0</v>
      </c>
      <c r="EI44">
        <v>207820</v>
      </c>
      <c r="EJ44">
        <v>704576</v>
      </c>
      <c r="EK44">
        <v>46881</v>
      </c>
      <c r="EL44">
        <v>183822</v>
      </c>
      <c r="EM44">
        <v>0</v>
      </c>
      <c r="EN44">
        <v>269036</v>
      </c>
      <c r="EO44">
        <v>0</v>
      </c>
      <c r="EP44">
        <v>207367</v>
      </c>
      <c r="EQ44">
        <v>651730</v>
      </c>
      <c r="ER44">
        <v>96537</v>
      </c>
      <c r="ES44">
        <v>0</v>
      </c>
      <c r="ET44">
        <v>2725</v>
      </c>
      <c r="EU44">
        <v>153830</v>
      </c>
      <c r="EV44">
        <v>148059</v>
      </c>
      <c r="EW44">
        <v>871804</v>
      </c>
      <c r="EX44">
        <v>366363</v>
      </c>
      <c r="EY44">
        <v>1244095</v>
      </c>
      <c r="EZ44">
        <v>245311</v>
      </c>
      <c r="FA44">
        <v>57421</v>
      </c>
      <c r="FB44">
        <v>7938617</v>
      </c>
      <c r="FC44">
        <v>0</v>
      </c>
      <c r="FD44">
        <v>0</v>
      </c>
      <c r="FE44">
        <v>83134</v>
      </c>
      <c r="FF44">
        <v>0</v>
      </c>
      <c r="FG44">
        <v>0</v>
      </c>
      <c r="FH44">
        <v>0</v>
      </c>
      <c r="FI44">
        <v>0</v>
      </c>
      <c r="FJ44">
        <v>0</v>
      </c>
      <c r="FK44">
        <v>0</v>
      </c>
      <c r="FL44">
        <v>0</v>
      </c>
      <c r="FM44">
        <v>0</v>
      </c>
      <c r="FN44">
        <v>0</v>
      </c>
      <c r="FO44">
        <v>0</v>
      </c>
      <c r="FP44">
        <v>46354</v>
      </c>
      <c r="FQ44">
        <v>0</v>
      </c>
      <c r="FR44">
        <v>0</v>
      </c>
      <c r="FS44">
        <v>0</v>
      </c>
      <c r="FT44">
        <v>0</v>
      </c>
      <c r="FU44">
        <v>0</v>
      </c>
      <c r="FV44">
        <v>0</v>
      </c>
      <c r="FW44">
        <v>0</v>
      </c>
      <c r="FX44">
        <v>0</v>
      </c>
      <c r="FY44">
        <v>0</v>
      </c>
      <c r="FZ44">
        <v>0</v>
      </c>
      <c r="GA44">
        <v>0</v>
      </c>
      <c r="GB44">
        <v>15197</v>
      </c>
      <c r="GC44">
        <v>898329</v>
      </c>
      <c r="GD44">
        <v>83873</v>
      </c>
      <c r="GE44">
        <v>19633</v>
      </c>
      <c r="GF44">
        <v>1146520</v>
      </c>
      <c r="GG44">
        <v>410</v>
      </c>
      <c r="GH44">
        <v>13050</v>
      </c>
      <c r="GI44">
        <v>44556</v>
      </c>
      <c r="GJ44">
        <v>34177</v>
      </c>
      <c r="GK44">
        <v>0</v>
      </c>
      <c r="GL44">
        <v>637</v>
      </c>
      <c r="GM44">
        <v>3245</v>
      </c>
      <c r="GN44">
        <v>13090</v>
      </c>
      <c r="GO44">
        <v>4511</v>
      </c>
      <c r="GP44">
        <v>0</v>
      </c>
      <c r="GQ44">
        <v>9212</v>
      </c>
      <c r="GR44">
        <v>31233</v>
      </c>
      <c r="GS44">
        <v>2078</v>
      </c>
      <c r="GT44">
        <v>10203</v>
      </c>
      <c r="GU44">
        <v>0</v>
      </c>
      <c r="GV44">
        <v>11926</v>
      </c>
      <c r="GW44">
        <v>0</v>
      </c>
      <c r="GX44">
        <v>9192</v>
      </c>
      <c r="GY44">
        <v>28891</v>
      </c>
      <c r="GZ44">
        <v>4279</v>
      </c>
      <c r="HA44">
        <v>0</v>
      </c>
      <c r="HB44">
        <v>121</v>
      </c>
      <c r="HC44">
        <v>6819</v>
      </c>
      <c r="HD44">
        <v>6563</v>
      </c>
      <c r="HE44">
        <v>38646</v>
      </c>
      <c r="HF44">
        <v>16914</v>
      </c>
      <c r="HG44">
        <v>94972</v>
      </c>
      <c r="HH44">
        <v>14592</v>
      </c>
      <c r="HI44">
        <v>3416</v>
      </c>
      <c r="HJ44">
        <v>402735</v>
      </c>
      <c r="HK44">
        <v>6548</v>
      </c>
      <c r="HL44">
        <v>116762</v>
      </c>
      <c r="HM44">
        <v>781134</v>
      </c>
      <c r="HN44">
        <v>10929</v>
      </c>
      <c r="HO44">
        <v>0</v>
      </c>
      <c r="HP44">
        <v>8</v>
      </c>
      <c r="HQ44">
        <v>4053</v>
      </c>
      <c r="HR44">
        <v>28786</v>
      </c>
      <c r="HS44">
        <v>27491</v>
      </c>
      <c r="HT44">
        <v>0</v>
      </c>
      <c r="HU44">
        <v>105101</v>
      </c>
      <c r="HV44">
        <v>3970</v>
      </c>
      <c r="HW44">
        <v>371</v>
      </c>
      <c r="HX44">
        <v>169476</v>
      </c>
      <c r="HY44">
        <v>0</v>
      </c>
      <c r="HZ44">
        <v>297063</v>
      </c>
      <c r="IA44">
        <v>0</v>
      </c>
      <c r="IB44">
        <v>78584</v>
      </c>
      <c r="IC44">
        <v>10339</v>
      </c>
      <c r="ID44">
        <v>16147</v>
      </c>
      <c r="IE44">
        <v>0</v>
      </c>
      <c r="IF44">
        <v>3</v>
      </c>
      <c r="IG44">
        <v>6788</v>
      </c>
      <c r="IH44">
        <v>5444</v>
      </c>
      <c r="II44">
        <v>2571</v>
      </c>
      <c r="IJ44">
        <v>57283</v>
      </c>
      <c r="IK44">
        <v>1318257</v>
      </c>
      <c r="IL44">
        <v>185633</v>
      </c>
      <c r="IM44">
        <v>43452</v>
      </c>
      <c r="IN44">
        <v>3276193</v>
      </c>
      <c r="IO44">
        <v>6958</v>
      </c>
      <c r="IP44">
        <v>129812</v>
      </c>
      <c r="IQ44">
        <v>908824</v>
      </c>
      <c r="IR44">
        <v>45106</v>
      </c>
      <c r="IS44">
        <v>0</v>
      </c>
      <c r="IT44">
        <v>645</v>
      </c>
      <c r="IU44">
        <v>7298</v>
      </c>
      <c r="IV44">
        <v>41876</v>
      </c>
      <c r="IW44">
        <v>32002</v>
      </c>
      <c r="IX44">
        <v>0</v>
      </c>
      <c r="IY44">
        <v>114313</v>
      </c>
      <c r="IZ44">
        <v>35203</v>
      </c>
      <c r="JA44">
        <v>2449</v>
      </c>
      <c r="JB44">
        <v>226033</v>
      </c>
      <c r="JC44">
        <v>0</v>
      </c>
      <c r="JD44">
        <v>308989</v>
      </c>
      <c r="JE44">
        <v>0</v>
      </c>
      <c r="JF44">
        <v>87776</v>
      </c>
      <c r="JG44">
        <v>39230</v>
      </c>
      <c r="JH44">
        <v>20426</v>
      </c>
      <c r="JI44">
        <v>0</v>
      </c>
      <c r="JJ44">
        <v>124</v>
      </c>
      <c r="JK44">
        <v>13607</v>
      </c>
      <c r="JL44">
        <v>12007</v>
      </c>
      <c r="JM44">
        <v>41217</v>
      </c>
      <c r="JN44">
        <v>89394</v>
      </c>
      <c r="JO44">
        <v>2311558</v>
      </c>
      <c r="JP44">
        <v>284098</v>
      </c>
      <c r="JQ44">
        <v>66501</v>
      </c>
      <c r="JR44">
        <v>4825448</v>
      </c>
      <c r="JS44">
        <v>16216</v>
      </c>
      <c r="JT44">
        <v>424197</v>
      </c>
      <c r="JU44">
        <v>1830804</v>
      </c>
      <c r="JV44">
        <v>816099</v>
      </c>
      <c r="JW44">
        <v>0</v>
      </c>
      <c r="JX44">
        <v>15024</v>
      </c>
      <c r="JY44">
        <v>80507</v>
      </c>
      <c r="JZ44">
        <v>337158</v>
      </c>
      <c r="KA44">
        <v>133756</v>
      </c>
      <c r="KB44">
        <v>0</v>
      </c>
      <c r="KC44">
        <v>322133</v>
      </c>
      <c r="KD44">
        <v>739779</v>
      </c>
      <c r="KE44">
        <v>49330</v>
      </c>
      <c r="KF44">
        <v>409855</v>
      </c>
      <c r="KG44">
        <v>0</v>
      </c>
      <c r="KH44">
        <v>578025</v>
      </c>
      <c r="KI44">
        <v>0</v>
      </c>
      <c r="KJ44">
        <v>295143</v>
      </c>
      <c r="KK44">
        <v>690960</v>
      </c>
      <c r="KL44">
        <v>116963</v>
      </c>
      <c r="KM44">
        <v>0</v>
      </c>
      <c r="KN44">
        <v>2849</v>
      </c>
      <c r="KO44">
        <v>167437</v>
      </c>
      <c r="KP44">
        <v>160066</v>
      </c>
      <c r="KQ44">
        <v>913021</v>
      </c>
      <c r="KR44">
        <v>455757</v>
      </c>
      <c r="KS44">
        <v>3555653</v>
      </c>
      <c r="KT44">
        <v>529409</v>
      </c>
      <c r="KU44">
        <v>123922</v>
      </c>
      <c r="KV44">
        <v>12764065</v>
      </c>
      <c r="KW44" t="s">
        <v>359</v>
      </c>
      <c r="KX44">
        <v>21310624</v>
      </c>
      <c r="KY44">
        <v>3577020</v>
      </c>
      <c r="KZ44">
        <v>24887644</v>
      </c>
      <c r="LA44">
        <v>0</v>
      </c>
      <c r="LB44">
        <v>325178</v>
      </c>
    </row>
    <row r="45" spans="1:314" x14ac:dyDescent="0.25">
      <c r="A45" t="s">
        <v>665</v>
      </c>
      <c r="B45" t="s">
        <v>666</v>
      </c>
      <c r="C45" t="s">
        <v>352</v>
      </c>
      <c r="D45" t="s">
        <v>667</v>
      </c>
      <c r="E45" s="2">
        <v>40935.657870370371</v>
      </c>
      <c r="G45" t="s">
        <v>668</v>
      </c>
      <c r="H45" t="s">
        <v>669</v>
      </c>
      <c r="I45" t="s">
        <v>381</v>
      </c>
      <c r="J45" t="s">
        <v>670</v>
      </c>
      <c r="K45" t="s">
        <v>671</v>
      </c>
      <c r="L45">
        <v>0</v>
      </c>
      <c r="M45">
        <v>0</v>
      </c>
      <c r="N45">
        <v>0</v>
      </c>
      <c r="O45">
        <v>28356690</v>
      </c>
      <c r="P45">
        <v>0</v>
      </c>
      <c r="Q45">
        <v>225573</v>
      </c>
      <c r="R45">
        <v>0</v>
      </c>
      <c r="S45">
        <v>225573</v>
      </c>
      <c r="T45">
        <v>2069872</v>
      </c>
      <c r="U45">
        <v>1813605</v>
      </c>
      <c r="V45">
        <v>1627651</v>
      </c>
      <c r="W45">
        <v>311196</v>
      </c>
      <c r="X45">
        <v>0</v>
      </c>
      <c r="Y45">
        <v>0</v>
      </c>
      <c r="Z45">
        <v>5822324</v>
      </c>
      <c r="AA45">
        <v>1141326</v>
      </c>
      <c r="AB45">
        <v>1037153</v>
      </c>
      <c r="AC45">
        <v>282393</v>
      </c>
      <c r="AD45">
        <v>26898</v>
      </c>
      <c r="AE45">
        <v>921487</v>
      </c>
      <c r="AF45">
        <v>778762</v>
      </c>
      <c r="AG45">
        <v>4188019</v>
      </c>
      <c r="AH45">
        <v>3211198</v>
      </c>
      <c r="AI45">
        <v>2850758</v>
      </c>
      <c r="AJ45">
        <v>1910044</v>
      </c>
      <c r="AK45">
        <v>338094</v>
      </c>
      <c r="AL45">
        <v>921487</v>
      </c>
      <c r="AM45">
        <v>778762</v>
      </c>
      <c r="AN45">
        <v>10010343</v>
      </c>
      <c r="AO45">
        <v>388985</v>
      </c>
      <c r="AP45">
        <v>0</v>
      </c>
      <c r="AQ45">
        <v>0</v>
      </c>
      <c r="AR45">
        <v>0</v>
      </c>
      <c r="AS45">
        <v>388985</v>
      </c>
      <c r="AT45">
        <v>674027</v>
      </c>
      <c r="AU45">
        <v>0</v>
      </c>
      <c r="AV45">
        <v>0</v>
      </c>
      <c r="AW45">
        <v>0</v>
      </c>
      <c r="AX45">
        <v>674027</v>
      </c>
      <c r="AY45">
        <v>1063012</v>
      </c>
      <c r="AZ45">
        <v>0</v>
      </c>
      <c r="BA45">
        <v>0</v>
      </c>
      <c r="BB45">
        <v>0</v>
      </c>
      <c r="BC45">
        <v>1063012</v>
      </c>
      <c r="BD45">
        <v>1213108</v>
      </c>
      <c r="BE45">
        <v>0</v>
      </c>
      <c r="BF45">
        <v>0</v>
      </c>
      <c r="BG45">
        <v>0</v>
      </c>
      <c r="BH45">
        <v>0</v>
      </c>
      <c r="BI45">
        <v>1213108</v>
      </c>
      <c r="BJ45">
        <v>0</v>
      </c>
      <c r="BK45">
        <v>0</v>
      </c>
      <c r="BL45">
        <v>655547</v>
      </c>
      <c r="BM45">
        <v>0</v>
      </c>
      <c r="BN45">
        <v>0</v>
      </c>
      <c r="BO45">
        <v>655547</v>
      </c>
      <c r="BP45">
        <v>2280351</v>
      </c>
      <c r="BQ45">
        <v>0</v>
      </c>
      <c r="BR45">
        <v>0</v>
      </c>
      <c r="BS45">
        <v>0</v>
      </c>
      <c r="BT45">
        <v>53636</v>
      </c>
      <c r="BU45">
        <v>2333987</v>
      </c>
      <c r="BV45">
        <v>3493459</v>
      </c>
      <c r="BW45">
        <v>0</v>
      </c>
      <c r="BX45">
        <v>655547</v>
      </c>
      <c r="BY45">
        <v>0</v>
      </c>
      <c r="BZ45">
        <v>53636</v>
      </c>
      <c r="CA45">
        <v>4202642</v>
      </c>
      <c r="CB45">
        <v>0</v>
      </c>
      <c r="CC45">
        <v>0</v>
      </c>
      <c r="CD45">
        <v>0</v>
      </c>
      <c r="CE45">
        <v>0</v>
      </c>
      <c r="CF45">
        <v>0</v>
      </c>
      <c r="CG45">
        <v>0</v>
      </c>
      <c r="CH45">
        <v>0</v>
      </c>
      <c r="CI45">
        <v>0</v>
      </c>
      <c r="CJ45">
        <v>0</v>
      </c>
      <c r="CK45">
        <v>0</v>
      </c>
      <c r="CL45">
        <v>0</v>
      </c>
      <c r="CM45">
        <v>0</v>
      </c>
      <c r="CN45">
        <v>0</v>
      </c>
      <c r="CO45">
        <v>0</v>
      </c>
      <c r="CP45">
        <v>0</v>
      </c>
      <c r="CQ45">
        <v>0</v>
      </c>
      <c r="CR45" t="s">
        <v>665</v>
      </c>
      <c r="CS45">
        <v>1229820</v>
      </c>
      <c r="CT45">
        <v>0</v>
      </c>
      <c r="CU45">
        <v>31520</v>
      </c>
      <c r="CV45">
        <v>91472</v>
      </c>
      <c r="CW45">
        <v>345888</v>
      </c>
      <c r="CX45">
        <v>256732</v>
      </c>
      <c r="CY45">
        <v>0</v>
      </c>
      <c r="CZ45">
        <v>43632</v>
      </c>
      <c r="DA45">
        <v>113464</v>
      </c>
      <c r="DB45">
        <v>9152</v>
      </c>
      <c r="DC45">
        <v>162781</v>
      </c>
      <c r="DD45">
        <v>384</v>
      </c>
      <c r="DE45">
        <v>217266</v>
      </c>
      <c r="DF45">
        <v>267408</v>
      </c>
      <c r="DG45">
        <v>80520</v>
      </c>
      <c r="DH45">
        <v>47014</v>
      </c>
      <c r="DI45">
        <v>41776</v>
      </c>
      <c r="DJ45">
        <v>142002</v>
      </c>
      <c r="DK45">
        <v>0</v>
      </c>
      <c r="DL45">
        <v>32672</v>
      </c>
      <c r="DM45">
        <v>110848</v>
      </c>
      <c r="DN45">
        <v>150524</v>
      </c>
      <c r="DO45">
        <v>34752</v>
      </c>
      <c r="DP45">
        <v>79072</v>
      </c>
      <c r="DQ45">
        <v>5424</v>
      </c>
      <c r="DR45">
        <v>53280</v>
      </c>
      <c r="DS45">
        <v>360582</v>
      </c>
      <c r="DT45">
        <v>139528</v>
      </c>
      <c r="DU45">
        <v>0</v>
      </c>
      <c r="DV45">
        <v>204528</v>
      </c>
      <c r="DW45">
        <v>131040</v>
      </c>
      <c r="DX45">
        <v>3153261</v>
      </c>
      <c r="DY45">
        <v>88603</v>
      </c>
      <c r="DZ45">
        <v>403797</v>
      </c>
      <c r="EA45">
        <v>640431</v>
      </c>
      <c r="EB45">
        <v>315041</v>
      </c>
      <c r="EC45">
        <v>0</v>
      </c>
      <c r="ED45">
        <v>513701</v>
      </c>
      <c r="EE45">
        <v>659565</v>
      </c>
      <c r="EF45">
        <v>89835</v>
      </c>
      <c r="EG45">
        <v>328364</v>
      </c>
      <c r="EH45">
        <v>18542</v>
      </c>
      <c r="EI45">
        <v>322846</v>
      </c>
      <c r="EJ45">
        <v>682064</v>
      </c>
      <c r="EK45">
        <v>187202</v>
      </c>
      <c r="EL45">
        <v>51065</v>
      </c>
      <c r="EM45">
        <v>365685</v>
      </c>
      <c r="EN45">
        <v>849286</v>
      </c>
      <c r="EO45">
        <v>0</v>
      </c>
      <c r="EP45">
        <v>141971</v>
      </c>
      <c r="EQ45">
        <v>352492</v>
      </c>
      <c r="ER45">
        <v>313051</v>
      </c>
      <c r="ES45">
        <v>107384</v>
      </c>
      <c r="ET45">
        <v>91667</v>
      </c>
      <c r="EU45">
        <v>9</v>
      </c>
      <c r="EV45">
        <v>73078</v>
      </c>
      <c r="EW45">
        <v>380854</v>
      </c>
      <c r="EX45">
        <v>99727</v>
      </c>
      <c r="EY45">
        <v>0</v>
      </c>
      <c r="EZ45">
        <v>470165</v>
      </c>
      <c r="FA45">
        <v>331904</v>
      </c>
      <c r="FB45">
        <v>7878329</v>
      </c>
      <c r="FC45">
        <v>45157</v>
      </c>
      <c r="FD45">
        <v>106812</v>
      </c>
      <c r="FE45">
        <v>184404</v>
      </c>
      <c r="FF45">
        <v>95944</v>
      </c>
      <c r="FG45">
        <v>0</v>
      </c>
      <c r="FH45">
        <v>33882</v>
      </c>
      <c r="FI45">
        <v>146274</v>
      </c>
      <c r="FJ45">
        <v>36705</v>
      </c>
      <c r="FK45">
        <v>201710</v>
      </c>
      <c r="FL45">
        <v>1847</v>
      </c>
      <c r="FM45">
        <v>144062</v>
      </c>
      <c r="FN45">
        <v>154463</v>
      </c>
      <c r="FO45">
        <v>29750</v>
      </c>
      <c r="FP45">
        <v>18567</v>
      </c>
      <c r="FQ45">
        <v>46667</v>
      </c>
      <c r="FR45">
        <v>340158</v>
      </c>
      <c r="FS45">
        <v>0</v>
      </c>
      <c r="FT45">
        <v>14624</v>
      </c>
      <c r="FU45">
        <v>75724</v>
      </c>
      <c r="FV45">
        <v>96171</v>
      </c>
      <c r="FW45">
        <v>29833</v>
      </c>
      <c r="FX45">
        <v>30761</v>
      </c>
      <c r="FY45">
        <v>1880</v>
      </c>
      <c r="FZ45">
        <v>109919</v>
      </c>
      <c r="GA45">
        <v>156486</v>
      </c>
      <c r="GB45">
        <v>59108</v>
      </c>
      <c r="GC45">
        <v>0</v>
      </c>
      <c r="GD45">
        <v>124875</v>
      </c>
      <c r="GE45">
        <v>137488</v>
      </c>
      <c r="GF45">
        <v>2423271</v>
      </c>
      <c r="GG45">
        <v>15968</v>
      </c>
      <c r="GH45">
        <v>60957</v>
      </c>
      <c r="GI45">
        <v>98470</v>
      </c>
      <c r="GJ45">
        <v>49064</v>
      </c>
      <c r="GK45">
        <v>0</v>
      </c>
      <c r="GL45">
        <v>65371</v>
      </c>
      <c r="GM45">
        <v>96202</v>
      </c>
      <c r="GN45">
        <v>15107</v>
      </c>
      <c r="GO45">
        <v>63281</v>
      </c>
      <c r="GP45">
        <v>2434</v>
      </c>
      <c r="GQ45">
        <v>55740</v>
      </c>
      <c r="GR45">
        <v>99866</v>
      </c>
      <c r="GS45">
        <v>25900</v>
      </c>
      <c r="GT45">
        <v>8313</v>
      </c>
      <c r="GU45">
        <v>49227</v>
      </c>
      <c r="GV45">
        <v>141998</v>
      </c>
      <c r="GW45">
        <v>0</v>
      </c>
      <c r="GX45">
        <v>18695</v>
      </c>
      <c r="GY45">
        <v>51121</v>
      </c>
      <c r="GZ45">
        <v>48854</v>
      </c>
      <c r="HA45">
        <v>16381</v>
      </c>
      <c r="HB45">
        <v>14616</v>
      </c>
      <c r="HC45">
        <v>226</v>
      </c>
      <c r="HD45">
        <v>21846</v>
      </c>
      <c r="HE45">
        <v>64148</v>
      </c>
      <c r="HF45">
        <v>18962</v>
      </c>
      <c r="HG45">
        <v>0</v>
      </c>
      <c r="HH45">
        <v>71037</v>
      </c>
      <c r="HI45">
        <v>56037</v>
      </c>
      <c r="HJ45">
        <v>1229820</v>
      </c>
      <c r="HK45">
        <v>76473</v>
      </c>
      <c r="HL45">
        <v>112959</v>
      </c>
      <c r="HM45">
        <v>161787</v>
      </c>
      <c r="HN45">
        <v>99986</v>
      </c>
      <c r="HO45">
        <v>0</v>
      </c>
      <c r="HP45">
        <v>34186</v>
      </c>
      <c r="HQ45">
        <v>97606</v>
      </c>
      <c r="HR45">
        <v>31512</v>
      </c>
      <c r="HS45">
        <v>126422</v>
      </c>
      <c r="HT45">
        <v>6021</v>
      </c>
      <c r="HU45">
        <v>230955</v>
      </c>
      <c r="HV45">
        <v>209655</v>
      </c>
      <c r="HW45">
        <v>34465</v>
      </c>
      <c r="HX45">
        <v>28358</v>
      </c>
      <c r="HY45">
        <v>45603</v>
      </c>
      <c r="HZ45">
        <v>141529</v>
      </c>
      <c r="IA45">
        <v>0</v>
      </c>
      <c r="IB45">
        <v>30086</v>
      </c>
      <c r="IC45">
        <v>67502</v>
      </c>
      <c r="ID45">
        <v>106065</v>
      </c>
      <c r="IE45">
        <v>40539</v>
      </c>
      <c r="IF45">
        <v>44722</v>
      </c>
      <c r="IG45">
        <v>12546</v>
      </c>
      <c r="IH45">
        <v>69174</v>
      </c>
      <c r="II45">
        <v>136900</v>
      </c>
      <c r="IJ45">
        <v>58251</v>
      </c>
      <c r="IK45">
        <v>0</v>
      </c>
      <c r="IL45">
        <v>93346</v>
      </c>
      <c r="IM45">
        <v>59450</v>
      </c>
      <c r="IN45">
        <v>2156098</v>
      </c>
      <c r="IO45">
        <v>137598</v>
      </c>
      <c r="IP45">
        <v>280728</v>
      </c>
      <c r="IQ45">
        <v>444661</v>
      </c>
      <c r="IR45">
        <v>244994</v>
      </c>
      <c r="IS45">
        <v>0</v>
      </c>
      <c r="IT45">
        <v>133439</v>
      </c>
      <c r="IU45">
        <v>340082</v>
      </c>
      <c r="IV45">
        <v>83324</v>
      </c>
      <c r="IW45">
        <v>391413</v>
      </c>
      <c r="IX45">
        <v>10302</v>
      </c>
      <c r="IY45">
        <v>430757</v>
      </c>
      <c r="IZ45">
        <v>463984</v>
      </c>
      <c r="JA45">
        <v>90115</v>
      </c>
      <c r="JB45">
        <v>55238</v>
      </c>
      <c r="JC45">
        <v>141497</v>
      </c>
      <c r="JD45">
        <v>623685</v>
      </c>
      <c r="JE45">
        <v>0</v>
      </c>
      <c r="JF45">
        <v>63405</v>
      </c>
      <c r="JG45">
        <v>194347</v>
      </c>
      <c r="JH45">
        <v>251090</v>
      </c>
      <c r="JI45">
        <v>86753</v>
      </c>
      <c r="JJ45">
        <v>90099</v>
      </c>
      <c r="JK45">
        <v>14652</v>
      </c>
      <c r="JL45">
        <v>200939</v>
      </c>
      <c r="JM45">
        <v>357534</v>
      </c>
      <c r="JN45">
        <v>136321</v>
      </c>
      <c r="JO45">
        <v>0</v>
      </c>
      <c r="JP45">
        <v>289258</v>
      </c>
      <c r="JQ45">
        <v>252975</v>
      </c>
      <c r="JR45">
        <v>5809189</v>
      </c>
      <c r="JS45">
        <v>226201</v>
      </c>
      <c r="JT45">
        <v>684525</v>
      </c>
      <c r="JU45">
        <v>1085092</v>
      </c>
      <c r="JV45">
        <v>560035</v>
      </c>
      <c r="JW45">
        <v>0</v>
      </c>
      <c r="JX45">
        <v>647140</v>
      </c>
      <c r="JY45">
        <v>999647</v>
      </c>
      <c r="JZ45">
        <v>173159</v>
      </c>
      <c r="KA45">
        <v>719777</v>
      </c>
      <c r="KB45">
        <v>28844</v>
      </c>
      <c r="KC45">
        <v>753603</v>
      </c>
      <c r="KD45">
        <v>1146048</v>
      </c>
      <c r="KE45">
        <v>277317</v>
      </c>
      <c r="KF45">
        <v>106303</v>
      </c>
      <c r="KG45">
        <v>507182</v>
      </c>
      <c r="KH45">
        <v>1472971</v>
      </c>
      <c r="KI45">
        <v>0</v>
      </c>
      <c r="KJ45">
        <v>205376</v>
      </c>
      <c r="KK45">
        <v>546839</v>
      </c>
      <c r="KL45">
        <v>564141</v>
      </c>
      <c r="KM45">
        <v>194137</v>
      </c>
      <c r="KN45">
        <v>181766</v>
      </c>
      <c r="KO45">
        <v>14661</v>
      </c>
      <c r="KP45">
        <v>274017</v>
      </c>
      <c r="KQ45">
        <v>738388</v>
      </c>
      <c r="KR45">
        <v>236048</v>
      </c>
      <c r="KS45">
        <v>0</v>
      </c>
      <c r="KT45">
        <v>759423</v>
      </c>
      <c r="KU45">
        <v>584879</v>
      </c>
      <c r="KV45">
        <v>13687518</v>
      </c>
      <c r="KW45" t="s">
        <v>359</v>
      </c>
      <c r="KX45">
        <v>23923434</v>
      </c>
      <c r="KY45">
        <v>5265654</v>
      </c>
      <c r="KZ45">
        <v>29189088</v>
      </c>
      <c r="LA45">
        <v>0</v>
      </c>
      <c r="LB45">
        <v>832398</v>
      </c>
    </row>
    <row r="46" spans="1:314" x14ac:dyDescent="0.25">
      <c r="A46" t="s">
        <v>672</v>
      </c>
      <c r="B46" t="s">
        <v>673</v>
      </c>
      <c r="C46" t="s">
        <v>352</v>
      </c>
      <c r="D46" t="s">
        <v>674</v>
      </c>
      <c r="E46" s="2">
        <v>40927.624837962961</v>
      </c>
      <c r="G46" t="s">
        <v>675</v>
      </c>
      <c r="H46" t="s">
        <v>676</v>
      </c>
      <c r="I46" t="s">
        <v>677</v>
      </c>
      <c r="J46" t="s">
        <v>678</v>
      </c>
      <c r="K46" t="s">
        <v>679</v>
      </c>
      <c r="L46">
        <v>0</v>
      </c>
      <c r="M46">
        <v>0</v>
      </c>
      <c r="N46">
        <v>0</v>
      </c>
      <c r="O46">
        <v>9799796</v>
      </c>
      <c r="P46">
        <v>0</v>
      </c>
      <c r="Q46">
        <v>421061</v>
      </c>
      <c r="R46">
        <v>0</v>
      </c>
      <c r="S46">
        <v>421061</v>
      </c>
      <c r="T46">
        <v>1287882</v>
      </c>
      <c r="U46">
        <v>475366</v>
      </c>
      <c r="V46">
        <v>446055</v>
      </c>
      <c r="W46">
        <v>0</v>
      </c>
      <c r="X46">
        <v>0</v>
      </c>
      <c r="Y46">
        <v>0</v>
      </c>
      <c r="Z46">
        <v>2209303</v>
      </c>
      <c r="AA46">
        <v>959484</v>
      </c>
      <c r="AB46">
        <v>51080</v>
      </c>
      <c r="AC46">
        <v>149287</v>
      </c>
      <c r="AD46">
        <v>0</v>
      </c>
      <c r="AE46">
        <v>369101</v>
      </c>
      <c r="AF46">
        <v>25634</v>
      </c>
      <c r="AG46">
        <v>1554586</v>
      </c>
      <c r="AH46">
        <v>2247366</v>
      </c>
      <c r="AI46">
        <v>526446</v>
      </c>
      <c r="AJ46">
        <v>595342</v>
      </c>
      <c r="AK46">
        <v>0</v>
      </c>
      <c r="AL46">
        <v>369101</v>
      </c>
      <c r="AM46">
        <v>25634</v>
      </c>
      <c r="AN46">
        <v>3763889</v>
      </c>
      <c r="AO46">
        <v>0</v>
      </c>
      <c r="AP46">
        <v>0</v>
      </c>
      <c r="AQ46">
        <v>8904</v>
      </c>
      <c r="AR46">
        <v>0</v>
      </c>
      <c r="AS46">
        <v>8904</v>
      </c>
      <c r="AT46">
        <v>0</v>
      </c>
      <c r="AU46">
        <v>17000</v>
      </c>
      <c r="AV46">
        <v>6943</v>
      </c>
      <c r="AW46">
        <v>20771</v>
      </c>
      <c r="AX46">
        <v>44714</v>
      </c>
      <c r="AY46">
        <v>0</v>
      </c>
      <c r="AZ46">
        <v>17000</v>
      </c>
      <c r="BA46">
        <v>15847</v>
      </c>
      <c r="BB46">
        <v>20771</v>
      </c>
      <c r="BC46">
        <v>53618</v>
      </c>
      <c r="BD46">
        <v>137657</v>
      </c>
      <c r="BE46">
        <v>0</v>
      </c>
      <c r="BF46">
        <v>0</v>
      </c>
      <c r="BG46">
        <v>0</v>
      </c>
      <c r="BH46">
        <v>0</v>
      </c>
      <c r="BI46">
        <v>137657</v>
      </c>
      <c r="BJ46">
        <v>0</v>
      </c>
      <c r="BK46">
        <v>0</v>
      </c>
      <c r="BL46">
        <v>33255</v>
      </c>
      <c r="BM46">
        <v>0</v>
      </c>
      <c r="BN46">
        <v>0</v>
      </c>
      <c r="BO46">
        <v>33255</v>
      </c>
      <c r="BP46">
        <v>2285096</v>
      </c>
      <c r="BQ46">
        <v>87064</v>
      </c>
      <c r="BR46">
        <v>0</v>
      </c>
      <c r="BS46">
        <v>0</v>
      </c>
      <c r="BT46">
        <v>279676</v>
      </c>
      <c r="BU46">
        <v>2651836</v>
      </c>
      <c r="BV46">
        <v>2422753</v>
      </c>
      <c r="BW46">
        <v>87064</v>
      </c>
      <c r="BX46">
        <v>33255</v>
      </c>
      <c r="BY46">
        <v>0</v>
      </c>
      <c r="BZ46">
        <v>279676</v>
      </c>
      <c r="CA46">
        <v>2822748</v>
      </c>
      <c r="CB46">
        <v>0</v>
      </c>
      <c r="CC46">
        <v>0</v>
      </c>
      <c r="CD46">
        <v>0</v>
      </c>
      <c r="CE46">
        <v>0</v>
      </c>
      <c r="CF46">
        <v>0</v>
      </c>
      <c r="CG46">
        <v>0</v>
      </c>
      <c r="CH46">
        <v>0</v>
      </c>
      <c r="CI46">
        <v>0</v>
      </c>
      <c r="CJ46">
        <v>0</v>
      </c>
      <c r="CK46">
        <v>0</v>
      </c>
      <c r="CL46">
        <v>0</v>
      </c>
      <c r="CM46">
        <v>0</v>
      </c>
      <c r="CN46">
        <v>0</v>
      </c>
      <c r="CO46">
        <v>0</v>
      </c>
      <c r="CP46">
        <v>0</v>
      </c>
      <c r="CQ46">
        <v>0</v>
      </c>
      <c r="CR46" t="s">
        <v>672</v>
      </c>
      <c r="CS46">
        <v>86164</v>
      </c>
      <c r="CT46">
        <v>0</v>
      </c>
      <c r="CU46">
        <v>59324</v>
      </c>
      <c r="CV46">
        <v>39008</v>
      </c>
      <c r="CW46">
        <v>135168</v>
      </c>
      <c r="CX46">
        <v>83256</v>
      </c>
      <c r="CY46">
        <v>0</v>
      </c>
      <c r="CZ46">
        <v>3728</v>
      </c>
      <c r="DA46">
        <v>58463</v>
      </c>
      <c r="DB46">
        <v>21136</v>
      </c>
      <c r="DC46">
        <v>19201</v>
      </c>
      <c r="DD46">
        <v>0</v>
      </c>
      <c r="DE46">
        <v>2331</v>
      </c>
      <c r="DF46">
        <v>146032</v>
      </c>
      <c r="DG46">
        <v>32256</v>
      </c>
      <c r="DH46">
        <v>0</v>
      </c>
      <c r="DI46">
        <v>0</v>
      </c>
      <c r="DJ46">
        <v>13856</v>
      </c>
      <c r="DK46">
        <v>0</v>
      </c>
      <c r="DL46">
        <v>30496</v>
      </c>
      <c r="DM46">
        <v>149728</v>
      </c>
      <c r="DN46">
        <v>0</v>
      </c>
      <c r="DO46">
        <v>2240</v>
      </c>
      <c r="DP46">
        <v>16240</v>
      </c>
      <c r="DQ46">
        <v>39312</v>
      </c>
      <c r="DR46">
        <v>93846</v>
      </c>
      <c r="DS46">
        <v>172656</v>
      </c>
      <c r="DT46">
        <v>34728</v>
      </c>
      <c r="DU46">
        <v>0</v>
      </c>
      <c r="DV46">
        <v>30832</v>
      </c>
      <c r="DW46">
        <v>21984</v>
      </c>
      <c r="DX46">
        <v>1205821</v>
      </c>
      <c r="DY46">
        <v>227202</v>
      </c>
      <c r="DZ46">
        <v>112333</v>
      </c>
      <c r="EA46">
        <v>280345</v>
      </c>
      <c r="EB46">
        <v>103332</v>
      </c>
      <c r="EC46">
        <v>0</v>
      </c>
      <c r="ED46">
        <v>36115</v>
      </c>
      <c r="EE46">
        <v>73680</v>
      </c>
      <c r="EF46">
        <v>48186</v>
      </c>
      <c r="EG46">
        <v>66869</v>
      </c>
      <c r="EH46">
        <v>0</v>
      </c>
      <c r="EI46">
        <v>921</v>
      </c>
      <c r="EJ46">
        <v>308398</v>
      </c>
      <c r="EK46">
        <v>26177</v>
      </c>
      <c r="EL46">
        <v>0</v>
      </c>
      <c r="EM46">
        <v>0</v>
      </c>
      <c r="EN46">
        <v>5958</v>
      </c>
      <c r="EO46">
        <v>0</v>
      </c>
      <c r="EP46">
        <v>129579</v>
      </c>
      <c r="EQ46">
        <v>264689</v>
      </c>
      <c r="ER46">
        <v>0</v>
      </c>
      <c r="ES46">
        <v>921</v>
      </c>
      <c r="ET46">
        <v>36350</v>
      </c>
      <c r="EU46">
        <v>218354</v>
      </c>
      <c r="EV46">
        <v>53278</v>
      </c>
      <c r="EW46">
        <v>444817</v>
      </c>
      <c r="EX46">
        <v>146606</v>
      </c>
      <c r="EY46">
        <v>0</v>
      </c>
      <c r="EZ46">
        <v>90843</v>
      </c>
      <c r="FA46">
        <v>47240</v>
      </c>
      <c r="FB46">
        <v>2722193</v>
      </c>
      <c r="FC46">
        <v>0</v>
      </c>
      <c r="FD46">
        <v>2424</v>
      </c>
      <c r="FE46">
        <v>0</v>
      </c>
      <c r="FF46">
        <v>91541</v>
      </c>
      <c r="FG46">
        <v>0</v>
      </c>
      <c r="FH46">
        <v>0</v>
      </c>
      <c r="FI46">
        <v>0</v>
      </c>
      <c r="FJ46">
        <v>0</v>
      </c>
      <c r="FK46">
        <v>0</v>
      </c>
      <c r="FL46">
        <v>0</v>
      </c>
      <c r="FM46">
        <v>3535</v>
      </c>
      <c r="FN46">
        <v>0</v>
      </c>
      <c r="FO46">
        <v>0</v>
      </c>
      <c r="FP46">
        <v>0</v>
      </c>
      <c r="FQ46">
        <v>0</v>
      </c>
      <c r="FR46">
        <v>20456</v>
      </c>
      <c r="FS46">
        <v>0</v>
      </c>
      <c r="FT46">
        <v>0</v>
      </c>
      <c r="FU46">
        <v>214</v>
      </c>
      <c r="FV46">
        <v>0</v>
      </c>
      <c r="FW46">
        <v>3535</v>
      </c>
      <c r="FX46">
        <v>0</v>
      </c>
      <c r="FY46">
        <v>0</v>
      </c>
      <c r="FZ46">
        <v>24011</v>
      </c>
      <c r="GA46">
        <v>0</v>
      </c>
      <c r="GB46">
        <v>9641</v>
      </c>
      <c r="GC46">
        <v>0</v>
      </c>
      <c r="GD46">
        <v>657</v>
      </c>
      <c r="GE46">
        <v>871</v>
      </c>
      <c r="GF46">
        <v>156885</v>
      </c>
      <c r="GG46">
        <v>6800</v>
      </c>
      <c r="GH46">
        <v>3434</v>
      </c>
      <c r="GI46">
        <v>8390</v>
      </c>
      <c r="GJ46">
        <v>5832</v>
      </c>
      <c r="GK46">
        <v>0</v>
      </c>
      <c r="GL46">
        <v>1081</v>
      </c>
      <c r="GM46">
        <v>2205</v>
      </c>
      <c r="GN46">
        <v>1442</v>
      </c>
      <c r="GO46">
        <v>2001</v>
      </c>
      <c r="GP46">
        <v>0</v>
      </c>
      <c r="GQ46">
        <v>133</v>
      </c>
      <c r="GR46">
        <v>9230</v>
      </c>
      <c r="GS46">
        <v>783</v>
      </c>
      <c r="GT46">
        <v>0</v>
      </c>
      <c r="GU46">
        <v>0</v>
      </c>
      <c r="GV46">
        <v>791</v>
      </c>
      <c r="GW46">
        <v>0</v>
      </c>
      <c r="GX46">
        <v>3878</v>
      </c>
      <c r="GY46">
        <v>7928</v>
      </c>
      <c r="GZ46">
        <v>0</v>
      </c>
      <c r="HA46">
        <v>133</v>
      </c>
      <c r="HB46">
        <v>1088</v>
      </c>
      <c r="HC46">
        <v>6535</v>
      </c>
      <c r="HD46">
        <v>2313</v>
      </c>
      <c r="HE46">
        <v>13312</v>
      </c>
      <c r="HF46">
        <v>4676</v>
      </c>
      <c r="HG46">
        <v>0</v>
      </c>
      <c r="HH46">
        <v>2738</v>
      </c>
      <c r="HI46">
        <v>1440</v>
      </c>
      <c r="HJ46">
        <v>86164</v>
      </c>
      <c r="HK46">
        <v>16897</v>
      </c>
      <c r="HL46">
        <v>32893</v>
      </c>
      <c r="HM46">
        <v>5154</v>
      </c>
      <c r="HN46">
        <v>1828</v>
      </c>
      <c r="HO46">
        <v>0</v>
      </c>
      <c r="HP46">
        <v>0</v>
      </c>
      <c r="HQ46">
        <v>4582</v>
      </c>
      <c r="HR46">
        <v>1678</v>
      </c>
      <c r="HS46">
        <v>3480</v>
      </c>
      <c r="HT46">
        <v>0</v>
      </c>
      <c r="HU46">
        <v>0</v>
      </c>
      <c r="HV46">
        <v>2663</v>
      </c>
      <c r="HW46">
        <v>0</v>
      </c>
      <c r="HX46">
        <v>0</v>
      </c>
      <c r="HY46">
        <v>0</v>
      </c>
      <c r="HZ46">
        <v>1711</v>
      </c>
      <c r="IA46">
        <v>0</v>
      </c>
      <c r="IB46">
        <v>1534</v>
      </c>
      <c r="IC46">
        <v>3715</v>
      </c>
      <c r="ID46">
        <v>0</v>
      </c>
      <c r="IE46">
        <v>0</v>
      </c>
      <c r="IF46">
        <v>1265</v>
      </c>
      <c r="IG46">
        <v>2222</v>
      </c>
      <c r="IH46">
        <v>8164</v>
      </c>
      <c r="II46">
        <v>4113</v>
      </c>
      <c r="IJ46">
        <v>5397</v>
      </c>
      <c r="IK46">
        <v>0</v>
      </c>
      <c r="IL46">
        <v>634</v>
      </c>
      <c r="IM46">
        <v>1389</v>
      </c>
      <c r="IN46">
        <v>99319</v>
      </c>
      <c r="IO46">
        <v>23697</v>
      </c>
      <c r="IP46">
        <v>38751</v>
      </c>
      <c r="IQ46">
        <v>13544</v>
      </c>
      <c r="IR46">
        <v>99201</v>
      </c>
      <c r="IS46">
        <v>0</v>
      </c>
      <c r="IT46">
        <v>1081</v>
      </c>
      <c r="IU46">
        <v>6787</v>
      </c>
      <c r="IV46">
        <v>3120</v>
      </c>
      <c r="IW46">
        <v>5481</v>
      </c>
      <c r="IX46">
        <v>0</v>
      </c>
      <c r="IY46">
        <v>3668</v>
      </c>
      <c r="IZ46">
        <v>11893</v>
      </c>
      <c r="JA46">
        <v>783</v>
      </c>
      <c r="JB46">
        <v>0</v>
      </c>
      <c r="JC46">
        <v>0</v>
      </c>
      <c r="JD46">
        <v>22958</v>
      </c>
      <c r="JE46">
        <v>0</v>
      </c>
      <c r="JF46">
        <v>5412</v>
      </c>
      <c r="JG46">
        <v>11857</v>
      </c>
      <c r="JH46">
        <v>0</v>
      </c>
      <c r="JI46">
        <v>3668</v>
      </c>
      <c r="JJ46">
        <v>2353</v>
      </c>
      <c r="JK46">
        <v>8757</v>
      </c>
      <c r="JL46">
        <v>34488</v>
      </c>
      <c r="JM46">
        <v>17425</v>
      </c>
      <c r="JN46">
        <v>19714</v>
      </c>
      <c r="JO46">
        <v>0</v>
      </c>
      <c r="JP46">
        <v>4029</v>
      </c>
      <c r="JQ46">
        <v>3700</v>
      </c>
      <c r="JR46">
        <v>342368</v>
      </c>
      <c r="JS46">
        <v>250899</v>
      </c>
      <c r="JT46">
        <v>151084</v>
      </c>
      <c r="JU46">
        <v>293889</v>
      </c>
      <c r="JV46">
        <v>202533</v>
      </c>
      <c r="JW46">
        <v>0</v>
      </c>
      <c r="JX46">
        <v>37196</v>
      </c>
      <c r="JY46">
        <v>80467</v>
      </c>
      <c r="JZ46">
        <v>51306</v>
      </c>
      <c r="KA46">
        <v>72350</v>
      </c>
      <c r="KB46">
        <v>0</v>
      </c>
      <c r="KC46">
        <v>4589</v>
      </c>
      <c r="KD46">
        <v>320291</v>
      </c>
      <c r="KE46">
        <v>26960</v>
      </c>
      <c r="KF46">
        <v>0</v>
      </c>
      <c r="KG46">
        <v>0</v>
      </c>
      <c r="KH46">
        <v>28916</v>
      </c>
      <c r="KI46">
        <v>0</v>
      </c>
      <c r="KJ46">
        <v>134991</v>
      </c>
      <c r="KK46">
        <v>276546</v>
      </c>
      <c r="KL46">
        <v>0</v>
      </c>
      <c r="KM46">
        <v>4589</v>
      </c>
      <c r="KN46">
        <v>38703</v>
      </c>
      <c r="KO46">
        <v>227111</v>
      </c>
      <c r="KP46">
        <v>87766</v>
      </c>
      <c r="KQ46">
        <v>462242</v>
      </c>
      <c r="KR46">
        <v>166320</v>
      </c>
      <c r="KS46">
        <v>0</v>
      </c>
      <c r="KT46">
        <v>94872</v>
      </c>
      <c r="KU46">
        <v>50940</v>
      </c>
      <c r="KV46">
        <v>3064561</v>
      </c>
      <c r="KW46" t="s">
        <v>359</v>
      </c>
      <c r="KX46">
        <v>7249511</v>
      </c>
      <c r="KY46">
        <v>2876366</v>
      </c>
      <c r="KZ46">
        <v>10125877</v>
      </c>
      <c r="LA46">
        <v>0</v>
      </c>
      <c r="LB46">
        <v>326081</v>
      </c>
    </row>
    <row r="47" spans="1:314" x14ac:dyDescent="0.25">
      <c r="A47" t="s">
        <v>680</v>
      </c>
      <c r="B47" t="s">
        <v>681</v>
      </c>
      <c r="C47" t="s">
        <v>352</v>
      </c>
      <c r="D47" t="s">
        <v>682</v>
      </c>
      <c r="E47" s="2">
        <v>40926.633472222224</v>
      </c>
      <c r="G47" t="s">
        <v>683</v>
      </c>
      <c r="H47" t="s">
        <v>684</v>
      </c>
      <c r="I47" t="s">
        <v>381</v>
      </c>
      <c r="J47" t="s">
        <v>685</v>
      </c>
      <c r="K47" t="s">
        <v>686</v>
      </c>
      <c r="L47">
        <v>0</v>
      </c>
      <c r="M47">
        <v>0</v>
      </c>
      <c r="N47">
        <v>0</v>
      </c>
      <c r="O47">
        <v>34494136</v>
      </c>
      <c r="P47">
        <v>0</v>
      </c>
      <c r="Q47">
        <v>1087674</v>
      </c>
      <c r="R47">
        <v>0</v>
      </c>
      <c r="S47">
        <v>1087674</v>
      </c>
      <c r="T47">
        <v>2810351</v>
      </c>
      <c r="U47">
        <v>1803962</v>
      </c>
      <c r="V47">
        <v>3192224</v>
      </c>
      <c r="W47">
        <v>0</v>
      </c>
      <c r="X47">
        <v>0</v>
      </c>
      <c r="Y47">
        <v>0</v>
      </c>
      <c r="Z47">
        <v>7806537</v>
      </c>
      <c r="AA47">
        <v>1471634</v>
      </c>
      <c r="AB47">
        <v>392597</v>
      </c>
      <c r="AC47">
        <v>1682764</v>
      </c>
      <c r="AD47">
        <v>0</v>
      </c>
      <c r="AE47">
        <v>16388</v>
      </c>
      <c r="AF47">
        <v>654140</v>
      </c>
      <c r="AG47">
        <v>4217523</v>
      </c>
      <c r="AH47">
        <v>4281985</v>
      </c>
      <c r="AI47">
        <v>2196559</v>
      </c>
      <c r="AJ47">
        <v>4874988</v>
      </c>
      <c r="AK47">
        <v>0</v>
      </c>
      <c r="AL47">
        <v>16388</v>
      </c>
      <c r="AM47">
        <v>654140</v>
      </c>
      <c r="AN47">
        <v>12024060</v>
      </c>
      <c r="AO47">
        <v>686376</v>
      </c>
      <c r="AP47">
        <v>0</v>
      </c>
      <c r="AQ47">
        <v>0</v>
      </c>
      <c r="AR47">
        <v>0</v>
      </c>
      <c r="AS47">
        <v>686376</v>
      </c>
      <c r="AT47">
        <v>155656</v>
      </c>
      <c r="AU47">
        <v>0</v>
      </c>
      <c r="AV47">
        <v>0</v>
      </c>
      <c r="AW47">
        <v>7216</v>
      </c>
      <c r="AX47">
        <v>162872</v>
      </c>
      <c r="AY47">
        <v>842032</v>
      </c>
      <c r="AZ47">
        <v>0</v>
      </c>
      <c r="BA47">
        <v>0</v>
      </c>
      <c r="BB47">
        <v>7216</v>
      </c>
      <c r="BC47">
        <v>849248</v>
      </c>
      <c r="BD47">
        <v>871271</v>
      </c>
      <c r="BE47">
        <v>0</v>
      </c>
      <c r="BF47">
        <v>0</v>
      </c>
      <c r="BG47">
        <v>0</v>
      </c>
      <c r="BH47">
        <v>0</v>
      </c>
      <c r="BI47">
        <v>871271</v>
      </c>
      <c r="BJ47">
        <v>0</v>
      </c>
      <c r="BK47">
        <v>0</v>
      </c>
      <c r="BL47">
        <v>327196</v>
      </c>
      <c r="BM47">
        <v>0</v>
      </c>
      <c r="BN47">
        <v>0</v>
      </c>
      <c r="BO47">
        <v>327196</v>
      </c>
      <c r="BP47">
        <v>3680736</v>
      </c>
      <c r="BQ47">
        <v>503907</v>
      </c>
      <c r="BR47">
        <v>0</v>
      </c>
      <c r="BS47">
        <v>0</v>
      </c>
      <c r="BT47">
        <v>629080</v>
      </c>
      <c r="BU47">
        <v>4813723</v>
      </c>
      <c r="BV47">
        <v>4552007</v>
      </c>
      <c r="BW47">
        <v>503907</v>
      </c>
      <c r="BX47">
        <v>327196</v>
      </c>
      <c r="BY47">
        <v>0</v>
      </c>
      <c r="BZ47">
        <v>629080</v>
      </c>
      <c r="CA47">
        <v>6012190</v>
      </c>
      <c r="CB47">
        <v>0</v>
      </c>
      <c r="CC47">
        <v>0</v>
      </c>
      <c r="CD47">
        <v>0</v>
      </c>
      <c r="CE47">
        <v>0</v>
      </c>
      <c r="CF47">
        <v>0</v>
      </c>
      <c r="CG47">
        <v>0</v>
      </c>
      <c r="CH47">
        <v>0</v>
      </c>
      <c r="CI47">
        <v>0</v>
      </c>
      <c r="CJ47">
        <v>0</v>
      </c>
      <c r="CK47">
        <v>0</v>
      </c>
      <c r="CL47">
        <v>0</v>
      </c>
      <c r="CM47">
        <v>0</v>
      </c>
      <c r="CN47">
        <v>0</v>
      </c>
      <c r="CO47">
        <v>0</v>
      </c>
      <c r="CP47">
        <v>0</v>
      </c>
      <c r="CQ47">
        <v>0</v>
      </c>
      <c r="CR47" t="s">
        <v>680</v>
      </c>
      <c r="CS47">
        <v>1758768</v>
      </c>
      <c r="CT47">
        <v>0</v>
      </c>
      <c r="CU47">
        <v>4032</v>
      </c>
      <c r="CV47">
        <v>39668</v>
      </c>
      <c r="CW47">
        <v>333440</v>
      </c>
      <c r="CX47">
        <v>213050</v>
      </c>
      <c r="CY47">
        <v>12629</v>
      </c>
      <c r="CZ47">
        <v>10640</v>
      </c>
      <c r="DA47">
        <v>54685</v>
      </c>
      <c r="DB47">
        <v>954</v>
      </c>
      <c r="DC47">
        <v>104468</v>
      </c>
      <c r="DD47">
        <v>1264</v>
      </c>
      <c r="DE47">
        <v>128247</v>
      </c>
      <c r="DF47">
        <v>280258</v>
      </c>
      <c r="DG47">
        <v>379136</v>
      </c>
      <c r="DH47">
        <v>152392</v>
      </c>
      <c r="DI47">
        <v>0</v>
      </c>
      <c r="DJ47">
        <v>157814</v>
      </c>
      <c r="DK47">
        <v>16655</v>
      </c>
      <c r="DL47">
        <v>101408</v>
      </c>
      <c r="DM47">
        <v>82624</v>
      </c>
      <c r="DN47">
        <v>37056</v>
      </c>
      <c r="DO47">
        <v>49916</v>
      </c>
      <c r="DP47">
        <v>4512</v>
      </c>
      <c r="DQ47">
        <v>67295</v>
      </c>
      <c r="DR47">
        <v>80052</v>
      </c>
      <c r="DS47">
        <v>389696</v>
      </c>
      <c r="DT47">
        <v>127984</v>
      </c>
      <c r="DU47">
        <v>0</v>
      </c>
      <c r="DV47">
        <v>165856</v>
      </c>
      <c r="DW47">
        <v>49488</v>
      </c>
      <c r="DX47">
        <v>3045219</v>
      </c>
      <c r="DY47">
        <v>12802</v>
      </c>
      <c r="DZ47">
        <v>168017</v>
      </c>
      <c r="EA47">
        <v>1192645</v>
      </c>
      <c r="EB47">
        <v>632602</v>
      </c>
      <c r="EC47">
        <v>432565</v>
      </c>
      <c r="ED47">
        <v>126456</v>
      </c>
      <c r="EE47">
        <v>301063</v>
      </c>
      <c r="EF47">
        <v>1664</v>
      </c>
      <c r="EG47">
        <v>357082</v>
      </c>
      <c r="EH47">
        <v>2205</v>
      </c>
      <c r="EI47">
        <v>431475</v>
      </c>
      <c r="EJ47">
        <v>1063596</v>
      </c>
      <c r="EK47">
        <v>504427</v>
      </c>
      <c r="EL47">
        <v>639773</v>
      </c>
      <c r="EM47">
        <v>0</v>
      </c>
      <c r="EN47">
        <v>683642</v>
      </c>
      <c r="EO47">
        <v>175837</v>
      </c>
      <c r="EP47">
        <v>495311</v>
      </c>
      <c r="EQ47">
        <v>355072</v>
      </c>
      <c r="ER47">
        <v>344378</v>
      </c>
      <c r="ES47">
        <v>364234</v>
      </c>
      <c r="ET47">
        <v>34851</v>
      </c>
      <c r="EU47">
        <v>379976</v>
      </c>
      <c r="EV47">
        <v>290229</v>
      </c>
      <c r="EW47">
        <v>1287759</v>
      </c>
      <c r="EX47">
        <v>608118</v>
      </c>
      <c r="EY47">
        <v>0</v>
      </c>
      <c r="EZ47">
        <v>486138</v>
      </c>
      <c r="FA47">
        <v>209125</v>
      </c>
      <c r="FB47">
        <v>11581042</v>
      </c>
      <c r="FC47">
        <v>0</v>
      </c>
      <c r="FD47">
        <v>0</v>
      </c>
      <c r="FE47">
        <v>0</v>
      </c>
      <c r="FF47">
        <v>0</v>
      </c>
      <c r="FG47">
        <v>0</v>
      </c>
      <c r="FH47">
        <v>0</v>
      </c>
      <c r="FI47">
        <v>0</v>
      </c>
      <c r="FJ47">
        <v>0</v>
      </c>
      <c r="FK47">
        <v>132181</v>
      </c>
      <c r="FL47">
        <v>0</v>
      </c>
      <c r="FM47">
        <v>181934</v>
      </c>
      <c r="FN47">
        <v>2297</v>
      </c>
      <c r="FO47">
        <v>968</v>
      </c>
      <c r="FP47">
        <v>48117</v>
      </c>
      <c r="FQ47">
        <v>0</v>
      </c>
      <c r="FR47">
        <v>0</v>
      </c>
      <c r="FS47">
        <v>0</v>
      </c>
      <c r="FT47">
        <v>20885</v>
      </c>
      <c r="FU47">
        <v>1027</v>
      </c>
      <c r="FV47">
        <v>0</v>
      </c>
      <c r="FW47">
        <v>76557</v>
      </c>
      <c r="FX47">
        <v>0</v>
      </c>
      <c r="FY47">
        <v>15764</v>
      </c>
      <c r="FZ47">
        <v>0</v>
      </c>
      <c r="GA47">
        <v>0</v>
      </c>
      <c r="GB47">
        <v>4928</v>
      </c>
      <c r="GC47">
        <v>0</v>
      </c>
      <c r="GD47">
        <v>124</v>
      </c>
      <c r="GE47">
        <v>20301</v>
      </c>
      <c r="GF47">
        <v>505083</v>
      </c>
      <c r="GG47">
        <v>1863</v>
      </c>
      <c r="GH47">
        <v>24450</v>
      </c>
      <c r="GI47">
        <v>173553</v>
      </c>
      <c r="GJ47">
        <v>92056</v>
      </c>
      <c r="GK47">
        <v>62947</v>
      </c>
      <c r="GL47">
        <v>18402</v>
      </c>
      <c r="GM47">
        <v>43811</v>
      </c>
      <c r="GN47">
        <v>242</v>
      </c>
      <c r="GO47">
        <v>71197</v>
      </c>
      <c r="GP47">
        <v>321</v>
      </c>
      <c r="GQ47">
        <v>89263</v>
      </c>
      <c r="GR47">
        <v>155108</v>
      </c>
      <c r="GS47">
        <v>73545</v>
      </c>
      <c r="GT47">
        <v>100101</v>
      </c>
      <c r="GU47">
        <v>0</v>
      </c>
      <c r="GV47">
        <v>99483</v>
      </c>
      <c r="GW47">
        <v>25588</v>
      </c>
      <c r="GX47">
        <v>75117</v>
      </c>
      <c r="GY47">
        <v>51819</v>
      </c>
      <c r="GZ47">
        <v>50114</v>
      </c>
      <c r="HA47">
        <v>64144</v>
      </c>
      <c r="HB47">
        <v>5072</v>
      </c>
      <c r="HC47">
        <v>57588</v>
      </c>
      <c r="HD47">
        <v>42234</v>
      </c>
      <c r="HE47">
        <v>187394</v>
      </c>
      <c r="HF47">
        <v>89210</v>
      </c>
      <c r="HG47">
        <v>0</v>
      </c>
      <c r="HH47">
        <v>70761</v>
      </c>
      <c r="HI47">
        <v>33386</v>
      </c>
      <c r="HJ47">
        <v>1758768</v>
      </c>
      <c r="HK47">
        <v>0</v>
      </c>
      <c r="HL47">
        <v>34088</v>
      </c>
      <c r="HM47">
        <v>115605</v>
      </c>
      <c r="HN47">
        <v>29657</v>
      </c>
      <c r="HO47">
        <v>369438</v>
      </c>
      <c r="HP47">
        <v>4437</v>
      </c>
      <c r="HQ47">
        <v>60620</v>
      </c>
      <c r="HR47">
        <v>1367</v>
      </c>
      <c r="HS47">
        <v>45910</v>
      </c>
      <c r="HT47">
        <v>1811</v>
      </c>
      <c r="HU47">
        <v>534255</v>
      </c>
      <c r="HV47">
        <v>129499</v>
      </c>
      <c r="HW47">
        <v>3988</v>
      </c>
      <c r="HX47">
        <v>50403</v>
      </c>
      <c r="HY47">
        <v>0</v>
      </c>
      <c r="HZ47">
        <v>108832</v>
      </c>
      <c r="IA47">
        <v>9239</v>
      </c>
      <c r="IB47">
        <v>28785</v>
      </c>
      <c r="IC47">
        <v>21840</v>
      </c>
      <c r="ID47">
        <v>56753</v>
      </c>
      <c r="IE47">
        <v>101481</v>
      </c>
      <c r="IF47">
        <v>0</v>
      </c>
      <c r="IG47">
        <v>22638</v>
      </c>
      <c r="IH47">
        <v>112448</v>
      </c>
      <c r="II47">
        <v>51619</v>
      </c>
      <c r="IJ47">
        <v>46664</v>
      </c>
      <c r="IK47">
        <v>0</v>
      </c>
      <c r="IL47">
        <v>6039</v>
      </c>
      <c r="IM47">
        <v>19091</v>
      </c>
      <c r="IN47">
        <v>1966507</v>
      </c>
      <c r="IO47">
        <v>1863</v>
      </c>
      <c r="IP47">
        <v>58538</v>
      </c>
      <c r="IQ47">
        <v>289158</v>
      </c>
      <c r="IR47">
        <v>121713</v>
      </c>
      <c r="IS47">
        <v>432385</v>
      </c>
      <c r="IT47">
        <v>22839</v>
      </c>
      <c r="IU47">
        <v>104431</v>
      </c>
      <c r="IV47">
        <v>1609</v>
      </c>
      <c r="IW47">
        <v>249288</v>
      </c>
      <c r="IX47">
        <v>2132</v>
      </c>
      <c r="IY47">
        <v>805452</v>
      </c>
      <c r="IZ47">
        <v>286904</v>
      </c>
      <c r="JA47">
        <v>78501</v>
      </c>
      <c r="JB47">
        <v>198621</v>
      </c>
      <c r="JC47">
        <v>0</v>
      </c>
      <c r="JD47">
        <v>208315</v>
      </c>
      <c r="JE47">
        <v>34827</v>
      </c>
      <c r="JF47">
        <v>124787</v>
      </c>
      <c r="JG47">
        <v>74686</v>
      </c>
      <c r="JH47">
        <v>106867</v>
      </c>
      <c r="JI47">
        <v>242182</v>
      </c>
      <c r="JJ47">
        <v>5072</v>
      </c>
      <c r="JK47">
        <v>95990</v>
      </c>
      <c r="JL47">
        <v>154682</v>
      </c>
      <c r="JM47">
        <v>239013</v>
      </c>
      <c r="JN47">
        <v>140802</v>
      </c>
      <c r="JO47">
        <v>0</v>
      </c>
      <c r="JP47">
        <v>76924</v>
      </c>
      <c r="JQ47">
        <v>72778</v>
      </c>
      <c r="JR47">
        <v>4230358</v>
      </c>
      <c r="JS47">
        <v>14665</v>
      </c>
      <c r="JT47">
        <v>226555</v>
      </c>
      <c r="JU47">
        <v>1481803</v>
      </c>
      <c r="JV47">
        <v>754315</v>
      </c>
      <c r="JW47">
        <v>864950</v>
      </c>
      <c r="JX47">
        <v>149295</v>
      </c>
      <c r="JY47">
        <v>405494</v>
      </c>
      <c r="JZ47">
        <v>3273</v>
      </c>
      <c r="KA47">
        <v>606370</v>
      </c>
      <c r="KB47">
        <v>4337</v>
      </c>
      <c r="KC47">
        <v>1236927</v>
      </c>
      <c r="KD47">
        <v>1350500</v>
      </c>
      <c r="KE47">
        <v>582928</v>
      </c>
      <c r="KF47">
        <v>838394</v>
      </c>
      <c r="KG47">
        <v>0</v>
      </c>
      <c r="KH47">
        <v>891957</v>
      </c>
      <c r="KI47">
        <v>210664</v>
      </c>
      <c r="KJ47">
        <v>620098</v>
      </c>
      <c r="KK47">
        <v>429758</v>
      </c>
      <c r="KL47">
        <v>451245</v>
      </c>
      <c r="KM47">
        <v>606416</v>
      </c>
      <c r="KN47">
        <v>39923</v>
      </c>
      <c r="KO47">
        <v>475966</v>
      </c>
      <c r="KP47">
        <v>444911</v>
      </c>
      <c r="KQ47">
        <v>1526772</v>
      </c>
      <c r="KR47">
        <v>748920</v>
      </c>
      <c r="KS47">
        <v>0</v>
      </c>
      <c r="KT47">
        <v>563062</v>
      </c>
      <c r="KU47">
        <v>281903</v>
      </c>
      <c r="KV47">
        <v>15811400</v>
      </c>
      <c r="KW47" t="s">
        <v>687</v>
      </c>
      <c r="KX47">
        <v>28923134</v>
      </c>
      <c r="KY47">
        <v>6861438</v>
      </c>
      <c r="KZ47">
        <v>35784572</v>
      </c>
      <c r="LA47">
        <v>0</v>
      </c>
      <c r="LB47">
        <v>1290436</v>
      </c>
    </row>
    <row r="48" spans="1:314" x14ac:dyDescent="0.25">
      <c r="A48" t="s">
        <v>688</v>
      </c>
      <c r="B48" t="s">
        <v>689</v>
      </c>
      <c r="C48" t="s">
        <v>352</v>
      </c>
      <c r="D48" t="s">
        <v>690</v>
      </c>
      <c r="E48" s="2">
        <v>40931.715104166666</v>
      </c>
      <c r="G48" t="s">
        <v>691</v>
      </c>
      <c r="H48" t="s">
        <v>692</v>
      </c>
      <c r="I48" t="s">
        <v>693</v>
      </c>
      <c r="J48" t="s">
        <v>694</v>
      </c>
      <c r="K48" t="s">
        <v>695</v>
      </c>
      <c r="L48">
        <v>0</v>
      </c>
      <c r="M48">
        <v>0</v>
      </c>
      <c r="N48">
        <v>0</v>
      </c>
      <c r="O48">
        <v>14821092</v>
      </c>
      <c r="P48">
        <v>0</v>
      </c>
      <c r="Q48">
        <v>84526</v>
      </c>
      <c r="R48">
        <v>0</v>
      </c>
      <c r="S48">
        <v>84526</v>
      </c>
      <c r="T48">
        <v>1337499</v>
      </c>
      <c r="U48">
        <v>1775058</v>
      </c>
      <c r="V48">
        <v>1393373</v>
      </c>
      <c r="W48">
        <v>0</v>
      </c>
      <c r="X48">
        <v>0</v>
      </c>
      <c r="Y48">
        <v>0</v>
      </c>
      <c r="Z48">
        <v>4505930</v>
      </c>
      <c r="AA48">
        <v>257999</v>
      </c>
      <c r="AB48">
        <v>560248</v>
      </c>
      <c r="AC48">
        <v>575174</v>
      </c>
      <c r="AD48">
        <v>0</v>
      </c>
      <c r="AE48">
        <v>302988</v>
      </c>
      <c r="AF48">
        <v>516551</v>
      </c>
      <c r="AG48">
        <v>2212960</v>
      </c>
      <c r="AH48">
        <v>1595498</v>
      </c>
      <c r="AI48">
        <v>2335306</v>
      </c>
      <c r="AJ48">
        <v>1968547</v>
      </c>
      <c r="AK48">
        <v>0</v>
      </c>
      <c r="AL48">
        <v>302988</v>
      </c>
      <c r="AM48">
        <v>516551</v>
      </c>
      <c r="AN48">
        <v>6718890</v>
      </c>
      <c r="AO48">
        <v>393098</v>
      </c>
      <c r="AP48">
        <v>0</v>
      </c>
      <c r="AQ48">
        <v>0</v>
      </c>
      <c r="AR48">
        <v>0</v>
      </c>
      <c r="AS48">
        <v>393098</v>
      </c>
      <c r="AT48">
        <v>217205</v>
      </c>
      <c r="AU48">
        <v>0</v>
      </c>
      <c r="AV48">
        <v>0</v>
      </c>
      <c r="AW48">
        <v>0</v>
      </c>
      <c r="AX48">
        <v>217205</v>
      </c>
      <c r="AY48">
        <v>610303</v>
      </c>
      <c r="AZ48">
        <v>0</v>
      </c>
      <c r="BA48">
        <v>0</v>
      </c>
      <c r="BB48">
        <v>0</v>
      </c>
      <c r="BC48">
        <v>610303</v>
      </c>
      <c r="BD48">
        <v>1122259</v>
      </c>
      <c r="BE48">
        <v>0</v>
      </c>
      <c r="BF48">
        <v>0</v>
      </c>
      <c r="BG48">
        <v>0</v>
      </c>
      <c r="BH48">
        <v>0</v>
      </c>
      <c r="BI48">
        <v>1122259</v>
      </c>
      <c r="BJ48">
        <v>0</v>
      </c>
      <c r="BK48">
        <v>0</v>
      </c>
      <c r="BL48">
        <v>22040</v>
      </c>
      <c r="BM48">
        <v>0</v>
      </c>
      <c r="BN48">
        <v>0</v>
      </c>
      <c r="BO48">
        <v>22040</v>
      </c>
      <c r="BP48">
        <v>1276988</v>
      </c>
      <c r="BQ48">
        <v>0</v>
      </c>
      <c r="BR48">
        <v>0</v>
      </c>
      <c r="BS48">
        <v>0</v>
      </c>
      <c r="BT48">
        <v>71580</v>
      </c>
      <c r="BU48">
        <v>1348568</v>
      </c>
      <c r="BV48">
        <v>2399247</v>
      </c>
      <c r="BW48">
        <v>0</v>
      </c>
      <c r="BX48">
        <v>22040</v>
      </c>
      <c r="BY48">
        <v>0</v>
      </c>
      <c r="BZ48">
        <v>71580</v>
      </c>
      <c r="CA48">
        <v>2492867</v>
      </c>
      <c r="CB48">
        <v>0</v>
      </c>
      <c r="CC48">
        <v>0</v>
      </c>
      <c r="CD48">
        <v>0</v>
      </c>
      <c r="CE48">
        <v>0</v>
      </c>
      <c r="CF48">
        <v>0</v>
      </c>
      <c r="CG48">
        <v>0</v>
      </c>
      <c r="CH48">
        <v>0</v>
      </c>
      <c r="CI48">
        <v>0</v>
      </c>
      <c r="CJ48">
        <v>0</v>
      </c>
      <c r="CK48">
        <v>0</v>
      </c>
      <c r="CL48">
        <v>0</v>
      </c>
      <c r="CM48">
        <v>0</v>
      </c>
      <c r="CN48">
        <v>0</v>
      </c>
      <c r="CO48">
        <v>0</v>
      </c>
      <c r="CP48">
        <v>0</v>
      </c>
      <c r="CQ48">
        <v>0</v>
      </c>
      <c r="CR48" t="s">
        <v>688</v>
      </c>
      <c r="CS48">
        <v>378362</v>
      </c>
      <c r="CT48">
        <v>0</v>
      </c>
      <c r="CU48">
        <v>8176</v>
      </c>
      <c r="CV48">
        <v>24160</v>
      </c>
      <c r="CW48">
        <v>13664</v>
      </c>
      <c r="CX48">
        <v>202464</v>
      </c>
      <c r="CY48">
        <v>0</v>
      </c>
      <c r="CZ48">
        <v>9600</v>
      </c>
      <c r="DA48">
        <v>71992</v>
      </c>
      <c r="DB48">
        <v>13168</v>
      </c>
      <c r="DC48">
        <v>34224</v>
      </c>
      <c r="DD48">
        <v>0</v>
      </c>
      <c r="DE48">
        <v>146192</v>
      </c>
      <c r="DF48">
        <v>0</v>
      </c>
      <c r="DG48">
        <v>0</v>
      </c>
      <c r="DH48">
        <v>9160</v>
      </c>
      <c r="DI48">
        <v>0</v>
      </c>
      <c r="DJ48">
        <v>85185</v>
      </c>
      <c r="DK48">
        <v>0</v>
      </c>
      <c r="DL48">
        <v>18144</v>
      </c>
      <c r="DM48">
        <v>0</v>
      </c>
      <c r="DN48">
        <v>33760</v>
      </c>
      <c r="DO48">
        <v>49440</v>
      </c>
      <c r="DP48">
        <v>8736</v>
      </c>
      <c r="DQ48">
        <v>0</v>
      </c>
      <c r="DR48">
        <v>5472</v>
      </c>
      <c r="DS48">
        <v>3952</v>
      </c>
      <c r="DT48">
        <v>50000</v>
      </c>
      <c r="DU48">
        <v>0</v>
      </c>
      <c r="DV48">
        <v>27456</v>
      </c>
      <c r="DW48">
        <v>13264</v>
      </c>
      <c r="DX48">
        <v>828209</v>
      </c>
      <c r="DY48">
        <v>46911</v>
      </c>
      <c r="DZ48">
        <v>138622</v>
      </c>
      <c r="EA48">
        <v>258485</v>
      </c>
      <c r="EB48">
        <v>425792</v>
      </c>
      <c r="EC48">
        <v>0</v>
      </c>
      <c r="ED48">
        <v>55082</v>
      </c>
      <c r="EE48">
        <v>151403</v>
      </c>
      <c r="EF48">
        <v>75554</v>
      </c>
      <c r="EG48">
        <v>196366</v>
      </c>
      <c r="EH48">
        <v>0</v>
      </c>
      <c r="EI48">
        <v>577668</v>
      </c>
      <c r="EJ48">
        <v>0</v>
      </c>
      <c r="EK48">
        <v>0</v>
      </c>
      <c r="EL48">
        <v>69030</v>
      </c>
      <c r="EM48">
        <v>0</v>
      </c>
      <c r="EN48">
        <v>641958</v>
      </c>
      <c r="EO48">
        <v>0</v>
      </c>
      <c r="EP48">
        <v>136734</v>
      </c>
      <c r="EQ48">
        <v>0</v>
      </c>
      <c r="ER48">
        <v>117242</v>
      </c>
      <c r="ES48">
        <v>171696</v>
      </c>
      <c r="ET48">
        <v>50124</v>
      </c>
      <c r="EU48">
        <v>0</v>
      </c>
      <c r="EV48">
        <v>11508</v>
      </c>
      <c r="EW48">
        <v>74761</v>
      </c>
      <c r="EX48">
        <v>105152</v>
      </c>
      <c r="EY48">
        <v>0</v>
      </c>
      <c r="EZ48">
        <v>227729</v>
      </c>
      <c r="FA48">
        <v>110016</v>
      </c>
      <c r="FB48">
        <v>3641833</v>
      </c>
      <c r="FC48">
        <v>4111</v>
      </c>
      <c r="FD48">
        <v>12146</v>
      </c>
      <c r="FE48">
        <v>63348</v>
      </c>
      <c r="FF48">
        <v>91660</v>
      </c>
      <c r="FG48">
        <v>0</v>
      </c>
      <c r="FH48">
        <v>4826</v>
      </c>
      <c r="FI48">
        <v>32592</v>
      </c>
      <c r="FJ48">
        <v>6620</v>
      </c>
      <c r="FK48">
        <v>17205</v>
      </c>
      <c r="FL48">
        <v>0</v>
      </c>
      <c r="FM48">
        <v>264930</v>
      </c>
      <c r="FN48">
        <v>0</v>
      </c>
      <c r="FO48">
        <v>0</v>
      </c>
      <c r="FP48">
        <v>13416</v>
      </c>
      <c r="FQ48">
        <v>0</v>
      </c>
      <c r="FR48">
        <v>124770</v>
      </c>
      <c r="FS48">
        <v>0</v>
      </c>
      <c r="FT48">
        <v>26575</v>
      </c>
      <c r="FU48">
        <v>0</v>
      </c>
      <c r="FV48">
        <v>40200</v>
      </c>
      <c r="FW48">
        <v>58871</v>
      </c>
      <c r="FX48">
        <v>4391</v>
      </c>
      <c r="FY48">
        <v>0</v>
      </c>
      <c r="FZ48">
        <v>2478</v>
      </c>
      <c r="GA48">
        <v>18322</v>
      </c>
      <c r="GB48">
        <v>22636</v>
      </c>
      <c r="GC48">
        <v>0</v>
      </c>
      <c r="GD48">
        <v>52118</v>
      </c>
      <c r="GE48">
        <v>25179</v>
      </c>
      <c r="GF48">
        <v>886394</v>
      </c>
      <c r="GG48">
        <v>4263</v>
      </c>
      <c r="GH48">
        <v>12598</v>
      </c>
      <c r="GI48">
        <v>26891</v>
      </c>
      <c r="GJ48">
        <v>43236</v>
      </c>
      <c r="GK48">
        <v>0</v>
      </c>
      <c r="GL48">
        <v>5006</v>
      </c>
      <c r="GM48">
        <v>15374</v>
      </c>
      <c r="GN48">
        <v>6866</v>
      </c>
      <c r="GO48">
        <v>17845</v>
      </c>
      <c r="GP48">
        <v>0</v>
      </c>
      <c r="GQ48">
        <v>70404</v>
      </c>
      <c r="GR48">
        <v>0</v>
      </c>
      <c r="GS48">
        <v>0</v>
      </c>
      <c r="GT48">
        <v>6889</v>
      </c>
      <c r="GU48">
        <v>0</v>
      </c>
      <c r="GV48">
        <v>64065</v>
      </c>
      <c r="GW48">
        <v>0</v>
      </c>
      <c r="GX48">
        <v>13645</v>
      </c>
      <c r="GY48">
        <v>0</v>
      </c>
      <c r="GZ48">
        <v>13155</v>
      </c>
      <c r="HA48">
        <v>19265</v>
      </c>
      <c r="HB48">
        <v>4555</v>
      </c>
      <c r="HC48">
        <v>0</v>
      </c>
      <c r="HD48">
        <v>1169</v>
      </c>
      <c r="HE48">
        <v>7778</v>
      </c>
      <c r="HF48">
        <v>10677</v>
      </c>
      <c r="HG48">
        <v>0</v>
      </c>
      <c r="HH48">
        <v>23383</v>
      </c>
      <c r="HI48">
        <v>11296</v>
      </c>
      <c r="HJ48">
        <v>378362</v>
      </c>
      <c r="HK48">
        <v>11050</v>
      </c>
      <c r="HL48">
        <v>32653</v>
      </c>
      <c r="HM48">
        <v>8817</v>
      </c>
      <c r="HN48">
        <v>75698</v>
      </c>
      <c r="HO48">
        <v>0</v>
      </c>
      <c r="HP48">
        <v>12974</v>
      </c>
      <c r="HQ48">
        <v>26917</v>
      </c>
      <c r="HR48">
        <v>17797</v>
      </c>
      <c r="HS48">
        <v>46254</v>
      </c>
      <c r="HT48">
        <v>0</v>
      </c>
      <c r="HU48">
        <v>164469</v>
      </c>
      <c r="HV48">
        <v>0</v>
      </c>
      <c r="HW48">
        <v>0</v>
      </c>
      <c r="HX48">
        <v>7339</v>
      </c>
      <c r="HY48">
        <v>0</v>
      </c>
      <c r="HZ48">
        <v>68251</v>
      </c>
      <c r="IA48">
        <v>0</v>
      </c>
      <c r="IB48">
        <v>14537</v>
      </c>
      <c r="IC48">
        <v>0</v>
      </c>
      <c r="ID48">
        <v>24420</v>
      </c>
      <c r="IE48">
        <v>35762</v>
      </c>
      <c r="IF48">
        <v>11807</v>
      </c>
      <c r="IG48">
        <v>0</v>
      </c>
      <c r="IH48">
        <v>2045</v>
      </c>
      <c r="II48">
        <v>2550</v>
      </c>
      <c r="IJ48">
        <v>18694</v>
      </c>
      <c r="IK48">
        <v>0</v>
      </c>
      <c r="IL48">
        <v>9449</v>
      </c>
      <c r="IM48">
        <v>4565</v>
      </c>
      <c r="IN48">
        <v>596048</v>
      </c>
      <c r="IO48">
        <v>19424</v>
      </c>
      <c r="IP48">
        <v>57397</v>
      </c>
      <c r="IQ48">
        <v>99056</v>
      </c>
      <c r="IR48">
        <v>210594</v>
      </c>
      <c r="IS48">
        <v>0</v>
      </c>
      <c r="IT48">
        <v>22806</v>
      </c>
      <c r="IU48">
        <v>74883</v>
      </c>
      <c r="IV48">
        <v>31283</v>
      </c>
      <c r="IW48">
        <v>81304</v>
      </c>
      <c r="IX48">
        <v>0</v>
      </c>
      <c r="IY48">
        <v>499803</v>
      </c>
      <c r="IZ48">
        <v>0</v>
      </c>
      <c r="JA48">
        <v>0</v>
      </c>
      <c r="JB48">
        <v>27644</v>
      </c>
      <c r="JC48">
        <v>0</v>
      </c>
      <c r="JD48">
        <v>257086</v>
      </c>
      <c r="JE48">
        <v>0</v>
      </c>
      <c r="JF48">
        <v>54757</v>
      </c>
      <c r="JG48">
        <v>0</v>
      </c>
      <c r="JH48">
        <v>77775</v>
      </c>
      <c r="JI48">
        <v>113898</v>
      </c>
      <c r="JJ48">
        <v>20753</v>
      </c>
      <c r="JK48">
        <v>0</v>
      </c>
      <c r="JL48">
        <v>5692</v>
      </c>
      <c r="JM48">
        <v>28650</v>
      </c>
      <c r="JN48">
        <v>52007</v>
      </c>
      <c r="JO48">
        <v>0</v>
      </c>
      <c r="JP48">
        <v>84950</v>
      </c>
      <c r="JQ48">
        <v>41040</v>
      </c>
      <c r="JR48">
        <v>1860804</v>
      </c>
      <c r="JS48">
        <v>66335</v>
      </c>
      <c r="JT48">
        <v>196019</v>
      </c>
      <c r="JU48">
        <v>357541</v>
      </c>
      <c r="JV48">
        <v>636386</v>
      </c>
      <c r="JW48">
        <v>0</v>
      </c>
      <c r="JX48">
        <v>77888</v>
      </c>
      <c r="JY48">
        <v>226286</v>
      </c>
      <c r="JZ48">
        <v>106837</v>
      </c>
      <c r="KA48">
        <v>277670</v>
      </c>
      <c r="KB48">
        <v>0</v>
      </c>
      <c r="KC48">
        <v>1077471</v>
      </c>
      <c r="KD48">
        <v>0</v>
      </c>
      <c r="KE48">
        <v>0</v>
      </c>
      <c r="KF48">
        <v>96674</v>
      </c>
      <c r="KG48">
        <v>0</v>
      </c>
      <c r="KH48">
        <v>899044</v>
      </c>
      <c r="KI48">
        <v>0</v>
      </c>
      <c r="KJ48">
        <v>191491</v>
      </c>
      <c r="KK48">
        <v>0</v>
      </c>
      <c r="KL48">
        <v>195017</v>
      </c>
      <c r="KM48">
        <v>285594</v>
      </c>
      <c r="KN48">
        <v>70877</v>
      </c>
      <c r="KO48">
        <v>0</v>
      </c>
      <c r="KP48">
        <v>17200</v>
      </c>
      <c r="KQ48">
        <v>103411</v>
      </c>
      <c r="KR48">
        <v>157159</v>
      </c>
      <c r="KS48">
        <v>0</v>
      </c>
      <c r="KT48">
        <v>312679</v>
      </c>
      <c r="KU48">
        <v>151056</v>
      </c>
      <c r="KV48">
        <v>5502637</v>
      </c>
      <c r="KW48" t="s">
        <v>359</v>
      </c>
      <c r="KX48">
        <v>12306053</v>
      </c>
      <c r="KY48">
        <v>3103170</v>
      </c>
      <c r="KZ48">
        <v>15409223</v>
      </c>
      <c r="LA48">
        <v>0</v>
      </c>
      <c r="LB48">
        <v>588131</v>
      </c>
    </row>
    <row r="49" spans="1:314" ht="15" customHeight="1" x14ac:dyDescent="0.25">
      <c r="A49" t="s">
        <v>696</v>
      </c>
      <c r="B49" t="s">
        <v>697</v>
      </c>
      <c r="C49" s="62" t="s">
        <v>352</v>
      </c>
      <c r="E49" s="2">
        <v>40940.430706018517</v>
      </c>
      <c r="G49" t="s">
        <v>698</v>
      </c>
      <c r="H49" t="s">
        <v>699</v>
      </c>
      <c r="I49" t="s">
        <v>373</v>
      </c>
      <c r="J49" t="s">
        <v>700</v>
      </c>
      <c r="K49" t="s">
        <v>701</v>
      </c>
      <c r="L49">
        <v>0</v>
      </c>
      <c r="M49">
        <v>0</v>
      </c>
      <c r="N49">
        <v>0</v>
      </c>
      <c r="O49">
        <v>13679666</v>
      </c>
      <c r="P49">
        <v>0</v>
      </c>
      <c r="Q49">
        <v>402464</v>
      </c>
      <c r="R49">
        <v>0</v>
      </c>
      <c r="S49">
        <v>402464</v>
      </c>
      <c r="T49">
        <v>1285545</v>
      </c>
      <c r="U49">
        <v>1151001</v>
      </c>
      <c r="V49">
        <v>1518592</v>
      </c>
      <c r="W49">
        <v>0</v>
      </c>
      <c r="X49">
        <v>0</v>
      </c>
      <c r="Y49">
        <v>0</v>
      </c>
      <c r="Z49">
        <v>3955138</v>
      </c>
      <c r="AA49">
        <v>1026308</v>
      </c>
      <c r="AB49">
        <v>140968</v>
      </c>
      <c r="AC49">
        <v>422621</v>
      </c>
      <c r="AD49">
        <v>0</v>
      </c>
      <c r="AE49">
        <v>0</v>
      </c>
      <c r="AF49">
        <v>204099</v>
      </c>
      <c r="AG49">
        <v>1793996</v>
      </c>
      <c r="AH49">
        <v>2311853</v>
      </c>
      <c r="AI49">
        <v>1291969</v>
      </c>
      <c r="AJ49">
        <v>1941213</v>
      </c>
      <c r="AK49">
        <v>0</v>
      </c>
      <c r="AL49">
        <v>0</v>
      </c>
      <c r="AM49">
        <v>204099</v>
      </c>
      <c r="AN49">
        <v>5749134</v>
      </c>
      <c r="AO49">
        <v>0</v>
      </c>
      <c r="AP49">
        <v>0</v>
      </c>
      <c r="AQ49">
        <v>91251</v>
      </c>
      <c r="AR49">
        <v>0</v>
      </c>
      <c r="AS49">
        <v>91251</v>
      </c>
      <c r="AT49">
        <v>0</v>
      </c>
      <c r="AU49">
        <v>0</v>
      </c>
      <c r="AV49">
        <v>49033</v>
      </c>
      <c r="AW49">
        <v>0</v>
      </c>
      <c r="AX49">
        <v>49033</v>
      </c>
      <c r="AY49">
        <v>0</v>
      </c>
      <c r="AZ49">
        <v>0</v>
      </c>
      <c r="BA49">
        <v>140284</v>
      </c>
      <c r="BB49">
        <v>0</v>
      </c>
      <c r="BC49">
        <v>140284</v>
      </c>
      <c r="BD49">
        <v>692066</v>
      </c>
      <c r="BE49">
        <v>0</v>
      </c>
      <c r="BF49">
        <v>0</v>
      </c>
      <c r="BG49">
        <v>0</v>
      </c>
      <c r="BH49">
        <v>0</v>
      </c>
      <c r="BI49">
        <v>692066</v>
      </c>
      <c r="BJ49">
        <v>0</v>
      </c>
      <c r="BK49">
        <v>0</v>
      </c>
      <c r="BL49">
        <v>65929</v>
      </c>
      <c r="BM49">
        <v>0</v>
      </c>
      <c r="BN49">
        <v>0</v>
      </c>
      <c r="BO49">
        <v>65929</v>
      </c>
      <c r="BP49">
        <v>949608</v>
      </c>
      <c r="BQ49">
        <v>156981</v>
      </c>
      <c r="BR49">
        <v>0</v>
      </c>
      <c r="BS49">
        <v>0</v>
      </c>
      <c r="BT49">
        <v>0</v>
      </c>
      <c r="BU49">
        <v>1106589</v>
      </c>
      <c r="BV49">
        <v>1641674</v>
      </c>
      <c r="BW49">
        <v>156981</v>
      </c>
      <c r="BX49">
        <v>65929</v>
      </c>
      <c r="BY49">
        <v>0</v>
      </c>
      <c r="BZ49">
        <v>0</v>
      </c>
      <c r="CA49">
        <v>1864584</v>
      </c>
      <c r="CB49">
        <v>0</v>
      </c>
      <c r="CC49">
        <v>0</v>
      </c>
      <c r="CD49">
        <v>0</v>
      </c>
      <c r="CE49">
        <v>0</v>
      </c>
      <c r="CF49">
        <v>0</v>
      </c>
      <c r="CG49">
        <v>0</v>
      </c>
      <c r="CH49">
        <v>0</v>
      </c>
      <c r="CI49">
        <v>0</v>
      </c>
      <c r="CJ49">
        <v>0</v>
      </c>
      <c r="CK49">
        <v>0</v>
      </c>
      <c r="CL49">
        <v>0</v>
      </c>
      <c r="CM49">
        <v>0</v>
      </c>
      <c r="CN49">
        <v>0</v>
      </c>
      <c r="CO49">
        <v>0</v>
      </c>
      <c r="CP49">
        <v>0</v>
      </c>
      <c r="CQ49">
        <v>0</v>
      </c>
      <c r="CR49" t="s">
        <v>696</v>
      </c>
      <c r="CS49">
        <v>499529</v>
      </c>
      <c r="CT49">
        <v>0</v>
      </c>
      <c r="CU49">
        <v>13040</v>
      </c>
      <c r="CV49">
        <v>33696</v>
      </c>
      <c r="CW49">
        <v>135648</v>
      </c>
      <c r="CX49">
        <v>320002</v>
      </c>
      <c r="CY49">
        <v>0</v>
      </c>
      <c r="CZ49">
        <v>2010</v>
      </c>
      <c r="DA49">
        <v>84672</v>
      </c>
      <c r="DB49">
        <v>5680</v>
      </c>
      <c r="DC49">
        <v>96430</v>
      </c>
      <c r="DD49">
        <v>0</v>
      </c>
      <c r="DE49">
        <v>27175</v>
      </c>
      <c r="DF49">
        <v>148608</v>
      </c>
      <c r="DG49">
        <v>22950</v>
      </c>
      <c r="DH49">
        <v>150399</v>
      </c>
      <c r="DI49">
        <v>0</v>
      </c>
      <c r="DJ49">
        <v>125464</v>
      </c>
      <c r="DK49">
        <v>0</v>
      </c>
      <c r="DL49">
        <v>210800</v>
      </c>
      <c r="DM49">
        <v>54696</v>
      </c>
      <c r="DN49">
        <v>10432</v>
      </c>
      <c r="DO49">
        <v>160</v>
      </c>
      <c r="DP49">
        <v>8384</v>
      </c>
      <c r="DQ49">
        <v>29856</v>
      </c>
      <c r="DR49">
        <v>105208</v>
      </c>
      <c r="DS49">
        <v>236496</v>
      </c>
      <c r="DT49">
        <v>40496</v>
      </c>
      <c r="DU49">
        <v>0</v>
      </c>
      <c r="DV49">
        <v>61600</v>
      </c>
      <c r="DW49">
        <v>25248</v>
      </c>
      <c r="DX49">
        <v>1949150</v>
      </c>
      <c r="DY49">
        <v>51108</v>
      </c>
      <c r="DZ49">
        <v>102018</v>
      </c>
      <c r="EA49">
        <v>328063</v>
      </c>
      <c r="EB49">
        <v>118762</v>
      </c>
      <c r="EC49">
        <v>0</v>
      </c>
      <c r="ED49">
        <v>5215</v>
      </c>
      <c r="EE49">
        <v>212305</v>
      </c>
      <c r="EF49">
        <v>18527</v>
      </c>
      <c r="EG49">
        <v>245813</v>
      </c>
      <c r="EH49">
        <v>0</v>
      </c>
      <c r="EI49">
        <v>39096</v>
      </c>
      <c r="EJ49">
        <v>470312</v>
      </c>
      <c r="EK49">
        <v>62880</v>
      </c>
      <c r="EL49">
        <v>520265</v>
      </c>
      <c r="EM49">
        <v>0</v>
      </c>
      <c r="EN49">
        <v>388860</v>
      </c>
      <c r="EO49">
        <v>0</v>
      </c>
      <c r="EP49">
        <v>632768</v>
      </c>
      <c r="EQ49">
        <v>262888</v>
      </c>
      <c r="ER49">
        <v>43431</v>
      </c>
      <c r="ES49">
        <v>0</v>
      </c>
      <c r="ET49">
        <v>34018</v>
      </c>
      <c r="EU49">
        <v>78923</v>
      </c>
      <c r="EV49">
        <v>237763</v>
      </c>
      <c r="EW49">
        <v>657302</v>
      </c>
      <c r="EX49">
        <v>125003</v>
      </c>
      <c r="EY49">
        <v>0</v>
      </c>
      <c r="EZ49">
        <v>136372</v>
      </c>
      <c r="FA49">
        <v>62931</v>
      </c>
      <c r="FB49">
        <v>4834623</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5281</v>
      </c>
      <c r="GH49">
        <v>10541</v>
      </c>
      <c r="GI49">
        <v>33897</v>
      </c>
      <c r="GJ49">
        <v>12271</v>
      </c>
      <c r="GK49">
        <v>0</v>
      </c>
      <c r="GL49">
        <v>539</v>
      </c>
      <c r="GM49">
        <v>21936</v>
      </c>
      <c r="GN49">
        <v>1914</v>
      </c>
      <c r="GO49">
        <v>25398</v>
      </c>
      <c r="GP49">
        <v>0</v>
      </c>
      <c r="GQ49">
        <v>4040</v>
      </c>
      <c r="GR49">
        <v>48594</v>
      </c>
      <c r="GS49">
        <v>6497</v>
      </c>
      <c r="GT49">
        <v>53755</v>
      </c>
      <c r="GU49">
        <v>0</v>
      </c>
      <c r="GV49">
        <v>40178</v>
      </c>
      <c r="GW49">
        <v>0</v>
      </c>
      <c r="GX49">
        <v>65380</v>
      </c>
      <c r="GY49">
        <v>27162</v>
      </c>
      <c r="GZ49">
        <v>4487</v>
      </c>
      <c r="HA49">
        <v>0</v>
      </c>
      <c r="HB49">
        <v>3515</v>
      </c>
      <c r="HC49">
        <v>8155</v>
      </c>
      <c r="HD49">
        <v>24566</v>
      </c>
      <c r="HE49">
        <v>67915</v>
      </c>
      <c r="HF49">
        <v>12916</v>
      </c>
      <c r="HG49">
        <v>0</v>
      </c>
      <c r="HH49">
        <v>14090</v>
      </c>
      <c r="HI49">
        <v>6502</v>
      </c>
      <c r="HJ49">
        <v>499529</v>
      </c>
      <c r="HK49">
        <v>3631</v>
      </c>
      <c r="HL49">
        <v>24661</v>
      </c>
      <c r="HM49">
        <v>33802</v>
      </c>
      <c r="HN49">
        <v>19296</v>
      </c>
      <c r="HO49">
        <v>0</v>
      </c>
      <c r="HP49">
        <v>373</v>
      </c>
      <c r="HQ49">
        <v>15181</v>
      </c>
      <c r="HR49">
        <v>4069</v>
      </c>
      <c r="HS49">
        <v>31776</v>
      </c>
      <c r="HT49">
        <v>0</v>
      </c>
      <c r="HU49">
        <v>10861</v>
      </c>
      <c r="HV49">
        <v>17999</v>
      </c>
      <c r="HW49">
        <v>991</v>
      </c>
      <c r="HX49">
        <v>52690</v>
      </c>
      <c r="HY49">
        <v>0</v>
      </c>
      <c r="HZ49">
        <v>32082</v>
      </c>
      <c r="IA49">
        <v>0</v>
      </c>
      <c r="IB49">
        <v>27607</v>
      </c>
      <c r="IC49">
        <v>8433</v>
      </c>
      <c r="ID49">
        <v>6311</v>
      </c>
      <c r="IE49">
        <v>0</v>
      </c>
      <c r="IF49">
        <v>7472</v>
      </c>
      <c r="IG49">
        <v>4672</v>
      </c>
      <c r="IH49">
        <v>57028</v>
      </c>
      <c r="II49">
        <v>16849</v>
      </c>
      <c r="IJ49">
        <v>10580</v>
      </c>
      <c r="IK49">
        <v>0</v>
      </c>
      <c r="IL49">
        <v>4375</v>
      </c>
      <c r="IM49">
        <v>2408</v>
      </c>
      <c r="IN49">
        <v>393147</v>
      </c>
      <c r="IO49">
        <v>8912</v>
      </c>
      <c r="IP49">
        <v>35202</v>
      </c>
      <c r="IQ49">
        <v>67699</v>
      </c>
      <c r="IR49">
        <v>31567</v>
      </c>
      <c r="IS49">
        <v>0</v>
      </c>
      <c r="IT49">
        <v>912</v>
      </c>
      <c r="IU49">
        <v>37117</v>
      </c>
      <c r="IV49">
        <v>5983</v>
      </c>
      <c r="IW49">
        <v>57174</v>
      </c>
      <c r="IX49">
        <v>0</v>
      </c>
      <c r="IY49">
        <v>14901</v>
      </c>
      <c r="IZ49">
        <v>66593</v>
      </c>
      <c r="JA49">
        <v>7488</v>
      </c>
      <c r="JB49">
        <v>106445</v>
      </c>
      <c r="JC49">
        <v>0</v>
      </c>
      <c r="JD49">
        <v>72260</v>
      </c>
      <c r="JE49">
        <v>0</v>
      </c>
      <c r="JF49">
        <v>92987</v>
      </c>
      <c r="JG49">
        <v>35595</v>
      </c>
      <c r="JH49">
        <v>10798</v>
      </c>
      <c r="JI49">
        <v>0</v>
      </c>
      <c r="JJ49">
        <v>10987</v>
      </c>
      <c r="JK49">
        <v>12827</v>
      </c>
      <c r="JL49">
        <v>81594</v>
      </c>
      <c r="JM49">
        <v>84764</v>
      </c>
      <c r="JN49">
        <v>23496</v>
      </c>
      <c r="JO49">
        <v>0</v>
      </c>
      <c r="JP49">
        <v>18465</v>
      </c>
      <c r="JQ49">
        <v>8910</v>
      </c>
      <c r="JR49">
        <v>892676</v>
      </c>
      <c r="JS49">
        <v>60020</v>
      </c>
      <c r="JT49">
        <v>137220</v>
      </c>
      <c r="JU49">
        <v>395762</v>
      </c>
      <c r="JV49">
        <v>150329</v>
      </c>
      <c r="JW49">
        <v>0</v>
      </c>
      <c r="JX49">
        <v>6127</v>
      </c>
      <c r="JY49">
        <v>249422</v>
      </c>
      <c r="JZ49">
        <v>24510</v>
      </c>
      <c r="KA49">
        <v>302987</v>
      </c>
      <c r="KB49">
        <v>0</v>
      </c>
      <c r="KC49">
        <v>53997</v>
      </c>
      <c r="KD49">
        <v>536905</v>
      </c>
      <c r="KE49">
        <v>70368</v>
      </c>
      <c r="KF49">
        <v>626710</v>
      </c>
      <c r="KG49">
        <v>0</v>
      </c>
      <c r="KH49">
        <v>461120</v>
      </c>
      <c r="KI49">
        <v>0</v>
      </c>
      <c r="KJ49">
        <v>725755</v>
      </c>
      <c r="KK49">
        <v>298483</v>
      </c>
      <c r="KL49">
        <v>54229</v>
      </c>
      <c r="KM49">
        <v>0</v>
      </c>
      <c r="KN49">
        <v>45005</v>
      </c>
      <c r="KO49">
        <v>91750</v>
      </c>
      <c r="KP49">
        <v>319357</v>
      </c>
      <c r="KQ49">
        <v>742066</v>
      </c>
      <c r="KR49">
        <v>148499</v>
      </c>
      <c r="KS49">
        <v>0</v>
      </c>
      <c r="KT49">
        <v>154837</v>
      </c>
      <c r="KU49">
        <v>71841</v>
      </c>
      <c r="KV49">
        <v>5727299</v>
      </c>
      <c r="KW49" t="s">
        <v>359</v>
      </c>
      <c r="KX49">
        <v>11878897</v>
      </c>
      <c r="KY49">
        <v>2004868</v>
      </c>
      <c r="KZ49">
        <v>13883765</v>
      </c>
      <c r="LA49">
        <v>0</v>
      </c>
      <c r="LB49">
        <v>204099</v>
      </c>
    </row>
    <row r="50" spans="1:314" x14ac:dyDescent="0.25">
      <c r="A50" t="s">
        <v>702</v>
      </c>
      <c r="B50" t="s">
        <v>703</v>
      </c>
      <c r="C50" t="s">
        <v>352</v>
      </c>
      <c r="D50" t="s">
        <v>704</v>
      </c>
      <c r="E50" s="2">
        <v>40938.492210648146</v>
      </c>
      <c r="G50" t="s">
        <v>705</v>
      </c>
      <c r="H50" t="s">
        <v>706</v>
      </c>
      <c r="I50" t="s">
        <v>707</v>
      </c>
      <c r="J50" t="s">
        <v>708</v>
      </c>
      <c r="K50" t="s">
        <v>709</v>
      </c>
      <c r="L50">
        <v>0</v>
      </c>
      <c r="M50">
        <v>0</v>
      </c>
      <c r="N50">
        <v>0</v>
      </c>
      <c r="O50">
        <v>103684466</v>
      </c>
      <c r="P50">
        <v>0</v>
      </c>
      <c r="Q50">
        <v>2358877</v>
      </c>
      <c r="R50">
        <v>0</v>
      </c>
      <c r="S50">
        <v>2358877</v>
      </c>
      <c r="T50">
        <v>11997478</v>
      </c>
      <c r="U50">
        <v>7101886</v>
      </c>
      <c r="V50">
        <v>12094650</v>
      </c>
      <c r="W50">
        <v>32242</v>
      </c>
      <c r="X50">
        <v>0</v>
      </c>
      <c r="Y50">
        <v>0</v>
      </c>
      <c r="Z50">
        <v>31226256</v>
      </c>
      <c r="AA50">
        <v>5652094</v>
      </c>
      <c r="AB50">
        <v>704710</v>
      </c>
      <c r="AC50">
        <v>2116290</v>
      </c>
      <c r="AD50">
        <v>12019</v>
      </c>
      <c r="AE50">
        <v>1899985</v>
      </c>
      <c r="AF50">
        <v>798208</v>
      </c>
      <c r="AG50">
        <v>11183306</v>
      </c>
      <c r="AH50">
        <v>17649572</v>
      </c>
      <c r="AI50">
        <v>7806596</v>
      </c>
      <c r="AJ50">
        <v>14210940</v>
      </c>
      <c r="AK50">
        <v>44261</v>
      </c>
      <c r="AL50">
        <v>1899985</v>
      </c>
      <c r="AM50">
        <v>798208</v>
      </c>
      <c r="AN50">
        <v>42409562</v>
      </c>
      <c r="AO50">
        <v>3128879</v>
      </c>
      <c r="AP50">
        <v>0</v>
      </c>
      <c r="AQ50">
        <v>0</v>
      </c>
      <c r="AR50">
        <v>0</v>
      </c>
      <c r="AS50">
        <v>3128879</v>
      </c>
      <c r="AT50">
        <v>1458898</v>
      </c>
      <c r="AU50">
        <v>0</v>
      </c>
      <c r="AV50">
        <v>0</v>
      </c>
      <c r="AW50">
        <v>0</v>
      </c>
      <c r="AX50">
        <v>1458898</v>
      </c>
      <c r="AY50">
        <v>4587777</v>
      </c>
      <c r="AZ50">
        <v>0</v>
      </c>
      <c r="BA50">
        <v>0</v>
      </c>
      <c r="BB50">
        <v>0</v>
      </c>
      <c r="BC50">
        <v>4587777</v>
      </c>
      <c r="BD50">
        <v>2237612</v>
      </c>
      <c r="BE50">
        <v>0</v>
      </c>
      <c r="BF50">
        <v>0</v>
      </c>
      <c r="BG50">
        <v>0</v>
      </c>
      <c r="BH50">
        <v>0</v>
      </c>
      <c r="BI50">
        <v>2237612</v>
      </c>
      <c r="BJ50">
        <v>0</v>
      </c>
      <c r="BK50">
        <v>0</v>
      </c>
      <c r="BL50">
        <v>463213</v>
      </c>
      <c r="BM50">
        <v>0</v>
      </c>
      <c r="BN50">
        <v>0</v>
      </c>
      <c r="BO50">
        <v>463213</v>
      </c>
      <c r="BP50">
        <v>6206513</v>
      </c>
      <c r="BQ50">
        <v>0</v>
      </c>
      <c r="BR50">
        <v>0</v>
      </c>
      <c r="BS50">
        <v>0</v>
      </c>
      <c r="BT50">
        <v>3235688</v>
      </c>
      <c r="BU50">
        <v>9442201</v>
      </c>
      <c r="BV50">
        <v>8444125</v>
      </c>
      <c r="BW50">
        <v>0</v>
      </c>
      <c r="BX50">
        <v>463213</v>
      </c>
      <c r="BY50">
        <v>0</v>
      </c>
      <c r="BZ50">
        <v>3235688</v>
      </c>
      <c r="CA50">
        <v>12143026</v>
      </c>
      <c r="CB50">
        <v>0</v>
      </c>
      <c r="CC50">
        <v>0</v>
      </c>
      <c r="CD50">
        <v>0</v>
      </c>
      <c r="CE50">
        <v>0</v>
      </c>
      <c r="CF50">
        <v>0</v>
      </c>
      <c r="CG50">
        <v>0</v>
      </c>
      <c r="CH50">
        <v>0</v>
      </c>
      <c r="CI50">
        <v>0</v>
      </c>
      <c r="CJ50">
        <v>0</v>
      </c>
      <c r="CK50">
        <v>0</v>
      </c>
      <c r="CL50">
        <v>0</v>
      </c>
      <c r="CM50">
        <v>0</v>
      </c>
      <c r="CN50">
        <v>0</v>
      </c>
      <c r="CO50">
        <v>0</v>
      </c>
      <c r="CP50">
        <v>0</v>
      </c>
      <c r="CQ50">
        <v>0</v>
      </c>
      <c r="CR50" t="s">
        <v>702</v>
      </c>
      <c r="CS50">
        <v>3060452</v>
      </c>
      <c r="CT50">
        <v>0</v>
      </c>
      <c r="CU50">
        <v>6192</v>
      </c>
      <c r="CV50">
        <v>91408</v>
      </c>
      <c r="CW50">
        <v>1610464</v>
      </c>
      <c r="CX50">
        <v>458477</v>
      </c>
      <c r="CY50">
        <v>0</v>
      </c>
      <c r="CZ50">
        <v>197016</v>
      </c>
      <c r="DA50">
        <v>364596</v>
      </c>
      <c r="DB50">
        <v>59966</v>
      </c>
      <c r="DC50">
        <v>429418</v>
      </c>
      <c r="DD50">
        <v>31552</v>
      </c>
      <c r="DE50">
        <v>186692</v>
      </c>
      <c r="DF50">
        <v>1436070</v>
      </c>
      <c r="DG50">
        <v>224408</v>
      </c>
      <c r="DH50">
        <v>314308</v>
      </c>
      <c r="DI50">
        <v>23810</v>
      </c>
      <c r="DJ50">
        <v>405371</v>
      </c>
      <c r="DK50">
        <v>24016</v>
      </c>
      <c r="DL50">
        <v>69120</v>
      </c>
      <c r="DM50">
        <v>696928</v>
      </c>
      <c r="DN50">
        <v>129146</v>
      </c>
      <c r="DO50">
        <v>25792</v>
      </c>
      <c r="DP50">
        <v>16518</v>
      </c>
      <c r="DQ50">
        <v>33744</v>
      </c>
      <c r="DR50">
        <v>419996</v>
      </c>
      <c r="DS50">
        <v>2485344</v>
      </c>
      <c r="DT50">
        <v>452004</v>
      </c>
      <c r="DU50">
        <v>0</v>
      </c>
      <c r="DV50">
        <v>679728</v>
      </c>
      <c r="DW50">
        <v>1280160</v>
      </c>
      <c r="DX50">
        <v>12152244</v>
      </c>
      <c r="DY50">
        <v>5076</v>
      </c>
      <c r="DZ50">
        <v>215412</v>
      </c>
      <c r="EA50">
        <v>3631871</v>
      </c>
      <c r="EB50">
        <v>1810595</v>
      </c>
      <c r="EC50">
        <v>0</v>
      </c>
      <c r="ED50">
        <v>1254407</v>
      </c>
      <c r="EE50">
        <v>1099023</v>
      </c>
      <c r="EF50">
        <v>218210</v>
      </c>
      <c r="EG50">
        <v>1434607</v>
      </c>
      <c r="EH50">
        <v>132232</v>
      </c>
      <c r="EI50">
        <v>498891</v>
      </c>
      <c r="EJ50">
        <v>7655459</v>
      </c>
      <c r="EK50">
        <v>769703</v>
      </c>
      <c r="EL50">
        <v>2481793</v>
      </c>
      <c r="EM50">
        <v>459051</v>
      </c>
      <c r="EN50">
        <v>2306392</v>
      </c>
      <c r="EO50">
        <v>309034</v>
      </c>
      <c r="EP50">
        <v>463411</v>
      </c>
      <c r="EQ50">
        <v>1760894</v>
      </c>
      <c r="ER50">
        <v>386516</v>
      </c>
      <c r="ES50">
        <v>120501</v>
      </c>
      <c r="ET50">
        <v>91262</v>
      </c>
      <c r="EU50">
        <v>254948</v>
      </c>
      <c r="EV50">
        <v>1308815</v>
      </c>
      <c r="EW50">
        <v>5536482</v>
      </c>
      <c r="EX50">
        <v>1650773</v>
      </c>
      <c r="EY50">
        <v>0</v>
      </c>
      <c r="EZ50">
        <v>1475970</v>
      </c>
      <c r="FA50">
        <v>437608</v>
      </c>
      <c r="FB50">
        <v>37768936</v>
      </c>
      <c r="FC50">
        <v>0</v>
      </c>
      <c r="FD50">
        <v>121208</v>
      </c>
      <c r="FE50">
        <v>281995</v>
      </c>
      <c r="FF50">
        <v>723564</v>
      </c>
      <c r="FG50">
        <v>0</v>
      </c>
      <c r="FH50">
        <v>124525</v>
      </c>
      <c r="FI50">
        <v>43405</v>
      </c>
      <c r="FJ50">
        <v>42515</v>
      </c>
      <c r="FK50">
        <v>96143</v>
      </c>
      <c r="FL50">
        <v>0</v>
      </c>
      <c r="FM50">
        <v>74194</v>
      </c>
      <c r="FN50">
        <v>502181</v>
      </c>
      <c r="FO50">
        <v>33516</v>
      </c>
      <c r="FP50">
        <v>64387</v>
      </c>
      <c r="FQ50">
        <v>0</v>
      </c>
      <c r="FR50">
        <v>62341</v>
      </c>
      <c r="FS50">
        <v>0</v>
      </c>
      <c r="FT50">
        <v>6107</v>
      </c>
      <c r="FU50">
        <v>100564</v>
      </c>
      <c r="FV50">
        <v>78534</v>
      </c>
      <c r="FW50">
        <v>29273</v>
      </c>
      <c r="FX50">
        <v>7870</v>
      </c>
      <c r="FY50">
        <v>148129</v>
      </c>
      <c r="FZ50">
        <v>164</v>
      </c>
      <c r="GA50">
        <v>0</v>
      </c>
      <c r="GB50">
        <v>115941</v>
      </c>
      <c r="GC50">
        <v>0</v>
      </c>
      <c r="GD50">
        <v>72873</v>
      </c>
      <c r="GE50">
        <v>17546</v>
      </c>
      <c r="GF50">
        <v>2746975</v>
      </c>
      <c r="GG50">
        <v>383</v>
      </c>
      <c r="GH50">
        <v>25427</v>
      </c>
      <c r="GI50">
        <v>295642</v>
      </c>
      <c r="GJ50">
        <v>191423</v>
      </c>
      <c r="GK50">
        <v>0</v>
      </c>
      <c r="GL50">
        <v>104160</v>
      </c>
      <c r="GM50">
        <v>86296</v>
      </c>
      <c r="GN50">
        <v>19694</v>
      </c>
      <c r="GO50">
        <v>115628</v>
      </c>
      <c r="GP50">
        <v>9988</v>
      </c>
      <c r="GQ50">
        <v>43289</v>
      </c>
      <c r="GR50">
        <v>616204</v>
      </c>
      <c r="GS50">
        <v>60673</v>
      </c>
      <c r="GT50">
        <v>192331</v>
      </c>
      <c r="GU50">
        <v>34675</v>
      </c>
      <c r="GV50">
        <v>178927</v>
      </c>
      <c r="GW50">
        <v>23344</v>
      </c>
      <c r="GX50">
        <v>35466</v>
      </c>
      <c r="GY50">
        <v>140609</v>
      </c>
      <c r="GZ50">
        <v>35129</v>
      </c>
      <c r="HA50">
        <v>11313</v>
      </c>
      <c r="HB50">
        <v>7488</v>
      </c>
      <c r="HC50">
        <v>30447</v>
      </c>
      <c r="HD50">
        <v>98876</v>
      </c>
      <c r="HE50">
        <v>418209</v>
      </c>
      <c r="HF50">
        <v>133452</v>
      </c>
      <c r="HG50">
        <v>0</v>
      </c>
      <c r="HH50">
        <v>116995</v>
      </c>
      <c r="HI50">
        <v>34381</v>
      </c>
      <c r="HJ50">
        <v>3060452</v>
      </c>
      <c r="HK50">
        <v>5583</v>
      </c>
      <c r="HL50">
        <v>81081</v>
      </c>
      <c r="HM50">
        <v>207963</v>
      </c>
      <c r="HN50">
        <v>189428</v>
      </c>
      <c r="HO50">
        <v>0</v>
      </c>
      <c r="HP50">
        <v>237072</v>
      </c>
      <c r="HQ50">
        <v>108237</v>
      </c>
      <c r="HR50">
        <v>19611</v>
      </c>
      <c r="HS50">
        <v>145956</v>
      </c>
      <c r="HT50">
        <v>1137</v>
      </c>
      <c r="HU50">
        <v>46148</v>
      </c>
      <c r="HV50">
        <v>166019</v>
      </c>
      <c r="HW50">
        <v>7784</v>
      </c>
      <c r="HX50">
        <v>104168</v>
      </c>
      <c r="HY50">
        <v>45758</v>
      </c>
      <c r="HZ50">
        <v>240756</v>
      </c>
      <c r="IA50">
        <v>5089</v>
      </c>
      <c r="IB50">
        <v>33201</v>
      </c>
      <c r="IC50">
        <v>129133</v>
      </c>
      <c r="ID50">
        <v>46839</v>
      </c>
      <c r="IE50">
        <v>236076</v>
      </c>
      <c r="IF50">
        <v>11900</v>
      </c>
      <c r="IG50">
        <v>12720</v>
      </c>
      <c r="IH50">
        <v>162546</v>
      </c>
      <c r="II50">
        <v>147549</v>
      </c>
      <c r="IJ50">
        <v>192495</v>
      </c>
      <c r="IK50">
        <v>33405</v>
      </c>
      <c r="IL50">
        <v>18996</v>
      </c>
      <c r="IM50">
        <v>6107</v>
      </c>
      <c r="IN50">
        <v>2642757</v>
      </c>
      <c r="IO50">
        <v>5966</v>
      </c>
      <c r="IP50">
        <v>227716</v>
      </c>
      <c r="IQ50">
        <v>785600</v>
      </c>
      <c r="IR50">
        <v>1104415</v>
      </c>
      <c r="IS50">
        <v>0</v>
      </c>
      <c r="IT50">
        <v>465757</v>
      </c>
      <c r="IU50">
        <v>237938</v>
      </c>
      <c r="IV50">
        <v>81820</v>
      </c>
      <c r="IW50">
        <v>357727</v>
      </c>
      <c r="IX50">
        <v>11125</v>
      </c>
      <c r="IY50">
        <v>163631</v>
      </c>
      <c r="IZ50">
        <v>1284404</v>
      </c>
      <c r="JA50">
        <v>101973</v>
      </c>
      <c r="JB50">
        <v>360886</v>
      </c>
      <c r="JC50">
        <v>80433</v>
      </c>
      <c r="JD50">
        <v>482024</v>
      </c>
      <c r="JE50">
        <v>28433</v>
      </c>
      <c r="JF50">
        <v>74774</v>
      </c>
      <c r="JG50">
        <v>370306</v>
      </c>
      <c r="JH50">
        <v>160502</v>
      </c>
      <c r="JI50">
        <v>276662</v>
      </c>
      <c r="JJ50">
        <v>27258</v>
      </c>
      <c r="JK50">
        <v>191296</v>
      </c>
      <c r="JL50">
        <v>261586</v>
      </c>
      <c r="JM50">
        <v>565758</v>
      </c>
      <c r="JN50">
        <v>441888</v>
      </c>
      <c r="JO50">
        <v>33405</v>
      </c>
      <c r="JP50">
        <v>208864</v>
      </c>
      <c r="JQ50">
        <v>58034</v>
      </c>
      <c r="JR50">
        <v>8450184</v>
      </c>
      <c r="JS50">
        <v>11042</v>
      </c>
      <c r="JT50">
        <v>443128</v>
      </c>
      <c r="JU50">
        <v>4417471</v>
      </c>
      <c r="JV50">
        <v>2915010</v>
      </c>
      <c r="JW50">
        <v>0</v>
      </c>
      <c r="JX50">
        <v>1720164</v>
      </c>
      <c r="JY50">
        <v>1336961</v>
      </c>
      <c r="JZ50">
        <v>300030</v>
      </c>
      <c r="KA50">
        <v>1792334</v>
      </c>
      <c r="KB50">
        <v>143357</v>
      </c>
      <c r="KC50">
        <v>662522</v>
      </c>
      <c r="KD50">
        <v>8939863</v>
      </c>
      <c r="KE50">
        <v>871676</v>
      </c>
      <c r="KF50">
        <v>2842679</v>
      </c>
      <c r="KG50">
        <v>539484</v>
      </c>
      <c r="KH50">
        <v>2788416</v>
      </c>
      <c r="KI50">
        <v>337467</v>
      </c>
      <c r="KJ50">
        <v>538185</v>
      </c>
      <c r="KK50">
        <v>2131200</v>
      </c>
      <c r="KL50">
        <v>547018</v>
      </c>
      <c r="KM50">
        <v>397163</v>
      </c>
      <c r="KN50">
        <v>118520</v>
      </c>
      <c r="KO50">
        <v>446244</v>
      </c>
      <c r="KP50">
        <v>1570401</v>
      </c>
      <c r="KQ50">
        <v>6102240</v>
      </c>
      <c r="KR50">
        <v>2092661</v>
      </c>
      <c r="KS50">
        <v>33405</v>
      </c>
      <c r="KT50">
        <v>1684834</v>
      </c>
      <c r="KU50">
        <v>495642</v>
      </c>
      <c r="KV50">
        <v>46219120</v>
      </c>
      <c r="KW50" t="s">
        <v>359</v>
      </c>
      <c r="KX50">
        <v>90987559</v>
      </c>
      <c r="KY50">
        <v>16730803</v>
      </c>
      <c r="KZ50">
        <v>107718362</v>
      </c>
      <c r="LA50">
        <v>0</v>
      </c>
      <c r="LB50">
        <v>4033896</v>
      </c>
    </row>
    <row r="51" spans="1:314" x14ac:dyDescent="0.25">
      <c r="A51" t="s">
        <v>710</v>
      </c>
      <c r="B51" t="s">
        <v>711</v>
      </c>
      <c r="C51" t="s">
        <v>352</v>
      </c>
      <c r="D51" t="s">
        <v>712</v>
      </c>
      <c r="E51" s="2">
        <v>40938.465289351851</v>
      </c>
      <c r="G51" t="s">
        <v>713</v>
      </c>
      <c r="H51" t="s">
        <v>714</v>
      </c>
      <c r="I51" t="s">
        <v>715</v>
      </c>
      <c r="J51" t="s">
        <v>716</v>
      </c>
      <c r="K51" t="s">
        <v>717</v>
      </c>
      <c r="L51">
        <v>0</v>
      </c>
      <c r="M51">
        <v>0</v>
      </c>
      <c r="N51">
        <v>0</v>
      </c>
      <c r="O51">
        <v>224823121</v>
      </c>
      <c r="P51">
        <v>0</v>
      </c>
      <c r="Q51">
        <v>4021097</v>
      </c>
      <c r="R51">
        <v>0</v>
      </c>
      <c r="S51">
        <v>4021097</v>
      </c>
      <c r="T51">
        <v>29788022</v>
      </c>
      <c r="U51">
        <v>22128982</v>
      </c>
      <c r="V51">
        <v>13249688</v>
      </c>
      <c r="W51">
        <v>0</v>
      </c>
      <c r="X51">
        <v>0</v>
      </c>
      <c r="Y51">
        <v>0</v>
      </c>
      <c r="Z51">
        <v>65166692</v>
      </c>
      <c r="AA51">
        <v>20529284</v>
      </c>
      <c r="AB51">
        <v>3652945</v>
      </c>
      <c r="AC51">
        <v>2254643</v>
      </c>
      <c r="AD51">
        <v>0</v>
      </c>
      <c r="AE51">
        <v>0</v>
      </c>
      <c r="AF51">
        <v>3869836</v>
      </c>
      <c r="AG51">
        <v>30306708</v>
      </c>
      <c r="AH51">
        <v>50317306</v>
      </c>
      <c r="AI51">
        <v>25781927</v>
      </c>
      <c r="AJ51">
        <v>15504331</v>
      </c>
      <c r="AK51">
        <v>0</v>
      </c>
      <c r="AL51">
        <v>0</v>
      </c>
      <c r="AM51">
        <v>3869836</v>
      </c>
      <c r="AN51">
        <v>95473400</v>
      </c>
      <c r="AO51">
        <v>10606</v>
      </c>
      <c r="AP51">
        <v>0</v>
      </c>
      <c r="AQ51">
        <v>624842</v>
      </c>
      <c r="AR51">
        <v>0</v>
      </c>
      <c r="AS51">
        <v>635448</v>
      </c>
      <c r="AT51">
        <v>0</v>
      </c>
      <c r="AU51">
        <v>0</v>
      </c>
      <c r="AV51">
        <v>501765</v>
      </c>
      <c r="AW51">
        <v>659699</v>
      </c>
      <c r="AX51">
        <v>1161464</v>
      </c>
      <c r="AY51">
        <v>10606</v>
      </c>
      <c r="AZ51">
        <v>0</v>
      </c>
      <c r="BA51">
        <v>1126607</v>
      </c>
      <c r="BB51">
        <v>659699</v>
      </c>
      <c r="BC51">
        <v>1796912</v>
      </c>
      <c r="BD51">
        <v>2235603</v>
      </c>
      <c r="BE51">
        <v>0</v>
      </c>
      <c r="BF51">
        <v>0</v>
      </c>
      <c r="BG51">
        <v>0</v>
      </c>
      <c r="BH51">
        <v>0</v>
      </c>
      <c r="BI51">
        <v>2235603</v>
      </c>
      <c r="BJ51">
        <v>0</v>
      </c>
      <c r="BK51">
        <v>0</v>
      </c>
      <c r="BL51">
        <v>136615</v>
      </c>
      <c r="BM51">
        <v>0</v>
      </c>
      <c r="BN51">
        <v>0</v>
      </c>
      <c r="BO51">
        <v>136615</v>
      </c>
      <c r="BP51">
        <v>25978599</v>
      </c>
      <c r="BQ51">
        <v>0</v>
      </c>
      <c r="BR51">
        <v>0</v>
      </c>
      <c r="BS51">
        <v>0</v>
      </c>
      <c r="BT51">
        <v>2482822</v>
      </c>
      <c r="BU51">
        <v>28461421</v>
      </c>
      <c r="BV51">
        <v>28214202</v>
      </c>
      <c r="BW51">
        <v>0</v>
      </c>
      <c r="BX51">
        <v>136615</v>
      </c>
      <c r="BY51">
        <v>0</v>
      </c>
      <c r="BZ51">
        <v>2482822</v>
      </c>
      <c r="CA51">
        <v>30833639</v>
      </c>
      <c r="CB51">
        <v>0</v>
      </c>
      <c r="CC51">
        <v>0</v>
      </c>
      <c r="CD51">
        <v>0</v>
      </c>
      <c r="CE51">
        <v>0</v>
      </c>
      <c r="CF51">
        <v>0</v>
      </c>
      <c r="CG51">
        <v>0</v>
      </c>
      <c r="CH51">
        <v>0</v>
      </c>
      <c r="CI51">
        <v>0</v>
      </c>
      <c r="CJ51">
        <v>0</v>
      </c>
      <c r="CK51">
        <v>0</v>
      </c>
      <c r="CL51">
        <v>0</v>
      </c>
      <c r="CM51">
        <v>0</v>
      </c>
      <c r="CN51">
        <v>0</v>
      </c>
      <c r="CO51">
        <v>0</v>
      </c>
      <c r="CP51">
        <v>0</v>
      </c>
      <c r="CQ51">
        <v>0</v>
      </c>
      <c r="CR51" t="s">
        <v>710</v>
      </c>
      <c r="CS51">
        <v>5539879</v>
      </c>
      <c r="CT51">
        <v>0</v>
      </c>
      <c r="CU51">
        <v>99168</v>
      </c>
      <c r="CV51">
        <v>240388</v>
      </c>
      <c r="CW51">
        <v>3363120</v>
      </c>
      <c r="CX51">
        <v>2575331</v>
      </c>
      <c r="CY51">
        <v>0</v>
      </c>
      <c r="CZ51">
        <v>578584</v>
      </c>
      <c r="DA51">
        <v>393468</v>
      </c>
      <c r="DB51">
        <v>364904</v>
      </c>
      <c r="DC51">
        <v>1018096</v>
      </c>
      <c r="DD51">
        <v>44928</v>
      </c>
      <c r="DE51">
        <v>582083</v>
      </c>
      <c r="DF51">
        <v>2224952</v>
      </c>
      <c r="DG51">
        <v>515312</v>
      </c>
      <c r="DH51">
        <v>355139</v>
      </c>
      <c r="DI51">
        <v>12224</v>
      </c>
      <c r="DJ51">
        <v>964886</v>
      </c>
      <c r="DK51">
        <v>51632</v>
      </c>
      <c r="DL51">
        <v>179936</v>
      </c>
      <c r="DM51">
        <v>1308680</v>
      </c>
      <c r="DN51">
        <v>271752</v>
      </c>
      <c r="DO51">
        <v>162461</v>
      </c>
      <c r="DP51">
        <v>115457</v>
      </c>
      <c r="DQ51">
        <v>71040</v>
      </c>
      <c r="DR51">
        <v>504156</v>
      </c>
      <c r="DS51">
        <v>4383088</v>
      </c>
      <c r="DT51">
        <v>1358028</v>
      </c>
      <c r="DU51">
        <v>0</v>
      </c>
      <c r="DV51">
        <v>1594464</v>
      </c>
      <c r="DW51">
        <v>2718736</v>
      </c>
      <c r="DX51">
        <v>26052013</v>
      </c>
      <c r="DY51">
        <v>244253</v>
      </c>
      <c r="DZ51">
        <v>1407284</v>
      </c>
      <c r="EA51">
        <v>9045269</v>
      </c>
      <c r="EB51">
        <v>6013500</v>
      </c>
      <c r="EC51">
        <v>0</v>
      </c>
      <c r="ED51">
        <v>862984</v>
      </c>
      <c r="EE51">
        <v>3846067</v>
      </c>
      <c r="EF51">
        <v>1155455</v>
      </c>
      <c r="EG51">
        <v>2534944</v>
      </c>
      <c r="EH51">
        <v>94805</v>
      </c>
      <c r="EI51">
        <v>1228284</v>
      </c>
      <c r="EJ51">
        <v>7497855</v>
      </c>
      <c r="EK51">
        <v>1461035</v>
      </c>
      <c r="EL51">
        <v>2235136</v>
      </c>
      <c r="EM51">
        <v>176125</v>
      </c>
      <c r="EN51">
        <v>4769946</v>
      </c>
      <c r="EO51">
        <v>518681</v>
      </c>
      <c r="EP51">
        <v>963526</v>
      </c>
      <c r="EQ51">
        <v>3458977</v>
      </c>
      <c r="ER51">
        <v>1254449</v>
      </c>
      <c r="ES51">
        <v>799097</v>
      </c>
      <c r="ET51">
        <v>458345</v>
      </c>
      <c r="EU51">
        <v>295420</v>
      </c>
      <c r="EV51">
        <v>1639024</v>
      </c>
      <c r="EW51">
        <v>11564820</v>
      </c>
      <c r="EX51">
        <v>4827363</v>
      </c>
      <c r="EY51">
        <v>0</v>
      </c>
      <c r="EZ51">
        <v>4214334</v>
      </c>
      <c r="FA51">
        <v>9161857</v>
      </c>
      <c r="FB51">
        <v>81728835</v>
      </c>
      <c r="FC51">
        <v>31559</v>
      </c>
      <c r="FD51">
        <v>134613</v>
      </c>
      <c r="FE51">
        <v>941517</v>
      </c>
      <c r="FF51">
        <v>846976</v>
      </c>
      <c r="FG51">
        <v>0</v>
      </c>
      <c r="FH51">
        <v>329880</v>
      </c>
      <c r="FI51">
        <v>336058</v>
      </c>
      <c r="FJ51">
        <v>217274</v>
      </c>
      <c r="FK51">
        <v>255384</v>
      </c>
      <c r="FL51">
        <v>12837</v>
      </c>
      <c r="FM51">
        <v>166309</v>
      </c>
      <c r="FN51">
        <v>694316</v>
      </c>
      <c r="FO51">
        <v>222143</v>
      </c>
      <c r="FP51">
        <v>103400</v>
      </c>
      <c r="FQ51">
        <v>8028</v>
      </c>
      <c r="FR51">
        <v>549934</v>
      </c>
      <c r="FS51">
        <v>52984</v>
      </c>
      <c r="FT51">
        <v>173291</v>
      </c>
      <c r="FU51">
        <v>245673</v>
      </c>
      <c r="FV51">
        <v>116975</v>
      </c>
      <c r="FW51">
        <v>323242</v>
      </c>
      <c r="FX51">
        <v>28295</v>
      </c>
      <c r="FY51">
        <v>75162</v>
      </c>
      <c r="FZ51">
        <v>446505</v>
      </c>
      <c r="GA51">
        <v>704002</v>
      </c>
      <c r="GB51">
        <v>762941</v>
      </c>
      <c r="GC51">
        <v>0</v>
      </c>
      <c r="GD51">
        <v>299322</v>
      </c>
      <c r="GE51">
        <v>848405</v>
      </c>
      <c r="GF51">
        <v>8927025</v>
      </c>
      <c r="GG51">
        <v>16855</v>
      </c>
      <c r="GH51">
        <v>94224</v>
      </c>
      <c r="GI51">
        <v>610281</v>
      </c>
      <c r="GJ51">
        <v>419236</v>
      </c>
      <c r="GK51">
        <v>0</v>
      </c>
      <c r="GL51">
        <v>72895</v>
      </c>
      <c r="GM51">
        <v>255565</v>
      </c>
      <c r="GN51">
        <v>83886</v>
      </c>
      <c r="GO51">
        <v>170514</v>
      </c>
      <c r="GP51">
        <v>6578</v>
      </c>
      <c r="GQ51">
        <v>85222</v>
      </c>
      <c r="GR51">
        <v>500614</v>
      </c>
      <c r="GS51">
        <v>102857</v>
      </c>
      <c r="GT51">
        <v>142905</v>
      </c>
      <c r="GU51">
        <v>11253</v>
      </c>
      <c r="GV51">
        <v>325092</v>
      </c>
      <c r="GW51">
        <v>34934</v>
      </c>
      <c r="GX51">
        <v>69470</v>
      </c>
      <c r="GY51">
        <v>226387</v>
      </c>
      <c r="GZ51">
        <v>83806</v>
      </c>
      <c r="HA51">
        <v>68585</v>
      </c>
      <c r="HB51">
        <v>29738</v>
      </c>
      <c r="HC51">
        <v>22646</v>
      </c>
      <c r="HD51">
        <v>127444</v>
      </c>
      <c r="HE51">
        <v>749734</v>
      </c>
      <c r="HF51">
        <v>341617</v>
      </c>
      <c r="HG51">
        <v>0</v>
      </c>
      <c r="HH51">
        <v>275825</v>
      </c>
      <c r="HI51">
        <v>611716</v>
      </c>
      <c r="HJ51">
        <v>5539879</v>
      </c>
      <c r="HK51">
        <v>25176</v>
      </c>
      <c r="HL51">
        <v>87187</v>
      </c>
      <c r="HM51">
        <v>499467</v>
      </c>
      <c r="HN51">
        <v>104346</v>
      </c>
      <c r="HO51">
        <v>0</v>
      </c>
      <c r="HP51">
        <v>109924</v>
      </c>
      <c r="HQ51">
        <v>214081</v>
      </c>
      <c r="HR51">
        <v>254584</v>
      </c>
      <c r="HS51">
        <v>340755</v>
      </c>
      <c r="HT51">
        <v>12459</v>
      </c>
      <c r="HU51">
        <v>161421</v>
      </c>
      <c r="HV51">
        <v>65090</v>
      </c>
      <c r="HW51">
        <v>19607</v>
      </c>
      <c r="HX51">
        <v>84921</v>
      </c>
      <c r="HY51">
        <v>11953</v>
      </c>
      <c r="HZ51">
        <v>277323</v>
      </c>
      <c r="IA51">
        <v>26311</v>
      </c>
      <c r="IB51">
        <v>53774</v>
      </c>
      <c r="IC51">
        <v>32723</v>
      </c>
      <c r="ID51">
        <v>57341</v>
      </c>
      <c r="IE51">
        <v>212734</v>
      </c>
      <c r="IF51">
        <v>39397</v>
      </c>
      <c r="IG51">
        <v>14123</v>
      </c>
      <c r="IH51">
        <v>149674</v>
      </c>
      <c r="II51">
        <v>102206</v>
      </c>
      <c r="IJ51">
        <v>438708</v>
      </c>
      <c r="IK51">
        <v>0</v>
      </c>
      <c r="IL51">
        <v>39869</v>
      </c>
      <c r="IM51">
        <v>79537</v>
      </c>
      <c r="IN51">
        <v>3514691</v>
      </c>
      <c r="IO51">
        <v>73590</v>
      </c>
      <c r="IP51">
        <v>316024</v>
      </c>
      <c r="IQ51">
        <v>2051265</v>
      </c>
      <c r="IR51">
        <v>1370558</v>
      </c>
      <c r="IS51">
        <v>0</v>
      </c>
      <c r="IT51">
        <v>512699</v>
      </c>
      <c r="IU51">
        <v>805704</v>
      </c>
      <c r="IV51">
        <v>555744</v>
      </c>
      <c r="IW51">
        <v>766653</v>
      </c>
      <c r="IX51">
        <v>31874</v>
      </c>
      <c r="IY51">
        <v>412952</v>
      </c>
      <c r="IZ51">
        <v>1260020</v>
      </c>
      <c r="JA51">
        <v>344607</v>
      </c>
      <c r="JB51">
        <v>331226</v>
      </c>
      <c r="JC51">
        <v>31234</v>
      </c>
      <c r="JD51">
        <v>1152349</v>
      </c>
      <c r="JE51">
        <v>114229</v>
      </c>
      <c r="JF51">
        <v>296535</v>
      </c>
      <c r="JG51">
        <v>504783</v>
      </c>
      <c r="JH51">
        <v>258122</v>
      </c>
      <c r="JI51">
        <v>604561</v>
      </c>
      <c r="JJ51">
        <v>97430</v>
      </c>
      <c r="JK51">
        <v>111931</v>
      </c>
      <c r="JL51">
        <v>723623</v>
      </c>
      <c r="JM51">
        <v>1555942</v>
      </c>
      <c r="JN51">
        <v>1543266</v>
      </c>
      <c r="JO51">
        <v>0</v>
      </c>
      <c r="JP51">
        <v>615016</v>
      </c>
      <c r="JQ51">
        <v>1539658</v>
      </c>
      <c r="JR51">
        <v>17981595</v>
      </c>
      <c r="JS51">
        <v>317843</v>
      </c>
      <c r="JT51">
        <v>1723308</v>
      </c>
      <c r="JU51">
        <v>11096534</v>
      </c>
      <c r="JV51">
        <v>7384058</v>
      </c>
      <c r="JW51">
        <v>0</v>
      </c>
      <c r="JX51">
        <v>1375683</v>
      </c>
      <c r="JY51">
        <v>4651771</v>
      </c>
      <c r="JZ51">
        <v>1711199</v>
      </c>
      <c r="KA51">
        <v>3301597</v>
      </c>
      <c r="KB51">
        <v>126679</v>
      </c>
      <c r="KC51">
        <v>1641236</v>
      </c>
      <c r="KD51">
        <v>8757875</v>
      </c>
      <c r="KE51">
        <v>1805642</v>
      </c>
      <c r="KF51">
        <v>2566362</v>
      </c>
      <c r="KG51">
        <v>207359</v>
      </c>
      <c r="KH51">
        <v>5922295</v>
      </c>
      <c r="KI51">
        <v>632910</v>
      </c>
      <c r="KJ51">
        <v>1260061</v>
      </c>
      <c r="KK51">
        <v>3963760</v>
      </c>
      <c r="KL51">
        <v>1512571</v>
      </c>
      <c r="KM51">
        <v>1403658</v>
      </c>
      <c r="KN51">
        <v>555775</v>
      </c>
      <c r="KO51">
        <v>407351</v>
      </c>
      <c r="KP51">
        <v>2362647</v>
      </c>
      <c r="KQ51">
        <v>13120762</v>
      </c>
      <c r="KR51">
        <v>6370629</v>
      </c>
      <c r="KS51">
        <v>0</v>
      </c>
      <c r="KT51">
        <v>4829350</v>
      </c>
      <c r="KU51">
        <v>10701515</v>
      </c>
      <c r="KV51">
        <v>99710430</v>
      </c>
      <c r="KW51" t="s">
        <v>359</v>
      </c>
      <c r="KX51">
        <v>199204927</v>
      </c>
      <c r="KY51">
        <v>32630551</v>
      </c>
      <c r="KZ51">
        <v>231835478</v>
      </c>
      <c r="LA51">
        <v>0</v>
      </c>
      <c r="LB51">
        <v>7012357</v>
      </c>
    </row>
    <row r="52" spans="1:314" x14ac:dyDescent="0.25">
      <c r="A52" t="s">
        <v>718</v>
      </c>
      <c r="B52" t="s">
        <v>719</v>
      </c>
      <c r="C52" t="s">
        <v>352</v>
      </c>
      <c r="D52" t="s">
        <v>720</v>
      </c>
      <c r="E52" s="2">
        <v>40942.600868055553</v>
      </c>
      <c r="G52" t="s">
        <v>721</v>
      </c>
      <c r="H52" t="s">
        <v>722</v>
      </c>
      <c r="I52" t="s">
        <v>723</v>
      </c>
      <c r="J52" t="s">
        <v>724</v>
      </c>
      <c r="K52" t="s">
        <v>725</v>
      </c>
      <c r="L52">
        <v>0</v>
      </c>
      <c r="M52">
        <v>0</v>
      </c>
      <c r="N52">
        <v>0</v>
      </c>
      <c r="O52">
        <v>225604234</v>
      </c>
      <c r="P52">
        <v>0</v>
      </c>
      <c r="Q52">
        <v>8270519</v>
      </c>
      <c r="R52">
        <v>0</v>
      </c>
      <c r="S52">
        <v>8270519</v>
      </c>
      <c r="T52">
        <v>15591016</v>
      </c>
      <c r="U52">
        <v>17476488</v>
      </c>
      <c r="V52">
        <v>30248712</v>
      </c>
      <c r="W52">
        <v>0</v>
      </c>
      <c r="X52">
        <v>0</v>
      </c>
      <c r="Y52">
        <v>0</v>
      </c>
      <c r="Z52">
        <v>63316216</v>
      </c>
      <c r="AA52">
        <v>8816039</v>
      </c>
      <c r="AB52">
        <v>8385432</v>
      </c>
      <c r="AC52">
        <v>8432705</v>
      </c>
      <c r="AD52">
        <v>0</v>
      </c>
      <c r="AE52">
        <v>0</v>
      </c>
      <c r="AF52">
        <v>3703975</v>
      </c>
      <c r="AG52">
        <v>29338151</v>
      </c>
      <c r="AH52">
        <v>24407055</v>
      </c>
      <c r="AI52">
        <v>25861920</v>
      </c>
      <c r="AJ52">
        <v>38681417</v>
      </c>
      <c r="AK52">
        <v>0</v>
      </c>
      <c r="AL52">
        <v>0</v>
      </c>
      <c r="AM52">
        <v>3703975</v>
      </c>
      <c r="AN52">
        <v>92654367</v>
      </c>
      <c r="AO52">
        <v>889184</v>
      </c>
      <c r="AP52">
        <v>0</v>
      </c>
      <c r="AQ52">
        <v>574089</v>
      </c>
      <c r="AR52">
        <v>0</v>
      </c>
      <c r="AS52">
        <v>1463273</v>
      </c>
      <c r="AT52">
        <v>143369</v>
      </c>
      <c r="AU52">
        <v>0</v>
      </c>
      <c r="AV52">
        <v>240986</v>
      </c>
      <c r="AW52">
        <v>0</v>
      </c>
      <c r="AX52">
        <v>384355</v>
      </c>
      <c r="AY52">
        <v>1032553</v>
      </c>
      <c r="AZ52">
        <v>0</v>
      </c>
      <c r="BA52">
        <v>815075</v>
      </c>
      <c r="BB52">
        <v>0</v>
      </c>
      <c r="BC52">
        <v>1847628</v>
      </c>
      <c r="BD52">
        <v>10653987</v>
      </c>
      <c r="BE52">
        <v>0</v>
      </c>
      <c r="BF52">
        <v>0</v>
      </c>
      <c r="BG52">
        <v>0</v>
      </c>
      <c r="BH52">
        <v>0</v>
      </c>
      <c r="BI52">
        <v>10653987</v>
      </c>
      <c r="BJ52">
        <v>0</v>
      </c>
      <c r="BK52">
        <v>0</v>
      </c>
      <c r="BL52">
        <v>2814044</v>
      </c>
      <c r="BM52">
        <v>0</v>
      </c>
      <c r="BN52">
        <v>0</v>
      </c>
      <c r="BO52">
        <v>2814044</v>
      </c>
      <c r="BP52">
        <v>18846176</v>
      </c>
      <c r="BQ52">
        <v>4020927</v>
      </c>
      <c r="BR52">
        <v>0</v>
      </c>
      <c r="BS52">
        <v>0</v>
      </c>
      <c r="BT52">
        <v>114129</v>
      </c>
      <c r="BU52">
        <v>22981232</v>
      </c>
      <c r="BV52">
        <v>29500163</v>
      </c>
      <c r="BW52">
        <v>4020927</v>
      </c>
      <c r="BX52">
        <v>2814044</v>
      </c>
      <c r="BY52">
        <v>0</v>
      </c>
      <c r="BZ52">
        <v>114129</v>
      </c>
      <c r="CA52">
        <v>36449263</v>
      </c>
      <c r="CB52">
        <v>0</v>
      </c>
      <c r="CC52">
        <v>0</v>
      </c>
      <c r="CD52">
        <v>0</v>
      </c>
      <c r="CE52">
        <v>0</v>
      </c>
      <c r="CF52">
        <v>0</v>
      </c>
      <c r="CG52">
        <v>0</v>
      </c>
      <c r="CH52">
        <v>0</v>
      </c>
      <c r="CI52">
        <v>0</v>
      </c>
      <c r="CJ52">
        <v>0</v>
      </c>
      <c r="CK52">
        <v>0</v>
      </c>
      <c r="CL52">
        <v>0</v>
      </c>
      <c r="CM52">
        <v>0</v>
      </c>
      <c r="CN52">
        <v>0</v>
      </c>
      <c r="CO52">
        <v>0</v>
      </c>
      <c r="CP52">
        <v>0</v>
      </c>
      <c r="CQ52">
        <v>0</v>
      </c>
      <c r="CR52" t="s">
        <v>718</v>
      </c>
      <c r="CS52">
        <v>3868565</v>
      </c>
      <c r="CT52">
        <v>0</v>
      </c>
      <c r="CU52">
        <v>69536</v>
      </c>
      <c r="CV52">
        <v>205108</v>
      </c>
      <c r="CW52">
        <v>3105824</v>
      </c>
      <c r="CX52">
        <v>1191050</v>
      </c>
      <c r="CY52">
        <v>4320</v>
      </c>
      <c r="CZ52">
        <v>165514</v>
      </c>
      <c r="DA52">
        <v>1097797</v>
      </c>
      <c r="DB52">
        <v>21000</v>
      </c>
      <c r="DC52">
        <v>410229</v>
      </c>
      <c r="DD52">
        <v>112</v>
      </c>
      <c r="DE52">
        <v>435166</v>
      </c>
      <c r="DF52">
        <v>3156204</v>
      </c>
      <c r="DG52">
        <v>562918</v>
      </c>
      <c r="DH52">
        <v>588004</v>
      </c>
      <c r="DI52">
        <v>22160</v>
      </c>
      <c r="DJ52">
        <v>730709</v>
      </c>
      <c r="DK52">
        <v>75424</v>
      </c>
      <c r="DL52">
        <v>132912</v>
      </c>
      <c r="DM52">
        <v>1406192</v>
      </c>
      <c r="DN52">
        <v>91048</v>
      </c>
      <c r="DO52">
        <v>49694</v>
      </c>
      <c r="DP52">
        <v>32306</v>
      </c>
      <c r="DQ52">
        <v>500176</v>
      </c>
      <c r="DR52">
        <v>410994</v>
      </c>
      <c r="DS52">
        <v>4455376</v>
      </c>
      <c r="DT52">
        <v>1221144</v>
      </c>
      <c r="DU52">
        <v>0</v>
      </c>
      <c r="DV52">
        <v>2096352</v>
      </c>
      <c r="DW52">
        <v>1358064</v>
      </c>
      <c r="DX52">
        <v>23595333</v>
      </c>
      <c r="DY52">
        <v>127989</v>
      </c>
      <c r="DZ52">
        <v>815063</v>
      </c>
      <c r="EA52">
        <v>8268253</v>
      </c>
      <c r="EB52">
        <v>3632035</v>
      </c>
      <c r="EC52">
        <v>20275</v>
      </c>
      <c r="ED52">
        <v>264996</v>
      </c>
      <c r="EE52">
        <v>3826784</v>
      </c>
      <c r="EF52">
        <v>70865</v>
      </c>
      <c r="EG52">
        <v>1202385</v>
      </c>
      <c r="EH52">
        <v>727</v>
      </c>
      <c r="EI52">
        <v>1881910</v>
      </c>
      <c r="EJ52">
        <v>10599748</v>
      </c>
      <c r="EK52">
        <v>1501081</v>
      </c>
      <c r="EL52">
        <v>4013272</v>
      </c>
      <c r="EM52">
        <v>298501</v>
      </c>
      <c r="EN52">
        <v>3182724</v>
      </c>
      <c r="EO52">
        <v>786379</v>
      </c>
      <c r="EP52">
        <v>749137</v>
      </c>
      <c r="EQ52">
        <v>3362530</v>
      </c>
      <c r="ER52">
        <v>343955</v>
      </c>
      <c r="ES52">
        <v>170462</v>
      </c>
      <c r="ET52">
        <v>143211</v>
      </c>
      <c r="EU52">
        <v>1676812</v>
      </c>
      <c r="EV52">
        <v>831490</v>
      </c>
      <c r="EW52">
        <v>10934395</v>
      </c>
      <c r="EX52">
        <v>5261001</v>
      </c>
      <c r="EY52">
        <v>0</v>
      </c>
      <c r="EZ52">
        <v>5552476</v>
      </c>
      <c r="FA52">
        <v>4610292</v>
      </c>
      <c r="FB52">
        <v>74128748</v>
      </c>
      <c r="FC52">
        <v>7679</v>
      </c>
      <c r="FD52">
        <v>253363</v>
      </c>
      <c r="FE52">
        <v>663005</v>
      </c>
      <c r="FF52">
        <v>219440</v>
      </c>
      <c r="FG52">
        <v>0</v>
      </c>
      <c r="FH52">
        <v>34516</v>
      </c>
      <c r="FI52">
        <v>131230</v>
      </c>
      <c r="FJ52">
        <v>27554</v>
      </c>
      <c r="FK52">
        <v>81374</v>
      </c>
      <c r="FL52">
        <v>44</v>
      </c>
      <c r="FM52">
        <v>162010</v>
      </c>
      <c r="FN52">
        <v>579951</v>
      </c>
      <c r="FO52">
        <v>38949</v>
      </c>
      <c r="FP52">
        <v>266355</v>
      </c>
      <c r="FQ52">
        <v>49986</v>
      </c>
      <c r="FR52">
        <v>366187</v>
      </c>
      <c r="FS52">
        <v>35610</v>
      </c>
      <c r="FT52">
        <v>38998</v>
      </c>
      <c r="FU52">
        <v>108940</v>
      </c>
      <c r="FV52">
        <v>56311</v>
      </c>
      <c r="FW52">
        <v>47154</v>
      </c>
      <c r="FX52">
        <v>8593</v>
      </c>
      <c r="FY52">
        <v>115993</v>
      </c>
      <c r="FZ52">
        <v>222293</v>
      </c>
      <c r="GA52">
        <v>494048</v>
      </c>
      <c r="GB52">
        <v>485211</v>
      </c>
      <c r="GC52">
        <v>0</v>
      </c>
      <c r="GD52">
        <v>187061</v>
      </c>
      <c r="GE52">
        <v>116916</v>
      </c>
      <c r="GF52">
        <v>4798771</v>
      </c>
      <c r="GG52">
        <v>6650</v>
      </c>
      <c r="GH52">
        <v>52368</v>
      </c>
      <c r="GI52">
        <v>437758</v>
      </c>
      <c r="GJ52">
        <v>188777</v>
      </c>
      <c r="GK52">
        <v>994</v>
      </c>
      <c r="GL52">
        <v>14680</v>
      </c>
      <c r="GM52">
        <v>193999</v>
      </c>
      <c r="GN52">
        <v>4824</v>
      </c>
      <c r="GO52">
        <v>62922</v>
      </c>
      <c r="GP52">
        <v>38</v>
      </c>
      <c r="GQ52">
        <v>100181</v>
      </c>
      <c r="GR52">
        <v>547963</v>
      </c>
      <c r="GS52">
        <v>75483</v>
      </c>
      <c r="GT52">
        <v>209762</v>
      </c>
      <c r="GU52">
        <v>17081</v>
      </c>
      <c r="GV52">
        <v>173947</v>
      </c>
      <c r="GW52">
        <v>40289</v>
      </c>
      <c r="GX52">
        <v>38630</v>
      </c>
      <c r="GY52">
        <v>170151</v>
      </c>
      <c r="GZ52">
        <v>19619</v>
      </c>
      <c r="HA52">
        <v>10666</v>
      </c>
      <c r="HB52">
        <v>7441</v>
      </c>
      <c r="HC52">
        <v>87873</v>
      </c>
      <c r="HD52">
        <v>51650</v>
      </c>
      <c r="HE52">
        <v>560155</v>
      </c>
      <c r="HF52">
        <v>281646</v>
      </c>
      <c r="HG52">
        <v>0</v>
      </c>
      <c r="HH52">
        <v>281319</v>
      </c>
      <c r="HI52">
        <v>231700</v>
      </c>
      <c r="HJ52">
        <v>3868565</v>
      </c>
      <c r="HK52">
        <v>8959</v>
      </c>
      <c r="HL52">
        <v>28026</v>
      </c>
      <c r="HM52">
        <v>1200435</v>
      </c>
      <c r="HN52">
        <v>322013</v>
      </c>
      <c r="HO52">
        <v>0</v>
      </c>
      <c r="HP52">
        <v>4201</v>
      </c>
      <c r="HQ52">
        <v>277346</v>
      </c>
      <c r="HR52">
        <v>0</v>
      </c>
      <c r="HS52">
        <v>16359</v>
      </c>
      <c r="HT52">
        <v>51</v>
      </c>
      <c r="HU52">
        <v>93393</v>
      </c>
      <c r="HV52">
        <v>713484</v>
      </c>
      <c r="HW52">
        <v>2659</v>
      </c>
      <c r="HX52">
        <v>488824</v>
      </c>
      <c r="HY52">
        <v>74874</v>
      </c>
      <c r="HZ52">
        <v>730874</v>
      </c>
      <c r="IA52">
        <v>0</v>
      </c>
      <c r="IB52">
        <v>12993</v>
      </c>
      <c r="IC52">
        <v>264337</v>
      </c>
      <c r="ID52">
        <v>0</v>
      </c>
      <c r="IE52">
        <v>112601</v>
      </c>
      <c r="IF52">
        <v>10025</v>
      </c>
      <c r="IG52">
        <v>243994</v>
      </c>
      <c r="IH52">
        <v>389211</v>
      </c>
      <c r="II52">
        <v>656981</v>
      </c>
      <c r="IJ52">
        <v>631141</v>
      </c>
      <c r="IK52">
        <v>0</v>
      </c>
      <c r="IL52">
        <v>685614</v>
      </c>
      <c r="IM52">
        <v>436082</v>
      </c>
      <c r="IN52">
        <v>7404477</v>
      </c>
      <c r="IO52">
        <v>23288</v>
      </c>
      <c r="IP52">
        <v>333757</v>
      </c>
      <c r="IQ52">
        <v>2301198</v>
      </c>
      <c r="IR52">
        <v>730230</v>
      </c>
      <c r="IS52">
        <v>994</v>
      </c>
      <c r="IT52">
        <v>53397</v>
      </c>
      <c r="IU52">
        <v>602575</v>
      </c>
      <c r="IV52">
        <v>32378</v>
      </c>
      <c r="IW52">
        <v>160655</v>
      </c>
      <c r="IX52">
        <v>133</v>
      </c>
      <c r="IY52">
        <v>355584</v>
      </c>
      <c r="IZ52">
        <v>1841398</v>
      </c>
      <c r="JA52">
        <v>117091</v>
      </c>
      <c r="JB52">
        <v>964941</v>
      </c>
      <c r="JC52">
        <v>141941</v>
      </c>
      <c r="JD52">
        <v>1271008</v>
      </c>
      <c r="JE52">
        <v>75899</v>
      </c>
      <c r="JF52">
        <v>90621</v>
      </c>
      <c r="JG52">
        <v>543428</v>
      </c>
      <c r="JH52">
        <v>75930</v>
      </c>
      <c r="JI52">
        <v>170421</v>
      </c>
      <c r="JJ52">
        <v>26059</v>
      </c>
      <c r="JK52">
        <v>447860</v>
      </c>
      <c r="JL52">
        <v>663154</v>
      </c>
      <c r="JM52">
        <v>1711184</v>
      </c>
      <c r="JN52">
        <v>1397998</v>
      </c>
      <c r="JO52">
        <v>0</v>
      </c>
      <c r="JP52">
        <v>1153994</v>
      </c>
      <c r="JQ52">
        <v>784698</v>
      </c>
      <c r="JR52">
        <v>16071813</v>
      </c>
      <c r="JS52">
        <v>151277</v>
      </c>
      <c r="JT52">
        <v>1148820</v>
      </c>
      <c r="JU52">
        <v>10569451</v>
      </c>
      <c r="JV52">
        <v>4362265</v>
      </c>
      <c r="JW52">
        <v>21269</v>
      </c>
      <c r="JX52">
        <v>318393</v>
      </c>
      <c r="JY52">
        <v>4429359</v>
      </c>
      <c r="JZ52">
        <v>103243</v>
      </c>
      <c r="KA52">
        <v>1363040</v>
      </c>
      <c r="KB52">
        <v>860</v>
      </c>
      <c r="KC52">
        <v>2237494</v>
      </c>
      <c r="KD52">
        <v>12441146</v>
      </c>
      <c r="KE52">
        <v>1618172</v>
      </c>
      <c r="KF52">
        <v>4978213</v>
      </c>
      <c r="KG52">
        <v>440442</v>
      </c>
      <c r="KH52">
        <v>4453732</v>
      </c>
      <c r="KI52">
        <v>862278</v>
      </c>
      <c r="KJ52">
        <v>839758</v>
      </c>
      <c r="KK52">
        <v>3905958</v>
      </c>
      <c r="KL52">
        <v>419885</v>
      </c>
      <c r="KM52">
        <v>340883</v>
      </c>
      <c r="KN52">
        <v>169270</v>
      </c>
      <c r="KO52">
        <v>2124672</v>
      </c>
      <c r="KP52">
        <v>1494644</v>
      </c>
      <c r="KQ52">
        <v>12645579</v>
      </c>
      <c r="KR52">
        <v>6658999</v>
      </c>
      <c r="KS52">
        <v>0</v>
      </c>
      <c r="KT52">
        <v>6706470</v>
      </c>
      <c r="KU52">
        <v>5394990</v>
      </c>
      <c r="KV52">
        <v>90200561</v>
      </c>
      <c r="KW52" t="s">
        <v>359</v>
      </c>
      <c r="KX52">
        <v>191125447</v>
      </c>
      <c r="KY52">
        <v>38296891</v>
      </c>
      <c r="KZ52">
        <v>229422338</v>
      </c>
      <c r="LA52">
        <v>0</v>
      </c>
      <c r="LB52">
        <v>3818104</v>
      </c>
    </row>
    <row r="53" spans="1:314" x14ac:dyDescent="0.25">
      <c r="A53" t="s">
        <v>726</v>
      </c>
      <c r="B53" t="s">
        <v>727</v>
      </c>
      <c r="C53" t="s">
        <v>352</v>
      </c>
      <c r="D53" t="s">
        <v>728</v>
      </c>
      <c r="E53" s="2">
        <v>40941.391145833331</v>
      </c>
      <c r="G53" t="s">
        <v>729</v>
      </c>
      <c r="H53" t="s">
        <v>730</v>
      </c>
      <c r="I53" t="s">
        <v>731</v>
      </c>
      <c r="J53" t="s">
        <v>732</v>
      </c>
      <c r="K53" t="s">
        <v>733</v>
      </c>
      <c r="L53">
        <v>0</v>
      </c>
      <c r="M53">
        <v>0</v>
      </c>
      <c r="N53">
        <v>0</v>
      </c>
      <c r="O53">
        <v>206859895</v>
      </c>
      <c r="P53">
        <v>0</v>
      </c>
      <c r="Q53">
        <v>4773475</v>
      </c>
      <c r="R53">
        <v>0</v>
      </c>
      <c r="S53">
        <v>4773475</v>
      </c>
      <c r="T53">
        <v>18893770</v>
      </c>
      <c r="U53">
        <v>18859197</v>
      </c>
      <c r="V53">
        <v>17672658</v>
      </c>
      <c r="W53">
        <v>0</v>
      </c>
      <c r="X53">
        <v>0</v>
      </c>
      <c r="Y53">
        <v>0</v>
      </c>
      <c r="Z53">
        <v>55425625</v>
      </c>
      <c r="AA53">
        <v>11120581</v>
      </c>
      <c r="AB53">
        <v>1719090</v>
      </c>
      <c r="AC53">
        <v>2852697</v>
      </c>
      <c r="AD53">
        <v>0</v>
      </c>
      <c r="AE53">
        <v>0</v>
      </c>
      <c r="AF53">
        <v>3263946</v>
      </c>
      <c r="AG53">
        <v>18956314</v>
      </c>
      <c r="AH53">
        <v>30014351</v>
      </c>
      <c r="AI53">
        <v>20578287</v>
      </c>
      <c r="AJ53">
        <v>20525355</v>
      </c>
      <c r="AK53">
        <v>0</v>
      </c>
      <c r="AL53">
        <v>0</v>
      </c>
      <c r="AM53">
        <v>3263946</v>
      </c>
      <c r="AN53">
        <v>74381939</v>
      </c>
      <c r="AO53">
        <v>1999267</v>
      </c>
      <c r="AP53">
        <v>0</v>
      </c>
      <c r="AQ53">
        <v>2495247</v>
      </c>
      <c r="AR53">
        <v>0</v>
      </c>
      <c r="AS53">
        <v>4494514</v>
      </c>
      <c r="AT53">
        <v>502640</v>
      </c>
      <c r="AU53">
        <v>0</v>
      </c>
      <c r="AV53">
        <v>1511715</v>
      </c>
      <c r="AW53">
        <v>0</v>
      </c>
      <c r="AX53">
        <v>2014355</v>
      </c>
      <c r="AY53">
        <v>2501907</v>
      </c>
      <c r="AZ53">
        <v>0</v>
      </c>
      <c r="BA53">
        <v>4006962</v>
      </c>
      <c r="BB53">
        <v>0</v>
      </c>
      <c r="BC53">
        <v>6508869</v>
      </c>
      <c r="BD53">
        <v>7318042</v>
      </c>
      <c r="BE53">
        <v>0</v>
      </c>
      <c r="BF53">
        <v>0</v>
      </c>
      <c r="BG53">
        <v>0</v>
      </c>
      <c r="BH53">
        <v>0</v>
      </c>
      <c r="BI53">
        <v>7318042</v>
      </c>
      <c r="BJ53">
        <v>0</v>
      </c>
      <c r="BK53">
        <v>0</v>
      </c>
      <c r="BL53">
        <v>772873</v>
      </c>
      <c r="BM53">
        <v>0</v>
      </c>
      <c r="BN53">
        <v>0</v>
      </c>
      <c r="BO53">
        <v>772873</v>
      </c>
      <c r="BP53">
        <v>16245071</v>
      </c>
      <c r="BQ53">
        <v>0</v>
      </c>
      <c r="BR53">
        <v>0</v>
      </c>
      <c r="BS53">
        <v>0</v>
      </c>
      <c r="BT53">
        <v>6485800</v>
      </c>
      <c r="BU53">
        <v>22730871</v>
      </c>
      <c r="BV53">
        <v>23563113</v>
      </c>
      <c r="BW53">
        <v>0</v>
      </c>
      <c r="BX53">
        <v>772873</v>
      </c>
      <c r="BY53">
        <v>0</v>
      </c>
      <c r="BZ53">
        <v>6485800</v>
      </c>
      <c r="CA53">
        <v>30821786</v>
      </c>
      <c r="CB53">
        <v>0</v>
      </c>
      <c r="CC53">
        <v>0</v>
      </c>
      <c r="CD53">
        <v>0</v>
      </c>
      <c r="CE53">
        <v>0</v>
      </c>
      <c r="CF53">
        <v>0</v>
      </c>
      <c r="CG53">
        <v>0</v>
      </c>
      <c r="CH53">
        <v>0</v>
      </c>
      <c r="CI53">
        <v>0</v>
      </c>
      <c r="CJ53">
        <v>0</v>
      </c>
      <c r="CK53">
        <v>0</v>
      </c>
      <c r="CL53">
        <v>0</v>
      </c>
      <c r="CM53">
        <v>0</v>
      </c>
      <c r="CN53">
        <v>0</v>
      </c>
      <c r="CO53">
        <v>0</v>
      </c>
      <c r="CP53">
        <v>0</v>
      </c>
      <c r="CQ53">
        <v>0</v>
      </c>
      <c r="CR53" t="s">
        <v>726</v>
      </c>
      <c r="CS53">
        <v>5664117</v>
      </c>
      <c r="CT53">
        <v>0</v>
      </c>
      <c r="CU53">
        <v>95473</v>
      </c>
      <c r="CV53">
        <v>155251</v>
      </c>
      <c r="CW53">
        <v>1998240</v>
      </c>
      <c r="CX53">
        <v>910082</v>
      </c>
      <c r="CY53">
        <v>872</v>
      </c>
      <c r="CZ53">
        <v>247952</v>
      </c>
      <c r="DA53">
        <v>520976</v>
      </c>
      <c r="DB53">
        <v>23676</v>
      </c>
      <c r="DC53">
        <v>209655</v>
      </c>
      <c r="DD53">
        <v>14224</v>
      </c>
      <c r="DE53">
        <v>366672</v>
      </c>
      <c r="DF53">
        <v>2056326</v>
      </c>
      <c r="DG53">
        <v>884840</v>
      </c>
      <c r="DH53">
        <v>462924</v>
      </c>
      <c r="DI53">
        <v>23360</v>
      </c>
      <c r="DJ53">
        <v>610440</v>
      </c>
      <c r="DK53">
        <v>0</v>
      </c>
      <c r="DL53">
        <v>118357</v>
      </c>
      <c r="DM53">
        <v>957996</v>
      </c>
      <c r="DN53">
        <v>187392</v>
      </c>
      <c r="DO53">
        <v>21200</v>
      </c>
      <c r="DP53">
        <v>31568</v>
      </c>
      <c r="DQ53">
        <v>335776</v>
      </c>
      <c r="DR53">
        <v>319232</v>
      </c>
      <c r="DS53">
        <v>3496496</v>
      </c>
      <c r="DT53">
        <v>990968</v>
      </c>
      <c r="DU53">
        <v>0</v>
      </c>
      <c r="DV53">
        <v>1258656</v>
      </c>
      <c r="DW53">
        <v>520464</v>
      </c>
      <c r="DX53">
        <v>16819068</v>
      </c>
      <c r="DY53">
        <v>132347</v>
      </c>
      <c r="DZ53">
        <v>1214179</v>
      </c>
      <c r="EA53">
        <v>8485100</v>
      </c>
      <c r="EB53">
        <v>3628337</v>
      </c>
      <c r="EC53">
        <v>0</v>
      </c>
      <c r="ED53">
        <v>482193</v>
      </c>
      <c r="EE53">
        <v>3350813</v>
      </c>
      <c r="EF53">
        <v>0</v>
      </c>
      <c r="EG53">
        <v>918423</v>
      </c>
      <c r="EH53">
        <v>119677</v>
      </c>
      <c r="EI53">
        <v>2103940</v>
      </c>
      <c r="EJ53">
        <v>9249462</v>
      </c>
      <c r="EK53">
        <v>3671993</v>
      </c>
      <c r="EL53">
        <v>4179336</v>
      </c>
      <c r="EM53">
        <v>441650</v>
      </c>
      <c r="EN53">
        <v>4912147</v>
      </c>
      <c r="EO53">
        <v>0</v>
      </c>
      <c r="EP53">
        <v>1185987</v>
      </c>
      <c r="EQ53">
        <v>3554186</v>
      </c>
      <c r="ER53">
        <v>1291349</v>
      </c>
      <c r="ES53">
        <v>192492</v>
      </c>
      <c r="ET53">
        <v>705998</v>
      </c>
      <c r="EU53">
        <v>1238879</v>
      </c>
      <c r="EV53">
        <v>1105669</v>
      </c>
      <c r="EW53">
        <v>11123923</v>
      </c>
      <c r="EX53">
        <v>7181842</v>
      </c>
      <c r="EY53">
        <v>0</v>
      </c>
      <c r="EZ53">
        <v>4726897</v>
      </c>
      <c r="FA53">
        <v>2370217</v>
      </c>
      <c r="FB53">
        <v>77567036</v>
      </c>
      <c r="FC53">
        <v>37707</v>
      </c>
      <c r="FD53">
        <v>288712</v>
      </c>
      <c r="FE53">
        <v>2192057</v>
      </c>
      <c r="FF53">
        <v>318703</v>
      </c>
      <c r="FG53">
        <v>0</v>
      </c>
      <c r="FH53">
        <v>148462</v>
      </c>
      <c r="FI53">
        <v>1474144</v>
      </c>
      <c r="FJ53">
        <v>0</v>
      </c>
      <c r="FK53">
        <v>706241</v>
      </c>
      <c r="FL53">
        <v>0</v>
      </c>
      <c r="FM53">
        <v>535577</v>
      </c>
      <c r="FN53">
        <v>228138</v>
      </c>
      <c r="FO53">
        <v>171013</v>
      </c>
      <c r="FP53">
        <v>457823</v>
      </c>
      <c r="FQ53">
        <v>105829</v>
      </c>
      <c r="FR53">
        <v>654299</v>
      </c>
      <c r="FS53">
        <v>0</v>
      </c>
      <c r="FT53">
        <v>195764</v>
      </c>
      <c r="FU53">
        <v>40521</v>
      </c>
      <c r="FV53">
        <v>341953</v>
      </c>
      <c r="FW53">
        <v>210851</v>
      </c>
      <c r="FX53">
        <v>180719</v>
      </c>
      <c r="FY53">
        <v>150184</v>
      </c>
      <c r="FZ53">
        <v>306734</v>
      </c>
      <c r="GA53">
        <v>342041</v>
      </c>
      <c r="GB53">
        <v>1063712</v>
      </c>
      <c r="GC53">
        <v>0</v>
      </c>
      <c r="GD53">
        <v>162086</v>
      </c>
      <c r="GE53">
        <v>157393</v>
      </c>
      <c r="GF53">
        <v>10470663</v>
      </c>
      <c r="GG53">
        <v>10941</v>
      </c>
      <c r="GH53">
        <v>96692</v>
      </c>
      <c r="GI53">
        <v>686941</v>
      </c>
      <c r="GJ53">
        <v>253942</v>
      </c>
      <c r="GK53">
        <v>0</v>
      </c>
      <c r="GL53">
        <v>40575</v>
      </c>
      <c r="GM53">
        <v>310425</v>
      </c>
      <c r="GN53">
        <v>0</v>
      </c>
      <c r="GO53">
        <v>104527</v>
      </c>
      <c r="GP53">
        <v>7700</v>
      </c>
      <c r="GQ53">
        <v>169820</v>
      </c>
      <c r="GR53">
        <v>609764</v>
      </c>
      <c r="GS53">
        <v>247249</v>
      </c>
      <c r="GT53">
        <v>298343</v>
      </c>
      <c r="GU53">
        <v>35223</v>
      </c>
      <c r="GV53">
        <v>358131</v>
      </c>
      <c r="GW53">
        <v>0</v>
      </c>
      <c r="GX53">
        <v>88898</v>
      </c>
      <c r="GY53">
        <v>231274</v>
      </c>
      <c r="GZ53">
        <v>105082</v>
      </c>
      <c r="HA53">
        <v>25950</v>
      </c>
      <c r="HB53">
        <v>57049</v>
      </c>
      <c r="HC53">
        <v>89369</v>
      </c>
      <c r="HD53">
        <v>90870</v>
      </c>
      <c r="HE53">
        <v>737690</v>
      </c>
      <c r="HF53">
        <v>530498</v>
      </c>
      <c r="HG53">
        <v>0</v>
      </c>
      <c r="HH53">
        <v>314544</v>
      </c>
      <c r="HI53">
        <v>162620</v>
      </c>
      <c r="HJ53">
        <v>5664117</v>
      </c>
      <c r="HK53">
        <v>8511</v>
      </c>
      <c r="HL53">
        <v>223002</v>
      </c>
      <c r="HM53">
        <v>977013</v>
      </c>
      <c r="HN53">
        <v>154364</v>
      </c>
      <c r="HO53">
        <v>0</v>
      </c>
      <c r="HP53">
        <v>36293</v>
      </c>
      <c r="HQ53">
        <v>1262625</v>
      </c>
      <c r="HR53">
        <v>14538</v>
      </c>
      <c r="HS53">
        <v>194900</v>
      </c>
      <c r="HT53">
        <v>5274</v>
      </c>
      <c r="HU53">
        <v>235427</v>
      </c>
      <c r="HV53">
        <v>171718</v>
      </c>
      <c r="HW53">
        <v>98389</v>
      </c>
      <c r="HX53">
        <v>317146</v>
      </c>
      <c r="HY53">
        <v>104677</v>
      </c>
      <c r="HZ53">
        <v>449538</v>
      </c>
      <c r="IA53">
        <v>0</v>
      </c>
      <c r="IB53">
        <v>53480</v>
      </c>
      <c r="IC53">
        <v>50484</v>
      </c>
      <c r="ID53">
        <v>248001</v>
      </c>
      <c r="IE53">
        <v>593774</v>
      </c>
      <c r="IF53">
        <v>54427</v>
      </c>
      <c r="IG53">
        <v>52683</v>
      </c>
      <c r="IH53">
        <v>124801</v>
      </c>
      <c r="II53">
        <v>264598</v>
      </c>
      <c r="IJ53">
        <v>604601</v>
      </c>
      <c r="IK53">
        <v>0</v>
      </c>
      <c r="IL53">
        <v>66328</v>
      </c>
      <c r="IM53">
        <v>55164</v>
      </c>
      <c r="IN53">
        <v>6421756</v>
      </c>
      <c r="IO53">
        <v>57159</v>
      </c>
      <c r="IP53">
        <v>608406</v>
      </c>
      <c r="IQ53">
        <v>3856011</v>
      </c>
      <c r="IR53">
        <v>727009</v>
      </c>
      <c r="IS53">
        <v>0</v>
      </c>
      <c r="IT53">
        <v>225330</v>
      </c>
      <c r="IU53">
        <v>3047194</v>
      </c>
      <c r="IV53">
        <v>14538</v>
      </c>
      <c r="IW53">
        <v>1005668</v>
      </c>
      <c r="IX53">
        <v>12974</v>
      </c>
      <c r="IY53">
        <v>940824</v>
      </c>
      <c r="IZ53">
        <v>1009620</v>
      </c>
      <c r="JA53">
        <v>516651</v>
      </c>
      <c r="JB53">
        <v>1073312</v>
      </c>
      <c r="JC53">
        <v>245729</v>
      </c>
      <c r="JD53">
        <v>1461968</v>
      </c>
      <c r="JE53">
        <v>0</v>
      </c>
      <c r="JF53">
        <v>338142</v>
      </c>
      <c r="JG53">
        <v>322279</v>
      </c>
      <c r="JH53">
        <v>695036</v>
      </c>
      <c r="JI53">
        <v>830575</v>
      </c>
      <c r="JJ53">
        <v>292195</v>
      </c>
      <c r="JK53">
        <v>292236</v>
      </c>
      <c r="JL53">
        <v>522405</v>
      </c>
      <c r="JM53">
        <v>1344329</v>
      </c>
      <c r="JN53">
        <v>2198811</v>
      </c>
      <c r="JO53">
        <v>0</v>
      </c>
      <c r="JP53">
        <v>542958</v>
      </c>
      <c r="JQ53">
        <v>375177</v>
      </c>
      <c r="JR53">
        <v>22556536</v>
      </c>
      <c r="JS53">
        <v>189506</v>
      </c>
      <c r="JT53">
        <v>1822585</v>
      </c>
      <c r="JU53">
        <v>12341111</v>
      </c>
      <c r="JV53">
        <v>4355346</v>
      </c>
      <c r="JW53">
        <v>0</v>
      </c>
      <c r="JX53">
        <v>707523</v>
      </c>
      <c r="JY53">
        <v>6398007</v>
      </c>
      <c r="JZ53">
        <v>14538</v>
      </c>
      <c r="KA53">
        <v>1924091</v>
      </c>
      <c r="KB53">
        <v>132651</v>
      </c>
      <c r="KC53">
        <v>3044764</v>
      </c>
      <c r="KD53">
        <v>10259082</v>
      </c>
      <c r="KE53">
        <v>4188644</v>
      </c>
      <c r="KF53">
        <v>5252648</v>
      </c>
      <c r="KG53">
        <v>687379</v>
      </c>
      <c r="KH53">
        <v>6374115</v>
      </c>
      <c r="KI53">
        <v>0</v>
      </c>
      <c r="KJ53">
        <v>1524129</v>
      </c>
      <c r="KK53">
        <v>3876465</v>
      </c>
      <c r="KL53">
        <v>1986385</v>
      </c>
      <c r="KM53">
        <v>1023067</v>
      </c>
      <c r="KN53">
        <v>998193</v>
      </c>
      <c r="KO53">
        <v>1531115</v>
      </c>
      <c r="KP53">
        <v>1628074</v>
      </c>
      <c r="KQ53">
        <v>12468252</v>
      </c>
      <c r="KR53">
        <v>9380653</v>
      </c>
      <c r="KS53">
        <v>0</v>
      </c>
      <c r="KT53">
        <v>5269855</v>
      </c>
      <c r="KU53">
        <v>2745394</v>
      </c>
      <c r="KV53">
        <v>100123572</v>
      </c>
      <c r="KW53" t="s">
        <v>359</v>
      </c>
      <c r="KX53">
        <v>179278986</v>
      </c>
      <c r="KY53">
        <v>37330655</v>
      </c>
      <c r="KZ53">
        <v>216609641</v>
      </c>
      <c r="LA53">
        <v>0</v>
      </c>
      <c r="LB53">
        <v>9749746</v>
      </c>
    </row>
    <row r="54" spans="1:314" x14ac:dyDescent="0.25">
      <c r="A54" t="s">
        <v>734</v>
      </c>
      <c r="B54" t="s">
        <v>735</v>
      </c>
      <c r="C54" t="s">
        <v>352</v>
      </c>
      <c r="D54" t="s">
        <v>736</v>
      </c>
      <c r="E54" s="2">
        <v>40939.4453587963</v>
      </c>
      <c r="G54" t="s">
        <v>737</v>
      </c>
      <c r="H54" t="s">
        <v>738</v>
      </c>
      <c r="I54" t="s">
        <v>444</v>
      </c>
      <c r="J54" t="s">
        <v>739</v>
      </c>
      <c r="K54" t="s">
        <v>740</v>
      </c>
      <c r="L54">
        <v>0</v>
      </c>
      <c r="M54">
        <v>0</v>
      </c>
      <c r="N54">
        <v>0</v>
      </c>
      <c r="O54">
        <v>12798282</v>
      </c>
      <c r="P54">
        <v>0</v>
      </c>
      <c r="Q54">
        <v>286160</v>
      </c>
      <c r="R54">
        <v>0</v>
      </c>
      <c r="S54">
        <v>286160</v>
      </c>
      <c r="T54">
        <v>1464353</v>
      </c>
      <c r="U54">
        <v>738260</v>
      </c>
      <c r="V54">
        <v>685529</v>
      </c>
      <c r="W54">
        <v>0</v>
      </c>
      <c r="X54">
        <v>0</v>
      </c>
      <c r="Y54">
        <v>0</v>
      </c>
      <c r="Z54">
        <v>2888142</v>
      </c>
      <c r="AA54">
        <v>1017490</v>
      </c>
      <c r="AB54">
        <v>125403</v>
      </c>
      <c r="AC54">
        <v>97981</v>
      </c>
      <c r="AD54">
        <v>0</v>
      </c>
      <c r="AE54">
        <v>0</v>
      </c>
      <c r="AF54">
        <v>0</v>
      </c>
      <c r="AG54">
        <v>1240874</v>
      </c>
      <c r="AH54">
        <v>2481843</v>
      </c>
      <c r="AI54">
        <v>863663</v>
      </c>
      <c r="AJ54">
        <v>783510</v>
      </c>
      <c r="AK54">
        <v>0</v>
      </c>
      <c r="AL54">
        <v>0</v>
      </c>
      <c r="AM54">
        <v>0</v>
      </c>
      <c r="AN54">
        <v>4129016</v>
      </c>
      <c r="AO54">
        <v>0</v>
      </c>
      <c r="AP54">
        <v>0</v>
      </c>
      <c r="AQ54">
        <v>54700</v>
      </c>
      <c r="AR54">
        <v>0</v>
      </c>
      <c r="AS54">
        <v>54700</v>
      </c>
      <c r="AT54">
        <v>0</v>
      </c>
      <c r="AU54">
        <v>0</v>
      </c>
      <c r="AV54">
        <v>127583</v>
      </c>
      <c r="AW54">
        <v>0</v>
      </c>
      <c r="AX54">
        <v>127583</v>
      </c>
      <c r="AY54">
        <v>0</v>
      </c>
      <c r="AZ54">
        <v>0</v>
      </c>
      <c r="BA54">
        <v>182283</v>
      </c>
      <c r="BB54">
        <v>0</v>
      </c>
      <c r="BC54">
        <v>182283</v>
      </c>
      <c r="BD54">
        <v>317241</v>
      </c>
      <c r="BE54">
        <v>0</v>
      </c>
      <c r="BF54">
        <v>0</v>
      </c>
      <c r="BG54">
        <v>0</v>
      </c>
      <c r="BH54">
        <v>0</v>
      </c>
      <c r="BI54">
        <v>317241</v>
      </c>
      <c r="BJ54">
        <v>0</v>
      </c>
      <c r="BK54">
        <v>0</v>
      </c>
      <c r="BL54">
        <v>30848</v>
      </c>
      <c r="BM54">
        <v>0</v>
      </c>
      <c r="BN54">
        <v>0</v>
      </c>
      <c r="BO54">
        <v>30848</v>
      </c>
      <c r="BP54">
        <v>989878</v>
      </c>
      <c r="BQ54">
        <v>0</v>
      </c>
      <c r="BR54">
        <v>0</v>
      </c>
      <c r="BS54">
        <v>0</v>
      </c>
      <c r="BT54">
        <v>353775</v>
      </c>
      <c r="BU54">
        <v>1343653</v>
      </c>
      <c r="BV54">
        <v>1307119</v>
      </c>
      <c r="BW54">
        <v>0</v>
      </c>
      <c r="BX54">
        <v>30848</v>
      </c>
      <c r="BY54">
        <v>0</v>
      </c>
      <c r="BZ54">
        <v>353775</v>
      </c>
      <c r="CA54">
        <v>1691742</v>
      </c>
      <c r="CB54">
        <v>0</v>
      </c>
      <c r="CC54">
        <v>0</v>
      </c>
      <c r="CD54">
        <v>0</v>
      </c>
      <c r="CE54">
        <v>0</v>
      </c>
      <c r="CF54">
        <v>0</v>
      </c>
      <c r="CG54">
        <v>0</v>
      </c>
      <c r="CH54">
        <v>0</v>
      </c>
      <c r="CI54">
        <v>0</v>
      </c>
      <c r="CJ54">
        <v>0</v>
      </c>
      <c r="CK54">
        <v>0</v>
      </c>
      <c r="CL54">
        <v>0</v>
      </c>
      <c r="CM54">
        <v>0</v>
      </c>
      <c r="CN54">
        <v>0</v>
      </c>
      <c r="CO54">
        <v>0</v>
      </c>
      <c r="CP54">
        <v>0</v>
      </c>
      <c r="CQ54">
        <v>0</v>
      </c>
      <c r="CR54" t="s">
        <v>734</v>
      </c>
      <c r="CS54">
        <v>564570</v>
      </c>
      <c r="CT54">
        <v>0</v>
      </c>
      <c r="CU54">
        <v>17376</v>
      </c>
      <c r="CV54">
        <v>48688</v>
      </c>
      <c r="CW54">
        <v>166864</v>
      </c>
      <c r="CX54">
        <v>80422</v>
      </c>
      <c r="CY54">
        <v>0</v>
      </c>
      <c r="CZ54">
        <v>2512</v>
      </c>
      <c r="DA54">
        <v>20426</v>
      </c>
      <c r="DB54">
        <v>13196</v>
      </c>
      <c r="DC54">
        <v>93536</v>
      </c>
      <c r="DD54">
        <v>224</v>
      </c>
      <c r="DE54">
        <v>10542</v>
      </c>
      <c r="DF54">
        <v>162384</v>
      </c>
      <c r="DG54">
        <v>14416</v>
      </c>
      <c r="DH54">
        <v>56667</v>
      </c>
      <c r="DI54">
        <v>24416</v>
      </c>
      <c r="DJ54">
        <v>95455</v>
      </c>
      <c r="DK54">
        <v>0</v>
      </c>
      <c r="DL54">
        <v>23264</v>
      </c>
      <c r="DM54">
        <v>88720</v>
      </c>
      <c r="DN54">
        <v>43616</v>
      </c>
      <c r="DO54">
        <v>0</v>
      </c>
      <c r="DP54">
        <v>768</v>
      </c>
      <c r="DQ54">
        <v>43200</v>
      </c>
      <c r="DR54">
        <v>50812</v>
      </c>
      <c r="DS54">
        <v>241920</v>
      </c>
      <c r="DT54">
        <v>44816</v>
      </c>
      <c r="DU54">
        <v>0</v>
      </c>
      <c r="DV54">
        <v>51984</v>
      </c>
      <c r="DW54">
        <v>42144</v>
      </c>
      <c r="DX54">
        <v>1438368</v>
      </c>
      <c r="DY54">
        <v>171301</v>
      </c>
      <c r="DZ54">
        <v>119790</v>
      </c>
      <c r="EA54">
        <v>660791</v>
      </c>
      <c r="EB54">
        <v>273774</v>
      </c>
      <c r="EC54">
        <v>0</v>
      </c>
      <c r="ED54">
        <v>0</v>
      </c>
      <c r="EE54">
        <v>175391</v>
      </c>
      <c r="EF54">
        <v>842</v>
      </c>
      <c r="EG54">
        <v>213168</v>
      </c>
      <c r="EH54">
        <v>926</v>
      </c>
      <c r="EI54">
        <v>0</v>
      </c>
      <c r="EJ54">
        <v>460485</v>
      </c>
      <c r="EK54">
        <v>71228</v>
      </c>
      <c r="EL54">
        <v>366091</v>
      </c>
      <c r="EM54">
        <v>244619</v>
      </c>
      <c r="EN54">
        <v>434970</v>
      </c>
      <c r="EO54">
        <v>0</v>
      </c>
      <c r="EP54">
        <v>175247</v>
      </c>
      <c r="EQ54">
        <v>390143</v>
      </c>
      <c r="ER54">
        <v>296031</v>
      </c>
      <c r="ES54">
        <v>0</v>
      </c>
      <c r="ET54">
        <v>5120</v>
      </c>
      <c r="EU54">
        <v>133632</v>
      </c>
      <c r="EV54">
        <v>234429</v>
      </c>
      <c r="EW54">
        <v>601840</v>
      </c>
      <c r="EX54">
        <v>243249</v>
      </c>
      <c r="EY54">
        <v>0</v>
      </c>
      <c r="EZ54">
        <v>68867</v>
      </c>
      <c r="FA54">
        <v>68867</v>
      </c>
      <c r="FB54">
        <v>5410801</v>
      </c>
      <c r="FC54">
        <v>43288</v>
      </c>
      <c r="FD54">
        <v>33</v>
      </c>
      <c r="FE54">
        <v>8430</v>
      </c>
      <c r="FF54">
        <v>32477</v>
      </c>
      <c r="FG54">
        <v>0</v>
      </c>
      <c r="FH54">
        <v>0</v>
      </c>
      <c r="FI54">
        <v>881</v>
      </c>
      <c r="FJ54">
        <v>31062</v>
      </c>
      <c r="FK54">
        <v>16902</v>
      </c>
      <c r="FL54">
        <v>0</v>
      </c>
      <c r="FM54">
        <v>30149</v>
      </c>
      <c r="FN54">
        <v>17765</v>
      </c>
      <c r="FO54">
        <v>71</v>
      </c>
      <c r="FP54">
        <v>2141</v>
      </c>
      <c r="FQ54">
        <v>22634</v>
      </c>
      <c r="FR54">
        <v>33775</v>
      </c>
      <c r="FS54">
        <v>0</v>
      </c>
      <c r="FT54">
        <v>0</v>
      </c>
      <c r="FU54">
        <v>16679</v>
      </c>
      <c r="FV54">
        <v>0</v>
      </c>
      <c r="FW54">
        <v>0</v>
      </c>
      <c r="FX54">
        <v>0</v>
      </c>
      <c r="FY54">
        <v>7617</v>
      </c>
      <c r="FZ54">
        <v>24545</v>
      </c>
      <c r="GA54">
        <v>39650</v>
      </c>
      <c r="GB54">
        <v>24344</v>
      </c>
      <c r="GC54">
        <v>0</v>
      </c>
      <c r="GD54">
        <v>21372</v>
      </c>
      <c r="GE54">
        <v>21371</v>
      </c>
      <c r="GF54">
        <v>395186</v>
      </c>
      <c r="GG54">
        <v>20866</v>
      </c>
      <c r="GH54">
        <v>11652</v>
      </c>
      <c r="GI54">
        <v>65075</v>
      </c>
      <c r="GJ54">
        <v>29780</v>
      </c>
      <c r="GK54">
        <v>0</v>
      </c>
      <c r="GL54">
        <v>0</v>
      </c>
      <c r="GM54">
        <v>17141</v>
      </c>
      <c r="GN54">
        <v>3102</v>
      </c>
      <c r="GO54">
        <v>22372</v>
      </c>
      <c r="GP54">
        <v>90</v>
      </c>
      <c r="GQ54">
        <v>2932</v>
      </c>
      <c r="GR54">
        <v>46505</v>
      </c>
      <c r="GS54">
        <v>6933</v>
      </c>
      <c r="GT54">
        <v>35807</v>
      </c>
      <c r="GU54">
        <v>25987</v>
      </c>
      <c r="GV54">
        <v>45580</v>
      </c>
      <c r="GW54">
        <v>0</v>
      </c>
      <c r="GX54">
        <v>17041</v>
      </c>
      <c r="GY54">
        <v>39559</v>
      </c>
      <c r="GZ54">
        <v>28786</v>
      </c>
      <c r="HA54">
        <v>0</v>
      </c>
      <c r="HB54">
        <v>498</v>
      </c>
      <c r="HC54">
        <v>13735</v>
      </c>
      <c r="HD54">
        <v>25182</v>
      </c>
      <c r="HE54">
        <v>62378</v>
      </c>
      <c r="HF54">
        <v>26021</v>
      </c>
      <c r="HG54">
        <v>0</v>
      </c>
      <c r="HH54">
        <v>8775</v>
      </c>
      <c r="HI54">
        <v>8775</v>
      </c>
      <c r="HJ54">
        <v>564570</v>
      </c>
      <c r="HK54">
        <v>53153</v>
      </c>
      <c r="HL54">
        <v>36598</v>
      </c>
      <c r="HM54">
        <v>47517</v>
      </c>
      <c r="HN54">
        <v>28613</v>
      </c>
      <c r="HO54">
        <v>0</v>
      </c>
      <c r="HP54">
        <v>27979</v>
      </c>
      <c r="HQ54">
        <v>5057</v>
      </c>
      <c r="HR54">
        <v>6544</v>
      </c>
      <c r="HS54">
        <v>24279</v>
      </c>
      <c r="HT54">
        <v>67</v>
      </c>
      <c r="HU54">
        <v>3663</v>
      </c>
      <c r="HV54">
        <v>31024</v>
      </c>
      <c r="HW54">
        <v>1328</v>
      </c>
      <c r="HX54">
        <v>22797</v>
      </c>
      <c r="HY54">
        <v>21198</v>
      </c>
      <c r="HZ54">
        <v>50245</v>
      </c>
      <c r="IA54">
        <v>0</v>
      </c>
      <c r="IB54">
        <v>8911</v>
      </c>
      <c r="IC54">
        <v>7626</v>
      </c>
      <c r="ID54">
        <v>33525</v>
      </c>
      <c r="IE54">
        <v>0</v>
      </c>
      <c r="IF54">
        <v>580</v>
      </c>
      <c r="IG54">
        <v>1257</v>
      </c>
      <c r="IH54">
        <v>45928</v>
      </c>
      <c r="II54">
        <v>18431</v>
      </c>
      <c r="IJ54">
        <v>12312</v>
      </c>
      <c r="IK54">
        <v>0</v>
      </c>
      <c r="IL54">
        <v>1833</v>
      </c>
      <c r="IM54">
        <v>1834</v>
      </c>
      <c r="IN54">
        <v>492299</v>
      </c>
      <c r="IO54">
        <v>117307</v>
      </c>
      <c r="IP54">
        <v>48283</v>
      </c>
      <c r="IQ54">
        <v>121022</v>
      </c>
      <c r="IR54">
        <v>90870</v>
      </c>
      <c r="IS54">
        <v>0</v>
      </c>
      <c r="IT54">
        <v>27979</v>
      </c>
      <c r="IU54">
        <v>23079</v>
      </c>
      <c r="IV54">
        <v>40708</v>
      </c>
      <c r="IW54">
        <v>63553</v>
      </c>
      <c r="IX54">
        <v>157</v>
      </c>
      <c r="IY54">
        <v>36744</v>
      </c>
      <c r="IZ54">
        <v>95294</v>
      </c>
      <c r="JA54">
        <v>8332</v>
      </c>
      <c r="JB54">
        <v>60745</v>
      </c>
      <c r="JC54">
        <v>69819</v>
      </c>
      <c r="JD54">
        <v>129600</v>
      </c>
      <c r="JE54">
        <v>0</v>
      </c>
      <c r="JF54">
        <v>25952</v>
      </c>
      <c r="JG54">
        <v>63864</v>
      </c>
      <c r="JH54">
        <v>62311</v>
      </c>
      <c r="JI54">
        <v>0</v>
      </c>
      <c r="JJ54">
        <v>1078</v>
      </c>
      <c r="JK54">
        <v>22609</v>
      </c>
      <c r="JL54">
        <v>95655</v>
      </c>
      <c r="JM54">
        <v>120459</v>
      </c>
      <c r="JN54">
        <v>62677</v>
      </c>
      <c r="JO54">
        <v>0</v>
      </c>
      <c r="JP54">
        <v>31980</v>
      </c>
      <c r="JQ54">
        <v>31980</v>
      </c>
      <c r="JR54">
        <v>1452055</v>
      </c>
      <c r="JS54">
        <v>288608</v>
      </c>
      <c r="JT54">
        <v>168073</v>
      </c>
      <c r="JU54">
        <v>781813</v>
      </c>
      <c r="JV54">
        <v>364644</v>
      </c>
      <c r="JW54">
        <v>0</v>
      </c>
      <c r="JX54">
        <v>27979</v>
      </c>
      <c r="JY54">
        <v>198470</v>
      </c>
      <c r="JZ54">
        <v>41550</v>
      </c>
      <c r="KA54">
        <v>276721</v>
      </c>
      <c r="KB54">
        <v>1083</v>
      </c>
      <c r="KC54">
        <v>36744</v>
      </c>
      <c r="KD54">
        <v>555779</v>
      </c>
      <c r="KE54">
        <v>79560</v>
      </c>
      <c r="KF54">
        <v>426836</v>
      </c>
      <c r="KG54">
        <v>314438</v>
      </c>
      <c r="KH54">
        <v>564570</v>
      </c>
      <c r="KI54">
        <v>0</v>
      </c>
      <c r="KJ54">
        <v>201199</v>
      </c>
      <c r="KK54">
        <v>454007</v>
      </c>
      <c r="KL54">
        <v>358342</v>
      </c>
      <c r="KM54">
        <v>0</v>
      </c>
      <c r="KN54">
        <v>6198</v>
      </c>
      <c r="KO54">
        <v>156241</v>
      </c>
      <c r="KP54">
        <v>330084</v>
      </c>
      <c r="KQ54">
        <v>722299</v>
      </c>
      <c r="KR54">
        <v>305926</v>
      </c>
      <c r="KS54">
        <v>0</v>
      </c>
      <c r="KT54">
        <v>100847</v>
      </c>
      <c r="KU54">
        <v>100847</v>
      </c>
      <c r="KV54">
        <v>6862856</v>
      </c>
      <c r="KW54" t="s">
        <v>359</v>
      </c>
      <c r="KX54">
        <v>11278032</v>
      </c>
      <c r="KY54">
        <v>1874025</v>
      </c>
      <c r="KZ54">
        <v>13152057</v>
      </c>
      <c r="LA54">
        <v>0</v>
      </c>
      <c r="LB54">
        <v>353775</v>
      </c>
    </row>
    <row r="55" spans="1:314" x14ac:dyDescent="0.25">
      <c r="A55" t="s">
        <v>741</v>
      </c>
      <c r="B55" t="s">
        <v>742</v>
      </c>
      <c r="C55" t="s">
        <v>352</v>
      </c>
      <c r="D55" t="s">
        <v>743</v>
      </c>
      <c r="E55" s="2">
        <v>40933.563148148147</v>
      </c>
      <c r="G55" t="s">
        <v>744</v>
      </c>
      <c r="H55" t="s">
        <v>745</v>
      </c>
      <c r="I55" t="s">
        <v>746</v>
      </c>
      <c r="J55" t="s">
        <v>747</v>
      </c>
      <c r="K55" t="s">
        <v>748</v>
      </c>
      <c r="L55">
        <v>0</v>
      </c>
      <c r="M55">
        <v>0</v>
      </c>
      <c r="N55">
        <v>0</v>
      </c>
      <c r="O55">
        <v>15847746</v>
      </c>
      <c r="P55">
        <v>0</v>
      </c>
      <c r="Q55">
        <v>1068600</v>
      </c>
      <c r="R55">
        <v>0</v>
      </c>
      <c r="S55">
        <v>1068600</v>
      </c>
      <c r="T55">
        <v>1982412</v>
      </c>
      <c r="U55">
        <v>816054</v>
      </c>
      <c r="V55">
        <v>591301</v>
      </c>
      <c r="W55">
        <v>0</v>
      </c>
      <c r="X55">
        <v>8211</v>
      </c>
      <c r="Y55">
        <v>0</v>
      </c>
      <c r="Z55">
        <v>3397978</v>
      </c>
      <c r="AA55">
        <v>1109990</v>
      </c>
      <c r="AB55">
        <v>3602</v>
      </c>
      <c r="AC55">
        <v>719003</v>
      </c>
      <c r="AD55">
        <v>0</v>
      </c>
      <c r="AE55">
        <v>0</v>
      </c>
      <c r="AF55">
        <v>891936</v>
      </c>
      <c r="AG55">
        <v>2724531</v>
      </c>
      <c r="AH55">
        <v>3092402</v>
      </c>
      <c r="AI55">
        <v>819656</v>
      </c>
      <c r="AJ55">
        <v>1310304</v>
      </c>
      <c r="AK55">
        <v>0</v>
      </c>
      <c r="AL55">
        <v>8211</v>
      </c>
      <c r="AM55">
        <v>891936</v>
      </c>
      <c r="AN55">
        <v>6122509</v>
      </c>
      <c r="AO55">
        <v>0</v>
      </c>
      <c r="AP55">
        <v>97459</v>
      </c>
      <c r="AQ55">
        <v>271229</v>
      </c>
      <c r="AR55">
        <v>0</v>
      </c>
      <c r="AS55">
        <v>368688</v>
      </c>
      <c r="AT55">
        <v>0</v>
      </c>
      <c r="AU55">
        <v>76044</v>
      </c>
      <c r="AV55">
        <v>70936</v>
      </c>
      <c r="AW55">
        <v>0</v>
      </c>
      <c r="AX55">
        <v>146980</v>
      </c>
      <c r="AY55">
        <v>0</v>
      </c>
      <c r="AZ55">
        <v>173503</v>
      </c>
      <c r="BA55">
        <v>342165</v>
      </c>
      <c r="BB55">
        <v>0</v>
      </c>
      <c r="BC55">
        <v>515668</v>
      </c>
      <c r="BD55">
        <v>749624</v>
      </c>
      <c r="BE55">
        <v>315794</v>
      </c>
      <c r="BF55">
        <v>0</v>
      </c>
      <c r="BG55">
        <v>0</v>
      </c>
      <c r="BH55">
        <v>0</v>
      </c>
      <c r="BI55">
        <v>1065418</v>
      </c>
      <c r="BJ55">
        <v>0</v>
      </c>
      <c r="BK55">
        <v>0</v>
      </c>
      <c r="BL55">
        <v>307263</v>
      </c>
      <c r="BM55">
        <v>0</v>
      </c>
      <c r="BN55">
        <v>0</v>
      </c>
      <c r="BO55">
        <v>307263</v>
      </c>
      <c r="BP55">
        <v>609682</v>
      </c>
      <c r="BQ55">
        <v>0</v>
      </c>
      <c r="BR55">
        <v>0</v>
      </c>
      <c r="BS55">
        <v>0</v>
      </c>
      <c r="BT55">
        <v>450435</v>
      </c>
      <c r="BU55">
        <v>1060117</v>
      </c>
      <c r="BV55">
        <v>1359306</v>
      </c>
      <c r="BW55">
        <v>315794</v>
      </c>
      <c r="BX55">
        <v>307263</v>
      </c>
      <c r="BY55">
        <v>0</v>
      </c>
      <c r="BZ55">
        <v>450435</v>
      </c>
      <c r="CA55">
        <v>2432798</v>
      </c>
      <c r="CB55">
        <v>0</v>
      </c>
      <c r="CC55">
        <v>0</v>
      </c>
      <c r="CD55">
        <v>0</v>
      </c>
      <c r="CE55">
        <v>0</v>
      </c>
      <c r="CF55">
        <v>0</v>
      </c>
      <c r="CG55">
        <v>0</v>
      </c>
      <c r="CH55">
        <v>0</v>
      </c>
      <c r="CI55">
        <v>0</v>
      </c>
      <c r="CJ55">
        <v>0</v>
      </c>
      <c r="CK55">
        <v>0</v>
      </c>
      <c r="CL55">
        <v>0</v>
      </c>
      <c r="CM55">
        <v>0</v>
      </c>
      <c r="CN55">
        <v>0</v>
      </c>
      <c r="CO55">
        <v>0</v>
      </c>
      <c r="CP55">
        <v>0</v>
      </c>
      <c r="CQ55">
        <v>0</v>
      </c>
      <c r="CR55" t="s">
        <v>741</v>
      </c>
      <c r="CS55">
        <v>1489641</v>
      </c>
      <c r="CT55">
        <v>0</v>
      </c>
      <c r="CU55">
        <v>0</v>
      </c>
      <c r="CV55">
        <v>0</v>
      </c>
      <c r="CW55">
        <v>107360</v>
      </c>
      <c r="CX55">
        <v>91104</v>
      </c>
      <c r="CY55">
        <v>0</v>
      </c>
      <c r="CZ55">
        <v>30656</v>
      </c>
      <c r="DA55">
        <v>145344</v>
      </c>
      <c r="DB55">
        <v>37341</v>
      </c>
      <c r="DC55">
        <v>140832</v>
      </c>
      <c r="DD55">
        <v>0</v>
      </c>
      <c r="DE55">
        <v>101408</v>
      </c>
      <c r="DF55">
        <v>93648</v>
      </c>
      <c r="DG55">
        <v>5088</v>
      </c>
      <c r="DH55">
        <v>248896</v>
      </c>
      <c r="DI55">
        <v>0</v>
      </c>
      <c r="DJ55">
        <v>74272</v>
      </c>
      <c r="DK55">
        <v>0</v>
      </c>
      <c r="DL55">
        <v>148864</v>
      </c>
      <c r="DM55">
        <v>40896</v>
      </c>
      <c r="DN55">
        <v>31776</v>
      </c>
      <c r="DO55">
        <v>29952</v>
      </c>
      <c r="DP55">
        <v>9792</v>
      </c>
      <c r="DQ55">
        <v>13728</v>
      </c>
      <c r="DR55">
        <v>5184</v>
      </c>
      <c r="DS55">
        <v>149120</v>
      </c>
      <c r="DT55">
        <v>75296</v>
      </c>
      <c r="DU55">
        <v>0</v>
      </c>
      <c r="DV55">
        <v>62736</v>
      </c>
      <c r="DW55">
        <v>33552</v>
      </c>
      <c r="DX55">
        <v>1676845</v>
      </c>
      <c r="DY55">
        <v>0</v>
      </c>
      <c r="DZ55">
        <v>0</v>
      </c>
      <c r="EA55">
        <v>267372</v>
      </c>
      <c r="EB55">
        <v>226888</v>
      </c>
      <c r="EC55">
        <v>0</v>
      </c>
      <c r="ED55">
        <v>76347</v>
      </c>
      <c r="EE55">
        <v>361969</v>
      </c>
      <c r="EF55">
        <v>92995</v>
      </c>
      <c r="EG55">
        <v>350732</v>
      </c>
      <c r="EH55">
        <v>0</v>
      </c>
      <c r="EI55">
        <v>252549</v>
      </c>
      <c r="EJ55">
        <v>233224</v>
      </c>
      <c r="EK55">
        <v>12671</v>
      </c>
      <c r="EL55">
        <v>619857</v>
      </c>
      <c r="EM55">
        <v>0</v>
      </c>
      <c r="EN55">
        <v>184969</v>
      </c>
      <c r="EO55">
        <v>0</v>
      </c>
      <c r="EP55">
        <v>370735</v>
      </c>
      <c r="EQ55">
        <v>101849</v>
      </c>
      <c r="ER55">
        <v>79136</v>
      </c>
      <c r="ES55">
        <v>74593</v>
      </c>
      <c r="ET55">
        <v>24386</v>
      </c>
      <c r="EU55">
        <v>34189</v>
      </c>
      <c r="EV55">
        <v>12910</v>
      </c>
      <c r="EW55">
        <v>371372</v>
      </c>
      <c r="EX55">
        <v>187519</v>
      </c>
      <c r="EY55">
        <v>0</v>
      </c>
      <c r="EZ55">
        <v>156239</v>
      </c>
      <c r="FA55">
        <v>83559</v>
      </c>
      <c r="FB55">
        <v>4176060</v>
      </c>
      <c r="FC55">
        <v>0</v>
      </c>
      <c r="FD55">
        <v>0</v>
      </c>
      <c r="FE55">
        <v>66781</v>
      </c>
      <c r="FF55">
        <v>56670</v>
      </c>
      <c r="FG55">
        <v>0</v>
      </c>
      <c r="FH55">
        <v>19069</v>
      </c>
      <c r="FI55">
        <v>90409</v>
      </c>
      <c r="FJ55">
        <v>23227</v>
      </c>
      <c r="FK55">
        <v>87602</v>
      </c>
      <c r="FL55">
        <v>0</v>
      </c>
      <c r="FM55">
        <v>63079</v>
      </c>
      <c r="FN55">
        <v>58252</v>
      </c>
      <c r="FO55">
        <v>3165</v>
      </c>
      <c r="FP55">
        <v>154821</v>
      </c>
      <c r="FQ55">
        <v>0</v>
      </c>
      <c r="FR55">
        <v>46200</v>
      </c>
      <c r="FS55">
        <v>0</v>
      </c>
      <c r="FT55">
        <v>92598</v>
      </c>
      <c r="FU55">
        <v>25439</v>
      </c>
      <c r="FV55">
        <v>19766</v>
      </c>
      <c r="FW55">
        <v>18631</v>
      </c>
      <c r="FX55">
        <v>6091</v>
      </c>
      <c r="FY55">
        <v>8539</v>
      </c>
      <c r="FZ55">
        <v>3225</v>
      </c>
      <c r="GA55">
        <v>92757</v>
      </c>
      <c r="GB55">
        <v>46836</v>
      </c>
      <c r="GC55">
        <v>0</v>
      </c>
      <c r="GD55">
        <v>39024</v>
      </c>
      <c r="GE55">
        <v>20870</v>
      </c>
      <c r="GF55">
        <v>1043051</v>
      </c>
      <c r="GG55">
        <v>0</v>
      </c>
      <c r="GH55">
        <v>0</v>
      </c>
      <c r="GI55">
        <v>95374</v>
      </c>
      <c r="GJ55">
        <v>80933</v>
      </c>
      <c r="GK55">
        <v>0</v>
      </c>
      <c r="GL55">
        <v>27234</v>
      </c>
      <c r="GM55">
        <v>129118</v>
      </c>
      <c r="GN55">
        <v>33172</v>
      </c>
      <c r="GO55">
        <v>125109</v>
      </c>
      <c r="GP55">
        <v>0</v>
      </c>
      <c r="GQ55">
        <v>90087</v>
      </c>
      <c r="GR55">
        <v>83193</v>
      </c>
      <c r="GS55">
        <v>4520</v>
      </c>
      <c r="GT55">
        <v>221109</v>
      </c>
      <c r="GU55">
        <v>0</v>
      </c>
      <c r="GV55">
        <v>65980</v>
      </c>
      <c r="GW55">
        <v>0</v>
      </c>
      <c r="GX55">
        <v>132245</v>
      </c>
      <c r="GY55">
        <v>36331</v>
      </c>
      <c r="GZ55">
        <v>28229</v>
      </c>
      <c r="HA55">
        <v>26608</v>
      </c>
      <c r="HB55">
        <v>8699</v>
      </c>
      <c r="HC55">
        <v>12195</v>
      </c>
      <c r="HD55">
        <v>4605</v>
      </c>
      <c r="HE55">
        <v>132472</v>
      </c>
      <c r="HF55">
        <v>66890</v>
      </c>
      <c r="HG55">
        <v>0</v>
      </c>
      <c r="HH55">
        <v>55732</v>
      </c>
      <c r="HI55">
        <v>29806</v>
      </c>
      <c r="HJ55">
        <v>1489641</v>
      </c>
      <c r="HK55">
        <v>0</v>
      </c>
      <c r="HL55">
        <v>0</v>
      </c>
      <c r="HM55">
        <v>21883</v>
      </c>
      <c r="HN55">
        <v>18570</v>
      </c>
      <c r="HO55">
        <v>0</v>
      </c>
      <c r="HP55">
        <v>6249</v>
      </c>
      <c r="HQ55">
        <v>29625</v>
      </c>
      <c r="HR55">
        <v>7611</v>
      </c>
      <c r="HS55">
        <v>28706</v>
      </c>
      <c r="HT55">
        <v>0</v>
      </c>
      <c r="HU55">
        <v>20670</v>
      </c>
      <c r="HV55">
        <v>19088</v>
      </c>
      <c r="HW55">
        <v>1037</v>
      </c>
      <c r="HX55">
        <v>50732</v>
      </c>
      <c r="HY55">
        <v>0</v>
      </c>
      <c r="HZ55">
        <v>15139</v>
      </c>
      <c r="IA55">
        <v>0</v>
      </c>
      <c r="IB55">
        <v>30343</v>
      </c>
      <c r="IC55">
        <v>8336</v>
      </c>
      <c r="ID55">
        <v>6477</v>
      </c>
      <c r="IE55">
        <v>6105</v>
      </c>
      <c r="IF55">
        <v>1996</v>
      </c>
      <c r="IG55">
        <v>2798</v>
      </c>
      <c r="IH55">
        <v>1057</v>
      </c>
      <c r="II55">
        <v>30395</v>
      </c>
      <c r="IJ55">
        <v>15347</v>
      </c>
      <c r="IK55">
        <v>0</v>
      </c>
      <c r="IL55">
        <v>12787</v>
      </c>
      <c r="IM55">
        <v>6839</v>
      </c>
      <c r="IN55">
        <v>341790</v>
      </c>
      <c r="IO55">
        <v>0</v>
      </c>
      <c r="IP55">
        <v>0</v>
      </c>
      <c r="IQ55">
        <v>184038</v>
      </c>
      <c r="IR55">
        <v>156173</v>
      </c>
      <c r="IS55">
        <v>0</v>
      </c>
      <c r="IT55">
        <v>52552</v>
      </c>
      <c r="IU55">
        <v>249152</v>
      </c>
      <c r="IV55">
        <v>64010</v>
      </c>
      <c r="IW55">
        <v>241417</v>
      </c>
      <c r="IX55">
        <v>0</v>
      </c>
      <c r="IY55">
        <v>173836</v>
      </c>
      <c r="IZ55">
        <v>160533</v>
      </c>
      <c r="JA55">
        <v>8722</v>
      </c>
      <c r="JB55">
        <v>426662</v>
      </c>
      <c r="JC55">
        <v>0</v>
      </c>
      <c r="JD55">
        <v>127319</v>
      </c>
      <c r="JE55">
        <v>0</v>
      </c>
      <c r="JF55">
        <v>255186</v>
      </c>
      <c r="JG55">
        <v>70106</v>
      </c>
      <c r="JH55">
        <v>54472</v>
      </c>
      <c r="JI55">
        <v>51344</v>
      </c>
      <c r="JJ55">
        <v>16786</v>
      </c>
      <c r="JK55">
        <v>23532</v>
      </c>
      <c r="JL55">
        <v>8887</v>
      </c>
      <c r="JM55">
        <v>255624</v>
      </c>
      <c r="JN55">
        <v>129073</v>
      </c>
      <c r="JO55">
        <v>0</v>
      </c>
      <c r="JP55">
        <v>107543</v>
      </c>
      <c r="JQ55">
        <v>57515</v>
      </c>
      <c r="JR55">
        <v>2874482</v>
      </c>
      <c r="JS55">
        <v>0</v>
      </c>
      <c r="JT55">
        <v>0</v>
      </c>
      <c r="JU55">
        <v>451410</v>
      </c>
      <c r="JV55">
        <v>383061</v>
      </c>
      <c r="JW55">
        <v>0</v>
      </c>
      <c r="JX55">
        <v>128899</v>
      </c>
      <c r="JY55">
        <v>611121</v>
      </c>
      <c r="JZ55">
        <v>157005</v>
      </c>
      <c r="KA55">
        <v>592149</v>
      </c>
      <c r="KB55">
        <v>0</v>
      </c>
      <c r="KC55">
        <v>426385</v>
      </c>
      <c r="KD55">
        <v>393757</v>
      </c>
      <c r="KE55">
        <v>21393</v>
      </c>
      <c r="KF55">
        <v>1046519</v>
      </c>
      <c r="KG55">
        <v>0</v>
      </c>
      <c r="KH55">
        <v>312288</v>
      </c>
      <c r="KI55">
        <v>0</v>
      </c>
      <c r="KJ55">
        <v>625921</v>
      </c>
      <c r="KK55">
        <v>171955</v>
      </c>
      <c r="KL55">
        <v>133608</v>
      </c>
      <c r="KM55">
        <v>125937</v>
      </c>
      <c r="KN55">
        <v>41172</v>
      </c>
      <c r="KO55">
        <v>57721</v>
      </c>
      <c r="KP55">
        <v>21797</v>
      </c>
      <c r="KQ55">
        <v>626996</v>
      </c>
      <c r="KR55">
        <v>316592</v>
      </c>
      <c r="KS55">
        <v>0</v>
      </c>
      <c r="KT55">
        <v>263782</v>
      </c>
      <c r="KU55">
        <v>141074</v>
      </c>
      <c r="KV55">
        <v>7050542</v>
      </c>
      <c r="KW55" t="s">
        <v>359</v>
      </c>
      <c r="KX55">
        <v>14241651</v>
      </c>
      <c r="KY55">
        <v>2948466</v>
      </c>
      <c r="KZ55">
        <v>17190117</v>
      </c>
      <c r="LA55">
        <v>0</v>
      </c>
      <c r="LB55">
        <v>1342371</v>
      </c>
    </row>
    <row r="56" spans="1:314" x14ac:dyDescent="0.25">
      <c r="A56" t="s">
        <v>749</v>
      </c>
      <c r="B56" t="s">
        <v>750</v>
      </c>
      <c r="C56" t="s">
        <v>352</v>
      </c>
      <c r="D56" t="s">
        <v>751</v>
      </c>
      <c r="E56" s="2">
        <v>40939.643425925926</v>
      </c>
      <c r="G56" t="s">
        <v>752</v>
      </c>
      <c r="H56" t="s">
        <v>753</v>
      </c>
      <c r="I56" t="s">
        <v>381</v>
      </c>
      <c r="J56" t="s">
        <v>754</v>
      </c>
      <c r="K56" t="s">
        <v>755</v>
      </c>
      <c r="L56">
        <v>0</v>
      </c>
      <c r="M56">
        <v>0</v>
      </c>
      <c r="N56">
        <v>0</v>
      </c>
      <c r="O56">
        <v>14796628</v>
      </c>
      <c r="P56">
        <v>0</v>
      </c>
      <c r="Q56" s="65">
        <v>398033.69</v>
      </c>
      <c r="R56">
        <v>0</v>
      </c>
      <c r="S56">
        <v>1844276</v>
      </c>
      <c r="T56">
        <v>1543510</v>
      </c>
      <c r="U56">
        <v>939623</v>
      </c>
      <c r="V56">
        <v>983664</v>
      </c>
      <c r="W56">
        <v>0</v>
      </c>
      <c r="X56">
        <v>9298</v>
      </c>
      <c r="Y56">
        <v>0</v>
      </c>
      <c r="Z56">
        <v>3476095</v>
      </c>
      <c r="AA56">
        <v>859954</v>
      </c>
      <c r="AB56">
        <v>54006</v>
      </c>
      <c r="AC56">
        <v>1020244</v>
      </c>
      <c r="AD56">
        <v>0</v>
      </c>
      <c r="AE56">
        <v>495780</v>
      </c>
      <c r="AF56">
        <v>1679787</v>
      </c>
      <c r="AG56">
        <v>4109771</v>
      </c>
      <c r="AH56">
        <v>2403464</v>
      </c>
      <c r="AI56">
        <v>993629</v>
      </c>
      <c r="AJ56">
        <v>2003908</v>
      </c>
      <c r="AK56">
        <v>0</v>
      </c>
      <c r="AL56">
        <v>505078</v>
      </c>
      <c r="AM56">
        <v>1679787</v>
      </c>
      <c r="AN56">
        <v>7585866</v>
      </c>
      <c r="AO56">
        <v>604032</v>
      </c>
      <c r="AP56">
        <v>0</v>
      </c>
      <c r="AQ56">
        <v>95269</v>
      </c>
      <c r="AR56">
        <v>0</v>
      </c>
      <c r="AS56">
        <v>699301</v>
      </c>
      <c r="AT56">
        <v>600901</v>
      </c>
      <c r="AU56">
        <v>0</v>
      </c>
      <c r="AV56">
        <v>111624</v>
      </c>
      <c r="AW56">
        <v>0</v>
      </c>
      <c r="AX56">
        <v>712525</v>
      </c>
      <c r="AY56">
        <v>1204933</v>
      </c>
      <c r="AZ56">
        <v>0</v>
      </c>
      <c r="BA56">
        <v>206893</v>
      </c>
      <c r="BB56">
        <v>0</v>
      </c>
      <c r="BC56">
        <v>1411826</v>
      </c>
      <c r="BD56">
        <v>165548</v>
      </c>
      <c r="BE56">
        <v>0</v>
      </c>
      <c r="BF56">
        <v>0</v>
      </c>
      <c r="BG56">
        <v>0</v>
      </c>
      <c r="BH56">
        <v>0</v>
      </c>
      <c r="BI56">
        <v>165548</v>
      </c>
      <c r="BJ56">
        <v>0</v>
      </c>
      <c r="BK56">
        <v>0</v>
      </c>
      <c r="BL56">
        <v>59422</v>
      </c>
      <c r="BM56">
        <v>0</v>
      </c>
      <c r="BN56">
        <v>0</v>
      </c>
      <c r="BO56">
        <v>59422</v>
      </c>
      <c r="BP56">
        <v>655602</v>
      </c>
      <c r="BQ56">
        <v>0</v>
      </c>
      <c r="BR56">
        <v>0</v>
      </c>
      <c r="BS56">
        <v>0</v>
      </c>
      <c r="BT56">
        <v>0</v>
      </c>
      <c r="BU56">
        <v>655602</v>
      </c>
      <c r="BV56">
        <v>821150</v>
      </c>
      <c r="BW56">
        <v>0</v>
      </c>
      <c r="BX56">
        <v>59422</v>
      </c>
      <c r="BY56">
        <v>0</v>
      </c>
      <c r="BZ56">
        <v>0</v>
      </c>
      <c r="CA56">
        <v>880572</v>
      </c>
      <c r="CB56">
        <v>0</v>
      </c>
      <c r="CC56">
        <v>0</v>
      </c>
      <c r="CD56">
        <v>0</v>
      </c>
      <c r="CE56">
        <v>0</v>
      </c>
      <c r="CF56">
        <v>0</v>
      </c>
      <c r="CG56">
        <v>0</v>
      </c>
      <c r="CH56">
        <v>0</v>
      </c>
      <c r="CI56">
        <v>0</v>
      </c>
      <c r="CJ56">
        <v>0</v>
      </c>
      <c r="CK56">
        <v>0</v>
      </c>
      <c r="CL56">
        <v>0</v>
      </c>
      <c r="CM56">
        <v>0</v>
      </c>
      <c r="CN56">
        <v>0</v>
      </c>
      <c r="CO56">
        <v>0</v>
      </c>
      <c r="CP56">
        <v>0</v>
      </c>
      <c r="CQ56">
        <v>0</v>
      </c>
      <c r="CR56" t="s">
        <v>749</v>
      </c>
      <c r="CS56">
        <v>350559</v>
      </c>
      <c r="CT56">
        <v>0</v>
      </c>
      <c r="CU56">
        <v>1440</v>
      </c>
      <c r="CV56">
        <v>10688</v>
      </c>
      <c r="CW56">
        <v>175728</v>
      </c>
      <c r="CX56">
        <v>61272</v>
      </c>
      <c r="CY56">
        <v>0</v>
      </c>
      <c r="CZ56">
        <v>0</v>
      </c>
      <c r="DA56">
        <v>48552</v>
      </c>
      <c r="DB56">
        <v>512</v>
      </c>
      <c r="DC56">
        <v>37948</v>
      </c>
      <c r="DD56">
        <v>0</v>
      </c>
      <c r="DE56">
        <v>17024</v>
      </c>
      <c r="DF56">
        <v>103680</v>
      </c>
      <c r="DG56">
        <v>9332</v>
      </c>
      <c r="DH56">
        <v>148944</v>
      </c>
      <c r="DI56">
        <v>0</v>
      </c>
      <c r="DJ56">
        <v>27476</v>
      </c>
      <c r="DK56">
        <v>0</v>
      </c>
      <c r="DL56">
        <v>286928</v>
      </c>
      <c r="DM56">
        <v>30368</v>
      </c>
      <c r="DN56">
        <v>0</v>
      </c>
      <c r="DO56">
        <v>1800</v>
      </c>
      <c r="DP56">
        <v>1440</v>
      </c>
      <c r="DQ56">
        <v>17808</v>
      </c>
      <c r="DR56">
        <v>19968</v>
      </c>
      <c r="DS56">
        <v>154752</v>
      </c>
      <c r="DT56">
        <v>25784</v>
      </c>
      <c r="DU56">
        <v>0</v>
      </c>
      <c r="DV56">
        <v>52896</v>
      </c>
      <c r="DW56">
        <v>16192</v>
      </c>
      <c r="DX56">
        <v>1250532</v>
      </c>
      <c r="DY56">
        <v>4150</v>
      </c>
      <c r="DZ56">
        <v>0</v>
      </c>
      <c r="EA56">
        <v>486637</v>
      </c>
      <c r="EB56">
        <v>173601</v>
      </c>
      <c r="EC56">
        <v>0</v>
      </c>
      <c r="ED56">
        <v>0</v>
      </c>
      <c r="EE56">
        <v>134870</v>
      </c>
      <c r="EF56">
        <v>1476</v>
      </c>
      <c r="EG56">
        <v>94293</v>
      </c>
      <c r="EH56">
        <v>0</v>
      </c>
      <c r="EI56">
        <v>37257</v>
      </c>
      <c r="EJ56">
        <v>294685</v>
      </c>
      <c r="EK56">
        <v>25452</v>
      </c>
      <c r="EL56">
        <v>421669</v>
      </c>
      <c r="EM56">
        <v>0</v>
      </c>
      <c r="EN56">
        <v>72345</v>
      </c>
      <c r="EO56">
        <v>0</v>
      </c>
      <c r="EP56">
        <v>826693</v>
      </c>
      <c r="EQ56">
        <v>85717</v>
      </c>
      <c r="ER56">
        <v>0</v>
      </c>
      <c r="ES56">
        <v>0</v>
      </c>
      <c r="ET56">
        <v>4150</v>
      </c>
      <c r="EU56">
        <v>51320</v>
      </c>
      <c r="EV56">
        <v>54824</v>
      </c>
      <c r="EW56">
        <v>438361</v>
      </c>
      <c r="EX56">
        <v>71469</v>
      </c>
      <c r="EY56">
        <v>0</v>
      </c>
      <c r="EZ56">
        <v>152437</v>
      </c>
      <c r="FA56">
        <v>43435</v>
      </c>
      <c r="FB56">
        <v>3474841</v>
      </c>
      <c r="FC56">
        <v>405</v>
      </c>
      <c r="FD56">
        <v>0</v>
      </c>
      <c r="FE56">
        <v>47511</v>
      </c>
      <c r="FF56">
        <v>16949</v>
      </c>
      <c r="FG56">
        <v>0</v>
      </c>
      <c r="FH56">
        <v>0</v>
      </c>
      <c r="FI56">
        <v>13167</v>
      </c>
      <c r="FJ56">
        <v>144</v>
      </c>
      <c r="FK56">
        <v>9206</v>
      </c>
      <c r="FL56">
        <v>0</v>
      </c>
      <c r="FM56">
        <v>3637</v>
      </c>
      <c r="FN56">
        <v>28770</v>
      </c>
      <c r="FO56">
        <v>2485</v>
      </c>
      <c r="FP56">
        <v>41168</v>
      </c>
      <c r="FQ56">
        <v>0</v>
      </c>
      <c r="FR56">
        <v>7063</v>
      </c>
      <c r="FS56">
        <v>0</v>
      </c>
      <c r="FT56">
        <v>80711</v>
      </c>
      <c r="FU56">
        <v>8369</v>
      </c>
      <c r="FV56">
        <v>0</v>
      </c>
      <c r="FW56">
        <v>0</v>
      </c>
      <c r="FX56">
        <v>405</v>
      </c>
      <c r="FY56">
        <v>5010</v>
      </c>
      <c r="FZ56">
        <v>5353</v>
      </c>
      <c r="GA56">
        <v>42798</v>
      </c>
      <c r="GB56">
        <v>6978</v>
      </c>
      <c r="GC56">
        <v>0</v>
      </c>
      <c r="GD56">
        <v>14882</v>
      </c>
      <c r="GE56">
        <v>4241</v>
      </c>
      <c r="GF56">
        <v>339252</v>
      </c>
      <c r="GG56">
        <v>419</v>
      </c>
      <c r="GH56">
        <v>0</v>
      </c>
      <c r="GI56">
        <v>49094</v>
      </c>
      <c r="GJ56">
        <v>17514</v>
      </c>
      <c r="GK56">
        <v>0</v>
      </c>
      <c r="GL56">
        <v>0</v>
      </c>
      <c r="GM56">
        <v>13606</v>
      </c>
      <c r="GN56">
        <v>149</v>
      </c>
      <c r="GO56">
        <v>9513</v>
      </c>
      <c r="GP56">
        <v>0</v>
      </c>
      <c r="GQ56">
        <v>3759</v>
      </c>
      <c r="GR56">
        <v>29729</v>
      </c>
      <c r="GS56">
        <v>2568</v>
      </c>
      <c r="GT56">
        <v>42540</v>
      </c>
      <c r="GU56">
        <v>0</v>
      </c>
      <c r="GV56">
        <v>7299</v>
      </c>
      <c r="GW56">
        <v>0</v>
      </c>
      <c r="GX56">
        <v>83401</v>
      </c>
      <c r="GY56">
        <v>8648</v>
      </c>
      <c r="GZ56">
        <v>0</v>
      </c>
      <c r="HA56">
        <v>0</v>
      </c>
      <c r="HB56">
        <v>419</v>
      </c>
      <c r="HC56">
        <v>5177</v>
      </c>
      <c r="HD56">
        <v>5531</v>
      </c>
      <c r="HE56">
        <v>44224</v>
      </c>
      <c r="HF56">
        <v>7210</v>
      </c>
      <c r="HG56">
        <v>0</v>
      </c>
      <c r="HH56">
        <v>15379</v>
      </c>
      <c r="HI56">
        <v>4382</v>
      </c>
      <c r="HJ56">
        <v>350559</v>
      </c>
      <c r="HK56">
        <v>704</v>
      </c>
      <c r="HL56">
        <v>0</v>
      </c>
      <c r="HM56">
        <v>82518</v>
      </c>
      <c r="HN56">
        <v>29437</v>
      </c>
      <c r="HO56">
        <v>0</v>
      </c>
      <c r="HP56">
        <v>0</v>
      </c>
      <c r="HQ56">
        <v>22870</v>
      </c>
      <c r="HR56">
        <v>250</v>
      </c>
      <c r="HS56">
        <v>15989</v>
      </c>
      <c r="HT56">
        <v>0</v>
      </c>
      <c r="HU56">
        <v>6317</v>
      </c>
      <c r="HV56">
        <v>49969</v>
      </c>
      <c r="HW56">
        <v>4316</v>
      </c>
      <c r="HX56">
        <v>71502</v>
      </c>
      <c r="HY56">
        <v>0</v>
      </c>
      <c r="HZ56">
        <v>12268</v>
      </c>
      <c r="IA56">
        <v>0</v>
      </c>
      <c r="IB56">
        <v>140181</v>
      </c>
      <c r="IC56">
        <v>14535</v>
      </c>
      <c r="ID56">
        <v>0</v>
      </c>
      <c r="IE56">
        <v>0</v>
      </c>
      <c r="IF56">
        <v>704</v>
      </c>
      <c r="IG56">
        <v>8702</v>
      </c>
      <c r="IH56">
        <v>9296</v>
      </c>
      <c r="II56">
        <v>74332</v>
      </c>
      <c r="IJ56">
        <v>12119</v>
      </c>
      <c r="IK56">
        <v>0</v>
      </c>
      <c r="IL56">
        <v>25849</v>
      </c>
      <c r="IM56">
        <v>7365</v>
      </c>
      <c r="IN56">
        <v>589223</v>
      </c>
      <c r="IO56">
        <v>1528</v>
      </c>
      <c r="IP56">
        <v>0</v>
      </c>
      <c r="IQ56">
        <v>179123</v>
      </c>
      <c r="IR56">
        <v>63900</v>
      </c>
      <c r="IS56">
        <v>0</v>
      </c>
      <c r="IT56">
        <v>0</v>
      </c>
      <c r="IU56">
        <v>49643</v>
      </c>
      <c r="IV56">
        <v>543</v>
      </c>
      <c r="IW56">
        <v>34708</v>
      </c>
      <c r="IX56">
        <v>0</v>
      </c>
      <c r="IY56">
        <v>13713</v>
      </c>
      <c r="IZ56">
        <v>108468</v>
      </c>
      <c r="JA56">
        <v>9369</v>
      </c>
      <c r="JB56">
        <v>155210</v>
      </c>
      <c r="JC56">
        <v>0</v>
      </c>
      <c r="JD56">
        <v>26630</v>
      </c>
      <c r="JE56">
        <v>0</v>
      </c>
      <c r="JF56">
        <v>304293</v>
      </c>
      <c r="JG56">
        <v>31552</v>
      </c>
      <c r="JH56">
        <v>0</v>
      </c>
      <c r="JI56">
        <v>0</v>
      </c>
      <c r="JJ56">
        <v>1528</v>
      </c>
      <c r="JK56">
        <v>18889</v>
      </c>
      <c r="JL56">
        <v>20180</v>
      </c>
      <c r="JM56">
        <v>161354</v>
      </c>
      <c r="JN56">
        <v>26307</v>
      </c>
      <c r="JO56">
        <v>0</v>
      </c>
      <c r="JP56">
        <v>56110</v>
      </c>
      <c r="JQ56">
        <v>15988</v>
      </c>
      <c r="JR56">
        <v>1279034</v>
      </c>
      <c r="JS56">
        <v>5678</v>
      </c>
      <c r="JT56">
        <v>0</v>
      </c>
      <c r="JU56">
        <v>665760</v>
      </c>
      <c r="JV56">
        <v>237501</v>
      </c>
      <c r="JW56">
        <v>0</v>
      </c>
      <c r="JX56">
        <v>0</v>
      </c>
      <c r="JY56">
        <v>184513</v>
      </c>
      <c r="JZ56">
        <v>2019</v>
      </c>
      <c r="KA56">
        <v>129001</v>
      </c>
      <c r="KB56">
        <v>0</v>
      </c>
      <c r="KC56">
        <v>50970</v>
      </c>
      <c r="KD56">
        <v>403153</v>
      </c>
      <c r="KE56">
        <v>34821</v>
      </c>
      <c r="KF56">
        <v>576879</v>
      </c>
      <c r="KG56">
        <v>0</v>
      </c>
      <c r="KH56">
        <v>98975</v>
      </c>
      <c r="KI56">
        <v>0</v>
      </c>
      <c r="KJ56">
        <v>1130986</v>
      </c>
      <c r="KK56">
        <v>117269</v>
      </c>
      <c r="KL56">
        <v>0</v>
      </c>
      <c r="KM56">
        <v>0</v>
      </c>
      <c r="KN56">
        <v>5678</v>
      </c>
      <c r="KO56">
        <v>70209</v>
      </c>
      <c r="KP56">
        <v>75004</v>
      </c>
      <c r="KQ56">
        <v>599715</v>
      </c>
      <c r="KR56">
        <v>97776</v>
      </c>
      <c r="KS56">
        <v>0</v>
      </c>
      <c r="KT56">
        <v>208547</v>
      </c>
      <c r="KU56">
        <v>59423</v>
      </c>
      <c r="KV56">
        <v>4753875</v>
      </c>
      <c r="KW56" t="s">
        <v>756</v>
      </c>
      <c r="KX56">
        <v>14184017</v>
      </c>
      <c r="KY56">
        <v>2292398</v>
      </c>
      <c r="KZ56">
        <v>16476415</v>
      </c>
      <c r="LA56">
        <v>0</v>
      </c>
      <c r="LB56">
        <v>1679787</v>
      </c>
    </row>
    <row r="57" spans="1:314" x14ac:dyDescent="0.25">
      <c r="A57" t="s">
        <v>757</v>
      </c>
      <c r="B57" t="s">
        <v>758</v>
      </c>
      <c r="C57" t="s">
        <v>352</v>
      </c>
      <c r="D57" t="s">
        <v>759</v>
      </c>
      <c r="E57" s="2">
        <v>40938.378796296296</v>
      </c>
      <c r="G57" t="s">
        <v>760</v>
      </c>
      <c r="H57" t="s">
        <v>761</v>
      </c>
      <c r="I57" t="s">
        <v>762</v>
      </c>
      <c r="J57" t="s">
        <v>763</v>
      </c>
      <c r="K57" t="s">
        <v>764</v>
      </c>
      <c r="L57">
        <v>0</v>
      </c>
      <c r="M57">
        <v>0</v>
      </c>
      <c r="N57">
        <v>0</v>
      </c>
      <c r="O57">
        <v>89502097</v>
      </c>
      <c r="P57">
        <v>0</v>
      </c>
      <c r="Q57">
        <v>1294811</v>
      </c>
      <c r="R57">
        <v>0</v>
      </c>
      <c r="S57">
        <v>1294811</v>
      </c>
      <c r="T57">
        <v>7260202</v>
      </c>
      <c r="U57">
        <v>6328231</v>
      </c>
      <c r="V57">
        <v>6389220</v>
      </c>
      <c r="W57">
        <v>0</v>
      </c>
      <c r="X57">
        <v>0</v>
      </c>
      <c r="Y57">
        <v>0</v>
      </c>
      <c r="Z57">
        <v>19977653</v>
      </c>
      <c r="AA57">
        <v>4898005</v>
      </c>
      <c r="AB57">
        <v>663319</v>
      </c>
      <c r="AC57">
        <v>1434152</v>
      </c>
      <c r="AD57">
        <v>0</v>
      </c>
      <c r="AE57">
        <v>0</v>
      </c>
      <c r="AF57">
        <v>2363991</v>
      </c>
      <c r="AG57">
        <v>9359467</v>
      </c>
      <c r="AH57">
        <v>12158207</v>
      </c>
      <c r="AI57">
        <v>6991550</v>
      </c>
      <c r="AJ57">
        <v>7823372</v>
      </c>
      <c r="AK57">
        <v>0</v>
      </c>
      <c r="AL57">
        <v>0</v>
      </c>
      <c r="AM57">
        <v>2363991</v>
      </c>
      <c r="AN57">
        <v>29337120</v>
      </c>
      <c r="AO57">
        <v>414289</v>
      </c>
      <c r="AP57">
        <v>0</v>
      </c>
      <c r="AQ57">
        <v>41831</v>
      </c>
      <c r="AR57">
        <v>0</v>
      </c>
      <c r="AS57">
        <v>456120</v>
      </c>
      <c r="AT57">
        <v>22180</v>
      </c>
      <c r="AU57">
        <v>0</v>
      </c>
      <c r="AV57">
        <v>0</v>
      </c>
      <c r="AW57">
        <v>0</v>
      </c>
      <c r="AX57">
        <v>22180</v>
      </c>
      <c r="AY57">
        <v>436469</v>
      </c>
      <c r="AZ57">
        <v>0</v>
      </c>
      <c r="BA57">
        <v>41831</v>
      </c>
      <c r="BB57">
        <v>0</v>
      </c>
      <c r="BC57">
        <v>478300</v>
      </c>
      <c r="BD57">
        <v>3035166</v>
      </c>
      <c r="BE57">
        <v>0</v>
      </c>
      <c r="BF57">
        <v>0</v>
      </c>
      <c r="BG57">
        <v>0</v>
      </c>
      <c r="BH57">
        <v>0</v>
      </c>
      <c r="BI57">
        <v>3035166</v>
      </c>
      <c r="BJ57">
        <v>0</v>
      </c>
      <c r="BK57">
        <v>0</v>
      </c>
      <c r="BL57">
        <v>380113</v>
      </c>
      <c r="BM57">
        <v>0</v>
      </c>
      <c r="BN57">
        <v>0</v>
      </c>
      <c r="BO57">
        <v>380113</v>
      </c>
      <c r="BP57">
        <v>7016380</v>
      </c>
      <c r="BQ57">
        <v>984099</v>
      </c>
      <c r="BR57">
        <v>0</v>
      </c>
      <c r="BS57">
        <v>0</v>
      </c>
      <c r="BT57">
        <v>4373310</v>
      </c>
      <c r="BU57">
        <v>12373789</v>
      </c>
      <c r="BV57">
        <v>10051546</v>
      </c>
      <c r="BW57">
        <v>984099</v>
      </c>
      <c r="BX57">
        <v>380113</v>
      </c>
      <c r="BY57">
        <v>0</v>
      </c>
      <c r="BZ57">
        <v>4373310</v>
      </c>
      <c r="CA57">
        <v>15789068</v>
      </c>
      <c r="CB57">
        <v>0</v>
      </c>
      <c r="CC57">
        <v>0</v>
      </c>
      <c r="CD57">
        <v>0</v>
      </c>
      <c r="CE57">
        <v>0</v>
      </c>
      <c r="CF57">
        <v>0</v>
      </c>
      <c r="CG57">
        <v>0</v>
      </c>
      <c r="CH57">
        <v>0</v>
      </c>
      <c r="CI57">
        <v>0</v>
      </c>
      <c r="CJ57">
        <v>0</v>
      </c>
      <c r="CK57">
        <v>0</v>
      </c>
      <c r="CL57">
        <v>0</v>
      </c>
      <c r="CM57">
        <v>0</v>
      </c>
      <c r="CN57">
        <v>0</v>
      </c>
      <c r="CO57">
        <v>0</v>
      </c>
      <c r="CP57">
        <v>0</v>
      </c>
      <c r="CQ57">
        <v>0</v>
      </c>
      <c r="CR57" t="s">
        <v>757</v>
      </c>
      <c r="CS57">
        <v>2704954</v>
      </c>
      <c r="CT57">
        <v>0</v>
      </c>
      <c r="CU57">
        <v>104652</v>
      </c>
      <c r="CV57">
        <v>1462</v>
      </c>
      <c r="CW57">
        <v>1366992</v>
      </c>
      <c r="CX57">
        <v>698473</v>
      </c>
      <c r="CY57">
        <v>1407</v>
      </c>
      <c r="CZ57">
        <v>217973</v>
      </c>
      <c r="DA57">
        <v>350927</v>
      </c>
      <c r="DB57">
        <v>972</v>
      </c>
      <c r="DC57">
        <v>320454</v>
      </c>
      <c r="DD57">
        <v>9472</v>
      </c>
      <c r="DE57">
        <v>62414</v>
      </c>
      <c r="DF57">
        <v>1714404</v>
      </c>
      <c r="DG57">
        <v>337047</v>
      </c>
      <c r="DH57">
        <v>149009</v>
      </c>
      <c r="DI57">
        <v>23360</v>
      </c>
      <c r="DJ57">
        <v>234841</v>
      </c>
      <c r="DK57">
        <v>42096</v>
      </c>
      <c r="DL57">
        <v>0</v>
      </c>
      <c r="DM57">
        <v>898384</v>
      </c>
      <c r="DN57">
        <v>96</v>
      </c>
      <c r="DO57">
        <v>1848</v>
      </c>
      <c r="DP57">
        <v>14040</v>
      </c>
      <c r="DQ57">
        <v>294592</v>
      </c>
      <c r="DR57">
        <v>238515</v>
      </c>
      <c r="DS57">
        <v>2196976</v>
      </c>
      <c r="DT57">
        <v>851643</v>
      </c>
      <c r="DU57">
        <v>0</v>
      </c>
      <c r="DV57">
        <v>687488</v>
      </c>
      <c r="DW57">
        <v>367568</v>
      </c>
      <c r="DX57">
        <v>11187105</v>
      </c>
      <c r="DY57">
        <v>270384</v>
      </c>
      <c r="DZ57">
        <v>113</v>
      </c>
      <c r="EA57">
        <v>4063237</v>
      </c>
      <c r="EB57">
        <v>1912326</v>
      </c>
      <c r="EC57">
        <v>108</v>
      </c>
      <c r="ED57">
        <v>289173</v>
      </c>
      <c r="EE57">
        <v>1597623</v>
      </c>
      <c r="EF57">
        <v>75</v>
      </c>
      <c r="EG57">
        <v>743241</v>
      </c>
      <c r="EH57">
        <v>98632</v>
      </c>
      <c r="EI57">
        <v>326878</v>
      </c>
      <c r="EJ57">
        <v>5581698</v>
      </c>
      <c r="EK57">
        <v>610070</v>
      </c>
      <c r="EL57">
        <v>1711142</v>
      </c>
      <c r="EM57">
        <v>245434</v>
      </c>
      <c r="EN57">
        <v>348388</v>
      </c>
      <c r="EO57">
        <v>352989</v>
      </c>
      <c r="EP57">
        <v>0</v>
      </c>
      <c r="EQ57">
        <v>2213693</v>
      </c>
      <c r="ER57">
        <v>7</v>
      </c>
      <c r="ES57">
        <v>142</v>
      </c>
      <c r="ET57">
        <v>1080</v>
      </c>
      <c r="EU57">
        <v>904511</v>
      </c>
      <c r="EV57">
        <v>812571</v>
      </c>
      <c r="EW57">
        <v>5862378</v>
      </c>
      <c r="EX57">
        <v>3490581</v>
      </c>
      <c r="EY57">
        <v>0</v>
      </c>
      <c r="EZ57">
        <v>1527684</v>
      </c>
      <c r="FA57">
        <v>1261113</v>
      </c>
      <c r="FB57">
        <v>34225271</v>
      </c>
      <c r="FC57">
        <v>24467</v>
      </c>
      <c r="FD57">
        <v>342</v>
      </c>
      <c r="FE57">
        <v>1256670</v>
      </c>
      <c r="FF57">
        <v>226542</v>
      </c>
      <c r="FG57">
        <v>329</v>
      </c>
      <c r="FH57">
        <v>119121</v>
      </c>
      <c r="FI57">
        <v>109737</v>
      </c>
      <c r="FJ57">
        <v>227</v>
      </c>
      <c r="FK57">
        <v>202388</v>
      </c>
      <c r="FL57">
        <v>86997</v>
      </c>
      <c r="FM57">
        <v>16944</v>
      </c>
      <c r="FN57">
        <v>699749</v>
      </c>
      <c r="FO57">
        <v>78800</v>
      </c>
      <c r="FP57">
        <v>464492</v>
      </c>
      <c r="FQ57">
        <v>125322</v>
      </c>
      <c r="FR57">
        <v>132063</v>
      </c>
      <c r="FS57">
        <v>142329</v>
      </c>
      <c r="FT57">
        <v>0</v>
      </c>
      <c r="FU57">
        <v>733369</v>
      </c>
      <c r="FV57">
        <v>22</v>
      </c>
      <c r="FW57">
        <v>432</v>
      </c>
      <c r="FX57">
        <v>3282</v>
      </c>
      <c r="FY57">
        <v>334844</v>
      </c>
      <c r="FZ57">
        <v>534240</v>
      </c>
      <c r="GA57">
        <v>513640</v>
      </c>
      <c r="GB57">
        <v>790977</v>
      </c>
      <c r="GC57">
        <v>0</v>
      </c>
      <c r="GD57">
        <v>443003</v>
      </c>
      <c r="GE57">
        <v>122040</v>
      </c>
      <c r="GF57">
        <v>7162368</v>
      </c>
      <c r="GG57">
        <v>19270</v>
      </c>
      <c r="GH57">
        <v>30</v>
      </c>
      <c r="GI57">
        <v>347691</v>
      </c>
      <c r="GJ57">
        <v>139789</v>
      </c>
      <c r="GK57">
        <v>29</v>
      </c>
      <c r="GL57">
        <v>26685</v>
      </c>
      <c r="GM57">
        <v>111587</v>
      </c>
      <c r="GN57">
        <v>20</v>
      </c>
      <c r="GO57">
        <v>61803</v>
      </c>
      <c r="GP57">
        <v>12132</v>
      </c>
      <c r="GQ57">
        <v>22471</v>
      </c>
      <c r="GR57">
        <v>410534</v>
      </c>
      <c r="GS57">
        <v>45022</v>
      </c>
      <c r="GT57">
        <v>142192</v>
      </c>
      <c r="GU57">
        <v>24231</v>
      </c>
      <c r="GV57">
        <v>31401</v>
      </c>
      <c r="GW57">
        <v>32372</v>
      </c>
      <c r="GX57">
        <v>0</v>
      </c>
      <c r="GY57">
        <v>192610</v>
      </c>
      <c r="GZ57">
        <v>2</v>
      </c>
      <c r="HA57">
        <v>38</v>
      </c>
      <c r="HB57">
        <v>285</v>
      </c>
      <c r="HC57">
        <v>81000</v>
      </c>
      <c r="HD57">
        <v>88023</v>
      </c>
      <c r="HE57">
        <v>416715</v>
      </c>
      <c r="HF57">
        <v>279828</v>
      </c>
      <c r="HG57">
        <v>0</v>
      </c>
      <c r="HH57">
        <v>128797</v>
      </c>
      <c r="HI57">
        <v>90398</v>
      </c>
      <c r="HJ57">
        <v>2704954</v>
      </c>
      <c r="HK57">
        <v>39178</v>
      </c>
      <c r="HL57">
        <v>375</v>
      </c>
      <c r="HM57">
        <v>840627</v>
      </c>
      <c r="HN57">
        <v>240499</v>
      </c>
      <c r="HO57">
        <v>361</v>
      </c>
      <c r="HP57">
        <v>73343</v>
      </c>
      <c r="HQ57">
        <v>141398</v>
      </c>
      <c r="HR57">
        <v>249</v>
      </c>
      <c r="HS57">
        <v>227932</v>
      </c>
      <c r="HT57">
        <v>14348</v>
      </c>
      <c r="HU57">
        <v>29635</v>
      </c>
      <c r="HV57">
        <v>515189</v>
      </c>
      <c r="HW57">
        <v>90662</v>
      </c>
      <c r="HX57">
        <v>279960</v>
      </c>
      <c r="HY57">
        <v>84002</v>
      </c>
      <c r="HZ57">
        <v>121912</v>
      </c>
      <c r="IA57">
        <v>65038</v>
      </c>
      <c r="IB57">
        <v>0</v>
      </c>
      <c r="IC57">
        <v>287935</v>
      </c>
      <c r="ID57">
        <v>25</v>
      </c>
      <c r="IE57">
        <v>474</v>
      </c>
      <c r="IF57">
        <v>3601</v>
      </c>
      <c r="IG57">
        <v>230459</v>
      </c>
      <c r="IH57">
        <v>347093</v>
      </c>
      <c r="II57">
        <v>705978</v>
      </c>
      <c r="IJ57">
        <v>581323</v>
      </c>
      <c r="IK57">
        <v>0</v>
      </c>
      <c r="IL57">
        <v>204686</v>
      </c>
      <c r="IM57">
        <v>121224</v>
      </c>
      <c r="IN57">
        <v>5247506</v>
      </c>
      <c r="IO57">
        <v>82915</v>
      </c>
      <c r="IP57">
        <v>747</v>
      </c>
      <c r="IQ57">
        <v>2444988</v>
      </c>
      <c r="IR57">
        <v>606830</v>
      </c>
      <c r="IS57">
        <v>719</v>
      </c>
      <c r="IT57">
        <v>219149</v>
      </c>
      <c r="IU57">
        <v>362722</v>
      </c>
      <c r="IV57">
        <v>496</v>
      </c>
      <c r="IW57">
        <v>492123</v>
      </c>
      <c r="IX57">
        <v>113477</v>
      </c>
      <c r="IY57">
        <v>69050</v>
      </c>
      <c r="IZ57">
        <v>1625472</v>
      </c>
      <c r="JA57">
        <v>214484</v>
      </c>
      <c r="JB57">
        <v>886644</v>
      </c>
      <c r="JC57">
        <v>233555</v>
      </c>
      <c r="JD57">
        <v>285376</v>
      </c>
      <c r="JE57">
        <v>239739</v>
      </c>
      <c r="JF57">
        <v>0</v>
      </c>
      <c r="JG57">
        <v>1213914</v>
      </c>
      <c r="JH57">
        <v>49</v>
      </c>
      <c r="JI57">
        <v>944</v>
      </c>
      <c r="JJ57">
        <v>7168</v>
      </c>
      <c r="JK57">
        <v>646303</v>
      </c>
      <c r="JL57">
        <v>969356</v>
      </c>
      <c r="JM57">
        <v>1636333</v>
      </c>
      <c r="JN57">
        <v>1652128</v>
      </c>
      <c r="JO57">
        <v>0</v>
      </c>
      <c r="JP57">
        <v>776486</v>
      </c>
      <c r="JQ57">
        <v>333662</v>
      </c>
      <c r="JR57">
        <v>15114828</v>
      </c>
      <c r="JS57">
        <v>353299</v>
      </c>
      <c r="JT57">
        <v>860</v>
      </c>
      <c r="JU57">
        <v>6508225</v>
      </c>
      <c r="JV57">
        <v>2519156</v>
      </c>
      <c r="JW57">
        <v>827</v>
      </c>
      <c r="JX57">
        <v>508322</v>
      </c>
      <c r="JY57">
        <v>1960345</v>
      </c>
      <c r="JZ57">
        <v>571</v>
      </c>
      <c r="KA57">
        <v>1235364</v>
      </c>
      <c r="KB57">
        <v>212109</v>
      </c>
      <c r="KC57">
        <v>395928</v>
      </c>
      <c r="KD57">
        <v>7207170</v>
      </c>
      <c r="KE57">
        <v>824554</v>
      </c>
      <c r="KF57">
        <v>2597786</v>
      </c>
      <c r="KG57">
        <v>478989</v>
      </c>
      <c r="KH57">
        <v>633764</v>
      </c>
      <c r="KI57">
        <v>592728</v>
      </c>
      <c r="KJ57">
        <v>0</v>
      </c>
      <c r="KK57">
        <v>3427607</v>
      </c>
      <c r="KL57">
        <v>56</v>
      </c>
      <c r="KM57">
        <v>1086</v>
      </c>
      <c r="KN57">
        <v>8248</v>
      </c>
      <c r="KO57">
        <v>1550814</v>
      </c>
      <c r="KP57">
        <v>1781927</v>
      </c>
      <c r="KQ57">
        <v>7498711</v>
      </c>
      <c r="KR57">
        <v>5142709</v>
      </c>
      <c r="KS57">
        <v>0</v>
      </c>
      <c r="KT57">
        <v>2304170</v>
      </c>
      <c r="KU57">
        <v>1594775</v>
      </c>
      <c r="KV57">
        <v>49340099</v>
      </c>
      <c r="KW57" t="s">
        <v>359</v>
      </c>
      <c r="KX57">
        <v>79972030</v>
      </c>
      <c r="KY57">
        <v>16267368</v>
      </c>
      <c r="KZ57">
        <v>96239398</v>
      </c>
      <c r="LA57">
        <v>0</v>
      </c>
      <c r="LB57">
        <v>6737301</v>
      </c>
    </row>
    <row r="58" spans="1:314" x14ac:dyDescent="0.25">
      <c r="A58" t="s">
        <v>765</v>
      </c>
      <c r="B58" t="s">
        <v>766</v>
      </c>
      <c r="C58" t="s">
        <v>352</v>
      </c>
      <c r="D58" t="s">
        <v>767</v>
      </c>
      <c r="E58" s="2">
        <v>40933.602905092594</v>
      </c>
      <c r="G58" t="s">
        <v>768</v>
      </c>
      <c r="H58" t="s">
        <v>769</v>
      </c>
      <c r="I58" t="s">
        <v>770</v>
      </c>
      <c r="J58" t="s">
        <v>771</v>
      </c>
      <c r="K58" t="s">
        <v>772</v>
      </c>
      <c r="L58">
        <v>0</v>
      </c>
      <c r="M58">
        <v>0</v>
      </c>
      <c r="N58">
        <v>0</v>
      </c>
      <c r="O58">
        <v>298731816</v>
      </c>
      <c r="P58">
        <v>0</v>
      </c>
      <c r="Q58">
        <v>9168251</v>
      </c>
      <c r="R58">
        <v>0</v>
      </c>
      <c r="S58">
        <v>9168251</v>
      </c>
      <c r="T58">
        <v>43427655</v>
      </c>
      <c r="U58">
        <v>23325337</v>
      </c>
      <c r="V58">
        <v>12612900</v>
      </c>
      <c r="W58">
        <v>0</v>
      </c>
      <c r="X58">
        <v>0</v>
      </c>
      <c r="Y58">
        <v>0</v>
      </c>
      <c r="Z58">
        <v>79365892</v>
      </c>
      <c r="AA58">
        <v>10286172</v>
      </c>
      <c r="AB58">
        <v>4762738</v>
      </c>
      <c r="AC58">
        <v>3928085</v>
      </c>
      <c r="AD58">
        <v>0</v>
      </c>
      <c r="AE58">
        <v>0</v>
      </c>
      <c r="AF58">
        <v>3172340</v>
      </c>
      <c r="AG58">
        <v>22149335</v>
      </c>
      <c r="AH58">
        <v>53713827</v>
      </c>
      <c r="AI58">
        <v>28088075</v>
      </c>
      <c r="AJ58">
        <v>16540985</v>
      </c>
      <c r="AK58">
        <v>0</v>
      </c>
      <c r="AL58">
        <v>0</v>
      </c>
      <c r="AM58">
        <v>3172340</v>
      </c>
      <c r="AN58">
        <v>101515227</v>
      </c>
      <c r="AO58">
        <v>3783011</v>
      </c>
      <c r="AP58">
        <v>0</v>
      </c>
      <c r="AQ58">
        <v>0</v>
      </c>
      <c r="AR58">
        <v>0</v>
      </c>
      <c r="AS58">
        <v>3783011</v>
      </c>
      <c r="AT58">
        <v>1766432</v>
      </c>
      <c r="AU58">
        <v>0</v>
      </c>
      <c r="AV58">
        <v>0</v>
      </c>
      <c r="AW58">
        <v>1563</v>
      </c>
      <c r="AX58">
        <v>1767995</v>
      </c>
      <c r="AY58">
        <v>5549443</v>
      </c>
      <c r="AZ58">
        <v>0</v>
      </c>
      <c r="BA58">
        <v>0</v>
      </c>
      <c r="BB58">
        <v>1563</v>
      </c>
      <c r="BC58">
        <v>5551006</v>
      </c>
      <c r="BD58">
        <v>8612288</v>
      </c>
      <c r="BE58">
        <v>0</v>
      </c>
      <c r="BF58">
        <v>0</v>
      </c>
      <c r="BG58">
        <v>0</v>
      </c>
      <c r="BH58">
        <v>0</v>
      </c>
      <c r="BI58">
        <v>8612288</v>
      </c>
      <c r="BJ58">
        <v>0</v>
      </c>
      <c r="BK58">
        <v>0</v>
      </c>
      <c r="BL58">
        <v>1017193</v>
      </c>
      <c r="BM58">
        <v>0</v>
      </c>
      <c r="BN58">
        <v>0</v>
      </c>
      <c r="BO58">
        <v>1017193</v>
      </c>
      <c r="BP58">
        <v>21031813</v>
      </c>
      <c r="BQ58">
        <v>8182522</v>
      </c>
      <c r="BR58">
        <v>0</v>
      </c>
      <c r="BS58">
        <v>0</v>
      </c>
      <c r="BT58">
        <v>1619982</v>
      </c>
      <c r="BU58">
        <v>30834317</v>
      </c>
      <c r="BV58">
        <v>29644101</v>
      </c>
      <c r="BW58">
        <v>8182522</v>
      </c>
      <c r="BX58">
        <v>1017193</v>
      </c>
      <c r="BY58">
        <v>0</v>
      </c>
      <c r="BZ58">
        <v>1619982</v>
      </c>
      <c r="CA58">
        <v>40463798</v>
      </c>
      <c r="CB58">
        <v>0</v>
      </c>
      <c r="CC58">
        <v>0</v>
      </c>
      <c r="CD58">
        <v>0</v>
      </c>
      <c r="CE58">
        <v>0</v>
      </c>
      <c r="CF58">
        <v>0</v>
      </c>
      <c r="CG58">
        <v>0</v>
      </c>
      <c r="CH58">
        <v>0</v>
      </c>
      <c r="CI58">
        <v>0</v>
      </c>
      <c r="CJ58">
        <v>0</v>
      </c>
      <c r="CK58">
        <v>0</v>
      </c>
      <c r="CL58">
        <v>0</v>
      </c>
      <c r="CM58">
        <v>0</v>
      </c>
      <c r="CN58">
        <v>0</v>
      </c>
      <c r="CO58">
        <v>0</v>
      </c>
      <c r="CP58">
        <v>0</v>
      </c>
      <c r="CQ58">
        <v>0</v>
      </c>
      <c r="CR58" t="s">
        <v>765</v>
      </c>
      <c r="CS58">
        <v>14265600</v>
      </c>
      <c r="CT58">
        <v>0</v>
      </c>
      <c r="CU58">
        <v>63962</v>
      </c>
      <c r="CV58">
        <v>160266</v>
      </c>
      <c r="CW58">
        <v>3932520</v>
      </c>
      <c r="CX58">
        <v>2808238</v>
      </c>
      <c r="CY58">
        <v>12864</v>
      </c>
      <c r="CZ58">
        <v>1060808</v>
      </c>
      <c r="DA58">
        <v>2018900</v>
      </c>
      <c r="DB58">
        <v>125450</v>
      </c>
      <c r="DC58">
        <v>740077</v>
      </c>
      <c r="DD58">
        <v>28701</v>
      </c>
      <c r="DE58">
        <v>548953</v>
      </c>
      <c r="DF58">
        <v>3107541</v>
      </c>
      <c r="DG58">
        <v>788574</v>
      </c>
      <c r="DH58">
        <v>654517</v>
      </c>
      <c r="DI58">
        <v>0</v>
      </c>
      <c r="DJ58">
        <v>1120113</v>
      </c>
      <c r="DK58">
        <v>22758</v>
      </c>
      <c r="DL58">
        <v>31984</v>
      </c>
      <c r="DM58">
        <v>1417626</v>
      </c>
      <c r="DN58">
        <v>540142</v>
      </c>
      <c r="DO58">
        <v>104044</v>
      </c>
      <c r="DP58">
        <v>102725</v>
      </c>
      <c r="DQ58">
        <v>640026</v>
      </c>
      <c r="DR58">
        <v>1015279</v>
      </c>
      <c r="DS58">
        <v>5244489</v>
      </c>
      <c r="DT58">
        <v>1890363</v>
      </c>
      <c r="DU58">
        <v>0</v>
      </c>
      <c r="DV58">
        <v>1943712</v>
      </c>
      <c r="DW58">
        <v>2367056</v>
      </c>
      <c r="DX58">
        <v>32491688</v>
      </c>
      <c r="DY58">
        <v>494973</v>
      </c>
      <c r="DZ58">
        <v>655444</v>
      </c>
      <c r="EA58">
        <v>10228496</v>
      </c>
      <c r="EB58">
        <v>7124494</v>
      </c>
      <c r="EC58">
        <v>129685</v>
      </c>
      <c r="ED58">
        <v>1927284</v>
      </c>
      <c r="EE58">
        <v>6356097</v>
      </c>
      <c r="EF58">
        <v>780859</v>
      </c>
      <c r="EG58">
        <v>1586328</v>
      </c>
      <c r="EH58">
        <v>110619</v>
      </c>
      <c r="EI58">
        <v>810121</v>
      </c>
      <c r="EJ58">
        <v>13658572</v>
      </c>
      <c r="EK58">
        <v>2152041</v>
      </c>
      <c r="EL58">
        <v>3054644</v>
      </c>
      <c r="EM58">
        <v>0</v>
      </c>
      <c r="EN58">
        <v>1978361</v>
      </c>
      <c r="EO58">
        <v>239810</v>
      </c>
      <c r="EP58">
        <v>217812</v>
      </c>
      <c r="EQ58">
        <v>3379333</v>
      </c>
      <c r="ER58">
        <v>2103825</v>
      </c>
      <c r="ES58">
        <v>81921</v>
      </c>
      <c r="ET58">
        <v>570007</v>
      </c>
      <c r="EU58">
        <v>2112832</v>
      </c>
      <c r="EV58">
        <v>1813094</v>
      </c>
      <c r="EW58">
        <v>13530057</v>
      </c>
      <c r="EX58">
        <v>6215613</v>
      </c>
      <c r="EY58">
        <v>0</v>
      </c>
      <c r="EZ58">
        <v>5817088</v>
      </c>
      <c r="FA58">
        <v>4295296</v>
      </c>
      <c r="FB58">
        <v>91424706</v>
      </c>
      <c r="FC58">
        <v>332434</v>
      </c>
      <c r="FD58">
        <v>139691</v>
      </c>
      <c r="FE58">
        <v>3528482</v>
      </c>
      <c r="FF58">
        <v>2885991</v>
      </c>
      <c r="FG58">
        <v>2841</v>
      </c>
      <c r="FH58">
        <v>2598632</v>
      </c>
      <c r="FI58">
        <v>1130461</v>
      </c>
      <c r="FJ58">
        <v>163463</v>
      </c>
      <c r="FK58">
        <v>766588</v>
      </c>
      <c r="FL58">
        <v>67908</v>
      </c>
      <c r="FM58">
        <v>453774</v>
      </c>
      <c r="FN58">
        <v>3622717</v>
      </c>
      <c r="FO58">
        <v>208358</v>
      </c>
      <c r="FP58">
        <v>1238526</v>
      </c>
      <c r="FQ58">
        <v>0</v>
      </c>
      <c r="FR58">
        <v>973114</v>
      </c>
      <c r="FS58">
        <v>36390</v>
      </c>
      <c r="FT58">
        <v>62157</v>
      </c>
      <c r="FU58">
        <v>811162</v>
      </c>
      <c r="FV58">
        <v>371288</v>
      </c>
      <c r="FW58">
        <v>31801</v>
      </c>
      <c r="FX58">
        <v>118727</v>
      </c>
      <c r="FY58">
        <v>835331</v>
      </c>
      <c r="FZ58">
        <v>833590</v>
      </c>
      <c r="GA58">
        <v>1798506</v>
      </c>
      <c r="GB58">
        <v>1919855</v>
      </c>
      <c r="GC58">
        <v>0</v>
      </c>
      <c r="GD58">
        <v>1004767</v>
      </c>
      <c r="GE58">
        <v>499783</v>
      </c>
      <c r="GF58">
        <v>26436337</v>
      </c>
      <c r="GG58">
        <v>100147</v>
      </c>
      <c r="GH58">
        <v>96241</v>
      </c>
      <c r="GI58">
        <v>1665110</v>
      </c>
      <c r="GJ58">
        <v>1211644</v>
      </c>
      <c r="GK58">
        <v>16041</v>
      </c>
      <c r="GL58">
        <v>547805</v>
      </c>
      <c r="GM58">
        <v>906154</v>
      </c>
      <c r="GN58">
        <v>114298</v>
      </c>
      <c r="GO58">
        <v>284791</v>
      </c>
      <c r="GP58">
        <v>21608</v>
      </c>
      <c r="GQ58">
        <v>152979</v>
      </c>
      <c r="GR58">
        <v>2091683</v>
      </c>
      <c r="GS58">
        <v>285697</v>
      </c>
      <c r="GT58">
        <v>519634</v>
      </c>
      <c r="GU58">
        <v>0</v>
      </c>
      <c r="GV58">
        <v>357239</v>
      </c>
      <c r="GW58">
        <v>33431</v>
      </c>
      <c r="GX58">
        <v>33887</v>
      </c>
      <c r="GY58">
        <v>507207</v>
      </c>
      <c r="GZ58">
        <v>299581</v>
      </c>
      <c r="HA58">
        <v>13765</v>
      </c>
      <c r="HB58">
        <v>83363</v>
      </c>
      <c r="HC58">
        <v>356838</v>
      </c>
      <c r="HD58">
        <v>320348</v>
      </c>
      <c r="HE58">
        <v>1855330</v>
      </c>
      <c r="HF58">
        <v>984696</v>
      </c>
      <c r="HG58">
        <v>0</v>
      </c>
      <c r="HH58">
        <v>825700</v>
      </c>
      <c r="HI58">
        <v>580384</v>
      </c>
      <c r="HJ58">
        <v>14265600</v>
      </c>
      <c r="HK58">
        <v>143404</v>
      </c>
      <c r="HL58">
        <v>136046</v>
      </c>
      <c r="HM58">
        <v>1685326</v>
      </c>
      <c r="HN58">
        <v>1393816</v>
      </c>
      <c r="HO58">
        <v>21171</v>
      </c>
      <c r="HP58">
        <v>936898</v>
      </c>
      <c r="HQ58">
        <v>832285</v>
      </c>
      <c r="HR58">
        <v>760365</v>
      </c>
      <c r="HS58">
        <v>254695</v>
      </c>
      <c r="HT58">
        <v>12328</v>
      </c>
      <c r="HU58">
        <v>239552</v>
      </c>
      <c r="HV58">
        <v>1447309</v>
      </c>
      <c r="HW58">
        <v>162829</v>
      </c>
      <c r="HX58">
        <v>552646</v>
      </c>
      <c r="HY58">
        <v>0</v>
      </c>
      <c r="HZ58">
        <v>1472212</v>
      </c>
      <c r="IA58">
        <v>22852</v>
      </c>
      <c r="IB58">
        <v>19821</v>
      </c>
      <c r="IC58">
        <v>490556</v>
      </c>
      <c r="ID58">
        <v>372646</v>
      </c>
      <c r="IE58">
        <v>30922</v>
      </c>
      <c r="IF58">
        <v>93766</v>
      </c>
      <c r="IG58">
        <v>295368</v>
      </c>
      <c r="IH58">
        <v>779922</v>
      </c>
      <c r="II58">
        <v>1238171</v>
      </c>
      <c r="IJ58">
        <v>905720</v>
      </c>
      <c r="IK58">
        <v>0</v>
      </c>
      <c r="IL58">
        <v>197587</v>
      </c>
      <c r="IM58">
        <v>202563</v>
      </c>
      <c r="IN58">
        <v>14700776</v>
      </c>
      <c r="IO58">
        <v>575985</v>
      </c>
      <c r="IP58">
        <v>371978</v>
      </c>
      <c r="IQ58">
        <v>6878918</v>
      </c>
      <c r="IR58">
        <v>5491451</v>
      </c>
      <c r="IS58">
        <v>40053</v>
      </c>
      <c r="IT58">
        <v>4083335</v>
      </c>
      <c r="IU58">
        <v>2868900</v>
      </c>
      <c r="IV58">
        <v>1038126</v>
      </c>
      <c r="IW58">
        <v>1306074</v>
      </c>
      <c r="IX58">
        <v>101844</v>
      </c>
      <c r="IY58">
        <v>846305</v>
      </c>
      <c r="IZ58">
        <v>7161709</v>
      </c>
      <c r="JA58">
        <v>656884</v>
      </c>
      <c r="JB58">
        <v>2310806</v>
      </c>
      <c r="JC58">
        <v>0</v>
      </c>
      <c r="JD58">
        <v>2802565</v>
      </c>
      <c r="JE58">
        <v>92673</v>
      </c>
      <c r="JF58">
        <v>115865</v>
      </c>
      <c r="JG58">
        <v>1808925</v>
      </c>
      <c r="JH58">
        <v>1043515</v>
      </c>
      <c r="JI58">
        <v>76488</v>
      </c>
      <c r="JJ58">
        <v>295856</v>
      </c>
      <c r="JK58">
        <v>1487537</v>
      </c>
      <c r="JL58">
        <v>1933860</v>
      </c>
      <c r="JM58">
        <v>4892007</v>
      </c>
      <c r="JN58">
        <v>3810271</v>
      </c>
      <c r="JO58">
        <v>0</v>
      </c>
      <c r="JP58">
        <v>2028054</v>
      </c>
      <c r="JQ58">
        <v>1282730</v>
      </c>
      <c r="JR58">
        <v>55402713</v>
      </c>
      <c r="JS58">
        <v>1070958</v>
      </c>
      <c r="JT58">
        <v>1027422</v>
      </c>
      <c r="JU58">
        <v>17107414</v>
      </c>
      <c r="JV58">
        <v>12615945</v>
      </c>
      <c r="JW58">
        <v>169738</v>
      </c>
      <c r="JX58">
        <v>6010619</v>
      </c>
      <c r="JY58">
        <v>9224997</v>
      </c>
      <c r="JZ58">
        <v>1818985</v>
      </c>
      <c r="KA58">
        <v>2892402</v>
      </c>
      <c r="KB58">
        <v>212463</v>
      </c>
      <c r="KC58">
        <v>1656426</v>
      </c>
      <c r="KD58">
        <v>20820281</v>
      </c>
      <c r="KE58">
        <v>2808925</v>
      </c>
      <c r="KF58">
        <v>5365450</v>
      </c>
      <c r="KG58">
        <v>0</v>
      </c>
      <c r="KH58">
        <v>4780926</v>
      </c>
      <c r="KI58">
        <v>332483</v>
      </c>
      <c r="KJ58">
        <v>333677</v>
      </c>
      <c r="KK58">
        <v>5188258</v>
      </c>
      <c r="KL58">
        <v>3147340</v>
      </c>
      <c r="KM58">
        <v>158409</v>
      </c>
      <c r="KN58">
        <v>865863</v>
      </c>
      <c r="KO58">
        <v>3600369</v>
      </c>
      <c r="KP58">
        <v>3746954</v>
      </c>
      <c r="KQ58">
        <v>18422064</v>
      </c>
      <c r="KR58">
        <v>10025884</v>
      </c>
      <c r="KS58">
        <v>0</v>
      </c>
      <c r="KT58">
        <v>7845142</v>
      </c>
      <c r="KU58">
        <v>5578026</v>
      </c>
      <c r="KV58">
        <v>146827419</v>
      </c>
      <c r="KW58" t="s">
        <v>773</v>
      </c>
      <c r="KX58">
        <v>257510897</v>
      </c>
      <c r="KY58">
        <v>46014804</v>
      </c>
      <c r="KZ58">
        <v>303525701</v>
      </c>
      <c r="LA58">
        <v>0</v>
      </c>
      <c r="LB58">
        <v>4793885</v>
      </c>
    </row>
    <row r="59" spans="1:314" x14ac:dyDescent="0.25">
      <c r="A59" t="s">
        <v>774</v>
      </c>
      <c r="B59" t="s">
        <v>775</v>
      </c>
      <c r="C59" t="s">
        <v>352</v>
      </c>
      <c r="D59" t="s">
        <v>776</v>
      </c>
      <c r="E59" s="2">
        <v>40942.489976851852</v>
      </c>
      <c r="G59" t="s">
        <v>777</v>
      </c>
      <c r="H59" t="s">
        <v>778</v>
      </c>
      <c r="I59" t="s">
        <v>779</v>
      </c>
      <c r="J59" t="s">
        <v>780</v>
      </c>
      <c r="K59" t="s">
        <v>781</v>
      </c>
      <c r="L59">
        <v>0</v>
      </c>
      <c r="M59">
        <v>0</v>
      </c>
      <c r="N59">
        <v>0</v>
      </c>
      <c r="O59">
        <v>95854883</v>
      </c>
      <c r="P59">
        <v>0</v>
      </c>
      <c r="Q59">
        <v>2917704</v>
      </c>
      <c r="R59">
        <v>0</v>
      </c>
      <c r="S59">
        <v>2917704</v>
      </c>
      <c r="T59">
        <v>9297108</v>
      </c>
      <c r="U59">
        <v>6377535</v>
      </c>
      <c r="V59">
        <v>5964920</v>
      </c>
      <c r="W59">
        <v>0</v>
      </c>
      <c r="X59">
        <v>0</v>
      </c>
      <c r="Y59">
        <v>0</v>
      </c>
      <c r="Z59">
        <v>21639563</v>
      </c>
      <c r="AA59">
        <v>7260340</v>
      </c>
      <c r="AB59">
        <v>1105889</v>
      </c>
      <c r="AC59">
        <v>1579943</v>
      </c>
      <c r="AD59">
        <v>0</v>
      </c>
      <c r="AE59">
        <v>0</v>
      </c>
      <c r="AF59">
        <v>2241956</v>
      </c>
      <c r="AG59">
        <v>12188128</v>
      </c>
      <c r="AH59">
        <v>16557448</v>
      </c>
      <c r="AI59">
        <v>7483424</v>
      </c>
      <c r="AJ59">
        <v>7544863</v>
      </c>
      <c r="AK59">
        <v>0</v>
      </c>
      <c r="AL59">
        <v>0</v>
      </c>
      <c r="AM59">
        <v>2241956</v>
      </c>
      <c r="AN59">
        <v>33827691</v>
      </c>
      <c r="AO59">
        <v>226554</v>
      </c>
      <c r="AP59">
        <v>0</v>
      </c>
      <c r="AQ59">
        <v>0</v>
      </c>
      <c r="AR59">
        <v>0</v>
      </c>
      <c r="AS59">
        <v>226554</v>
      </c>
      <c r="AT59">
        <v>47710</v>
      </c>
      <c r="AU59">
        <v>0</v>
      </c>
      <c r="AV59">
        <v>0</v>
      </c>
      <c r="AW59">
        <v>0</v>
      </c>
      <c r="AX59">
        <v>47710</v>
      </c>
      <c r="AY59">
        <v>274264</v>
      </c>
      <c r="AZ59">
        <v>0</v>
      </c>
      <c r="BA59">
        <v>0</v>
      </c>
      <c r="BB59">
        <v>0</v>
      </c>
      <c r="BC59">
        <v>274264</v>
      </c>
      <c r="BD59">
        <v>2586617</v>
      </c>
      <c r="BE59">
        <v>0</v>
      </c>
      <c r="BF59">
        <v>0</v>
      </c>
      <c r="BG59">
        <v>0</v>
      </c>
      <c r="BH59">
        <v>0</v>
      </c>
      <c r="BI59">
        <v>2586617</v>
      </c>
      <c r="BJ59">
        <v>0</v>
      </c>
      <c r="BK59">
        <v>0</v>
      </c>
      <c r="BL59">
        <v>848780</v>
      </c>
      <c r="BM59">
        <v>0</v>
      </c>
      <c r="BN59">
        <v>0</v>
      </c>
      <c r="BO59">
        <v>848780</v>
      </c>
      <c r="BP59">
        <v>6825380</v>
      </c>
      <c r="BQ59">
        <v>0</v>
      </c>
      <c r="BR59">
        <v>0</v>
      </c>
      <c r="BS59">
        <v>0</v>
      </c>
      <c r="BT59">
        <v>75679</v>
      </c>
      <c r="BU59">
        <v>6901059</v>
      </c>
      <c r="BV59">
        <v>9411997</v>
      </c>
      <c r="BW59">
        <v>0</v>
      </c>
      <c r="BX59">
        <v>848780</v>
      </c>
      <c r="BY59">
        <v>0</v>
      </c>
      <c r="BZ59">
        <v>75679</v>
      </c>
      <c r="CA59">
        <v>10336456</v>
      </c>
      <c r="CB59">
        <v>0</v>
      </c>
      <c r="CC59">
        <v>0</v>
      </c>
      <c r="CD59">
        <v>0</v>
      </c>
      <c r="CE59">
        <v>0</v>
      </c>
      <c r="CF59">
        <v>0</v>
      </c>
      <c r="CG59">
        <v>0</v>
      </c>
      <c r="CH59">
        <v>0</v>
      </c>
      <c r="CI59">
        <v>0</v>
      </c>
      <c r="CJ59">
        <v>0</v>
      </c>
      <c r="CK59">
        <v>0</v>
      </c>
      <c r="CL59">
        <v>0</v>
      </c>
      <c r="CM59">
        <v>0</v>
      </c>
      <c r="CN59">
        <v>0</v>
      </c>
      <c r="CO59">
        <v>0</v>
      </c>
      <c r="CP59">
        <v>0</v>
      </c>
      <c r="CQ59">
        <v>0</v>
      </c>
      <c r="CR59" t="s">
        <v>774</v>
      </c>
      <c r="CS59">
        <v>4898735</v>
      </c>
      <c r="CT59">
        <v>0</v>
      </c>
      <c r="CU59">
        <v>5952</v>
      </c>
      <c r="CV59">
        <v>114032</v>
      </c>
      <c r="CW59">
        <v>1455936</v>
      </c>
      <c r="CX59">
        <v>676978</v>
      </c>
      <c r="CY59">
        <v>0</v>
      </c>
      <c r="CZ59">
        <v>50555</v>
      </c>
      <c r="DA59">
        <v>794878</v>
      </c>
      <c r="DB59">
        <v>41965</v>
      </c>
      <c r="DC59">
        <v>307088</v>
      </c>
      <c r="DD59">
        <v>19712</v>
      </c>
      <c r="DE59">
        <v>269593</v>
      </c>
      <c r="DF59">
        <v>1187650</v>
      </c>
      <c r="DG59">
        <v>367168</v>
      </c>
      <c r="DH59">
        <v>311392</v>
      </c>
      <c r="DI59">
        <v>0</v>
      </c>
      <c r="DJ59">
        <v>425977</v>
      </c>
      <c r="DK59">
        <v>27200</v>
      </c>
      <c r="DL59">
        <v>223440</v>
      </c>
      <c r="DM59">
        <v>891600</v>
      </c>
      <c r="DN59">
        <v>194992</v>
      </c>
      <c r="DO59">
        <v>74582</v>
      </c>
      <c r="DP59">
        <v>161891</v>
      </c>
      <c r="DQ59">
        <v>101952</v>
      </c>
      <c r="DR59">
        <v>204753</v>
      </c>
      <c r="DS59">
        <v>1745664</v>
      </c>
      <c r="DT59">
        <v>393888</v>
      </c>
      <c r="DU59">
        <v>0</v>
      </c>
      <c r="DV59">
        <v>654848</v>
      </c>
      <c r="DW59">
        <v>782608</v>
      </c>
      <c r="DX59">
        <v>11486294</v>
      </c>
      <c r="DY59">
        <v>16341</v>
      </c>
      <c r="DZ59">
        <v>659522</v>
      </c>
      <c r="EA59">
        <v>3997313</v>
      </c>
      <c r="EB59">
        <v>1281270</v>
      </c>
      <c r="EC59">
        <v>0</v>
      </c>
      <c r="ED59">
        <v>127235</v>
      </c>
      <c r="EE59">
        <v>2000514</v>
      </c>
      <c r="EF59">
        <v>466686</v>
      </c>
      <c r="EG59">
        <v>1225461</v>
      </c>
      <c r="EH59">
        <v>64222</v>
      </c>
      <c r="EI59">
        <v>450291</v>
      </c>
      <c r="EJ59">
        <v>5395888</v>
      </c>
      <c r="EK59">
        <v>1069056</v>
      </c>
      <c r="EL59">
        <v>2293447</v>
      </c>
      <c r="EM59">
        <v>0</v>
      </c>
      <c r="EN59">
        <v>2207781</v>
      </c>
      <c r="EO59">
        <v>294815</v>
      </c>
      <c r="EP59">
        <v>1829283</v>
      </c>
      <c r="EQ59">
        <v>2046856</v>
      </c>
      <c r="ER59">
        <v>730898</v>
      </c>
      <c r="ES59">
        <v>248580</v>
      </c>
      <c r="ET59">
        <v>535006</v>
      </c>
      <c r="EU59">
        <v>434514</v>
      </c>
      <c r="EV59">
        <v>639268</v>
      </c>
      <c r="EW59">
        <v>5857880</v>
      </c>
      <c r="EX59">
        <v>1465480</v>
      </c>
      <c r="EY59">
        <v>0</v>
      </c>
      <c r="EZ59">
        <v>2172005</v>
      </c>
      <c r="FA59">
        <v>2327661</v>
      </c>
      <c r="FB59">
        <v>39837273</v>
      </c>
      <c r="FC59">
        <v>1476</v>
      </c>
      <c r="FD59">
        <v>112810</v>
      </c>
      <c r="FE59">
        <v>361163</v>
      </c>
      <c r="FF59">
        <v>145969</v>
      </c>
      <c r="FG59">
        <v>0</v>
      </c>
      <c r="FH59">
        <v>193562</v>
      </c>
      <c r="FI59">
        <v>265343</v>
      </c>
      <c r="FJ59">
        <v>67033</v>
      </c>
      <c r="FK59">
        <v>420443</v>
      </c>
      <c r="FL59">
        <v>0</v>
      </c>
      <c r="FM59">
        <v>187088</v>
      </c>
      <c r="FN59">
        <v>29117</v>
      </c>
      <c r="FO59">
        <v>6827</v>
      </c>
      <c r="FP59">
        <v>119701</v>
      </c>
      <c r="FQ59">
        <v>0</v>
      </c>
      <c r="FR59">
        <v>414036</v>
      </c>
      <c r="FS59">
        <v>43145</v>
      </c>
      <c r="FT59">
        <v>317896</v>
      </c>
      <c r="FU59">
        <v>39840</v>
      </c>
      <c r="FV59">
        <v>58702</v>
      </c>
      <c r="FW59">
        <v>81365</v>
      </c>
      <c r="FX59">
        <v>58560</v>
      </c>
      <c r="FY59">
        <v>5120</v>
      </c>
      <c r="FZ59">
        <v>5968</v>
      </c>
      <c r="GA59">
        <v>22359</v>
      </c>
      <c r="GB59">
        <v>23453</v>
      </c>
      <c r="GC59">
        <v>0</v>
      </c>
      <c r="GD59">
        <v>4267</v>
      </c>
      <c r="GE59">
        <v>11947</v>
      </c>
      <c r="GF59">
        <v>2997190</v>
      </c>
      <c r="GG59">
        <v>2038</v>
      </c>
      <c r="GH59">
        <v>88327</v>
      </c>
      <c r="GI59">
        <v>498454</v>
      </c>
      <c r="GJ59">
        <v>163225</v>
      </c>
      <c r="GK59">
        <v>0</v>
      </c>
      <c r="GL59">
        <v>36688</v>
      </c>
      <c r="GM59">
        <v>259133</v>
      </c>
      <c r="GN59">
        <v>61038</v>
      </c>
      <c r="GO59">
        <v>188233</v>
      </c>
      <c r="GP59">
        <v>7345</v>
      </c>
      <c r="GQ59">
        <v>72893</v>
      </c>
      <c r="GR59">
        <v>620427</v>
      </c>
      <c r="GS59">
        <v>123043</v>
      </c>
      <c r="GT59">
        <v>275978</v>
      </c>
      <c r="GU59">
        <v>0</v>
      </c>
      <c r="GV59">
        <v>299842</v>
      </c>
      <c r="GW59">
        <v>38651</v>
      </c>
      <c r="GX59">
        <v>245561</v>
      </c>
      <c r="GY59">
        <v>238644</v>
      </c>
      <c r="GZ59">
        <v>90302</v>
      </c>
      <c r="HA59">
        <v>37734</v>
      </c>
      <c r="HB59">
        <v>67883</v>
      </c>
      <c r="HC59">
        <v>50278</v>
      </c>
      <c r="HD59">
        <v>73792</v>
      </c>
      <c r="HE59">
        <v>672490</v>
      </c>
      <c r="HF59">
        <v>170281</v>
      </c>
      <c r="HG59">
        <v>0</v>
      </c>
      <c r="HH59">
        <v>248888</v>
      </c>
      <c r="HI59">
        <v>267568</v>
      </c>
      <c r="HJ59">
        <v>4898735</v>
      </c>
      <c r="HK59">
        <v>1798</v>
      </c>
      <c r="HL59">
        <v>192438</v>
      </c>
      <c r="HM59">
        <v>439760</v>
      </c>
      <c r="HN59">
        <v>95330</v>
      </c>
      <c r="HO59">
        <v>0</v>
      </c>
      <c r="HP59">
        <v>35503</v>
      </c>
      <c r="HQ59">
        <v>180096</v>
      </c>
      <c r="HR59">
        <v>152560</v>
      </c>
      <c r="HS59">
        <v>98831</v>
      </c>
      <c r="HT59">
        <v>26447</v>
      </c>
      <c r="HU59">
        <v>75720</v>
      </c>
      <c r="HV59">
        <v>220160</v>
      </c>
      <c r="HW59">
        <v>30602</v>
      </c>
      <c r="HX59">
        <v>86650</v>
      </c>
      <c r="HY59">
        <v>0</v>
      </c>
      <c r="HZ59">
        <v>280736</v>
      </c>
      <c r="IA59">
        <v>86796</v>
      </c>
      <c r="IB59">
        <v>134073</v>
      </c>
      <c r="IC59">
        <v>196100</v>
      </c>
      <c r="ID59">
        <v>106961</v>
      </c>
      <c r="IE59">
        <v>24963</v>
      </c>
      <c r="IF59">
        <v>76799</v>
      </c>
      <c r="IG59">
        <v>188411</v>
      </c>
      <c r="IH59">
        <v>12228</v>
      </c>
      <c r="II59">
        <v>154959</v>
      </c>
      <c r="IJ59">
        <v>73221</v>
      </c>
      <c r="IK59">
        <v>0</v>
      </c>
      <c r="IL59">
        <v>58375</v>
      </c>
      <c r="IM59">
        <v>53688</v>
      </c>
      <c r="IN59">
        <v>3083205</v>
      </c>
      <c r="IO59">
        <v>5312</v>
      </c>
      <c r="IP59">
        <v>393575</v>
      </c>
      <c r="IQ59">
        <v>1299377</v>
      </c>
      <c r="IR59">
        <v>404524</v>
      </c>
      <c r="IS59">
        <v>0</v>
      </c>
      <c r="IT59">
        <v>265753</v>
      </c>
      <c r="IU59">
        <v>704572</v>
      </c>
      <c r="IV59">
        <v>280631</v>
      </c>
      <c r="IW59">
        <v>707507</v>
      </c>
      <c r="IX59">
        <v>33792</v>
      </c>
      <c r="IY59">
        <v>335701</v>
      </c>
      <c r="IZ59">
        <v>869704</v>
      </c>
      <c r="JA59">
        <v>160472</v>
      </c>
      <c r="JB59">
        <v>482329</v>
      </c>
      <c r="JC59">
        <v>0</v>
      </c>
      <c r="JD59">
        <v>994614</v>
      </c>
      <c r="JE59">
        <v>168592</v>
      </c>
      <c r="JF59">
        <v>697530</v>
      </c>
      <c r="JG59">
        <v>474584</v>
      </c>
      <c r="JH59">
        <v>255965</v>
      </c>
      <c r="JI59">
        <v>144062</v>
      </c>
      <c r="JJ59">
        <v>203242</v>
      </c>
      <c r="JK59">
        <v>243809</v>
      </c>
      <c r="JL59">
        <v>91988</v>
      </c>
      <c r="JM59">
        <v>849808</v>
      </c>
      <c r="JN59">
        <v>266955</v>
      </c>
      <c r="JO59">
        <v>0</v>
      </c>
      <c r="JP59">
        <v>311530</v>
      </c>
      <c r="JQ59">
        <v>333203</v>
      </c>
      <c r="JR59">
        <v>10979130</v>
      </c>
      <c r="JS59">
        <v>21653</v>
      </c>
      <c r="JT59">
        <v>1053097</v>
      </c>
      <c r="JU59">
        <v>5296690</v>
      </c>
      <c r="JV59">
        <v>1685794</v>
      </c>
      <c r="JW59">
        <v>0</v>
      </c>
      <c r="JX59">
        <v>392988</v>
      </c>
      <c r="JY59">
        <v>2705086</v>
      </c>
      <c r="JZ59">
        <v>747317</v>
      </c>
      <c r="KA59">
        <v>1932968</v>
      </c>
      <c r="KB59">
        <v>98014</v>
      </c>
      <c r="KC59">
        <v>785992</v>
      </c>
      <c r="KD59">
        <v>6265592</v>
      </c>
      <c r="KE59">
        <v>1229528</v>
      </c>
      <c r="KF59">
        <v>2775776</v>
      </c>
      <c r="KG59">
        <v>0</v>
      </c>
      <c r="KH59">
        <v>3202395</v>
      </c>
      <c r="KI59">
        <v>463407</v>
      </c>
      <c r="KJ59">
        <v>2526813</v>
      </c>
      <c r="KK59">
        <v>2521440</v>
      </c>
      <c r="KL59">
        <v>986863</v>
      </c>
      <c r="KM59">
        <v>392642</v>
      </c>
      <c r="KN59">
        <v>738248</v>
      </c>
      <c r="KO59">
        <v>678323</v>
      </c>
      <c r="KP59">
        <v>731256</v>
      </c>
      <c r="KQ59">
        <v>6707688</v>
      </c>
      <c r="KR59">
        <v>1732435</v>
      </c>
      <c r="KS59">
        <v>0</v>
      </c>
      <c r="KT59">
        <v>2483535</v>
      </c>
      <c r="KU59">
        <v>2660864</v>
      </c>
      <c r="KV59">
        <v>50816403</v>
      </c>
      <c r="KW59" t="s">
        <v>359</v>
      </c>
      <c r="KX59">
        <v>87561798</v>
      </c>
      <c r="KY59">
        <v>10610720</v>
      </c>
      <c r="KZ59">
        <v>98172518</v>
      </c>
      <c r="LA59">
        <v>0</v>
      </c>
      <c r="LB59">
        <v>2317635</v>
      </c>
    </row>
    <row r="60" spans="1:314" x14ac:dyDescent="0.25">
      <c r="A60" t="s">
        <v>782</v>
      </c>
      <c r="B60" t="s">
        <v>783</v>
      </c>
      <c r="C60" t="s">
        <v>352</v>
      </c>
      <c r="D60" t="s">
        <v>784</v>
      </c>
      <c r="E60" s="2">
        <v>40926.571122685185</v>
      </c>
      <c r="G60" t="s">
        <v>785</v>
      </c>
      <c r="H60" t="s">
        <v>786</v>
      </c>
      <c r="I60" t="s">
        <v>404</v>
      </c>
      <c r="J60" t="s">
        <v>787</v>
      </c>
      <c r="K60" t="s">
        <v>788</v>
      </c>
      <c r="L60">
        <v>0</v>
      </c>
      <c r="M60">
        <v>0</v>
      </c>
      <c r="N60">
        <v>0</v>
      </c>
      <c r="O60">
        <v>6918520</v>
      </c>
      <c r="P60">
        <v>0</v>
      </c>
      <c r="Q60">
        <v>67087</v>
      </c>
      <c r="R60">
        <v>0</v>
      </c>
      <c r="S60">
        <v>67087</v>
      </c>
      <c r="T60">
        <v>649644</v>
      </c>
      <c r="U60">
        <v>586333</v>
      </c>
      <c r="V60">
        <v>399654</v>
      </c>
      <c r="W60">
        <v>152100</v>
      </c>
      <c r="X60">
        <v>0</v>
      </c>
      <c r="Y60">
        <v>0</v>
      </c>
      <c r="Z60">
        <v>1787731</v>
      </c>
      <c r="AA60">
        <v>146792</v>
      </c>
      <c r="AB60">
        <v>448609</v>
      </c>
      <c r="AC60">
        <v>69667</v>
      </c>
      <c r="AD60">
        <v>15610</v>
      </c>
      <c r="AE60">
        <v>324365</v>
      </c>
      <c r="AF60">
        <v>67187</v>
      </c>
      <c r="AG60">
        <v>1072230</v>
      </c>
      <c r="AH60">
        <v>796436</v>
      </c>
      <c r="AI60">
        <v>1034942</v>
      </c>
      <c r="AJ60">
        <v>469321</v>
      </c>
      <c r="AK60">
        <v>167710</v>
      </c>
      <c r="AL60">
        <v>324365</v>
      </c>
      <c r="AM60">
        <v>67187</v>
      </c>
      <c r="AN60">
        <v>2859961</v>
      </c>
      <c r="AO60">
        <v>132378</v>
      </c>
      <c r="AP60">
        <v>0</v>
      </c>
      <c r="AQ60">
        <v>0</v>
      </c>
      <c r="AR60">
        <v>0</v>
      </c>
      <c r="AS60">
        <v>132378</v>
      </c>
      <c r="AT60">
        <v>581470</v>
      </c>
      <c r="AU60">
        <v>0</v>
      </c>
      <c r="AV60">
        <v>0</v>
      </c>
      <c r="AW60">
        <v>0</v>
      </c>
      <c r="AX60">
        <v>581470</v>
      </c>
      <c r="AY60">
        <v>713848</v>
      </c>
      <c r="AZ60">
        <v>0</v>
      </c>
      <c r="BA60">
        <v>0</v>
      </c>
      <c r="BB60">
        <v>0</v>
      </c>
      <c r="BC60">
        <v>713848</v>
      </c>
      <c r="BD60">
        <v>406568</v>
      </c>
      <c r="BE60">
        <v>0</v>
      </c>
      <c r="BF60">
        <v>0</v>
      </c>
      <c r="BG60">
        <v>0</v>
      </c>
      <c r="BH60">
        <v>0</v>
      </c>
      <c r="BI60">
        <v>406568</v>
      </c>
      <c r="BJ60">
        <v>0</v>
      </c>
      <c r="BK60">
        <v>0</v>
      </c>
      <c r="BL60">
        <v>16128</v>
      </c>
      <c r="BM60">
        <v>0</v>
      </c>
      <c r="BN60">
        <v>0</v>
      </c>
      <c r="BO60">
        <v>16128</v>
      </c>
      <c r="BP60">
        <v>489204</v>
      </c>
      <c r="BQ60">
        <v>0</v>
      </c>
      <c r="BR60">
        <v>0</v>
      </c>
      <c r="BS60">
        <v>0</v>
      </c>
      <c r="BT60">
        <v>15458</v>
      </c>
      <c r="BU60">
        <v>504662</v>
      </c>
      <c r="BV60">
        <v>895772</v>
      </c>
      <c r="BW60">
        <v>0</v>
      </c>
      <c r="BX60">
        <v>16128</v>
      </c>
      <c r="BY60">
        <v>0</v>
      </c>
      <c r="BZ60">
        <v>15458</v>
      </c>
      <c r="CA60">
        <v>927358</v>
      </c>
      <c r="CB60">
        <v>0</v>
      </c>
      <c r="CC60">
        <v>0</v>
      </c>
      <c r="CD60">
        <v>0</v>
      </c>
      <c r="CE60">
        <v>0</v>
      </c>
      <c r="CF60">
        <v>0</v>
      </c>
      <c r="CG60">
        <v>0</v>
      </c>
      <c r="CH60">
        <v>0</v>
      </c>
      <c r="CI60">
        <v>0</v>
      </c>
      <c r="CJ60">
        <v>0</v>
      </c>
      <c r="CK60">
        <v>0</v>
      </c>
      <c r="CL60">
        <v>0</v>
      </c>
      <c r="CM60">
        <v>0</v>
      </c>
      <c r="CN60">
        <v>0</v>
      </c>
      <c r="CO60">
        <v>0</v>
      </c>
      <c r="CP60">
        <v>0</v>
      </c>
      <c r="CQ60">
        <v>0</v>
      </c>
      <c r="CR60" t="s">
        <v>782</v>
      </c>
      <c r="CS60">
        <v>198188</v>
      </c>
      <c r="CT60">
        <v>0</v>
      </c>
      <c r="CU60">
        <v>0</v>
      </c>
      <c r="CV60">
        <v>54624</v>
      </c>
      <c r="CW60">
        <v>17834</v>
      </c>
      <c r="CX60">
        <v>53392</v>
      </c>
      <c r="CY60">
        <v>0</v>
      </c>
      <c r="CZ60">
        <v>3072</v>
      </c>
      <c r="DA60">
        <v>67748</v>
      </c>
      <c r="DB60">
        <v>51568</v>
      </c>
      <c r="DC60">
        <v>0</v>
      </c>
      <c r="DD60">
        <v>0</v>
      </c>
      <c r="DE60">
        <v>160512</v>
      </c>
      <c r="DF60">
        <v>39264</v>
      </c>
      <c r="DG60">
        <v>0</v>
      </c>
      <c r="DH60">
        <v>0</v>
      </c>
      <c r="DI60">
        <v>0</v>
      </c>
      <c r="DJ60">
        <v>288</v>
      </c>
      <c r="DK60">
        <v>0</v>
      </c>
      <c r="DL60">
        <v>0</v>
      </c>
      <c r="DM60">
        <v>22176</v>
      </c>
      <c r="DN60">
        <v>3744</v>
      </c>
      <c r="DO60">
        <v>42340</v>
      </c>
      <c r="DP60">
        <v>18640</v>
      </c>
      <c r="DQ60">
        <v>0</v>
      </c>
      <c r="DR60">
        <v>0</v>
      </c>
      <c r="DS60">
        <v>21456</v>
      </c>
      <c r="DT60">
        <v>3360</v>
      </c>
      <c r="DU60">
        <v>0</v>
      </c>
      <c r="DV60">
        <v>24704</v>
      </c>
      <c r="DW60">
        <v>22208</v>
      </c>
      <c r="DX60">
        <v>606930</v>
      </c>
      <c r="DY60">
        <v>0</v>
      </c>
      <c r="DZ60">
        <v>352246</v>
      </c>
      <c r="EA60">
        <v>30175</v>
      </c>
      <c r="EB60">
        <v>79306</v>
      </c>
      <c r="EC60">
        <v>0</v>
      </c>
      <c r="ED60">
        <v>8867</v>
      </c>
      <c r="EE60">
        <v>100630</v>
      </c>
      <c r="EF60">
        <v>148835</v>
      </c>
      <c r="EG60">
        <v>0</v>
      </c>
      <c r="EH60">
        <v>0</v>
      </c>
      <c r="EI60">
        <v>563791</v>
      </c>
      <c r="EJ60">
        <v>66435</v>
      </c>
      <c r="EK60">
        <v>0</v>
      </c>
      <c r="EL60">
        <v>0</v>
      </c>
      <c r="EM60">
        <v>0</v>
      </c>
      <c r="EN60">
        <v>832</v>
      </c>
      <c r="EO60">
        <v>0</v>
      </c>
      <c r="EP60">
        <v>0</v>
      </c>
      <c r="EQ60">
        <v>37522</v>
      </c>
      <c r="ER60">
        <v>14578</v>
      </c>
      <c r="ES60">
        <v>164860</v>
      </c>
      <c r="ET60">
        <v>53799</v>
      </c>
      <c r="EU60">
        <v>0</v>
      </c>
      <c r="EV60">
        <v>0</v>
      </c>
      <c r="EW60">
        <v>40138</v>
      </c>
      <c r="EX60">
        <v>4990</v>
      </c>
      <c r="EY60">
        <v>0</v>
      </c>
      <c r="EZ60">
        <v>110547</v>
      </c>
      <c r="FA60">
        <v>99378</v>
      </c>
      <c r="FB60">
        <v>1876929</v>
      </c>
      <c r="FC60">
        <v>0</v>
      </c>
      <c r="FD60">
        <v>5317</v>
      </c>
      <c r="FE60">
        <v>1736</v>
      </c>
      <c r="FF60">
        <v>15096</v>
      </c>
      <c r="FG60">
        <v>0</v>
      </c>
      <c r="FH60">
        <v>299</v>
      </c>
      <c r="FI60">
        <v>19154</v>
      </c>
      <c r="FJ60">
        <v>5019</v>
      </c>
      <c r="FK60">
        <v>0</v>
      </c>
      <c r="FL60">
        <v>0</v>
      </c>
      <c r="FM60">
        <v>15624</v>
      </c>
      <c r="FN60">
        <v>3822</v>
      </c>
      <c r="FO60">
        <v>0</v>
      </c>
      <c r="FP60">
        <v>0</v>
      </c>
      <c r="FQ60">
        <v>0</v>
      </c>
      <c r="FR60">
        <v>28</v>
      </c>
      <c r="FS60">
        <v>0</v>
      </c>
      <c r="FT60">
        <v>0</v>
      </c>
      <c r="FU60">
        <v>4559</v>
      </c>
      <c r="FV60">
        <v>578</v>
      </c>
      <c r="FW60">
        <v>6537</v>
      </c>
      <c r="FX60">
        <v>1814</v>
      </c>
      <c r="FY60">
        <v>0</v>
      </c>
      <c r="FZ60">
        <v>0</v>
      </c>
      <c r="GA60">
        <v>2088</v>
      </c>
      <c r="GB60">
        <v>950</v>
      </c>
      <c r="GC60">
        <v>0</v>
      </c>
      <c r="GD60">
        <v>3669</v>
      </c>
      <c r="GE60">
        <v>3298</v>
      </c>
      <c r="GF60">
        <v>89588</v>
      </c>
      <c r="GG60">
        <v>0</v>
      </c>
      <c r="GH60">
        <v>36036</v>
      </c>
      <c r="GI60">
        <v>3216</v>
      </c>
      <c r="GJ60">
        <v>9514</v>
      </c>
      <c r="GK60">
        <v>0</v>
      </c>
      <c r="GL60">
        <v>924</v>
      </c>
      <c r="GM60">
        <v>12072</v>
      </c>
      <c r="GN60">
        <v>15506</v>
      </c>
      <c r="GO60">
        <v>0</v>
      </c>
      <c r="GP60">
        <v>0</v>
      </c>
      <c r="GQ60">
        <v>58394</v>
      </c>
      <c r="GR60">
        <v>7081</v>
      </c>
      <c r="GS60">
        <v>0</v>
      </c>
      <c r="GT60">
        <v>0</v>
      </c>
      <c r="GU60">
        <v>0</v>
      </c>
      <c r="GV60">
        <v>87</v>
      </c>
      <c r="GW60">
        <v>0</v>
      </c>
      <c r="GX60">
        <v>0</v>
      </c>
      <c r="GY60">
        <v>4241</v>
      </c>
      <c r="GZ60">
        <v>1527</v>
      </c>
      <c r="HA60">
        <v>17274</v>
      </c>
      <c r="HB60">
        <v>5605</v>
      </c>
      <c r="HC60">
        <v>0</v>
      </c>
      <c r="HD60">
        <v>0</v>
      </c>
      <c r="HE60">
        <v>4256</v>
      </c>
      <c r="HF60">
        <v>599</v>
      </c>
      <c r="HG60">
        <v>0</v>
      </c>
      <c r="HH60">
        <v>11511</v>
      </c>
      <c r="HI60">
        <v>10348</v>
      </c>
      <c r="HJ60">
        <v>198188</v>
      </c>
      <c r="HK60">
        <v>0</v>
      </c>
      <c r="HL60">
        <v>25478</v>
      </c>
      <c r="HM60">
        <v>2357</v>
      </c>
      <c r="HN60">
        <v>33704</v>
      </c>
      <c r="HO60">
        <v>0</v>
      </c>
      <c r="HP60">
        <v>494</v>
      </c>
      <c r="HQ60">
        <v>42766</v>
      </c>
      <c r="HR60">
        <v>8301</v>
      </c>
      <c r="HS60">
        <v>0</v>
      </c>
      <c r="HT60">
        <v>0</v>
      </c>
      <c r="HU60">
        <v>60578</v>
      </c>
      <c r="HV60">
        <v>6643</v>
      </c>
      <c r="HW60">
        <v>0</v>
      </c>
      <c r="HX60">
        <v>0</v>
      </c>
      <c r="HY60">
        <v>0</v>
      </c>
      <c r="HZ60">
        <v>47</v>
      </c>
      <c r="IA60">
        <v>0</v>
      </c>
      <c r="IB60">
        <v>0</v>
      </c>
      <c r="IC60">
        <v>3833</v>
      </c>
      <c r="ID60">
        <v>4691</v>
      </c>
      <c r="IE60">
        <v>53050</v>
      </c>
      <c r="IF60">
        <v>3001</v>
      </c>
      <c r="IG60">
        <v>0</v>
      </c>
      <c r="IH60">
        <v>0</v>
      </c>
      <c r="II60">
        <v>2012</v>
      </c>
      <c r="IJ60">
        <v>2121</v>
      </c>
      <c r="IK60">
        <v>0</v>
      </c>
      <c r="IL60">
        <v>10074</v>
      </c>
      <c r="IM60">
        <v>9056</v>
      </c>
      <c r="IN60">
        <v>268206</v>
      </c>
      <c r="IO60">
        <v>0</v>
      </c>
      <c r="IP60">
        <v>66831</v>
      </c>
      <c r="IQ60">
        <v>7309</v>
      </c>
      <c r="IR60">
        <v>58314</v>
      </c>
      <c r="IS60">
        <v>0</v>
      </c>
      <c r="IT60">
        <v>1717</v>
      </c>
      <c r="IU60">
        <v>73992</v>
      </c>
      <c r="IV60">
        <v>28826</v>
      </c>
      <c r="IW60">
        <v>0</v>
      </c>
      <c r="IX60">
        <v>0</v>
      </c>
      <c r="IY60">
        <v>134596</v>
      </c>
      <c r="IZ60">
        <v>17546</v>
      </c>
      <c r="JA60">
        <v>0</v>
      </c>
      <c r="JB60">
        <v>0</v>
      </c>
      <c r="JC60">
        <v>0</v>
      </c>
      <c r="JD60">
        <v>162</v>
      </c>
      <c r="JE60">
        <v>0</v>
      </c>
      <c r="JF60">
        <v>0</v>
      </c>
      <c r="JG60">
        <v>12633</v>
      </c>
      <c r="JH60">
        <v>6796</v>
      </c>
      <c r="JI60">
        <v>76861</v>
      </c>
      <c r="JJ60">
        <v>10420</v>
      </c>
      <c r="JK60">
        <v>0</v>
      </c>
      <c r="JL60">
        <v>0</v>
      </c>
      <c r="JM60">
        <v>8356</v>
      </c>
      <c r="JN60">
        <v>3670</v>
      </c>
      <c r="JO60">
        <v>0</v>
      </c>
      <c r="JP60">
        <v>25254</v>
      </c>
      <c r="JQ60">
        <v>22702</v>
      </c>
      <c r="JR60">
        <v>555982</v>
      </c>
      <c r="JS60">
        <v>0</v>
      </c>
      <c r="JT60">
        <v>419077</v>
      </c>
      <c r="JU60">
        <v>37484</v>
      </c>
      <c r="JV60">
        <v>137620</v>
      </c>
      <c r="JW60">
        <v>0</v>
      </c>
      <c r="JX60">
        <v>10584</v>
      </c>
      <c r="JY60">
        <v>174622</v>
      </c>
      <c r="JZ60">
        <v>177661</v>
      </c>
      <c r="KA60">
        <v>0</v>
      </c>
      <c r="KB60">
        <v>0</v>
      </c>
      <c r="KC60">
        <v>698387</v>
      </c>
      <c r="KD60">
        <v>83981</v>
      </c>
      <c r="KE60">
        <v>0</v>
      </c>
      <c r="KF60">
        <v>0</v>
      </c>
      <c r="KG60">
        <v>0</v>
      </c>
      <c r="KH60">
        <v>994</v>
      </c>
      <c r="KI60">
        <v>0</v>
      </c>
      <c r="KJ60">
        <v>0</v>
      </c>
      <c r="KK60">
        <v>50155</v>
      </c>
      <c r="KL60">
        <v>21374</v>
      </c>
      <c r="KM60">
        <v>241721</v>
      </c>
      <c r="KN60">
        <v>64219</v>
      </c>
      <c r="KO60">
        <v>0</v>
      </c>
      <c r="KP60">
        <v>0</v>
      </c>
      <c r="KQ60">
        <v>48494</v>
      </c>
      <c r="KR60">
        <v>8660</v>
      </c>
      <c r="KS60">
        <v>0</v>
      </c>
      <c r="KT60">
        <v>135801</v>
      </c>
      <c r="KU60">
        <v>122080</v>
      </c>
      <c r="KV60">
        <v>2432911</v>
      </c>
      <c r="KW60" t="s">
        <v>359</v>
      </c>
      <c r="KX60">
        <v>5359959</v>
      </c>
      <c r="KY60">
        <v>1641206</v>
      </c>
      <c r="KZ60">
        <v>7001165</v>
      </c>
      <c r="LA60">
        <v>0</v>
      </c>
      <c r="LB60">
        <v>82645</v>
      </c>
    </row>
    <row r="61" spans="1:314" x14ac:dyDescent="0.25">
      <c r="A61" t="s">
        <v>789</v>
      </c>
      <c r="B61" t="s">
        <v>790</v>
      </c>
      <c r="C61" t="s">
        <v>352</v>
      </c>
      <c r="D61" t="s">
        <v>791</v>
      </c>
      <c r="E61" s="2">
        <v>40919.678923611114</v>
      </c>
      <c r="G61" t="s">
        <v>792</v>
      </c>
      <c r="H61" t="s">
        <v>793</v>
      </c>
      <c r="I61" t="s">
        <v>794</v>
      </c>
      <c r="J61" t="s">
        <v>795</v>
      </c>
      <c r="K61" t="s">
        <v>796</v>
      </c>
      <c r="L61">
        <v>0</v>
      </c>
      <c r="M61">
        <v>0</v>
      </c>
      <c r="N61">
        <v>0</v>
      </c>
      <c r="O61">
        <v>28152314</v>
      </c>
      <c r="P61">
        <v>0</v>
      </c>
      <c r="Q61">
        <v>668132</v>
      </c>
      <c r="R61">
        <v>0</v>
      </c>
      <c r="S61">
        <v>668132</v>
      </c>
      <c r="T61">
        <v>1724840</v>
      </c>
      <c r="U61">
        <v>488520</v>
      </c>
      <c r="V61">
        <v>270983</v>
      </c>
      <c r="W61">
        <v>0</v>
      </c>
      <c r="X61">
        <v>71765</v>
      </c>
      <c r="Y61">
        <v>0</v>
      </c>
      <c r="Z61">
        <v>2556108</v>
      </c>
      <c r="AA61">
        <v>1959175</v>
      </c>
      <c r="AB61">
        <v>1033818</v>
      </c>
      <c r="AC61">
        <v>36915</v>
      </c>
      <c r="AD61">
        <v>0</v>
      </c>
      <c r="AE61">
        <v>3648495</v>
      </c>
      <c r="AF61">
        <v>970750</v>
      </c>
      <c r="AG61">
        <v>7649153</v>
      </c>
      <c r="AH61">
        <v>3684015</v>
      </c>
      <c r="AI61">
        <v>1522338</v>
      </c>
      <c r="AJ61">
        <v>307898</v>
      </c>
      <c r="AK61">
        <v>0</v>
      </c>
      <c r="AL61">
        <v>3720260</v>
      </c>
      <c r="AM61">
        <v>970750</v>
      </c>
      <c r="AN61">
        <v>10205261</v>
      </c>
      <c r="AO61">
        <v>180159</v>
      </c>
      <c r="AP61">
        <v>0</v>
      </c>
      <c r="AQ61">
        <v>0</v>
      </c>
      <c r="AR61">
        <v>0</v>
      </c>
      <c r="AS61">
        <v>180159</v>
      </c>
      <c r="AT61">
        <v>481333</v>
      </c>
      <c r="AU61">
        <v>0</v>
      </c>
      <c r="AV61">
        <v>0</v>
      </c>
      <c r="AW61">
        <v>0</v>
      </c>
      <c r="AX61">
        <v>481333</v>
      </c>
      <c r="AY61">
        <v>661492</v>
      </c>
      <c r="AZ61">
        <v>0</v>
      </c>
      <c r="BA61">
        <v>0</v>
      </c>
      <c r="BB61">
        <v>0</v>
      </c>
      <c r="BC61">
        <v>661492</v>
      </c>
      <c r="BD61">
        <v>381580</v>
      </c>
      <c r="BE61">
        <v>0</v>
      </c>
      <c r="BF61">
        <v>0</v>
      </c>
      <c r="BG61">
        <v>0</v>
      </c>
      <c r="BH61">
        <v>0</v>
      </c>
      <c r="BI61">
        <v>381580</v>
      </c>
      <c r="BJ61">
        <v>0</v>
      </c>
      <c r="BK61">
        <v>0</v>
      </c>
      <c r="BL61">
        <v>115615</v>
      </c>
      <c r="BM61">
        <v>0</v>
      </c>
      <c r="BN61">
        <v>0</v>
      </c>
      <c r="BO61">
        <v>115615</v>
      </c>
      <c r="BP61">
        <v>574579</v>
      </c>
      <c r="BQ61">
        <v>4114815</v>
      </c>
      <c r="BR61">
        <v>0</v>
      </c>
      <c r="BS61">
        <v>0</v>
      </c>
      <c r="BT61">
        <v>0</v>
      </c>
      <c r="BU61">
        <v>4689394</v>
      </c>
      <c r="BV61">
        <v>956159</v>
      </c>
      <c r="BW61">
        <v>4114815</v>
      </c>
      <c r="BX61">
        <v>115615</v>
      </c>
      <c r="BY61">
        <v>0</v>
      </c>
      <c r="BZ61">
        <v>0</v>
      </c>
      <c r="CA61">
        <v>5186589</v>
      </c>
      <c r="CB61">
        <v>0</v>
      </c>
      <c r="CC61">
        <v>0</v>
      </c>
      <c r="CD61">
        <v>0</v>
      </c>
      <c r="CE61">
        <v>0</v>
      </c>
      <c r="CF61">
        <v>0</v>
      </c>
      <c r="CG61">
        <v>0</v>
      </c>
      <c r="CH61">
        <v>0</v>
      </c>
      <c r="CI61">
        <v>0</v>
      </c>
      <c r="CJ61">
        <v>0</v>
      </c>
      <c r="CK61">
        <v>0</v>
      </c>
      <c r="CL61">
        <v>0</v>
      </c>
      <c r="CM61">
        <v>0</v>
      </c>
      <c r="CN61">
        <v>0</v>
      </c>
      <c r="CO61">
        <v>0</v>
      </c>
      <c r="CP61">
        <v>0</v>
      </c>
      <c r="CQ61">
        <v>0</v>
      </c>
      <c r="CR61" t="s">
        <v>789</v>
      </c>
      <c r="CS61">
        <v>2195146</v>
      </c>
      <c r="CT61">
        <v>0</v>
      </c>
      <c r="CU61">
        <v>0</v>
      </c>
      <c r="CV61">
        <v>66496</v>
      </c>
      <c r="CW61">
        <v>188544</v>
      </c>
      <c r="CX61">
        <v>144214</v>
      </c>
      <c r="CY61">
        <v>0</v>
      </c>
      <c r="CZ61">
        <v>1220</v>
      </c>
      <c r="DA61">
        <v>73797</v>
      </c>
      <c r="DB61">
        <v>29424</v>
      </c>
      <c r="DC61">
        <v>28388</v>
      </c>
      <c r="DD61">
        <v>0</v>
      </c>
      <c r="DE61">
        <v>234566</v>
      </c>
      <c r="DF61">
        <v>64944</v>
      </c>
      <c r="DG61">
        <v>0</v>
      </c>
      <c r="DH61">
        <v>12320</v>
      </c>
      <c r="DI61">
        <v>36141</v>
      </c>
      <c r="DJ61">
        <v>163801</v>
      </c>
      <c r="DK61">
        <v>42221</v>
      </c>
      <c r="DL61">
        <v>0</v>
      </c>
      <c r="DM61">
        <v>44064</v>
      </c>
      <c r="DN61">
        <v>1536</v>
      </c>
      <c r="DO61">
        <v>35172</v>
      </c>
      <c r="DP61">
        <v>23296</v>
      </c>
      <c r="DQ61">
        <v>0</v>
      </c>
      <c r="DR61">
        <v>169563</v>
      </c>
      <c r="DS61">
        <v>52464</v>
      </c>
      <c r="DT61">
        <v>54816</v>
      </c>
      <c r="DU61">
        <v>0</v>
      </c>
      <c r="DV61">
        <v>70848</v>
      </c>
      <c r="DW61">
        <v>84016</v>
      </c>
      <c r="DX61">
        <v>1621851</v>
      </c>
      <c r="DY61">
        <v>0</v>
      </c>
      <c r="DZ61">
        <v>247349</v>
      </c>
      <c r="EA61">
        <v>701337</v>
      </c>
      <c r="EB61">
        <v>536441</v>
      </c>
      <c r="EC61">
        <v>0</v>
      </c>
      <c r="ED61">
        <v>4538</v>
      </c>
      <c r="EE61">
        <v>274507</v>
      </c>
      <c r="EF61">
        <v>109450</v>
      </c>
      <c r="EG61">
        <v>105596</v>
      </c>
      <c r="EH61">
        <v>0</v>
      </c>
      <c r="EI61">
        <v>872528</v>
      </c>
      <c r="EJ61">
        <v>241576</v>
      </c>
      <c r="EK61">
        <v>0</v>
      </c>
      <c r="EL61">
        <v>45827</v>
      </c>
      <c r="EM61">
        <v>134436</v>
      </c>
      <c r="EN61">
        <v>609299</v>
      </c>
      <c r="EO61">
        <v>157052</v>
      </c>
      <c r="EP61">
        <v>0</v>
      </c>
      <c r="EQ61">
        <v>163907</v>
      </c>
      <c r="ER61">
        <v>5714</v>
      </c>
      <c r="ES61">
        <v>130831</v>
      </c>
      <c r="ET61">
        <v>86655</v>
      </c>
      <c r="EU61">
        <v>0</v>
      </c>
      <c r="EV61">
        <v>630733</v>
      </c>
      <c r="EW61">
        <v>195153</v>
      </c>
      <c r="EX61">
        <v>203902</v>
      </c>
      <c r="EY61">
        <v>0</v>
      </c>
      <c r="EZ61">
        <v>263537</v>
      </c>
      <c r="FA61">
        <v>312519</v>
      </c>
      <c r="FB61">
        <v>6032887</v>
      </c>
      <c r="FC61">
        <v>0</v>
      </c>
      <c r="FD61">
        <v>55905</v>
      </c>
      <c r="FE61">
        <v>158514</v>
      </c>
      <c r="FF61">
        <v>121244</v>
      </c>
      <c r="FG61">
        <v>0</v>
      </c>
      <c r="FH61">
        <v>1026</v>
      </c>
      <c r="FI61">
        <v>62043</v>
      </c>
      <c r="FJ61">
        <v>24737</v>
      </c>
      <c r="FK61">
        <v>23866</v>
      </c>
      <c r="FL61">
        <v>0</v>
      </c>
      <c r="FM61">
        <v>197205</v>
      </c>
      <c r="FN61">
        <v>54600</v>
      </c>
      <c r="FO61">
        <v>0</v>
      </c>
      <c r="FP61">
        <v>10358</v>
      </c>
      <c r="FQ61">
        <v>30385</v>
      </c>
      <c r="FR61">
        <v>137712</v>
      </c>
      <c r="FS61">
        <v>35496</v>
      </c>
      <c r="FT61">
        <v>0</v>
      </c>
      <c r="FU61">
        <v>37046</v>
      </c>
      <c r="FV61">
        <v>1291</v>
      </c>
      <c r="FW61">
        <v>29570</v>
      </c>
      <c r="FX61">
        <v>19586</v>
      </c>
      <c r="FY61">
        <v>0</v>
      </c>
      <c r="FZ61">
        <v>142556</v>
      </c>
      <c r="GA61">
        <v>44108</v>
      </c>
      <c r="GB61">
        <v>46085</v>
      </c>
      <c r="GC61">
        <v>0</v>
      </c>
      <c r="GD61">
        <v>59564</v>
      </c>
      <c r="GE61">
        <v>70634</v>
      </c>
      <c r="GF61">
        <v>1363531</v>
      </c>
      <c r="GG61">
        <v>0</v>
      </c>
      <c r="GH61">
        <v>90001</v>
      </c>
      <c r="GI61">
        <v>255191</v>
      </c>
      <c r="GJ61">
        <v>195191</v>
      </c>
      <c r="GK61">
        <v>0</v>
      </c>
      <c r="GL61">
        <v>1651</v>
      </c>
      <c r="GM61">
        <v>99883</v>
      </c>
      <c r="GN61">
        <v>39825</v>
      </c>
      <c r="GO61">
        <v>38422</v>
      </c>
      <c r="GP61">
        <v>0</v>
      </c>
      <c r="GQ61">
        <v>317481</v>
      </c>
      <c r="GR61">
        <v>87901</v>
      </c>
      <c r="GS61">
        <v>0</v>
      </c>
      <c r="GT61">
        <v>16675</v>
      </c>
      <c r="GU61">
        <v>48916</v>
      </c>
      <c r="GV61">
        <v>221702</v>
      </c>
      <c r="GW61">
        <v>57145</v>
      </c>
      <c r="GX61">
        <v>0</v>
      </c>
      <c r="GY61">
        <v>59640</v>
      </c>
      <c r="GZ61">
        <v>2079</v>
      </c>
      <c r="HA61">
        <v>47605</v>
      </c>
      <c r="HB61">
        <v>31531</v>
      </c>
      <c r="HC61">
        <v>0</v>
      </c>
      <c r="HD61">
        <v>229501</v>
      </c>
      <c r="HE61">
        <v>71009</v>
      </c>
      <c r="HF61">
        <v>74192</v>
      </c>
      <c r="HG61">
        <v>0</v>
      </c>
      <c r="HH61">
        <v>95892</v>
      </c>
      <c r="HI61">
        <v>113714</v>
      </c>
      <c r="HJ61">
        <v>2195146</v>
      </c>
      <c r="HK61">
        <v>0</v>
      </c>
      <c r="HL61">
        <v>115211</v>
      </c>
      <c r="HM61">
        <v>326672</v>
      </c>
      <c r="HN61">
        <v>249866</v>
      </c>
      <c r="HO61">
        <v>0</v>
      </c>
      <c r="HP61">
        <v>2114</v>
      </c>
      <c r="HQ61">
        <v>127861</v>
      </c>
      <c r="HR61">
        <v>50980</v>
      </c>
      <c r="HS61">
        <v>49185</v>
      </c>
      <c r="HT61">
        <v>0</v>
      </c>
      <c r="HU61">
        <v>406410</v>
      </c>
      <c r="HV61">
        <v>112522</v>
      </c>
      <c r="HW61">
        <v>0</v>
      </c>
      <c r="HX61">
        <v>21346</v>
      </c>
      <c r="HY61">
        <v>62618</v>
      </c>
      <c r="HZ61">
        <v>283802</v>
      </c>
      <c r="IA61">
        <v>73152</v>
      </c>
      <c r="IB61">
        <v>0</v>
      </c>
      <c r="IC61">
        <v>76346</v>
      </c>
      <c r="ID61">
        <v>2661</v>
      </c>
      <c r="IE61">
        <v>60939</v>
      </c>
      <c r="IF61">
        <v>40363</v>
      </c>
      <c r="IG61">
        <v>0</v>
      </c>
      <c r="IH61">
        <v>293786</v>
      </c>
      <c r="II61">
        <v>90899</v>
      </c>
      <c r="IJ61">
        <v>94974</v>
      </c>
      <c r="IK61">
        <v>0</v>
      </c>
      <c r="IL61">
        <v>122752</v>
      </c>
      <c r="IM61">
        <v>145567</v>
      </c>
      <c r="IN61">
        <v>2810026</v>
      </c>
      <c r="IO61">
        <v>0</v>
      </c>
      <c r="IP61">
        <v>261117</v>
      </c>
      <c r="IQ61">
        <v>740377</v>
      </c>
      <c r="IR61">
        <v>566301</v>
      </c>
      <c r="IS61">
        <v>0</v>
      </c>
      <c r="IT61">
        <v>4791</v>
      </c>
      <c r="IU61">
        <v>289787</v>
      </c>
      <c r="IV61">
        <v>115542</v>
      </c>
      <c r="IW61">
        <v>111473</v>
      </c>
      <c r="IX61">
        <v>0</v>
      </c>
      <c r="IY61">
        <v>921096</v>
      </c>
      <c r="IZ61">
        <v>255023</v>
      </c>
      <c r="JA61">
        <v>0</v>
      </c>
      <c r="JB61">
        <v>48379</v>
      </c>
      <c r="JC61">
        <v>141919</v>
      </c>
      <c r="JD61">
        <v>643216</v>
      </c>
      <c r="JE61">
        <v>165793</v>
      </c>
      <c r="JF61">
        <v>0</v>
      </c>
      <c r="JG61">
        <v>173032</v>
      </c>
      <c r="JH61">
        <v>6031</v>
      </c>
      <c r="JI61">
        <v>138114</v>
      </c>
      <c r="JJ61">
        <v>91480</v>
      </c>
      <c r="JK61">
        <v>0</v>
      </c>
      <c r="JL61">
        <v>665843</v>
      </c>
      <c r="JM61">
        <v>206016</v>
      </c>
      <c r="JN61">
        <v>215251</v>
      </c>
      <c r="JO61">
        <v>0</v>
      </c>
      <c r="JP61">
        <v>278208</v>
      </c>
      <c r="JQ61">
        <v>329915</v>
      </c>
      <c r="JR61">
        <v>6368703</v>
      </c>
      <c r="JS61">
        <v>0</v>
      </c>
      <c r="JT61">
        <v>508466</v>
      </c>
      <c r="JU61">
        <v>1441714</v>
      </c>
      <c r="JV61">
        <v>1102742</v>
      </c>
      <c r="JW61">
        <v>0</v>
      </c>
      <c r="JX61">
        <v>9329</v>
      </c>
      <c r="JY61">
        <v>564294</v>
      </c>
      <c r="JZ61">
        <v>224992</v>
      </c>
      <c r="KA61">
        <v>217069</v>
      </c>
      <c r="KB61">
        <v>0</v>
      </c>
      <c r="KC61">
        <v>1793624</v>
      </c>
      <c r="KD61">
        <v>496599</v>
      </c>
      <c r="KE61">
        <v>0</v>
      </c>
      <c r="KF61">
        <v>94206</v>
      </c>
      <c r="KG61">
        <v>276355</v>
      </c>
      <c r="KH61">
        <v>1252515</v>
      </c>
      <c r="KI61">
        <v>322845</v>
      </c>
      <c r="KJ61">
        <v>0</v>
      </c>
      <c r="KK61">
        <v>336939</v>
      </c>
      <c r="KL61">
        <v>11745</v>
      </c>
      <c r="KM61">
        <v>268945</v>
      </c>
      <c r="KN61">
        <v>178135</v>
      </c>
      <c r="KO61">
        <v>0</v>
      </c>
      <c r="KP61">
        <v>1296576</v>
      </c>
      <c r="KQ61">
        <v>401169</v>
      </c>
      <c r="KR61">
        <v>419153</v>
      </c>
      <c r="KS61">
        <v>0</v>
      </c>
      <c r="KT61">
        <v>541745</v>
      </c>
      <c r="KU61">
        <v>642434</v>
      </c>
      <c r="KV61">
        <v>12401590</v>
      </c>
      <c r="KW61" t="s">
        <v>359</v>
      </c>
      <c r="KX61">
        <v>23274983</v>
      </c>
      <c r="KY61">
        <v>5848081</v>
      </c>
      <c r="KZ61">
        <v>29123064</v>
      </c>
      <c r="LA61">
        <v>0</v>
      </c>
      <c r="LB61">
        <v>970750</v>
      </c>
    </row>
    <row r="62" spans="1:314" ht="15" customHeight="1" x14ac:dyDescent="0.25">
      <c r="A62" t="s">
        <v>797</v>
      </c>
      <c r="B62" t="s">
        <v>809</v>
      </c>
      <c r="E62" s="2">
        <v>41223.827303240738</v>
      </c>
      <c r="G62" t="s">
        <v>798</v>
      </c>
      <c r="H62" t="s">
        <v>810</v>
      </c>
      <c r="I62" t="s">
        <v>811</v>
      </c>
      <c r="J62" t="s">
        <v>812</v>
      </c>
      <c r="K62" t="s">
        <v>813</v>
      </c>
      <c r="L62">
        <v>0</v>
      </c>
      <c r="M62">
        <v>0</v>
      </c>
      <c r="N62">
        <v>0</v>
      </c>
      <c r="O62">
        <v>140</v>
      </c>
      <c r="P62">
        <v>0</v>
      </c>
      <c r="Q62">
        <v>21</v>
      </c>
      <c r="R62">
        <v>0</v>
      </c>
      <c r="S62">
        <v>21</v>
      </c>
      <c r="T62">
        <v>311</v>
      </c>
      <c r="U62">
        <v>312</v>
      </c>
      <c r="V62">
        <v>313</v>
      </c>
      <c r="W62">
        <v>314</v>
      </c>
      <c r="X62">
        <v>315</v>
      </c>
      <c r="Y62">
        <v>0</v>
      </c>
      <c r="Z62">
        <v>1565</v>
      </c>
      <c r="AA62">
        <v>321</v>
      </c>
      <c r="AB62">
        <v>322</v>
      </c>
      <c r="AC62">
        <v>323</v>
      </c>
      <c r="AD62">
        <v>324</v>
      </c>
      <c r="AE62">
        <v>325</v>
      </c>
      <c r="AF62">
        <v>326</v>
      </c>
      <c r="AG62">
        <v>1941</v>
      </c>
      <c r="AH62">
        <v>632</v>
      </c>
      <c r="AI62">
        <v>634</v>
      </c>
      <c r="AJ62">
        <v>636</v>
      </c>
      <c r="AK62">
        <v>638</v>
      </c>
      <c r="AL62">
        <v>640</v>
      </c>
      <c r="AM62">
        <v>326</v>
      </c>
      <c r="AN62">
        <v>3506</v>
      </c>
      <c r="AO62">
        <v>411</v>
      </c>
      <c r="AP62">
        <v>412</v>
      </c>
      <c r="AQ62">
        <v>413</v>
      </c>
      <c r="AR62">
        <v>0</v>
      </c>
      <c r="AS62">
        <v>1236</v>
      </c>
      <c r="AT62">
        <v>421</v>
      </c>
      <c r="AU62">
        <v>422</v>
      </c>
      <c r="AV62">
        <v>423</v>
      </c>
      <c r="AW62">
        <v>414</v>
      </c>
      <c r="AX62">
        <v>1680</v>
      </c>
      <c r="AY62">
        <v>832</v>
      </c>
      <c r="AZ62">
        <v>834</v>
      </c>
      <c r="BA62">
        <v>836</v>
      </c>
      <c r="BB62">
        <v>414</v>
      </c>
      <c r="BC62">
        <v>2916</v>
      </c>
      <c r="BD62">
        <v>511</v>
      </c>
      <c r="BE62">
        <v>512</v>
      </c>
      <c r="BF62">
        <v>0</v>
      </c>
      <c r="BG62">
        <v>0</v>
      </c>
      <c r="BH62">
        <v>0</v>
      </c>
      <c r="BI62">
        <v>1023</v>
      </c>
      <c r="BJ62">
        <v>0</v>
      </c>
      <c r="BK62">
        <v>0</v>
      </c>
      <c r="BL62">
        <v>513</v>
      </c>
      <c r="BM62">
        <v>0</v>
      </c>
      <c r="BN62">
        <v>0</v>
      </c>
      <c r="BO62">
        <v>513</v>
      </c>
      <c r="BP62">
        <v>521</v>
      </c>
      <c r="BQ62">
        <v>522</v>
      </c>
      <c r="BR62">
        <v>0</v>
      </c>
      <c r="BS62">
        <v>0</v>
      </c>
      <c r="BT62">
        <v>523</v>
      </c>
      <c r="BU62">
        <v>1566</v>
      </c>
      <c r="BV62">
        <v>1032</v>
      </c>
      <c r="BW62">
        <v>1034</v>
      </c>
      <c r="BX62">
        <v>513</v>
      </c>
      <c r="BY62">
        <v>0</v>
      </c>
      <c r="BZ62">
        <v>523</v>
      </c>
      <c r="CA62">
        <v>3102</v>
      </c>
      <c r="CB62">
        <v>0</v>
      </c>
      <c r="CC62">
        <v>0</v>
      </c>
      <c r="CD62">
        <v>0</v>
      </c>
      <c r="CE62">
        <v>0</v>
      </c>
      <c r="CF62">
        <v>0</v>
      </c>
      <c r="CG62">
        <v>0</v>
      </c>
      <c r="CH62">
        <v>0</v>
      </c>
      <c r="CI62">
        <v>0</v>
      </c>
      <c r="CJ62">
        <v>0</v>
      </c>
      <c r="CK62">
        <v>0</v>
      </c>
      <c r="CL62">
        <v>0</v>
      </c>
      <c r="CM62">
        <v>0</v>
      </c>
      <c r="CN62">
        <v>0</v>
      </c>
      <c r="CO62">
        <v>0</v>
      </c>
      <c r="CP62">
        <v>0</v>
      </c>
      <c r="CQ62">
        <v>0</v>
      </c>
      <c r="CR62" t="s">
        <v>797</v>
      </c>
      <c r="CS62">
        <v>130</v>
      </c>
      <c r="CT62">
        <v>0</v>
      </c>
      <c r="CU62">
        <v>111</v>
      </c>
      <c r="CV62">
        <v>121</v>
      </c>
      <c r="CW62">
        <v>131</v>
      </c>
      <c r="CX62">
        <v>141</v>
      </c>
      <c r="CY62">
        <v>151</v>
      </c>
      <c r="CZ62">
        <v>161</v>
      </c>
      <c r="DA62">
        <v>171</v>
      </c>
      <c r="DB62">
        <v>181</v>
      </c>
      <c r="DC62">
        <v>191</v>
      </c>
      <c r="DD62">
        <v>1101</v>
      </c>
      <c r="DE62">
        <v>1111</v>
      </c>
      <c r="DF62">
        <v>1121</v>
      </c>
      <c r="DG62">
        <v>1131</v>
      </c>
      <c r="DH62">
        <v>1141</v>
      </c>
      <c r="DI62">
        <v>1151</v>
      </c>
      <c r="DJ62">
        <v>1161</v>
      </c>
      <c r="DK62">
        <v>1171</v>
      </c>
      <c r="DL62">
        <v>1181</v>
      </c>
      <c r="DM62">
        <v>1191</v>
      </c>
      <c r="DN62">
        <v>1201</v>
      </c>
      <c r="DO62">
        <v>1211</v>
      </c>
      <c r="DP62">
        <v>1221</v>
      </c>
      <c r="DQ62">
        <v>1231</v>
      </c>
      <c r="DR62">
        <v>1241</v>
      </c>
      <c r="DS62">
        <v>1251</v>
      </c>
      <c r="DT62">
        <v>1261</v>
      </c>
      <c r="DU62">
        <v>1271</v>
      </c>
      <c r="DV62">
        <v>1281</v>
      </c>
      <c r="DW62">
        <v>1291</v>
      </c>
      <c r="DX62">
        <v>25279</v>
      </c>
      <c r="DY62">
        <v>112</v>
      </c>
      <c r="DZ62">
        <v>122</v>
      </c>
      <c r="EA62">
        <v>132</v>
      </c>
      <c r="EB62">
        <v>142</v>
      </c>
      <c r="EC62">
        <v>152</v>
      </c>
      <c r="ED62">
        <v>162</v>
      </c>
      <c r="EE62">
        <v>172</v>
      </c>
      <c r="EF62">
        <v>182</v>
      </c>
      <c r="EG62">
        <v>192</v>
      </c>
      <c r="EH62">
        <v>1102</v>
      </c>
      <c r="EI62">
        <v>1112</v>
      </c>
      <c r="EJ62">
        <v>1122</v>
      </c>
      <c r="EK62">
        <v>1132</v>
      </c>
      <c r="EL62">
        <v>1142</v>
      </c>
      <c r="EM62">
        <v>1152</v>
      </c>
      <c r="EN62">
        <v>1162</v>
      </c>
      <c r="EO62">
        <v>1172</v>
      </c>
      <c r="EP62">
        <v>1182</v>
      </c>
      <c r="EQ62">
        <v>1192</v>
      </c>
      <c r="ER62">
        <v>1202</v>
      </c>
      <c r="ES62">
        <v>1212</v>
      </c>
      <c r="ET62">
        <v>1222</v>
      </c>
      <c r="EU62">
        <v>1232</v>
      </c>
      <c r="EV62">
        <v>1242</v>
      </c>
      <c r="EW62">
        <v>1252</v>
      </c>
      <c r="EX62">
        <v>1262</v>
      </c>
      <c r="EY62">
        <v>1272</v>
      </c>
      <c r="EZ62">
        <v>1282</v>
      </c>
      <c r="FA62">
        <v>1292</v>
      </c>
      <c r="FB62">
        <v>25308</v>
      </c>
      <c r="FC62">
        <v>113</v>
      </c>
      <c r="FD62">
        <v>123</v>
      </c>
      <c r="FE62">
        <v>133</v>
      </c>
      <c r="FF62">
        <v>143</v>
      </c>
      <c r="FG62">
        <v>153</v>
      </c>
      <c r="FH62">
        <v>163</v>
      </c>
      <c r="FI62">
        <v>173</v>
      </c>
      <c r="FJ62">
        <v>183</v>
      </c>
      <c r="FK62">
        <v>193</v>
      </c>
      <c r="FL62">
        <v>1103</v>
      </c>
      <c r="FM62">
        <v>1113</v>
      </c>
      <c r="FN62">
        <v>1123</v>
      </c>
      <c r="FO62">
        <v>1133</v>
      </c>
      <c r="FP62">
        <v>1143</v>
      </c>
      <c r="FQ62">
        <v>1153</v>
      </c>
      <c r="FR62">
        <v>1163</v>
      </c>
      <c r="FS62">
        <v>1173</v>
      </c>
      <c r="FT62">
        <v>1183</v>
      </c>
      <c r="FU62">
        <v>1193</v>
      </c>
      <c r="FV62">
        <v>1203</v>
      </c>
      <c r="FW62">
        <v>1213</v>
      </c>
      <c r="FX62">
        <v>1223</v>
      </c>
      <c r="FY62">
        <v>1233</v>
      </c>
      <c r="FZ62">
        <v>1243</v>
      </c>
      <c r="GA62">
        <v>1253</v>
      </c>
      <c r="GB62">
        <v>1263</v>
      </c>
      <c r="GC62">
        <v>1273</v>
      </c>
      <c r="GD62">
        <v>1283</v>
      </c>
      <c r="GE62">
        <v>1293</v>
      </c>
      <c r="GF62">
        <v>25337</v>
      </c>
      <c r="GG62">
        <v>1</v>
      </c>
      <c r="GH62">
        <v>1</v>
      </c>
      <c r="GI62">
        <v>1</v>
      </c>
      <c r="GJ62">
        <v>1</v>
      </c>
      <c r="GK62">
        <v>1</v>
      </c>
      <c r="GL62">
        <v>1</v>
      </c>
      <c r="GM62">
        <v>1</v>
      </c>
      <c r="GN62">
        <v>1</v>
      </c>
      <c r="GO62">
        <v>1</v>
      </c>
      <c r="GP62">
        <v>6</v>
      </c>
      <c r="GQ62">
        <v>6</v>
      </c>
      <c r="GR62">
        <v>6</v>
      </c>
      <c r="GS62">
        <v>6</v>
      </c>
      <c r="GT62">
        <v>6</v>
      </c>
      <c r="GU62">
        <v>6</v>
      </c>
      <c r="GV62">
        <v>6</v>
      </c>
      <c r="GW62">
        <v>6</v>
      </c>
      <c r="GX62">
        <v>6</v>
      </c>
      <c r="GY62">
        <v>6</v>
      </c>
      <c r="GZ62">
        <v>6</v>
      </c>
      <c r="HA62">
        <v>6</v>
      </c>
      <c r="HB62">
        <v>6</v>
      </c>
      <c r="HC62">
        <v>6</v>
      </c>
      <c r="HD62">
        <v>6</v>
      </c>
      <c r="HE62">
        <v>6</v>
      </c>
      <c r="HF62">
        <v>6</v>
      </c>
      <c r="HG62">
        <v>7</v>
      </c>
      <c r="HH62">
        <v>7</v>
      </c>
      <c r="HI62">
        <v>7</v>
      </c>
      <c r="HJ62">
        <v>130</v>
      </c>
      <c r="HK62">
        <v>114</v>
      </c>
      <c r="HL62">
        <v>124</v>
      </c>
      <c r="HM62">
        <v>134</v>
      </c>
      <c r="HN62">
        <v>144</v>
      </c>
      <c r="HO62">
        <v>154</v>
      </c>
      <c r="HP62">
        <v>164</v>
      </c>
      <c r="HQ62">
        <v>174</v>
      </c>
      <c r="HR62">
        <v>184</v>
      </c>
      <c r="HS62">
        <v>194</v>
      </c>
      <c r="HT62">
        <v>1104</v>
      </c>
      <c r="HU62">
        <v>1114</v>
      </c>
      <c r="HV62">
        <v>1124</v>
      </c>
      <c r="HW62">
        <v>1134</v>
      </c>
      <c r="HX62">
        <v>1144</v>
      </c>
      <c r="HY62">
        <v>1154</v>
      </c>
      <c r="HZ62">
        <v>1164</v>
      </c>
      <c r="IA62">
        <v>1174</v>
      </c>
      <c r="IB62">
        <v>1184</v>
      </c>
      <c r="IC62">
        <v>1194</v>
      </c>
      <c r="ID62">
        <v>1204</v>
      </c>
      <c r="IE62">
        <v>1214</v>
      </c>
      <c r="IF62">
        <v>1224</v>
      </c>
      <c r="IG62">
        <v>1234</v>
      </c>
      <c r="IH62">
        <v>1244</v>
      </c>
      <c r="II62">
        <v>1254</v>
      </c>
      <c r="IJ62">
        <v>1264</v>
      </c>
      <c r="IK62">
        <v>1274</v>
      </c>
      <c r="IL62">
        <v>1284</v>
      </c>
      <c r="IM62">
        <v>1294</v>
      </c>
      <c r="IN62">
        <v>25366</v>
      </c>
      <c r="IO62">
        <v>228</v>
      </c>
      <c r="IP62">
        <v>248</v>
      </c>
      <c r="IQ62">
        <v>268</v>
      </c>
      <c r="IR62">
        <v>288</v>
      </c>
      <c r="IS62">
        <v>308</v>
      </c>
      <c r="IT62">
        <v>328</v>
      </c>
      <c r="IU62">
        <v>348</v>
      </c>
      <c r="IV62">
        <v>368</v>
      </c>
      <c r="IW62">
        <v>388</v>
      </c>
      <c r="IX62">
        <v>2213</v>
      </c>
      <c r="IY62">
        <v>2233</v>
      </c>
      <c r="IZ62">
        <v>2253</v>
      </c>
      <c r="JA62">
        <v>2273</v>
      </c>
      <c r="JB62">
        <v>2293</v>
      </c>
      <c r="JC62">
        <v>2313</v>
      </c>
      <c r="JD62">
        <v>2333</v>
      </c>
      <c r="JE62">
        <v>2353</v>
      </c>
      <c r="JF62">
        <v>2373</v>
      </c>
      <c r="JG62">
        <v>2393</v>
      </c>
      <c r="JH62">
        <v>2413</v>
      </c>
      <c r="JI62">
        <v>2433</v>
      </c>
      <c r="JJ62">
        <v>2453</v>
      </c>
      <c r="JK62">
        <v>2473</v>
      </c>
      <c r="JL62">
        <v>2493</v>
      </c>
      <c r="JM62">
        <v>2513</v>
      </c>
      <c r="JN62">
        <v>2533</v>
      </c>
      <c r="JO62">
        <v>2554</v>
      </c>
      <c r="JP62">
        <v>2574</v>
      </c>
      <c r="JQ62">
        <v>2594</v>
      </c>
      <c r="JR62">
        <v>50833</v>
      </c>
      <c r="JS62">
        <v>340</v>
      </c>
      <c r="JT62">
        <v>370</v>
      </c>
      <c r="JU62">
        <v>400</v>
      </c>
      <c r="JV62">
        <v>430</v>
      </c>
      <c r="JW62">
        <v>460</v>
      </c>
      <c r="JX62">
        <v>490</v>
      </c>
      <c r="JY62">
        <v>520</v>
      </c>
      <c r="JZ62">
        <v>550</v>
      </c>
      <c r="KA62">
        <v>580</v>
      </c>
      <c r="KB62">
        <v>3315</v>
      </c>
      <c r="KC62">
        <v>3345</v>
      </c>
      <c r="KD62">
        <v>3375</v>
      </c>
      <c r="KE62">
        <v>3405</v>
      </c>
      <c r="KF62">
        <v>3435</v>
      </c>
      <c r="KG62">
        <v>3465</v>
      </c>
      <c r="KH62">
        <v>3495</v>
      </c>
      <c r="KI62">
        <v>3525</v>
      </c>
      <c r="KJ62">
        <v>3555</v>
      </c>
      <c r="KK62">
        <v>3585</v>
      </c>
      <c r="KL62">
        <v>3615</v>
      </c>
      <c r="KM62">
        <v>3645</v>
      </c>
      <c r="KN62">
        <v>3675</v>
      </c>
      <c r="KO62">
        <v>3705</v>
      </c>
      <c r="KP62">
        <v>3735</v>
      </c>
      <c r="KQ62">
        <v>3765</v>
      </c>
      <c r="KR62">
        <v>3795</v>
      </c>
      <c r="KS62">
        <v>3826</v>
      </c>
      <c r="KT62">
        <v>3856</v>
      </c>
      <c r="KU62">
        <v>3886</v>
      </c>
      <c r="KV62">
        <v>76141</v>
      </c>
      <c r="KW62" t="s">
        <v>814</v>
      </c>
      <c r="KX62">
        <v>79668</v>
      </c>
      <c r="KY62">
        <v>6018</v>
      </c>
      <c r="KZ62">
        <v>85686</v>
      </c>
      <c r="LA62">
        <v>-84283</v>
      </c>
      <c r="LB62">
        <v>1263</v>
      </c>
    </row>
    <row r="64" spans="1:314" x14ac:dyDescent="0.25">
      <c r="JS64" s="10"/>
      <c r="JT64" s="10"/>
      <c r="JU64" s="10"/>
      <c r="JV64" s="10"/>
      <c r="JW64" s="10"/>
      <c r="JX64" s="10"/>
      <c r="JY64" s="10"/>
      <c r="JZ64" s="10"/>
      <c r="KA64" s="10"/>
      <c r="KB64" s="10"/>
      <c r="KC64" s="10"/>
      <c r="KD64" s="10"/>
      <c r="KE64" s="10"/>
      <c r="KF64" s="10"/>
      <c r="KG64" s="10"/>
      <c r="KH64" s="10"/>
      <c r="KI64" s="10"/>
      <c r="KJ64" s="10"/>
      <c r="KK64" s="10"/>
      <c r="KL64" s="10"/>
      <c r="KM64" s="10"/>
      <c r="KN64" s="10"/>
      <c r="KO64" s="10"/>
      <c r="KP64" s="10"/>
      <c r="KQ64" s="10"/>
      <c r="KR64" s="10"/>
      <c r="KS64" s="10"/>
      <c r="KT64" s="10"/>
      <c r="KU64" s="10"/>
      <c r="KV64" s="42"/>
    </row>
    <row r="65" spans="97:308" x14ac:dyDescent="0.25">
      <c r="JT65" s="10"/>
      <c r="JU65" s="10"/>
      <c r="JV65" s="10"/>
      <c r="JW65" s="10"/>
      <c r="JX65" s="10"/>
      <c r="JY65" s="10"/>
      <c r="JZ65" s="10"/>
      <c r="KA65" s="10"/>
      <c r="KB65" s="10"/>
      <c r="KC65" s="10"/>
      <c r="KD65" s="10"/>
      <c r="KE65" s="10"/>
      <c r="KF65" s="10"/>
      <c r="KG65" s="10"/>
      <c r="KH65" s="10"/>
      <c r="KI65" s="10"/>
      <c r="KJ65" s="10"/>
      <c r="KK65" s="10"/>
      <c r="KL65" s="10"/>
      <c r="KM65" s="10"/>
      <c r="KN65" s="10"/>
      <c r="KO65" s="10"/>
      <c r="KP65" s="10"/>
      <c r="KQ65" s="10"/>
      <c r="KR65" s="10"/>
      <c r="KS65" s="10"/>
      <c r="KT65" s="10"/>
      <c r="KU65" s="10"/>
      <c r="KV65" s="10"/>
    </row>
    <row r="66" spans="97:308" x14ac:dyDescent="0.25">
      <c r="JT66" s="10"/>
      <c r="JU66" s="10"/>
      <c r="JV66" s="10"/>
      <c r="JW66" s="10"/>
      <c r="JX66" s="10"/>
      <c r="JY66" s="10"/>
      <c r="JZ66" s="10"/>
      <c r="KA66" s="10"/>
      <c r="KB66" s="10"/>
      <c r="KC66" s="10"/>
      <c r="KD66" s="10"/>
      <c r="KE66" s="10"/>
      <c r="KF66" s="10"/>
      <c r="KG66" s="10"/>
      <c r="KH66" s="10"/>
      <c r="KI66" s="10"/>
      <c r="KJ66" s="10"/>
      <c r="KK66" s="10"/>
      <c r="KL66" s="10"/>
      <c r="KM66" s="10"/>
      <c r="KN66" s="10"/>
      <c r="KO66" s="10"/>
      <c r="KP66" s="10"/>
      <c r="KQ66" s="10"/>
      <c r="KR66" s="10"/>
      <c r="KS66" s="10"/>
      <c r="KT66" s="10"/>
      <c r="KU66" s="10"/>
      <c r="KV66" s="10"/>
    </row>
    <row r="70" spans="97:308" x14ac:dyDescent="0.25">
      <c r="CT70" s="42"/>
    </row>
    <row r="71" spans="97:308" x14ac:dyDescent="0.25">
      <c r="CS71" s="10"/>
      <c r="CT71" s="42"/>
      <c r="CV71" s="10"/>
    </row>
    <row r="72" spans="97:308" x14ac:dyDescent="0.25">
      <c r="CS72" s="10"/>
      <c r="CT72" s="42"/>
      <c r="CV72" s="10"/>
    </row>
    <row r="73" spans="97:308" x14ac:dyDescent="0.25">
      <c r="CS73" s="10"/>
      <c r="CT73" s="42"/>
      <c r="CV73" s="10"/>
    </row>
    <row r="74" spans="97:308" x14ac:dyDescent="0.25">
      <c r="CS74" s="10"/>
      <c r="CT74" s="42"/>
      <c r="CV74" s="10"/>
    </row>
    <row r="75" spans="97:308" x14ac:dyDescent="0.25">
      <c r="CS75" s="10"/>
      <c r="CT75" s="42"/>
      <c r="CV75" s="10"/>
    </row>
    <row r="76" spans="97:308" x14ac:dyDescent="0.25">
      <c r="CS76" s="10"/>
      <c r="CT76" s="42"/>
      <c r="CV76" s="10"/>
    </row>
    <row r="77" spans="97:308" x14ac:dyDescent="0.25">
      <c r="CS77" s="10"/>
      <c r="CT77" s="42"/>
      <c r="CV77" s="10"/>
    </row>
    <row r="78" spans="97:308" x14ac:dyDescent="0.25">
      <c r="CS78" s="10"/>
      <c r="CT78" s="42"/>
      <c r="CV78" s="10"/>
    </row>
    <row r="79" spans="97:308" x14ac:dyDescent="0.25">
      <c r="CS79" s="10"/>
      <c r="CT79" s="42"/>
      <c r="CV79" s="10"/>
    </row>
    <row r="80" spans="97:308" x14ac:dyDescent="0.25">
      <c r="CS80" s="10"/>
      <c r="CT80" s="42"/>
      <c r="CV80" s="10"/>
    </row>
    <row r="81" spans="97:100" x14ac:dyDescent="0.25">
      <c r="CS81" s="10"/>
      <c r="CT81" s="42"/>
      <c r="CV81" s="10"/>
    </row>
    <row r="82" spans="97:100" x14ac:dyDescent="0.25">
      <c r="CS82" s="10"/>
      <c r="CT82" s="42"/>
      <c r="CV82" s="10"/>
    </row>
    <row r="83" spans="97:100" x14ac:dyDescent="0.25">
      <c r="CS83" s="10"/>
      <c r="CT83" s="42"/>
      <c r="CV83" s="10"/>
    </row>
    <row r="84" spans="97:100" x14ac:dyDescent="0.25">
      <c r="CS84" s="10"/>
      <c r="CT84" s="42"/>
      <c r="CV84" s="10"/>
    </row>
    <row r="85" spans="97:100" x14ac:dyDescent="0.25">
      <c r="CS85" s="10"/>
      <c r="CT85" s="42"/>
      <c r="CV85" s="10"/>
    </row>
    <row r="86" spans="97:100" x14ac:dyDescent="0.25">
      <c r="CS86" s="10"/>
      <c r="CT86" s="42"/>
      <c r="CV86" s="10"/>
    </row>
    <row r="87" spans="97:100" x14ac:dyDescent="0.25">
      <c r="CS87" s="10"/>
      <c r="CT87" s="42"/>
      <c r="CV87" s="10"/>
    </row>
    <row r="88" spans="97:100" x14ac:dyDescent="0.25">
      <c r="CS88" s="10"/>
      <c r="CT88" s="42"/>
      <c r="CV88" s="10"/>
    </row>
    <row r="89" spans="97:100" x14ac:dyDescent="0.25">
      <c r="CS89" s="10"/>
      <c r="CT89" s="42"/>
      <c r="CV89" s="10"/>
    </row>
    <row r="90" spans="97:100" x14ac:dyDescent="0.25">
      <c r="CS90" s="10"/>
      <c r="CT90" s="42"/>
      <c r="CV90" s="10"/>
    </row>
    <row r="91" spans="97:100" x14ac:dyDescent="0.25">
      <c r="CS91" s="10"/>
      <c r="CT91" s="42"/>
      <c r="CV91" s="10"/>
    </row>
    <row r="92" spans="97:100" x14ac:dyDescent="0.25">
      <c r="CS92" s="10"/>
      <c r="CT92" s="42"/>
      <c r="CV92" s="10"/>
    </row>
    <row r="93" spans="97:100" x14ac:dyDescent="0.25">
      <c r="CS93" s="10"/>
      <c r="CT93" s="42"/>
      <c r="CV93" s="10"/>
    </row>
    <row r="94" spans="97:100" x14ac:dyDescent="0.25">
      <c r="CS94" s="10"/>
      <c r="CT94" s="42"/>
      <c r="CV94" s="10"/>
    </row>
    <row r="95" spans="97:100" x14ac:dyDescent="0.25">
      <c r="CS95" s="10"/>
      <c r="CT95" s="42"/>
      <c r="CV95" s="10"/>
    </row>
    <row r="96" spans="97:100" x14ac:dyDescent="0.25">
      <c r="CS96" s="10"/>
      <c r="CT96" s="42"/>
      <c r="CV96" s="10"/>
    </row>
    <row r="97" spans="97:100" x14ac:dyDescent="0.25">
      <c r="CS97" s="10"/>
      <c r="CT97" s="42"/>
      <c r="CV97" s="10"/>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vt:i4>
      </vt:variant>
    </vt:vector>
  </HeadingPairs>
  <TitlesOfParts>
    <vt:vector size="70" baseType="lpstr">
      <vt:lpstr>Summary</vt:lpstr>
      <vt:lpstr>Rate History</vt:lpstr>
      <vt:lpstr>FTSE Summary</vt:lpstr>
      <vt:lpstr>Discipline Summary</vt:lpstr>
      <vt:lpstr>Discipline Analysis</vt:lpstr>
      <vt:lpstr>Neutral</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Data</vt:lpstr>
      <vt:lpstr>'Discipline Analysis'!Print_Area</vt:lpstr>
      <vt:lpstr>'Discipline Analysis'!Print_Titles</vt:lpstr>
      <vt:lpstr>'Discipline Summary'!Print_Titles</vt:lpstr>
      <vt:lpstr>'FTSE Summary'!Print_Titles</vt:lpstr>
      <vt:lpstr>Neutral!Print_Titles</vt:lpstr>
      <vt:lpstr>'Rate History'!Print_Titles</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Community and Technical College</dc:title>
  <dc:subject>Expenditure Study</dc:subject>
  <dc:creator>Paul Turcotte</dc:creator>
  <cp:lastModifiedBy>Paul Turcotte</cp:lastModifiedBy>
  <cp:lastPrinted>2012-11-12T15:51:18Z</cp:lastPrinted>
  <dcterms:created xsi:type="dcterms:W3CDTF">2012-11-10T05:06:36Z</dcterms:created>
  <dcterms:modified xsi:type="dcterms:W3CDTF">2013-02-06T21:55:13Z</dcterms:modified>
</cp:coreProperties>
</file>