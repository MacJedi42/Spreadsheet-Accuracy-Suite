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15480" windowHeight="8640"/>
  </bookViews>
  <sheets>
    <sheet name="Port Stats" sheetId="1" r:id="rId1"/>
  </sheets>
  <calcPr calcId="125725"/>
</workbook>
</file>

<file path=xl/calcChain.xml><?xml version="1.0" encoding="utf-8"?>
<calcChain xmlns="http://schemas.openxmlformats.org/spreadsheetml/2006/main">
  <c r="C12" i="1"/>
  <c r="D12"/>
  <c r="E12"/>
  <c r="F12"/>
  <c r="G12"/>
  <c r="H12"/>
  <c r="I12"/>
  <c r="J12"/>
  <c r="B12"/>
  <c r="B74" s="1"/>
  <c r="U65"/>
  <c r="U43"/>
  <c r="U2"/>
  <c r="B11"/>
  <c r="B10"/>
  <c r="J9"/>
  <c r="C11"/>
  <c r="J11"/>
  <c r="I11"/>
  <c r="H11"/>
  <c r="G11"/>
  <c r="F11"/>
  <c r="E11"/>
  <c r="D11"/>
  <c r="C66"/>
  <c r="C85" s="1"/>
  <c r="D66"/>
  <c r="D85" s="1"/>
  <c r="E66"/>
  <c r="E85" s="1"/>
  <c r="F66"/>
  <c r="F85" s="1"/>
  <c r="G66"/>
  <c r="G85" s="1"/>
  <c r="H66"/>
  <c r="H85" s="1"/>
  <c r="I66"/>
  <c r="I85" s="1"/>
  <c r="J66"/>
  <c r="J85" s="1"/>
  <c r="B66"/>
  <c r="B85" s="1"/>
  <c r="H65"/>
  <c r="E65"/>
  <c r="B65"/>
  <c r="B84" s="1"/>
  <c r="G67"/>
  <c r="G87"/>
  <c r="G88"/>
  <c r="G89"/>
  <c r="G90"/>
  <c r="G86"/>
  <c r="F87"/>
  <c r="F88"/>
  <c r="F89"/>
  <c r="F90"/>
  <c r="F86"/>
  <c r="B86"/>
  <c r="E87"/>
  <c r="E88"/>
  <c r="E89"/>
  <c r="E90"/>
  <c r="E86"/>
  <c r="D87"/>
  <c r="J87" s="1"/>
  <c r="D88"/>
  <c r="J88" s="1"/>
  <c r="D89"/>
  <c r="J89" s="1"/>
  <c r="D90"/>
  <c r="J90" s="1"/>
  <c r="D86"/>
  <c r="J86" s="1"/>
  <c r="C87"/>
  <c r="I87" s="1"/>
  <c r="C88"/>
  <c r="I88" s="1"/>
  <c r="C89"/>
  <c r="I89" s="1"/>
  <c r="C90"/>
  <c r="I90" s="1"/>
  <c r="C86"/>
  <c r="I86" s="1"/>
  <c r="B87"/>
  <c r="B88"/>
  <c r="B89"/>
  <c r="B90"/>
  <c r="A87"/>
  <c r="A88" s="1"/>
  <c r="A89" s="1"/>
  <c r="A90" s="1"/>
  <c r="C67"/>
  <c r="D67"/>
  <c r="E67"/>
  <c r="F67"/>
  <c r="H67"/>
  <c r="I67"/>
  <c r="J67"/>
  <c r="C68"/>
  <c r="D68"/>
  <c r="E68"/>
  <c r="F68"/>
  <c r="G68"/>
  <c r="H68"/>
  <c r="I68"/>
  <c r="J68"/>
  <c r="C69"/>
  <c r="D69"/>
  <c r="E69"/>
  <c r="F69"/>
  <c r="G69"/>
  <c r="H69"/>
  <c r="I69"/>
  <c r="J69"/>
  <c r="C70"/>
  <c r="D70"/>
  <c r="E70"/>
  <c r="F70"/>
  <c r="G70"/>
  <c r="H70"/>
  <c r="I70"/>
  <c r="J70"/>
  <c r="B68"/>
  <c r="B69"/>
  <c r="B70"/>
  <c r="B67"/>
  <c r="A68"/>
  <c r="A69" s="1"/>
  <c r="A70" s="1"/>
  <c r="B81" l="1"/>
  <c r="B73"/>
  <c r="E74"/>
  <c r="C74"/>
  <c r="C81" s="1"/>
  <c r="E94"/>
  <c r="E101" s="1"/>
  <c r="B94"/>
  <c r="B101" s="1"/>
  <c r="F74"/>
  <c r="F81" s="1"/>
  <c r="D74"/>
  <c r="D81" s="1"/>
  <c r="C94"/>
  <c r="C101" s="1"/>
  <c r="F94"/>
  <c r="F101" s="1"/>
  <c r="H88"/>
  <c r="C93"/>
  <c r="H74"/>
  <c r="H81" s="1"/>
  <c r="J74"/>
  <c r="J81" s="1"/>
  <c r="B93"/>
  <c r="G94"/>
  <c r="G101" s="1"/>
  <c r="I74"/>
  <c r="I81" s="1"/>
  <c r="D94"/>
  <c r="G74"/>
  <c r="G81" s="1"/>
  <c r="E81"/>
  <c r="H89"/>
  <c r="H87"/>
  <c r="H86"/>
  <c r="H90"/>
  <c r="C10"/>
  <c r="D10"/>
  <c r="E10"/>
  <c r="E73" s="1"/>
  <c r="F10"/>
  <c r="G10"/>
  <c r="H10"/>
  <c r="I10"/>
  <c r="J10"/>
  <c r="J73" s="1"/>
  <c r="C9"/>
  <c r="D9"/>
  <c r="E9"/>
  <c r="F9"/>
  <c r="G9"/>
  <c r="H9"/>
  <c r="I9"/>
  <c r="B9"/>
  <c r="A5"/>
  <c r="A6" s="1"/>
  <c r="A7" s="1"/>
  <c r="A8" s="1"/>
  <c r="H94" l="1"/>
  <c r="H101" s="1"/>
  <c r="I94"/>
  <c r="I101" s="1"/>
  <c r="J94"/>
  <c r="J101" s="1"/>
  <c r="D101"/>
  <c r="D72"/>
  <c r="D73"/>
  <c r="D93"/>
  <c r="J71"/>
  <c r="H71"/>
  <c r="I71"/>
  <c r="B91"/>
  <c r="B71"/>
  <c r="G91"/>
  <c r="G71"/>
  <c r="E91"/>
  <c r="E71"/>
  <c r="C91"/>
  <c r="C71"/>
  <c r="F72"/>
  <c r="F92"/>
  <c r="D92"/>
  <c r="G93"/>
  <c r="G73"/>
  <c r="E93"/>
  <c r="C73"/>
  <c r="J72"/>
  <c r="H72"/>
  <c r="I73"/>
  <c r="F91"/>
  <c r="F71"/>
  <c r="D71"/>
  <c r="D91"/>
  <c r="B92"/>
  <c r="B72"/>
  <c r="G92"/>
  <c r="G72"/>
  <c r="E92"/>
  <c r="E72"/>
  <c r="C92"/>
  <c r="C72"/>
  <c r="H73"/>
  <c r="F93"/>
  <c r="F73"/>
  <c r="I72"/>
  <c r="I92" l="1"/>
  <c r="B96"/>
  <c r="B78"/>
  <c r="B77"/>
  <c r="B76"/>
  <c r="B80"/>
  <c r="B99"/>
  <c r="B100"/>
  <c r="B97"/>
  <c r="B79"/>
  <c r="G79"/>
  <c r="D80"/>
  <c r="D78"/>
  <c r="D76"/>
  <c r="D79"/>
  <c r="D77"/>
  <c r="F100"/>
  <c r="F96"/>
  <c r="F97"/>
  <c r="F98"/>
  <c r="F99"/>
  <c r="C96"/>
  <c r="C97"/>
  <c r="C98"/>
  <c r="C99"/>
  <c r="C100"/>
  <c r="E96"/>
  <c r="E97"/>
  <c r="E98"/>
  <c r="E99"/>
  <c r="E100"/>
  <c r="G96"/>
  <c r="G97"/>
  <c r="G98"/>
  <c r="G99"/>
  <c r="G100"/>
  <c r="B98"/>
  <c r="H80"/>
  <c r="H79"/>
  <c r="H77"/>
  <c r="H76"/>
  <c r="H78"/>
  <c r="D100"/>
  <c r="D96"/>
  <c r="D97"/>
  <c r="D98"/>
  <c r="D99"/>
  <c r="F80"/>
  <c r="F79"/>
  <c r="F77"/>
  <c r="F78"/>
  <c r="F76"/>
  <c r="C79"/>
  <c r="C77"/>
  <c r="C76"/>
  <c r="C80"/>
  <c r="C78"/>
  <c r="E78"/>
  <c r="E76"/>
  <c r="E80"/>
  <c r="E79"/>
  <c r="E77"/>
  <c r="G78"/>
  <c r="G76"/>
  <c r="G80"/>
  <c r="G77"/>
  <c r="I78"/>
  <c r="I76"/>
  <c r="I77"/>
  <c r="I80"/>
  <c r="I79"/>
  <c r="J80"/>
  <c r="J79"/>
  <c r="J77"/>
  <c r="J78"/>
  <c r="J76"/>
  <c r="J91"/>
  <c r="H93"/>
  <c r="H92"/>
  <c r="J92"/>
  <c r="I91"/>
  <c r="H91"/>
  <c r="J93"/>
  <c r="I93"/>
  <c r="H100" l="1"/>
  <c r="H96"/>
  <c r="H97"/>
  <c r="H98"/>
  <c r="H99"/>
  <c r="I96"/>
  <c r="I97"/>
  <c r="I98"/>
  <c r="I99"/>
  <c r="I100"/>
  <c r="J100"/>
  <c r="J96"/>
  <c r="J97"/>
  <c r="J98"/>
  <c r="J99"/>
</calcChain>
</file>

<file path=xl/comments1.xml><?xml version="1.0" encoding="utf-8"?>
<comments xmlns="http://schemas.openxmlformats.org/spreadsheetml/2006/main">
  <authors>
    <author>ANubieZ</author>
  </authors>
  <commentList>
    <comment ref="A2" authorId="0">
      <text>
        <r>
          <rPr>
            <b/>
            <sz val="8"/>
            <color indexed="81"/>
            <rFont val="Tahoma"/>
            <family val="2"/>
          </rPr>
          <t>Source
http://www.transnetnationalportsauthority.net/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Transnet National Ports Authority</t>
        </r>
      </text>
    </comment>
  </commentList>
</comments>
</file>

<file path=xl/sharedStrings.xml><?xml version="1.0" encoding="utf-8"?>
<sst xmlns="http://schemas.openxmlformats.org/spreadsheetml/2006/main" count="29" uniqueCount="16">
  <si>
    <t>Durban</t>
  </si>
  <si>
    <t xml:space="preserve">Total - SA </t>
  </si>
  <si>
    <t>Total Number of Vessels</t>
  </si>
  <si>
    <t>Annual Percentage Changes</t>
  </si>
  <si>
    <t>Median</t>
  </si>
  <si>
    <t>Richards Bay</t>
  </si>
  <si>
    <t>Contribution Per Port (% of SA Total)</t>
  </si>
  <si>
    <t>KZN</t>
  </si>
  <si>
    <t>KZN PORT MOVEMENTS</t>
  </si>
  <si>
    <t>Total Cargo Handled (metric tonnes)</t>
  </si>
  <si>
    <t>Gross Tonnage of Vessels</t>
  </si>
  <si>
    <t>Average</t>
  </si>
  <si>
    <t>St Dev</t>
  </si>
  <si>
    <t>Skew</t>
  </si>
  <si>
    <t>Range</t>
  </si>
  <si>
    <t>Trend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</si>
</sst>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" fontId="0" fillId="0" borderId="0" xfId="0" applyNumberFormat="1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10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17" fontId="0" fillId="7" borderId="1" xfId="0" applyNumberFormat="1" applyFill="1" applyBorder="1" applyAlignment="1">
      <alignment horizontal="center" vertical="center"/>
    </xf>
    <xf numFmtId="3" fontId="0" fillId="7" borderId="2" xfId="0" applyNumberFormat="1" applyFill="1" applyBorder="1" applyAlignment="1">
      <alignment horizontal="center" vertical="center"/>
    </xf>
    <xf numFmtId="3" fontId="0" fillId="7" borderId="3" xfId="0" applyNumberFormat="1" applyFill="1" applyBorder="1" applyAlignment="1">
      <alignment horizontal="center" vertical="center"/>
    </xf>
    <xf numFmtId="17" fontId="0" fillId="7" borderId="10" xfId="0" applyNumberFormat="1" applyFill="1" applyBorder="1" applyAlignment="1">
      <alignment horizontal="center" vertical="center"/>
    </xf>
    <xf numFmtId="3" fontId="0" fillId="7" borderId="0" xfId="0" applyNumberFormat="1" applyFill="1" applyBorder="1" applyAlignment="1">
      <alignment horizontal="center" vertical="center"/>
    </xf>
    <xf numFmtId="3" fontId="0" fillId="7" borderId="11" xfId="0" applyNumberFormat="1" applyFill="1" applyBorder="1" applyAlignment="1">
      <alignment horizontal="center" vertical="center"/>
    </xf>
    <xf numFmtId="17" fontId="0" fillId="7" borderId="10" xfId="0" applyNumberFormat="1" applyFill="1" applyBorder="1" applyAlignment="1">
      <alignment horizontal="center"/>
    </xf>
    <xf numFmtId="3" fontId="0" fillId="7" borderId="0" xfId="0" applyNumberForma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7" borderId="5" xfId="0" applyNumberFormat="1" applyFill="1" applyBorder="1" applyAlignment="1">
      <alignment horizontal="center"/>
    </xf>
    <xf numFmtId="3" fontId="0" fillId="7" borderId="5" xfId="0" applyNumberFormat="1" applyFill="1" applyBorder="1" applyAlignment="1">
      <alignment horizontal="center" vertical="center"/>
    </xf>
    <xf numFmtId="0" fontId="0" fillId="7" borderId="5" xfId="0" applyFill="1" applyBorder="1" applyAlignment="1">
      <alignment horizontal="center"/>
    </xf>
    <xf numFmtId="3" fontId="0" fillId="7" borderId="6" xfId="0" applyNumberFormat="1" applyFill="1" applyBorder="1" applyAlignment="1">
      <alignment horizontal="center"/>
    </xf>
    <xf numFmtId="0" fontId="9" fillId="8" borderId="0" xfId="0" applyFont="1" applyFill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17" fontId="0" fillId="7" borderId="4" xfId="0" applyNumberFormat="1" applyFont="1" applyFill="1" applyBorder="1" applyAlignment="1">
      <alignment horizontal="center"/>
    </xf>
    <xf numFmtId="17" fontId="0" fillId="7" borderId="10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title>
      <c:tx>
        <c:rich>
          <a:bodyPr/>
          <a:lstStyle/>
          <a:p>
            <a:pPr>
              <a:defRPr lang="en-ZA" sz="1200"/>
            </a:pPr>
            <a:r>
              <a:rPr lang="en-ZA" sz="1200"/>
              <a:t>Total Cargo Handled (metric tonnes)</a:t>
            </a:r>
            <a:endParaRPr lang="en-ZA" sz="1200" baseline="0"/>
          </a:p>
        </c:rich>
      </c:tx>
      <c:layout>
        <c:manualLayout>
          <c:xMode val="edge"/>
          <c:yMode val="edge"/>
          <c:x val="0.16530579406217441"/>
          <c:y val="2.2922636103151837E-2"/>
        </c:manualLayout>
      </c:layout>
      <c:overlay val="1"/>
    </c:title>
    <c:plotArea>
      <c:layout>
        <c:manualLayout>
          <c:layoutTarget val="inner"/>
          <c:xMode val="edge"/>
          <c:yMode val="edge"/>
          <c:x val="0.13366885389326341"/>
          <c:y val="0.12187983665365611"/>
          <c:w val="0.8340428300733802"/>
          <c:h val="0.72774586557769372"/>
        </c:manualLayout>
      </c:layout>
      <c:barChart>
        <c:barDir val="col"/>
        <c:grouping val="clustered"/>
        <c:ser>
          <c:idx val="0"/>
          <c:order val="0"/>
          <c:tx>
            <c:strRef>
              <c:f>'Port Stats'!$B$2</c:f>
              <c:strCache>
                <c:ptCount val="1"/>
                <c:pt idx="0">
                  <c:v>Richards Bay</c:v>
                </c:pt>
              </c:strCache>
            </c:strRef>
          </c:tx>
          <c:spPr>
            <a:solidFill>
              <a:srgbClr val="00B050"/>
            </a:solidFill>
          </c:spPr>
          <c:cat>
            <c:numRef>
              <c:f>'Port Stats'!$A$4:$A$12</c:f>
              <c:numCache>
                <c:formatCode>General</c:formatCode>
                <c:ptCount val="9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</c:numCache>
            </c:numRef>
          </c:cat>
          <c:val>
            <c:numRef>
              <c:f>'Port Stats'!$B$4:$B$12</c:f>
              <c:numCache>
                <c:formatCode>#,##0</c:formatCode>
                <c:ptCount val="9"/>
                <c:pt idx="0">
                  <c:v>87797601</c:v>
                </c:pt>
                <c:pt idx="1">
                  <c:v>85688419</c:v>
                </c:pt>
                <c:pt idx="2">
                  <c:v>86623684</c:v>
                </c:pt>
                <c:pt idx="3">
                  <c:v>86319200</c:v>
                </c:pt>
                <c:pt idx="4">
                  <c:v>84517409</c:v>
                </c:pt>
                <c:pt idx="5">
                  <c:v>81737929</c:v>
                </c:pt>
                <c:pt idx="6">
                  <c:v>79086951</c:v>
                </c:pt>
                <c:pt idx="7">
                  <c:v>85148039</c:v>
                </c:pt>
                <c:pt idx="8">
                  <c:v>85170103.63636364</c:v>
                </c:pt>
              </c:numCache>
            </c:numRef>
          </c:val>
        </c:ser>
        <c:ser>
          <c:idx val="4"/>
          <c:order val="1"/>
          <c:tx>
            <c:strRef>
              <c:f>'Port Stats'!$E$2</c:f>
              <c:strCache>
                <c:ptCount val="1"/>
                <c:pt idx="0">
                  <c:v>Durban</c:v>
                </c:pt>
              </c:strCache>
            </c:strRef>
          </c:tx>
          <c:spPr>
            <a:solidFill>
              <a:srgbClr val="4BACC6">
                <a:lumMod val="60000"/>
                <a:lumOff val="40000"/>
              </a:srgbClr>
            </a:solidFill>
          </c:spPr>
          <c:cat>
            <c:numRef>
              <c:f>'Port Stats'!$A$4:$A$12</c:f>
              <c:numCache>
                <c:formatCode>General</c:formatCode>
                <c:ptCount val="9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</c:numCache>
            </c:numRef>
          </c:cat>
          <c:val>
            <c:numRef>
              <c:f>'Port Stats'!$E$4:$E$12</c:f>
              <c:numCache>
                <c:formatCode>#,##0</c:formatCode>
                <c:ptCount val="9"/>
                <c:pt idx="0">
                  <c:v>41273633</c:v>
                </c:pt>
                <c:pt idx="1">
                  <c:v>40026277</c:v>
                </c:pt>
                <c:pt idx="2">
                  <c:v>40778495</c:v>
                </c:pt>
                <c:pt idx="3">
                  <c:v>43861241</c:v>
                </c:pt>
                <c:pt idx="4">
                  <c:v>41883269</c:v>
                </c:pt>
                <c:pt idx="5">
                  <c:v>41578997</c:v>
                </c:pt>
                <c:pt idx="6">
                  <c:v>37527690</c:v>
                </c:pt>
                <c:pt idx="7">
                  <c:v>41645861</c:v>
                </c:pt>
                <c:pt idx="8">
                  <c:v>44849117.454545453</c:v>
                </c:pt>
              </c:numCache>
            </c:numRef>
          </c:val>
        </c:ser>
        <c:ser>
          <c:idx val="5"/>
          <c:order val="2"/>
          <c:tx>
            <c:strRef>
              <c:f>'Port Stats'!$H$2</c:f>
              <c:strCache>
                <c:ptCount val="1"/>
                <c:pt idx="0">
                  <c:v>Total - SA </c:v>
                </c:pt>
              </c:strCache>
            </c:strRef>
          </c:tx>
          <c:spPr>
            <a:solidFill>
              <a:srgbClr val="C00000"/>
            </a:solidFill>
          </c:spPr>
          <c:cat>
            <c:numRef>
              <c:f>'Port Stats'!$A$4:$A$12</c:f>
              <c:numCache>
                <c:formatCode>General</c:formatCode>
                <c:ptCount val="9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</c:numCache>
            </c:numRef>
          </c:cat>
          <c:val>
            <c:numRef>
              <c:f>'Port Stats'!$H$4:$H$12</c:f>
              <c:numCache>
                <c:formatCode>#,##0</c:formatCode>
                <c:ptCount val="9"/>
                <c:pt idx="0">
                  <c:v>171621146</c:v>
                </c:pt>
                <c:pt idx="1">
                  <c:v>168750600</c:v>
                </c:pt>
                <c:pt idx="2">
                  <c:v>173550690</c:v>
                </c:pt>
                <c:pt idx="3">
                  <c:v>179983594</c:v>
                </c:pt>
                <c:pt idx="4">
                  <c:v>183328184</c:v>
                </c:pt>
                <c:pt idx="5">
                  <c:v>184971543.80000001</c:v>
                </c:pt>
                <c:pt idx="6">
                  <c:v>188966168</c:v>
                </c:pt>
                <c:pt idx="7">
                  <c:v>194619071</c:v>
                </c:pt>
                <c:pt idx="8">
                  <c:v>204664441.09090906</c:v>
                </c:pt>
              </c:numCache>
            </c:numRef>
          </c:val>
        </c:ser>
        <c:axId val="82268544"/>
        <c:axId val="82270080"/>
      </c:barChart>
      <c:catAx>
        <c:axId val="82268544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82270080"/>
        <c:crosses val="autoZero"/>
        <c:auto val="1"/>
        <c:lblAlgn val="ctr"/>
        <c:lblOffset val="100"/>
      </c:catAx>
      <c:valAx>
        <c:axId val="82270080"/>
        <c:scaling>
          <c:orientation val="minMax"/>
        </c:scaling>
        <c:axPos val="l"/>
        <c:numFmt formatCode="#,##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8226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9995638736112555"/>
          <c:y val="3.9822815844294656E-3"/>
          <c:w val="0.35657623199110255"/>
          <c:h val="0.1609839887492574"/>
        </c:manualLayout>
      </c:layout>
      <c:txPr>
        <a:bodyPr/>
        <a:lstStyle/>
        <a:p>
          <a:pPr>
            <a:defRPr lang="en-ZA" sz="1200"/>
          </a:pPr>
          <a:endParaRPr lang="en-US"/>
        </a:p>
      </c:txPr>
    </c:legend>
    <c:plotVisOnly val="1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title>
      <c:tx>
        <c:rich>
          <a:bodyPr/>
          <a:lstStyle/>
          <a:p>
            <a:pPr>
              <a:defRPr lang="en-ZA" sz="1200"/>
            </a:pPr>
            <a:r>
              <a:rPr lang="en-ZA" sz="1200"/>
              <a:t>Total</a:t>
            </a:r>
            <a:r>
              <a:rPr lang="en-ZA" sz="1200" baseline="0"/>
              <a:t> Number of Vessels</a:t>
            </a:r>
          </a:p>
        </c:rich>
      </c:tx>
      <c:layout>
        <c:manualLayout>
          <c:xMode val="edge"/>
          <c:yMode val="edge"/>
          <c:x val="0.12430551822789375"/>
          <c:y val="7.5329566854990858E-3"/>
        </c:manualLayout>
      </c:layout>
      <c:overlay val="1"/>
    </c:title>
    <c:plotArea>
      <c:layout>
        <c:manualLayout>
          <c:layoutTarget val="inner"/>
          <c:xMode val="edge"/>
          <c:yMode val="edge"/>
          <c:x val="0.13366885389326341"/>
          <c:y val="0.10342512270711986"/>
          <c:w val="0.80724215164812285"/>
          <c:h val="0.74620045375683974"/>
        </c:manualLayout>
      </c:layout>
      <c:barChart>
        <c:barDir val="col"/>
        <c:grouping val="clustered"/>
        <c:ser>
          <c:idx val="0"/>
          <c:order val="0"/>
          <c:tx>
            <c:strRef>
              <c:f>'Port Stats'!$B$2</c:f>
              <c:strCache>
                <c:ptCount val="1"/>
                <c:pt idx="0">
                  <c:v>Richards Bay</c:v>
                </c:pt>
              </c:strCache>
            </c:strRef>
          </c:tx>
          <c:spPr>
            <a:solidFill>
              <a:srgbClr val="00B050"/>
            </a:solidFill>
          </c:spPr>
          <c:cat>
            <c:numRef>
              <c:f>'Port Stats'!$A$4:$A$12</c:f>
              <c:numCache>
                <c:formatCode>General</c:formatCode>
                <c:ptCount val="9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</c:numCache>
            </c:numRef>
          </c:cat>
          <c:val>
            <c:numRef>
              <c:f>'Port Stats'!$C$4:$C$12</c:f>
              <c:numCache>
                <c:formatCode>#,##0</c:formatCode>
                <c:ptCount val="9"/>
                <c:pt idx="0">
                  <c:v>1584</c:v>
                </c:pt>
                <c:pt idx="1">
                  <c:v>1584</c:v>
                </c:pt>
                <c:pt idx="2">
                  <c:v>1517</c:v>
                </c:pt>
                <c:pt idx="3">
                  <c:v>1470</c:v>
                </c:pt>
                <c:pt idx="4">
                  <c:v>1570</c:v>
                </c:pt>
                <c:pt idx="5">
                  <c:v>1615.4</c:v>
                </c:pt>
                <c:pt idx="6">
                  <c:v>1843</c:v>
                </c:pt>
                <c:pt idx="7">
                  <c:v>1733</c:v>
                </c:pt>
                <c:pt idx="8">
                  <c:v>1743.2727272727275</c:v>
                </c:pt>
              </c:numCache>
            </c:numRef>
          </c:val>
        </c:ser>
        <c:ser>
          <c:idx val="1"/>
          <c:order val="1"/>
          <c:tx>
            <c:strRef>
              <c:f>'Port Stats'!$E$2</c:f>
              <c:strCache>
                <c:ptCount val="1"/>
                <c:pt idx="0">
                  <c:v>Durban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cat>
            <c:numRef>
              <c:f>'Port Stats'!$A$4:$A$12</c:f>
              <c:numCache>
                <c:formatCode>General</c:formatCode>
                <c:ptCount val="9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</c:numCache>
            </c:numRef>
          </c:cat>
          <c:val>
            <c:numRef>
              <c:f>'Port Stats'!$F$4:$F$12</c:f>
              <c:numCache>
                <c:formatCode>#,##0</c:formatCode>
                <c:ptCount val="9"/>
                <c:pt idx="0">
                  <c:v>4028</c:v>
                </c:pt>
                <c:pt idx="1">
                  <c:v>3707</c:v>
                </c:pt>
                <c:pt idx="2">
                  <c:v>3887</c:v>
                </c:pt>
                <c:pt idx="3">
                  <c:v>4161</c:v>
                </c:pt>
                <c:pt idx="4">
                  <c:v>4128</c:v>
                </c:pt>
                <c:pt idx="5">
                  <c:v>4228.8</c:v>
                </c:pt>
                <c:pt idx="6">
                  <c:v>4569</c:v>
                </c:pt>
                <c:pt idx="7">
                  <c:v>4317</c:v>
                </c:pt>
                <c:pt idx="8">
                  <c:v>4182.545454545455</c:v>
                </c:pt>
              </c:numCache>
            </c:numRef>
          </c:val>
        </c:ser>
        <c:ser>
          <c:idx val="2"/>
          <c:order val="2"/>
          <c:tx>
            <c:strRef>
              <c:f>'Port Stats'!$H$2</c:f>
              <c:strCache>
                <c:ptCount val="1"/>
                <c:pt idx="0">
                  <c:v>Total - SA </c:v>
                </c:pt>
              </c:strCache>
            </c:strRef>
          </c:tx>
          <c:spPr>
            <a:solidFill>
              <a:srgbClr val="C00000"/>
            </a:solidFill>
          </c:spPr>
          <c:cat>
            <c:numRef>
              <c:f>'Port Stats'!$A$4:$A$12</c:f>
              <c:numCache>
                <c:formatCode>General</c:formatCode>
                <c:ptCount val="9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</c:numCache>
            </c:numRef>
          </c:cat>
          <c:val>
            <c:numRef>
              <c:f>'Port Stats'!$I$4:$I$12</c:f>
              <c:numCache>
                <c:formatCode>#,##0</c:formatCode>
                <c:ptCount val="9"/>
                <c:pt idx="0">
                  <c:v>9405</c:v>
                </c:pt>
                <c:pt idx="1">
                  <c:v>8833</c:v>
                </c:pt>
                <c:pt idx="2">
                  <c:v>8929</c:v>
                </c:pt>
                <c:pt idx="3">
                  <c:v>9200</c:v>
                </c:pt>
                <c:pt idx="4">
                  <c:v>9099</c:v>
                </c:pt>
                <c:pt idx="5">
                  <c:v>9436.7999999999993</c:v>
                </c:pt>
                <c:pt idx="6">
                  <c:v>9934</c:v>
                </c:pt>
                <c:pt idx="7">
                  <c:v>9251</c:v>
                </c:pt>
                <c:pt idx="8">
                  <c:v>10944</c:v>
                </c:pt>
              </c:numCache>
            </c:numRef>
          </c:val>
        </c:ser>
        <c:axId val="82648448"/>
        <c:axId val="82670720"/>
      </c:barChart>
      <c:catAx>
        <c:axId val="8264844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82670720"/>
        <c:crosses val="autoZero"/>
        <c:auto val="1"/>
        <c:lblAlgn val="ctr"/>
        <c:lblOffset val="100"/>
      </c:catAx>
      <c:valAx>
        <c:axId val="82670720"/>
        <c:scaling>
          <c:orientation val="minMax"/>
        </c:scaling>
        <c:axPos val="l"/>
        <c:numFmt formatCode="#,##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826484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578028336024758"/>
          <c:y val="1.9328558506457986E-2"/>
          <c:w val="0.38983615758167917"/>
          <c:h val="0.14087815294274658"/>
        </c:manualLayout>
      </c:layout>
      <c:txPr>
        <a:bodyPr/>
        <a:lstStyle/>
        <a:p>
          <a:pPr>
            <a:defRPr lang="en-ZA" sz="1200"/>
          </a:pPr>
          <a:endParaRPr lang="en-US"/>
        </a:p>
      </c:txPr>
    </c:legend>
    <c:plotVisOnly val="1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title>
      <c:tx>
        <c:rich>
          <a:bodyPr/>
          <a:lstStyle/>
          <a:p>
            <a:pPr>
              <a:defRPr lang="en-ZA" sz="1200"/>
            </a:pPr>
            <a:r>
              <a:rPr lang="en-ZA" sz="1200"/>
              <a:t>Gross</a:t>
            </a:r>
            <a:r>
              <a:rPr lang="en-ZA" sz="1200" baseline="0"/>
              <a:t> Tonnage of Vessels</a:t>
            </a:r>
            <a:endParaRPr lang="en-ZA" sz="1200"/>
          </a:p>
        </c:rich>
      </c:tx>
      <c:layout>
        <c:manualLayout>
          <c:xMode val="edge"/>
          <c:yMode val="edge"/>
          <c:x val="0.18574669997371859"/>
          <c:y val="1.1267605633802887E-2"/>
        </c:manualLayout>
      </c:layout>
      <c:overlay val="1"/>
    </c:title>
    <c:plotArea>
      <c:layout>
        <c:manualLayout>
          <c:layoutTarget val="inner"/>
          <c:xMode val="edge"/>
          <c:yMode val="edge"/>
          <c:x val="0.14978229086522632"/>
          <c:y val="7.0362500462090138E-2"/>
          <c:w val="0.83747705144927775"/>
          <c:h val="0.77926316956859265"/>
        </c:manualLayout>
      </c:layout>
      <c:barChart>
        <c:barDir val="col"/>
        <c:grouping val="clustered"/>
        <c:ser>
          <c:idx val="0"/>
          <c:order val="0"/>
          <c:tx>
            <c:strRef>
              <c:f>'Port Stats'!$B$2</c:f>
              <c:strCache>
                <c:ptCount val="1"/>
                <c:pt idx="0">
                  <c:v>Richards Bay</c:v>
                </c:pt>
              </c:strCache>
            </c:strRef>
          </c:tx>
          <c:spPr>
            <a:solidFill>
              <a:srgbClr val="00B050"/>
            </a:solidFill>
          </c:spPr>
          <c:trendline>
            <c:trendlineType val="linear"/>
          </c:trendline>
          <c:cat>
            <c:numRef>
              <c:f>'Port Stats'!$A$4:$A$12</c:f>
              <c:numCache>
                <c:formatCode>General</c:formatCode>
                <c:ptCount val="9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</c:numCache>
            </c:numRef>
          </c:cat>
          <c:val>
            <c:numRef>
              <c:f>'Port Stats'!$D$4:$D$12</c:f>
              <c:numCache>
                <c:formatCode>#,##0</c:formatCode>
                <c:ptCount val="9"/>
                <c:pt idx="0">
                  <c:v>56238304</c:v>
                </c:pt>
                <c:pt idx="1">
                  <c:v>56847580</c:v>
                </c:pt>
                <c:pt idx="2">
                  <c:v>57988427</c:v>
                </c:pt>
                <c:pt idx="3">
                  <c:v>56810539</c:v>
                </c:pt>
                <c:pt idx="4">
                  <c:v>57822557</c:v>
                </c:pt>
                <c:pt idx="5">
                  <c:v>57090284.200000003</c:v>
                </c:pt>
                <c:pt idx="6">
                  <c:v>61784777</c:v>
                </c:pt>
                <c:pt idx="7">
                  <c:v>61761815</c:v>
                </c:pt>
                <c:pt idx="8">
                  <c:v>63795454.909090906</c:v>
                </c:pt>
              </c:numCache>
            </c:numRef>
          </c:val>
        </c:ser>
        <c:ser>
          <c:idx val="1"/>
          <c:order val="1"/>
          <c:tx>
            <c:strRef>
              <c:f>'Port Stats'!$E$2</c:f>
              <c:strCache>
                <c:ptCount val="1"/>
                <c:pt idx="0">
                  <c:v>Durban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trendline>
            <c:trendlineType val="linear"/>
          </c:trendline>
          <c:cat>
            <c:numRef>
              <c:f>'Port Stats'!$A$4:$A$12</c:f>
              <c:numCache>
                <c:formatCode>General</c:formatCode>
                <c:ptCount val="9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</c:numCache>
            </c:numRef>
          </c:cat>
          <c:val>
            <c:numRef>
              <c:f>'Port Stats'!$G$4:$G$12</c:f>
              <c:numCache>
                <c:formatCode>#,##0</c:formatCode>
                <c:ptCount val="9"/>
                <c:pt idx="0">
                  <c:v>84251191</c:v>
                </c:pt>
                <c:pt idx="1">
                  <c:v>79970878</c:v>
                </c:pt>
                <c:pt idx="2">
                  <c:v>87589347</c:v>
                </c:pt>
                <c:pt idx="3">
                  <c:v>95085938</c:v>
                </c:pt>
                <c:pt idx="4">
                  <c:v>103501737</c:v>
                </c:pt>
                <c:pt idx="5">
                  <c:v>106505793</c:v>
                </c:pt>
                <c:pt idx="6">
                  <c:v>120207888</c:v>
                </c:pt>
                <c:pt idx="7">
                  <c:v>124192321</c:v>
                </c:pt>
                <c:pt idx="8">
                  <c:v>125858346.54545453</c:v>
                </c:pt>
              </c:numCache>
            </c:numRef>
          </c:val>
        </c:ser>
        <c:ser>
          <c:idx val="2"/>
          <c:order val="2"/>
          <c:tx>
            <c:strRef>
              <c:f>'Port Stats'!$H$2</c:f>
              <c:strCache>
                <c:ptCount val="1"/>
                <c:pt idx="0">
                  <c:v>Total - SA </c:v>
                </c:pt>
              </c:strCache>
            </c:strRef>
          </c:tx>
          <c:spPr>
            <a:solidFill>
              <a:srgbClr val="C00000"/>
            </a:solidFill>
          </c:spPr>
          <c:trendline>
            <c:trendlineType val="linear"/>
          </c:trendline>
          <c:trendline>
            <c:trendlineType val="linear"/>
          </c:trendline>
          <c:cat>
            <c:numRef>
              <c:f>'Port Stats'!$A$4:$A$12</c:f>
              <c:numCache>
                <c:formatCode>General</c:formatCode>
                <c:ptCount val="9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</c:numCache>
            </c:numRef>
          </c:cat>
          <c:val>
            <c:numRef>
              <c:f>'Port Stats'!$J$4:$J$12</c:f>
              <c:numCache>
                <c:formatCode>#,##0</c:formatCode>
                <c:ptCount val="9"/>
                <c:pt idx="0">
                  <c:v>239987027</c:v>
                </c:pt>
                <c:pt idx="1">
                  <c:v>233191159</c:v>
                </c:pt>
                <c:pt idx="2">
                  <c:v>245599099</c:v>
                </c:pt>
                <c:pt idx="3">
                  <c:v>255976219</c:v>
                </c:pt>
                <c:pt idx="4">
                  <c:v>269726312</c:v>
                </c:pt>
                <c:pt idx="5">
                  <c:v>282345379.19999999</c:v>
                </c:pt>
                <c:pt idx="6">
                  <c:v>300417981</c:v>
                </c:pt>
                <c:pt idx="7">
                  <c:v>299570865</c:v>
                </c:pt>
                <c:pt idx="8">
                  <c:v>324498382.90909094</c:v>
                </c:pt>
              </c:numCache>
            </c:numRef>
          </c:val>
        </c:ser>
        <c:axId val="65476096"/>
        <c:axId val="65477632"/>
      </c:barChart>
      <c:catAx>
        <c:axId val="65476096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65477632"/>
        <c:crosses val="autoZero"/>
        <c:auto val="1"/>
        <c:lblAlgn val="ctr"/>
        <c:lblOffset val="100"/>
      </c:catAx>
      <c:valAx>
        <c:axId val="65477632"/>
        <c:scaling>
          <c:orientation val="minMax"/>
        </c:scaling>
        <c:axPos val="l"/>
        <c:numFmt formatCode="#,##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65476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2202305518341694"/>
          <c:y val="2.1007134671546402E-2"/>
          <c:w val="0.3645216488619234"/>
          <c:h val="0.14391364459724346"/>
        </c:manualLayout>
      </c:layout>
      <c:txPr>
        <a:bodyPr/>
        <a:lstStyle/>
        <a:p>
          <a:pPr>
            <a:defRPr lang="en-ZA" sz="1200"/>
          </a:pPr>
          <a:endParaRPr lang="en-US"/>
        </a:p>
      </c:txPr>
    </c:legend>
    <c:plotVisOnly val="1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9.8589601321103712E-2"/>
          <c:y val="4.9344531933508552E-2"/>
          <c:w val="0.86407060937315894"/>
          <c:h val="0.75845559244396121"/>
        </c:manualLayout>
      </c:layout>
      <c:lineChart>
        <c:grouping val="standard"/>
        <c:ser>
          <c:idx val="0"/>
          <c:order val="0"/>
          <c:tx>
            <c:strRef>
              <c:f>'Port Stats'!$B$2:$D$2</c:f>
              <c:strCache>
                <c:ptCount val="1"/>
                <c:pt idx="0">
                  <c:v>Richards Bay</c:v>
                </c:pt>
              </c:strCache>
            </c:strRef>
          </c:tx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'Port Stats'!$A$40:$A$62</c:f>
              <c:numCache>
                <c:formatCode>mmm\-yy</c:formatCode>
                <c:ptCount val="2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</c:numCache>
            </c:numRef>
          </c:cat>
          <c:val>
            <c:numRef>
              <c:f>'Port Stats'!$C$40:$C$62</c:f>
              <c:numCache>
                <c:formatCode>#,##0</c:formatCode>
                <c:ptCount val="23"/>
                <c:pt idx="0">
                  <c:v>144</c:v>
                </c:pt>
                <c:pt idx="1">
                  <c:v>135</c:v>
                </c:pt>
                <c:pt idx="2">
                  <c:v>153</c:v>
                </c:pt>
                <c:pt idx="3">
                  <c:v>146</c:v>
                </c:pt>
                <c:pt idx="4">
                  <c:v>111</c:v>
                </c:pt>
                <c:pt idx="5">
                  <c:v>133</c:v>
                </c:pt>
                <c:pt idx="6">
                  <c:v>147</c:v>
                </c:pt>
                <c:pt idx="7">
                  <c:v>143</c:v>
                </c:pt>
                <c:pt idx="8">
                  <c:v>157</c:v>
                </c:pt>
                <c:pt idx="9">
                  <c:v>167</c:v>
                </c:pt>
                <c:pt idx="10">
                  <c:v>149</c:v>
                </c:pt>
                <c:pt idx="11">
                  <c:v>148</c:v>
                </c:pt>
                <c:pt idx="12">
                  <c:v>130</c:v>
                </c:pt>
                <c:pt idx="13">
                  <c:v>160</c:v>
                </c:pt>
                <c:pt idx="14">
                  <c:v>137</c:v>
                </c:pt>
                <c:pt idx="15">
                  <c:v>143</c:v>
                </c:pt>
                <c:pt idx="16">
                  <c:v>117</c:v>
                </c:pt>
                <c:pt idx="17">
                  <c:v>157</c:v>
                </c:pt>
                <c:pt idx="18">
                  <c:v>140</c:v>
                </c:pt>
                <c:pt idx="19">
                  <c:v>164</c:v>
                </c:pt>
                <c:pt idx="20">
                  <c:v>147</c:v>
                </c:pt>
                <c:pt idx="21">
                  <c:v>157</c:v>
                </c:pt>
                <c:pt idx="22">
                  <c:v>146</c:v>
                </c:pt>
              </c:numCache>
            </c:numRef>
          </c:val>
        </c:ser>
        <c:ser>
          <c:idx val="1"/>
          <c:order val="1"/>
          <c:tx>
            <c:strRef>
              <c:f>'Port Stats'!$E$2:$G$2</c:f>
              <c:strCache>
                <c:ptCount val="1"/>
                <c:pt idx="0">
                  <c:v>Durban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'Port Stats'!$A$40:$A$62</c:f>
              <c:numCache>
                <c:formatCode>mmm\-yy</c:formatCode>
                <c:ptCount val="2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</c:numCache>
            </c:numRef>
          </c:cat>
          <c:val>
            <c:numRef>
              <c:f>'Port Stats'!$F$40:$F$62</c:f>
              <c:numCache>
                <c:formatCode>#,##0</c:formatCode>
                <c:ptCount val="23"/>
                <c:pt idx="0">
                  <c:v>352</c:v>
                </c:pt>
                <c:pt idx="1">
                  <c:v>332</c:v>
                </c:pt>
                <c:pt idx="2">
                  <c:v>317</c:v>
                </c:pt>
                <c:pt idx="3">
                  <c:v>332</c:v>
                </c:pt>
                <c:pt idx="4">
                  <c:v>343</c:v>
                </c:pt>
                <c:pt idx="5">
                  <c:v>403</c:v>
                </c:pt>
                <c:pt idx="6">
                  <c:v>403</c:v>
                </c:pt>
                <c:pt idx="7" formatCode="General">
                  <c:v>374</c:v>
                </c:pt>
                <c:pt idx="8" formatCode="General">
                  <c:v>426</c:v>
                </c:pt>
                <c:pt idx="9" formatCode="General">
                  <c:v>346</c:v>
                </c:pt>
                <c:pt idx="10" formatCode="General">
                  <c:v>350</c:v>
                </c:pt>
                <c:pt idx="11" formatCode="General">
                  <c:v>339</c:v>
                </c:pt>
                <c:pt idx="12" formatCode="General">
                  <c:v>329</c:v>
                </c:pt>
                <c:pt idx="13" formatCode="General">
                  <c:v>348</c:v>
                </c:pt>
                <c:pt idx="14" formatCode="General">
                  <c:v>324</c:v>
                </c:pt>
                <c:pt idx="15" formatCode="General">
                  <c:v>339</c:v>
                </c:pt>
                <c:pt idx="16" formatCode="General">
                  <c:v>350</c:v>
                </c:pt>
                <c:pt idx="17" formatCode="General">
                  <c:v>374</c:v>
                </c:pt>
                <c:pt idx="18" formatCode="General">
                  <c:v>350</c:v>
                </c:pt>
                <c:pt idx="19" formatCode="General">
                  <c:v>360</c:v>
                </c:pt>
                <c:pt idx="20" formatCode="General">
                  <c:v>382</c:v>
                </c:pt>
                <c:pt idx="21" formatCode="General">
                  <c:v>323</c:v>
                </c:pt>
                <c:pt idx="22" formatCode="General">
                  <c:v>355</c:v>
                </c:pt>
              </c:numCache>
            </c:numRef>
          </c:val>
        </c:ser>
        <c:ser>
          <c:idx val="2"/>
          <c:order val="2"/>
          <c:tx>
            <c:strRef>
              <c:f>'Port Stats'!$H$2:$J$2</c:f>
              <c:strCache>
                <c:ptCount val="1"/>
                <c:pt idx="0">
                  <c:v>Total - SA </c:v>
                </c:pt>
              </c:strCache>
            </c:strRef>
          </c:tx>
          <c:spPr>
            <a:ln w="38100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cat>
            <c:numRef>
              <c:f>'Port Stats'!$A$40:$A$62</c:f>
              <c:numCache>
                <c:formatCode>mmm\-yy</c:formatCode>
                <c:ptCount val="2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</c:numCache>
            </c:numRef>
          </c:cat>
          <c:val>
            <c:numRef>
              <c:f>'Port Stats'!$I$40:$I$62</c:f>
              <c:numCache>
                <c:formatCode>#,##0</c:formatCode>
                <c:ptCount val="23"/>
                <c:pt idx="0">
                  <c:v>719</c:v>
                </c:pt>
                <c:pt idx="1">
                  <c:v>728</c:v>
                </c:pt>
                <c:pt idx="2">
                  <c:v>726</c:v>
                </c:pt>
                <c:pt idx="3">
                  <c:v>749</c:v>
                </c:pt>
                <c:pt idx="4">
                  <c:v>728</c:v>
                </c:pt>
                <c:pt idx="5">
                  <c:v>834</c:v>
                </c:pt>
                <c:pt idx="6">
                  <c:v>835</c:v>
                </c:pt>
                <c:pt idx="7" formatCode="General">
                  <c:v>786</c:v>
                </c:pt>
                <c:pt idx="8" formatCode="General">
                  <c:v>867</c:v>
                </c:pt>
                <c:pt idx="9" formatCode="General">
                  <c:v>786</c:v>
                </c:pt>
                <c:pt idx="10" formatCode="General">
                  <c:v>765</c:v>
                </c:pt>
                <c:pt idx="11" formatCode="General">
                  <c:v>728</c:v>
                </c:pt>
                <c:pt idx="12" formatCode="General">
                  <c:v>724</c:v>
                </c:pt>
                <c:pt idx="13" formatCode="General">
                  <c:v>782</c:v>
                </c:pt>
                <c:pt idx="14" formatCode="General">
                  <c:v>729</c:v>
                </c:pt>
                <c:pt idx="15" formatCode="General">
                  <c:v>765</c:v>
                </c:pt>
                <c:pt idx="16" formatCode="General">
                  <c:v>756</c:v>
                </c:pt>
                <c:pt idx="17" formatCode="General">
                  <c:v>1083</c:v>
                </c:pt>
                <c:pt idx="18" formatCode="General">
                  <c:v>1086</c:v>
                </c:pt>
                <c:pt idx="19" formatCode="General">
                  <c:v>1122</c:v>
                </c:pt>
                <c:pt idx="20" formatCode="General">
                  <c:v>1052</c:v>
                </c:pt>
                <c:pt idx="21" formatCode="General">
                  <c:v>1025</c:v>
                </c:pt>
                <c:pt idx="22" formatCode="General">
                  <c:v>908</c:v>
                </c:pt>
              </c:numCache>
            </c:numRef>
          </c:val>
        </c:ser>
        <c:marker val="1"/>
        <c:axId val="82709120"/>
        <c:axId val="82715008"/>
      </c:lineChart>
      <c:dateAx>
        <c:axId val="82709120"/>
        <c:scaling>
          <c:orientation val="minMax"/>
        </c:scaling>
        <c:axPos val="b"/>
        <c:numFmt formatCode="mmm\-yy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82715008"/>
        <c:crosses val="autoZero"/>
        <c:auto val="1"/>
        <c:lblOffset val="100"/>
      </c:dateAx>
      <c:valAx>
        <c:axId val="82715008"/>
        <c:scaling>
          <c:orientation val="minMax"/>
        </c:scaling>
        <c:axPos val="l"/>
        <c:numFmt formatCode="#,##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8270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489098862642168"/>
          <c:y val="1.0558189644347822E-2"/>
          <c:w val="0.64510901137358201"/>
          <c:h val="0.10967690696588167"/>
        </c:manualLayout>
      </c:layout>
      <c:txPr>
        <a:bodyPr/>
        <a:lstStyle/>
        <a:p>
          <a:pPr>
            <a:defRPr lang="en-ZA"/>
          </a:pPr>
          <a:endParaRPr lang="en-US"/>
        </a:p>
      </c:txPr>
    </c:legend>
    <c:plotVisOnly val="1"/>
  </c:chart>
  <c:spPr>
    <a:gradFill rotWithShape="1">
      <a:gsLst>
        <a:gs pos="0">
          <a:schemeClr val="accent5">
            <a:tint val="50000"/>
            <a:satMod val="300000"/>
          </a:schemeClr>
        </a:gs>
        <a:gs pos="35000">
          <a:schemeClr val="accent5">
            <a:tint val="37000"/>
            <a:satMod val="300000"/>
          </a:schemeClr>
        </a:gs>
        <a:gs pos="100000">
          <a:schemeClr val="accent5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5">
          <a:shade val="95000"/>
          <a:satMod val="105000"/>
        </a:schemeClr>
      </a:solidFill>
      <a:prstDash val="solid"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9.8589601321103712E-2"/>
          <c:y val="4.9344531933508587E-2"/>
          <c:w val="0.86407060937315916"/>
          <c:h val="0.75845559244396143"/>
        </c:manualLayout>
      </c:layout>
      <c:lineChart>
        <c:grouping val="standard"/>
        <c:ser>
          <c:idx val="0"/>
          <c:order val="0"/>
          <c:tx>
            <c:strRef>
              <c:f>'Port Stats'!$B$2:$D$2</c:f>
              <c:strCache>
                <c:ptCount val="1"/>
                <c:pt idx="0">
                  <c:v>Richards Bay</c:v>
                </c:pt>
              </c:strCache>
            </c:strRef>
          </c:tx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'Port Stats'!$A$40:$A$62</c:f>
              <c:numCache>
                <c:formatCode>mmm\-yy</c:formatCode>
                <c:ptCount val="2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</c:numCache>
            </c:numRef>
          </c:cat>
          <c:val>
            <c:numRef>
              <c:f>'Port Stats'!$B$40:$B$62</c:f>
              <c:numCache>
                <c:formatCode>#,##0</c:formatCode>
                <c:ptCount val="23"/>
                <c:pt idx="0">
                  <c:v>8347126</c:v>
                </c:pt>
                <c:pt idx="1">
                  <c:v>5575392</c:v>
                </c:pt>
                <c:pt idx="2">
                  <c:v>7283526</c:v>
                </c:pt>
                <c:pt idx="3">
                  <c:v>5316956</c:v>
                </c:pt>
                <c:pt idx="4">
                  <c:v>6585682</c:v>
                </c:pt>
                <c:pt idx="5">
                  <c:v>5856847</c:v>
                </c:pt>
                <c:pt idx="6">
                  <c:v>6982025</c:v>
                </c:pt>
                <c:pt idx="7">
                  <c:v>7296530</c:v>
                </c:pt>
                <c:pt idx="8">
                  <c:v>6505607</c:v>
                </c:pt>
                <c:pt idx="9">
                  <c:v>9532676</c:v>
                </c:pt>
                <c:pt idx="10">
                  <c:v>8418939</c:v>
                </c:pt>
                <c:pt idx="11">
                  <c:v>7446733</c:v>
                </c:pt>
                <c:pt idx="12">
                  <c:v>6327013</c:v>
                </c:pt>
                <c:pt idx="13">
                  <c:v>7271996</c:v>
                </c:pt>
                <c:pt idx="14">
                  <c:v>6972140</c:v>
                </c:pt>
                <c:pt idx="15">
                  <c:v>6787453</c:v>
                </c:pt>
                <c:pt idx="16">
                  <c:v>5957596</c:v>
                </c:pt>
                <c:pt idx="17">
                  <c:v>5728342</c:v>
                </c:pt>
                <c:pt idx="18">
                  <c:v>6659237</c:v>
                </c:pt>
                <c:pt idx="19">
                  <c:v>8727730</c:v>
                </c:pt>
                <c:pt idx="20">
                  <c:v>6491290</c:v>
                </c:pt>
                <c:pt idx="21">
                  <c:v>8940044</c:v>
                </c:pt>
                <c:pt idx="22">
                  <c:v>8209754</c:v>
                </c:pt>
              </c:numCache>
            </c:numRef>
          </c:val>
        </c:ser>
        <c:ser>
          <c:idx val="1"/>
          <c:order val="1"/>
          <c:tx>
            <c:strRef>
              <c:f>'Port Stats'!$E$2:$G$2</c:f>
              <c:strCache>
                <c:ptCount val="1"/>
                <c:pt idx="0">
                  <c:v>Durban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'Port Stats'!$A$40:$A$62</c:f>
              <c:numCache>
                <c:formatCode>mmm\-yy</c:formatCode>
                <c:ptCount val="2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</c:numCache>
            </c:numRef>
          </c:cat>
          <c:val>
            <c:numRef>
              <c:f>'Port Stats'!$E$41:$E$62</c:f>
              <c:numCache>
                <c:formatCode>#,##0</c:formatCode>
                <c:ptCount val="22"/>
                <c:pt idx="0">
                  <c:v>4032917</c:v>
                </c:pt>
                <c:pt idx="1">
                  <c:v>3132089</c:v>
                </c:pt>
                <c:pt idx="2">
                  <c:v>2755754</c:v>
                </c:pt>
                <c:pt idx="3">
                  <c:v>3293580</c:v>
                </c:pt>
                <c:pt idx="4">
                  <c:v>3878741</c:v>
                </c:pt>
                <c:pt idx="5">
                  <c:v>3327534</c:v>
                </c:pt>
                <c:pt idx="6">
                  <c:v>4215169</c:v>
                </c:pt>
                <c:pt idx="7">
                  <c:v>2792122</c:v>
                </c:pt>
                <c:pt idx="8">
                  <c:v>3491031</c:v>
                </c:pt>
                <c:pt idx="9">
                  <c:v>4881552</c:v>
                </c:pt>
                <c:pt idx="10">
                  <c:v>2840432</c:v>
                </c:pt>
                <c:pt idx="11">
                  <c:v>2940830</c:v>
                </c:pt>
                <c:pt idx="12">
                  <c:v>4298149</c:v>
                </c:pt>
                <c:pt idx="13">
                  <c:v>3312353</c:v>
                </c:pt>
                <c:pt idx="14">
                  <c:v>3368295</c:v>
                </c:pt>
                <c:pt idx="15">
                  <c:v>3423329</c:v>
                </c:pt>
                <c:pt idx="16">
                  <c:v>4100656</c:v>
                </c:pt>
                <c:pt idx="17">
                  <c:v>3550532</c:v>
                </c:pt>
                <c:pt idx="18">
                  <c:v>4155352</c:v>
                </c:pt>
                <c:pt idx="19">
                  <c:v>3711676</c:v>
                </c:pt>
                <c:pt idx="20">
                  <c:v>4396014</c:v>
                </c:pt>
                <c:pt idx="21">
                  <c:v>3854505</c:v>
                </c:pt>
              </c:numCache>
            </c:numRef>
          </c:val>
        </c:ser>
        <c:ser>
          <c:idx val="2"/>
          <c:order val="2"/>
          <c:tx>
            <c:strRef>
              <c:f>'Port Stats'!$H$2:$J$2</c:f>
              <c:strCache>
                <c:ptCount val="1"/>
                <c:pt idx="0">
                  <c:v>Total - SA </c:v>
                </c:pt>
              </c:strCache>
            </c:strRef>
          </c:tx>
          <c:spPr>
            <a:ln w="38100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cat>
            <c:numRef>
              <c:f>'Port Stats'!$A$40:$A$62</c:f>
              <c:numCache>
                <c:formatCode>mmm\-yy</c:formatCode>
                <c:ptCount val="2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</c:numCache>
            </c:numRef>
          </c:cat>
          <c:val>
            <c:numRef>
              <c:f>'Port Stats'!$H$40:$H$62</c:f>
              <c:numCache>
                <c:formatCode>#,##0</c:formatCode>
                <c:ptCount val="23"/>
                <c:pt idx="0">
                  <c:v>16004239</c:v>
                </c:pt>
                <c:pt idx="1">
                  <c:v>15009753</c:v>
                </c:pt>
                <c:pt idx="2">
                  <c:v>15749448</c:v>
                </c:pt>
                <c:pt idx="3">
                  <c:v>14740532</c:v>
                </c:pt>
                <c:pt idx="4">
                  <c:v>16236588</c:v>
                </c:pt>
                <c:pt idx="5">
                  <c:v>16212154</c:v>
                </c:pt>
                <c:pt idx="6">
                  <c:v>15921821</c:v>
                </c:pt>
                <c:pt idx="7">
                  <c:v>15444834</c:v>
                </c:pt>
                <c:pt idx="8">
                  <c:v>14515967</c:v>
                </c:pt>
                <c:pt idx="9">
                  <c:v>19083572</c:v>
                </c:pt>
                <c:pt idx="10">
                  <c:v>19759235</c:v>
                </c:pt>
                <c:pt idx="11">
                  <c:v>15940928</c:v>
                </c:pt>
                <c:pt idx="12">
                  <c:v>15094397</c:v>
                </c:pt>
                <c:pt idx="13">
                  <c:v>18387613</c:v>
                </c:pt>
                <c:pt idx="14">
                  <c:v>17232029</c:v>
                </c:pt>
                <c:pt idx="15">
                  <c:v>17354222</c:v>
                </c:pt>
                <c:pt idx="16">
                  <c:v>15560179</c:v>
                </c:pt>
                <c:pt idx="17">
                  <c:v>15973156</c:v>
                </c:pt>
                <c:pt idx="18">
                  <c:v>16293979</c:v>
                </c:pt>
                <c:pt idx="19">
                  <c:v>17564097</c:v>
                </c:pt>
                <c:pt idx="20">
                  <c:v>16133065</c:v>
                </c:pt>
                <c:pt idx="21">
                  <c:v>19739441</c:v>
                </c:pt>
                <c:pt idx="22">
                  <c:v>18276893</c:v>
                </c:pt>
              </c:numCache>
            </c:numRef>
          </c:val>
        </c:ser>
        <c:marker val="1"/>
        <c:axId val="82736256"/>
        <c:axId val="82737792"/>
      </c:lineChart>
      <c:dateAx>
        <c:axId val="82736256"/>
        <c:scaling>
          <c:orientation val="minMax"/>
        </c:scaling>
        <c:axPos val="b"/>
        <c:numFmt formatCode="mmm\-yy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82737792"/>
        <c:crosses val="autoZero"/>
        <c:auto val="1"/>
        <c:lblOffset val="100"/>
      </c:dateAx>
      <c:valAx>
        <c:axId val="82737792"/>
        <c:scaling>
          <c:orientation val="minMax"/>
        </c:scaling>
        <c:axPos val="l"/>
        <c:numFmt formatCode="#,##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82736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489098862642168"/>
          <c:y val="1.0558189644347829E-2"/>
          <c:w val="0.64510901137358267"/>
          <c:h val="0.10967690696588173"/>
        </c:manualLayout>
      </c:layout>
      <c:txPr>
        <a:bodyPr/>
        <a:lstStyle/>
        <a:p>
          <a:pPr>
            <a:defRPr lang="en-ZA"/>
          </a:pPr>
          <a:endParaRPr lang="en-US"/>
        </a:p>
      </c:txPr>
    </c:legend>
    <c:plotVisOnly val="1"/>
  </c:chart>
  <c:spPr>
    <a:gradFill rotWithShape="1">
      <a:gsLst>
        <a:gs pos="0">
          <a:schemeClr val="accent5">
            <a:tint val="50000"/>
            <a:satMod val="300000"/>
          </a:schemeClr>
        </a:gs>
        <a:gs pos="35000">
          <a:schemeClr val="accent5">
            <a:tint val="37000"/>
            <a:satMod val="300000"/>
          </a:schemeClr>
        </a:gs>
        <a:gs pos="100000">
          <a:schemeClr val="accent5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5">
          <a:shade val="95000"/>
          <a:satMod val="105000"/>
        </a:schemeClr>
      </a:solidFill>
      <a:prstDash val="solid"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ZA"/>
  <c:chart>
    <c:plotArea>
      <c:layout>
        <c:manualLayout>
          <c:layoutTarget val="inner"/>
          <c:xMode val="edge"/>
          <c:yMode val="edge"/>
          <c:x val="9.8589601321103712E-2"/>
          <c:y val="4.9344531933508587E-2"/>
          <c:w val="0.86407060937315916"/>
          <c:h val="0.75845559244396143"/>
        </c:manualLayout>
      </c:layout>
      <c:lineChart>
        <c:grouping val="standard"/>
        <c:ser>
          <c:idx val="0"/>
          <c:order val="0"/>
          <c:tx>
            <c:strRef>
              <c:f>'Port Stats'!$B$2:$D$2</c:f>
              <c:strCache>
                <c:ptCount val="1"/>
                <c:pt idx="0">
                  <c:v>Richards Bay</c:v>
                </c:pt>
              </c:strCache>
            </c:strRef>
          </c:tx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'Port Stats'!$A$40:$A$62</c:f>
              <c:numCache>
                <c:formatCode>mmm\-yy</c:formatCode>
                <c:ptCount val="2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</c:numCache>
            </c:numRef>
          </c:cat>
          <c:val>
            <c:numRef>
              <c:f>'Port Stats'!$D$40:$D$62</c:f>
              <c:numCache>
                <c:formatCode>#,##0</c:formatCode>
                <c:ptCount val="23"/>
                <c:pt idx="0">
                  <c:v>5150731</c:v>
                </c:pt>
                <c:pt idx="1">
                  <c:v>4818691</c:v>
                </c:pt>
                <c:pt idx="2">
                  <c:v>5145926</c:v>
                </c:pt>
                <c:pt idx="3">
                  <c:v>5184834</c:v>
                </c:pt>
                <c:pt idx="4">
                  <c:v>3954941</c:v>
                </c:pt>
                <c:pt idx="5">
                  <c:v>4646809</c:v>
                </c:pt>
                <c:pt idx="6">
                  <c:v>5595118</c:v>
                </c:pt>
                <c:pt idx="7">
                  <c:v>5126674</c:v>
                </c:pt>
                <c:pt idx="8">
                  <c:v>5778165</c:v>
                </c:pt>
                <c:pt idx="9">
                  <c:v>6649368</c:v>
                </c:pt>
                <c:pt idx="10">
                  <c:v>4314159</c:v>
                </c:pt>
                <c:pt idx="11">
                  <c:v>5396399</c:v>
                </c:pt>
                <c:pt idx="12">
                  <c:v>4862313</c:v>
                </c:pt>
                <c:pt idx="13">
                  <c:v>5559062</c:v>
                </c:pt>
                <c:pt idx="14">
                  <c:v>5193110</c:v>
                </c:pt>
                <c:pt idx="15">
                  <c:v>5070479</c:v>
                </c:pt>
                <c:pt idx="16">
                  <c:v>4119250</c:v>
                </c:pt>
                <c:pt idx="17">
                  <c:v>5216347</c:v>
                </c:pt>
                <c:pt idx="18">
                  <c:v>4639208</c:v>
                </c:pt>
                <c:pt idx="19">
                  <c:v>6513869</c:v>
                </c:pt>
                <c:pt idx="20">
                  <c:v>5241736</c:v>
                </c:pt>
                <c:pt idx="21">
                  <c:v>6288687</c:v>
                </c:pt>
                <c:pt idx="22">
                  <c:v>5775106</c:v>
                </c:pt>
              </c:numCache>
            </c:numRef>
          </c:val>
        </c:ser>
        <c:ser>
          <c:idx val="1"/>
          <c:order val="1"/>
          <c:tx>
            <c:strRef>
              <c:f>'Port Stats'!$E$2:$G$2</c:f>
              <c:strCache>
                <c:ptCount val="1"/>
                <c:pt idx="0">
                  <c:v>Durban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'Port Stats'!$A$40:$A$62</c:f>
              <c:numCache>
                <c:formatCode>mmm\-yy</c:formatCode>
                <c:ptCount val="2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</c:numCache>
            </c:numRef>
          </c:cat>
          <c:val>
            <c:numRef>
              <c:f>'Port Stats'!$G$40:$G$62</c:f>
              <c:numCache>
                <c:formatCode>#,##0</c:formatCode>
                <c:ptCount val="23"/>
                <c:pt idx="0">
                  <c:v>10574204</c:v>
                </c:pt>
                <c:pt idx="1">
                  <c:v>9738440</c:v>
                </c:pt>
                <c:pt idx="2">
                  <c:v>9452495</c:v>
                </c:pt>
                <c:pt idx="3">
                  <c:v>9710781</c:v>
                </c:pt>
                <c:pt idx="4">
                  <c:v>9562789</c:v>
                </c:pt>
                <c:pt idx="5">
                  <c:v>11699900</c:v>
                </c:pt>
                <c:pt idx="6">
                  <c:v>11218950</c:v>
                </c:pt>
                <c:pt idx="7">
                  <c:v>10771230</c:v>
                </c:pt>
                <c:pt idx="8">
                  <c:v>11806039</c:v>
                </c:pt>
                <c:pt idx="9">
                  <c:v>9506167</c:v>
                </c:pt>
                <c:pt idx="10">
                  <c:v>10029237</c:v>
                </c:pt>
                <c:pt idx="11">
                  <c:v>10122089</c:v>
                </c:pt>
                <c:pt idx="12">
                  <c:v>10435719</c:v>
                </c:pt>
                <c:pt idx="13">
                  <c:v>11140379</c:v>
                </c:pt>
                <c:pt idx="14">
                  <c:v>9981423</c:v>
                </c:pt>
                <c:pt idx="15">
                  <c:v>10434520</c:v>
                </c:pt>
                <c:pt idx="16">
                  <c:v>10879544</c:v>
                </c:pt>
                <c:pt idx="17">
                  <c:v>11039791</c:v>
                </c:pt>
                <c:pt idx="18">
                  <c:v>10140758</c:v>
                </c:pt>
                <c:pt idx="19">
                  <c:v>10692675</c:v>
                </c:pt>
                <c:pt idx="20">
                  <c:v>10620098</c:v>
                </c:pt>
                <c:pt idx="21">
                  <c:v>9229725</c:v>
                </c:pt>
                <c:pt idx="22">
                  <c:v>10775519</c:v>
                </c:pt>
              </c:numCache>
            </c:numRef>
          </c:val>
        </c:ser>
        <c:ser>
          <c:idx val="2"/>
          <c:order val="2"/>
          <c:tx>
            <c:strRef>
              <c:f>'Port Stats'!$H$2:$J$2</c:f>
              <c:strCache>
                <c:ptCount val="1"/>
                <c:pt idx="0">
                  <c:v>Total - SA </c:v>
                </c:pt>
              </c:strCache>
            </c:strRef>
          </c:tx>
          <c:spPr>
            <a:ln w="38100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cat>
            <c:numRef>
              <c:f>'Port Stats'!$A$40:$A$62</c:f>
              <c:numCache>
                <c:formatCode>mmm\-yy</c:formatCode>
                <c:ptCount val="2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</c:numCache>
            </c:numRef>
          </c:cat>
          <c:val>
            <c:numRef>
              <c:f>'Port Stats'!$J$40:$J$62</c:f>
              <c:numCache>
                <c:formatCode>#,##0</c:formatCode>
                <c:ptCount val="23"/>
                <c:pt idx="0">
                  <c:v>24037684</c:v>
                </c:pt>
                <c:pt idx="1">
                  <c:v>23674654</c:v>
                </c:pt>
                <c:pt idx="2">
                  <c:v>23798971</c:v>
                </c:pt>
                <c:pt idx="3">
                  <c:v>24895689</c:v>
                </c:pt>
                <c:pt idx="4">
                  <c:v>23117308</c:v>
                </c:pt>
                <c:pt idx="5">
                  <c:v>26378063</c:v>
                </c:pt>
                <c:pt idx="6">
                  <c:v>26491971</c:v>
                </c:pt>
                <c:pt idx="7">
                  <c:v>24638040</c:v>
                </c:pt>
                <c:pt idx="8">
                  <c:v>27203756</c:v>
                </c:pt>
                <c:pt idx="9">
                  <c:v>25548198</c:v>
                </c:pt>
                <c:pt idx="10">
                  <c:v>25343243</c:v>
                </c:pt>
                <c:pt idx="11">
                  <c:v>24443288</c:v>
                </c:pt>
                <c:pt idx="12">
                  <c:v>24879515</c:v>
                </c:pt>
                <c:pt idx="13">
                  <c:v>26892708</c:v>
                </c:pt>
                <c:pt idx="14">
                  <c:v>25388365</c:v>
                </c:pt>
                <c:pt idx="15">
                  <c:v>26567964</c:v>
                </c:pt>
                <c:pt idx="16">
                  <c:v>26160111</c:v>
                </c:pt>
                <c:pt idx="17">
                  <c:v>27732911</c:v>
                </c:pt>
                <c:pt idx="18">
                  <c:v>26377054</c:v>
                </c:pt>
                <c:pt idx="19">
                  <c:v>29045999</c:v>
                </c:pt>
                <c:pt idx="20">
                  <c:v>27594206</c:v>
                </c:pt>
                <c:pt idx="21">
                  <c:v>28686848</c:v>
                </c:pt>
                <c:pt idx="22">
                  <c:v>28131170</c:v>
                </c:pt>
              </c:numCache>
            </c:numRef>
          </c:val>
        </c:ser>
        <c:marker val="1"/>
        <c:axId val="84430208"/>
        <c:axId val="84444288"/>
      </c:lineChart>
      <c:dateAx>
        <c:axId val="84430208"/>
        <c:scaling>
          <c:orientation val="minMax"/>
        </c:scaling>
        <c:axPos val="b"/>
        <c:numFmt formatCode="mmm\-yy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84444288"/>
        <c:crosses val="autoZero"/>
        <c:auto val="1"/>
        <c:lblOffset val="100"/>
      </c:dateAx>
      <c:valAx>
        <c:axId val="84444288"/>
        <c:scaling>
          <c:orientation val="minMax"/>
        </c:scaling>
        <c:axPos val="l"/>
        <c:numFmt formatCode="#,##0" sourceLinked="1"/>
        <c:tickLblPos val="nextTo"/>
        <c:txPr>
          <a:bodyPr/>
          <a:lstStyle/>
          <a:p>
            <a:pPr>
              <a:defRPr lang="en-ZA"/>
            </a:pPr>
            <a:endParaRPr lang="en-US"/>
          </a:p>
        </c:txPr>
        <c:crossAx val="8443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489098862642168"/>
          <c:y val="1.0558189644347829E-2"/>
          <c:w val="0.64510901137358267"/>
          <c:h val="0.10967690696588173"/>
        </c:manualLayout>
      </c:layout>
      <c:txPr>
        <a:bodyPr/>
        <a:lstStyle/>
        <a:p>
          <a:pPr>
            <a:defRPr lang="en-ZA"/>
          </a:pPr>
          <a:endParaRPr lang="en-US"/>
        </a:p>
      </c:txPr>
    </c:legend>
    <c:plotVisOnly val="1"/>
  </c:chart>
  <c:spPr>
    <a:gradFill rotWithShape="1">
      <a:gsLst>
        <a:gs pos="0">
          <a:schemeClr val="accent5">
            <a:tint val="50000"/>
            <a:satMod val="300000"/>
          </a:schemeClr>
        </a:gs>
        <a:gs pos="35000">
          <a:schemeClr val="accent5">
            <a:tint val="37000"/>
            <a:satMod val="300000"/>
          </a:schemeClr>
        </a:gs>
        <a:gs pos="100000">
          <a:schemeClr val="accent5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5">
          <a:shade val="95000"/>
          <a:satMod val="105000"/>
        </a:schemeClr>
      </a:solidFill>
      <a:prstDash val="solid"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102</xdr:row>
      <xdr:rowOff>47624</xdr:rowOff>
    </xdr:from>
    <xdr:to>
      <xdr:col>4</xdr:col>
      <xdr:colOff>971550</xdr:colOff>
      <xdr:row>119</xdr:row>
      <xdr:rowOff>133349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1228724</xdr:colOff>
      <xdr:row>102</xdr:row>
      <xdr:rowOff>47625</xdr:rowOff>
    </xdr:from>
    <xdr:to>
      <xdr:col>9</xdr:col>
      <xdr:colOff>1000125</xdr:colOff>
      <xdr:row>119</xdr:row>
      <xdr:rowOff>133350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104774</xdr:colOff>
      <xdr:row>120</xdr:row>
      <xdr:rowOff>190499</xdr:rowOff>
    </xdr:from>
    <xdr:to>
      <xdr:col>4</xdr:col>
      <xdr:colOff>1019175</xdr:colOff>
      <xdr:row>138</xdr:row>
      <xdr:rowOff>142874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105834</xdr:colOff>
      <xdr:row>0</xdr:row>
      <xdr:rowOff>359833</xdr:rowOff>
    </xdr:from>
    <xdr:to>
      <xdr:col>18</xdr:col>
      <xdr:colOff>539751</xdr:colOff>
      <xdr:row>40</xdr:row>
      <xdr:rowOff>127000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105833</xdr:colOff>
      <xdr:row>41</xdr:row>
      <xdr:rowOff>74083</xdr:rowOff>
    </xdr:from>
    <xdr:to>
      <xdr:col>18</xdr:col>
      <xdr:colOff>539750</xdr:colOff>
      <xdr:row>63</xdr:row>
      <xdr:rowOff>264584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116417</xdr:colOff>
      <xdr:row>64</xdr:row>
      <xdr:rowOff>148167</xdr:rowOff>
    </xdr:from>
    <xdr:to>
      <xdr:col>18</xdr:col>
      <xdr:colOff>550334</xdr:colOff>
      <xdr:row>80</xdr:row>
      <xdr:rowOff>84668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zoomScale="90" zoomScaleNormal="90" workbookViewId="0">
      <selection sqref="A1:J1"/>
    </sheetView>
  </sheetViews>
  <sheetFormatPr defaultRowHeight="15"/>
  <cols>
    <col min="1" max="1" width="18.85546875" style="1" customWidth="1"/>
    <col min="2" max="2" width="22.42578125" style="1" customWidth="1"/>
    <col min="3" max="3" width="18.28515625" style="1" customWidth="1"/>
    <col min="4" max="4" width="16" style="1" customWidth="1"/>
    <col min="5" max="5" width="19.42578125" style="1" customWidth="1"/>
    <col min="6" max="6" width="13.42578125" style="1" customWidth="1"/>
    <col min="7" max="7" width="18.7109375" style="1" customWidth="1"/>
    <col min="8" max="8" width="19" style="1" customWidth="1"/>
    <col min="9" max="9" width="16.28515625" style="1" customWidth="1"/>
    <col min="10" max="10" width="16.85546875" style="1" customWidth="1"/>
    <col min="11" max="11" width="14.7109375" style="1" customWidth="1"/>
    <col min="12" max="17" width="9.140625" style="1"/>
    <col min="20" max="20" width="1.42578125" customWidth="1"/>
    <col min="21" max="21" width="20.140625" customWidth="1"/>
  </cols>
  <sheetData>
    <row r="1" spans="1:21" ht="44.25" customHeight="1" thickBot="1">
      <c r="A1" s="50" t="s">
        <v>8</v>
      </c>
      <c r="B1" s="51"/>
      <c r="C1" s="51"/>
      <c r="D1" s="51"/>
      <c r="E1" s="51"/>
      <c r="F1" s="51"/>
      <c r="G1" s="51"/>
      <c r="H1" s="51"/>
      <c r="I1" s="51"/>
      <c r="J1" s="52"/>
    </row>
    <row r="2" spans="1:21" ht="33" customHeight="1">
      <c r="A2" s="19"/>
      <c r="B2" s="53" t="s">
        <v>5</v>
      </c>
      <c r="C2" s="54"/>
      <c r="D2" s="55"/>
      <c r="E2" s="54" t="s">
        <v>0</v>
      </c>
      <c r="F2" s="54"/>
      <c r="G2" s="55"/>
      <c r="H2" s="53" t="s">
        <v>1</v>
      </c>
      <c r="I2" s="54"/>
      <c r="J2" s="55"/>
      <c r="U2" s="38" t="str">
        <f>I3</f>
        <v>Total Number of Vessels</v>
      </c>
    </row>
    <row r="3" spans="1:21" s="4" customFormat="1" ht="30.75" thickBot="1">
      <c r="A3" s="20"/>
      <c r="B3" s="21" t="s">
        <v>9</v>
      </c>
      <c r="C3" s="22" t="s">
        <v>2</v>
      </c>
      <c r="D3" s="23" t="s">
        <v>10</v>
      </c>
      <c r="E3" s="21" t="s">
        <v>9</v>
      </c>
      <c r="F3" s="22" t="s">
        <v>2</v>
      </c>
      <c r="G3" s="23" t="s">
        <v>10</v>
      </c>
      <c r="H3" s="21" t="s">
        <v>9</v>
      </c>
      <c r="I3" s="22" t="s">
        <v>2</v>
      </c>
      <c r="J3" s="23" t="s">
        <v>10</v>
      </c>
      <c r="K3" s="3"/>
      <c r="L3" s="3"/>
      <c r="M3" s="3"/>
      <c r="N3" s="3"/>
      <c r="O3" s="3"/>
      <c r="P3" s="3"/>
      <c r="Q3" s="3"/>
    </row>
    <row r="4" spans="1:21" s="4" customFormat="1">
      <c r="A4" s="3">
        <v>2003</v>
      </c>
      <c r="B4" s="6">
        <v>87797601</v>
      </c>
      <c r="C4" s="6">
        <v>1584</v>
      </c>
      <c r="D4" s="6">
        <v>56238304</v>
      </c>
      <c r="E4" s="6">
        <v>41273633</v>
      </c>
      <c r="F4" s="6">
        <v>4028</v>
      </c>
      <c r="G4" s="6">
        <v>84251191</v>
      </c>
      <c r="H4" s="6">
        <v>171621146</v>
      </c>
      <c r="I4" s="6">
        <v>9405</v>
      </c>
      <c r="J4" s="6">
        <v>239987027</v>
      </c>
      <c r="K4" s="3"/>
      <c r="L4" s="3"/>
      <c r="M4" s="3"/>
      <c r="N4" s="3"/>
      <c r="O4" s="3"/>
      <c r="P4" s="3"/>
      <c r="Q4" s="3"/>
    </row>
    <row r="5" spans="1:21" s="4" customFormat="1">
      <c r="A5" s="3">
        <f>A4+1</f>
        <v>2004</v>
      </c>
      <c r="B5" s="6">
        <v>85688419</v>
      </c>
      <c r="C5" s="6">
        <v>1584</v>
      </c>
      <c r="D5" s="6">
        <v>56847580</v>
      </c>
      <c r="E5" s="6">
        <v>40026277</v>
      </c>
      <c r="F5" s="6">
        <v>3707</v>
      </c>
      <c r="G5" s="6">
        <v>79970878</v>
      </c>
      <c r="H5" s="6">
        <v>168750600</v>
      </c>
      <c r="I5" s="6">
        <v>8833</v>
      </c>
      <c r="J5" s="6">
        <v>233191159</v>
      </c>
      <c r="K5" s="3"/>
      <c r="L5" s="3"/>
      <c r="M5" s="3"/>
      <c r="N5" s="3"/>
      <c r="O5" s="3"/>
      <c r="P5" s="3"/>
      <c r="Q5" s="3"/>
    </row>
    <row r="6" spans="1:21" s="4" customFormat="1">
      <c r="A6" s="3">
        <f t="shared" ref="A6:A8" si="0">A5+1</f>
        <v>2005</v>
      </c>
      <c r="B6" s="6">
        <v>86623684</v>
      </c>
      <c r="C6" s="6">
        <v>1517</v>
      </c>
      <c r="D6" s="6">
        <v>57988427</v>
      </c>
      <c r="E6" s="6">
        <v>40778495</v>
      </c>
      <c r="F6" s="6">
        <v>3887</v>
      </c>
      <c r="G6" s="6">
        <v>87589347</v>
      </c>
      <c r="H6" s="6">
        <v>173550690</v>
      </c>
      <c r="I6" s="6">
        <v>8929</v>
      </c>
      <c r="J6" s="6">
        <v>245599099</v>
      </c>
      <c r="K6" s="3"/>
      <c r="L6" s="3"/>
      <c r="M6" s="3"/>
      <c r="N6" s="3"/>
      <c r="O6" s="3"/>
      <c r="P6" s="3"/>
      <c r="Q6" s="3"/>
    </row>
    <row r="7" spans="1:21" s="4" customFormat="1">
      <c r="A7" s="3">
        <f t="shared" si="0"/>
        <v>2006</v>
      </c>
      <c r="B7" s="6">
        <v>86319200</v>
      </c>
      <c r="C7" s="6">
        <v>1470</v>
      </c>
      <c r="D7" s="6">
        <v>56810539</v>
      </c>
      <c r="E7" s="6">
        <v>43861241</v>
      </c>
      <c r="F7" s="6">
        <v>4161</v>
      </c>
      <c r="G7" s="6">
        <v>95085938</v>
      </c>
      <c r="H7" s="6">
        <v>179983594</v>
      </c>
      <c r="I7" s="6">
        <v>9200</v>
      </c>
      <c r="J7" s="6">
        <v>255976219</v>
      </c>
      <c r="K7" s="3"/>
      <c r="L7" s="3"/>
      <c r="M7" s="3"/>
      <c r="N7" s="3"/>
      <c r="O7" s="3"/>
      <c r="P7" s="3"/>
      <c r="Q7" s="3"/>
    </row>
    <row r="8" spans="1:21" s="4" customFormat="1">
      <c r="A8" s="3">
        <f t="shared" si="0"/>
        <v>2007</v>
      </c>
      <c r="B8" s="6">
        <v>84517409</v>
      </c>
      <c r="C8" s="6">
        <v>1570</v>
      </c>
      <c r="D8" s="6">
        <v>57822557</v>
      </c>
      <c r="E8" s="6">
        <v>41883269</v>
      </c>
      <c r="F8" s="6">
        <v>4128</v>
      </c>
      <c r="G8" s="6">
        <v>103501737</v>
      </c>
      <c r="H8" s="6">
        <v>183328184</v>
      </c>
      <c r="I8" s="6">
        <v>9099</v>
      </c>
      <c r="J8" s="6">
        <v>269726312</v>
      </c>
      <c r="K8" s="3"/>
      <c r="L8" s="3"/>
      <c r="M8" s="3"/>
      <c r="N8" s="3"/>
      <c r="O8" s="3"/>
      <c r="P8" s="3"/>
      <c r="Q8" s="3"/>
    </row>
    <row r="9" spans="1:21" s="4" customFormat="1">
      <c r="A9" s="3">
        <v>2008</v>
      </c>
      <c r="B9" s="6">
        <f>SUM(B13:B24)</f>
        <v>81737929</v>
      </c>
      <c r="C9" s="6">
        <f t="shared" ref="C9:I9" si="1">SUM(C13:C24)</f>
        <v>1615.4</v>
      </c>
      <c r="D9" s="6">
        <f t="shared" si="1"/>
        <v>57090284.200000003</v>
      </c>
      <c r="E9" s="6">
        <f t="shared" si="1"/>
        <v>41578997</v>
      </c>
      <c r="F9" s="6">
        <f t="shared" si="1"/>
        <v>4228.8</v>
      </c>
      <c r="G9" s="6">
        <f t="shared" si="1"/>
        <v>106505793</v>
      </c>
      <c r="H9" s="6">
        <f t="shared" si="1"/>
        <v>184971543.80000001</v>
      </c>
      <c r="I9" s="6">
        <f t="shared" si="1"/>
        <v>9436.7999999999993</v>
      </c>
      <c r="J9" s="6">
        <f>SUM(J13:J24)</f>
        <v>282345379.19999999</v>
      </c>
      <c r="K9" s="3"/>
      <c r="L9" s="3"/>
      <c r="M9" s="3"/>
      <c r="N9" s="3"/>
      <c r="O9" s="3"/>
      <c r="P9" s="3"/>
      <c r="Q9" s="3"/>
    </row>
    <row r="10" spans="1:21" s="4" customFormat="1">
      <c r="A10" s="3">
        <v>2009</v>
      </c>
      <c r="B10" s="6">
        <f>SUM(B25:B36)</f>
        <v>79086951</v>
      </c>
      <c r="C10" s="6">
        <f t="shared" ref="C10:J10" si="2">SUM(C25:C36)</f>
        <v>1843</v>
      </c>
      <c r="D10" s="6">
        <f t="shared" si="2"/>
        <v>61784777</v>
      </c>
      <c r="E10" s="6">
        <f t="shared" si="2"/>
        <v>37527690</v>
      </c>
      <c r="F10" s="6">
        <f t="shared" si="2"/>
        <v>4569</v>
      </c>
      <c r="G10" s="6">
        <f t="shared" si="2"/>
        <v>120207888</v>
      </c>
      <c r="H10" s="6">
        <f t="shared" si="2"/>
        <v>188966168</v>
      </c>
      <c r="I10" s="6">
        <f t="shared" si="2"/>
        <v>9934</v>
      </c>
      <c r="J10" s="6">
        <f t="shared" si="2"/>
        <v>300417981</v>
      </c>
      <c r="K10" s="3"/>
      <c r="L10" s="3"/>
      <c r="M10" s="3"/>
      <c r="N10" s="3"/>
      <c r="O10" s="3"/>
      <c r="P10" s="3"/>
      <c r="Q10" s="3"/>
    </row>
    <row r="11" spans="1:21" s="4" customFormat="1" ht="15.75" customHeight="1">
      <c r="A11" s="3">
        <v>2010</v>
      </c>
      <c r="B11" s="6">
        <f>SUM(B40:B51)</f>
        <v>85148039</v>
      </c>
      <c r="C11" s="6">
        <f t="shared" ref="C11:J11" si="3">SUM(C40:C51)</f>
        <v>1733</v>
      </c>
      <c r="D11" s="6">
        <f t="shared" si="3"/>
        <v>61761815</v>
      </c>
      <c r="E11" s="6">
        <f t="shared" si="3"/>
        <v>41645861</v>
      </c>
      <c r="F11" s="6">
        <f t="shared" si="3"/>
        <v>4317</v>
      </c>
      <c r="G11" s="6">
        <f t="shared" si="3"/>
        <v>124192321</v>
      </c>
      <c r="H11" s="6">
        <f t="shared" si="3"/>
        <v>194619071</v>
      </c>
      <c r="I11" s="6">
        <f t="shared" si="3"/>
        <v>9251</v>
      </c>
      <c r="J11" s="6">
        <f t="shared" si="3"/>
        <v>299570865</v>
      </c>
      <c r="K11" s="3"/>
      <c r="L11" s="3"/>
      <c r="M11" s="3"/>
      <c r="N11" s="3"/>
      <c r="O11" s="3"/>
      <c r="P11" s="3"/>
      <c r="Q11" s="3"/>
    </row>
    <row r="12" spans="1:21" s="4" customFormat="1" ht="15.75" customHeight="1" thickBot="1">
      <c r="A12" s="3">
        <v>2011</v>
      </c>
      <c r="B12" s="6">
        <f>SUM(B52:B62)/11*12</f>
        <v>85170103.63636364</v>
      </c>
      <c r="C12" s="6">
        <f t="shared" ref="C12:J12" si="4">SUM(C52:C62)/11*12</f>
        <v>1743.2727272727275</v>
      </c>
      <c r="D12" s="6">
        <f t="shared" si="4"/>
        <v>63795454.909090906</v>
      </c>
      <c r="E12" s="6">
        <f t="shared" si="4"/>
        <v>44849117.454545453</v>
      </c>
      <c r="F12" s="6">
        <f t="shared" si="4"/>
        <v>4182.545454545455</v>
      </c>
      <c r="G12" s="6">
        <f t="shared" si="4"/>
        <v>125858346.54545453</v>
      </c>
      <c r="H12" s="6">
        <f t="shared" si="4"/>
        <v>204664441.09090906</v>
      </c>
      <c r="I12" s="6">
        <f t="shared" si="4"/>
        <v>10944</v>
      </c>
      <c r="J12" s="6">
        <f t="shared" si="4"/>
        <v>324498382.90909094</v>
      </c>
      <c r="K12" s="3"/>
      <c r="L12" s="3"/>
      <c r="M12" s="3"/>
      <c r="N12" s="3"/>
      <c r="O12" s="3"/>
      <c r="P12" s="3"/>
      <c r="Q12" s="3"/>
    </row>
    <row r="13" spans="1:21" s="4" customFormat="1" ht="15" hidden="1" customHeight="1">
      <c r="A13" s="5">
        <v>39448</v>
      </c>
      <c r="B13" s="6">
        <v>6875906.7999999998</v>
      </c>
      <c r="C13" s="6">
        <v>129</v>
      </c>
      <c r="D13" s="6">
        <v>4582097.2</v>
      </c>
      <c r="E13" s="6">
        <v>3579594.8</v>
      </c>
      <c r="F13" s="6">
        <v>344.6</v>
      </c>
      <c r="G13" s="6">
        <v>8536267.4000000004</v>
      </c>
      <c r="H13" s="6">
        <v>15020719.199999999</v>
      </c>
      <c r="I13" s="6">
        <v>776.2</v>
      </c>
      <c r="J13" s="6">
        <v>23258500</v>
      </c>
      <c r="K13" s="3"/>
      <c r="L13" s="3"/>
      <c r="M13" s="3"/>
      <c r="N13" s="3"/>
      <c r="O13" s="3"/>
      <c r="P13" s="3"/>
      <c r="Q13" s="3"/>
    </row>
    <row r="14" spans="1:21" s="4" customFormat="1" ht="15" hidden="1" customHeight="1">
      <c r="A14" s="5">
        <v>39479</v>
      </c>
      <c r="B14" s="6">
        <v>6809934.2000000002</v>
      </c>
      <c r="C14" s="6">
        <v>132.4</v>
      </c>
      <c r="D14" s="6">
        <v>4647887</v>
      </c>
      <c r="E14" s="6">
        <v>3622128.2</v>
      </c>
      <c r="F14" s="6">
        <v>349.2</v>
      </c>
      <c r="G14" s="6">
        <v>8670678.5999999996</v>
      </c>
      <c r="H14" s="6">
        <v>15734906.6</v>
      </c>
      <c r="I14" s="6">
        <v>798.6</v>
      </c>
      <c r="J14" s="6">
        <v>23672054.199999999</v>
      </c>
      <c r="K14" s="3"/>
      <c r="L14" s="3"/>
      <c r="M14" s="3"/>
      <c r="N14" s="3"/>
      <c r="O14" s="3"/>
      <c r="P14" s="3"/>
      <c r="Q14" s="3"/>
    </row>
    <row r="15" spans="1:21" s="10" customFormat="1" ht="15" hidden="1" customHeight="1">
      <c r="A15" s="7">
        <v>39508</v>
      </c>
      <c r="B15" s="8">
        <v>6612792</v>
      </c>
      <c r="C15" s="8">
        <v>119</v>
      </c>
      <c r="D15" s="8">
        <v>4355373</v>
      </c>
      <c r="E15" s="8">
        <v>3069269</v>
      </c>
      <c r="F15" s="8">
        <v>324</v>
      </c>
      <c r="G15" s="8">
        <v>8351902</v>
      </c>
      <c r="H15" s="8">
        <v>13704837</v>
      </c>
      <c r="I15" s="8">
        <v>697</v>
      </c>
      <c r="J15" s="8">
        <v>21370279</v>
      </c>
      <c r="K15" s="9"/>
      <c r="L15" s="9"/>
      <c r="M15" s="9"/>
      <c r="N15" s="9"/>
      <c r="O15" s="9"/>
      <c r="P15" s="9"/>
      <c r="Q15" s="9"/>
    </row>
    <row r="16" spans="1:21" s="4" customFormat="1" ht="15" hidden="1" customHeight="1">
      <c r="A16" s="5">
        <v>39539</v>
      </c>
      <c r="B16" s="6">
        <v>7110557</v>
      </c>
      <c r="C16" s="6">
        <v>134</v>
      </c>
      <c r="D16" s="6">
        <v>4831688</v>
      </c>
      <c r="E16" s="6">
        <v>4247291</v>
      </c>
      <c r="F16" s="6">
        <v>362</v>
      </c>
      <c r="G16" s="6">
        <v>8909112</v>
      </c>
      <c r="H16" s="6">
        <v>16424644</v>
      </c>
      <c r="I16" s="6">
        <v>803</v>
      </c>
      <c r="J16" s="6">
        <v>23472258</v>
      </c>
      <c r="K16" s="3"/>
      <c r="L16" s="3"/>
      <c r="M16" s="3"/>
      <c r="N16" s="3"/>
      <c r="O16" s="3"/>
      <c r="P16" s="3"/>
      <c r="Q16" s="3"/>
    </row>
    <row r="17" spans="1:17" s="4" customFormat="1" ht="15" hidden="1" customHeight="1">
      <c r="A17" s="5">
        <v>39569</v>
      </c>
      <c r="B17" s="6">
        <v>7052084</v>
      </c>
      <c r="C17" s="6">
        <v>129</v>
      </c>
      <c r="D17" s="6">
        <v>4398470</v>
      </c>
      <c r="E17" s="6">
        <v>3109483</v>
      </c>
      <c r="F17" s="6">
        <v>335</v>
      </c>
      <c r="G17" s="6">
        <v>8464455</v>
      </c>
      <c r="H17" s="6">
        <v>14020584</v>
      </c>
      <c r="I17" s="6">
        <v>752</v>
      </c>
      <c r="J17" s="6">
        <v>22383087</v>
      </c>
      <c r="K17" s="3"/>
      <c r="L17" s="3"/>
      <c r="M17" s="3"/>
      <c r="N17" s="3"/>
      <c r="O17" s="3"/>
      <c r="P17" s="3"/>
      <c r="Q17" s="3"/>
    </row>
    <row r="18" spans="1:17" s="4" customFormat="1" ht="15" hidden="1" customHeight="1">
      <c r="A18" s="5">
        <v>39600</v>
      </c>
      <c r="B18" s="6">
        <v>7648342</v>
      </c>
      <c r="C18" s="6">
        <v>136</v>
      </c>
      <c r="D18" s="6">
        <v>5074200</v>
      </c>
      <c r="E18" s="6">
        <v>3544039</v>
      </c>
      <c r="F18" s="6">
        <v>360</v>
      </c>
      <c r="G18" s="6">
        <v>8696591</v>
      </c>
      <c r="H18" s="6">
        <v>16072235</v>
      </c>
      <c r="I18" s="6">
        <v>833</v>
      </c>
      <c r="J18" s="6">
        <v>27222142</v>
      </c>
      <c r="K18" s="3"/>
      <c r="L18" s="3"/>
      <c r="M18" s="3"/>
      <c r="N18" s="3"/>
      <c r="O18" s="3"/>
      <c r="P18" s="3"/>
      <c r="Q18" s="3"/>
    </row>
    <row r="19" spans="1:17" s="4" customFormat="1" ht="15" hidden="1" customHeight="1">
      <c r="A19" s="5">
        <v>39630</v>
      </c>
      <c r="B19" s="6">
        <v>5955759</v>
      </c>
      <c r="C19" s="6">
        <v>127</v>
      </c>
      <c r="D19" s="6">
        <v>4250755</v>
      </c>
      <c r="E19" s="6">
        <v>3927892</v>
      </c>
      <c r="F19" s="6">
        <v>342</v>
      </c>
      <c r="G19" s="6">
        <v>8259277</v>
      </c>
      <c r="H19" s="6">
        <v>14881296</v>
      </c>
      <c r="I19" s="6">
        <v>796</v>
      </c>
      <c r="J19" s="6">
        <v>21844734</v>
      </c>
      <c r="K19" s="3"/>
      <c r="L19" s="3"/>
      <c r="M19" s="3"/>
      <c r="N19" s="3"/>
      <c r="O19" s="3"/>
      <c r="P19" s="3"/>
      <c r="Q19" s="3"/>
    </row>
    <row r="20" spans="1:17" s="4" customFormat="1" ht="15" hidden="1" customHeight="1">
      <c r="A20" s="5">
        <v>39661</v>
      </c>
      <c r="B20" s="6">
        <v>6282929</v>
      </c>
      <c r="C20" s="6">
        <v>136</v>
      </c>
      <c r="D20" s="6">
        <v>4684322</v>
      </c>
      <c r="E20" s="6">
        <v>3281936</v>
      </c>
      <c r="F20" s="6">
        <v>347</v>
      </c>
      <c r="G20" s="6">
        <v>9023958</v>
      </c>
      <c r="H20" s="6">
        <v>17275774</v>
      </c>
      <c r="I20" s="6">
        <v>809</v>
      </c>
      <c r="J20" s="6">
        <v>23438050</v>
      </c>
      <c r="K20" s="3"/>
      <c r="L20" s="3"/>
      <c r="M20" s="3"/>
      <c r="N20" s="3"/>
      <c r="O20" s="3"/>
      <c r="P20" s="3"/>
      <c r="Q20" s="3"/>
    </row>
    <row r="21" spans="1:17" s="4" customFormat="1" ht="15" hidden="1" customHeight="1">
      <c r="A21" s="5">
        <v>39692</v>
      </c>
      <c r="B21" s="6">
        <v>7312636</v>
      </c>
      <c r="C21" s="6">
        <v>144</v>
      </c>
      <c r="D21" s="6">
        <v>5287780</v>
      </c>
      <c r="E21" s="6">
        <v>3851236</v>
      </c>
      <c r="F21" s="6">
        <v>352</v>
      </c>
      <c r="G21" s="6">
        <v>8873015</v>
      </c>
      <c r="H21" s="6">
        <v>17367097</v>
      </c>
      <c r="I21" s="6">
        <v>810</v>
      </c>
      <c r="J21" s="6">
        <v>24142213</v>
      </c>
      <c r="K21" s="3"/>
      <c r="L21" s="3"/>
      <c r="M21" s="3"/>
      <c r="N21" s="3"/>
      <c r="O21" s="3"/>
      <c r="P21" s="3"/>
      <c r="Q21" s="3"/>
    </row>
    <row r="22" spans="1:17" s="4" customFormat="1" ht="15" hidden="1" customHeight="1">
      <c r="A22" s="5">
        <v>39722</v>
      </c>
      <c r="B22" s="6">
        <v>7359904</v>
      </c>
      <c r="C22" s="6">
        <v>165</v>
      </c>
      <c r="D22" s="6">
        <v>5738368</v>
      </c>
      <c r="E22" s="6">
        <v>2848733</v>
      </c>
      <c r="F22" s="6">
        <v>322</v>
      </c>
      <c r="G22" s="6">
        <v>8277482</v>
      </c>
      <c r="H22" s="6">
        <v>14642433</v>
      </c>
      <c r="I22" s="6">
        <v>779</v>
      </c>
      <c r="J22" s="6">
        <v>23178147</v>
      </c>
      <c r="K22" s="3"/>
      <c r="L22" s="3"/>
      <c r="M22" s="3"/>
      <c r="N22" s="3"/>
      <c r="O22" s="3"/>
      <c r="P22" s="3"/>
      <c r="Q22" s="3"/>
    </row>
    <row r="23" spans="1:17" s="4" customFormat="1" ht="15" hidden="1" customHeight="1">
      <c r="A23" s="5">
        <v>39753</v>
      </c>
      <c r="B23" s="6">
        <v>6291269</v>
      </c>
      <c r="C23" s="6">
        <v>130</v>
      </c>
      <c r="D23" s="6">
        <v>4733318</v>
      </c>
      <c r="E23" s="6">
        <v>3744550</v>
      </c>
      <c r="F23" s="6">
        <v>402</v>
      </c>
      <c r="G23" s="6">
        <v>10088249</v>
      </c>
      <c r="H23" s="6">
        <v>15537993</v>
      </c>
      <c r="I23" s="6">
        <v>825</v>
      </c>
      <c r="J23" s="6">
        <v>24996712</v>
      </c>
      <c r="K23" s="3"/>
      <c r="L23" s="3"/>
      <c r="M23" s="3"/>
      <c r="N23" s="3"/>
      <c r="O23" s="3"/>
      <c r="P23" s="3"/>
      <c r="Q23" s="3"/>
    </row>
    <row r="24" spans="1:17" s="4" customFormat="1" ht="15" hidden="1" customHeight="1">
      <c r="A24" s="5">
        <v>39783</v>
      </c>
      <c r="B24" s="6">
        <v>6425816</v>
      </c>
      <c r="C24" s="6">
        <v>134</v>
      </c>
      <c r="D24" s="6">
        <v>4506026</v>
      </c>
      <c r="E24" s="6">
        <v>2752845</v>
      </c>
      <c r="F24" s="6">
        <v>389</v>
      </c>
      <c r="G24" s="6">
        <v>10354806</v>
      </c>
      <c r="H24" s="6">
        <v>14289025</v>
      </c>
      <c r="I24" s="6">
        <v>758</v>
      </c>
      <c r="J24" s="6">
        <v>23367203</v>
      </c>
      <c r="K24" s="3"/>
      <c r="L24" s="3"/>
      <c r="M24" s="3"/>
      <c r="N24" s="3"/>
      <c r="O24" s="3"/>
      <c r="P24" s="3"/>
      <c r="Q24" s="3"/>
    </row>
    <row r="25" spans="1:17" s="4" customFormat="1" ht="15" hidden="1" customHeight="1">
      <c r="A25" s="5">
        <v>39814</v>
      </c>
      <c r="B25" s="6">
        <v>6031874</v>
      </c>
      <c r="C25" s="6">
        <v>164</v>
      </c>
      <c r="D25" s="6">
        <v>5416814</v>
      </c>
      <c r="E25" s="6">
        <v>2150146</v>
      </c>
      <c r="F25" s="6">
        <v>399</v>
      </c>
      <c r="G25" s="6">
        <v>10441580</v>
      </c>
      <c r="H25" s="6">
        <v>15502801</v>
      </c>
      <c r="I25" s="6">
        <v>856</v>
      </c>
      <c r="J25" s="6">
        <v>25370402</v>
      </c>
      <c r="K25" s="3"/>
      <c r="L25" s="3"/>
      <c r="M25" s="3"/>
      <c r="N25" s="3"/>
      <c r="O25" s="3"/>
      <c r="P25" s="3"/>
      <c r="Q25" s="3"/>
    </row>
    <row r="26" spans="1:17" s="4" customFormat="1" ht="15" hidden="1" customHeight="1">
      <c r="A26" s="5">
        <v>39845</v>
      </c>
      <c r="B26" s="6">
        <v>6291269</v>
      </c>
      <c r="C26" s="6">
        <v>130</v>
      </c>
      <c r="D26" s="6">
        <v>4733318</v>
      </c>
      <c r="E26" s="6">
        <v>3744550</v>
      </c>
      <c r="F26" s="6">
        <v>402</v>
      </c>
      <c r="G26" s="6">
        <v>10088249</v>
      </c>
      <c r="H26" s="6">
        <v>15537993</v>
      </c>
      <c r="I26" s="6">
        <v>825</v>
      </c>
      <c r="J26" s="6">
        <v>24996712</v>
      </c>
      <c r="K26" s="3"/>
      <c r="L26" s="3"/>
      <c r="M26" s="3"/>
      <c r="N26" s="3"/>
      <c r="O26" s="3"/>
      <c r="P26" s="3"/>
      <c r="Q26" s="3"/>
    </row>
    <row r="27" spans="1:17" s="4" customFormat="1" ht="15" hidden="1" customHeight="1">
      <c r="A27" s="5">
        <v>39873</v>
      </c>
      <c r="B27" s="6">
        <v>6425816</v>
      </c>
      <c r="C27" s="6">
        <v>134</v>
      </c>
      <c r="D27" s="6">
        <v>4506026</v>
      </c>
      <c r="E27" s="6">
        <v>2752845</v>
      </c>
      <c r="F27" s="6">
        <v>389</v>
      </c>
      <c r="G27" s="6">
        <v>10354806</v>
      </c>
      <c r="H27" s="6">
        <v>14289025</v>
      </c>
      <c r="I27" s="6">
        <v>758</v>
      </c>
      <c r="J27" s="6">
        <v>23367203</v>
      </c>
      <c r="K27" s="3"/>
      <c r="L27" s="3"/>
      <c r="M27" s="3"/>
      <c r="N27" s="3"/>
      <c r="O27" s="3"/>
      <c r="P27" s="3"/>
      <c r="Q27" s="3"/>
    </row>
    <row r="28" spans="1:17" s="4" customFormat="1" ht="15" hidden="1" customHeight="1">
      <c r="A28" s="5">
        <v>39904</v>
      </c>
      <c r="B28" s="6">
        <v>6031874</v>
      </c>
      <c r="C28" s="6">
        <v>164</v>
      </c>
      <c r="D28" s="6">
        <v>5416814</v>
      </c>
      <c r="E28" s="6">
        <v>2948869</v>
      </c>
      <c r="F28" s="6">
        <v>399</v>
      </c>
      <c r="G28" s="6">
        <v>10441580</v>
      </c>
      <c r="H28" s="6">
        <v>15502801</v>
      </c>
      <c r="I28" s="6">
        <v>856</v>
      </c>
      <c r="J28" s="6">
        <v>25370402</v>
      </c>
      <c r="K28" s="3"/>
      <c r="L28" s="3"/>
      <c r="M28" s="3"/>
      <c r="N28" s="3"/>
      <c r="O28" s="3"/>
      <c r="P28" s="3"/>
      <c r="Q28" s="3"/>
    </row>
    <row r="29" spans="1:17" s="4" customFormat="1" ht="15" hidden="1" customHeight="1">
      <c r="A29" s="5">
        <v>39934</v>
      </c>
      <c r="B29" s="6">
        <v>6716870</v>
      </c>
      <c r="C29" s="6">
        <v>138</v>
      </c>
      <c r="D29" s="6">
        <v>4458807</v>
      </c>
      <c r="E29" s="6">
        <v>3001144</v>
      </c>
      <c r="F29" s="6">
        <v>362</v>
      </c>
      <c r="G29" s="6">
        <v>9451989</v>
      </c>
      <c r="H29" s="6">
        <v>16008792</v>
      </c>
      <c r="I29" s="6">
        <v>856</v>
      </c>
      <c r="J29" s="6">
        <v>25386189</v>
      </c>
      <c r="K29" s="3"/>
      <c r="L29" s="3"/>
      <c r="M29" s="3"/>
      <c r="N29" s="3"/>
      <c r="O29" s="3"/>
      <c r="P29" s="3"/>
      <c r="Q29" s="3"/>
    </row>
    <row r="30" spans="1:17" s="4" customFormat="1" ht="15" hidden="1" customHeight="1">
      <c r="A30" s="5">
        <v>39965</v>
      </c>
      <c r="B30" s="6">
        <v>6031874</v>
      </c>
      <c r="C30" s="6">
        <v>164</v>
      </c>
      <c r="D30" s="6">
        <v>5416814</v>
      </c>
      <c r="E30" s="6">
        <v>2948869</v>
      </c>
      <c r="F30" s="6">
        <v>399</v>
      </c>
      <c r="G30" s="6">
        <v>10441580</v>
      </c>
      <c r="H30" s="6">
        <v>15502801</v>
      </c>
      <c r="I30" s="6">
        <v>856</v>
      </c>
      <c r="J30" s="6">
        <v>25370402</v>
      </c>
      <c r="K30" s="3"/>
      <c r="L30" s="3"/>
      <c r="M30" s="3"/>
      <c r="N30" s="3"/>
      <c r="O30" s="3"/>
      <c r="P30" s="3"/>
      <c r="Q30" s="3"/>
    </row>
    <row r="31" spans="1:17" s="4" customFormat="1" ht="15" hidden="1" customHeight="1">
      <c r="A31" s="5">
        <v>39995</v>
      </c>
      <c r="B31" s="6">
        <v>6716870</v>
      </c>
      <c r="C31" s="6">
        <v>138</v>
      </c>
      <c r="D31" s="6">
        <v>4458807</v>
      </c>
      <c r="E31" s="6">
        <v>3001144</v>
      </c>
      <c r="F31" s="6">
        <v>362</v>
      </c>
      <c r="G31" s="6">
        <v>9451989</v>
      </c>
      <c r="H31" s="6">
        <v>16008792</v>
      </c>
      <c r="I31" s="6">
        <v>856</v>
      </c>
      <c r="J31" s="6">
        <v>25386189</v>
      </c>
      <c r="K31" s="3"/>
      <c r="L31" s="3"/>
      <c r="M31" s="3"/>
      <c r="N31" s="3"/>
      <c r="O31" s="3"/>
      <c r="P31" s="3"/>
      <c r="Q31" s="3"/>
    </row>
    <row r="32" spans="1:17" s="4" customFormat="1" ht="15" hidden="1" customHeight="1">
      <c r="A32" s="5">
        <v>40026</v>
      </c>
      <c r="B32" s="6">
        <v>7345236</v>
      </c>
      <c r="C32" s="6">
        <v>160</v>
      </c>
      <c r="D32" s="6">
        <v>5498003</v>
      </c>
      <c r="E32" s="6">
        <v>3199809</v>
      </c>
      <c r="F32" s="6">
        <v>393</v>
      </c>
      <c r="G32" s="6">
        <v>10297254</v>
      </c>
      <c r="H32" s="6">
        <v>16259419</v>
      </c>
      <c r="I32" s="6">
        <v>860</v>
      </c>
      <c r="J32" s="6">
        <v>26457870</v>
      </c>
      <c r="K32" s="3"/>
      <c r="L32" s="3"/>
      <c r="M32" s="3"/>
      <c r="N32" s="3"/>
      <c r="O32" s="3"/>
      <c r="P32" s="3"/>
      <c r="Q32" s="3"/>
    </row>
    <row r="33" spans="1:21" s="4" customFormat="1" ht="15" hidden="1" customHeight="1">
      <c r="A33" s="5">
        <v>40057</v>
      </c>
      <c r="B33" s="6">
        <v>5445579</v>
      </c>
      <c r="C33" s="6">
        <v>161</v>
      </c>
      <c r="D33" s="6">
        <v>5342793</v>
      </c>
      <c r="E33" s="6">
        <v>3674757</v>
      </c>
      <c r="F33" s="6">
        <v>390</v>
      </c>
      <c r="G33" s="6">
        <v>10172682</v>
      </c>
      <c r="H33" s="6">
        <v>15151709</v>
      </c>
      <c r="I33" s="6">
        <v>885</v>
      </c>
      <c r="J33" s="6">
        <v>26773937</v>
      </c>
      <c r="K33" s="3"/>
      <c r="L33" s="3"/>
      <c r="M33" s="3"/>
      <c r="N33" s="3"/>
      <c r="O33" s="3"/>
      <c r="P33" s="3"/>
      <c r="Q33" s="3"/>
    </row>
    <row r="34" spans="1:21" s="4" customFormat="1" ht="15" hidden="1" customHeight="1">
      <c r="A34" s="5">
        <v>40087</v>
      </c>
      <c r="B34" s="6">
        <v>7359904</v>
      </c>
      <c r="C34" s="6">
        <v>165</v>
      </c>
      <c r="D34" s="6">
        <v>5738368</v>
      </c>
      <c r="E34" s="6">
        <v>2848733</v>
      </c>
      <c r="F34" s="6">
        <v>322</v>
      </c>
      <c r="G34" s="6">
        <v>8277482</v>
      </c>
      <c r="H34" s="6">
        <v>14642433</v>
      </c>
      <c r="I34" s="6">
        <v>779</v>
      </c>
      <c r="J34" s="6">
        <v>23178147</v>
      </c>
      <c r="K34" s="3"/>
      <c r="L34" s="3"/>
      <c r="M34" s="3"/>
      <c r="N34" s="3"/>
      <c r="O34" s="3"/>
      <c r="P34" s="3"/>
      <c r="Q34" s="3"/>
      <c r="R34" s="3"/>
      <c r="S34" s="3"/>
    </row>
    <row r="35" spans="1:21" s="4" customFormat="1" ht="15" hidden="1" customHeight="1">
      <c r="A35" s="5">
        <v>40118</v>
      </c>
      <c r="B35" s="6">
        <v>8310610</v>
      </c>
      <c r="C35" s="6">
        <v>176</v>
      </c>
      <c r="D35" s="6">
        <v>5952691</v>
      </c>
      <c r="E35" s="6">
        <v>3393824</v>
      </c>
      <c r="F35" s="6">
        <v>406</v>
      </c>
      <c r="G35" s="6">
        <v>10916317</v>
      </c>
      <c r="H35" s="6">
        <v>19333828</v>
      </c>
      <c r="I35" s="6">
        <v>815</v>
      </c>
      <c r="J35" s="6">
        <v>25326440</v>
      </c>
      <c r="K35" s="3"/>
      <c r="L35" s="3"/>
      <c r="M35" s="3"/>
      <c r="N35" s="3"/>
      <c r="O35" s="3"/>
      <c r="P35" s="3"/>
      <c r="Q35" s="3"/>
    </row>
    <row r="36" spans="1:21" s="4" customFormat="1" ht="15" hidden="1" customHeight="1">
      <c r="A36" s="5">
        <v>40148</v>
      </c>
      <c r="B36" s="6">
        <v>6379175</v>
      </c>
      <c r="C36" s="6">
        <v>149</v>
      </c>
      <c r="D36" s="6">
        <v>4845522</v>
      </c>
      <c r="E36" s="6">
        <v>3863000</v>
      </c>
      <c r="F36" s="6">
        <v>346</v>
      </c>
      <c r="G36" s="6">
        <v>9872380</v>
      </c>
      <c r="H36" s="6">
        <v>15225774</v>
      </c>
      <c r="I36" s="6">
        <v>732</v>
      </c>
      <c r="J36" s="6">
        <v>23434088</v>
      </c>
      <c r="K36" s="3"/>
      <c r="L36" s="3"/>
      <c r="M36" s="3"/>
      <c r="N36" s="3"/>
      <c r="O36" s="3"/>
      <c r="P36" s="3"/>
      <c r="Q36" s="3"/>
    </row>
    <row r="37" spans="1:21" s="4" customFormat="1" hidden="1">
      <c r="A37" s="5"/>
      <c r="B37" s="6"/>
      <c r="C37" s="6"/>
      <c r="D37" s="6"/>
      <c r="E37" s="6"/>
      <c r="F37" s="6"/>
      <c r="G37" s="6"/>
      <c r="H37" s="6"/>
      <c r="I37" s="6"/>
      <c r="J37" s="6"/>
      <c r="K37" s="3"/>
      <c r="L37" s="3"/>
      <c r="M37" s="3"/>
      <c r="N37" s="3"/>
      <c r="O37" s="3"/>
      <c r="P37" s="3"/>
      <c r="Q37" s="3"/>
    </row>
    <row r="38" spans="1:21" s="4" customFormat="1" hidden="1">
      <c r="A38" s="5"/>
      <c r="B38" s="6"/>
      <c r="C38" s="6"/>
      <c r="D38" s="6"/>
      <c r="E38" s="6"/>
      <c r="F38" s="6"/>
      <c r="G38" s="6"/>
      <c r="H38" s="6"/>
      <c r="I38" s="6"/>
      <c r="J38" s="6"/>
      <c r="K38" s="3"/>
      <c r="L38" s="3"/>
      <c r="M38" s="3"/>
      <c r="N38" s="3"/>
      <c r="O38" s="3"/>
      <c r="P38" s="3"/>
      <c r="Q38" s="3"/>
    </row>
    <row r="39" spans="1:21" s="4" customFormat="1" ht="15.75" hidden="1" thickBot="1">
      <c r="A39" s="5"/>
      <c r="B39" s="6"/>
      <c r="C39" s="6"/>
      <c r="D39" s="6"/>
      <c r="E39" s="6"/>
      <c r="F39" s="6"/>
      <c r="G39" s="6"/>
      <c r="H39" s="6"/>
      <c r="I39" s="6"/>
      <c r="J39" s="6"/>
      <c r="K39" s="3"/>
      <c r="L39" s="3"/>
      <c r="M39" s="3"/>
      <c r="N39" s="3"/>
      <c r="O39" s="3"/>
      <c r="P39" s="3"/>
      <c r="Q39" s="3"/>
    </row>
    <row r="40" spans="1:21" s="4" customFormat="1">
      <c r="A40" s="24">
        <v>40179</v>
      </c>
      <c r="B40" s="25">
        <v>8347126</v>
      </c>
      <c r="C40" s="25">
        <v>144</v>
      </c>
      <c r="D40" s="25">
        <v>5150731</v>
      </c>
      <c r="E40" s="25">
        <v>3004940</v>
      </c>
      <c r="F40" s="25">
        <v>352</v>
      </c>
      <c r="G40" s="25">
        <v>10574204</v>
      </c>
      <c r="H40" s="25">
        <v>16004239</v>
      </c>
      <c r="I40" s="25">
        <v>719</v>
      </c>
      <c r="J40" s="26">
        <v>24037684</v>
      </c>
      <c r="K40" s="3"/>
      <c r="L40" s="3"/>
      <c r="M40" s="3"/>
      <c r="N40" s="3"/>
      <c r="O40" s="3"/>
      <c r="P40" s="3"/>
      <c r="Q40" s="3"/>
    </row>
    <row r="41" spans="1:21" s="4" customFormat="1">
      <c r="A41" s="27">
        <v>40210</v>
      </c>
      <c r="B41" s="28">
        <v>5575392</v>
      </c>
      <c r="C41" s="28">
        <v>135</v>
      </c>
      <c r="D41" s="28">
        <v>4818691</v>
      </c>
      <c r="E41" s="28">
        <v>4032917</v>
      </c>
      <c r="F41" s="28">
        <v>332</v>
      </c>
      <c r="G41" s="28">
        <v>9738440</v>
      </c>
      <c r="H41" s="28">
        <v>15009753</v>
      </c>
      <c r="I41" s="28">
        <v>728</v>
      </c>
      <c r="J41" s="29">
        <v>23674654</v>
      </c>
      <c r="K41" s="3"/>
      <c r="L41" s="3"/>
      <c r="M41" s="3"/>
      <c r="N41" s="3"/>
      <c r="O41" s="3"/>
      <c r="P41" s="3"/>
      <c r="Q41" s="3"/>
    </row>
    <row r="42" spans="1:21" s="4" customFormat="1">
      <c r="A42" s="27">
        <v>40238</v>
      </c>
      <c r="B42" s="28">
        <v>7283526</v>
      </c>
      <c r="C42" s="28">
        <v>153</v>
      </c>
      <c r="D42" s="28">
        <v>5145926</v>
      </c>
      <c r="E42" s="28">
        <v>3132089</v>
      </c>
      <c r="F42" s="28">
        <v>317</v>
      </c>
      <c r="G42" s="28">
        <v>9452495</v>
      </c>
      <c r="H42" s="28">
        <v>15749448</v>
      </c>
      <c r="I42" s="28">
        <v>726</v>
      </c>
      <c r="J42" s="29">
        <v>23798971</v>
      </c>
      <c r="K42" s="3"/>
      <c r="L42" s="3"/>
      <c r="M42" s="3"/>
      <c r="N42" s="3"/>
      <c r="O42" s="3"/>
      <c r="P42" s="3"/>
      <c r="Q42" s="3"/>
    </row>
    <row r="43" spans="1:21" s="4" customFormat="1">
      <c r="A43" s="27">
        <v>40269</v>
      </c>
      <c r="B43" s="28">
        <v>5316956</v>
      </c>
      <c r="C43" s="28">
        <v>146</v>
      </c>
      <c r="D43" s="28">
        <v>5184834</v>
      </c>
      <c r="E43" s="28">
        <v>2755754</v>
      </c>
      <c r="F43" s="28">
        <v>332</v>
      </c>
      <c r="G43" s="28">
        <v>9710781</v>
      </c>
      <c r="H43" s="28">
        <v>14740532</v>
      </c>
      <c r="I43" s="28">
        <v>749</v>
      </c>
      <c r="J43" s="29">
        <v>24895689</v>
      </c>
      <c r="K43" s="3"/>
      <c r="L43" s="3"/>
      <c r="M43" s="3"/>
      <c r="N43" s="3"/>
      <c r="O43" s="3"/>
      <c r="P43" s="3"/>
      <c r="Q43" s="3"/>
      <c r="U43" s="4" t="str">
        <f>H3</f>
        <v>Total Cargo Handled (metric tonnes)</v>
      </c>
    </row>
    <row r="44" spans="1:21" s="4" customFormat="1">
      <c r="A44" s="27">
        <v>40299</v>
      </c>
      <c r="B44" s="28">
        <v>6585682</v>
      </c>
      <c r="C44" s="28">
        <v>111</v>
      </c>
      <c r="D44" s="28">
        <v>3954941</v>
      </c>
      <c r="E44" s="28">
        <v>3293580</v>
      </c>
      <c r="F44" s="28">
        <v>343</v>
      </c>
      <c r="G44" s="28">
        <v>9562789</v>
      </c>
      <c r="H44" s="28">
        <v>16236588</v>
      </c>
      <c r="I44" s="28">
        <v>728</v>
      </c>
      <c r="J44" s="29">
        <v>23117308</v>
      </c>
      <c r="K44" s="3"/>
      <c r="L44" s="3"/>
      <c r="M44" s="3"/>
      <c r="N44" s="3"/>
      <c r="O44" s="3"/>
      <c r="P44" s="3"/>
      <c r="Q44" s="3"/>
    </row>
    <row r="45" spans="1:21" s="4" customFormat="1">
      <c r="A45" s="27">
        <v>40330</v>
      </c>
      <c r="B45" s="28">
        <v>5856847</v>
      </c>
      <c r="C45" s="28">
        <v>133</v>
      </c>
      <c r="D45" s="28">
        <v>4646809</v>
      </c>
      <c r="E45" s="28">
        <v>3878741</v>
      </c>
      <c r="F45" s="28">
        <v>403</v>
      </c>
      <c r="G45" s="28">
        <v>11699900</v>
      </c>
      <c r="H45" s="28">
        <v>16212154</v>
      </c>
      <c r="I45" s="28">
        <v>834</v>
      </c>
      <c r="J45" s="29">
        <v>26378063</v>
      </c>
      <c r="K45" s="3"/>
      <c r="L45" s="3"/>
      <c r="M45" s="3"/>
      <c r="N45" s="3"/>
      <c r="O45" s="3"/>
      <c r="P45" s="3"/>
      <c r="Q45" s="3"/>
    </row>
    <row r="46" spans="1:21" s="4" customFormat="1">
      <c r="A46" s="27">
        <v>40360</v>
      </c>
      <c r="B46" s="28">
        <v>6982025</v>
      </c>
      <c r="C46" s="28">
        <v>147</v>
      </c>
      <c r="D46" s="28">
        <v>5595118</v>
      </c>
      <c r="E46" s="28">
        <v>3327534</v>
      </c>
      <c r="F46" s="28">
        <v>403</v>
      </c>
      <c r="G46" s="28">
        <v>11218950</v>
      </c>
      <c r="H46" s="28">
        <v>15921821</v>
      </c>
      <c r="I46" s="28">
        <v>835</v>
      </c>
      <c r="J46" s="29">
        <v>26491971</v>
      </c>
      <c r="K46" s="3"/>
      <c r="L46" s="3"/>
      <c r="M46" s="3"/>
      <c r="N46" s="3"/>
      <c r="O46" s="3"/>
      <c r="P46" s="3"/>
      <c r="Q46" s="3"/>
    </row>
    <row r="47" spans="1:21">
      <c r="A47" s="30">
        <v>40391</v>
      </c>
      <c r="B47" s="31">
        <v>7296530</v>
      </c>
      <c r="C47" s="28">
        <v>143</v>
      </c>
      <c r="D47" s="31">
        <v>5126674</v>
      </c>
      <c r="E47" s="31">
        <v>4215169</v>
      </c>
      <c r="F47" s="32">
        <v>374</v>
      </c>
      <c r="G47" s="31">
        <v>10771230</v>
      </c>
      <c r="H47" s="31">
        <v>15444834</v>
      </c>
      <c r="I47" s="32">
        <v>786</v>
      </c>
      <c r="J47" s="33">
        <v>24638040</v>
      </c>
    </row>
    <row r="48" spans="1:21">
      <c r="A48" s="30">
        <v>40422</v>
      </c>
      <c r="B48" s="31">
        <v>6505607</v>
      </c>
      <c r="C48" s="28">
        <v>157</v>
      </c>
      <c r="D48" s="31">
        <v>5778165</v>
      </c>
      <c r="E48" s="31">
        <v>2792122</v>
      </c>
      <c r="F48" s="32">
        <v>426</v>
      </c>
      <c r="G48" s="31">
        <v>11806039</v>
      </c>
      <c r="H48" s="31">
        <v>14515967</v>
      </c>
      <c r="I48" s="32">
        <v>867</v>
      </c>
      <c r="J48" s="33">
        <v>27203756</v>
      </c>
    </row>
    <row r="49" spans="1:11">
      <c r="A49" s="30">
        <v>40452</v>
      </c>
      <c r="B49" s="31">
        <v>9532676</v>
      </c>
      <c r="C49" s="28">
        <v>167</v>
      </c>
      <c r="D49" s="31">
        <v>6649368</v>
      </c>
      <c r="E49" s="31">
        <v>3491031</v>
      </c>
      <c r="F49" s="32">
        <v>346</v>
      </c>
      <c r="G49" s="31">
        <v>9506167</v>
      </c>
      <c r="H49" s="31">
        <v>19083572</v>
      </c>
      <c r="I49" s="32">
        <v>786</v>
      </c>
      <c r="J49" s="33">
        <v>25548198</v>
      </c>
    </row>
    <row r="50" spans="1:11">
      <c r="A50" s="30">
        <v>40483</v>
      </c>
      <c r="B50" s="31">
        <v>8418939</v>
      </c>
      <c r="C50" s="28">
        <v>149</v>
      </c>
      <c r="D50" s="31">
        <v>4314159</v>
      </c>
      <c r="E50" s="31">
        <v>4881552</v>
      </c>
      <c r="F50" s="32">
        <v>350</v>
      </c>
      <c r="G50" s="31">
        <v>10029237</v>
      </c>
      <c r="H50" s="31">
        <v>19759235</v>
      </c>
      <c r="I50" s="32">
        <v>765</v>
      </c>
      <c r="J50" s="33">
        <v>25343243</v>
      </c>
    </row>
    <row r="51" spans="1:11">
      <c r="A51" s="30">
        <v>40513</v>
      </c>
      <c r="B51" s="31">
        <v>7446733</v>
      </c>
      <c r="C51" s="28">
        <v>148</v>
      </c>
      <c r="D51" s="31">
        <v>5396399</v>
      </c>
      <c r="E51" s="31">
        <v>2840432</v>
      </c>
      <c r="F51" s="32">
        <v>339</v>
      </c>
      <c r="G51" s="31">
        <v>10122089</v>
      </c>
      <c r="H51" s="31">
        <v>15940928</v>
      </c>
      <c r="I51" s="32">
        <v>728</v>
      </c>
      <c r="J51" s="33">
        <v>24443288</v>
      </c>
    </row>
    <row r="52" spans="1:11">
      <c r="A52" s="30">
        <v>40544</v>
      </c>
      <c r="B52" s="31">
        <v>6327013</v>
      </c>
      <c r="C52" s="28">
        <v>130</v>
      </c>
      <c r="D52" s="31">
        <v>4862313</v>
      </c>
      <c r="E52" s="31">
        <v>2940830</v>
      </c>
      <c r="F52" s="32">
        <v>329</v>
      </c>
      <c r="G52" s="31">
        <v>10435719</v>
      </c>
      <c r="H52" s="31">
        <v>15094397</v>
      </c>
      <c r="I52" s="32">
        <v>724</v>
      </c>
      <c r="J52" s="33">
        <v>24879515</v>
      </c>
    </row>
    <row r="53" spans="1:11">
      <c r="A53" s="30">
        <v>40575</v>
      </c>
      <c r="B53" s="31">
        <v>7271996</v>
      </c>
      <c r="C53" s="28">
        <v>160</v>
      </c>
      <c r="D53" s="31">
        <v>5559062</v>
      </c>
      <c r="E53" s="31">
        <v>4298149</v>
      </c>
      <c r="F53" s="32">
        <v>348</v>
      </c>
      <c r="G53" s="31">
        <v>11140379</v>
      </c>
      <c r="H53" s="31">
        <v>18387613</v>
      </c>
      <c r="I53" s="32">
        <v>782</v>
      </c>
      <c r="J53" s="33">
        <v>26892708</v>
      </c>
    </row>
    <row r="54" spans="1:11">
      <c r="A54" s="30">
        <v>40603</v>
      </c>
      <c r="B54" s="31">
        <v>6972140</v>
      </c>
      <c r="C54" s="28">
        <v>137</v>
      </c>
      <c r="D54" s="31">
        <v>5193110</v>
      </c>
      <c r="E54" s="31">
        <v>3312353</v>
      </c>
      <c r="F54" s="32">
        <v>324</v>
      </c>
      <c r="G54" s="31">
        <v>9981423</v>
      </c>
      <c r="H54" s="31">
        <v>17232029</v>
      </c>
      <c r="I54" s="32">
        <v>729</v>
      </c>
      <c r="J54" s="33">
        <v>25388365</v>
      </c>
    </row>
    <row r="55" spans="1:11">
      <c r="A55" s="30">
        <v>40634</v>
      </c>
      <c r="B55" s="31">
        <v>6787453</v>
      </c>
      <c r="C55" s="28">
        <v>143</v>
      </c>
      <c r="D55" s="31">
        <v>5070479</v>
      </c>
      <c r="E55" s="31">
        <v>3368295</v>
      </c>
      <c r="F55" s="32">
        <v>339</v>
      </c>
      <c r="G55" s="31">
        <v>10434520</v>
      </c>
      <c r="H55" s="31">
        <v>17354222</v>
      </c>
      <c r="I55" s="32">
        <v>765</v>
      </c>
      <c r="J55" s="33">
        <v>26567964</v>
      </c>
    </row>
    <row r="56" spans="1:11">
      <c r="A56" s="30">
        <v>40664</v>
      </c>
      <c r="B56" s="31">
        <v>5957596</v>
      </c>
      <c r="C56" s="28">
        <v>117</v>
      </c>
      <c r="D56" s="31">
        <v>4119250</v>
      </c>
      <c r="E56" s="31">
        <v>3423329</v>
      </c>
      <c r="F56" s="32">
        <v>350</v>
      </c>
      <c r="G56" s="31">
        <v>10879544</v>
      </c>
      <c r="H56" s="31">
        <v>15560179</v>
      </c>
      <c r="I56" s="32">
        <v>756</v>
      </c>
      <c r="J56" s="33">
        <v>26160111</v>
      </c>
    </row>
    <row r="57" spans="1:11">
      <c r="A57" s="30">
        <v>40695</v>
      </c>
      <c r="B57" s="31">
        <v>5728342</v>
      </c>
      <c r="C57" s="28">
        <v>157</v>
      </c>
      <c r="D57" s="31">
        <v>5216347</v>
      </c>
      <c r="E57" s="31">
        <v>4100656</v>
      </c>
      <c r="F57" s="32">
        <v>374</v>
      </c>
      <c r="G57" s="31">
        <v>11039791</v>
      </c>
      <c r="H57" s="31">
        <v>15973156</v>
      </c>
      <c r="I57" s="32">
        <v>1083</v>
      </c>
      <c r="J57" s="33">
        <v>27732911</v>
      </c>
    </row>
    <row r="58" spans="1:11">
      <c r="A58" s="30">
        <v>40725</v>
      </c>
      <c r="B58" s="31">
        <v>6659237</v>
      </c>
      <c r="C58" s="28">
        <v>140</v>
      </c>
      <c r="D58" s="31">
        <v>4639208</v>
      </c>
      <c r="E58" s="31">
        <v>3550532</v>
      </c>
      <c r="F58" s="32">
        <v>350</v>
      </c>
      <c r="G58" s="31">
        <v>10140758</v>
      </c>
      <c r="H58" s="31">
        <v>16293979</v>
      </c>
      <c r="I58" s="32">
        <v>1086</v>
      </c>
      <c r="J58" s="33">
        <v>26377054</v>
      </c>
    </row>
    <row r="59" spans="1:11">
      <c r="A59" s="43">
        <v>40756</v>
      </c>
      <c r="B59" s="31">
        <v>8727730</v>
      </c>
      <c r="C59" s="28">
        <v>164</v>
      </c>
      <c r="D59" s="31">
        <v>6513869</v>
      </c>
      <c r="E59" s="31">
        <v>4155352</v>
      </c>
      <c r="F59" s="32">
        <v>360</v>
      </c>
      <c r="G59" s="31">
        <v>10692675</v>
      </c>
      <c r="H59" s="31">
        <v>17564097</v>
      </c>
      <c r="I59" s="32">
        <v>1122</v>
      </c>
      <c r="J59" s="33">
        <v>29045999</v>
      </c>
    </row>
    <row r="60" spans="1:11">
      <c r="A60" s="43">
        <v>40787</v>
      </c>
      <c r="B60" s="31">
        <v>6491290</v>
      </c>
      <c r="C60" s="28">
        <v>147</v>
      </c>
      <c r="D60" s="31">
        <v>5241736</v>
      </c>
      <c r="E60" s="31">
        <v>3711676</v>
      </c>
      <c r="F60" s="32">
        <v>382</v>
      </c>
      <c r="G60" s="31">
        <v>10620098</v>
      </c>
      <c r="H60" s="31">
        <v>16133065</v>
      </c>
      <c r="I60" s="32">
        <v>1052</v>
      </c>
      <c r="J60" s="33">
        <v>27594206</v>
      </c>
    </row>
    <row r="61" spans="1:11">
      <c r="A61" s="43">
        <v>40817</v>
      </c>
      <c r="B61" s="28">
        <v>8940044</v>
      </c>
      <c r="C61" s="28">
        <v>157</v>
      </c>
      <c r="D61" s="31">
        <v>6288687</v>
      </c>
      <c r="E61" s="31">
        <v>4396014</v>
      </c>
      <c r="F61" s="32">
        <v>323</v>
      </c>
      <c r="G61" s="31">
        <v>9229725</v>
      </c>
      <c r="H61" s="31">
        <v>19739441</v>
      </c>
      <c r="I61" s="32">
        <v>1025</v>
      </c>
      <c r="J61" s="33">
        <v>28686848</v>
      </c>
    </row>
    <row r="62" spans="1:11" ht="15.75" thickBot="1">
      <c r="A62" s="42">
        <v>40848</v>
      </c>
      <c r="B62" s="35">
        <v>8209754</v>
      </c>
      <c r="C62" s="35">
        <v>146</v>
      </c>
      <c r="D62" s="35">
        <v>5775106</v>
      </c>
      <c r="E62" s="34">
        <v>3854505</v>
      </c>
      <c r="F62" s="36">
        <v>355</v>
      </c>
      <c r="G62" s="34">
        <v>10775519</v>
      </c>
      <c r="H62" s="34">
        <v>18276893</v>
      </c>
      <c r="I62" s="36">
        <v>908</v>
      </c>
      <c r="J62" s="37">
        <v>28131170</v>
      </c>
    </row>
    <row r="63" spans="1:11" ht="24" thickBot="1">
      <c r="A63" s="2"/>
      <c r="K63" s="11"/>
    </row>
    <row r="64" spans="1:11" ht="24.75" customHeight="1" thickBot="1">
      <c r="A64" s="59" t="s">
        <v>3</v>
      </c>
      <c r="B64" s="60"/>
      <c r="C64" s="60"/>
      <c r="D64" s="60"/>
      <c r="E64" s="60"/>
      <c r="F64" s="60"/>
      <c r="G64" s="60"/>
      <c r="H64" s="60"/>
      <c r="I64" s="60"/>
      <c r="J64" s="61"/>
    </row>
    <row r="65" spans="1:21" ht="31.5">
      <c r="A65" s="16"/>
      <c r="B65" s="56" t="str">
        <f>B2</f>
        <v>Richards Bay</v>
      </c>
      <c r="C65" s="57"/>
      <c r="D65" s="58"/>
      <c r="E65" s="56" t="str">
        <f>E2</f>
        <v>Durban</v>
      </c>
      <c r="F65" s="57"/>
      <c r="G65" s="58"/>
      <c r="H65" s="56" t="str">
        <f>H2</f>
        <v xml:space="preserve">Total - SA </v>
      </c>
      <c r="I65" s="57"/>
      <c r="J65" s="58"/>
      <c r="U65" s="38" t="str">
        <f>J3</f>
        <v>Gross Tonnage of Vessels</v>
      </c>
    </row>
    <row r="66" spans="1:21" ht="30.75" thickBot="1">
      <c r="A66" s="17"/>
      <c r="B66" s="13" t="str">
        <f>B3</f>
        <v>Total Cargo Handled (metric tonnes)</v>
      </c>
      <c r="C66" s="14" t="str">
        <f t="shared" ref="C66:J66" si="5">C3</f>
        <v>Total Number of Vessels</v>
      </c>
      <c r="D66" s="15" t="str">
        <f t="shared" si="5"/>
        <v>Gross Tonnage of Vessels</v>
      </c>
      <c r="E66" s="13" t="str">
        <f t="shared" si="5"/>
        <v>Total Cargo Handled (metric tonnes)</v>
      </c>
      <c r="F66" s="14" t="str">
        <f t="shared" si="5"/>
        <v>Total Number of Vessels</v>
      </c>
      <c r="G66" s="15" t="str">
        <f t="shared" si="5"/>
        <v>Gross Tonnage of Vessels</v>
      </c>
      <c r="H66" s="13" t="str">
        <f t="shared" si="5"/>
        <v>Total Cargo Handled (metric tonnes)</v>
      </c>
      <c r="I66" s="14" t="str">
        <f t="shared" si="5"/>
        <v>Total Number of Vessels</v>
      </c>
      <c r="J66" s="15" t="str">
        <f t="shared" si="5"/>
        <v>Gross Tonnage of Vessels</v>
      </c>
    </row>
    <row r="67" spans="1:21">
      <c r="A67" s="1">
        <v>2004</v>
      </c>
      <c r="B67" s="12">
        <f t="shared" ref="B67:J67" si="6">(B5-B4)/B4*100</f>
        <v>-2.4023230429724385</v>
      </c>
      <c r="C67" s="12">
        <f t="shared" si="6"/>
        <v>0</v>
      </c>
      <c r="D67" s="12">
        <f t="shared" si="6"/>
        <v>1.0833825998735664</v>
      </c>
      <c r="E67" s="12">
        <f t="shared" si="6"/>
        <v>-3.0221618726900052</v>
      </c>
      <c r="F67" s="12">
        <f t="shared" si="6"/>
        <v>-7.9692154915590869</v>
      </c>
      <c r="G67" s="12">
        <f t="shared" si="6"/>
        <v>-5.0804183883881233</v>
      </c>
      <c r="H67" s="12">
        <f t="shared" si="6"/>
        <v>-1.6726062416574237</v>
      </c>
      <c r="I67" s="12">
        <f t="shared" si="6"/>
        <v>-6.0818713450292394</v>
      </c>
      <c r="J67" s="12">
        <f t="shared" si="6"/>
        <v>-2.831764735349632</v>
      </c>
    </row>
    <row r="68" spans="1:21">
      <c r="A68" s="3">
        <f t="shared" ref="A68:A70" si="7">A67+1</f>
        <v>2005</v>
      </c>
      <c r="B68" s="12">
        <f t="shared" ref="B68:J72" si="8">(B6-B5)/B5*100</f>
        <v>1.0914718825656009</v>
      </c>
      <c r="C68" s="12">
        <f t="shared" si="8"/>
        <v>-4.2297979797979801</v>
      </c>
      <c r="D68" s="12">
        <f t="shared" si="8"/>
        <v>2.0068523585348754</v>
      </c>
      <c r="E68" s="12">
        <f t="shared" si="8"/>
        <v>1.879310433993149</v>
      </c>
      <c r="F68" s="12">
        <f t="shared" si="8"/>
        <v>4.855678446182897</v>
      </c>
      <c r="G68" s="12">
        <f t="shared" si="8"/>
        <v>9.526554153875864</v>
      </c>
      <c r="H68" s="12">
        <f t="shared" si="8"/>
        <v>2.8444876640438612</v>
      </c>
      <c r="I68" s="12">
        <f t="shared" si="8"/>
        <v>1.0868334654137892</v>
      </c>
      <c r="J68" s="12">
        <f t="shared" si="8"/>
        <v>5.3209307133294876</v>
      </c>
    </row>
    <row r="69" spans="1:21">
      <c r="A69" s="3">
        <f t="shared" si="7"/>
        <v>2006</v>
      </c>
      <c r="B69" s="12">
        <f t="shared" si="8"/>
        <v>-0.35150202108698125</v>
      </c>
      <c r="C69" s="12">
        <f t="shared" si="8"/>
        <v>-3.0982201713909028</v>
      </c>
      <c r="D69" s="12">
        <f t="shared" si="8"/>
        <v>-2.0312466830666058</v>
      </c>
      <c r="E69" s="12">
        <f t="shared" si="8"/>
        <v>7.5597346101174159</v>
      </c>
      <c r="F69" s="12">
        <f t="shared" si="8"/>
        <v>7.0491381528170836</v>
      </c>
      <c r="G69" s="12">
        <f t="shared" si="8"/>
        <v>8.5587931144183553</v>
      </c>
      <c r="H69" s="12">
        <f t="shared" si="8"/>
        <v>3.7066427105533259</v>
      </c>
      <c r="I69" s="12">
        <f t="shared" si="8"/>
        <v>3.0350543173927651</v>
      </c>
      <c r="J69" s="12">
        <f t="shared" si="8"/>
        <v>4.2252272269125877</v>
      </c>
    </row>
    <row r="70" spans="1:21">
      <c r="A70" s="3">
        <f t="shared" si="7"/>
        <v>2007</v>
      </c>
      <c r="B70" s="12">
        <f t="shared" si="8"/>
        <v>-2.087358316573833</v>
      </c>
      <c r="C70" s="12">
        <f t="shared" si="8"/>
        <v>6.8027210884353746</v>
      </c>
      <c r="D70" s="12">
        <f t="shared" si="8"/>
        <v>1.7813913013569542</v>
      </c>
      <c r="E70" s="12">
        <f t="shared" si="8"/>
        <v>-4.5096124845167971</v>
      </c>
      <c r="F70" s="12">
        <f t="shared" si="8"/>
        <v>-0.79307858687815425</v>
      </c>
      <c r="G70" s="12">
        <f t="shared" si="8"/>
        <v>8.850729326559307</v>
      </c>
      <c r="H70" s="12">
        <f t="shared" si="8"/>
        <v>1.8582749269914014</v>
      </c>
      <c r="I70" s="12">
        <f t="shared" si="8"/>
        <v>-1.0978260869565217</v>
      </c>
      <c r="J70" s="12">
        <f t="shared" si="8"/>
        <v>5.3716290730897933</v>
      </c>
    </row>
    <row r="71" spans="1:21">
      <c r="A71" s="3">
        <v>2008</v>
      </c>
      <c r="B71" s="12">
        <f t="shared" si="8"/>
        <v>-3.2886479044808388</v>
      </c>
      <c r="C71" s="12">
        <f t="shared" si="8"/>
        <v>2.8917197452229355</v>
      </c>
      <c r="D71" s="12">
        <f t="shared" si="8"/>
        <v>-1.2664137284693187</v>
      </c>
      <c r="E71" s="12">
        <f t="shared" si="8"/>
        <v>-0.72647624520426035</v>
      </c>
      <c r="F71" s="12">
        <f t="shared" si="8"/>
        <v>2.4418604651162834</v>
      </c>
      <c r="G71" s="12">
        <f t="shared" si="8"/>
        <v>2.9024208550239115</v>
      </c>
      <c r="H71" s="12">
        <f t="shared" si="8"/>
        <v>0.89640325024984269</v>
      </c>
      <c r="I71" s="12">
        <f t="shared" si="8"/>
        <v>3.7124958786679776</v>
      </c>
      <c r="J71" s="12">
        <f t="shared" si="8"/>
        <v>4.6784709680084857</v>
      </c>
    </row>
    <row r="72" spans="1:21">
      <c r="A72" s="3">
        <v>2009</v>
      </c>
      <c r="B72" s="12">
        <f t="shared" si="8"/>
        <v>-3.2432654367839437</v>
      </c>
      <c r="C72" s="12">
        <f t="shared" si="8"/>
        <v>14.08938962486071</v>
      </c>
      <c r="D72" s="12">
        <f>(D10-D9)/D9*100</f>
        <v>8.2229277114020682</v>
      </c>
      <c r="E72" s="12">
        <f t="shared" si="8"/>
        <v>-9.7436381161382997</v>
      </c>
      <c r="F72" s="12">
        <f t="shared" si="8"/>
        <v>8.0448354143019252</v>
      </c>
      <c r="G72" s="12">
        <f t="shared" si="8"/>
        <v>12.865117111517115</v>
      </c>
      <c r="H72" s="12">
        <f t="shared" si="8"/>
        <v>2.1595885063916449</v>
      </c>
      <c r="I72" s="12">
        <f t="shared" si="8"/>
        <v>5.2687351644625382</v>
      </c>
      <c r="J72" s="12">
        <f t="shared" si="8"/>
        <v>6.4008845659904514</v>
      </c>
    </row>
    <row r="73" spans="1:21">
      <c r="A73" s="3">
        <v>2010</v>
      </c>
      <c r="B73" s="12">
        <f>(B11-B10)/B10*100</f>
        <v>7.6638281326586979</v>
      </c>
      <c r="C73" s="12">
        <f>(C11-C10)/C10*100</f>
        <v>-5.9685295713510582</v>
      </c>
      <c r="D73" s="12">
        <f>(D11-D10)/D10*100</f>
        <v>-3.716449441907025E-2</v>
      </c>
      <c r="E73" s="12">
        <f t="shared" ref="E73:J73" si="9">(E11-E10)/E10*100</f>
        <v>10.973686363322656</v>
      </c>
      <c r="F73" s="12">
        <f t="shared" si="9"/>
        <v>-5.51543007222587</v>
      </c>
      <c r="G73" s="12">
        <f t="shared" si="9"/>
        <v>3.3146185880913239</v>
      </c>
      <c r="H73" s="12">
        <f t="shared" si="9"/>
        <v>2.9914894606954192</v>
      </c>
      <c r="I73" s="12">
        <f t="shared" si="9"/>
        <v>-6.8753774914435271</v>
      </c>
      <c r="J73" s="12">
        <f t="shared" si="9"/>
        <v>-0.28197912694180582</v>
      </c>
    </row>
    <row r="74" spans="1:21">
      <c r="A74" s="3">
        <v>2011</v>
      </c>
      <c r="B74" s="12">
        <f>(B12-B11)/B11*100</f>
        <v>2.5913264266297933E-2</v>
      </c>
      <c r="C74" s="12">
        <f>(C12-C11)/C11*100</f>
        <v>0.59277133714526709</v>
      </c>
      <c r="D74" s="12">
        <f>(D12-D11)/D11*100</f>
        <v>3.292713967507118</v>
      </c>
      <c r="E74" s="12">
        <f>(E12-E11)/E11*100</f>
        <v>7.6916562117552409</v>
      </c>
      <c r="F74" s="12">
        <f>(F12-F11)/F11*100</f>
        <v>-3.1145366100195746</v>
      </c>
      <c r="G74" s="12">
        <f t="shared" ref="G74:J74" si="10">(G12-G11)/G11*100</f>
        <v>1.3414883722597728</v>
      </c>
      <c r="H74" s="12">
        <f t="shared" si="10"/>
        <v>5.1615548462406666</v>
      </c>
      <c r="I74" s="12">
        <f t="shared" si="10"/>
        <v>18.300724246027457</v>
      </c>
      <c r="J74" s="12">
        <f t="shared" si="10"/>
        <v>8.3210755188395691</v>
      </c>
    </row>
    <row r="75" spans="1:21" ht="15.75" thickBot="1">
      <c r="A75" s="3"/>
      <c r="B75" s="12"/>
      <c r="C75" s="12"/>
      <c r="D75" s="12"/>
      <c r="E75" s="12"/>
      <c r="F75" s="12"/>
      <c r="G75" s="12"/>
      <c r="H75" s="12"/>
      <c r="I75" s="12"/>
      <c r="J75" s="12"/>
    </row>
    <row r="76" spans="1:21">
      <c r="A76" s="39" t="s">
        <v>11</v>
      </c>
      <c r="B76" s="12">
        <f>AVERAGE(B67:B74)</f>
        <v>-0.32398543030092974</v>
      </c>
      <c r="C76" s="12">
        <f>AVERAGE(C67:C74)</f>
        <v>1.3850067591405433</v>
      </c>
      <c r="D76" s="12">
        <f>AVERAGE(D67:D74)</f>
        <v>1.6315553790899484</v>
      </c>
      <c r="E76" s="12">
        <f t="shared" ref="E76:J76" si="11">AVERAGE(E67:E74)</f>
        <v>1.2628123625798875</v>
      </c>
      <c r="F76" s="12">
        <f t="shared" si="11"/>
        <v>0.62490646471693789</v>
      </c>
      <c r="G76" s="12">
        <f t="shared" si="11"/>
        <v>5.2849128916696912</v>
      </c>
      <c r="H76" s="12">
        <f t="shared" si="11"/>
        <v>2.2432293904385925</v>
      </c>
      <c r="I76" s="12">
        <f t="shared" si="11"/>
        <v>2.1685960185669049</v>
      </c>
      <c r="J76" s="12">
        <f t="shared" si="11"/>
        <v>3.9005592754848672</v>
      </c>
    </row>
    <row r="77" spans="1:21">
      <c r="A77" s="40" t="s">
        <v>4</v>
      </c>
      <c r="B77" s="12">
        <f>MEDIAN(B67:B74)</f>
        <v>-1.219430168830407</v>
      </c>
      <c r="C77" s="12">
        <f>MEDIAN(C67:C74)</f>
        <v>0.29638566857263354</v>
      </c>
      <c r="D77" s="12">
        <f>MEDIAN(D67:D74)</f>
        <v>1.4323869506152604</v>
      </c>
      <c r="E77" s="12">
        <f t="shared" ref="E77:J77" si="12">MEDIAN(E67:E74)</f>
        <v>0.57641709439444444</v>
      </c>
      <c r="F77" s="12">
        <f t="shared" si="12"/>
        <v>0.82439093911906469</v>
      </c>
      <c r="G77" s="12">
        <f t="shared" si="12"/>
        <v>5.936705851254839</v>
      </c>
      <c r="H77" s="12">
        <f t="shared" si="12"/>
        <v>2.5020380852177531</v>
      </c>
      <c r="I77" s="12">
        <f t="shared" si="12"/>
        <v>2.0609438914032774</v>
      </c>
      <c r="J77" s="12">
        <f t="shared" si="12"/>
        <v>4.9997008406689867</v>
      </c>
    </row>
    <row r="78" spans="1:21">
      <c r="A78" s="40" t="s">
        <v>12</v>
      </c>
      <c r="B78" s="12">
        <f>STDEV(B67:B74)</f>
        <v>3.5990526866847095</v>
      </c>
      <c r="C78" s="12">
        <f>STDEV(C67:C74)</f>
        <v>6.560366821110776</v>
      </c>
      <c r="D78" s="12">
        <f>STDEV(D67:D74)</f>
        <v>3.1907992508023946</v>
      </c>
      <c r="E78" s="12">
        <f t="shared" ref="E78:J78" si="13">STDEV(E67:E74)</f>
        <v>7.0957081683911731</v>
      </c>
      <c r="F78" s="12">
        <f t="shared" si="13"/>
        <v>5.9170894498176878</v>
      </c>
      <c r="G78" s="12">
        <f t="shared" si="13"/>
        <v>5.7499487277850534</v>
      </c>
      <c r="H78" s="12">
        <f t="shared" si="13"/>
        <v>2.0312734127597238</v>
      </c>
      <c r="I78" s="12">
        <f t="shared" si="13"/>
        <v>7.8803026844800135</v>
      </c>
      <c r="J78" s="12">
        <f t="shared" si="13"/>
        <v>3.6547906280007854</v>
      </c>
    </row>
    <row r="79" spans="1:21">
      <c r="A79" s="40" t="s">
        <v>13</v>
      </c>
      <c r="B79" s="12">
        <f>SKEW(B67:B74)</f>
        <v>1.8269456105918864</v>
      </c>
      <c r="C79" s="12">
        <f>SKEW(C67:C74)</f>
        <v>1.0423002585312637</v>
      </c>
      <c r="D79" s="12">
        <f>SKEW(D67:D74)</f>
        <v>1.247243011443866</v>
      </c>
      <c r="E79" s="12">
        <f t="shared" ref="E79:J79" si="14">SKEW(E67:E74)</f>
        <v>-9.6430994239564749E-2</v>
      </c>
      <c r="F79" s="12">
        <f t="shared" si="14"/>
        <v>-0.15266247869453417</v>
      </c>
      <c r="G79" s="12">
        <f>SKEW(G67:G74)</f>
        <v>-0.60503031443738642</v>
      </c>
      <c r="H79" s="12">
        <f t="shared" si="14"/>
        <v>-0.77090206697467656</v>
      </c>
      <c r="I79" s="12">
        <f t="shared" si="14"/>
        <v>1.1268256595016921</v>
      </c>
      <c r="J79" s="12">
        <f t="shared" si="14"/>
        <v>-1.0524376621657885</v>
      </c>
    </row>
    <row r="80" spans="1:21">
      <c r="A80" s="40" t="s">
        <v>14</v>
      </c>
      <c r="B80" s="12">
        <f>MAX(B67:B74)-MIN(B67:B74)</f>
        <v>10.952476037139537</v>
      </c>
      <c r="C80" s="12">
        <f>MAX(C67:C74)-MIN(C67:C74)</f>
        <v>20.057919196211767</v>
      </c>
      <c r="D80" s="12">
        <f t="shared" ref="D80:J80" si="15">MAX(D67:D74)-MIN(D67:D74)</f>
        <v>10.254174394468674</v>
      </c>
      <c r="E80" s="12">
        <f t="shared" si="15"/>
        <v>20.717324479460956</v>
      </c>
      <c r="F80" s="12">
        <f t="shared" si="15"/>
        <v>16.014050905861012</v>
      </c>
      <c r="G80" s="12">
        <f t="shared" si="15"/>
        <v>17.94553549990524</v>
      </c>
      <c r="H80" s="12">
        <f t="shared" si="15"/>
        <v>6.8341610878980905</v>
      </c>
      <c r="I80" s="12">
        <f t="shared" si="15"/>
        <v>25.176101737470983</v>
      </c>
      <c r="J80" s="12">
        <f t="shared" si="15"/>
        <v>11.152840254189201</v>
      </c>
    </row>
    <row r="81" spans="1:11" ht="15.75" thickBot="1">
      <c r="A81" s="41" t="s">
        <v>15</v>
      </c>
      <c r="B81" s="12">
        <f>B74-B67</f>
        <v>2.4282363072387363</v>
      </c>
      <c r="C81" s="12">
        <f t="shared" ref="C81:J81" si="16">C74-C67</f>
        <v>0.59277133714526709</v>
      </c>
      <c r="D81" s="12">
        <f t="shared" si="16"/>
        <v>2.2093313676335518</v>
      </c>
      <c r="E81" s="12">
        <f t="shared" si="16"/>
        <v>10.713818084445247</v>
      </c>
      <c r="F81" s="12">
        <f t="shared" si="16"/>
        <v>4.8546788815395123</v>
      </c>
      <c r="G81" s="12">
        <f t="shared" si="16"/>
        <v>6.4219067606478966</v>
      </c>
      <c r="H81" s="12">
        <f t="shared" si="16"/>
        <v>6.8341610878980905</v>
      </c>
      <c r="I81" s="12">
        <f t="shared" si="16"/>
        <v>24.382595591056695</v>
      </c>
      <c r="J81" s="12">
        <f t="shared" si="16"/>
        <v>11.152840254189201</v>
      </c>
    </row>
    <row r="82" spans="1:11" ht="15.75" thickBot="1">
      <c r="K82" s="18"/>
    </row>
    <row r="83" spans="1:11" ht="25.5" customHeight="1" thickBot="1">
      <c r="A83" s="47" t="s">
        <v>6</v>
      </c>
      <c r="B83" s="48"/>
      <c r="C83" s="48"/>
      <c r="D83" s="48"/>
      <c r="E83" s="48"/>
      <c r="F83" s="48"/>
      <c r="G83" s="48"/>
      <c r="H83" s="48"/>
      <c r="I83" s="48"/>
      <c r="J83" s="49"/>
    </row>
    <row r="84" spans="1:11" ht="21">
      <c r="A84" s="16"/>
      <c r="B84" s="44" t="str">
        <f>B65</f>
        <v>Richards Bay</v>
      </c>
      <c r="C84" s="45"/>
      <c r="D84" s="46"/>
      <c r="E84" s="44" t="s">
        <v>0</v>
      </c>
      <c r="F84" s="45"/>
      <c r="G84" s="46"/>
      <c r="H84" s="44" t="s">
        <v>7</v>
      </c>
      <c r="I84" s="45"/>
      <c r="J84" s="46"/>
    </row>
    <row r="85" spans="1:11" ht="30.75" thickBot="1">
      <c r="A85" s="17"/>
      <c r="B85" s="13" t="str">
        <f>B66</f>
        <v>Total Cargo Handled (metric tonnes)</v>
      </c>
      <c r="C85" s="14" t="str">
        <f t="shared" ref="C85:J85" si="17">C66</f>
        <v>Total Number of Vessels</v>
      </c>
      <c r="D85" s="15" t="str">
        <f t="shared" si="17"/>
        <v>Gross Tonnage of Vessels</v>
      </c>
      <c r="E85" s="13" t="str">
        <f t="shared" si="17"/>
        <v>Total Cargo Handled (metric tonnes)</v>
      </c>
      <c r="F85" s="14" t="str">
        <f t="shared" si="17"/>
        <v>Total Number of Vessels</v>
      </c>
      <c r="G85" s="15" t="str">
        <f t="shared" si="17"/>
        <v>Gross Tonnage of Vessels</v>
      </c>
      <c r="H85" s="13" t="str">
        <f t="shared" si="17"/>
        <v>Total Cargo Handled (metric tonnes)</v>
      </c>
      <c r="I85" s="14" t="str">
        <f t="shared" si="17"/>
        <v>Total Number of Vessels</v>
      </c>
      <c r="J85" s="15" t="str">
        <f t="shared" si="17"/>
        <v>Gross Tonnage of Vessels</v>
      </c>
    </row>
    <row r="86" spans="1:11">
      <c r="A86" s="3">
        <v>2003</v>
      </c>
      <c r="B86" s="12">
        <f>B4/H4*100</f>
        <v>51.157799051172873</v>
      </c>
      <c r="C86" s="12">
        <f>C4/I4*100</f>
        <v>16.842105263157894</v>
      </c>
      <c r="D86" s="12">
        <f>D4/J4*100</f>
        <v>23.433893366244334</v>
      </c>
      <c r="E86" s="12">
        <f>E4/H4*100</f>
        <v>24.049270128985153</v>
      </c>
      <c r="F86" s="12">
        <f>F4/I4*100</f>
        <v>42.828282828282823</v>
      </c>
      <c r="G86" s="12">
        <f>G4/J4*100</f>
        <v>35.106560572542946</v>
      </c>
      <c r="H86" s="12">
        <f>B86+E86</f>
        <v>75.20706918015803</v>
      </c>
      <c r="I86" s="12">
        <f t="shared" ref="I86:J86" si="18">C86+F86</f>
        <v>59.670388091440714</v>
      </c>
      <c r="J86" s="12">
        <f t="shared" si="18"/>
        <v>58.54045393878728</v>
      </c>
    </row>
    <row r="87" spans="1:11">
      <c r="A87" s="3">
        <f>A86+1</f>
        <v>2004</v>
      </c>
      <c r="B87" s="12">
        <f t="shared" ref="B87:B92" si="19">B5/H5*100</f>
        <v>50.778141825866093</v>
      </c>
      <c r="C87" s="12">
        <f t="shared" ref="C87:C92" si="20">C5/I5*100</f>
        <v>17.932752179327522</v>
      </c>
      <c r="D87" s="12">
        <f t="shared" ref="D87:D92" si="21">D5/J5*100</f>
        <v>24.378102602080208</v>
      </c>
      <c r="E87" s="12">
        <f t="shared" ref="E87:E93" si="22">E5/H5*100</f>
        <v>23.719190924358195</v>
      </c>
      <c r="F87" s="12">
        <f t="shared" ref="F87:F93" si="23">F5/I5*100</f>
        <v>41.967621419676213</v>
      </c>
      <c r="G87" s="12">
        <f t="shared" ref="G87:G93" si="24">G5/J5*100</f>
        <v>34.294129478553685</v>
      </c>
      <c r="H87" s="12">
        <f t="shared" ref="H87:H93" si="25">B87+E87</f>
        <v>74.497332750224288</v>
      </c>
      <c r="I87" s="12">
        <f t="shared" ref="I87:I94" si="26">C87+F87</f>
        <v>59.900373599003736</v>
      </c>
      <c r="J87" s="12">
        <f t="shared" ref="J87:J93" si="27">D87+G87</f>
        <v>58.67223208063389</v>
      </c>
    </row>
    <row r="88" spans="1:11">
      <c r="A88" s="3">
        <f t="shared" ref="A88:A90" si="28">A87+1</f>
        <v>2005</v>
      </c>
      <c r="B88" s="12">
        <f t="shared" si="19"/>
        <v>49.91261285103505</v>
      </c>
      <c r="C88" s="12">
        <f t="shared" si="20"/>
        <v>16.989584499944002</v>
      </c>
      <c r="D88" s="12">
        <f t="shared" si="21"/>
        <v>23.61100966416819</v>
      </c>
      <c r="E88" s="12">
        <f t="shared" si="22"/>
        <v>23.496590535018903</v>
      </c>
      <c r="F88" s="12">
        <f t="shared" si="23"/>
        <v>43.532310449098446</v>
      </c>
      <c r="G88" s="12">
        <f t="shared" si="24"/>
        <v>35.663545736379106</v>
      </c>
      <c r="H88" s="12">
        <f>B88+E88</f>
        <v>73.409203386053946</v>
      </c>
      <c r="I88" s="12">
        <f t="shared" si="26"/>
        <v>60.521894949042448</v>
      </c>
      <c r="J88" s="12">
        <f t="shared" si="27"/>
        <v>59.2745554005473</v>
      </c>
    </row>
    <row r="89" spans="1:11">
      <c r="A89" s="3">
        <f t="shared" si="28"/>
        <v>2006</v>
      </c>
      <c r="B89" s="12">
        <f t="shared" si="19"/>
        <v>47.959482351485882</v>
      </c>
      <c r="C89" s="12">
        <f t="shared" si="20"/>
        <v>15.978260869565217</v>
      </c>
      <c r="D89" s="12">
        <f t="shared" si="21"/>
        <v>22.193678468233021</v>
      </c>
      <c r="E89" s="12">
        <f t="shared" si="22"/>
        <v>24.369577262692065</v>
      </c>
      <c r="F89" s="12">
        <f t="shared" si="23"/>
        <v>45.228260869565219</v>
      </c>
      <c r="G89" s="12">
        <f t="shared" si="24"/>
        <v>37.146395228222353</v>
      </c>
      <c r="H89" s="12">
        <f t="shared" si="25"/>
        <v>72.32905961417795</v>
      </c>
      <c r="I89" s="12">
        <f t="shared" si="26"/>
        <v>61.206521739130437</v>
      </c>
      <c r="J89" s="12">
        <f t="shared" si="27"/>
        <v>59.340073696455377</v>
      </c>
    </row>
    <row r="90" spans="1:11">
      <c r="A90" s="3">
        <f t="shared" si="28"/>
        <v>2007</v>
      </c>
      <c r="B90" s="12">
        <f t="shared" si="19"/>
        <v>46.101699780105825</v>
      </c>
      <c r="C90" s="12">
        <f t="shared" si="20"/>
        <v>17.254643367403013</v>
      </c>
      <c r="D90" s="12">
        <f t="shared" si="21"/>
        <v>21.437492164279469</v>
      </c>
      <c r="E90" s="12">
        <f t="shared" si="22"/>
        <v>22.846061138095383</v>
      </c>
      <c r="F90" s="12">
        <f t="shared" si="23"/>
        <v>45.367622815694034</v>
      </c>
      <c r="G90" s="12">
        <f t="shared" si="24"/>
        <v>38.372873685382238</v>
      </c>
      <c r="H90" s="12">
        <f t="shared" si="25"/>
        <v>68.947760918201212</v>
      </c>
      <c r="I90" s="12">
        <f t="shared" si="26"/>
        <v>62.622266183097047</v>
      </c>
      <c r="J90" s="12">
        <f t="shared" si="27"/>
        <v>59.810365849661707</v>
      </c>
    </row>
    <row r="91" spans="1:11">
      <c r="A91" s="3">
        <v>2008</v>
      </c>
      <c r="B91" s="12">
        <f t="shared" si="19"/>
        <v>44.189461427850176</v>
      </c>
      <c r="C91" s="12">
        <f t="shared" si="20"/>
        <v>17.118090878263821</v>
      </c>
      <c r="D91" s="12">
        <f t="shared" si="21"/>
        <v>20.220017186666961</v>
      </c>
      <c r="E91" s="12">
        <f t="shared" si="22"/>
        <v>22.478591109645048</v>
      </c>
      <c r="F91" s="12">
        <f t="shared" si="23"/>
        <v>44.811800610376409</v>
      </c>
      <c r="G91" s="12">
        <f t="shared" si="24"/>
        <v>37.721811953067728</v>
      </c>
      <c r="H91" s="12">
        <f t="shared" si="25"/>
        <v>66.668052537495228</v>
      </c>
      <c r="I91" s="12">
        <f t="shared" si="26"/>
        <v>61.92989148864023</v>
      </c>
      <c r="J91" s="12">
        <f t="shared" si="27"/>
        <v>57.941829139734693</v>
      </c>
    </row>
    <row r="92" spans="1:11">
      <c r="A92" s="3">
        <v>2009</v>
      </c>
      <c r="B92" s="12">
        <f t="shared" si="19"/>
        <v>41.852439427146557</v>
      </c>
      <c r="C92" s="12">
        <f t="shared" si="20"/>
        <v>18.552446144554057</v>
      </c>
      <c r="D92" s="12">
        <f t="shared" si="21"/>
        <v>20.566271297855504</v>
      </c>
      <c r="E92" s="12">
        <f t="shared" si="22"/>
        <v>19.859475586127143</v>
      </c>
      <c r="F92" s="12">
        <f t="shared" si="23"/>
        <v>45.993557479363801</v>
      </c>
      <c r="G92" s="12">
        <f t="shared" si="24"/>
        <v>40.013546326309942</v>
      </c>
      <c r="H92" s="12">
        <f t="shared" si="25"/>
        <v>61.711915013273696</v>
      </c>
      <c r="I92" s="12">
        <f t="shared" si="26"/>
        <v>64.546003623917855</v>
      </c>
      <c r="J92" s="12">
        <f t="shared" si="27"/>
        <v>60.579817624165443</v>
      </c>
    </row>
    <row r="93" spans="1:11">
      <c r="A93" s="3">
        <v>2010</v>
      </c>
      <c r="B93" s="12">
        <f t="shared" ref="B93:D94" si="29">B11/H11*100</f>
        <v>43.751128069047255</v>
      </c>
      <c r="C93" s="12">
        <f t="shared" si="29"/>
        <v>18.733109934061183</v>
      </c>
      <c r="D93" s="12">
        <f t="shared" si="29"/>
        <v>20.616762915178686</v>
      </c>
      <c r="E93" s="12">
        <f t="shared" si="22"/>
        <v>21.398653680758759</v>
      </c>
      <c r="F93" s="12">
        <f t="shared" si="23"/>
        <v>46.665225381039889</v>
      </c>
      <c r="G93" s="12">
        <f t="shared" si="24"/>
        <v>41.456742130113355</v>
      </c>
      <c r="H93" s="12">
        <f t="shared" si="25"/>
        <v>65.14978174980601</v>
      </c>
      <c r="I93" s="12">
        <f t="shared" si="26"/>
        <v>65.398335315101065</v>
      </c>
      <c r="J93" s="12">
        <f t="shared" si="27"/>
        <v>62.073505045292038</v>
      </c>
    </row>
    <row r="94" spans="1:11">
      <c r="A94" s="3">
        <v>2011</v>
      </c>
      <c r="B94" s="12">
        <f>B12/H12*100</f>
        <v>41.614509673682043</v>
      </c>
      <c r="C94" s="12">
        <f t="shared" si="29"/>
        <v>15.929027113237643</v>
      </c>
      <c r="D94" s="12">
        <f t="shared" si="29"/>
        <v>19.659714275668168</v>
      </c>
      <c r="E94" s="12">
        <f>E12/H12*100</f>
        <v>21.913487861149317</v>
      </c>
      <c r="F94" s="12">
        <f>F12/I12*100</f>
        <v>38.217703349282303</v>
      </c>
      <c r="G94" s="12">
        <f>G12/J12*100</f>
        <v>38.785508087019984</v>
      </c>
      <c r="H94" s="12">
        <f>B94+E94</f>
        <v>63.527997534831357</v>
      </c>
      <c r="I94" s="12">
        <f t="shared" si="26"/>
        <v>54.146730462519947</v>
      </c>
      <c r="J94" s="12">
        <f>D94+G94</f>
        <v>58.445222362688156</v>
      </c>
    </row>
    <row r="95" spans="1:11" ht="15.75" thickBot="1"/>
    <row r="96" spans="1:11">
      <c r="A96" s="39" t="s">
        <v>11</v>
      </c>
      <c r="B96" s="12">
        <f>AVERAGE(B86:B94)</f>
        <v>46.368586050821314</v>
      </c>
      <c r="C96" s="12">
        <f t="shared" ref="C96:J96" si="30">AVERAGE(C86:C94)</f>
        <v>17.258891138834926</v>
      </c>
      <c r="D96" s="12">
        <f t="shared" si="30"/>
        <v>21.790771326708281</v>
      </c>
      <c r="E96" s="12">
        <f t="shared" si="30"/>
        <v>22.681210914092215</v>
      </c>
      <c r="F96" s="12">
        <f t="shared" si="30"/>
        <v>43.845820578042122</v>
      </c>
      <c r="G96" s="12">
        <f t="shared" si="30"/>
        <v>37.61790146639904</v>
      </c>
      <c r="H96" s="12">
        <f t="shared" si="30"/>
        <v>69.049796964913526</v>
      </c>
      <c r="I96" s="12">
        <f t="shared" si="30"/>
        <v>61.104711716877055</v>
      </c>
      <c r="J96" s="12">
        <f t="shared" si="30"/>
        <v>59.408672793107321</v>
      </c>
    </row>
    <row r="97" spans="1:10">
      <c r="A97" s="40" t="s">
        <v>4</v>
      </c>
      <c r="B97" s="12">
        <f>MEDIAN(B86:B94)</f>
        <v>46.101699780105825</v>
      </c>
      <c r="C97" s="12">
        <f t="shared" ref="C97:J97" si="31">MEDIAN(C86:C94)</f>
        <v>17.118090878263821</v>
      </c>
      <c r="D97" s="12">
        <f t="shared" si="31"/>
        <v>21.437492164279469</v>
      </c>
      <c r="E97" s="12">
        <f t="shared" si="31"/>
        <v>22.846061138095383</v>
      </c>
      <c r="F97" s="12">
        <f t="shared" si="31"/>
        <v>44.811800610376409</v>
      </c>
      <c r="G97" s="12">
        <f t="shared" si="31"/>
        <v>37.721811953067728</v>
      </c>
      <c r="H97" s="12">
        <f t="shared" si="31"/>
        <v>68.947760918201212</v>
      </c>
      <c r="I97" s="12">
        <f t="shared" si="31"/>
        <v>61.206521739130437</v>
      </c>
      <c r="J97" s="12">
        <f t="shared" si="31"/>
        <v>59.2745554005473</v>
      </c>
    </row>
    <row r="98" spans="1:10">
      <c r="A98" s="40" t="s">
        <v>12</v>
      </c>
      <c r="B98" s="12">
        <f>STDEV(B86:B94)</f>
        <v>3.7439875385835566</v>
      </c>
      <c r="C98" s="12">
        <f t="shared" ref="C98:J98" si="32">STDEV(C86:C94)</f>
        <v>0.99845667237707625</v>
      </c>
      <c r="D98" s="12">
        <f t="shared" si="32"/>
        <v>1.6911870792445971</v>
      </c>
      <c r="E98" s="12">
        <f t="shared" si="32"/>
        <v>1.4460802949639375</v>
      </c>
      <c r="F98" s="12">
        <f t="shared" si="32"/>
        <v>2.5994943057682383</v>
      </c>
      <c r="G98" s="12">
        <f t="shared" si="32"/>
        <v>2.3402995364332466</v>
      </c>
      <c r="H98" s="12">
        <f t="shared" si="32"/>
        <v>5.0320678175712539</v>
      </c>
      <c r="I98" s="12">
        <f t="shared" si="32"/>
        <v>3.2698020806405981</v>
      </c>
      <c r="J98" s="12">
        <f t="shared" si="32"/>
        <v>1.2763707194438785</v>
      </c>
    </row>
    <row r="99" spans="1:10">
      <c r="A99" s="40" t="s">
        <v>13</v>
      </c>
      <c r="B99" s="12">
        <f>SKEW(B86:B94)</f>
        <v>4.9828704249592029E-2</v>
      </c>
      <c r="C99" s="12">
        <f t="shared" ref="C99:J99" si="33">SKEW(C86:C94)</f>
        <v>0.18205321177422598</v>
      </c>
      <c r="D99" s="12">
        <f t="shared" si="33"/>
        <v>0.35888028409722383</v>
      </c>
      <c r="E99" s="12">
        <f t="shared" si="33"/>
        <v>-0.85032705006123466</v>
      </c>
      <c r="F99" s="12">
        <f t="shared" si="33"/>
        <v>-1.3412709450612097</v>
      </c>
      <c r="G99" s="12">
        <f t="shared" si="33"/>
        <v>0.15317612322517057</v>
      </c>
      <c r="H99" s="12">
        <f t="shared" si="33"/>
        <v>-0.15525484674244436</v>
      </c>
      <c r="I99" s="12">
        <f t="shared" si="33"/>
        <v>-1.001219872210497</v>
      </c>
      <c r="J99" s="12">
        <f t="shared" si="33"/>
        <v>1.1970669592401986</v>
      </c>
    </row>
    <row r="100" spans="1:10">
      <c r="A100" s="40" t="s">
        <v>14</v>
      </c>
      <c r="B100" s="12">
        <f>MAX(B86:B94)-MIN(B86:B94)</f>
        <v>9.5432893774908294</v>
      </c>
      <c r="C100" s="12">
        <f t="shared" ref="C100:J100" si="34">MAX(C86:C94)-MIN(C86:C94)</f>
        <v>2.80408282082354</v>
      </c>
      <c r="D100" s="12">
        <f t="shared" si="34"/>
        <v>4.7183883264120396</v>
      </c>
      <c r="E100" s="12">
        <f t="shared" si="34"/>
        <v>4.510101676564922</v>
      </c>
      <c r="F100" s="12">
        <f t="shared" si="34"/>
        <v>8.4475220317575861</v>
      </c>
      <c r="G100" s="12">
        <f t="shared" si="34"/>
        <v>7.1626126515596695</v>
      </c>
      <c r="H100" s="12">
        <f t="shared" si="34"/>
        <v>13.495154166884333</v>
      </c>
      <c r="I100" s="12">
        <f t="shared" si="34"/>
        <v>11.251604852581117</v>
      </c>
      <c r="J100" s="12">
        <f t="shared" si="34"/>
        <v>4.1316759055573442</v>
      </c>
    </row>
    <row r="101" spans="1:10" ht="15.75" thickBot="1">
      <c r="A101" s="41" t="s">
        <v>15</v>
      </c>
      <c r="B101" s="12">
        <f>B94-B86</f>
        <v>-9.5432893774908294</v>
      </c>
      <c r="C101" s="12">
        <f t="shared" ref="C101:J101" si="35">C94-C86</f>
        <v>-0.91307814992025094</v>
      </c>
      <c r="D101" s="12">
        <f t="shared" si="35"/>
        <v>-3.7741790905761654</v>
      </c>
      <c r="E101" s="12">
        <f t="shared" si="35"/>
        <v>-2.135782267835836</v>
      </c>
      <c r="F101" s="12">
        <f t="shared" si="35"/>
        <v>-4.6105794790005206</v>
      </c>
      <c r="G101" s="12">
        <f t="shared" si="35"/>
        <v>3.6789475144770378</v>
      </c>
      <c r="H101" s="12">
        <f t="shared" si="35"/>
        <v>-11.679071645326673</v>
      </c>
      <c r="I101" s="12">
        <f t="shared" si="35"/>
        <v>-5.5236576289207662</v>
      </c>
      <c r="J101" s="12">
        <f t="shared" si="35"/>
        <v>-9.5231576099124027E-2</v>
      </c>
    </row>
  </sheetData>
  <mergeCells count="12">
    <mergeCell ref="H84:J84"/>
    <mergeCell ref="A83:J83"/>
    <mergeCell ref="A1:J1"/>
    <mergeCell ref="B84:D84"/>
    <mergeCell ref="E84:G84"/>
    <mergeCell ref="B2:D2"/>
    <mergeCell ref="E2:G2"/>
    <mergeCell ref="H2:J2"/>
    <mergeCell ref="B65:D65"/>
    <mergeCell ref="E65:G65"/>
    <mergeCell ref="H65:J65"/>
    <mergeCell ref="A64:J64"/>
  </mergeCells>
  <conditionalFormatting sqref="B40:G62"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 Stats</vt:lpstr>
    </vt:vector>
  </TitlesOfParts>
  <Company>BRR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ANubieZ</dc:creator>
  <cp:lastModifiedBy>user</cp:lastModifiedBy>
  <dcterms:created xsi:type="dcterms:W3CDTF">2011-01-07T09:43:39Z</dcterms:created>
  <dcterms:modified xsi:type="dcterms:W3CDTF">2011-12-06T18:59:37Z</dcterms:modified>
</cp:coreProperties>
</file>