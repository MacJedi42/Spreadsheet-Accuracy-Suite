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5555" yWindow="45" windowWidth="11340" windowHeight="12705" tabRatio="988"/>
  </bookViews>
  <sheets>
    <sheet name="BA 1" sheetId="1" r:id="rId1"/>
    <sheet name="BA 2" sheetId="3" r:id="rId2"/>
    <sheet name="BA 3" sheetId="4" r:id="rId3"/>
    <sheet name="BA 4" sheetId="7" r:id="rId4"/>
    <sheet name="BA 5" sheetId="6" r:id="rId5"/>
    <sheet name="BA 6" sheetId="8" r:id="rId6"/>
    <sheet name="BA 7" sheetId="5" r:id="rId7"/>
    <sheet name="BA 8" sheetId="10" r:id="rId8"/>
    <sheet name="BA 9" sheetId="11" r:id="rId9"/>
    <sheet name="BA 10" sheetId="12" r:id="rId10"/>
    <sheet name="BA 11" sheetId="13" r:id="rId11"/>
  </sheets>
  <definedNames>
    <definedName name="_xlnm.Print_Titles" localSheetId="0">'BA 1'!$11:$12</definedName>
    <definedName name="_xlnm.Print_Titles" localSheetId="1">'BA 2'!$13:$14</definedName>
    <definedName name="_xlnm.Print_Titles" localSheetId="2">'BA 3'!$13:$14</definedName>
    <definedName name="_xlnm.Print_Titles" localSheetId="3">'BA 4'!$13:$14</definedName>
    <definedName name="_xlnm.Print_Titles" localSheetId="5">'BA 6'!$17:$18</definedName>
    <definedName name="_xlnm.Print_Titles" localSheetId="6">'BA 7'!$13:$14</definedName>
    <definedName name="_xlnm.Print_Titles" localSheetId="7">'BA 8'!$12:$13</definedName>
    <definedName name="_xlnm.Print_Titles" localSheetId="8">'BA 9'!$11:$12</definedName>
  </definedNames>
  <calcPr calcId="125725" fullCalcOnLoad="1"/>
</workbook>
</file>

<file path=xl/calcChain.xml><?xml version="1.0" encoding="utf-8"?>
<calcChain xmlns="http://schemas.openxmlformats.org/spreadsheetml/2006/main">
  <c r="E55" i="12"/>
  <c r="E54"/>
  <c r="E53"/>
  <c r="E335" i="11"/>
  <c r="E323"/>
  <c r="E319"/>
  <c r="E307"/>
  <c r="E303"/>
  <c r="E290"/>
  <c r="E286"/>
  <c r="E274"/>
  <c r="E270"/>
  <c r="E258"/>
  <c r="E240"/>
  <c r="E239"/>
  <c r="E238"/>
  <c r="E237"/>
  <c r="E220"/>
  <c r="E215"/>
  <c r="E202"/>
  <c r="E201"/>
  <c r="E174"/>
  <c r="E173"/>
  <c r="E172"/>
  <c r="E171"/>
  <c r="E170"/>
  <c r="E149"/>
  <c r="E148"/>
  <c r="E118"/>
  <c r="E116"/>
  <c r="E115"/>
  <c r="E114"/>
  <c r="E91"/>
  <c r="E90"/>
  <c r="E73"/>
  <c r="E72"/>
  <c r="E52"/>
  <c r="E51"/>
  <c r="E23"/>
  <c r="O309" i="1"/>
  <c r="N309"/>
  <c r="M309"/>
  <c r="L309"/>
  <c r="P309"/>
</calcChain>
</file>

<file path=xl/sharedStrings.xml><?xml version="1.0" encoding="utf-8"?>
<sst xmlns="http://schemas.openxmlformats.org/spreadsheetml/2006/main" count="3701" uniqueCount="2131">
  <si>
    <t>gab</t>
  </si>
  <si>
    <t>m</t>
  </si>
  <si>
    <t>obj.</t>
  </si>
  <si>
    <t>(darba veids vai konstruktīvā elementa nosaukums)</t>
  </si>
  <si>
    <t>Vispārējie būvdarbi</t>
  </si>
  <si>
    <t>(paraksts un tā atšifrējums,datums)</t>
  </si>
  <si>
    <t>Biotualetes piegāde, īre</t>
  </si>
  <si>
    <t>Strādnieku moduļa piegāde, īre</t>
  </si>
  <si>
    <t>Instrumentu moduļa piegāde, īre</t>
  </si>
  <si>
    <t>Pagaidu elektropieslēgums</t>
  </si>
  <si>
    <t xml:space="preserve">Pasūtijuma Nr. </t>
  </si>
  <si>
    <t>Nr.p.k.</t>
  </si>
  <si>
    <t>Darba nosaukums</t>
  </si>
  <si>
    <t>Mērvienība</t>
  </si>
  <si>
    <t>Daudzums</t>
  </si>
  <si>
    <t>Smilts, šķembu, melnzemes un liekās grunts apjomi doti blīvā veidā, neņemot vērā irdinājuma koeficientu.</t>
  </si>
  <si>
    <t>Piezīmes:</t>
  </si>
  <si>
    <t>Būvdarbu tiešajās izmaksās ietver : būvmateriālu, būvkonstrukciju, palīgmateriālu, darba, mehānismu un transporta izmaksas.</t>
  </si>
  <si>
    <t>Kopā</t>
  </si>
  <si>
    <t>Vienības izmaksas (Ls)</t>
  </si>
  <si>
    <t>Summa (Ls)</t>
  </si>
  <si>
    <t>Sastādija _____________________________________________________</t>
  </si>
  <si>
    <t>Pārbaudīja _______________________________________________________</t>
  </si>
  <si>
    <t>BŪVLAUKUMA SAGATAVOŠANAS DARBI</t>
  </si>
  <si>
    <t>Objekta lielformāta informatīvā stenda izgatavošana un uzstādīšana (~2x1,7m) (divpusēji laminēts saplāksnis b=9mm, kokmateriāli, stiprinājumi)</t>
  </si>
  <si>
    <t>Mobilā žoga uzstādīšana (mobīlais žogs)</t>
  </si>
  <si>
    <t>Pagaidu ūdensapgāde ar pieslēgumu pie esošajiem tīkliem</t>
  </si>
  <si>
    <t>m3</t>
  </si>
  <si>
    <t>m2</t>
  </si>
  <si>
    <t>t</t>
  </si>
  <si>
    <t>Būvbedres izrakums mehanizēti</t>
  </si>
  <si>
    <t>kg</t>
  </si>
  <si>
    <t>kompl</t>
  </si>
  <si>
    <t xml:space="preserve">Būvdarbu apjomu saraksts Nr.1 </t>
  </si>
  <si>
    <t>Kods</t>
  </si>
  <si>
    <t>Sertifikāta Nr._______________________</t>
  </si>
  <si>
    <t>Kopā:</t>
  </si>
  <si>
    <t>ZEMES DARBI</t>
  </si>
  <si>
    <t>Būvbedres izrakums izmantojot roku darbu</t>
  </si>
  <si>
    <t>Liekās grunts iekraušana pašizgāzējā transportēšana uz atbērtni</t>
  </si>
  <si>
    <t>Šķembu pabērums blietējot h=0,10 m zem stabveida pamatiem (šķembas ar piegādi fr-10-45mm)</t>
  </si>
  <si>
    <t>Veidņu montāža demontāža stabveida pamatiem no saliekamajiem inventārveidņiem (saliekamie inventārveidņi; palīgmateriāli)</t>
  </si>
  <si>
    <t>kompl.</t>
  </si>
  <si>
    <t>LOGI</t>
  </si>
  <si>
    <t>CITI DARBI</t>
  </si>
  <si>
    <t>Būvgružu savākšana (nešķirotie būvgruži)</t>
  </si>
  <si>
    <t>Kopā vispārējie būvdarbi :</t>
  </si>
  <si>
    <t>1-1</t>
  </si>
  <si>
    <t>1-2</t>
  </si>
  <si>
    <t>1-3</t>
  </si>
  <si>
    <t>1-4</t>
  </si>
  <si>
    <t>1-5</t>
  </si>
  <si>
    <t>1-6</t>
  </si>
  <si>
    <t>1-7</t>
  </si>
  <si>
    <t>2-1</t>
  </si>
  <si>
    <t>3-1</t>
  </si>
  <si>
    <t>4-1</t>
  </si>
  <si>
    <t>5-1</t>
  </si>
  <si>
    <t>6-1</t>
  </si>
  <si>
    <t>7-1</t>
  </si>
  <si>
    <t>8-1</t>
  </si>
  <si>
    <t>9-1</t>
  </si>
  <si>
    <t>10-1</t>
  </si>
  <si>
    <t>10-2</t>
  </si>
  <si>
    <t>10-3</t>
  </si>
  <si>
    <t>10-4</t>
  </si>
  <si>
    <t>10-5</t>
  </si>
  <si>
    <t>11-1</t>
  </si>
  <si>
    <t>Būvdarbu apjomu saraksts Nr.2</t>
  </si>
  <si>
    <t>PAMATI</t>
  </si>
  <si>
    <t>Šķembu pabērums blietējot h=0,10 m zem lentveida pamatiem (šķembas ar piegādi fr-10-45mm)</t>
  </si>
  <si>
    <t>2-1-1</t>
  </si>
  <si>
    <t>2-1-2</t>
  </si>
  <si>
    <t>2-1-3</t>
  </si>
  <si>
    <t>2-1-4</t>
  </si>
  <si>
    <t>2-1-5</t>
  </si>
  <si>
    <t>2-1-6</t>
  </si>
  <si>
    <t>Būvdarbu apjomu saraksts Nr.3</t>
  </si>
  <si>
    <t>3-1-1</t>
  </si>
  <si>
    <t>3-1-2</t>
  </si>
  <si>
    <t>3-1-3</t>
  </si>
  <si>
    <t>3-1-4</t>
  </si>
  <si>
    <t>3-1-5</t>
  </si>
  <si>
    <t>3-1-6</t>
  </si>
  <si>
    <t>Būvdarbu apjomu saraksts Nr.4</t>
  </si>
  <si>
    <t>Vispārējie būvdarbi - ceļi un laukumi</t>
  </si>
  <si>
    <t>4-1-1</t>
  </si>
  <si>
    <t>4-1-2</t>
  </si>
  <si>
    <t>4-1-3</t>
  </si>
  <si>
    <t>4-1-4</t>
  </si>
  <si>
    <t>4-1-5</t>
  </si>
  <si>
    <t>4-1-6</t>
  </si>
  <si>
    <t>4-1-7</t>
  </si>
  <si>
    <t>Būvdarbu apjomu saraksts Nr.5</t>
  </si>
  <si>
    <t>5-1-1</t>
  </si>
  <si>
    <t>5-1-2</t>
  </si>
  <si>
    <t>5-1-3</t>
  </si>
  <si>
    <t>5-1-4</t>
  </si>
  <si>
    <t>5-1-5</t>
  </si>
  <si>
    <t>5-1-6</t>
  </si>
  <si>
    <t>5-1-7</t>
  </si>
  <si>
    <t>5-1-8</t>
  </si>
  <si>
    <t>5-1-9</t>
  </si>
  <si>
    <t>5-1-10</t>
  </si>
  <si>
    <t>5-1-11</t>
  </si>
  <si>
    <t>5-1-12</t>
  </si>
  <si>
    <t>5-1-13</t>
  </si>
  <si>
    <t>5-1-14</t>
  </si>
  <si>
    <t>5-1-15</t>
  </si>
  <si>
    <t>5-1-16</t>
  </si>
  <si>
    <t>5-1-17</t>
  </si>
  <si>
    <t>Būvdarbu apjomu saraksts Nr.6</t>
  </si>
  <si>
    <t>Specializētie darbi - ārējie tīkli, sistēmas</t>
  </si>
  <si>
    <t>Specializētie darbi - iekšējie tīkli, sistēmas</t>
  </si>
  <si>
    <t>6-1-1</t>
  </si>
  <si>
    <t>6-1-2</t>
  </si>
  <si>
    <t>6-1-3</t>
  </si>
  <si>
    <t>6-1-4</t>
  </si>
  <si>
    <t>6-1-5</t>
  </si>
  <si>
    <t>6-1-6</t>
  </si>
  <si>
    <t>6-1-7</t>
  </si>
  <si>
    <t>Ievada slēdzis 3/32A</t>
  </si>
  <si>
    <t>Kabeļ aizsarg caurule TXM-M32</t>
  </si>
  <si>
    <t>Kabeļ aizsarg caurule TXM-M20</t>
  </si>
  <si>
    <t>Zemējuma apaļdzelzis RD10 FT</t>
  </si>
  <si>
    <t>Savienotāj klemme 2760/20 8-10/FL40 FT</t>
  </si>
  <si>
    <t>Stieņa spice TE 20</t>
  </si>
  <si>
    <t>Pretkorozijas lenta</t>
  </si>
  <si>
    <t>Zibens uztvērēj stieple RD8/ALU</t>
  </si>
  <si>
    <t>gab.</t>
  </si>
  <si>
    <t>Kabeļ signāllenta KABELIS</t>
  </si>
  <si>
    <t>Asu nospraušana</t>
  </si>
  <si>
    <t>4-1-8</t>
  </si>
  <si>
    <t>4-1-9</t>
  </si>
  <si>
    <t>4-1-10</t>
  </si>
  <si>
    <t>4-1-11</t>
  </si>
  <si>
    <t>4-1-12</t>
  </si>
  <si>
    <t>4-1-13</t>
  </si>
  <si>
    <t>4-1-14</t>
  </si>
  <si>
    <t>4-1-15</t>
  </si>
  <si>
    <t>4-1-16</t>
  </si>
  <si>
    <t>4-1-17</t>
  </si>
  <si>
    <t>5-1-18</t>
  </si>
  <si>
    <t>5-1-19</t>
  </si>
  <si>
    <t>5-1-20</t>
  </si>
  <si>
    <t>5-1-21</t>
  </si>
  <si>
    <t>5-1-22</t>
  </si>
  <si>
    <t>5-1-23</t>
  </si>
  <si>
    <t>5-1-24</t>
  </si>
  <si>
    <t>5-1-25</t>
  </si>
  <si>
    <t>5-1-26</t>
  </si>
  <si>
    <t>5-1-27</t>
  </si>
  <si>
    <t>5-1-28</t>
  </si>
  <si>
    <t>5-1-29</t>
  </si>
  <si>
    <t>Būvdarbu apjomu saraksts Nr.7</t>
  </si>
  <si>
    <t>7-1-1</t>
  </si>
  <si>
    <t>7-1-2</t>
  </si>
  <si>
    <t>7-1-3</t>
  </si>
  <si>
    <t>Kopā ceļi un laukumi :</t>
  </si>
  <si>
    <t>7-1-4</t>
  </si>
  <si>
    <r>
      <t>m</t>
    </r>
    <r>
      <rPr>
        <vertAlign val="superscript"/>
        <sz val="10"/>
        <rFont val="Arial"/>
        <family val="2"/>
        <charset val="186"/>
      </rPr>
      <t>3</t>
    </r>
  </si>
  <si>
    <t>6-1-8</t>
  </si>
  <si>
    <t>6-1-9</t>
  </si>
  <si>
    <t>6-1-10</t>
  </si>
  <si>
    <t>6-1-11</t>
  </si>
  <si>
    <t>6-1-12</t>
  </si>
  <si>
    <t>6-1-13</t>
  </si>
  <si>
    <t>6-1-14</t>
  </si>
  <si>
    <t>6-1-15</t>
  </si>
  <si>
    <t>6-1-16</t>
  </si>
  <si>
    <t>Būvdarbu apjomu saraksts Nr.8</t>
  </si>
  <si>
    <t>8-1-1</t>
  </si>
  <si>
    <t>8-1-2</t>
  </si>
  <si>
    <t>5-1-30</t>
  </si>
  <si>
    <t>1-1-2</t>
  </si>
  <si>
    <t>1-1-3</t>
  </si>
  <si>
    <t>1-1-4</t>
  </si>
  <si>
    <t>1-1-5</t>
  </si>
  <si>
    <t>1-1-6</t>
  </si>
  <si>
    <t>1-1-7</t>
  </si>
  <si>
    <t>1-1-8</t>
  </si>
  <si>
    <t>1-2-9</t>
  </si>
  <si>
    <t>1-2-10</t>
  </si>
  <si>
    <t>1-2-11</t>
  </si>
  <si>
    <t>1-2-12</t>
  </si>
  <si>
    <t>1-2-13</t>
  </si>
  <si>
    <t>Pamatu piebēršana ar drenējošu smilti līdz šķembu slāņa apakšai pamatu ārpusē un iekšpusē, blīvējot pa kārtām (smilts ar piegādi)</t>
  </si>
  <si>
    <t>Stabveida pamati P1; P2; P3; P4</t>
  </si>
  <si>
    <t>1-3-14</t>
  </si>
  <si>
    <t>Blietētas smilts pabērums zem stabveida pamatiem h=0,15m (smilts ar piegādi )</t>
  </si>
  <si>
    <t>1-3-15</t>
  </si>
  <si>
    <t>1-3-16</t>
  </si>
  <si>
    <t>Pabetonējuma h=0,1m betonēšana zem stabveida pamatiem ar pievestu betonu B7,5 (piegādāts transportbetons B7,5 ar sūkni)</t>
  </si>
  <si>
    <t>1-3-17</t>
  </si>
  <si>
    <t>1-3-18</t>
  </si>
  <si>
    <t>Stabveida pamatu stiegrošana ar armatūru izmantojot siešanas stiepli ( armatūra AIIIØ 6mm-0,032t; armatūra AIIIØ 10mm-0,316t; siešanas stieple; palīgmateriāli)</t>
  </si>
  <si>
    <t>1-3-19</t>
  </si>
  <si>
    <t>Stabveida pamatu betonēšana ar pievestu betonu B20/F50/W4,  izmantojot betona sūkni (piegādāts transportbetons B20/F50/W4 ar sūkni)</t>
  </si>
  <si>
    <t>1-3-20</t>
  </si>
  <si>
    <t>Ieliekamo detaļu ID-1 montāža stabveida pamatos (iepriekš izgatavotas ieliekamās detaļas ID-1)</t>
  </si>
  <si>
    <t>1-3-21</t>
  </si>
  <si>
    <t>Ieliekamo detaļu ID-2 montāža stabveida pamatos (iepriekš izgatavotas ieliekamās detaļas ID-2)</t>
  </si>
  <si>
    <t>1-3-22</t>
  </si>
  <si>
    <t>Ieliekamo detaļu ID-3 montāža stabveida pamatos (iepriekš izgatavotas ieliekamās detaļas ID-3)</t>
  </si>
  <si>
    <t>1-3-23</t>
  </si>
  <si>
    <t>Ieliekamo detaļu ID-4 montāža stabveida pamatos (iepriekš izgatavotas ieliekamās detaļas ID-4)</t>
  </si>
  <si>
    <t>Lentveida pamati (zem nesošajām sienām)</t>
  </si>
  <si>
    <t>1-3-24</t>
  </si>
  <si>
    <t>Blietētas smilts pabērums zem lentveida pamatiem h=0,15m (smilts ar piegādi )</t>
  </si>
  <si>
    <t>1-3-25</t>
  </si>
  <si>
    <t>1-3-26</t>
  </si>
  <si>
    <t>Pabetonējuma h=0,1m betonēšana zem lentveida pamatiem ar pievestu betonu B7,5 (piegādāts transportbetons B7,5 ar sūkni)</t>
  </si>
  <si>
    <t>1-3-27</t>
  </si>
  <si>
    <t>Veidņu montāža demontāža lentveida pamatiem no saliekamajiem inventārveidņiem (saliekamie inventārveidņi; palīgmateriāli)</t>
  </si>
  <si>
    <t>1-3-28</t>
  </si>
  <si>
    <t>Lentveida pamatu stiegrošana ar armatūru izmantojot siešanas stiepli ( armatūra AIIIØ 10mm-0,33t; siešanas stieple; palīgmateriāli)</t>
  </si>
  <si>
    <t>1-3-29</t>
  </si>
  <si>
    <t>Lentveida pamatu betonēšana ar pievestu betonu B20/F50/W4,  izmantojot betona sūkni (piegādāts transportbetons B20/F50/W4 ar sūkni)</t>
  </si>
  <si>
    <t>Lentveida pamati (zem starpsienām)</t>
  </si>
  <si>
    <t>1-3-30</t>
  </si>
  <si>
    <t>1-3-31</t>
  </si>
  <si>
    <t>1-3-32</t>
  </si>
  <si>
    <t>1-3-33</t>
  </si>
  <si>
    <t>Lentveida pamatu stiegrošana ar armatūru izmantojot siešanas stiepli ( armatūra AIIIØ 10mm-0,108t; armatūra AIIIØ 6mm-0,209t; siešanas stieple; palīgmateriāli)</t>
  </si>
  <si>
    <t>1-3-34</t>
  </si>
  <si>
    <t>1-3-35</t>
  </si>
  <si>
    <t>Pamatu horizontālā hidroizolācija divās kārtās ar ruberoīdu bituma mastikā (ruberoīds, bituma mastika)</t>
  </si>
  <si>
    <t>COKOLS</t>
  </si>
  <si>
    <t>1-4-36</t>
  </si>
  <si>
    <t>Pamatu un cokola siltināšana ar polistirola siltumizolācijas plāksnēm ( polistirola siltumizolācijas plāksnes EPS 120 (FS22) b=75mm; dībeļnaglas siltumizolācijas plāksnēm ~ 8gab/m2; līmjava Sakret KAM ~6kg/m2; palīgmateriāli)</t>
  </si>
  <si>
    <t>1-4-37</t>
  </si>
  <si>
    <t>Dubulta armējošā stiklšķiedras sieta iestrāde līmjavā pamatu virszemes (cokols) daļā (armējošais stiklšķiedras siets fasādēm 165g/m2; līmjava Sakret KAM 7kg/m2)</t>
  </si>
  <si>
    <t>1-4-38</t>
  </si>
  <si>
    <t>Virspamatu (cokola) gludā špaktelēšana (līmjava Sakret KAM  ~7kg/m2)</t>
  </si>
  <si>
    <t>1-4-39</t>
  </si>
  <si>
    <t>Virspamatu (cokola) gruntēšana (gruntskrāsa Sakret FM ~ 0,25l/m2)</t>
  </si>
  <si>
    <t>1-4-40</t>
  </si>
  <si>
    <t>Virspamatu  (cokola) krāsošana ar cokola krāsu 2-3 reizes (tonēta akrila dispersijas cokola krāsa Saktet FC,  ~ 0,5l/m2; palīgmateriāli)</t>
  </si>
  <si>
    <t>GRĪDAS 1. STĀVS</t>
  </si>
  <si>
    <t>1-5-41</t>
  </si>
  <si>
    <t>Blietētu šķembu pabērums zem grīdām h=0,10m (dolomīta šķembas ar piegādi fr. 10-40)</t>
  </si>
  <si>
    <t>1-5-42</t>
  </si>
  <si>
    <t>Grīdu sagatavošanas kārtas betonēšana b=50mm  (betons B7,5 ar piegādi objektā, ieskaitot betona sūkni, palīgmateriāli)</t>
  </si>
  <si>
    <t>1-5-43</t>
  </si>
  <si>
    <t>Hidroizolācijas plēves  ieklāšana divās kārtās (hidroizolācijas plēve 200 mikroni X 2 kārtas, palīgmateriāli)</t>
  </si>
  <si>
    <t>1-5-44</t>
  </si>
  <si>
    <t>Putuplasta ieklāšana grīdām h=0,1m  (Putuplasts EPS120 (FS22) b=0,05m x2, palīgmateriāli)</t>
  </si>
  <si>
    <t>1-5-45</t>
  </si>
  <si>
    <t>Armatūras tīkls 3/3/150/150 Bp-1, ieklāts virs siltumizolācijas, distanceri, montāžas palīgmateriāli</t>
  </si>
  <si>
    <t>1-5-46</t>
  </si>
  <si>
    <t>Grīdu betonēšana b=80mm  (betons B20/F50/W4 ar piegādi objektā, ieskaitot betona sūkni, palīgmateriāli)</t>
  </si>
  <si>
    <t>1-5-47</t>
  </si>
  <si>
    <t>Grīdu flīzēšana ieskaitot šuvju aizdari (akmens masas grīdas flīzes 300x300mm, flīžu līme, šuvju mastika, distanceri, palīgmateriāli)</t>
  </si>
  <si>
    <t>1-5-48</t>
  </si>
  <si>
    <t>Grīdu flīzēšana ieskaitot šuvju aizdari (akmens masas grīdas flīzes 600x300mm, flīžu līme, šuvju mastika, distanceri, palīgmateriāli)</t>
  </si>
  <si>
    <t>1-5-49</t>
  </si>
  <si>
    <t>Grīdlīstu flīzēšana h=70mm ieskaitot šuvju aizdari telpās nr. 12,17 (akmens masas grīdas flīzes 300x300mm, flīžu līme, šuvju mastika, distanceri, palīgmateriāli)</t>
  </si>
  <si>
    <t>1-5-50</t>
  </si>
  <si>
    <t>Ozolkoka grīdlīstu montāža pirmajā un otrajā stāvā (industriāli eļļotas ozolkoka grīdlīstes h=70mm, stiprinājumi, skrūves)</t>
  </si>
  <si>
    <t>GRĪDAS 2. STĀVS</t>
  </si>
  <si>
    <t>1-6-51</t>
  </si>
  <si>
    <t>Koka latu montāža uz pārseguma sijām ieskaitot apstrādi ar antipirēniem un antiseptiķiem (koka latas 40x70mm-1,83m3 ar soli 400mm; antipirēns; antiseptiķis; stiprinājumu komplekts)</t>
  </si>
  <si>
    <t>1-6-52</t>
  </si>
  <si>
    <t>OSB lokšņu montāža virs latojuma un kāpņu laukumos (četrpusīgi gropētas OSB loksnes b=22mm, skrūves)</t>
  </si>
  <si>
    <t>1-6-53</t>
  </si>
  <si>
    <t>Masīva ozolkoka dēļu seguma montāža (grīdas dēļi Ozols Select L=1400-3000x210mm; t=21mm industriāli eļļoti ar bezkrāsainu dabīgo sveķu laku; divkomponentu vai spirta bāzes līme, cinkotas naglas, palīgmateriāli)</t>
  </si>
  <si>
    <t>1-6-54</t>
  </si>
  <si>
    <t>Kaučuka hidroizolācijas ieklāšana 3 kārtās sanmezglā ar pārlaidumu uz sienas ~20cm (Kaučuka hidroizolācija FLACHENDICHT; blīvējošā lenta FLACHENDICHTBAND; palīgmateriāli)</t>
  </si>
  <si>
    <t>1-6-55</t>
  </si>
  <si>
    <t>1-6-56</t>
  </si>
  <si>
    <t>Nodilumizturīga linoleja ieklāšana (nodilumizturīgs linolejs 32/41 klase, linoleja līme, šuvju aukla)</t>
  </si>
  <si>
    <t>Ventkameras grīda</t>
  </si>
  <si>
    <t>1-6-57</t>
  </si>
  <si>
    <t>Ģipškartona ieklāšana 2 kārtās virs OSB ventkamerai (ģipškartons grīdām b=12,5x2mm; skrūves)</t>
  </si>
  <si>
    <t>1-6-58</t>
  </si>
  <si>
    <t>Pašnivelējošās grīdas masas izstrāde ventkameras telpā b=10mm ieskaitot virsmas sagatavošanu gruntējot ( pašnivelējošā masa grīdām Knauf Zementestrich ZE 30 - 20kg/m2; grunts Knauf Betonkontakt)</t>
  </si>
  <si>
    <t>1-6-59</t>
  </si>
  <si>
    <t>Pretputekļu krāsojums ventkameras grīdām (nodilumizturīga krāsa minerālām grīdas virsmām)</t>
  </si>
  <si>
    <t>Balkona un lodžijas grīda</t>
  </si>
  <si>
    <t>1-6-60</t>
  </si>
  <si>
    <t>Masīvu terases dēļu montāža (spiedienimprignēti terases dēļi ''Dekings'' t=30-40mm; skrūves)</t>
  </si>
  <si>
    <t>Bēniņu grīda</t>
  </si>
  <si>
    <t>1-6-61</t>
  </si>
  <si>
    <t>Retināta dēļu klāja izbūve bēniņos starp asīm ''3'' un ''6'' ieskaitot dēļu apstrādi ar antipirēniem (grīdas dēļi b=35mm, antipirēns, skrūves)</t>
  </si>
  <si>
    <t>KOKA KARKASI</t>
  </si>
  <si>
    <t>Koka karkasi KK-1</t>
  </si>
  <si>
    <t>1-7-62</t>
  </si>
  <si>
    <t>Kokmateriālu spiedienimpregnēšana ar bezkrāsainu antiseptiķi</t>
  </si>
  <si>
    <t>1-7-63</t>
  </si>
  <si>
    <t>Koka karkasu KK-1 montāža no līmētiem un ēvelētiem kokmateriāliem (ēvelētas līmētas koka brusas 150x200mm-1,78m3; ēvelēti līmēti koka atgāžņi 150x200mm-0,24m3; ēvelēti līmēti koka statņi 150x200mm-0,53m3; stiprinājumu un būvkalumu komplekts)</t>
  </si>
  <si>
    <t>1-7-64</t>
  </si>
  <si>
    <t>Turpat redzamo koka konstrukciju  lakošana 2-3 reizes (universāla bezkrāsaina koka laka iekšdarbiem un ārdarbiem; palīgmateriāli)</t>
  </si>
  <si>
    <t>Koka karkasi KK-2</t>
  </si>
  <si>
    <t>1-7-65</t>
  </si>
  <si>
    <t>Kokmateriālu spiedienimpregnēšana ar bezkrāsainu antipirēnu</t>
  </si>
  <si>
    <t>1-7-66</t>
  </si>
  <si>
    <t>Koka karkasu KK-2 montāža no neēvelētiem apzāģiem ( koka brusa 150x150mm-2,17m3; koka statnis 150x150mm-0,48m3; koka atgāznis 150x150mm-1,01m3, stiprinājumu un būvkalumu komplekts)</t>
  </si>
  <si>
    <t>1-7-67</t>
  </si>
  <si>
    <t>Koka karkasu KK-2 montāža no ēvelētiem apzāģiem ( ēvelēta koka brusa 150x150mm-0,20m3; ēvelēts koka statnis 150x150mm-0,99m3; stiprinājumu un būvkalumu komplekts)</t>
  </si>
  <si>
    <t>1-7-68</t>
  </si>
  <si>
    <t>Koka karkasu KK-2 montāža no līmētiem un ēvelētiem kokmateriāliem (ēvelētas līmētas koka brusas 300x200mm-0,60m3; stiprinājumu un būvkalumu komplekts)</t>
  </si>
  <si>
    <t>1-7-69</t>
  </si>
  <si>
    <t>Koka karkasi KK-3</t>
  </si>
  <si>
    <t>1-7-70</t>
  </si>
  <si>
    <t>1-7-71</t>
  </si>
  <si>
    <t>Koka karkasu KK-3 montāža no neēvelētiem apzāģiem ( koka brusa 150x150mm-0,79m3; koka statnis 150x150mm-0,0,06m3; stiprinājumu un būvkalumu komplekts)</t>
  </si>
  <si>
    <t>1-7-72</t>
  </si>
  <si>
    <t>Koka karkasu KK-3 montāža no ēvelētiem apzāģiem ( ēvelēta koka brusa 150x240mm-1,32m3; ēvelēts koka statnis 150x240mm-1,12m3; ēvelēts koka atgāznis 150x150mm-0,09m3; ēvelēts koka statnis 150x150mm-0,65m3; stiprinājumu un būvkalumu komplekts)</t>
  </si>
  <si>
    <t>1-7-73</t>
  </si>
  <si>
    <t>Koka karkasu KK-3 montāža no līmētiem un ēvelētiem kokmateriāliem (ēvelētas līmētas koka brusas 200x300mm-1,75m3; ēvelētas līmētas koka brusas 200x400mm-2,40m3; ēvelēti līmēti koka statņi 200x200mm-0,66m3; ēvelēti līmēti koka statņi 200x300mm-1,64m3; stiprinājumu un būvkalumu komplekts)</t>
  </si>
  <si>
    <t>1-7-74</t>
  </si>
  <si>
    <t>1-8</t>
  </si>
  <si>
    <t>PIRMĀ STĀVA PĀRSEGUMS</t>
  </si>
  <si>
    <t>1-8-75</t>
  </si>
  <si>
    <t>1-8-76</t>
  </si>
  <si>
    <t>Ēvelētu pārseguma siju montāža ( ēvelēta koka sija Nr.4 100x250mm-2,94m3; ēvelēta koka sija Nr.6 150x250mm-0,32m3; ēvelēta koka sija Nr.1 (5 gab.) 100x250mm-0,62m3; stiprinājumu un būvkalumu komplekts)</t>
  </si>
  <si>
    <t>1-8-77</t>
  </si>
  <si>
    <t>Neēvelētu pārseguma siju montāža (koka sija Nr.1 (40 gab.) 100x250mm-4,95m3; koka sija Nr.2 (61 gab.) 100x250mm-4,19m3; koka sija Nr. 3 (2 gab.) 100x250mm-0,13m3; koka sija Nr.5 (1. gab) 150x250mm-0,12m3;  stiprinājumu un būvkalumu komplekts)</t>
  </si>
  <si>
    <t>1-8-78</t>
  </si>
  <si>
    <t>Turpat redzamo koka siju lakošana 2-3 reizes (universāla bezkrāsaina koka laka iekšdarbiem un ārdarbiem; palīgmateriāli)</t>
  </si>
  <si>
    <t>1-8-79</t>
  </si>
  <si>
    <t>Skaņu izolējoša, elastīga lenta virs sijām pirms grīdas latu montāžas</t>
  </si>
  <si>
    <t>1-8-80</t>
  </si>
  <si>
    <t>Beramās ekovates iestrāde starp pārseguma sijām b=150mm (beramā ekovate (vidējais sēšanās koeficients 20%))</t>
  </si>
  <si>
    <t>1-8-81</t>
  </si>
  <si>
    <t>Tvaika izolācijas plēves montāža (tvaika izolācijas plēve)</t>
  </si>
  <si>
    <t>1-8-82</t>
  </si>
  <si>
    <t>Melno griestu izbūve no neēvelētiem dēļiem t=15mm ieskaitot zāģmateriālu apstrādi ar antipirēniem un antiseptiķiem (ar antipirēniem un antiseptiķiem apstrādāti dēļi t=15mm-3,82m3; ar antipirēniem un antiseptiķiem apstrādātas latas 40x30mm-1,20m3; stiprinājumi)</t>
  </si>
  <si>
    <t>1-9</t>
  </si>
  <si>
    <t>JUMTS</t>
  </si>
  <si>
    <t>Jumta nesošās konstrukcijas</t>
  </si>
  <si>
    <t>1-9-83</t>
  </si>
  <si>
    <t>1-9-84</t>
  </si>
  <si>
    <t>Ēvelētu, kalibrētu koka spāru, izmiju un savilču montāža (ēvelētas, kalibrētas koka spāres 200x80mm-9,09m3; ēvelētas, kalibrētas koka izmijas 200x80mm-0,23m3; ēvelētas, kalibrētas koka savilces 200x50mm-3,63m3; stiprinājumu un būvkalumu komplekts)</t>
  </si>
  <si>
    <t>1-9-85</t>
  </si>
  <si>
    <t>Turpat redzamo koka spāru galu lakošana 2-3 reizes (universāla bezkrāsaina koka laka iekšdarbiem un ārdarbiem; palīgmateriāli)</t>
  </si>
  <si>
    <t>Jumta konstrukciju siltināšana</t>
  </si>
  <si>
    <t>1-9-86</t>
  </si>
  <si>
    <t>Jumta konstrukcijas slīpo un horizontālo daļu siltināšana ar minerālvati b=220mm (pretvēja izolācija paroc wab 10t b=20mm; minerālvates elastīgās plāksnes Paroc UNS 37 b=150mm; minerālvates elastīgās plāksnes Paroc UNS 37 b=50mm; palīgmateriāli)</t>
  </si>
  <si>
    <t>Jumta segums un papildelementi</t>
  </si>
  <si>
    <t>1-9-87</t>
  </si>
  <si>
    <t>Antikondensāta plēves montāža (antikondensāta plēve; spiedienimprignētas, kalibrētas latas 20x80mm=0,65m3; spiedienimprignētas, kalibrētas latas 40x80mm=1,72m3; stiprinājumu komplekts)</t>
  </si>
  <si>
    <t>1-9-88</t>
  </si>
  <si>
    <t>Šķērslatojuma montāža (spiedienimprignētas, kalibrētas latas 40x80mm=9,02m3, s=150mm; stiprinājumu komplekts)</t>
  </si>
  <si>
    <t>1-9-89</t>
  </si>
  <si>
    <t>Zāģētu ozolkoka dēlīšu jumta seguma montāža 3 kārtās (impregnēti, zāģēti ozolkoka jumta dēlīši 200x450mm t=20mm; cinkotas naglas, palīgmateriāli)</t>
  </si>
  <si>
    <t>1-9-90</t>
  </si>
  <si>
    <t>Ventilējamas kores uzstādīšana (ventilējama kore Ridge Master l=1,2x0,28m; stiprinājumi)</t>
  </si>
  <si>
    <t>t.m</t>
  </si>
  <si>
    <t>1-9-91</t>
  </si>
  <si>
    <t>Ventilējamas kores apšūšana ar ozolkoka dēlīšiem (impregnēti, zāģēti ozolkoka jumta dēlīši 200x450mm t=20mm; cinkotas skrūves, palīgmateriāli)</t>
  </si>
  <si>
    <t>1-9-92</t>
  </si>
  <si>
    <r>
      <t xml:space="preserve">Lietus ūdens tekņu un noteku montāža no iepriekš izgatavotiem krāsota skārda elementiem ieskaitot veidgabalus un stiprinājuma elementus (horizontālā tekne </t>
    </r>
    <r>
      <rPr>
        <sz val="10"/>
        <rFont val="Calibri"/>
        <family val="2"/>
        <charset val="186"/>
      </rPr>
      <t>Ø</t>
    </r>
    <r>
      <rPr>
        <sz val="10"/>
        <rFont val="Arial"/>
        <family val="2"/>
        <charset val="186"/>
      </rPr>
      <t>150mm-68,50m; konektori-10gab; teknes gals-10; vertikālās notekcaurules Ø100mm-28m; līkumi Ø100mm-12gab; lejasgals Ø100mm-6gab; teknes āķis-68gab; caurules stiprinājums koka sienai-20gab; ķēde-noteku vietās-3mx4gab; stiprinājumu komplekts)</t>
    </r>
  </si>
  <si>
    <t>1-9-93</t>
  </si>
  <si>
    <t>Lāseņu uzstādīšana virs teknēm gar jumta malu (iepriekš izgatavoti lāseņi no krāsota skārda; stiprinājumu komplekts)</t>
  </si>
  <si>
    <t>1-9-94</t>
  </si>
  <si>
    <t>Koka vējdēļu uzstādīšana ieskaitot vējdēļu gruntēšanu un krāsošanu (gruntskrāsa Pinotex Base, krāsa Pinotex Ultra; ēvelēti koka vējdēļi 25x150mm; stiprinājumu komplekts)</t>
  </si>
  <si>
    <t>1-9-95</t>
  </si>
  <si>
    <t>Pieslēgumu uzstādīšana jumta līmeņu maiņu vietās(iepriekš izgatavoti atloki no krāsota skārda; stiprinājumu komplekts)</t>
  </si>
  <si>
    <t>1-9-96</t>
  </si>
  <si>
    <t>Jumta pārkares apšūšana ar spundētiem apdares dēļiem (spundēti apdares dēļi b=25mm; stiprinājumu komplekts)</t>
  </si>
  <si>
    <t>1-9-97</t>
  </si>
  <si>
    <t>Jumta pārkares apšuvuma dēļu gruntēšana un krāsošana (Pinotex Base, Pinotex Ultra, palīgmateriāli)</t>
  </si>
  <si>
    <t>1-10</t>
  </si>
  <si>
    <t>Logi</t>
  </si>
  <si>
    <t>1-10-98</t>
  </si>
  <si>
    <r>
      <t>Koka konstrukcijas loga L-1 montāža (koka konstrukcijas loga bloks ar selektīvo paketi un furnitūru Roto NT apt. izm.780x2930 mm; brūns krāsojums; verams; atgāžams; loga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suncool pārklājums paketei; montāžas putas; stiprinājumu komplekts)</t>
    </r>
  </si>
  <si>
    <t>1-10-99</t>
  </si>
  <si>
    <r>
      <t>Koka konstrukcijas loga L-2 montāža (koka konstrukcijas loga bloks ar selektīvo paketi  apt. izm.2240x780 mm; brūns krāsojums; neverams; loga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suncool pārklājums paketei; montāžas putas; stiprinājumu komplekts)</t>
    </r>
  </si>
  <si>
    <t>1-10-100</t>
  </si>
  <si>
    <r>
      <t>Koka konstrukcijas loga L-3 montāža (koka konstrukcijas loga bloks ar selektīvo paketi un furnitūru Roto NT apt. izm.2140x780 mm; brūns krāsojums; verams; atgāžams; loga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suncool pārklājums paketei; montāžas putas; stiprinājumu komplekts)</t>
    </r>
  </si>
  <si>
    <t>1-10-101</t>
  </si>
  <si>
    <r>
      <t>Koka konstrukcijas loga L-4 montāža (koka konstrukcijas loga bloks ar selektīvo paketi  apt. izm.1610x780 mm; brūns krāsojums; neverams; loga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montāžas putas; stiprinājumu komplekts)</t>
    </r>
  </si>
  <si>
    <t>1-10-102</t>
  </si>
  <si>
    <r>
      <t>Koka konstrukcijas loga L-5 montāža (koka konstrukcijas loga bloks ar selektīvo paketi un furnitūru Roto NT apt. izm.780x2200 mm; brūns krāsojums; verams; atgāžams; loga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 montāžas putas; stiprinājumu komplekts)</t>
    </r>
  </si>
  <si>
    <t>1-10-103</t>
  </si>
  <si>
    <r>
      <t>Koka konstrukcijas loga L-6 montāža (koka konstrukcijas loga bloks ar selektīvo paketi un furnitūru Roto NT apt. izm.2200x840 mm; brūns krāsojums; verams; atgāžams; loga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 montāžas putas; stiprinājumu komplekts)</t>
    </r>
  </si>
  <si>
    <t>1-10-104</t>
  </si>
  <si>
    <r>
      <t>Koka konstrukcijas loga L-7 montāža (koka konstrukcijas loga bloks ar selektīvo paketi un furnitūru Roto NT apt. izm.1280x840 mm; brūns krāsojums; verams; atgāžams; loga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 montāžas putas; stiprinājumu komplekts)</t>
    </r>
  </si>
  <si>
    <t>1-10-105</t>
  </si>
  <si>
    <r>
      <t>Koka konstrukcijas loga L-8 montāža (koka konstrukcijas loga bloks ar selektīvo paketi  apt. izm.1280x1250mm; brūns krāsojums; neverams; loga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montāžas putas; stiprinājumu komplekts)</t>
    </r>
  </si>
  <si>
    <t>1-10-106</t>
  </si>
  <si>
    <r>
      <t>Koka konstrukcijas loga L-9 montāža (koka konstrukcijas loga bloks ar selektīvo paketi  apt. izm.1280x1800mm; brūns krāsojums; neverams; loga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montāžas putas; stiprinājumu komplekts)</t>
    </r>
  </si>
  <si>
    <t>1-10-107</t>
  </si>
  <si>
    <r>
      <t>Koka konstrukcijas loga L-10 montāža (koka konstrukcijas loga bloks ar selektīvo paketi un furnitūru Roto NT apt. izm.850x1800 mm; brūns krāsojums; verams; atgāžams; loga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 montāžas putas; stiprinājumu komplekts)</t>
    </r>
  </si>
  <si>
    <t>Jumta logi</t>
  </si>
  <si>
    <t>1-10-108</t>
  </si>
  <si>
    <t>Koka konstrukcijas jumta loga JL-1 montāža ieskaitot pieslēgumus jumta segumam(koka konstrukcijas loga bloks ar selektīvo stikla paketi; ROTO NT furnitūra apt. izm. 940x1180mm; U vērtība 1,4W/m2K; verams; pieslēgumu komplekts jumta plaknei  ; montāžas putas; stiprinājumu komplekts)</t>
  </si>
  <si>
    <t>1-10-109</t>
  </si>
  <si>
    <t>Koka konstrukcijas jumta loga JL-2 montāža ieskaitot pieslēgumus jumta segumam(koka konstrukcijas loga bloks ar selektīvo stikla paketi; ROTO NT furnitūra apt. izm. 940x1400mm; U vērtība 1,4W/m2K; verams;  pieslēgumu komplekts jumta plaknei  ; montāžas putas; stiprinājumu komplekts)</t>
  </si>
  <si>
    <t>1-10-110</t>
  </si>
  <si>
    <t>Alumīnija konstrukcijas divslīpju virsgaismas loga VL-1 montāža ( alumīnija konstrukcijas divslīpju virsgaismas logs ar rūdīta (vai līmēta) stikla paketēm apt. Izm. 1100x2800mm x 2gab.;neverams; U vērtība 1,4W/m2K; pieslēgumu komplekts jumta plaknei  ; montāžas putas; stiprinājumu komplekts)</t>
  </si>
  <si>
    <t>Kases vitrīna</t>
  </si>
  <si>
    <t>1-10-111</t>
  </si>
  <si>
    <t>Alumīnija konstrukcijas  vitrīnas montāža (anodēta alumīnija konstrukcijas vitrīnas bloks ar triecienizturīgu stiklojumu t=5mm , apt. izm. 4600x1000mm; stiprinājumu komplekts)</t>
  </si>
  <si>
    <t>Palodzes</t>
  </si>
  <si>
    <t>1-10-112</t>
  </si>
  <si>
    <t>Iekšējo koka palodžu uzstādīšana  ( līmēta, lakota priedes koka palodze h=21mm, a=170mm ; hermētiķi; montāžas putas, stiprinājumu komplekts)</t>
  </si>
  <si>
    <t>1-10-113</t>
  </si>
  <si>
    <t>Ārējo skārda palodžu uzstādīšana koka logiem (ārējās krāsota skārda palodzes a=220mm; hermētiķis; stiprinājumu komplekts; montāžas putas)</t>
  </si>
  <si>
    <t>1-11</t>
  </si>
  <si>
    <t>AILU SĀNMALAS</t>
  </si>
  <si>
    <t>1-11-114</t>
  </si>
  <si>
    <t>Logu un durvju ailu sānmalu apdare fasādēs ar frēzētiem dēļiem (frēzēti ēvelēti priedes dēļi t=20mm, a=150mm ar pārfalci; skrūves; palīgmateriāli)</t>
  </si>
  <si>
    <t>1-11-115</t>
  </si>
  <si>
    <t>Turpat ailu sānmalu lakošana 2-3 reizes (universāla bezkrāsaina koka laka iekšdarbiem un ārdarbiem; palīgmateriāli)</t>
  </si>
  <si>
    <t>1-11-116</t>
  </si>
  <si>
    <t>Ārējās un iekšējās blīvējošās līmlentes montāža (ārējā līmlente Contega EXO 0,12x30m; iekšējā līmlente Contega SL 0,12x30m )</t>
  </si>
  <si>
    <t>1-11-117</t>
  </si>
  <si>
    <t>Logu un durvju ailu sānmalu apdare iekštelpās ar ģipškartonu a=130mm (stūra šina-130m; nobeiguma vadula-130m; ģipškartons GKBI- 17m2; montāžas skrūves, palīgmateriāli)</t>
  </si>
  <si>
    <t>1-11-118</t>
  </si>
  <si>
    <t xml:space="preserve">Ailu sānmalu špaktelēšana 2 -3 reizes, gruntēšana, krāsošana 2-3 reizes (smalkgraudaina universāla špakteļmasa, gruntskrāsa Vivacolor 1 primier; ūdens dispersijas akrilāta krāsa Vivaplast 20-tonēta; palīgmateriāli) </t>
  </si>
  <si>
    <t>1-12</t>
  </si>
  <si>
    <t>DURVIS, DURVJU BLOKI, VĀRTI, VITRĪNAS</t>
  </si>
  <si>
    <t>Durvis</t>
  </si>
  <si>
    <t>1-12-119</t>
  </si>
  <si>
    <t>Gludu finierētu iekšdurvju D-1 (apt. izm. 900x2070mm) montāža ieskaitot furnitūras piederumu un aplodu uzstādīšanu (gludas finierētas iekšdurvis bez sliekšņa, furnitūras piederumu komplekts,aplodu komplekts, montāžas palīgmateriāli-skavas, putas, stiprinājumi)</t>
  </si>
  <si>
    <t>1-12-120</t>
  </si>
  <si>
    <t>Gludu finierētu iekšdurvju D-2 (apt. izm. 800x2070mm) montāža ieskaitot furnitūras piederumu un aplodu uzstādīšanu (gludas finierētas iekšdurvis bez sliekšņa, furnitūras piederumu komplekts,aplodu komplekts, montāžas palīgmateriāli-skavas, putas, stiprinājumi)</t>
  </si>
  <si>
    <t>1-12-121</t>
  </si>
  <si>
    <t>Gludu finierētu iekšdurvju D-3 (apt. izm. 1000x2070mm) montāža ieskaitot furnitūras piederumu un aplodu uzstādīšanu (gludas finierētas iekšdurvis bez sliekšņa, furnitūras piederumu komplekts,aplodu komplekts, montāžas palīgmateriāli-skavas, putas, stiprinājumi)</t>
  </si>
  <si>
    <t>1-12-122</t>
  </si>
  <si>
    <t>Gludu MDF iekšdurvju D-4 (apt. izm. 800x2070mm) montāža ieskaitot furnitūras piederumu un aplodu uzstādīšanu (gludas finierētas iekšdurvis bez sliekšņa, furnitūras piederumu komplekts,aplodu komplekts, montāžas palīgmateriāli-skavas, putas, stiprinājumi)</t>
  </si>
  <si>
    <t>1-12-123</t>
  </si>
  <si>
    <t>Iekšējo ugunsdrošu metāla durvju D-5 (apt., izm.800x2070mm) montāža ventkamerā ieskaitot furnitūras piederumu uzstādīšanu (Ugunsdrošas EI-30; siltinātas, krāsotas, tērauda durvis ar slieksni, furnitūras piederumi; automātiskais aizvērējs EI-30, montāžas palīgmateriāli - skavas, putas, stiprinājumi)</t>
  </si>
  <si>
    <t>Durvju bloki</t>
  </si>
  <si>
    <t>1-12-124</t>
  </si>
  <si>
    <t>Automātisko durvju DB-1 montāža (bīdāmās ārdurvis ar rūdītu vai līmētu stikla paketi; paketes pārklājums Suncool;  automātika ''Geze'' vai ''Dorma''; slēdzama furnitūra; apt. Izm. 4600x2200mm; montāžas palīgmateriāli)</t>
  </si>
  <si>
    <t>1-12-125</t>
  </si>
  <si>
    <r>
      <t>Koka konstrukcijas durvju bloka DB-2 montāža (koka konstrukcijas ārdurvju bloks ar selektīvo paketi, furnitūru un slēdzeni apt. izm.2500x2200 mm; brūns krāsojums; durvju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montāžas putas; stiprinājumu komplekts)</t>
    </r>
  </si>
  <si>
    <t>1-12-126</t>
  </si>
  <si>
    <r>
      <t>Koka konstrukcijas durvju bloka DB-3 montāža (koka konstrukcijas ārdurvju bloks ar selektīvo paketi, furnitūru un slēdzeni apt. izm.1700x2200 mm; brūns krāsojums; durvju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suncool pārklājums paketei; montāžas putas; stiprinājumu komplekts)</t>
    </r>
  </si>
  <si>
    <t>1-12-127</t>
  </si>
  <si>
    <r>
      <t>Koka konstrukcijas durvju bloka DB-4 montāža (koka konstrukcijas ārdurvju bloks ar selektīvo paketi, furnitūru un slēdzeni apt. izm.1000x2200 mm; brūns krāsojums; durvju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suncool pārklājums paketei; montāžas putas; stiprinājumu komplekts)</t>
    </r>
  </si>
  <si>
    <t>1-12-128</t>
  </si>
  <si>
    <r>
      <t>Koka konstrukcijas durvju bloka DB-5 montāža (koka konstrukcijas ārdurvju bloks ar selektīvo paketi, furnitūru un slēdzeni apt. izm.920x2200 mm; brūns krāsojums; durvju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suncool pārklājums paketei; montāžas putas; stiprinājumu komplekts)</t>
    </r>
  </si>
  <si>
    <t>Vārti</t>
  </si>
  <si>
    <t>1-12-129</t>
  </si>
  <si>
    <t>Koka konstrukcijas vārtu V-1 montāža (siltināti, krāsoti koka konstrukcijas divviru vārti apt. Izm 2100x2250mm; furnitūra; montāžas putas; stiprinājumu komplekts)</t>
  </si>
  <si>
    <t>Vitrīnas</t>
  </si>
  <si>
    <t>1-12-130</t>
  </si>
  <si>
    <r>
      <t>Koka konstrukcijas fasādes vitrīnas VT-1 montāža (koka konstrukcijas fasādes vitrīna ar selektīvo paketi, furnitūru un slēdzeni apt. izm.4600x2200 mm; brūns krāsojums; durvju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 montāžas putas; stiprinājumu komplekts)</t>
    </r>
  </si>
  <si>
    <t>1-12-131</t>
  </si>
  <si>
    <r>
      <t>Koka konstrukcijas iekšējās vitrīnas VT-2 montāža (koka konstrukcijas iekšējā vitrīna ar selektīvo paketi, furnitūru un slēdzeni apt. izm.4600x2200 mm; brūns krāsojums; durvju bloka kopīgā siltumvadītspēja-1,4W/m</t>
    </r>
    <r>
      <rPr>
        <sz val="10"/>
        <rFont val="Calibri"/>
        <family val="2"/>
        <charset val="186"/>
      </rPr>
      <t>²</t>
    </r>
    <r>
      <rPr>
        <sz val="10"/>
        <rFont val="Arial"/>
        <family val="2"/>
        <charset val="186"/>
      </rPr>
      <t>K;  montāžas putas; stiprinājumu komplekts)</t>
    </r>
  </si>
  <si>
    <t>Bīdāmās durvis</t>
  </si>
  <si>
    <t>1-12-132</t>
  </si>
  <si>
    <t>Bīdāmo iekšdurvju BD-1 montāža (bīdāmas koka konstrukcijas gludi finierētu paneļu iekšdurvis apt. Izm. 4620x2200mm=4paneļi; furnitūras komplekts; montāžas palīgmateriāli)</t>
  </si>
  <si>
    <t>1-12-133</t>
  </si>
  <si>
    <t>Bīdāmo iekšdurvju BD-2 montāža (bīdāmas koka konstrukcijas gludi finierētu paneļu iekšdurvis apt. Izm. 3600x2200mm=6paneļi; furnitūras komplekts; montāžas palīgmateriāli)</t>
  </si>
  <si>
    <t>Dušas durvis</t>
  </si>
  <si>
    <t>1-12-134</t>
  </si>
  <si>
    <t>Dušas durvju (apt. izm. 0,78x1900) montāža ieskaitot furnitūras piederumus (Ravak PDOP1 viendaļīgas uz ass pagriežamas dušas durvis no triecienizturīga stikla; montāžas palīgmateriāli)</t>
  </si>
  <si>
    <t>1-13</t>
  </si>
  <si>
    <t>SIENAS UN STARPSIENAS</t>
  </si>
  <si>
    <t>Ārsienas ar horizontālo dēļu apšuvumu</t>
  </si>
  <si>
    <t>1-13-135</t>
  </si>
  <si>
    <t>Priedes koka (20x120mm) pusspundes apšuvuma dēļi gruntēti un krāsoti ar atmosfērnoturīgu tonētu krāsu; Latas spiedienimpregnētas ar antipirēnu (25x70mm s=600mm, 0,003m3/m2); vēja izolācija Paroc WAS 25t b=30mm; Elastīgās minerālvates plāksnes b=50mm; Latas spiedienipregnētas ar antipirēnu (50x50mm s=600mm, 0,007m3/m2); Minerālvate Paroc UNS 37 150mm; koka statņi spiedienimpregnēti ar antipirēnu (150x150mm/150x50mm s=600mm 0,04m3/m2); tvaika plēve 200mkr; tērauda karkass CD/UD; stiprinājumu un skrūvju komplekts (izņemot iekšējo apšuvumu - skatīt pie sienu apdares)</t>
  </si>
  <si>
    <t>Ārsienas ar vertikālo ''T'' profila dēļu apšuvumu</t>
  </si>
  <si>
    <t>1-13-136</t>
  </si>
  <si>
    <t>Priedes koka (28x125mm un 16x125mm) ''T'' profila apšuvuma dēļi gruntēti un krāsoti ar atmosfērnoturīgu tonētu krāsu; Latas spiedienimpregnētas ar antipirēnu (25x70mm s=600mm, 0,003m3/m2); vēja izolācija Paroc WAS 25t b=30mm; Elastīgās minerālvates plāksnes b=50mm; Latas spiedienipregnētas ar antipirēnu (50x50mm s=600mm, 0,007m3/m2); Minerālvate Paroc UNS 37 150mm; koka statņi spiedienimpregnēti ar antipirēnu (150x150mm/150x50mm s=600mm 0,04m3/m2); tvaika plēve 200mkr; tērauda karkass CD/UD; stiprinājumu un skrūvju komplekts (izņemot iekšējo apšuvumu - skatīt pie sienu apdares)</t>
  </si>
  <si>
    <t>Ārsienas ar NEOBOND COOPER apšuvumu</t>
  </si>
  <si>
    <t>1-13-137</t>
  </si>
  <si>
    <t>Kompozītmateriāla NEOBOND COOPER paneļi ar stiprinājumiem; Latas spiedienimpregnētas ar antipirēnu (25x70mm s=600mm, 0,003m3/m2); vēja izolācija Paroc WAS 25t b=30mm; Elastīgās minerālvates plāksnes b=50mm; Latas spiedienipregnētas ar antipirēnu (50x50mm s=600mm, 0,007m3/m2); Minerālvate Paroc UNS 37 150mm; koka statņi spiedienimpregnēti ar antipirēnu (150x150mm/150x50mm s=600mm 0,04m3/m2); tvaika plēve 200mkr; tērauda karkass CD/UD; stiprinājumu un skrūvju komplekts (izņemot iekšējo apšuvumu - skatīt pie sienu apdares)</t>
  </si>
  <si>
    <t xml:space="preserve">Mūra sienas </t>
  </si>
  <si>
    <t>1-13-138</t>
  </si>
  <si>
    <t>Pamatu vainaga mūrēšana b=200mm no fibo blokiem vienā kārtā pa perimetru ( fibo bloki b=250mm; mūrjava, palīgmateriāli)</t>
  </si>
  <si>
    <t>1-13-139</t>
  </si>
  <si>
    <t>Keraterm 175mm sienu izbūve (keraterm bloki 175mm, mūrjava)</t>
  </si>
  <si>
    <t>1-13-140</t>
  </si>
  <si>
    <t>Keraterm 250mm sienu izbūve (keraterm bloki 250mm, mūrjava)</t>
  </si>
  <si>
    <t>1-13-141</t>
  </si>
  <si>
    <t>Keraterm 120mm starpsienu izbūve (keraterm bloki 120mm, mūrjava)</t>
  </si>
  <si>
    <t>Sienu karkass 1. stāvā</t>
  </si>
  <si>
    <t>1-13-142</t>
  </si>
  <si>
    <t>Tērauda karkass UW100 / CW100 solis 600mm, minerālvate b=100mm, skrūves, stiprinājumi, palīgmateriāli  (izņemot apšuvuma materiālu - skatīt pie apdares)</t>
  </si>
  <si>
    <t>1-13-143</t>
  </si>
  <si>
    <t>Koka karkasa izbūve kases vitrīnas vietā ( spiedienimpregnēts karkass 50x100 solis 600mm, minerālvate b=100mm-9,32m2, skrūves, stiprinājumi, palīgmateriāli  (izņemot apšuvuma materiālu - skatīt pie apdares)</t>
  </si>
  <si>
    <t>1-13-144</t>
  </si>
  <si>
    <t>Tērauda karkass CD/UD solis 600mm, uz keraterm sienas foajē, skrūves, minerālvate b=50mm; stiprinājumi, palīgmateriāli  (izņemot apšuvuma materiālu - skatīt pie apdares)</t>
  </si>
  <si>
    <t>Sienu karkass 2. stāvā</t>
  </si>
  <si>
    <t>1-13-145</t>
  </si>
  <si>
    <t>1-13-146</t>
  </si>
  <si>
    <t>Dubults tērauda karkass UW75 / CW75 solis 600mm, minerālvate b=200mm, skrūves, stiprinājumi, palīgmateriāli  (izņemot apšuvuma materiālu - skatīt pie apdares)</t>
  </si>
  <si>
    <t>WC atdalošās starpsienas</t>
  </si>
  <si>
    <t>1-13-147</t>
  </si>
  <si>
    <t>Tualešu kabīņu sistēmas LLT-24 izbūve (LTT-24 sistēmas tualešu kabīnes no divpusēji laminētas mitrumizturīgas KSP, ieskaitot anodēta alumīnija rāmi ar noapaļotiem stūriem, tai skaitā durvis ar furnitūru; montāžas palīgmateriāli)</t>
  </si>
  <si>
    <t>Pisuāru atdalošie paneļi</t>
  </si>
  <si>
    <t>1-13-148</t>
  </si>
  <si>
    <t>Keramisko atdalošo paneļu montāža pie pisuāriem (keramiskie paneļi 410x660mm; palīgmateriāli)</t>
  </si>
  <si>
    <t>Dušas atdalošā sieniņa</t>
  </si>
  <si>
    <t>1-13-149</t>
  </si>
  <si>
    <t>Dušas atdalošās sieniņas montāža (RAVAK triecienizturīga stikla sieniņa PPS100 ; savienojuma profili; montāžas palīgmateriāli)</t>
  </si>
  <si>
    <t>Retinātu latu apšuvums</t>
  </si>
  <si>
    <t>1-13-150</t>
  </si>
  <si>
    <t>1-13-151</t>
  </si>
  <si>
    <t>Retinātu koka latu apšuvums fasādēs (ēvelētas, kalibrētas koka latas 50x50mm-0,92m3; stiprinājumu un būvkalumu komplekts)</t>
  </si>
  <si>
    <t>1-13-152</t>
  </si>
  <si>
    <t>Turpat latojuma lakošana 2-3 reizes (universāla bezkrāsaina koka laka iekšdarbiem un ārdarbiem; palīgmateriāli)</t>
  </si>
  <si>
    <t>1-14</t>
  </si>
  <si>
    <t>PĀRSEDZES</t>
  </si>
  <si>
    <t>1-14-153</t>
  </si>
  <si>
    <t>Ailu pārsedžu AP-1 montāža mehanizēti (nenesoša dzelzbetona pārsedze 8PB-10-1P , java)</t>
  </si>
  <si>
    <t>1-14-154</t>
  </si>
  <si>
    <t>Ailu pārsedžu AP-2 montāža ieskaitot tērauda elementu gruntēšanu un  krāsošanu (leņķis l=1300mm/ 70x70x5mm x2gab=14kg; tērauda gruntskrāsa un krāsa,  montāžas palīgmateriāli)</t>
  </si>
  <si>
    <t>1-14-155</t>
  </si>
  <si>
    <t>Ailu pārsedžu AP-3 montāža ieskaitot tērauda elementu gruntēšanu un  krāsošanu (leņķis l=1400mm/ 70x70x5mm x2gab=15,06kg; tērauda gruntskrāsa un krāsa,  montāžas palīgmateriāli)</t>
  </si>
  <si>
    <t>1-15</t>
  </si>
  <si>
    <t>SIENU UN STARPSIENU APDARE</t>
  </si>
  <si>
    <t>Sienas 1. stāvs</t>
  </si>
  <si>
    <t>1-15-156</t>
  </si>
  <si>
    <t>Mūra sienu apmešana ar cementa javu (apmetuma java; palīgmateriāli)</t>
  </si>
  <si>
    <t>1-15-157</t>
  </si>
  <si>
    <t>Sienu apdare ar saplāksni ieskaitot latojuma montāžu virs tērauda profiliem (Saplāksnis Riga Lacquer b=15mm LWB ar vienpusēju 3% baltā pigmenta lakas pārlājumu, spiedienimregnētas latas 100x20mm solis=1250mm; skrūves, stiprinājumi, palīgmateriāli  )</t>
  </si>
  <si>
    <t>1-15-158</t>
  </si>
  <si>
    <t>Sienu apdare ar cēlkoka (osis) apdares dēļiem t=20mm ieskaitot latojuma montāžu virs tērauda profiliem (masīva cēlkoka (osis) apdares dēļi t=20mm, spiedienimregnētas latas 100x25mm solis=400mm; skrūves, stiprinājumi, palīgmateriāli  )</t>
  </si>
  <si>
    <t>1-15-159</t>
  </si>
  <si>
    <t>Turpat oša dēļu lakošana 2 reizes (bezkrāsaina, matēta koka laka iekšdarbiem; palīgmateriāli)</t>
  </si>
  <si>
    <t>1-15-160</t>
  </si>
  <si>
    <t>Sienu apdare ar priedes apdares dēļiem t=20mm ieskaitot latojuma montāžu (masīvi priedes apdares dēļi t=20mm, spiedienimregnētas latas 100x25mm solis=400mm; skrūves, stiprinājumi, palīgmateriāli  )</t>
  </si>
  <si>
    <t>1-15-161</t>
  </si>
  <si>
    <t>Turpat priedes dēļu lakošana 2 reizes (bezkrāsaina, matēta koka laka iekšdarbiem; palīgmateriāli)</t>
  </si>
  <si>
    <t>1-15-162</t>
  </si>
  <si>
    <t>Apmesto sienu un starpsienu špaktelēšana 2 -3 reizes, sienu gruntēšana, sienu krāsošana 2-3 reizes (smalkgraudaina universāla špakteļmasa, viegli kopjama, mitrumizturīga ūdens bāzes krāsa (tonēta), palīgmateriāli</t>
  </si>
  <si>
    <t>1-15-163</t>
  </si>
  <si>
    <t>Sienu un karkasu apšūšana ar ģipškartonu 2 kārtās (ģipškartons GKB 12,5mmx2; skrūves; palīgmateriāli)</t>
  </si>
  <si>
    <t>1-15-164</t>
  </si>
  <si>
    <t>Ģipškartona apšuvuma špaktelēšana 2 -3 reizes, sienu gruntēšana, sienu krāsošana 2-3 reizes (smalkgraudaina universāla špakteļmasa, viegli kopjama ūdens bāzes krāsa (tonēta), palīgmateriāli</t>
  </si>
  <si>
    <t>1-15-165</t>
  </si>
  <si>
    <t>Sienu flīzēšana ieskaitot šuvju aizdari (1. šķiras keramikas sienas flīzes, flīžu līme, šuvju mastika, distanceri, palīgmateriāli)</t>
  </si>
  <si>
    <t>Sienas 2. stāvs</t>
  </si>
  <si>
    <t>1-15-166</t>
  </si>
  <si>
    <t>1-15-167</t>
  </si>
  <si>
    <t>1-15-168</t>
  </si>
  <si>
    <t>1-15-169</t>
  </si>
  <si>
    <t>1-15-170</t>
  </si>
  <si>
    <t>Sienu un karkasu apšūšana ar ģipškartonu 2 kārtās (ģipškartons GKF 12,5mmx2; skrūves; palīgmateriāli)</t>
  </si>
  <si>
    <t>1-15-171</t>
  </si>
  <si>
    <t>1-15-172</t>
  </si>
  <si>
    <t>1-16</t>
  </si>
  <si>
    <t>GRIESTI</t>
  </si>
  <si>
    <t>Griesti 1. stāvs</t>
  </si>
  <si>
    <t>1-16-173</t>
  </si>
  <si>
    <t>Tērauda karkass CD/UD solis 400mm uz melnajiem griestiem, skrūves, stiprinājumi, palīgmateriāli  (izņemot apšuvuma materiālu - skatīt pie apdares)</t>
  </si>
  <si>
    <t>1-16-174</t>
  </si>
  <si>
    <t>Griestu apdare ar saplāksni ieskaitot latojuma montāžu virs tērauda profiliem (Saplāksnis Riga Lacquer b=15mm LWB ar vienpusēju 3% baltā pigmenta lakas pārlājumu, spiedienimregnētas latas 100x20mm solis=400mm; skrūves, stiprinājumi, palīgmateriāli  )</t>
  </si>
  <si>
    <t>1-16-175</t>
  </si>
  <si>
    <t>Moduļtipa iekārto griestu montāža no mitrumizturīgām griestu plāksnēm 600x600mm, b=25mm, iekaitot nesošā karkasa un iekares izbūvi (mitrumizturīgas moduļtipa griestu plāksnes 600x600mm,b=25mm, nesošais karkass, iekares komplekts, stiprinājumu komplekts-skrūves, dibeļi u.c.)</t>
  </si>
  <si>
    <t>1-16-176</t>
  </si>
  <si>
    <t>Griestu apdare ar cēlkoka (osis) apdares dēļiem t=20mm ieskaitot latojuma montāžu virs tērauda profiliem (masīva cēlkoka (osis) apdares dēļi t=20mm, spiedienimregnētas latas 100x25mm solis=400mm; skrūves, stiprinājumi, palīgmateriāli  )</t>
  </si>
  <si>
    <t>1-16-177</t>
  </si>
  <si>
    <t>1-16-178</t>
  </si>
  <si>
    <t>Griestu apšūšana ar ģipškartonu 1 kārtā (ģipškartons GKB 12,5mmx2; skrūves; palīgmateriāli)</t>
  </si>
  <si>
    <t>1-16-179</t>
  </si>
  <si>
    <t>Griestu apdare ar kompozītmateriāla paneļiem Neobond Cooper ieskaitot latojuma montāžu virs tērauda profiliem (Kompozītmateriāla paneļi Neobond Cooper, spiedienimregnētas latas 100x20mm solis=400mm; skrūves, stiprinājumi, palīgmateriāli  )</t>
  </si>
  <si>
    <t>1-16-180</t>
  </si>
  <si>
    <t>Ģipškartona griestu apšuvuma špaktelēšana 2 -3 reizes, griestu gruntēšana, griestu krāsošana 2-3 reizes (smalkgraudaina universāla špakteļmasa, viegli kopjama ūdens bāzes krāsa (tonēta), palīgmateriāli</t>
  </si>
  <si>
    <t>Griesti 2. stāvs</t>
  </si>
  <si>
    <t>1-16-181</t>
  </si>
  <si>
    <t>Daļējas griestu iekares izbūve telpā Nr.4 (tērauda iekares cilpu un savilcēju komplekts; nesošais koka karkass 100x80mm spiedienimpregnēts ar soli 800mm; skrūves; palīgmateriāli)</t>
  </si>
  <si>
    <t>1-16-182</t>
  </si>
  <si>
    <t>Latojuma izbūve griestiem ieskaitot tvaika izolācijas montāžu (spiedienimpregnētas, kalibrētas koka latas 50x50mm ar soli 400mm; tvaika izolācija 200mkr; stiprinājumu komplekts; skrūves)</t>
  </si>
  <si>
    <t>1-16-183</t>
  </si>
  <si>
    <t>Griestu apdare ar priedes apdares dēļiem t=20mm (masīvi priedes apdares dēļi t=20mm, skrūves, stiprinājumi, palīgmateriāli  )</t>
  </si>
  <si>
    <t>1-16-184</t>
  </si>
  <si>
    <t>1-16-185</t>
  </si>
  <si>
    <t>1-16-186</t>
  </si>
  <si>
    <t>Griestu apšūšana ar ģipškartonu 2 kārtās ventkamerā (ģipškartons GKF 12,5mmx2; skrūves; palīgmateriāli)</t>
  </si>
  <si>
    <t>1-16-187</t>
  </si>
  <si>
    <t>1-17</t>
  </si>
  <si>
    <t>KĀPNES</t>
  </si>
  <si>
    <t>Iekšējās kāpnes asīs ''B-C''</t>
  </si>
  <si>
    <t>1-17-188</t>
  </si>
  <si>
    <t>Koka kāpņu ar atvērtu pakāpienu un 1 pagriezienu izgatavošana un montāža (ozolkoka kāpņu vaigi 270x100mm; kāpņu laukums-2,88m2 ; ozolkoka pakāpieni 340x1200x40mm-19 gab;  stiprinājumu kmplekts; būvkalumi)</t>
  </si>
  <si>
    <t>1-17-189</t>
  </si>
  <si>
    <t>Turpat koka kāpņu karkasa un pakāpienu lakošana 2-3 reizes (nodilumizturīga tonēta laka grīdām; palīgmateriāli)</t>
  </si>
  <si>
    <t>Iekšējās kāpnes asīs ''F-E''</t>
  </si>
  <si>
    <t>1-17-190</t>
  </si>
  <si>
    <t>Koka kāpņu ar atvērtu pakāpienu un 1 pagriezienu izgatavošana un montāža (ozolkoka kāpņu vaigi 270x100mm; kāpņu laukums-4,11m2 ; ozolkoka pakāpieni 340x1200x40mm-18 gab;  stiprinājumu kmplekts; būvkalumi)</t>
  </si>
  <si>
    <t>1-17-191</t>
  </si>
  <si>
    <t>Kāpnes ar lūku uz bēniņiem</t>
  </si>
  <si>
    <t>1-17-192</t>
  </si>
  <si>
    <t>Ugunsdrošu kāpņu montāža (ugunsdrošas bēniņu kāpnes ROTO Norm F30 1200x700; stiprinājumu komplekts)</t>
  </si>
  <si>
    <t>1-18</t>
  </si>
  <si>
    <t>MARGAS</t>
  </si>
  <si>
    <t>1-18-193</t>
  </si>
  <si>
    <t>Margu montāža abām kāpnēm no 1. uz 2. stāvu (nerūsējošā tērauda margu rāmis 30x30mm ar ovāla, lakota koka lenderiem ieskaitot lenderu savienojošās detaļas no nerūsējošā tērauda, stiprinājumu komplekts)</t>
  </si>
  <si>
    <t>1-18-194</t>
  </si>
  <si>
    <t>Margu montāža lodžijai un balkonam 2. stāvā (nerūsējošā tērauda margu rāmis 30x30mm ar 120x70mm ēvelētiem, lakotiem koka lenderiem divās joslās, ieskaitot lenderu savienojošās detaļas no nerūsējošā tērauda, stiprinājumu komplekts)</t>
  </si>
  <si>
    <t>1-18-195</t>
  </si>
  <si>
    <t>Balkona un lodžijas margu karkasa apšūšana ar apdares dēļiem no abām pusēm (Priedes koka (28x125mm un 16x125mm) ''T'' profila apšuvuma dēļi gruntēti un krāsoti ar atmosfērnoturīgu tonētu krāsu; Latas spiedienimpregnētas ar antipirēnu (50x70mm s=400mm, 0,01m3/m2; stiprinājumu un skrūvju komplekts)</t>
  </si>
  <si>
    <t>1-19</t>
  </si>
  <si>
    <t>PACELŠANAS PLATFORMA CILVĒKIEM RATIŅKRĒSLOS</t>
  </si>
  <si>
    <t>1-19-196</t>
  </si>
  <si>
    <r>
      <t>Pacelšanas platformas ''Stepper'' montāža un regulēšana (platformas izmērs 700x800 mm; pacelšanas augstums līdz 3,4m; pieturu skaits-2gab; kravas celtspēja-225kg; motorizēta pacelšana un nolaišana; vadības poga stāvos un platformā; kustības ātrums-0,10m/sek; pagriezieni 180</t>
    </r>
    <r>
      <rPr>
        <sz val="10"/>
        <rFont val="Calibri"/>
        <family val="2"/>
        <charset val="186"/>
      </rPr>
      <t>°</t>
    </r>
    <r>
      <rPr>
        <sz val="10"/>
        <rFont val="Arial"/>
        <family val="2"/>
        <charset val="186"/>
      </rPr>
      <t>-1gab; jaudas izlietošana-1kW/h)</t>
    </r>
  </si>
  <si>
    <t>1-20</t>
  </si>
  <si>
    <t xml:space="preserve">DEKORATĪVAIS PANELIS </t>
  </si>
  <si>
    <t>1-20-197</t>
  </si>
  <si>
    <t>Dekoratīvā koka paneļa izbūve fasādē (koka latojums no Latvijā sastopāmām dažādām koku sugām, paneļa izmēri 0,15 x 2,3 x 3,5m; montāžas palīgmateriāli)</t>
  </si>
  <si>
    <t>1-21</t>
  </si>
  <si>
    <t>1-21-198</t>
  </si>
  <si>
    <t>1-21-199</t>
  </si>
  <si>
    <t>Būvgružu izvešana, utilizācija (nešķirotie būvgruži, transportēšana attālumā līdz 55 km Krustpils novads, Mežāres pagasts,  ''Dziļā vāda'')</t>
  </si>
  <si>
    <t>1-22</t>
  </si>
  <si>
    <t>APRĪKOJUMS</t>
  </si>
  <si>
    <t>1-22-200</t>
  </si>
  <si>
    <t>Kājslauķa iebūve bruģakmens segumā ieskaitot betona pamatni (viļņotas gumijas kājslauķis ar nerūsējoša tērauda trošu savienojumiem anodēta alumīnija rāmī 0,022x 2x1,50m, betons B20-0,30m3; palīgmateriāli )</t>
  </si>
  <si>
    <t>1-22-201</t>
  </si>
  <si>
    <t>Spoguļa montāža invalīdu tualetē (atgāžams spogulis 600x400mm; montāžas palīgmateriāli)</t>
  </si>
  <si>
    <t>1-22-202</t>
  </si>
  <si>
    <t>Spoguļa montāža sabiedriskajās tualetēs (balts spogulis ar aizsargplēvi 1200x700mm; montāžas palīgmateriāli)</t>
  </si>
  <si>
    <t>1-22-203</t>
  </si>
  <si>
    <t>Spoguļa montāža vienvīetīgajās tualetēs (balts spogulis ar aizsargplēvi 400x650mm; montāžas palīgmateriāli)</t>
  </si>
  <si>
    <t>1-22-204</t>
  </si>
  <si>
    <t>Roku žāvētāju uzstādīšana tualetēs (ieslēdzas automātiski. Izgatavots no nerūsējoša tērauda. Krāsa: matēts. Jauda: 2100W, svars: 3.9kg, trokšņu līmenis: 75dB, žāvēšanas laiks: 25-30 sek. Platums: 25.2cm, augstums: 27cm, dziļums: 20.7cm. )</t>
  </si>
  <si>
    <t>1-22-205</t>
  </si>
  <si>
    <t>Nerūsējošā tērauda galds ar divām izlietnēm 1200x600mm h=850mm.; veidgabalus skatīt pie K-1)</t>
  </si>
  <si>
    <t>1-22-206</t>
  </si>
  <si>
    <t>Brīvi stāvoša veļas mazgājamā mašīna (A klase; 590x600x850mm, ietilpība 8kg)</t>
  </si>
  <si>
    <t>1-22-207</t>
  </si>
  <si>
    <t>Profesionālā trauku un glāžu mazgājamā mašīna ( jauda 3750W, Izmērs 590х600х820, Groza izmērs 50x50x10cm, ātrais mazgāšanas cikls-1 minūte; veidgabalus skatīt pie K-1)</t>
  </si>
  <si>
    <t>1-22-208</t>
  </si>
  <si>
    <t>A+ klases ledusskapis (ledusskapja tilpums 290l, saldētavas tilpums 120l,h=2000x600x650mm)</t>
  </si>
  <si>
    <t>1-22-209</t>
  </si>
  <si>
    <t>Profesionāls kafijas automāts (iespēja pagatavot 2 kafijas tases vienlaikus, vadības panelis, izmēri: 39 х 39,5 х 45,5 cm, svars: 15 kg, jauda: 1600 W, spiediens: 15 bar)</t>
  </si>
  <si>
    <t>1-22-210</t>
  </si>
  <si>
    <t>Mikroviļņu krāsns (jauda 800W; tilpums 20l)</t>
  </si>
  <si>
    <t>1-22-211</t>
  </si>
  <si>
    <t>Iebūvējama elektriskā cepeškrāsns (A klase; jauda, kW 3.5 kW; augstums  59.5 cm, platums 59.7 cm, dziļums 56.8 cm)</t>
  </si>
  <si>
    <t>1-22-212</t>
  </si>
  <si>
    <t>Iebūvējama keramiskā plīts virsma ( Jauda 7100 W; 4 sildriņķi; augstums 5cm; platums 58cm; dziļums 51cm)</t>
  </si>
  <si>
    <t>1-22-213</t>
  </si>
  <si>
    <t>Multimediju LED projektors ar stiprinājuma kāju (Izšķirtspēja:(1280 x 800) pikseļi;
Gaišums/ Spilgtums: 2,000 ANSI lumeņi;
gaismas avota darbības mūžs: aptuveni 20000 stundas; izmērs (L x W x H): 297 mm x 210 mm x 43 mm
Svars: 2.3 kg)</t>
  </si>
  <si>
    <t>1-22-214</t>
  </si>
  <si>
    <t>Pārnēsājams projektora ekrāns ar statīvu (2000x2000mm; Skata leņķis: 150°; materiāls: Matt White; korpuss: alumīnija
Mehānisms: tripod / trīskāju)</t>
  </si>
  <si>
    <t>1-22-215</t>
  </si>
  <si>
    <t>Sienas tāfele (sienas tāfele 1200x900mm anodēta alumīnija rāmī, balta; magnētiskā)</t>
  </si>
  <si>
    <r>
      <t xml:space="preserve">Būves nosaukums : </t>
    </r>
    <r>
      <rPr>
        <b/>
        <sz val="10"/>
        <rFont val="Arial"/>
        <family val="2"/>
        <charset val="186"/>
      </rPr>
      <t xml:space="preserve"> </t>
    </r>
  </si>
  <si>
    <r>
      <t xml:space="preserve">Objekta nosaukums : </t>
    </r>
    <r>
      <rPr>
        <b/>
        <sz val="10"/>
        <rFont val="Arial"/>
        <family val="2"/>
        <charset val="186"/>
      </rPr>
      <t>Automašīnu stāvlaukums ar kases māju jaunbūve</t>
    </r>
  </si>
  <si>
    <t>Objekta adrese :  ''Slodas'', Kalsnavas pagasts, Madonas novads</t>
  </si>
  <si>
    <t xml:space="preserve">Iepirkuma identif. Nr. </t>
  </si>
  <si>
    <t>EL:ELT</t>
  </si>
  <si>
    <t xml:space="preserve">Sadale ar N un PE klemmi, GS virs apmetuma 70 moduļu  IP40 </t>
  </si>
  <si>
    <t xml:space="preserve">Sadale ar N un PE klemmi, S2 virs apmetuma 48 moduļu  IP40 </t>
  </si>
  <si>
    <t xml:space="preserve">Sadale ar N un PE klemmi, S1 zem apmetuma 36 moduļu  IP40 </t>
  </si>
  <si>
    <t xml:space="preserve">Sadale ar N un PE klemmi metāla ar pēdu, kemperu stāvlaukumos 12 moduļu  IP44 </t>
  </si>
  <si>
    <t>Ievada slēdzis 3/63A</t>
  </si>
  <si>
    <t>2-1-7</t>
  </si>
  <si>
    <t>Grupu automāts B10</t>
  </si>
  <si>
    <t>2-1-8</t>
  </si>
  <si>
    <t>Grupu automāts B16</t>
  </si>
  <si>
    <t>2-1-9</t>
  </si>
  <si>
    <t>Grupu automāts 3C16</t>
  </si>
  <si>
    <t>2-1-10</t>
  </si>
  <si>
    <t>Grupu automāts 3C25</t>
  </si>
  <si>
    <t>2-1-11</t>
  </si>
  <si>
    <t>Grupu automāts B6</t>
  </si>
  <si>
    <t>2-1-12</t>
  </si>
  <si>
    <t>Automātu savienojošā kopne 12mod. 400V</t>
  </si>
  <si>
    <t>2-1-13</t>
  </si>
  <si>
    <t>Diferenciālā strāvas aizsardzība 1N/16/0,03</t>
  </si>
  <si>
    <t>2-1-14</t>
  </si>
  <si>
    <t>El.rozete zemapm divvietīga,mehānisms+rāmītis IP 20 , I nom = 16 A , U = 230 V</t>
  </si>
  <si>
    <t>2-1-15</t>
  </si>
  <si>
    <t>El.rozete zemapm trīsvvietīga,mehānisms+rāmītis IP 20 , I nom = 16 A , U = 230 V</t>
  </si>
  <si>
    <t>2-1-16</t>
  </si>
  <si>
    <t>El.rozete zemapm IP 44 , I nom = 16 A , U = 230 V</t>
  </si>
  <si>
    <t>2-1-17</t>
  </si>
  <si>
    <t>Nozarkārbas OBO80 IP54</t>
  </si>
  <si>
    <t>2-1-18</t>
  </si>
  <si>
    <t>Kabeļ dzīslu savienotāji TORIX6</t>
  </si>
  <si>
    <t>2-1-19</t>
  </si>
  <si>
    <t>Kabeļ dzīslu savienotāji TORIX16</t>
  </si>
  <si>
    <t>2-1-20</t>
  </si>
  <si>
    <t xml:space="preserve"> Kabelis - AXMK 4 * 35 mm2</t>
  </si>
  <si>
    <t>2-1-21</t>
  </si>
  <si>
    <t xml:space="preserve"> Kabelis - AXMK 4 * 16 mm2</t>
  </si>
  <si>
    <t>2-1-22</t>
  </si>
  <si>
    <t xml:space="preserve"> Kabelis - NYY-J 5 * 4 mm²</t>
  </si>
  <si>
    <t>2-1-23</t>
  </si>
  <si>
    <t xml:space="preserve"> Kabelis - NYY-J 5 * 2,5 mm²</t>
  </si>
  <si>
    <t>2-1-24</t>
  </si>
  <si>
    <t xml:space="preserve"> Kabelis - NYY-J  5 * 10 mm2</t>
  </si>
  <si>
    <t>2-1-25</t>
  </si>
  <si>
    <t xml:space="preserve"> Kabelis - PPJ  5 * 2,5 mm2</t>
  </si>
  <si>
    <t>2-1-26</t>
  </si>
  <si>
    <t xml:space="preserve"> Kabelis - PPJ  3 * 2,5 mm2</t>
  </si>
  <si>
    <t>2-1-27</t>
  </si>
  <si>
    <t xml:space="preserve"> Kabelis - PPJ  3 * 1,5 mm2</t>
  </si>
  <si>
    <t>2-1-28</t>
  </si>
  <si>
    <t xml:space="preserve"> Kabelis - NYY-J  3 * 2,5 mm2</t>
  </si>
  <si>
    <t>2-1-29</t>
  </si>
  <si>
    <t>2-1-30</t>
  </si>
  <si>
    <t>2-1-31</t>
  </si>
  <si>
    <t>2-1-32</t>
  </si>
  <si>
    <t>El.slēdzis pārsl z/apm. IP 44 , I nom = 10 A , U = 230 V</t>
  </si>
  <si>
    <t>2-1-33</t>
  </si>
  <si>
    <t>El.slēdzis pārsl z/apm. IP 20 , I nom = 10 A , U = 230 V</t>
  </si>
  <si>
    <t>2-1-34</t>
  </si>
  <si>
    <t>El.slēdzis divtaust. z/apm. IP 20 , I nom = 10 A , U = 230 V</t>
  </si>
  <si>
    <t>2-1-35</t>
  </si>
  <si>
    <t>El.slēdzis dmmeris. z/apm. IP 20 , I nom = 16 A , U = 230 V</t>
  </si>
  <si>
    <t>2-1-36</t>
  </si>
  <si>
    <t xml:space="preserve">Montāžas zemapmetuma kārbas vienvietīgas IP 20 </t>
  </si>
  <si>
    <t>2-1-37</t>
  </si>
  <si>
    <t>Montāžas zemapmetuma kārbas divvietīgas IP 20</t>
  </si>
  <si>
    <t>2-1-38</t>
  </si>
  <si>
    <t>Montāžas zemapmetuma kārbas trīsvietīgas IP 20</t>
  </si>
  <si>
    <t>2-1-39</t>
  </si>
  <si>
    <t>Zemējuma stieņi 219/20 OMEX 20x1500mm</t>
  </si>
  <si>
    <t>2-1-40</t>
  </si>
  <si>
    <t>2-1-41</t>
  </si>
  <si>
    <t>2-1-42</t>
  </si>
  <si>
    <t>2-1-43</t>
  </si>
  <si>
    <t>Savienotāj klemme 237/N RD8-10</t>
  </si>
  <si>
    <t>2-1-44</t>
  </si>
  <si>
    <t>2-1-45</t>
  </si>
  <si>
    <t>Uztvērēj stieples savienojumi 249/ST RD8-10</t>
  </si>
  <si>
    <t>2-1-46</t>
  </si>
  <si>
    <t>2-1-47</t>
  </si>
  <si>
    <t>Distanceri stieples stiprināšanai pa jumta kori</t>
  </si>
  <si>
    <t>2-1-48</t>
  </si>
  <si>
    <t>Distanceri stieples stiprināšanai pa jumtu</t>
  </si>
  <si>
    <t>2-1-49</t>
  </si>
  <si>
    <t>Apgaismojuma ķermenis DOWNLIGHT ar spuldzi IP 44 , 1x26W , U = 230 V</t>
  </si>
  <si>
    <t>2-1-50</t>
  </si>
  <si>
    <t>Apgaismojuma ķermenis DOWNLIGHTQUOR 52/G EVG GLAS ar spuldzi IP 20 , 2x26W , U = 230 V</t>
  </si>
  <si>
    <t>2-1-51</t>
  </si>
  <si>
    <t>Apgaismojuma ķermenis AndreasCurve ar spuldzi IP 20 , 100W , U = 230 V</t>
  </si>
  <si>
    <t>2-1-52</t>
  </si>
  <si>
    <t>Apgaismojuma ķermenis Glase Square ar spuldzēm IP 20 , 2x60W , U = 230 V</t>
  </si>
  <si>
    <t>2-1-53</t>
  </si>
  <si>
    <t>Apgaismojuma ķermenis virs izlietnes ar spuldzēm IP 54 , 25W , U = 230 V</t>
  </si>
  <si>
    <t>2-1-54</t>
  </si>
  <si>
    <t>Apgaismojuma ķermenis KALU2 ES 111 DUBLE ar spuldzēm IP 20 , 2x75W , U = 230 V</t>
  </si>
  <si>
    <t>2-1-55</t>
  </si>
  <si>
    <t>Apgaismojuma ķermenis THEOS 101 E27 ar spuldzēm IP 54 , 24W , U = 230 V</t>
  </si>
  <si>
    <t>2-1-56</t>
  </si>
  <si>
    <t>Apgaismojuma ķermenis BIG SUN  ar spuldzēm IP 20 , 75W , U = 230 V</t>
  </si>
  <si>
    <t>2-1-57</t>
  </si>
  <si>
    <t xml:space="preserve">Apgaismojuma ķermenis HQI-TS DL  ar spuldzēm IP 20 , 70W , U = 230 V </t>
  </si>
  <si>
    <t>2-1-58</t>
  </si>
  <si>
    <t>Apgaismojuma ķermenis ROW ES 111  ar spuldzēm IP 20 , 75W , U = 230 V</t>
  </si>
  <si>
    <t>2-1-59</t>
  </si>
  <si>
    <t>Apgaismojuma ķermenis N-TIC SPOT  ar spuldzēm IP 20 , 50W , U = 230 V</t>
  </si>
  <si>
    <t>2-1-60</t>
  </si>
  <si>
    <t>Apgaismojuma ķermenis OTTICA E/D  ar spuldzēm IP 20 , 2X55W , U = 230 V</t>
  </si>
  <si>
    <t>2-1-61</t>
  </si>
  <si>
    <t>Apgaismojuma ķermenis C30-RIT600  ar spuldzēm IP 20 , 4X24W , U = 230 V</t>
  </si>
  <si>
    <t>2-1-62</t>
  </si>
  <si>
    <t>Apgaismojuma ķermenis luminiscentais  ar spuldzēm IP 65 , 2X36W , U = 230 V</t>
  </si>
  <si>
    <t>2-1-63</t>
  </si>
  <si>
    <t>Parku apgaismes laterna h=4.0 m IP 65 , 70W , U = 230 V</t>
  </si>
  <si>
    <t>2-1-64</t>
  </si>
  <si>
    <t>Ielu apgaismes laterna h=8.0m ar T veida konsoli IP 65 , 2X150W , U = 230 V</t>
  </si>
  <si>
    <t>2-1-65</t>
  </si>
  <si>
    <t>Apgaismojuma ķermenis luminiscentais  ar spuldzēm, iebūvējams griestos IP 20 , 2X28W , U = 230 V</t>
  </si>
  <si>
    <t>2-1-66</t>
  </si>
  <si>
    <t>Apgaismojuma ķermenis evakuācijas  ar spuldzēm, pie griestiem IP 20 , 2X28W , U = 230 V</t>
  </si>
  <si>
    <t>2-1-67</t>
  </si>
  <si>
    <t>Krēslas slēdzis IP 65 , 1000W , U = 230 V</t>
  </si>
  <si>
    <t>2-1-68</t>
  </si>
  <si>
    <t>Kontaktors  10kW , U = 230/400 V</t>
  </si>
  <si>
    <t>2-1-69</t>
  </si>
  <si>
    <t>Tranšeju rakšana un aizbēršana ieskaitot blietētas smilts piebērumu</t>
  </si>
  <si>
    <t>Kopā EL; ELT tīkli :</t>
  </si>
  <si>
    <t>1.</t>
  </si>
  <si>
    <t>2.</t>
  </si>
  <si>
    <t>Smilts, šķembu, melnzemes un liekās grunts un būvgružu apjomi doti blīvā veidā, neņemot vērā irdinājuma koeficientu.</t>
  </si>
  <si>
    <t>3.</t>
  </si>
  <si>
    <t>Materiāli daudzums uzrādīts nepielāgojot patēriņa koeficientu.</t>
  </si>
  <si>
    <t>Specializētie darbi - iekšējie tīkli, sistēmas;  ārējie tīkli, sistēmas</t>
  </si>
  <si>
    <t xml:space="preserve">Iekšējie elektrotīkli, apgaismojums, spēka pievadi; ārējie elektrotīkli, apgaismojums. </t>
  </si>
  <si>
    <t xml:space="preserve">                                                 Iekšējie ūdensvada tīkli, sistēmas.</t>
  </si>
  <si>
    <t xml:space="preserve">                (darba veids vai konstruktīvā elementa nosaukums)</t>
  </si>
  <si>
    <r>
      <t xml:space="preserve">Būves nosaukums : </t>
    </r>
    <r>
      <rPr>
        <b/>
        <sz val="10"/>
        <rFont val="Arial"/>
        <family val="2"/>
        <charset val="186"/>
      </rPr>
      <t xml:space="preserve">  </t>
    </r>
  </si>
  <si>
    <t>Iekšējais ūdensvads U1; T3: T4</t>
  </si>
  <si>
    <t>Caurule dn50</t>
  </si>
  <si>
    <t>Caurule dn40</t>
  </si>
  <si>
    <t>Caurule dn32</t>
  </si>
  <si>
    <t>Caurule dn25</t>
  </si>
  <si>
    <t>Caurule dn20</t>
  </si>
  <si>
    <t>Cauruļu izolācija dn54/9</t>
  </si>
  <si>
    <t>3-1-7</t>
  </si>
  <si>
    <t>Cauruļu izolācija dn42/9</t>
  </si>
  <si>
    <t>3-1-8</t>
  </si>
  <si>
    <t>Cauruļu izolācija dn35/9</t>
  </si>
  <si>
    <t>3-1-9</t>
  </si>
  <si>
    <t>Cauruļu izolācija dn28/9</t>
  </si>
  <si>
    <t>3-1-10</t>
  </si>
  <si>
    <t>Cauruļu izolācija dn22/9</t>
  </si>
  <si>
    <t>3-1-11</t>
  </si>
  <si>
    <t xml:space="preserve">izolacijas lenta </t>
  </si>
  <si>
    <t>gb</t>
  </si>
  <si>
    <t>3-1-12</t>
  </si>
  <si>
    <t>Termometrs</t>
  </si>
  <si>
    <t>3-1-13</t>
  </si>
  <si>
    <t>Pāreja dn20a/15i bron</t>
  </si>
  <si>
    <t>3-1-14</t>
  </si>
  <si>
    <t>Cirkulācijas sūknis GRUNDFUS COMFORTS UP 15-14 BA</t>
  </si>
  <si>
    <t>3-1-15</t>
  </si>
  <si>
    <t>Pretvārsts dn15</t>
  </si>
  <si>
    <t>3-1-16</t>
  </si>
  <si>
    <t>Pretvārsts dn25</t>
  </si>
  <si>
    <t>3-1-17</t>
  </si>
  <si>
    <t>Lod ventilis dn1"ii</t>
  </si>
  <si>
    <t>3-1-18</t>
  </si>
  <si>
    <t>Gružu filtrs dn3/4"</t>
  </si>
  <si>
    <t>3-1-19</t>
  </si>
  <si>
    <t>Monometrs</t>
  </si>
  <si>
    <t>3-1-20</t>
  </si>
  <si>
    <t>Pāreja dn15a /3/8"i bron</t>
  </si>
  <si>
    <t>3-1-21</t>
  </si>
  <si>
    <t>Monometra krāns</t>
  </si>
  <si>
    <t>3-1-22</t>
  </si>
  <si>
    <t>Īsā vītne dn25 cin</t>
  </si>
  <si>
    <t>3-1-23</t>
  </si>
  <si>
    <t>Īsā vītne dn3/4 cin</t>
  </si>
  <si>
    <t>3-1-24</t>
  </si>
  <si>
    <t>Īsā vītne dn15 cin</t>
  </si>
  <si>
    <t>3-1-25</t>
  </si>
  <si>
    <t>Trejgabals dn15/15 cin</t>
  </si>
  <si>
    <t>3-1-26</t>
  </si>
  <si>
    <t>Trejgabals dn25/15 cin</t>
  </si>
  <si>
    <t>3-1-27</t>
  </si>
  <si>
    <t>Trejgabals dn25/20 cin</t>
  </si>
  <si>
    <t>3-1-28</t>
  </si>
  <si>
    <t>Saskrūve dn1" cin  ar gumijas blīvi</t>
  </si>
  <si>
    <t>3-1-29</t>
  </si>
  <si>
    <t>Saskrūve dn3/4" cin  ar gumijas blīvi</t>
  </si>
  <si>
    <t>3-1-30</t>
  </si>
  <si>
    <t>Ūdens skaitītājs dn20</t>
  </si>
  <si>
    <t>3-1-31</t>
  </si>
  <si>
    <t>Lod ventilis dn15 ia</t>
  </si>
  <si>
    <t>3-1-32</t>
  </si>
  <si>
    <t>Lod ventilis dn20 ia</t>
  </si>
  <si>
    <t>3-1-33</t>
  </si>
  <si>
    <t>Līkums dn20 bron</t>
  </si>
  <si>
    <t>3-1-34</t>
  </si>
  <si>
    <t>Karstā ūdens termostats dn20  Q=0,45l/s</t>
  </si>
  <si>
    <t>3-1-35</t>
  </si>
  <si>
    <t>Drošības vārsts dn15 6bar</t>
  </si>
  <si>
    <t>3-1-36</t>
  </si>
  <si>
    <t>Izplešanās trauks 26 L ar stiprinājumiem</t>
  </si>
  <si>
    <t>3-1-37</t>
  </si>
  <si>
    <t>Laistāmais krāns dn20</t>
  </si>
  <si>
    <t>3-1-38</t>
  </si>
  <si>
    <t>Caurule dn20cin l=0,7</t>
  </si>
  <si>
    <t>3-1-39</t>
  </si>
  <si>
    <t>Trejgabals dn20/15</t>
  </si>
  <si>
    <t>3-1-40</t>
  </si>
  <si>
    <t>3-1-41</t>
  </si>
  <si>
    <t>Līkums dn15ia cin</t>
  </si>
  <si>
    <t>3-1-42</t>
  </si>
  <si>
    <t>Uzmava cin dn15</t>
  </si>
  <si>
    <t>3-1-43</t>
  </si>
  <si>
    <t>Šļūtene laistāmajam krānam l=15m</t>
  </si>
  <si>
    <t>3-1-44</t>
  </si>
  <si>
    <t>Tukšošanas krāns dn15</t>
  </si>
  <si>
    <t>3-1-45</t>
  </si>
  <si>
    <t>Lod ventilis dn40</t>
  </si>
  <si>
    <t>3-1-46</t>
  </si>
  <si>
    <t>Lod ventilis dn32</t>
  </si>
  <si>
    <t>3-1-47</t>
  </si>
  <si>
    <t>Lod ventilis dn25</t>
  </si>
  <si>
    <t>3-1-48</t>
  </si>
  <si>
    <t>Lod ventilis dn20ia</t>
  </si>
  <si>
    <t>3-1-49</t>
  </si>
  <si>
    <t>3-1-50</t>
  </si>
  <si>
    <t>Ūdens silditājs 200 l</t>
  </si>
  <si>
    <t>3-1-51</t>
  </si>
  <si>
    <t>Ūdens silditāja sildelements  6kW</t>
  </si>
  <si>
    <t>3-1-52</t>
  </si>
  <si>
    <t>Pāreja pe dn50/1 1/2" i.v.</t>
  </si>
  <si>
    <t>3-1-53</t>
  </si>
  <si>
    <t>Sienas līkums  dn20/15-90* kaus</t>
  </si>
  <si>
    <t>3-1-54</t>
  </si>
  <si>
    <t>Vītņu pagarinātājs dn15-40mm</t>
  </si>
  <si>
    <t>3-1-55</t>
  </si>
  <si>
    <t>Stūra krāns dn15/15</t>
  </si>
  <si>
    <t>3-1-56</t>
  </si>
  <si>
    <t>Poda pievads dn10 hrom</t>
  </si>
  <si>
    <t>3-1-57</t>
  </si>
  <si>
    <t>Cauruļu stiprinājumi dn50</t>
  </si>
  <si>
    <t>3-1-58</t>
  </si>
  <si>
    <t>Cauruļu stiprinājumi dn40</t>
  </si>
  <si>
    <t>3-1-59</t>
  </si>
  <si>
    <t>Cauruļu stiprinājumi dn32</t>
  </si>
  <si>
    <t>3-1-60</t>
  </si>
  <si>
    <t>Cauruļu stiprinājumi dn25</t>
  </si>
  <si>
    <t>3-1-61</t>
  </si>
  <si>
    <t>Cauruļu stiprinājumi dn20</t>
  </si>
  <si>
    <t>3-1-62</t>
  </si>
  <si>
    <t xml:space="preserve">Cauruļu vedgabali </t>
  </si>
  <si>
    <t>kom</t>
  </si>
  <si>
    <t>3-1-63</t>
  </si>
  <si>
    <t>Trejgabals 20/15 cin</t>
  </si>
  <si>
    <t>3-1-64</t>
  </si>
  <si>
    <t>Iekšējie kanalizācijas tīkli, sistēmas.</t>
  </si>
  <si>
    <t>Iekšējā kanalizācija K-1</t>
  </si>
  <si>
    <t>Caurule dn110 SN4  L=0,5</t>
  </si>
  <si>
    <t>Caurule dn110 SN4  L=1,0</t>
  </si>
  <si>
    <t>Caurule dn110 SN4  L=2,0</t>
  </si>
  <si>
    <t>Caurule dn50  L=0,35</t>
  </si>
  <si>
    <t>Caurule dn50  L=0,5</t>
  </si>
  <si>
    <t>Caurule dn50  L=1,0</t>
  </si>
  <si>
    <t>Caurule dn50  L=2,0</t>
  </si>
  <si>
    <t>Caurule dn110 SN8  L=2,0</t>
  </si>
  <si>
    <t>Uguns drošības manžete dn110</t>
  </si>
  <si>
    <t>Uguns drošības manžete dn50</t>
  </si>
  <si>
    <t>Krustgabals dn110/110/110-89/</t>
  </si>
  <si>
    <t>Pāreja dn110/50</t>
  </si>
  <si>
    <t>Trejgabals dn50/50-45*</t>
  </si>
  <si>
    <t>Trejgabals dn110/110-45*</t>
  </si>
  <si>
    <t>Trejgabals dn110/50-90*</t>
  </si>
  <si>
    <t>Revīzija dn110</t>
  </si>
  <si>
    <t>Kompensātors dn110</t>
  </si>
  <si>
    <t>4-1-18</t>
  </si>
  <si>
    <t>Līkums dn50-45*</t>
  </si>
  <si>
    <t>4-1-19</t>
  </si>
  <si>
    <t>Līkums dn110-45*</t>
  </si>
  <si>
    <t>4-1-20</t>
  </si>
  <si>
    <t>Līkums dn110-90*</t>
  </si>
  <si>
    <t>4-1-21</t>
  </si>
  <si>
    <t>Aizbāznis dn110</t>
  </si>
  <si>
    <t>4-1-22</t>
  </si>
  <si>
    <t>Uzmava dn110</t>
  </si>
  <si>
    <t>4-1-23</t>
  </si>
  <si>
    <t>4-1-24</t>
  </si>
  <si>
    <t>Cauruļu stiprinājumi dn110</t>
  </si>
  <si>
    <t>4-1-25</t>
  </si>
  <si>
    <t>Izletne fajansa NOVA TOP 65*56 invalidu</t>
  </si>
  <si>
    <t>4-1-26</t>
  </si>
  <si>
    <t>Izletne fajansa ZETA 50cm</t>
  </si>
  <si>
    <t>4-1-27</t>
  </si>
  <si>
    <t>Izletnes stiprinājumi</t>
  </si>
  <si>
    <t>4-1-28</t>
  </si>
  <si>
    <t>Sifons izletnei dn40</t>
  </si>
  <si>
    <t>4-1-29</t>
  </si>
  <si>
    <t>Sifona izvads dn40-90*</t>
  </si>
  <si>
    <t>4-1-30</t>
  </si>
  <si>
    <t>Jaucējkrāns invalīdu izlietnei</t>
  </si>
  <si>
    <t>4-1-31</t>
  </si>
  <si>
    <t>Jaucējkrāns izlietnei</t>
  </si>
  <si>
    <t>4-1-32</t>
  </si>
  <si>
    <t>Gumijas pāreja dn50/40</t>
  </si>
  <si>
    <t>4-1-33</t>
  </si>
  <si>
    <t>Silikons</t>
  </si>
  <si>
    <t>4-1-34</t>
  </si>
  <si>
    <t xml:space="preserve">Invalīdu pods </t>
  </si>
  <si>
    <t>4-1-35</t>
  </si>
  <si>
    <t>Poda atbalsti</t>
  </si>
  <si>
    <t>4-1-36</t>
  </si>
  <si>
    <t>Pods LIRA PLUS</t>
  </si>
  <si>
    <t>4-1-37</t>
  </si>
  <si>
    <t>Poda vāks</t>
  </si>
  <si>
    <t>4-1-38</t>
  </si>
  <si>
    <t>Poda stiprinājumi</t>
  </si>
  <si>
    <t>4-1-39</t>
  </si>
  <si>
    <t>Poda izvads dn80/90*</t>
  </si>
  <si>
    <t>4-1-40</t>
  </si>
  <si>
    <t>Dekoratīva uzlika</t>
  </si>
  <si>
    <t>4-1-41</t>
  </si>
  <si>
    <t>Sifons trauku mazgājamajai mašīnai</t>
  </si>
  <si>
    <t>4-1-42</t>
  </si>
  <si>
    <t>Paliktnis dušai 90/90</t>
  </si>
  <si>
    <t>4-1-43</t>
  </si>
  <si>
    <t>Duškabīne  90/90</t>
  </si>
  <si>
    <t>4-1-44</t>
  </si>
  <si>
    <t>Sifons dušai</t>
  </si>
  <si>
    <t>4-1-45</t>
  </si>
  <si>
    <t>Jaucējkrāns dušai</t>
  </si>
  <si>
    <t>4-1-46</t>
  </si>
  <si>
    <t>Stienis dušai</t>
  </si>
  <si>
    <t>4-1-47</t>
  </si>
  <si>
    <t>Pisuārs</t>
  </si>
  <si>
    <t>4-1-48</t>
  </si>
  <si>
    <t>Pisuāra sifons</t>
  </si>
  <si>
    <t>4-1-49</t>
  </si>
  <si>
    <t>Pisuāra stiprinājumi</t>
  </si>
  <si>
    <t>4-1-50</t>
  </si>
  <si>
    <t>Pisuāra krāns</t>
  </si>
  <si>
    <t>4-1-51</t>
  </si>
  <si>
    <t>Sifons izlietnei metāla</t>
  </si>
  <si>
    <t>4-1-52</t>
  </si>
  <si>
    <t>Jaucējkrāns izlietnei metāla</t>
  </si>
  <si>
    <t>4-1-53</t>
  </si>
  <si>
    <t>4-1-54</t>
  </si>
  <si>
    <t>Traps dn110</t>
  </si>
  <si>
    <t>4-1-55</t>
  </si>
  <si>
    <t>Tranšeju rakšana un aizbēršana</t>
  </si>
  <si>
    <t>4-1-56</t>
  </si>
  <si>
    <t>Smilts pabērums</t>
  </si>
  <si>
    <t>4-1-57</t>
  </si>
  <si>
    <t>Liekās grunts aizvešana</t>
  </si>
  <si>
    <t>4-1-58</t>
  </si>
  <si>
    <t>Aizsargčaula dn200 L=0,5</t>
  </si>
  <si>
    <t>Kopā iekšējie K-1 tīkli :</t>
  </si>
  <si>
    <t>Ārējie kanalizācijas tīkli. Attīrīšanas ietaises.</t>
  </si>
  <si>
    <t>Ārējā kanalizācija K-1</t>
  </si>
  <si>
    <t>Caurules dn200 pvc t8 montāža</t>
  </si>
  <si>
    <t>Caurules dn315/200 rupniski izoletas pvc t8 montāža</t>
  </si>
  <si>
    <t>Gala uzmava dn315/200</t>
  </si>
  <si>
    <t>Skataka dn200/400/r40 BSB h=1,5m</t>
  </si>
  <si>
    <t>Čuguna lūkas apbetonešana dn700  0,2m3  z.z</t>
  </si>
  <si>
    <t>Čuguna lūkas apbetonešana dn400  0,15m3  z.z</t>
  </si>
  <si>
    <t>Dz/bet. grodu aka dn1000  h=1,2 spiedena dzēšanas aka</t>
  </si>
  <si>
    <t>Caurules dn63 PE montāža</t>
  </si>
  <si>
    <t>Em līkums dn63-90*</t>
  </si>
  <si>
    <t>Atloku adapters dn63/50</t>
  </si>
  <si>
    <t>Atloku aizbīdnis dn100</t>
  </si>
  <si>
    <t>Vītņu stienis ar saskrūvi</t>
  </si>
  <si>
    <t>Aizsargčaula dn63</t>
  </si>
  <si>
    <t>Dz/bet. grodu aka dn2000  h=3,03m</t>
  </si>
  <si>
    <t>Fekālais dozēšanas sūknis ar automātiku</t>
  </si>
  <si>
    <t xml:space="preserve">Bioloģiskā attīrīšanas iekārta Q=2,2m3/dnn ar kompresoru </t>
  </si>
  <si>
    <t>Korķis dn200 pp</t>
  </si>
  <si>
    <t>PP uzmavas dn200</t>
  </si>
  <si>
    <t>Līkums dn200-45*/15*</t>
  </si>
  <si>
    <t>Pāreja dn200/160</t>
  </si>
  <si>
    <t>Pāreja dn160/110</t>
  </si>
  <si>
    <t>CCTV</t>
  </si>
  <si>
    <t>Digitālā uzmērīšana un trases nospraušana</t>
  </si>
  <si>
    <t>Aizsargčaula dn200</t>
  </si>
  <si>
    <t>K1 izlaide grāvi</t>
  </si>
  <si>
    <t>Rakšanas darbi</t>
  </si>
  <si>
    <t>Aizbēršana blietējot</t>
  </si>
  <si>
    <t>Pabērums blietējot</t>
  </si>
  <si>
    <t>Liekās zemes aizvešana</t>
  </si>
  <si>
    <t>Šķērsojumi ar pazemes komunikācijām</t>
  </si>
  <si>
    <t>Kopā ārējie K-1 tīkli :</t>
  </si>
  <si>
    <t>Lietus ūdens kanalizācijas tīkli.</t>
  </si>
  <si>
    <r>
      <t xml:space="preserve">Objekta nosaukums : </t>
    </r>
    <r>
      <rPr>
        <b/>
        <sz val="10"/>
        <rFont val="Arial"/>
        <family val="2"/>
        <charset val="186"/>
      </rPr>
      <t xml:space="preserve"> Automašīnu stāvlaukums ar kases māju jaunbūve</t>
    </r>
  </si>
  <si>
    <t>Objekta adrese :   ''Slodas'', Kalsnavas pagasts, Madonas novads</t>
  </si>
  <si>
    <t>Lietus kanalizācija K-2</t>
  </si>
  <si>
    <t>Caurule dn200 pvc t8 montāža</t>
  </si>
  <si>
    <t>Caurule dn250 pvc t8 montāža</t>
  </si>
  <si>
    <t>Caurule dn315 pvc t8 montāža</t>
  </si>
  <si>
    <t>Caurule dn400 pvc t8 montāža</t>
  </si>
  <si>
    <t>Caurule dn560/400 rupniski izoleta pvc t8 montāža</t>
  </si>
  <si>
    <t>Gala uzmava dn560/400</t>
  </si>
  <si>
    <t>Naftas atdalītājs Q=40l/s</t>
  </si>
  <si>
    <t>STORM N lietus ūdens nosed aka dn200/400/r40 H=1,7m</t>
  </si>
  <si>
    <t>STORM  lietus ūdens nosed aka dn250/630/r40 H=1,7m</t>
  </si>
  <si>
    <t>STORM PRO lietus ūdens nosed aka dn315/630/r40 H=1,7m</t>
  </si>
  <si>
    <t>Lietus gūlija dn400/200/r40</t>
  </si>
  <si>
    <t>Dz/bet grodu aka dn1500  h=1,3m</t>
  </si>
  <si>
    <t>Aizsargčaula dn250</t>
  </si>
  <si>
    <t>Aizsargčaula dn315</t>
  </si>
  <si>
    <t>6-1-17</t>
  </si>
  <si>
    <t>Aizsargčaula dn400</t>
  </si>
  <si>
    <t>6-1-18</t>
  </si>
  <si>
    <t>6-1-19</t>
  </si>
  <si>
    <t>6-1-20</t>
  </si>
  <si>
    <t>Rakšana</t>
  </si>
  <si>
    <t>6-1-21</t>
  </si>
  <si>
    <t>6-1-22</t>
  </si>
  <si>
    <t>6-1-23</t>
  </si>
  <si>
    <t>6-1-24</t>
  </si>
  <si>
    <t>6-1-25</t>
  </si>
  <si>
    <t>Caurtekas d 500mm izbūve ieskaitot smilts pabērumu un caurtekas apbēršanu blietējot</t>
  </si>
  <si>
    <t>Kopā ārējie K-2 tīkli :</t>
  </si>
  <si>
    <t>Ārējie ūdensvada tīkli</t>
  </si>
  <si>
    <t xml:space="preserve">                           (darba veids vai konstruktīvā elementa nosaukums)</t>
  </si>
  <si>
    <t>Ārējais ūdensvads Ū-1</t>
  </si>
  <si>
    <t>Caurules PE PN10 dn50 montāža</t>
  </si>
  <si>
    <t>Em līkums dn50-90*</t>
  </si>
  <si>
    <t>Atloku adapters dn40/50pe</t>
  </si>
  <si>
    <t>Ū-1 ievads ēkā</t>
  </si>
  <si>
    <t>7-1-5</t>
  </si>
  <si>
    <t>7-1-6</t>
  </si>
  <si>
    <t>7-1-7</t>
  </si>
  <si>
    <t>7-1-8</t>
  </si>
  <si>
    <t>7-1-9</t>
  </si>
  <si>
    <t>Kopā ārējie Ū-1 tīkli :</t>
  </si>
  <si>
    <t xml:space="preserve">  (darba veids vai konstruktīvā elementa nosaukums)</t>
  </si>
  <si>
    <t>Sagatavošanas darbi</t>
  </si>
  <si>
    <t>Uzmērīšana un nospraušana</t>
  </si>
  <si>
    <t>Krūmu zāģēšana</t>
  </si>
  <si>
    <r>
      <t>m</t>
    </r>
    <r>
      <rPr>
        <vertAlign val="superscript"/>
        <sz val="10"/>
        <rFont val="Arial"/>
        <family val="2"/>
        <charset val="186"/>
      </rPr>
      <t>2</t>
    </r>
  </si>
  <si>
    <t>8-2</t>
  </si>
  <si>
    <t>Zemes klātne</t>
  </si>
  <si>
    <t>8-2-3</t>
  </si>
  <si>
    <t>Augu zemes noņemšana hvid=20cm</t>
  </si>
  <si>
    <t>8-2-4</t>
  </si>
  <si>
    <t>Ierakuma izbūve grunti pārvietojot uzbērumā (tai skaitā uzbēruma blīvēšana)</t>
  </si>
  <si>
    <t>8-2-5</t>
  </si>
  <si>
    <t>Ierakuma izbūve, grunti pārvietojot uz atbērtni</t>
  </si>
  <si>
    <t>8-2-6</t>
  </si>
  <si>
    <t>Grāvju rakšana, grunti pārvietojot uz atbērtni</t>
  </si>
  <si>
    <t>8-3</t>
  </si>
  <si>
    <t>Ar saistvielām saistītās konstruktīvās kārtas</t>
  </si>
  <si>
    <t>8-3-7</t>
  </si>
  <si>
    <r>
      <t xml:space="preserve">A/b AC 11 surf, h=4cm, AADT </t>
    </r>
    <r>
      <rPr>
        <vertAlign val="subscript"/>
        <sz val="10"/>
        <rFont val="Arial"/>
        <family val="2"/>
        <charset val="186"/>
      </rPr>
      <t>j,pievestā</t>
    </r>
    <r>
      <rPr>
        <sz val="10"/>
        <rFont val="Arial"/>
        <family val="2"/>
        <charset val="186"/>
      </rPr>
      <t>≤500 būvniecība</t>
    </r>
  </si>
  <si>
    <t>8-3-8</t>
  </si>
  <si>
    <r>
      <t xml:space="preserve">A/b AC 16 base/bin, h=6cm,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</t>
    </r>
  </si>
  <si>
    <t>8-4</t>
  </si>
  <si>
    <t>Ar saistvielām nesaistītās konstruktīvās kārtas</t>
  </si>
  <si>
    <t>8-4-9</t>
  </si>
  <si>
    <t>Salizturīgās kārtas būvniecība, h=50cm</t>
  </si>
  <si>
    <t>8-4-10</t>
  </si>
  <si>
    <t>Salizturīgās kārtas būvniecība, h=30 vai 75 zem ietves betona bruģakmens</t>
  </si>
  <si>
    <t>8-4-11</t>
  </si>
  <si>
    <r>
      <t xml:space="preserve">Šķembu maisījuma 0/32s, h=10cm,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</t>
    </r>
  </si>
  <si>
    <t>8-4-12</t>
  </si>
  <si>
    <r>
      <t xml:space="preserve">Šķembu maisījuma 0/32s, h=15cm,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</t>
    </r>
  </si>
  <si>
    <t>8-4-13</t>
  </si>
  <si>
    <r>
      <t xml:space="preserve">Šķembu maisījuma 0/32s, garenprofila salaiduma viedošanai trases beigās 25m garumā,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</t>
    </r>
  </si>
  <si>
    <t>8-4-14</t>
  </si>
  <si>
    <r>
      <t xml:space="preserve">Šķembu maisījuma 0/45, h=14cm,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</t>
    </r>
  </si>
  <si>
    <t>8-4-15</t>
  </si>
  <si>
    <r>
      <t xml:space="preserve">Šķembu maisījuma 0/56, h=18cm,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</t>
    </r>
  </si>
  <si>
    <t>8-4-16</t>
  </si>
  <si>
    <r>
      <t xml:space="preserve">Šķembu maisījuma 0/56, h=20cm,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</t>
    </r>
  </si>
  <si>
    <t>8-4-17</t>
  </si>
  <si>
    <r>
      <t xml:space="preserve">Šķembu maisījuma 0/45, h=20cm,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</t>
    </r>
  </si>
  <si>
    <t>8-4-18</t>
  </si>
  <si>
    <r>
      <t xml:space="preserve">Šķembu maisījuma 0/45, h=15cm,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</t>
    </r>
  </si>
  <si>
    <t>8-4-19</t>
  </si>
  <si>
    <r>
      <t xml:space="preserve">Šķembu maisījuma 0/32p, h=12cm,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</t>
    </r>
  </si>
  <si>
    <t>8-4-20</t>
  </si>
  <si>
    <r>
      <t xml:space="preserve">Šķembu maisījuma 0/45, h=10cm,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būvniecība, zem brauktuves betona apmalēm</t>
    </r>
  </si>
  <si>
    <t>8-4-21</t>
  </si>
  <si>
    <r>
      <t xml:space="preserve">Šķembu maisījuma 0/45, h=36cm,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būvniecība, gar jaunizbūvējamo bortu</t>
    </r>
  </si>
  <si>
    <t>8-4-22</t>
  </si>
  <si>
    <r>
      <t xml:space="preserve">Šķembu maisījuma 0/32p, hvid=18cm, AADT </t>
    </r>
    <r>
      <rPr>
        <vertAlign val="subscript"/>
        <sz val="10"/>
        <rFont val="Arial"/>
        <family val="2"/>
        <charset val="186"/>
      </rPr>
      <t>j,smagie</t>
    </r>
    <r>
      <rPr>
        <sz val="10"/>
        <rFont val="Arial"/>
        <family val="2"/>
        <charset val="186"/>
      </rPr>
      <t>≤100 būvniecība, zem ietves betona apmalēm</t>
    </r>
  </si>
  <si>
    <t>8-4-23</t>
  </si>
  <si>
    <t>Grāvja teknes nostiprināšana ar akmeņu šķembu bērumu, h=15cm (no Pk 2+53 - 4+50)</t>
  </si>
  <si>
    <t>8-5</t>
  </si>
  <si>
    <t>Caurtekas un konstrukcijas</t>
  </si>
  <si>
    <t>8-5-24</t>
  </si>
  <si>
    <t>Caurteka d=0.4m, L=7.5m, tai skaitā: Būvbedres rakšana 4.6m3, Smilts caurtekas pamats 0.9m3, apbēršana ar smilti 2.76 m3, Caurteku galu nostiprināšana ar preterozijas ģeopaklāju 4m2)</t>
  </si>
  <si>
    <t>8-5-25</t>
  </si>
  <si>
    <t>Caurteka d=0.4m, L=8.5m, tai skaitā: Būvbedres rakšana 5.2m3, Smilts caurtekas pamats 1.1m3, apbēršana ar smilti 3.2 m3, Caurteku galu nostiprināšana ar preterozijas ģeopaklāju 4m2)</t>
  </si>
  <si>
    <t>8-5-26</t>
  </si>
  <si>
    <t>Caurteka d=0.5m, L=10.5m, tai skaitā: Būvbedres rakšana 30.2m3, Smilts caurtekas pamats 1.6m3, apbēršana ar smilti 26.7 m3, Caurteku galu nostiprināšana ar preterozijas ģeopaklāju 6m2)</t>
  </si>
  <si>
    <t>8-5-27</t>
  </si>
  <si>
    <t>Betona apmaļu Br.100.30.15 uz betona C16/20 pamata būvniecība</t>
  </si>
  <si>
    <t>8-5-28</t>
  </si>
  <si>
    <t>Betona apmaļu Br.100.30/22.15 uz betona C16/20 pamata būvniecība</t>
  </si>
  <si>
    <t>8-5-29</t>
  </si>
  <si>
    <t>Betona apmaļu Br.100.22.15 uz betona C16/20 pamata būvniecība</t>
  </si>
  <si>
    <t>8-5-30</t>
  </si>
  <si>
    <t>Betona apmaļu Br.100.20.8 uz betona C16/20 pamata būvniecība</t>
  </si>
  <si>
    <t>8-5-31</t>
  </si>
  <si>
    <t>Sausais betona maisījums ar cementa/smilts attiecību 1:8,  h=3cm</t>
  </si>
  <si>
    <r>
      <t>m</t>
    </r>
    <r>
      <rPr>
        <vertAlign val="superscript"/>
        <sz val="10"/>
        <rFont val="Arial"/>
        <family val="2"/>
        <charset val="186"/>
      </rPr>
      <t>2</t>
    </r>
    <r>
      <rPr>
        <sz val="10"/>
        <rFont val="Arial"/>
        <family val="2"/>
        <charset val="186"/>
      </rPr>
      <t/>
    </r>
  </si>
  <si>
    <t>8-5-32</t>
  </si>
  <si>
    <t>Dabīgā akmens bruģis fr150/200, h=20cm ķīlēts ar smilti</t>
  </si>
  <si>
    <t>8-5-33</t>
  </si>
  <si>
    <t>Betona bruģis h=6cm</t>
  </si>
  <si>
    <t>8-5-34</t>
  </si>
  <si>
    <t>Betona bruģis h=8cm</t>
  </si>
  <si>
    <t>8-6</t>
  </si>
  <si>
    <t>Aprīkojums</t>
  </si>
  <si>
    <t>8-6-35</t>
  </si>
  <si>
    <t>Horizontālā apzīmējuma Nr. 920 uzklāšana</t>
  </si>
  <si>
    <t>8-6-36</t>
  </si>
  <si>
    <t>Horizontālā apzīmējuma Nr. 942 uzklāšana</t>
  </si>
  <si>
    <t>8-6-37</t>
  </si>
  <si>
    <t>Ceļa zīme Nr.206</t>
  </si>
  <si>
    <t>8-6-38</t>
  </si>
  <si>
    <t>Ceļa zīme Nr.301</t>
  </si>
  <si>
    <t>8-6-39</t>
  </si>
  <si>
    <t>Ceļa zīme Nr.315</t>
  </si>
  <si>
    <t>8-6-40</t>
  </si>
  <si>
    <t>Ceļa zīme Nr.401</t>
  </si>
  <si>
    <t>8-6-41</t>
  </si>
  <si>
    <t>Ceļa zīme Nr.402</t>
  </si>
  <si>
    <t>8-6-42</t>
  </si>
  <si>
    <t>Ceļa zīme Nr.532</t>
  </si>
  <si>
    <t>8-6-43</t>
  </si>
  <si>
    <t>Ceļa zīme Nr.613</t>
  </si>
  <si>
    <t>8-6-44</t>
  </si>
  <si>
    <t>Ceļa zīme Nr.811</t>
  </si>
  <si>
    <t>8-6-45</t>
  </si>
  <si>
    <t>Ceļa zīme Nr.815</t>
  </si>
  <si>
    <t>8-6-46</t>
  </si>
  <si>
    <t>Ceļa zīme Nr.816</t>
  </si>
  <si>
    <t>8-6-47</t>
  </si>
  <si>
    <t>Cinkoti metāla ceļa zīmju balsti</t>
  </si>
  <si>
    <t>8-6-48</t>
  </si>
  <si>
    <t>Augu zemes atjaunošana, apsējot ar zālāja sēklām, h=15cm</t>
  </si>
  <si>
    <t>8-6-49</t>
  </si>
  <si>
    <t>Impregnēts koka galds 1,2x1,7m, komplektā ar diviem impregnētiem koka soliem ar atzveltni 2,5x0,4m</t>
  </si>
  <si>
    <t>8-6-50</t>
  </si>
  <si>
    <t>Rūpnieciski ražotas brīvi stāvoša atkritumu urna no nerūsējošā tērauda Ø400mm</t>
  </si>
  <si>
    <t>8-6-51</t>
  </si>
  <si>
    <t>Nerūsējoša tērauda vai karsti cinkotas konstrukcijas velo statīvs 7 vietām</t>
  </si>
  <si>
    <t>8-6-52</t>
  </si>
  <si>
    <t>Sadzīves atritumu konteineri V=660L</t>
  </si>
  <si>
    <t>8-6-53</t>
  </si>
  <si>
    <t>Elektromehāniskā barjera WIL4 (Komplektā ietilpst cinkots, krāsots metāla korpuss, vadības bloks un motors, AL strēle 4m.
Barjera paredzēta max. 4m garai strēlei.
Atvēršanās laiks 3.5s.)</t>
  </si>
  <si>
    <t>8-6-54</t>
  </si>
  <si>
    <t>Karoga masta (h=6m) uzstādīšana gruntī ieskaitot pamata izbūvi (stiklašķiedras karoga masts h=6m; vinčas mehānisms ar slēgto troses sistēmu; papīlaprīkojums; betons pamatam B20-0,14m3; veidņi -2m2; stiprinājumu komplekts</t>
  </si>
  <si>
    <t>8-6-55</t>
  </si>
  <si>
    <t>Metāla nožogojuma izbūve h=1,2m (Metināts žoga siets Palma 75x100mm, Zn+PVC, H1,2m-395m; Bekaclip stabs profilētais 44x2000mm ZN+PVC-158gab solis-2,5m; stiprinājuma klipši, cepurītes)</t>
  </si>
  <si>
    <t>8-6-56</t>
  </si>
  <si>
    <t>Kokaugu stādīšana ieskaitot stādbedres sagatavošanu</t>
  </si>
  <si>
    <t>8-6-57</t>
  </si>
  <si>
    <t>Specializētie darbi - iekšējie tīkli, sistēmas.</t>
  </si>
  <si>
    <t>PN-1</t>
  </si>
  <si>
    <t>9-1-2</t>
  </si>
  <si>
    <t>P1</t>
  </si>
  <si>
    <t>9-1-3</t>
  </si>
  <si>
    <t>Ventilācijas gaisa apstrādes agregāts  ar ventilatoriem pieplūdē un nosūce (ar frekvenču pārveidotājiem) L=1815/1420 m3/h; P=250/150 Pa; ar rotācijas tipa rekuperatoru (ar frekvenču pārveidotāju, ar ūdens kaloriferi Q=10,53 kW; gaisa filtriem F7/F7, gaisa aizvariem pieplūdē un nosūcē ar el.izpildmehānismiem NM24 un automātiskās vadības bloku. KOMFOVENT KOMPAKT-REGO-2000HW-EC</t>
  </si>
  <si>
    <t>k-ts</t>
  </si>
  <si>
    <t>9-1-4</t>
  </si>
  <si>
    <t>Ventilācijas gaisa apstrādes agregāta uzstādīšanas un montāžas rāmis</t>
  </si>
  <si>
    <t>9-1-5</t>
  </si>
  <si>
    <t>Āra gaisa ieņemšanas pretlietus restes ar montāžas rāmi USS 800X400</t>
  </si>
  <si>
    <t>9-1-6</t>
  </si>
  <si>
    <t>Trokšņu slāpētājs STS-150-100-250-600-1150</t>
  </si>
  <si>
    <t>9-1-7</t>
  </si>
  <si>
    <t>Ugunsdrošības vārsts EI60 FDT/S-R-500-250</t>
  </si>
  <si>
    <t>9-1-8</t>
  </si>
  <si>
    <t>Dekoratīvas griestu perforētas pieplūdes restes THB-160</t>
  </si>
  <si>
    <t>9-1-9</t>
  </si>
  <si>
    <t>Spiediena dzēšanas kārbu pieplūdē ar trokšņu slāpējošu oderējumu un iebūvētu gaisa plūsmas regulēšanas vārstu;  ("HALTON") TRI/S-160/160  AC=MSM</t>
  </si>
  <si>
    <t>9-1-10</t>
  </si>
  <si>
    <t>Gaisa plūsmas regulējošs vārsts UTK 500x250</t>
  </si>
  <si>
    <t>9-1-11</t>
  </si>
  <si>
    <t>Cinkota skārda gaisa vadi "Spiro" D=160</t>
  </si>
  <si>
    <t>9-1-12</t>
  </si>
  <si>
    <t>Cinkota skārda gaisa vadi "Spiro" D=250</t>
  </si>
  <si>
    <t>9-1-13</t>
  </si>
  <si>
    <t>Cinkota skārda gaisa vadi "Spiro" D=315</t>
  </si>
  <si>
    <t>9-1-14</t>
  </si>
  <si>
    <t>Cinkota skārda gaisa vadi ar atlokiem savienojumam ar blīvgumijām 400x300</t>
  </si>
  <si>
    <t>9-1-15</t>
  </si>
  <si>
    <t>Cinkota skārda gaisa vadi ar atlokiem savienojumam ar blīvgumijām 500x250</t>
  </si>
  <si>
    <t>9-1-16</t>
  </si>
  <si>
    <t>Cinkota skārda gaisa vadi ar atlokiem savienojumam ar blīvgumijām 600x250</t>
  </si>
  <si>
    <t>9-1-17</t>
  </si>
  <si>
    <t>Cinkota skārda gaisa vadi ar atlokiem savienojumam ar blīvgumijām 800x400</t>
  </si>
  <si>
    <t>9-1-18</t>
  </si>
  <si>
    <t>Gaisa vadu veidgabali</t>
  </si>
  <si>
    <t>9-1-19</t>
  </si>
  <si>
    <r>
      <t>Gaisa vada līkums 90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D=160</t>
    </r>
  </si>
  <si>
    <t>9-1-20</t>
  </si>
  <si>
    <r>
      <t>Gaisa vada līkums 90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atlokiem savienojumam ar gumijas blīvgumijām 500x250</t>
    </r>
  </si>
  <si>
    <t>9-1-21</t>
  </si>
  <si>
    <r>
      <t>Gaisa vada līkums 90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atlokiem savienojumam ar gumijas blīvgumijām 250x500</t>
    </r>
  </si>
  <si>
    <t>9-1-22</t>
  </si>
  <si>
    <r>
      <t>Gaisa vada līkums 90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atlokiem savienojumam ar gumijas blīvgumijām 300x400</t>
    </r>
  </si>
  <si>
    <t>9-1-23</t>
  </si>
  <si>
    <r>
      <t>Gaisa vada līkums 60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atlokiem savienojumam ar gumijas blīvgumijām 250x600</t>
    </r>
  </si>
  <si>
    <t>9-1-24</t>
  </si>
  <si>
    <r>
      <t>Gaisa vada līkums 30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atlokiem savienojumam ar gumijas blīvgumijām 250x600</t>
    </r>
  </si>
  <si>
    <t>9-1-25</t>
  </si>
  <si>
    <t>Gaisa vada pāreja ar gumijas blīvgredzeniem 160/250 (1)</t>
  </si>
  <si>
    <t>9-1-26</t>
  </si>
  <si>
    <t>Gaisa vada pāreja ar gumijas blīvgredzeniem 250/315 (1)</t>
  </si>
  <si>
    <t>9-1-27</t>
  </si>
  <si>
    <t>Gaisa vada pāreja ar gumijas blīvgumiju un atloku vienā galā 315/500x250 (1)</t>
  </si>
  <si>
    <t>9-1-28</t>
  </si>
  <si>
    <t>Gaisa vada pāreja ar atlokiem savienojumam ar gumijas blīvgumijām 500x250/600x250 (1)</t>
  </si>
  <si>
    <t>9-1-29</t>
  </si>
  <si>
    <t>Gaisa vada pāreja ar atlokiem savienojumam ar gumijas blīvgumijām 500x250/300x400 (1)</t>
  </si>
  <si>
    <t>9-1-30</t>
  </si>
  <si>
    <t>Gaisa vada pāreja ar atlokiem savienojumam ar gumijas blīvgumijām 300x400/400x300 (1)</t>
  </si>
  <si>
    <t>9-1-31</t>
  </si>
  <si>
    <t>Sānu pievienojums ar gumijas blīvgredzenu 160/250</t>
  </si>
  <si>
    <t>9-1-32</t>
  </si>
  <si>
    <t>Sānu pievienojums ar gumijas blīvgredzenu 160/315</t>
  </si>
  <si>
    <t>9-1-33</t>
  </si>
  <si>
    <t>Sānu pievienojums ar gumijas blīvgredzenu plakanai virsmai D=160</t>
  </si>
  <si>
    <t>9-1-34</t>
  </si>
  <si>
    <t>Sānu pievienojums taisnstūra gaisa vadam ar taisnstūra gaisa vadu 800x400</t>
  </si>
  <si>
    <t>9-1-35</t>
  </si>
  <si>
    <t>Gala noslēgvāks ar atloku savienojumam ar blīvgumiju 400x300</t>
  </si>
  <si>
    <t>9-1-36</t>
  </si>
  <si>
    <t>Savienojuma gredzens ar blīvgumijām D=160</t>
  </si>
  <si>
    <t>9-1-37</t>
  </si>
  <si>
    <t>Savienojuma gredzens ar blīvgumijām D=250</t>
  </si>
  <si>
    <t>9-1-38</t>
  </si>
  <si>
    <t>Savienojuma gredzens ar blīvgumijām D=315</t>
  </si>
  <si>
    <t>9-1-39</t>
  </si>
  <si>
    <t>Gaisa vadu (ar diametru līdz D=250) izolācija ar puscietu akmens vati pārklātu ar alumīnija foliju pastiprinātu ar stikla šķiedras sietu biezumā b=50 mm PAROC  Mat 35 ALC; b=50mm</t>
  </si>
  <si>
    <t>9-1-40</t>
  </si>
  <si>
    <t>Gaisa vadu (ar diametru virs D=250) un taisnstūra gaisa vadiem) izolācija ar puscietu akmens vati pārklātu ar alumīnija foliju pastiprinātu ar stikla šķiedras sietu biezumā b=100 mm PAROC  Mat 35 ALC; b=100mm</t>
  </si>
  <si>
    <t>9-1-41</t>
  </si>
  <si>
    <t>Alumīnija armēta līmlenta izolācijas savienošanai</t>
  </si>
  <si>
    <t>9-1-42</t>
  </si>
  <si>
    <t>Izolācijas stiklašķiedras savilces ar fiksatoriem</t>
  </si>
  <si>
    <t>9-1-43</t>
  </si>
  <si>
    <t>Montāžas palīgmateriāli</t>
  </si>
  <si>
    <t>9-1-44</t>
  </si>
  <si>
    <t>Gaisa vadu stiprinājumi, kronšteini, blīvgumijas</t>
  </si>
  <si>
    <t>9-1-45</t>
  </si>
  <si>
    <t>Caurumu izveidošana un aizdarināšana esošās ēkas konstrukcijās gaisa vadu montāžai:</t>
  </si>
  <si>
    <t>9-1-46</t>
  </si>
  <si>
    <t>Automātiskās vadības sistēmas elektroinstalācija</t>
  </si>
  <si>
    <t>9-1-47</t>
  </si>
  <si>
    <t>Caurumu izveidošana un aizdarināšana ēkas konstrukcijās gaisa vadu montāžai:</t>
  </si>
  <si>
    <t>9-2</t>
  </si>
  <si>
    <t>N1</t>
  </si>
  <si>
    <t>9-2-48</t>
  </si>
  <si>
    <t>Trokšņu slāpētājs STS-100-100-400-300-1250</t>
  </si>
  <si>
    <t>9-2-49</t>
  </si>
  <si>
    <t>Trokšņu slāpētājs STS-100-100-400-600-750</t>
  </si>
  <si>
    <t>9-2-50</t>
  </si>
  <si>
    <t>Gaisa izmešanas pretlietus restes ar montāžas rāmi USS 400x600</t>
  </si>
  <si>
    <t>9-2-51</t>
  </si>
  <si>
    <t>Ugunsdrošības vārsts EI60 FDT/S-R-300-400 RE=MA; FU=65</t>
  </si>
  <si>
    <t>9-2-52</t>
  </si>
  <si>
    <t>Ugunsdrošības pieplūdes ventilis ar montāžas gredzenu FDV-100</t>
  </si>
  <si>
    <t>9-2-53</t>
  </si>
  <si>
    <t>Spiediena dzēšanas kārbu nosūcē ar trokšņu slāpējošu oderējumu un iebūvētu gaisa plūsmas regulēšanas vārstu PRI/B-500x200; AC=MSM</t>
  </si>
  <si>
    <t>9-2-54</t>
  </si>
  <si>
    <t>Dekoratīvas nosūces restes (krāsojums saskaņā ar dizainu) komplektā ar montāžas rāmi AGC/S-500-200-K</t>
  </si>
  <si>
    <t>9-2-55</t>
  </si>
  <si>
    <t>Gaisa plūsmas regulēšanas vārsts IRIS 100</t>
  </si>
  <si>
    <t>9-2-56</t>
  </si>
  <si>
    <t>Cinkota skārda gaisa vadi "Spiro" D=100</t>
  </si>
  <si>
    <t>9-2-57</t>
  </si>
  <si>
    <t>Cinkota skārda gaisa vadi "Spiro" D=125</t>
  </si>
  <si>
    <t>9-2-58</t>
  </si>
  <si>
    <t>9-2-59</t>
  </si>
  <si>
    <t>9-2-60</t>
  </si>
  <si>
    <t>9-2-61</t>
  </si>
  <si>
    <t>9-2-62</t>
  </si>
  <si>
    <t>Cinkota skārda gaisa vadi ar atlokiem savienojumam ar blīvgumijām 400x600</t>
  </si>
  <si>
    <t>9-2-63</t>
  </si>
  <si>
    <t>Cinkota skārda gaisa vadi ar atlokiem savienojumam ar blīvgumijām 500x200</t>
  </si>
  <si>
    <t>9-2-64</t>
  </si>
  <si>
    <t>9-2-65</t>
  </si>
  <si>
    <r>
      <t>Gaisa vada līkums 30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atlokiem savienojumam ar gumijas blīvgumijām 250x500</t>
    </r>
  </si>
  <si>
    <t>9-2-66</t>
  </si>
  <si>
    <t>9-2-67</t>
  </si>
  <si>
    <r>
      <t>Gaisa vada līkums 90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atlokiem savienojumam ar gumijas blīvgumijām 400x300</t>
    </r>
  </si>
  <si>
    <t>9-2-68</t>
  </si>
  <si>
    <t>Gaisa vada pāreja ar gumijas blīvgredzeniem 100/160 (1)</t>
  </si>
  <si>
    <t>9-2-69</t>
  </si>
  <si>
    <t>9-2-70</t>
  </si>
  <si>
    <t>9-2-71</t>
  </si>
  <si>
    <t>Gaisa vada pāreja ar atloku vienā galā 315/400x300 (1)</t>
  </si>
  <si>
    <t>9-2-72</t>
  </si>
  <si>
    <t>Sānu pievienojums ar gumijas blīvgredzenu  250/250</t>
  </si>
  <si>
    <t>9-2-73</t>
  </si>
  <si>
    <t>Sānu pievienojums ar gumijas blīvgredzenu  250/315</t>
  </si>
  <si>
    <t>9-2-74</t>
  </si>
  <si>
    <t>Sānu pievienojums taisnstūra gaisa vadam ar taisnstūra gaisa vadu 600x400</t>
  </si>
  <si>
    <t>9-2-75</t>
  </si>
  <si>
    <t>Savienojuma gredzens ar gumijas blīvgredzeniem D=250</t>
  </si>
  <si>
    <t>9-2-76</t>
  </si>
  <si>
    <t>9-2-77</t>
  </si>
  <si>
    <t>9-2-78</t>
  </si>
  <si>
    <t>9-2-79</t>
  </si>
  <si>
    <t>9-2-80</t>
  </si>
  <si>
    <t>9-2-81</t>
  </si>
  <si>
    <t>9-2-82</t>
  </si>
  <si>
    <t>9-3</t>
  </si>
  <si>
    <t>P2</t>
  </si>
  <si>
    <t>9-3-83</t>
  </si>
  <si>
    <t>Ventilācijas gaisa apstrādes agregāts  ar ventilatoriem pieplūdē un nosūce (ar frekvenču pārveidotājiem) L=1175/740 m3/h; P=300/150 Pa; ar rotācijas tipa rekuperatoru (ar frekvenču pārveidotāju, ar ūdens kaloriferi Q=4,69 kW; gaisa filtriem F7/F7, gaisa aizvariem pieplūdē un nosūcē ar el.izpildmehānismiem NM24 un automātiskās vadības bloku. KOMFOVENT KOMPAKT-REGO-1200VW-EC</t>
  </si>
  <si>
    <t>9-3-84</t>
  </si>
  <si>
    <t>9-3-85</t>
  </si>
  <si>
    <t>Āra gaisa ieņemšanas pretlietus restes ar montāžas rāmi USS 400X400</t>
  </si>
  <si>
    <t>9-3-86</t>
  </si>
  <si>
    <t>Trokšņu slāpētājs AGS-125-50-900</t>
  </si>
  <si>
    <t>9-3-87</t>
  </si>
  <si>
    <t>Trokšņu slāpētājs AGS-250-50-900</t>
  </si>
  <si>
    <t>9-3-88</t>
  </si>
  <si>
    <t>9-3-89</t>
  </si>
  <si>
    <t>Gaisa plūsmas regulēšanas vārsts IRIS 125</t>
  </si>
  <si>
    <t>9-3-90</t>
  </si>
  <si>
    <t>Gaisa plūsmas regulēšanas vārsts IRIS 160</t>
  </si>
  <si>
    <t>9-3-91</t>
  </si>
  <si>
    <t>Gaisa plūsmas regulēšanas vārsts IRIS 250</t>
  </si>
  <si>
    <t>9-3-92</t>
  </si>
  <si>
    <t>Dekoratīvas dubultregulējamas pieplūdes restes ar montāžas rāmi un regulējamu gaisa vārstu WTS 200x100-K-S</t>
  </si>
  <si>
    <t>9-3-93</t>
  </si>
  <si>
    <t>Gaisa pieplūdes ventilis ar montāžas gredzenu KE-100</t>
  </si>
  <si>
    <t>9-3-94</t>
  </si>
  <si>
    <t>Gaisa pieplūdes ventilis ar montāžas gredzenu KE-125</t>
  </si>
  <si>
    <t>9-3-95</t>
  </si>
  <si>
    <t>Gaisa pieplūdes ventilis ar montāžas gredzenu KE-160</t>
  </si>
  <si>
    <t>9-3-96</t>
  </si>
  <si>
    <t>Ugunsdrošības vārsts EI60 FDI 125; RE=MA; FU=65</t>
  </si>
  <si>
    <t>9-3-97</t>
  </si>
  <si>
    <t>Ugunsdrošības vārsts EI60 FDI 250; RE=MA; FU=65</t>
  </si>
  <si>
    <t>9-3-98</t>
  </si>
  <si>
    <t>9-3-99</t>
  </si>
  <si>
    <t>9-3-100</t>
  </si>
  <si>
    <t>9-3-101</t>
  </si>
  <si>
    <t>Cinkota skārda gaisa vadi "Spiro" D=200</t>
  </si>
  <si>
    <t>9-3-102</t>
  </si>
  <si>
    <t>9-3-103</t>
  </si>
  <si>
    <t>Cinkota skārda gaisa vadi ar atlokiem savienojumam ar blīvgumijām 200x100</t>
  </si>
  <si>
    <t>9-3-104</t>
  </si>
  <si>
    <t>Cinkota skārda gaisa vadi ar atlokiem savienojumam ar blīvgumijām 400x200</t>
  </si>
  <si>
    <t>9-3-105</t>
  </si>
  <si>
    <t>Cinkota skārda gaisa vadi ar atlokiem savienojumam ar blīvgumijām 400x400</t>
  </si>
  <si>
    <t>9-3-106</t>
  </si>
  <si>
    <t>9-3-107</t>
  </si>
  <si>
    <r>
      <t>Gaisa vada līkums 90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D=100</t>
    </r>
  </si>
  <si>
    <t>9-3-108</t>
  </si>
  <si>
    <r>
      <t>Gaisa vada līkums 90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D=125</t>
    </r>
  </si>
  <si>
    <t>9-3-109</t>
  </si>
  <si>
    <t>9-3-110</t>
  </si>
  <si>
    <r>
      <t>Gaisa vada līkums 90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D=200</t>
    </r>
  </si>
  <si>
    <t>9-3-111</t>
  </si>
  <si>
    <r>
      <t>Gaisa vada līkums 90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D=250</t>
    </r>
  </si>
  <si>
    <t>9-3-112</t>
  </si>
  <si>
    <r>
      <t>Gaisa vada līkums 45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D=250</t>
    </r>
  </si>
  <si>
    <t>9-3-113</t>
  </si>
  <si>
    <t>Gaisa vada pāreja ar gumijas blīvgredzeniem 100/125 (1)</t>
  </si>
  <si>
    <t>9-3-114</t>
  </si>
  <si>
    <t>9-3-115</t>
  </si>
  <si>
    <t>Gaisa vada pāreja ar gumijas blīvgredzeniem 160/200 (1)</t>
  </si>
  <si>
    <t>9-3-116</t>
  </si>
  <si>
    <t>Gaisa vada pāreja ar atloku vienā galā 160/200x100 (1)</t>
  </si>
  <si>
    <t>9-3-117</t>
  </si>
  <si>
    <t>Gaisa vada pāreja ar atloku vienā galā 200/400x200 (1)</t>
  </si>
  <si>
    <t>9-3-118</t>
  </si>
  <si>
    <t>Gaisa vada pāreja ar atloku vienā galā 250/400x200 (1)</t>
  </si>
  <si>
    <t>9-3-119</t>
  </si>
  <si>
    <t>Gaisa vada pāreja ar atloku vienā galā 250/400x400 (1)</t>
  </si>
  <si>
    <t>9-3-120</t>
  </si>
  <si>
    <t>Sānu pievienojums ar gumijas blīvgredzenu 100/100</t>
  </si>
  <si>
    <t>9-3-121</t>
  </si>
  <si>
    <t>Sānu pievienojums ar gumijas blīvgredzenu 100/160</t>
  </si>
  <si>
    <t>9-3-122</t>
  </si>
  <si>
    <t>Sānu pievienojums ar gumijas blīvgredzenu 100/200</t>
  </si>
  <si>
    <t>9-3-123</t>
  </si>
  <si>
    <t>Sānu pievienojums ar gumijas blīvgredzenu 125/125</t>
  </si>
  <si>
    <t>9-3-124</t>
  </si>
  <si>
    <t>Sānu pievienojums ar gumijas blīvgredzenu 125/250</t>
  </si>
  <si>
    <t>9-3-125</t>
  </si>
  <si>
    <t>Sānu pievienojums ar gumijas blīvgredzenu 160/160</t>
  </si>
  <si>
    <t>9-3-126</t>
  </si>
  <si>
    <t>Sānu pievienojums ar gumijas blīvgredzenu 160/200</t>
  </si>
  <si>
    <t>9-3-127</t>
  </si>
  <si>
    <t>9-3-128</t>
  </si>
  <si>
    <t>Savienojuma gredzens ar blīvgumijām D=100</t>
  </si>
  <si>
    <t>9-3-129</t>
  </si>
  <si>
    <t>Savienojuma gredzens ar blīvgumijām D=125</t>
  </si>
  <si>
    <t>9-3-130</t>
  </si>
  <si>
    <t>Savienojuma gredzens ar blīvgumijām D=200</t>
  </si>
  <si>
    <t>9-3-131</t>
  </si>
  <si>
    <t>9-3-132</t>
  </si>
  <si>
    <t>9-3-133</t>
  </si>
  <si>
    <t>9-3-134</t>
  </si>
  <si>
    <t>9-3-135</t>
  </si>
  <si>
    <t>9-3-136</t>
  </si>
  <si>
    <t>9-3-137</t>
  </si>
  <si>
    <t>9-3-138</t>
  </si>
  <si>
    <t>9-4</t>
  </si>
  <si>
    <t>N2</t>
  </si>
  <si>
    <t>9-4-139</t>
  </si>
  <si>
    <t>9-4-140</t>
  </si>
  <si>
    <t>9-4-141</t>
  </si>
  <si>
    <t>Trokšņu slāpētājs AGS-200-50-900</t>
  </si>
  <si>
    <t>9-4-142</t>
  </si>
  <si>
    <t>9-4-143</t>
  </si>
  <si>
    <t>Ugunsdrošības vārsts EI60 FDI 100; RE=MA; FU=65</t>
  </si>
  <si>
    <t>9-4-144</t>
  </si>
  <si>
    <t>9-4-145</t>
  </si>
  <si>
    <t>Ugunsdrošības vārsts EI60 FDI 200; RE=MA; FU=65</t>
  </si>
  <si>
    <t>9-4-146</t>
  </si>
  <si>
    <t>Dekoratīvas nosūces restes (krāsojums saskaņā ar dizainu) komplektā ar montāžas rāmi un regulējamu gaisa vārstu USR 200x100-K-S</t>
  </si>
  <si>
    <t>9-4-147</t>
  </si>
  <si>
    <t>9-4-148</t>
  </si>
  <si>
    <t>9-4-149</t>
  </si>
  <si>
    <t>9-4-150</t>
  </si>
  <si>
    <t>Gaisa nosūces ventilis ar montāžas gredzenu KK-100</t>
  </si>
  <si>
    <t>9-4-151</t>
  </si>
  <si>
    <t>Gaisa nosūces ventilis ar montāžas gredzenu KK-125</t>
  </si>
  <si>
    <t>9-4-152</t>
  </si>
  <si>
    <t>9-4-153</t>
  </si>
  <si>
    <t>9-4-154</t>
  </si>
  <si>
    <t>9-4-155</t>
  </si>
  <si>
    <t>9-4-156</t>
  </si>
  <si>
    <t>9-4-157</t>
  </si>
  <si>
    <t>9-4-158</t>
  </si>
  <si>
    <t>9-4-159</t>
  </si>
  <si>
    <t>9-4-160</t>
  </si>
  <si>
    <t>9-4-161</t>
  </si>
  <si>
    <r>
      <t>Gaisa vada līkums 45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D=100</t>
    </r>
  </si>
  <si>
    <t>9-4-162</t>
  </si>
  <si>
    <t>9-4-163</t>
  </si>
  <si>
    <r>
      <t>Gaisa vada līkums 45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D=125</t>
    </r>
  </si>
  <si>
    <t>9-4-164</t>
  </si>
  <si>
    <r>
      <t>Gaisa vada līkums 45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D=160</t>
    </r>
  </si>
  <si>
    <t>9-4-165</t>
  </si>
  <si>
    <t>9-4-166</t>
  </si>
  <si>
    <r>
      <t>Gaisa vada līkums 45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D=200</t>
    </r>
  </si>
  <si>
    <t>9-4-167</t>
  </si>
  <si>
    <t>9-4-168</t>
  </si>
  <si>
    <t>9-4-169</t>
  </si>
  <si>
    <r>
      <t>Gaisa vada līkums 90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atlokiem savienojumam ar gumijas blīvgumijām 100x200</t>
    </r>
  </si>
  <si>
    <t>9-4-170</t>
  </si>
  <si>
    <t>9-4-171</t>
  </si>
  <si>
    <t>9-4-172</t>
  </si>
  <si>
    <t>9-4-173</t>
  </si>
  <si>
    <t>Gaisa vada pāreja ar gumijas blīvgredzeniem 200/250 (1)</t>
  </si>
  <si>
    <t>9-4-174</t>
  </si>
  <si>
    <t>Gaisa vada pāreja ar atloku vienā galā 250/400x300 (1)</t>
  </si>
  <si>
    <t>9-4-175</t>
  </si>
  <si>
    <t>Sānu pievienojums ar gumijas blīvgredzenu  100/100</t>
  </si>
  <si>
    <t>9-4-176</t>
  </si>
  <si>
    <t>Sānu pievienojums ar gumijas blīvgredzenu 100/125</t>
  </si>
  <si>
    <t>9-4-177</t>
  </si>
  <si>
    <t>9-4-178</t>
  </si>
  <si>
    <t>Sānu pievienojums ar gumijas blīvgredzenu 100/250</t>
  </si>
  <si>
    <t>9-4-179</t>
  </si>
  <si>
    <t>9-4-180</t>
  </si>
  <si>
    <t>Sānu pievienojums ar gumijas blīvgredzenu 125/200</t>
  </si>
  <si>
    <t>9-4-181</t>
  </si>
  <si>
    <t>9-4-182</t>
  </si>
  <si>
    <t>9-4-183</t>
  </si>
  <si>
    <t>9-4-184</t>
  </si>
  <si>
    <t>9-4-185</t>
  </si>
  <si>
    <t>9-4-186</t>
  </si>
  <si>
    <t>9-4-187</t>
  </si>
  <si>
    <t>9-4-188</t>
  </si>
  <si>
    <t>9-4-189</t>
  </si>
  <si>
    <t>9-5</t>
  </si>
  <si>
    <t>N3</t>
  </si>
  <si>
    <t>9-5-190</t>
  </si>
  <si>
    <r>
      <t>Kanāla tipa ventilators L=75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P=100 Pa; N=0,039 kW ar ieslēgšanas slēdzi un tiristoru ātruma regulatoru "S&amp;P" TD 250/100 HS</t>
    </r>
  </si>
  <si>
    <t>9-5-191</t>
  </si>
  <si>
    <t>Gaisa vada jumtiņš gaisa izmešanai virs jumta AHI-100</t>
  </si>
  <si>
    <t>9-5-192</t>
  </si>
  <si>
    <t>9-5-193</t>
  </si>
  <si>
    <t>9-5-194</t>
  </si>
  <si>
    <t>9-5-195</t>
  </si>
  <si>
    <t>9-5-196</t>
  </si>
  <si>
    <t>9-5-197</t>
  </si>
  <si>
    <t>9-5-198</t>
  </si>
  <si>
    <t>9-5-199</t>
  </si>
  <si>
    <t>9-5-200</t>
  </si>
  <si>
    <t>9-5-201</t>
  </si>
  <si>
    <t>9-5-202</t>
  </si>
  <si>
    <t>9-5-203</t>
  </si>
  <si>
    <t>9-5-204</t>
  </si>
  <si>
    <t>9-5-205</t>
  </si>
  <si>
    <t>9-5-206</t>
  </si>
  <si>
    <t>Ventilatora elektroinstalēšana</t>
  </si>
  <si>
    <t>9-6</t>
  </si>
  <si>
    <t>N4</t>
  </si>
  <si>
    <t>9-6-207</t>
  </si>
  <si>
    <r>
      <t>Kanāla tipa ventilators L=500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P=300 Pa; N=0,128 kW ar ieslēgšanas slēdzi un tiristoru ātruma regulatoru "S&amp;P" TD 800/200 HS</t>
    </r>
  </si>
  <si>
    <t>9-6-208</t>
  </si>
  <si>
    <t>Gaisa vada jumtiņš gaisa izmešanai virs jumta AHI-200</t>
  </si>
  <si>
    <t>9-6-209</t>
  </si>
  <si>
    <t>9-6-210</t>
  </si>
  <si>
    <t>9-6-211</t>
  </si>
  <si>
    <t>9-6-212</t>
  </si>
  <si>
    <t>9-6-213</t>
  </si>
  <si>
    <t>9-6-214</t>
  </si>
  <si>
    <t>9-6-215</t>
  </si>
  <si>
    <t>9-6-216</t>
  </si>
  <si>
    <t>9-6-217</t>
  </si>
  <si>
    <t>9-6-218</t>
  </si>
  <si>
    <t>9-6-219</t>
  </si>
  <si>
    <t>9-6-220</t>
  </si>
  <si>
    <t>9-6-221</t>
  </si>
  <si>
    <t>9-6-222</t>
  </si>
  <si>
    <t>9-6-223</t>
  </si>
  <si>
    <t>9-6-224</t>
  </si>
  <si>
    <t>9-6-225</t>
  </si>
  <si>
    <t>9-6-226</t>
  </si>
  <si>
    <r>
      <t>Gaisa vada līkums 30</t>
    </r>
    <r>
      <rPr>
        <vertAlign val="superscript"/>
        <sz val="10"/>
        <rFont val="Arial"/>
        <family val="2"/>
        <charset val="186"/>
      </rPr>
      <t>o</t>
    </r>
    <r>
      <rPr>
        <sz val="10"/>
        <rFont val="Arial"/>
        <family val="2"/>
        <charset val="186"/>
      </rPr>
      <t xml:space="preserve"> ar gumijas blīvgumijām D=200</t>
    </r>
  </si>
  <si>
    <t>9-6-227</t>
  </si>
  <si>
    <t>9-6-228</t>
  </si>
  <si>
    <t>9-6-229</t>
  </si>
  <si>
    <t>9-6-230</t>
  </si>
  <si>
    <t>9-6-231</t>
  </si>
  <si>
    <t>Sānu pievienojums ar gumijas blīvgredzenu 125/160</t>
  </si>
  <si>
    <t>9-6-232</t>
  </si>
  <si>
    <t>9-6-233</t>
  </si>
  <si>
    <t>9-6-234</t>
  </si>
  <si>
    <t>Gaisa vada pāreja ar gumijas blīvgredzeniem 125/160 (1)</t>
  </si>
  <si>
    <t>9-6-235</t>
  </si>
  <si>
    <t>9-6-236</t>
  </si>
  <si>
    <t>9-6-237</t>
  </si>
  <si>
    <t>9-6-238</t>
  </si>
  <si>
    <t>9-6-239</t>
  </si>
  <si>
    <t>9-6-240</t>
  </si>
  <si>
    <t>9-6-241</t>
  </si>
  <si>
    <t>9-6-242</t>
  </si>
  <si>
    <t>9-7</t>
  </si>
  <si>
    <t>N5</t>
  </si>
  <si>
    <t>9-7-243</t>
  </si>
  <si>
    <r>
      <t>Sadzīves tipa kanāla ventilators L=25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P=23 Pa; N=0,013 kW;  ar ieslēgšanu vienlaicīgi ar apgaismojumu un iemontētu laika releju DECOR-100-CR</t>
    </r>
  </si>
  <si>
    <t>9-7-244</t>
  </si>
  <si>
    <t>9-7-245</t>
  </si>
  <si>
    <t>9-7-246</t>
  </si>
  <si>
    <t>9-7-247</t>
  </si>
  <si>
    <t>9-7-248</t>
  </si>
  <si>
    <t>9-7-249</t>
  </si>
  <si>
    <t>9-7-250</t>
  </si>
  <si>
    <t>9-7-251</t>
  </si>
  <si>
    <t>9-7-252</t>
  </si>
  <si>
    <t>9-7-253</t>
  </si>
  <si>
    <t>9-7-254</t>
  </si>
  <si>
    <t>9-7-255</t>
  </si>
  <si>
    <t>9-7-256</t>
  </si>
  <si>
    <t>9-8</t>
  </si>
  <si>
    <t>N6</t>
  </si>
  <si>
    <t>9-8-257</t>
  </si>
  <si>
    <r>
      <t>Sadzīves tipa kanāla ventilators L=50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P=25 Pa; N=0,013 kW;  ar ieslēgšanu vienlaicīgi ar apgaismojumu un iemontētu laika releju DECOR-100-CR</t>
    </r>
  </si>
  <si>
    <t>9-8-258</t>
  </si>
  <si>
    <t>9-8-259</t>
  </si>
  <si>
    <t>9-8-260</t>
  </si>
  <si>
    <t>9-8-261</t>
  </si>
  <si>
    <t>9-8-262</t>
  </si>
  <si>
    <t>9-8-263</t>
  </si>
  <si>
    <t>9-8-264</t>
  </si>
  <si>
    <t>9-8-265</t>
  </si>
  <si>
    <t>9-8-266</t>
  </si>
  <si>
    <t>9-8-267</t>
  </si>
  <si>
    <t>9-8-268</t>
  </si>
  <si>
    <t>9-8-269</t>
  </si>
  <si>
    <t>9-8-270</t>
  </si>
  <si>
    <t>9-9</t>
  </si>
  <si>
    <t>N7</t>
  </si>
  <si>
    <t>9-9-271</t>
  </si>
  <si>
    <t>9-9-272</t>
  </si>
  <si>
    <t>9-9-273</t>
  </si>
  <si>
    <t>9-9-274</t>
  </si>
  <si>
    <t>9-9-275</t>
  </si>
  <si>
    <t>9-9-276</t>
  </si>
  <si>
    <t>9-9-277</t>
  </si>
  <si>
    <t>9-9-278</t>
  </si>
  <si>
    <t>9-9-279</t>
  </si>
  <si>
    <t>9-9-280</t>
  </si>
  <si>
    <t>9-9-281</t>
  </si>
  <si>
    <t>9-9-282</t>
  </si>
  <si>
    <t>9-9-283</t>
  </si>
  <si>
    <t>9-9-284</t>
  </si>
  <si>
    <t>9-9-285</t>
  </si>
  <si>
    <t>9-10</t>
  </si>
  <si>
    <t>N8</t>
  </si>
  <si>
    <t>9-10-286</t>
  </si>
  <si>
    <r>
      <t>Sadzīves tipa kanāla ventilators L=45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P=24 Pa; N=0,013 kW; n=2500 apgr.min ar ieslēgšanas slēdzi un tiristoru ātruma regulatoru "S&amp;P" DECOR-100-C</t>
    </r>
  </si>
  <si>
    <t>9-10-287</t>
  </si>
  <si>
    <t>9-10-288</t>
  </si>
  <si>
    <t>9-10-289</t>
  </si>
  <si>
    <t>9-10-290</t>
  </si>
  <si>
    <t>9-10-291</t>
  </si>
  <si>
    <t>9-10-292</t>
  </si>
  <si>
    <t>9-10-293</t>
  </si>
  <si>
    <t>9-10-294</t>
  </si>
  <si>
    <t>9-10-295</t>
  </si>
  <si>
    <t>9-10-296</t>
  </si>
  <si>
    <t>9-10-297</t>
  </si>
  <si>
    <t>9-10-298</t>
  </si>
  <si>
    <t>9-10-299</t>
  </si>
  <si>
    <t>9-11</t>
  </si>
  <si>
    <t>N9</t>
  </si>
  <si>
    <t>9-11-300</t>
  </si>
  <si>
    <r>
      <t>Sadzīves tipa kanāla ventilators L=25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P=23 Pa; N=0,013 kW;  ar ar ieslēgšanas slēdzi un tiristoru ātruma regulatoru "S&amp;P" DECOR-100-CR</t>
    </r>
  </si>
  <si>
    <t>9-11-301</t>
  </si>
  <si>
    <t>9-11-302</t>
  </si>
  <si>
    <t>9-11-303</t>
  </si>
  <si>
    <t>9-11-304</t>
  </si>
  <si>
    <t>9-11-305</t>
  </si>
  <si>
    <t>9-11-306</t>
  </si>
  <si>
    <t>9-11-307</t>
  </si>
  <si>
    <t>9-11-308</t>
  </si>
  <si>
    <t>9-11-309</t>
  </si>
  <si>
    <t>9-12</t>
  </si>
  <si>
    <t>N10</t>
  </si>
  <si>
    <t>9-12-310</t>
  </si>
  <si>
    <r>
      <t>Virtuves pavarda nosūces kape ar trīs ātrumu slēdzi un iebūvētu apgaismojumu L=250/410/550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(izvēlās pasūtītājs) HA 600</t>
    </r>
  </si>
  <si>
    <t>9-12-311</t>
  </si>
  <si>
    <t>Vienvirziena vārsts D=125</t>
  </si>
  <si>
    <t>9-12-312</t>
  </si>
  <si>
    <t>Lokans alumīnija folija gaisa vads D=125</t>
  </si>
  <si>
    <t>9-12-313</t>
  </si>
  <si>
    <t>Alumīnija gaisa vada savilces</t>
  </si>
  <si>
    <t>9-12-314</t>
  </si>
  <si>
    <t>Gaisa vada jumtiņš gaisa izmešanai virs jumta AHI-125</t>
  </si>
  <si>
    <t>9-12-315</t>
  </si>
  <si>
    <t>9-12-316</t>
  </si>
  <si>
    <t>9-12-317</t>
  </si>
  <si>
    <t>9-12-318</t>
  </si>
  <si>
    <t>9-12-319</t>
  </si>
  <si>
    <t>9-12-320</t>
  </si>
  <si>
    <t>9-12-321</t>
  </si>
  <si>
    <t>9-12-322</t>
  </si>
  <si>
    <t>Virtuves pavarda nosūces elektroinstalācija</t>
  </si>
  <si>
    <t>9-12-323</t>
  </si>
  <si>
    <t>9-13</t>
  </si>
  <si>
    <t>Gaisa caurplūdes</t>
  </si>
  <si>
    <t>9-13-324</t>
  </si>
  <si>
    <t>Caurplūdes plastikāta restīte durvīs 500x50 TVA 500x50</t>
  </si>
  <si>
    <t>9-13-325</t>
  </si>
  <si>
    <t>Izveidot atvērumu durvju vērtnē (vidējs durvju remonts) ar izmēru 600x100</t>
  </si>
  <si>
    <t>vieta</t>
  </si>
  <si>
    <t>Termostatiskais vārsts d20</t>
  </si>
  <si>
    <t>Termostatiskais vārsts d15</t>
  </si>
  <si>
    <t>Termoregulējošā vārsta galva TRV</t>
  </si>
  <si>
    <t>Noslēgvārsts pie radiatora d=20</t>
  </si>
  <si>
    <t>Noslēgvārsts pie radiatora d=15</t>
  </si>
  <si>
    <t>Lodveida krāns d=25</t>
  </si>
  <si>
    <t>Automātiskais atgaisotājs d=15</t>
  </si>
  <si>
    <t>Vara caurules d=18x1</t>
  </si>
  <si>
    <t>Vara caurules d=22x1</t>
  </si>
  <si>
    <t>Vara caurules d=28x1,5</t>
  </si>
  <si>
    <t>Vara cauruļu veidgabali</t>
  </si>
  <si>
    <t>Siltuma izolācija Armaflex AF 19x18; Dn15</t>
  </si>
  <si>
    <t>Siltuma izolācija Armaflex AC 19x22; Dn20</t>
  </si>
  <si>
    <t>Siltuma izolācija Armaflex AC 19x28; Dn25</t>
  </si>
  <si>
    <t>Lodēšanas un montāžas palīgmateriāli</t>
  </si>
  <si>
    <t>Stiprinājuma kronšteini</t>
  </si>
  <si>
    <t>Apkures sistēmas balansēšana</t>
  </si>
  <si>
    <t>Apkures sistēmas radiatoru regulēšana</t>
  </si>
  <si>
    <t>Radiatoru apkures sistēma</t>
  </si>
  <si>
    <t>10-1-1</t>
  </si>
  <si>
    <t>10-1-2</t>
  </si>
  <si>
    <t>10-1-3</t>
  </si>
  <si>
    <t>10-1-4</t>
  </si>
  <si>
    <t>10-1-5</t>
  </si>
  <si>
    <t>10-1-6</t>
  </si>
  <si>
    <t>10-1-7</t>
  </si>
  <si>
    <t>10-1-8</t>
  </si>
  <si>
    <t>10-1-9</t>
  </si>
  <si>
    <t>10-1-11</t>
  </si>
  <si>
    <t>10-1-12</t>
  </si>
  <si>
    <t>10-1-13</t>
  </si>
  <si>
    <t>10-1-14</t>
  </si>
  <si>
    <t>10-1-15</t>
  </si>
  <si>
    <t>10-1-16</t>
  </si>
  <si>
    <t>10-1-17</t>
  </si>
  <si>
    <t>10-1-18</t>
  </si>
  <si>
    <t>10-1-19</t>
  </si>
  <si>
    <t>10-1-20</t>
  </si>
  <si>
    <t>10-1-21</t>
  </si>
  <si>
    <t>10-1-22</t>
  </si>
  <si>
    <t>10-1-23</t>
  </si>
  <si>
    <t>10-1-24</t>
  </si>
  <si>
    <t>Grīdas apkures sistēma</t>
  </si>
  <si>
    <t>ROTH PST grīdas apkures cauruļvadu stiprināšanas siltumizolējoša plāksne</t>
  </si>
  <si>
    <t>Termošuves materiāls</t>
  </si>
  <si>
    <t>Stiprinājuma kronšteini un stiprinājumu skavas</t>
  </si>
  <si>
    <t>Automātiskās vadības bloku elektroinstalācija</t>
  </si>
  <si>
    <t>Apkures sistēmas regulēšana</t>
  </si>
  <si>
    <t>Sadales turpgaitas un atpakaļgaitas kolektors  ar 8 nozarojuma grupām</t>
  </si>
  <si>
    <t>Sadalošā kolektora montāžas skapītis ar izmēru 720x1000x110</t>
  </si>
  <si>
    <t>Sadalošā kolektora montāžas skapītis ar izmēru 720x700x110</t>
  </si>
  <si>
    <t>Ventilācijas sistēmu ūdens kaloriferu siltuma apgāde</t>
  </si>
  <si>
    <t>Kaloriferu siltuma apgādes sistēma</t>
  </si>
  <si>
    <t>Vara caurules d=35x1,5</t>
  </si>
  <si>
    <t>Vara caurules d=42x1,5</t>
  </si>
  <si>
    <t>Lodveida krāns d=32</t>
  </si>
  <si>
    <t>Siltuma izolācija Armaflex AF-4-042 (25x42);  Dn40</t>
  </si>
  <si>
    <t>Kaloriferu siltuma apgādes sistēmas regulēšana</t>
  </si>
  <si>
    <t>Caurumu izveidošana un aizdarināšana būvkonstrukcijās cauruļvadu montāžai</t>
  </si>
  <si>
    <t>Sūkņu sajaukšanas mezgli</t>
  </si>
  <si>
    <t>Mezgls 1 (PN-1)</t>
  </si>
  <si>
    <t>Vienvirziena vārst d=20</t>
  </si>
  <si>
    <t>Regulējams ventilis d=20</t>
  </si>
  <si>
    <t>Filtrs d=25</t>
  </si>
  <si>
    <t>Tukšošanas ventilis d=15</t>
  </si>
  <si>
    <r>
      <t xml:space="preserve">Termometrs 0-120 </t>
    </r>
    <r>
      <rPr>
        <vertAlign val="superscript"/>
        <sz val="10"/>
        <rFont val="Arial"/>
        <family val="2"/>
        <charset val="186"/>
      </rPr>
      <t>0</t>
    </r>
    <r>
      <rPr>
        <sz val="10"/>
        <rFont val="Arial"/>
        <family val="2"/>
        <charset val="186"/>
      </rPr>
      <t>C ar c-dā ieliekamu čaulu</t>
    </r>
  </si>
  <si>
    <t xml:space="preserve">m </t>
  </si>
  <si>
    <t>Nerūsējoša tērauda lokanās pievienojuma caurules DN=32</t>
  </si>
  <si>
    <t>Mezgls 2 (PN-2)</t>
  </si>
  <si>
    <t>Vienvirziena vārst d=15</t>
  </si>
  <si>
    <t>Regulējams ventilis d=15</t>
  </si>
  <si>
    <t>Nerūsējoša tērauda lokanās pievienojuma caurules DN=25</t>
  </si>
  <si>
    <t>10-3-41</t>
  </si>
  <si>
    <t>10-3-51</t>
  </si>
  <si>
    <t>10-3-33</t>
  </si>
  <si>
    <t>10-3-34</t>
  </si>
  <si>
    <t>10-3-35</t>
  </si>
  <si>
    <t>10-3-36</t>
  </si>
  <si>
    <t>10-3-37</t>
  </si>
  <si>
    <t>10-3-38</t>
  </si>
  <si>
    <t>10-3-39</t>
  </si>
  <si>
    <t>10-3-40</t>
  </si>
  <si>
    <t>10-3-42</t>
  </si>
  <si>
    <t>10-3-43</t>
  </si>
  <si>
    <t>10-3-44</t>
  </si>
  <si>
    <t>10-3-45</t>
  </si>
  <si>
    <t>10-3-46</t>
  </si>
  <si>
    <t>10-3-47</t>
  </si>
  <si>
    <t>10-3-48</t>
  </si>
  <si>
    <t>10-3-49</t>
  </si>
  <si>
    <t>10-3-50</t>
  </si>
  <si>
    <t>10-3-52</t>
  </si>
  <si>
    <t>10-3-53</t>
  </si>
  <si>
    <t>10-3-54</t>
  </si>
  <si>
    <t>Gaisa kondicionēšanas aukstuma nesēja sistēmas izbūve</t>
  </si>
  <si>
    <t>"Split" gaisa kondicionēsanas iekārta</t>
  </si>
  <si>
    <t>Kompresoru bloka stiprinājuma kronšteini</t>
  </si>
  <si>
    <t>Freona lokanās vara caurules d=3/8" ar Tubolit izolāciju</t>
  </si>
  <si>
    <t>Freona lokanās vara caurules d=1/4" ar Tubolit izolāciju</t>
  </si>
  <si>
    <t>l</t>
  </si>
  <si>
    <t>Split kondicionēšanas sistēmas elektroinstalācija</t>
  </si>
  <si>
    <t>Split kondicionēšanas sistēmas palaišana un regulēšana</t>
  </si>
  <si>
    <t>Kondensāta kanalizācija</t>
  </si>
  <si>
    <t>PVC kanalizācijas caurules pāreja 32/50</t>
  </si>
  <si>
    <t>Siltummezgla montāža</t>
  </si>
  <si>
    <t>Siltuma sūkņa iekārtas elektroinstalācija</t>
  </si>
  <si>
    <t>Boilera elektrosildītāja elektroinstalācija</t>
  </si>
  <si>
    <t>Grīdas apsildes sistēmas automātiskās vadības bloks ar 8 vadības mezgliem un āra gaisa un siltumnesēja atpakaļgaitas termosensoriem</t>
  </si>
  <si>
    <t>Grīdas apsildes sistēmas automātiskās vadības bloks ar 5 vadības mezgliem un āra gaisa un siltumnesēja atpakaļgaitas termosensoriem</t>
  </si>
  <si>
    <t>Grīdas apsildes sistēmu telpas termosensori ar regulējamīem parametriem</t>
  </si>
  <si>
    <t>Spiediena krituma vizuālās kontroles kapsula</t>
  </si>
  <si>
    <t>Automātiskā atgaisotāja 1/2" un tukšošanas ventiļa 1/2" mezgls</t>
  </si>
  <si>
    <t>Tukšošanas ventilis ar uzgali d=20</t>
  </si>
  <si>
    <t>Vienvirziena vārsts RMMS 20; d=20</t>
  </si>
  <si>
    <t>Vienvirziena vārsts RMMS 25; d=25</t>
  </si>
  <si>
    <t>Vienvirziena vārsts RMMS 40; d=40</t>
  </si>
  <si>
    <t>Manometrs ar skalu līdz 6  bar. ,noslēgkrānu un ieliekamo detaļu</t>
  </si>
  <si>
    <t>Manometra noslēgkrāns</t>
  </si>
  <si>
    <t>Vara caurules d=15x1</t>
  </si>
  <si>
    <t>Cieto vara cauruļu veidgabali</t>
  </si>
  <si>
    <t>Tvertne-muca ar tilpumu V=208 l</t>
  </si>
  <si>
    <t>Tvertnes-mucas uzpildīšanas vāks ar atvērumu uzpildīšanai un tilpumu V=50 l</t>
  </si>
  <si>
    <t>Tvertnes ventilis uzpildīšanai-sistēmas pārplūdei 3/4"</t>
  </si>
  <si>
    <t>Tvertnes ventilis tukšošanai 2"</t>
  </si>
  <si>
    <t>Cauruļvadu stiprinājumu kronšteini</t>
  </si>
  <si>
    <t>Metināšanas palīgmateriāli un gāze</t>
  </si>
  <si>
    <t>Vara cauruļu lodēšanas palīgmateriāli</t>
  </si>
  <si>
    <t>Vītņu savienojumu montāžas palīgmateriāli</t>
  </si>
  <si>
    <t>Automātiskās vadības bloku, sūkņu un siltuma sūkņa palaišana un regulēšana</t>
  </si>
  <si>
    <t>balans†ejošo vārstu regulēšana ar protokola noformēšanu</t>
  </si>
  <si>
    <t>28% glikola šķīdums</t>
  </si>
  <si>
    <t>ltr</t>
  </si>
  <si>
    <t>Pievienojums kanalizācijai d=50</t>
  </si>
  <si>
    <t>10-5-114</t>
  </si>
  <si>
    <t>10-6</t>
  </si>
  <si>
    <t>Siltuma sūkņa kolektora laukuma ierīkošana</t>
  </si>
  <si>
    <t>Tranšejas rakšana ar mehānismiem cauruļvadu ar DN=40 ieguldīšanai dziļumā līdz 1,5 m slapjā gruntī kolektoru lauka izveidošanai ar izmēru 85,0x30,0 m</t>
  </si>
  <si>
    <t>Cauruļvadu ieguldīšana tranšejā ar dziļumu līdz 1,5 m</t>
  </si>
  <si>
    <t>Tranšejas aizbēršana ar  blietēšanu pēc katriem 0,3 m dziļuma</t>
  </si>
  <si>
    <t xml:space="preserve">Melnzemes piebēršana 0,1 m biezumā </t>
  </si>
  <si>
    <t>Zāliena sēšana</t>
  </si>
  <si>
    <t>PE spiedvadu caurules veidgabali</t>
  </si>
  <si>
    <t>Drenāžas sūkņa elektroinstalācija</t>
  </si>
  <si>
    <t>Sūkņa palaišanas poga</t>
  </si>
  <si>
    <t>Montāžas bedres rakšana unsekojošu aizbēršanu ar mehānismiem dz./betona akas ieguldīšanai dziļumā līdz 1,5 m.</t>
  </si>
  <si>
    <t>Dz./betona akas D=1000, H=1,5 m hermetizācija un hidroizolācija</t>
  </si>
  <si>
    <t xml:space="preserve"> (darba veids vai konstruktīvā elementa nosaukums)</t>
  </si>
  <si>
    <r>
      <t xml:space="preserve">                                                    </t>
    </r>
    <r>
      <rPr>
        <b/>
        <sz val="10"/>
        <color indexed="8"/>
        <rFont val="Arial"/>
        <family val="2"/>
        <charset val="186"/>
      </rPr>
      <t xml:space="preserve">  Maģistrālās elektrolīnijas</t>
    </r>
    <r>
      <rPr>
        <sz val="10"/>
        <color indexed="8"/>
        <rFont val="Arial"/>
        <family val="2"/>
        <charset val="186"/>
      </rPr>
      <t xml:space="preserve"> </t>
    </r>
  </si>
  <si>
    <t>11-1-1</t>
  </si>
  <si>
    <t>metri</t>
  </si>
  <si>
    <t>Montāžas komplekts</t>
  </si>
  <si>
    <t>Ugunsgrēka atklāšanas un trauksmes iekārta</t>
  </si>
  <si>
    <t>11-1-2</t>
  </si>
  <si>
    <t>11-1-3</t>
  </si>
  <si>
    <t>11-1-4</t>
  </si>
  <si>
    <t>11-1-5</t>
  </si>
  <si>
    <t>11-1-6</t>
  </si>
  <si>
    <t>11-1-7</t>
  </si>
  <si>
    <t>11-1-8</t>
  </si>
  <si>
    <t>11-1-9</t>
  </si>
  <si>
    <t>11-1-10</t>
  </si>
  <si>
    <t>11-1-11</t>
  </si>
  <si>
    <t>11-1-12</t>
  </si>
  <si>
    <t>11-1-13</t>
  </si>
  <si>
    <t>11-1-14</t>
  </si>
  <si>
    <t>11-1-15</t>
  </si>
  <si>
    <t>11-1-16</t>
  </si>
  <si>
    <t>11-1-17</t>
  </si>
  <si>
    <t>11-1-18</t>
  </si>
  <si>
    <t>11-1-19</t>
  </si>
  <si>
    <t xml:space="preserve">                                     (darba veids vai konstruktīvā elementa nosaukums)</t>
  </si>
  <si>
    <t xml:space="preserve">                                             Vēdināšana, gaisa kondicionēšana.</t>
  </si>
  <si>
    <t xml:space="preserve">                                           Specializētie darbi - iekšējie tīkli, sistēmas.</t>
  </si>
  <si>
    <t xml:space="preserve">                                             (darba veids vai konstruktīvā elementa nosaukums)</t>
  </si>
  <si>
    <t xml:space="preserve">                                                                         Apkure.</t>
  </si>
  <si>
    <t xml:space="preserve">                                                 Specializētie darbi - iekšējie tīkli, sistēmas.</t>
  </si>
  <si>
    <t xml:space="preserve">                                                         Būvdarbu apjomu saraksts Nr.___9____ </t>
  </si>
  <si>
    <t>Kopā vēdināšana, gaisa kondicionēšana :</t>
  </si>
  <si>
    <t>Radiators "PURMO COMPACT" komplektā ar stiprinājumiem un atgaisošanas korķi C11-300-400</t>
  </si>
  <si>
    <t>Radiators "PURMO COMPACT" komplektā ar stiprinājumiem un atgaisošanas korķi C22-300-700</t>
  </si>
  <si>
    <t>Radiators "PURMO COMPACT" komplektā ar stiprinājumiem un atgaisošanas korķi C22-300-800</t>
  </si>
  <si>
    <t>Radiators "PURMO COMPACT" komplektā ar stiprinājumiem un atgaisošanas korķi C22-300-900</t>
  </si>
  <si>
    <t>Radiators "PURMO COMPACT" komplektā ar stiprinājumiem un atgaisošanas korķi C22-300-1800</t>
  </si>
  <si>
    <t>Radiators "PURMO COMPACT" komplektā ar stiprinājumiem un atgaisošanas korķi C22-500-1000</t>
  </si>
  <si>
    <t>Radiators "PURMO COMPACT" komplektā ar stiprinājumiem un atgaisošanas korķi C22-500-3000</t>
  </si>
  <si>
    <t>Pemd-Alu-PEmd grīdas apkures caurules d=16x2 AQUATECHNIK</t>
  </si>
  <si>
    <t>Signālkabeļi telpas termosensoriem 3x0,75</t>
  </si>
  <si>
    <r>
      <t>Grīdu apsildes sistēmas cirkulācijas sūknis  PN10; V=0,431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H=3,34 m; N=0,095 kW (230V). UPS 15-60 130</t>
    </r>
  </si>
  <si>
    <t>Grīdas apsildes sistēmas trīsgaitas regulējošais vārsts (R311), ar elektropiedziņu  NR24-SR (Belimo) d=1/2"; Kvs=1,6 , ar temperatūras devēju apkures sistēmas atpakaļgaitā R311 ar NR24-SR</t>
  </si>
  <si>
    <t xml:space="preserve">Siltuma izolācija Armaflex AF-4-028 (25x28);  Dn25 </t>
  </si>
  <si>
    <t xml:space="preserve">Siltuma izolācija Armaflex AF-4-035 (25x35);  Dn32 </t>
  </si>
  <si>
    <r>
      <t>Kalorifera siltuma apgādes sistēmas cirkulācijas sūknis  PN10; V=0,991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H=2,94 m.ūd.st.; N=0,08 kW (230V); UPS 15-50 180</t>
    </r>
  </si>
  <si>
    <t>Trīsceļu regulējošais jaucējvārsts d=20; Kvs=4,0 (BELIMO) R317</t>
  </si>
  <si>
    <t>Jaucējkrāna izpildmehānisms  (BELIMO) LR24-SR</t>
  </si>
  <si>
    <t>Termosensors NS 130 R</t>
  </si>
  <si>
    <t>Manometrs  P= 0-6bar</t>
  </si>
  <si>
    <t>Manometra noslēgventilis DN15</t>
  </si>
  <si>
    <r>
      <t>Kalorifera siltuma apgādes sistēmas cirkulācijas sūknis  PN10; V=0,399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H=2,54 m.ūd.st.; N=0,055 kW (230V); UPS 15-30 130</t>
    </r>
  </si>
  <si>
    <t>Trīsceļu regulējošais jaucējvārsts d=15; Kvs=1,6 (BELIMO)R311</t>
  </si>
  <si>
    <t>Manometrs P= 0-6bar</t>
  </si>
  <si>
    <r>
      <t>Split sistēmas sienas kasete ar iebūvētu automātiskās vadības bloku un pie sienas stiprināmu iznesamu vadības pulti Q</t>
    </r>
    <r>
      <rPr>
        <vertAlign val="subscript"/>
        <sz val="10"/>
        <rFont val="Arial"/>
        <family val="2"/>
        <charset val="186"/>
      </rPr>
      <t>dzesēšanas</t>
    </r>
    <r>
      <rPr>
        <sz val="10"/>
        <rFont val="Arial"/>
        <family val="2"/>
        <charset val="186"/>
      </rPr>
      <t xml:space="preserve"> =2,52 kW; Q</t>
    </r>
    <r>
      <rPr>
        <vertAlign val="superscript"/>
        <sz val="10"/>
        <rFont val="Arial"/>
        <family val="2"/>
        <charset val="186"/>
      </rPr>
      <t>sildīšanas</t>
    </r>
    <r>
      <rPr>
        <sz val="10"/>
        <rFont val="Arial"/>
        <family val="2"/>
        <charset val="186"/>
      </rPr>
      <t>=2,9 kW;  N=0,013 kW (230V) EAKC-09DS</t>
    </r>
  </si>
  <si>
    <r>
      <t>Freona kondensatora bloks Q</t>
    </r>
    <r>
      <rPr>
        <vertAlign val="subscript"/>
        <sz val="10"/>
        <rFont val="Arial"/>
        <family val="2"/>
        <charset val="186"/>
      </rPr>
      <t>dzesēšans</t>
    </r>
    <r>
      <rPr>
        <sz val="10"/>
        <rFont val="Arial"/>
        <family val="2"/>
        <charset val="186"/>
      </rPr>
      <t xml:space="preserve"> =2,52 kW; Q</t>
    </r>
    <r>
      <rPr>
        <vertAlign val="subscript"/>
        <sz val="10"/>
        <rFont val="Arial"/>
        <family val="2"/>
        <charset val="186"/>
      </rPr>
      <t>sildīšanas</t>
    </r>
    <r>
      <rPr>
        <sz val="10"/>
        <rFont val="Arial"/>
        <family val="2"/>
        <charset val="186"/>
      </rPr>
      <t>=2,9 kW; N=2,0 kW (3x400V); Freons R410A. EAJC-09DS</t>
    </r>
  </si>
  <si>
    <t>Freons R410A</t>
  </si>
  <si>
    <t>PVC kanalizācijas caurule d=32 ar  stiprinājumiem DN32</t>
  </si>
  <si>
    <r>
      <t>PVC kanalizācijas caurules līknis 87</t>
    </r>
    <r>
      <rPr>
        <vertAlign val="superscript"/>
        <sz val="10"/>
        <rFont val="Arial"/>
        <family val="2"/>
        <charset val="186"/>
      </rPr>
      <t xml:space="preserve">0 </t>
    </r>
    <r>
      <rPr>
        <sz val="10"/>
        <rFont val="Arial"/>
        <family val="2"/>
        <charset val="186"/>
      </rPr>
      <t>DN 32-900</t>
    </r>
  </si>
  <si>
    <r>
      <t>PVC kanalizācijas caurules līknis 87</t>
    </r>
    <r>
      <rPr>
        <vertAlign val="superscript"/>
        <sz val="10"/>
        <rFont val="Arial"/>
        <family val="2"/>
        <charset val="186"/>
      </rPr>
      <t xml:space="preserve">0  </t>
    </r>
    <r>
      <rPr>
        <sz val="10"/>
        <rFont val="Arial"/>
        <family val="2"/>
        <charset val="186"/>
      </rPr>
      <t>DN 50-900</t>
    </r>
  </si>
  <si>
    <r>
      <t>PVC kanalizācijas caurules līknis 45</t>
    </r>
    <r>
      <rPr>
        <vertAlign val="superscript"/>
        <sz val="10"/>
        <rFont val="Arial"/>
        <family val="2"/>
        <charset val="186"/>
      </rPr>
      <t xml:space="preserve">0 </t>
    </r>
    <r>
      <rPr>
        <sz val="10"/>
        <rFont val="Arial"/>
        <family val="2"/>
        <charset val="186"/>
      </rPr>
      <t>DN 32-450</t>
    </r>
  </si>
  <si>
    <r>
      <t>PVC kanalizācijas caurules trejgabals 90</t>
    </r>
    <r>
      <rPr>
        <vertAlign val="superscript"/>
        <sz val="10"/>
        <rFont val="Arial"/>
        <family val="2"/>
        <charset val="186"/>
      </rPr>
      <t>0</t>
    </r>
    <r>
      <rPr>
        <sz val="10"/>
        <rFont val="Arial"/>
        <family val="2"/>
        <charset val="186"/>
      </rPr>
      <t xml:space="preserve"> 50x50 - 90</t>
    </r>
  </si>
  <si>
    <t>Pludiņveida sifons DN 32</t>
  </si>
  <si>
    <t>Pretkondensāta izolācija  d.35x6 Tubolit Armacell</t>
  </si>
  <si>
    <t>Siltuma sūknis ar siltuma ražību 39,0 kW (2x19,5 kW) un elektriskās jaudas patēriņu 900 kW (2x4,5 kW) NIBE F1330-40</t>
  </si>
  <si>
    <t>Karstā ūdens tilpne (boileris) ar V=300 l / V=200 l NIBE VPA 300/200</t>
  </si>
  <si>
    <t>Boilerī iebūvējams trīspakāpju elektrosildītājs ar N=4,0/2,7/2,0  kW; (3x400V) EFHR 4,0</t>
  </si>
  <si>
    <r>
      <t xml:space="preserve"> Siltuma sūkņa kolektora spiediena paaugstināšanas cirkulācijas sūknis  ar elektronisku apgriezienu regulēšanu; G=8,0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H=18,36 m. Ūd.st.; N=1,1 kW (3x400V). WILO-IP-e 32/160-1,1/2 R1 3~ PN10</t>
    </r>
  </si>
  <si>
    <r>
      <t>Grīdu apsildes sistēmas cirkulācijas sūknis  PN10; V=0,413 m</t>
    </r>
    <r>
      <rPr>
        <vertAlign val="superscript"/>
        <sz val="10"/>
        <rFont val="Arial"/>
        <family val="2"/>
        <charset val="186"/>
      </rPr>
      <t>3</t>
    </r>
    <r>
      <rPr>
        <sz val="10"/>
        <rFont val="Arial"/>
        <family val="2"/>
        <charset val="186"/>
      </rPr>
      <t>/h; H=3,38 m; N=0,095 kW (230V). UPS 15-60 130</t>
    </r>
  </si>
  <si>
    <t>Siltā ūdens cirkulācijas sistēmas sūknis PN10; V=0,349 m3/h; H=2,37 m; N=0,0434 kW (230V). ALPHA+ 25-40 B 180</t>
  </si>
  <si>
    <t>Izplešanās trauks  ar membrānu V=33 l; P=10 bar REFLEX DE 33</t>
  </si>
  <si>
    <t>Izplešanās trauks  ar membrānu V=50 l; P=6 bar REFLEX NG 50</t>
  </si>
  <si>
    <r>
      <t>Izplešanās trauks  ar glikola izturīgu membrānu V=200 l; P=10 bar/120</t>
    </r>
    <r>
      <rPr>
        <vertAlign val="superscript"/>
        <sz val="10"/>
        <rFont val="Arial"/>
        <family val="2"/>
        <charset val="186"/>
      </rPr>
      <t>0</t>
    </r>
    <r>
      <rPr>
        <sz val="10"/>
        <rFont val="Arial"/>
        <family val="2"/>
        <charset val="186"/>
      </rPr>
      <t>C REFLEX S 200</t>
    </r>
  </si>
  <si>
    <t>Siltā ūdens apgādes sistēmas divgaitas regulējošais vārsts (R222), (3-gaitu vārsts ar elektropiedziņu  NR24-SR (Belimo) d=1"; Kvs=6,3  R222 ar NR24-SR</t>
  </si>
  <si>
    <t>Elektriskais termosensors ESM-11</t>
  </si>
  <si>
    <t>Elektronisks regulators ar tālvadības bloku ECA 30/31 ECL Comfort 210 (A217)24V</t>
  </si>
  <si>
    <t>Grīdu apsildes sistēmas termoregulējošā vārsta galva TRV</t>
  </si>
  <si>
    <t>Apkures sistēmas sadalošais kolektors ar garumu 600mm uz 3 patērētāliem DN=54x2,0</t>
  </si>
  <si>
    <t>Aukstā ūdens skaitītājs "Zenner MNK-RP-I-N";  DN=15</t>
  </si>
  <si>
    <t>Automātiskais atgaisotājs 1/2" DN15</t>
  </si>
  <si>
    <t xml:space="preserve">Tukšošanas ventilis d=15 </t>
  </si>
  <si>
    <t xml:space="preserve">Tukšošanas ventilis d=20 </t>
  </si>
  <si>
    <t>Drošības vārsts  P=3 bar d=15 DN20, 3bar</t>
  </si>
  <si>
    <t>Drošības vārsts  P=4 bar d=15 DN20, 4bar</t>
  </si>
  <si>
    <t>Mehāniskais ūdens filtrs DN20</t>
  </si>
  <si>
    <t>Mehāniskais ūdens filtrs DN25</t>
  </si>
  <si>
    <t>Mehāniskais ūdens filtrs DN40</t>
  </si>
  <si>
    <t>Lodveida krāns DN20</t>
  </si>
  <si>
    <t>Lodveida krāns DN25</t>
  </si>
  <si>
    <t>Lodveida krāns DN40</t>
  </si>
  <si>
    <t>Balansējošais vārsts DN20</t>
  </si>
  <si>
    <t>Balansējošais vārsts DN25</t>
  </si>
  <si>
    <t>PE spiedvadu caurule (spiediena klase PN10 PE-80) d=50x3,7 (DN40)</t>
  </si>
  <si>
    <t>PE spiedvadu caurule (spiediena klase PN10 PE-80) d=25x2,3 (DN20)</t>
  </si>
  <si>
    <t>Akmens vates izolācijas puscilindri biezumā 50mm DN=40 armēta alumīnija folija apvalkā PHSALCT 42x50</t>
  </si>
  <si>
    <t>Akmens vates izolācijas puscilindri biezumā 50mm DN=50 armēta alumīnija folija apvalkā PHSALCT 54x50</t>
  </si>
  <si>
    <t>Akmens vates izolācijas puscilindri biezumā 40mm DN=25 armēta alumīnija folija apvalkā PHSALCT 28x50</t>
  </si>
  <si>
    <t>SH Armaflex izolācijas čaulas biezumā 19 mm. SH-19x28</t>
  </si>
  <si>
    <t>SH Armaflex izolācijas čaulas biezumā 19 mm. SH-19x22</t>
  </si>
  <si>
    <t>PE spiedvadu caurule (spiediena klase PN10 PE-80) d=32x2,9 (DN25)</t>
  </si>
  <si>
    <t>PE spiedvadu caurule (spiediena klase PN10 PE-80) d=20x2,0 (DN15)</t>
  </si>
  <si>
    <t>Drenāžas sūknis kolektoru lauka uzpildīšanai-tukšošanai; G=1,48 l/s; P=3,0 m.ūd.st.; N=0,3 kW (230 V) KP 150 M 1</t>
  </si>
  <si>
    <t>Saliekama dz./betona grodu aka ar grodu pamatu KCD-10, grods KC-10-9, grods KC-10-3, Grodu vāks KCP-10 (h-80), čuguna vāku paceļamo gredzenu KO-10 (d=700) un čuguna vieglo vāku ar uzstādīšanas gredzenu D=1000; H=1,5m</t>
  </si>
  <si>
    <r>
      <t>Kanalizācijas skatakas pamatne  ar papildus pievienojumu vienai  caurulei ar D</t>
    </r>
    <r>
      <rPr>
        <vertAlign val="subscript"/>
        <sz val="10"/>
        <rFont val="Arial"/>
        <family val="2"/>
        <charset val="186"/>
      </rPr>
      <t>n</t>
    </r>
    <r>
      <rPr>
        <sz val="10"/>
        <rFont val="Arial"/>
        <family val="2"/>
        <charset val="186"/>
      </rPr>
      <t>=110; D</t>
    </r>
    <r>
      <rPr>
        <vertAlign val="subscript"/>
        <sz val="10"/>
        <rFont val="Arial"/>
        <family val="2"/>
        <charset val="186"/>
      </rPr>
      <t>s</t>
    </r>
    <r>
      <rPr>
        <sz val="10"/>
        <rFont val="Arial"/>
        <family val="2"/>
        <charset val="186"/>
      </rPr>
      <t>=400; POLAR BSB skataka</t>
    </r>
  </si>
  <si>
    <r>
      <t>Kanalizācijas skatakas pamatne  ar papildus pievienojumu divām caurulēm ar D</t>
    </r>
    <r>
      <rPr>
        <vertAlign val="subscript"/>
        <sz val="10"/>
        <rFont val="Arial"/>
        <family val="2"/>
        <charset val="186"/>
      </rPr>
      <t>n</t>
    </r>
    <r>
      <rPr>
        <sz val="10"/>
        <rFont val="Arial"/>
        <family val="2"/>
        <charset val="186"/>
      </rPr>
      <t>=110; D</t>
    </r>
    <r>
      <rPr>
        <vertAlign val="subscript"/>
        <sz val="10"/>
        <rFont val="Arial"/>
        <family val="2"/>
        <charset val="186"/>
      </rPr>
      <t>s</t>
    </r>
    <r>
      <rPr>
        <sz val="10"/>
        <rFont val="Arial"/>
        <family val="2"/>
        <charset val="186"/>
      </rPr>
      <t>=400; POLAR BSB skataka</t>
    </r>
  </si>
  <si>
    <t xml:space="preserve">Uzmavas noslēgtapa "Pragma" ar blīvgumiju dn=110 </t>
  </si>
  <si>
    <t>Kanalizācijas skatakas teleskopiskā caurule ar manžeti, ķeta rāmi un vieglā tipa vāku TV40-0,9M</t>
  </si>
  <si>
    <t>Kanalizācijas skatakas teleskopiskā caurule ar manžeti TV40-0,4M</t>
  </si>
  <si>
    <t>Lodveida ventilis DN25</t>
  </si>
  <si>
    <t>Lodveida ventilis DN40</t>
  </si>
  <si>
    <t>Vienvirziena vārsts DN25</t>
  </si>
  <si>
    <t>Automātiskais atgaisotājs DN15</t>
  </si>
  <si>
    <t>Uzgalis lokanās šļūtenes pievienojumam DN25</t>
  </si>
  <si>
    <t>Lokanā šļūtene DN25</t>
  </si>
  <si>
    <t>Kopā apkure:</t>
  </si>
  <si>
    <r>
      <t xml:space="preserve">Termometrs ar skalu līdz 100 </t>
    </r>
    <r>
      <rPr>
        <vertAlign val="superscript"/>
        <sz val="10"/>
        <rFont val="Arial"/>
        <family val="2"/>
        <charset val="186"/>
      </rPr>
      <t>0</t>
    </r>
    <r>
      <rPr>
        <sz val="10"/>
        <rFont val="Arial"/>
        <family val="2"/>
        <charset val="186"/>
      </rPr>
      <t>C un ieliekamo detaļu</t>
    </r>
  </si>
  <si>
    <t xml:space="preserve">                                                            Būvdarbu apjomu saraksts Nr.___10____ </t>
  </si>
  <si>
    <t>Signalizācijas panelis BENTEL  J-408 - 8</t>
  </si>
  <si>
    <t>Akumulators  7 A/h 12 V</t>
  </si>
  <si>
    <t>Transformators EDEL 40</t>
  </si>
  <si>
    <t>Siltuma detektors NB-323-2</t>
  </si>
  <si>
    <t>Kombinētais detektors EA - 318 - 2H</t>
  </si>
  <si>
    <t>Dūmu detektors EA - 318 - 2</t>
  </si>
  <si>
    <t>Rokas trauksmes poga FP/3RD CQR</t>
  </si>
  <si>
    <t>Skaņas signāls(iekšējais) LD-FS 100</t>
  </si>
  <si>
    <t>Skaņas signāls(ārējais) LD-210</t>
  </si>
  <si>
    <t>Zonas noslēdzošais elements R3K9</t>
  </si>
  <si>
    <t>Iznesamā gaismas diode 1N4002</t>
  </si>
  <si>
    <t>Nozarkārba JB-701WH CQR</t>
  </si>
  <si>
    <t>Signalizācijas kabelis (EI 30 min) EUROSAFE 4x0,5</t>
  </si>
  <si>
    <t>Trauksmes signalizācijas kabelis CQR UK 4x0.22</t>
  </si>
  <si>
    <t xml:space="preserve"> Kabelis  (el. sadale - panelis) EUROSAFE  3x1.5</t>
  </si>
  <si>
    <t>Ievada elektro automāts ABB 1B10</t>
  </si>
  <si>
    <t>PVH caurule FFKu-EL-F-HO-16</t>
  </si>
  <si>
    <t xml:space="preserve">Ventilācijas atslēgšanas relejs NR - 8276 </t>
  </si>
  <si>
    <t>Kopā UAS:</t>
  </si>
  <si>
    <t>Vājstrāvas tīkli. Ugunsdzēsības signalizācija.</t>
  </si>
  <si>
    <t>10-1-10</t>
  </si>
  <si>
    <t>10-2-25</t>
  </si>
  <si>
    <t>10-2-26</t>
  </si>
  <si>
    <t>10-2-27</t>
  </si>
  <si>
    <t>10-2-28</t>
  </si>
  <si>
    <t>10-2-29</t>
  </si>
  <si>
    <t>10-2-30</t>
  </si>
  <si>
    <t>10-2-31</t>
  </si>
  <si>
    <t>10-2-32</t>
  </si>
  <si>
    <t>10-3-55</t>
  </si>
  <si>
    <t>10-3-56</t>
  </si>
  <si>
    <t>10-3-57</t>
  </si>
  <si>
    <t>10-3-58</t>
  </si>
  <si>
    <t>10-3-59</t>
  </si>
  <si>
    <t>10-3-60</t>
  </si>
  <si>
    <t>10-3-61</t>
  </si>
  <si>
    <t>10-3-62</t>
  </si>
  <si>
    <t>10-3-63</t>
  </si>
  <si>
    <t>10-3-64</t>
  </si>
  <si>
    <t>10-3-65</t>
  </si>
  <si>
    <t>10-3-66</t>
  </si>
  <si>
    <t>10-3-67</t>
  </si>
  <si>
    <t>10-3-68</t>
  </si>
  <si>
    <t>10-3-69</t>
  </si>
  <si>
    <t>10-3-70</t>
  </si>
  <si>
    <t>10-3-71</t>
  </si>
  <si>
    <t>10-3-72</t>
  </si>
  <si>
    <t>10-3-73</t>
  </si>
  <si>
    <t>10-3-74</t>
  </si>
  <si>
    <t>10-3-75</t>
  </si>
  <si>
    <t>10-3-76</t>
  </si>
  <si>
    <t>10-3-77</t>
  </si>
  <si>
    <t>10-3-78</t>
  </si>
  <si>
    <t>10-3-79</t>
  </si>
  <si>
    <t>10-3-80</t>
  </si>
  <si>
    <t>10-3-81</t>
  </si>
  <si>
    <t>10-3-82</t>
  </si>
  <si>
    <t>10-3-83</t>
  </si>
  <si>
    <t>10-4-84</t>
  </si>
  <si>
    <t>10-4-85</t>
  </si>
  <si>
    <t>10-4-86</t>
  </si>
  <si>
    <t>10-4-87</t>
  </si>
  <si>
    <t>10-4-88</t>
  </si>
  <si>
    <t>10-4-89</t>
  </si>
  <si>
    <t>10-4-90</t>
  </si>
  <si>
    <t>10-4-91</t>
  </si>
  <si>
    <t>10-4-92</t>
  </si>
  <si>
    <t>10-4-93</t>
  </si>
  <si>
    <t>10-4-94</t>
  </si>
  <si>
    <t>10-4-95</t>
  </si>
  <si>
    <t>10-4-96</t>
  </si>
  <si>
    <t>10-4-97</t>
  </si>
  <si>
    <t>10-4-98</t>
  </si>
  <si>
    <t>10-4-99</t>
  </si>
  <si>
    <t>10-5-100</t>
  </si>
  <si>
    <t>10-5-101</t>
  </si>
  <si>
    <t>10-5-102</t>
  </si>
  <si>
    <t>10-5-103</t>
  </si>
  <si>
    <t>10-5-104</t>
  </si>
  <si>
    <t>10-5-105</t>
  </si>
  <si>
    <t>10-5-106</t>
  </si>
  <si>
    <t>10-5-107</t>
  </si>
  <si>
    <t>10-5-108</t>
  </si>
  <si>
    <t>10-5-109</t>
  </si>
  <si>
    <t>10-5-110</t>
  </si>
  <si>
    <t>10-5-111</t>
  </si>
  <si>
    <t>10-5-112</t>
  </si>
  <si>
    <t>10-5-113</t>
  </si>
  <si>
    <t>10-5-115</t>
  </si>
  <si>
    <t>10-5-116</t>
  </si>
  <si>
    <t>10-5-117</t>
  </si>
  <si>
    <t>10-5-118</t>
  </si>
  <si>
    <t>10-5-119</t>
  </si>
  <si>
    <t>10-5-120</t>
  </si>
  <si>
    <t>10-5-121</t>
  </si>
  <si>
    <t>10-5-122</t>
  </si>
  <si>
    <t>10-5-123</t>
  </si>
  <si>
    <t>10-5-124</t>
  </si>
  <si>
    <t>10-5-125</t>
  </si>
  <si>
    <t>10-5-126</t>
  </si>
  <si>
    <t>10-5-127</t>
  </si>
  <si>
    <t>10-5-128</t>
  </si>
  <si>
    <t>10-5-129</t>
  </si>
  <si>
    <t>10-5-130</t>
  </si>
  <si>
    <t>10-5-131</t>
  </si>
  <si>
    <t>10-5-132</t>
  </si>
  <si>
    <t>10-5-133</t>
  </si>
  <si>
    <t>10-5-134</t>
  </si>
  <si>
    <t>10-5-135</t>
  </si>
  <si>
    <t>10-5-136</t>
  </si>
  <si>
    <t>10-5-137</t>
  </si>
  <si>
    <t>10-5-138</t>
  </si>
  <si>
    <t>10-5-139</t>
  </si>
  <si>
    <t>10-5-140</t>
  </si>
  <si>
    <t>10-5-141</t>
  </si>
  <si>
    <t>10-5-142</t>
  </si>
  <si>
    <t>10-5-143</t>
  </si>
  <si>
    <t>10-5-144</t>
  </si>
  <si>
    <t>10-5-145</t>
  </si>
  <si>
    <t>10-5-146</t>
  </si>
  <si>
    <t>10-5-147</t>
  </si>
  <si>
    <t>10-5-148</t>
  </si>
  <si>
    <t>10-5-149</t>
  </si>
  <si>
    <t>10-5-150</t>
  </si>
  <si>
    <t>10-5-151</t>
  </si>
  <si>
    <t>10-5-152</t>
  </si>
  <si>
    <t>10-5-153</t>
  </si>
  <si>
    <t>10-5-154</t>
  </si>
  <si>
    <t>10-5-155</t>
  </si>
  <si>
    <t>10-5-156</t>
  </si>
  <si>
    <t>10-5-157</t>
  </si>
  <si>
    <t>10-5-158</t>
  </si>
  <si>
    <t>10-5-159</t>
  </si>
  <si>
    <t>10-5-160</t>
  </si>
  <si>
    <t>10-5-161</t>
  </si>
  <si>
    <t>10-5-162</t>
  </si>
  <si>
    <t>10-5-163</t>
  </si>
  <si>
    <t>10-5-164</t>
  </si>
  <si>
    <t>10-5-165</t>
  </si>
  <si>
    <t>10-5-166</t>
  </si>
  <si>
    <t>10-5-167</t>
  </si>
  <si>
    <t>10-5-168</t>
  </si>
  <si>
    <t>10-5-169</t>
  </si>
  <si>
    <t>10-5-170</t>
  </si>
  <si>
    <t>10-5-171</t>
  </si>
  <si>
    <t>10-6-172</t>
  </si>
  <si>
    <t>10-6-173</t>
  </si>
  <si>
    <t>10-6-174</t>
  </si>
  <si>
    <t>10-6-175</t>
  </si>
  <si>
    <t>10-6-176</t>
  </si>
  <si>
    <t>10-6-177</t>
  </si>
  <si>
    <t>10-6-178</t>
  </si>
  <si>
    <t>10-6-179</t>
  </si>
  <si>
    <t>10-6-180</t>
  </si>
  <si>
    <t>10-6-181</t>
  </si>
  <si>
    <t>10-6-182</t>
  </si>
  <si>
    <t>10-6-183</t>
  </si>
  <si>
    <t>10-6-184</t>
  </si>
  <si>
    <t>10-6-185</t>
  </si>
  <si>
    <t>10-6-186</t>
  </si>
  <si>
    <t>10-6-187</t>
  </si>
  <si>
    <t>10-6-188</t>
  </si>
  <si>
    <t>10-6-189</t>
  </si>
  <si>
    <t>10-6-190</t>
  </si>
  <si>
    <t>10-6-191</t>
  </si>
  <si>
    <t>10-6-192</t>
  </si>
  <si>
    <t>10-6-193</t>
  </si>
  <si>
    <t>10-6-194</t>
  </si>
  <si>
    <t>10-6-195</t>
  </si>
  <si>
    <t>10-6-196</t>
  </si>
  <si>
    <t>10-6-197</t>
  </si>
  <si>
    <t>7-1-10</t>
  </si>
  <si>
    <t>Dziļurbuma sūknis SQ 5-60 Q=1,47l/s; h=61m komplektā ar automātiku un aizsardzību pret tukšgaitas apgriezieniem; ner. tērauda trose 20m; montāžas palīgmateriāli</t>
  </si>
  <si>
    <t xml:space="preserve">Būvdarbu apjomu saraksts Nr.___11____ </t>
  </si>
  <si>
    <t xml:space="preserve"> Kopā U1;T3;T4 tīkli :</t>
  </si>
  <si>
    <t>Košumkrūmu stādīšana ieskaitot stādbedres sagatavošanu</t>
  </si>
</sst>
</file>

<file path=xl/styles.xml><?xml version="1.0" encoding="utf-8"?>
<styleSheet xmlns="http://schemas.openxmlformats.org/spreadsheetml/2006/main">
  <numFmts count="5">
    <numFmt numFmtId="43" formatCode="_-* #,##0.00_-;\-* #,##0.00_-;_-* &quot;-&quot;??_-;_-@_-"/>
    <numFmt numFmtId="164" formatCode="#,##0.00_ ;\-#,##0.00\ "/>
    <numFmt numFmtId="165" formatCode="_-* #,##0.00\ _L_s_-;\-* #,##0.00\ _L_s_-;_-* &quot;-&quot;??\ _L_s_-;_-@_-"/>
    <numFmt numFmtId="166" formatCode="0.0"/>
    <numFmt numFmtId="167" formatCode="0.000"/>
  </numFmts>
  <fonts count="18">
    <font>
      <sz val="11"/>
      <color theme="1"/>
      <name val="Calibri"/>
      <family val="2"/>
      <charset val="186"/>
      <scheme val="minor"/>
    </font>
    <font>
      <sz val="10"/>
      <name val="Helv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color indexed="8"/>
      <name val="Arial"/>
      <family val="2"/>
      <charset val="186"/>
    </font>
    <font>
      <b/>
      <sz val="10"/>
      <color indexed="8"/>
      <name val="Arial"/>
      <family val="2"/>
      <charset val="186"/>
    </font>
    <font>
      <sz val="10"/>
      <name val="Arial"/>
      <family val="2"/>
    </font>
    <font>
      <sz val="10"/>
      <color indexed="8"/>
      <name val="Arial"/>
      <family val="2"/>
      <charset val="204"/>
    </font>
    <font>
      <vertAlign val="superscript"/>
      <sz val="10"/>
      <name val="Arial"/>
      <family val="2"/>
      <charset val="186"/>
    </font>
    <font>
      <sz val="10"/>
      <name val="Calibri"/>
      <family val="2"/>
      <charset val="186"/>
    </font>
    <font>
      <vertAlign val="subscript"/>
      <sz val="10"/>
      <name val="Arial"/>
      <family val="2"/>
      <charset val="186"/>
    </font>
    <font>
      <b/>
      <u/>
      <sz val="10"/>
      <name val="Arial"/>
      <family val="2"/>
      <charset val="186"/>
    </font>
    <font>
      <sz val="10"/>
      <name val="Tahoma"/>
      <family val="2"/>
      <charset val="186"/>
    </font>
    <font>
      <sz val="11"/>
      <color theme="1"/>
      <name val="Calibri"/>
      <family val="2"/>
      <charset val="186"/>
      <scheme val="minor"/>
    </font>
    <font>
      <sz val="11"/>
      <name val="Calibri"/>
      <family val="2"/>
      <charset val="186"/>
      <scheme val="minor"/>
    </font>
    <font>
      <sz val="10"/>
      <color theme="1"/>
      <name val="Arial"/>
      <family val="2"/>
      <charset val="186"/>
    </font>
    <font>
      <sz val="10"/>
      <color rgb="FFFF0000"/>
      <name val="Arial"/>
      <family val="2"/>
      <charset val="186"/>
    </font>
    <font>
      <b/>
      <sz val="10"/>
      <color theme="1"/>
      <name val="Arial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13" fillId="0" borderId="0" applyFont="0" applyFill="0" applyBorder="0" applyAlignment="0" applyProtection="0"/>
    <xf numFmtId="0" fontId="2" fillId="0" borderId="0"/>
    <xf numFmtId="0" fontId="1" fillId="0" borderId="0"/>
    <xf numFmtId="0" fontId="7" fillId="0" borderId="0"/>
    <xf numFmtId="0" fontId="12" fillId="0" borderId="0"/>
    <xf numFmtId="0" fontId="1" fillId="0" borderId="0"/>
    <xf numFmtId="0" fontId="2" fillId="0" borderId="0"/>
    <xf numFmtId="0" fontId="1" fillId="0" borderId="0"/>
  </cellStyleXfs>
  <cellXfs count="263">
    <xf numFmtId="0" fontId="0" fillId="0" borderId="0" xfId="0"/>
    <xf numFmtId="0" fontId="2" fillId="0" borderId="0" xfId="6" applyFont="1" applyFill="1"/>
    <xf numFmtId="0" fontId="2" fillId="0" borderId="0" xfId="6" applyFont="1" applyFill="1" applyBorder="1"/>
    <xf numFmtId="2" fontId="2" fillId="0" borderId="1" xfId="0" applyNumberFormat="1" applyFont="1" applyFill="1" applyBorder="1" applyAlignment="1">
      <alignment horizontal="center"/>
    </xf>
    <xf numFmtId="0" fontId="2" fillId="0" borderId="0" xfId="0" applyFont="1"/>
    <xf numFmtId="2" fontId="2" fillId="0" borderId="0" xfId="6" applyNumberFormat="1" applyFont="1" applyFill="1" applyBorder="1" applyAlignment="1">
      <alignment horizontal="center"/>
    </xf>
    <xf numFmtId="0" fontId="2" fillId="0" borderId="0" xfId="6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wrapText="1" indent="2"/>
    </xf>
    <xf numFmtId="2" fontId="2" fillId="0" borderId="0" xfId="0" applyNumberFormat="1" applyFont="1" applyFill="1" applyBorder="1" applyAlignment="1">
      <alignment wrapText="1"/>
    </xf>
    <xf numFmtId="2" fontId="2" fillId="0" borderId="0" xfId="0" applyNumberFormat="1" applyFont="1" applyFill="1" applyBorder="1" applyAlignment="1">
      <alignment horizontal="center" wrapText="1"/>
    </xf>
    <xf numFmtId="2" fontId="2" fillId="0" borderId="0" xfId="0" applyNumberFormat="1" applyFont="1" applyFill="1" applyBorder="1" applyAlignment="1">
      <alignment horizontal="left" wrapText="1" indent="2"/>
    </xf>
    <xf numFmtId="2" fontId="2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indent="2"/>
    </xf>
    <xf numFmtId="49" fontId="2" fillId="0" borderId="0" xfId="0" applyNumberFormat="1" applyFont="1" applyFill="1" applyBorder="1" applyAlignment="1">
      <alignment horizontal="left" vertical="center" wrapText="1"/>
    </xf>
    <xf numFmtId="164" fontId="2" fillId="0" borderId="0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6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center" wrapText="1"/>
    </xf>
    <xf numFmtId="2" fontId="2" fillId="0" borderId="0" xfId="0" applyNumberFormat="1" applyFont="1" applyFill="1" applyBorder="1" applyAlignment="1"/>
    <xf numFmtId="2" fontId="2" fillId="0" borderId="0" xfId="0" applyNumberFormat="1" applyFont="1" applyFill="1" applyBorder="1" applyAlignment="1">
      <alignment horizontal="left" indent="2"/>
    </xf>
    <xf numFmtId="0" fontId="3" fillId="0" borderId="1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wrapText="1"/>
    </xf>
    <xf numFmtId="0" fontId="2" fillId="0" borderId="2" xfId="6" applyFont="1" applyFill="1" applyBorder="1" applyAlignment="1">
      <alignment horizontal="center"/>
    </xf>
    <xf numFmtId="2" fontId="2" fillId="0" borderId="2" xfId="6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4" fillId="0" borderId="1" xfId="0" applyFont="1" applyFill="1" applyBorder="1" applyAlignment="1">
      <alignment horizontal="center" vertical="center" textRotation="90"/>
    </xf>
    <xf numFmtId="0" fontId="4" fillId="0" borderId="1" xfId="0" applyFont="1" applyFill="1" applyBorder="1" applyAlignment="1">
      <alignment horizontal="center" textRotation="90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167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2" xfId="2" applyFont="1" applyFill="1" applyBorder="1" applyAlignment="1">
      <alignment horizontal="center" wrapText="1"/>
    </xf>
    <xf numFmtId="2" fontId="4" fillId="0" borderId="1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/>
    <xf numFmtId="0" fontId="3" fillId="0" borderId="2" xfId="6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right" wrapText="1"/>
    </xf>
    <xf numFmtId="0" fontId="2" fillId="0" borderId="2" xfId="2" applyFont="1" applyFill="1" applyBorder="1" applyAlignment="1">
      <alignment vertical="center" wrapText="1"/>
    </xf>
    <xf numFmtId="2" fontId="4" fillId="0" borderId="2" xfId="0" applyNumberFormat="1" applyFont="1" applyFill="1" applyBorder="1" applyAlignment="1">
      <alignment horizontal="center" wrapText="1"/>
    </xf>
    <xf numFmtId="0" fontId="2" fillId="0" borderId="2" xfId="8" applyFont="1" applyFill="1" applyBorder="1" applyAlignment="1">
      <alignment vertical="center" wrapText="1"/>
    </xf>
    <xf numFmtId="0" fontId="2" fillId="0" borderId="2" xfId="8" applyFont="1" applyFill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/>
    </xf>
    <xf numFmtId="0" fontId="15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Fill="1" applyBorder="1"/>
    <xf numFmtId="2" fontId="14" fillId="0" borderId="2" xfId="0" applyNumberFormat="1" applyFont="1" applyFill="1" applyBorder="1" applyAlignment="1">
      <alignment horizontal="center" vertical="center" wrapText="1"/>
    </xf>
    <xf numFmtId="2" fontId="2" fillId="0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/>
    </xf>
    <xf numFmtId="0" fontId="2" fillId="0" borderId="0" xfId="0" applyFont="1" applyFill="1"/>
    <xf numFmtId="49" fontId="3" fillId="0" borderId="2" xfId="0" applyNumberFormat="1" applyFont="1" applyFill="1" applyBorder="1" applyAlignment="1">
      <alignment horizontal="center"/>
    </xf>
    <xf numFmtId="0" fontId="2" fillId="0" borderId="2" xfId="4" applyFont="1" applyFill="1" applyBorder="1" applyAlignment="1">
      <alignment horizontal="left" vertical="center" wrapText="1"/>
    </xf>
    <xf numFmtId="4" fontId="2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2" fontId="16" fillId="0" borderId="2" xfId="0" applyNumberFormat="1" applyFont="1" applyFill="1" applyBorder="1" applyAlignment="1">
      <alignment horizontal="center"/>
    </xf>
    <xf numFmtId="2" fontId="16" fillId="0" borderId="1" xfId="0" applyNumberFormat="1" applyFont="1" applyFill="1" applyBorder="1" applyAlignment="1"/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6" applyFont="1" applyFill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wrapText="1"/>
    </xf>
    <xf numFmtId="2" fontId="4" fillId="0" borderId="1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2" fontId="4" fillId="0" borderId="0" xfId="0" applyNumberFormat="1" applyFont="1" applyFill="1" applyBorder="1" applyAlignment="1">
      <alignment horizontal="center" wrapText="1"/>
    </xf>
    <xf numFmtId="2" fontId="5" fillId="0" borderId="0" xfId="0" applyNumberFormat="1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/>
    </xf>
    <xf numFmtId="0" fontId="4" fillId="0" borderId="2" xfId="0" applyFont="1" applyFill="1" applyBorder="1"/>
    <xf numFmtId="0" fontId="4" fillId="0" borderId="2" xfId="0" applyFont="1" applyFill="1" applyBorder="1" applyAlignment="1"/>
    <xf numFmtId="0" fontId="4" fillId="0" borderId="2" xfId="0" applyFont="1" applyFill="1" applyBorder="1" applyAlignment="1">
      <alignment horizontal="center" wrapText="1"/>
    </xf>
    <xf numFmtId="0" fontId="2" fillId="0" borderId="0" xfId="0" applyFont="1" applyFill="1" applyAlignment="1"/>
    <xf numFmtId="2" fontId="3" fillId="0" borderId="0" xfId="6" applyNumberFormat="1" applyFont="1" applyFill="1" applyAlignment="1">
      <alignment horizontal="center"/>
    </xf>
    <xf numFmtId="0" fontId="2" fillId="0" borderId="0" xfId="0" applyFont="1" applyFill="1" applyAlignment="1">
      <alignment wrapText="1"/>
    </xf>
    <xf numFmtId="0" fontId="5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wrapText="1"/>
    </xf>
    <xf numFmtId="2" fontId="15" fillId="0" borderId="2" xfId="0" applyNumberFormat="1" applyFont="1" applyFill="1" applyBorder="1" applyAlignment="1">
      <alignment horizontal="center"/>
    </xf>
    <xf numFmtId="49" fontId="2" fillId="0" borderId="5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/>
    </xf>
    <xf numFmtId="2" fontId="16" fillId="0" borderId="2" xfId="0" applyNumberFormat="1" applyFont="1" applyFill="1" applyBorder="1" applyAlignment="1"/>
    <xf numFmtId="0" fontId="2" fillId="0" borderId="0" xfId="6" applyFont="1" applyFill="1" applyAlignment="1">
      <alignment horizontal="center"/>
    </xf>
    <xf numFmtId="0" fontId="2" fillId="0" borderId="0" xfId="6" applyFont="1" applyFill="1" applyAlignment="1">
      <alignment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2" fontId="4" fillId="0" borderId="0" xfId="0" applyNumberFormat="1" applyFont="1" applyFill="1" applyBorder="1" applyAlignment="1">
      <alignment horizontal="center"/>
    </xf>
    <xf numFmtId="0" fontId="4" fillId="0" borderId="0" xfId="0" applyFont="1" applyFill="1"/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2" fontId="2" fillId="0" borderId="2" xfId="0" applyNumberFormat="1" applyFont="1" applyBorder="1" applyAlignment="1">
      <alignment horizontal="center"/>
    </xf>
    <xf numFmtId="2" fontId="2" fillId="0" borderId="7" xfId="0" applyNumberFormat="1" applyFont="1" applyFill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/>
    </xf>
    <xf numFmtId="2" fontId="2" fillId="2" borderId="7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2" xfId="4" applyFont="1" applyFill="1" applyBorder="1" applyAlignment="1">
      <alignment vertical="center" wrapText="1" shrinkToFit="1"/>
    </xf>
    <xf numFmtId="166" fontId="2" fillId="0" borderId="2" xfId="0" applyNumberFormat="1" applyFont="1" applyFill="1" applyBorder="1" applyAlignment="1">
      <alignment horizontal="center" vertical="center"/>
    </xf>
    <xf numFmtId="0" fontId="4" fillId="0" borderId="2" xfId="4" applyFont="1" applyFill="1" applyBorder="1" applyAlignment="1">
      <alignment horizontal="left" vertical="center" wrapText="1"/>
    </xf>
    <xf numFmtId="0" fontId="3" fillId="0" borderId="2" xfId="4" applyFont="1" applyFill="1" applyBorder="1" applyAlignment="1">
      <alignment vertical="center" shrinkToFit="1"/>
    </xf>
    <xf numFmtId="0" fontId="3" fillId="0" borderId="2" xfId="4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NumberFormat="1" applyFont="1" applyFill="1" applyBorder="1" applyAlignment="1" applyProtection="1">
      <alignment horizontal="left" vertical="center" wrapText="1"/>
      <protection locked="0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2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Fill="1" applyBorder="1" applyAlignment="1">
      <alignment horizontal="center" vertical="center"/>
    </xf>
    <xf numFmtId="2" fontId="2" fillId="0" borderId="7" xfId="0" applyNumberFormat="1" applyFont="1" applyFill="1" applyBorder="1" applyAlignment="1">
      <alignment horizontal="center" vertical="center" wrapText="1"/>
    </xf>
    <xf numFmtId="0" fontId="2" fillId="0" borderId="0" xfId="6" applyFont="1" applyFill="1" applyAlignment="1">
      <alignment horizontal="center" vertical="center"/>
    </xf>
    <xf numFmtId="0" fontId="0" fillId="0" borderId="2" xfId="0" applyBorder="1"/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1" fontId="15" fillId="0" borderId="2" xfId="0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vertical="center" wrapText="1"/>
    </xf>
    <xf numFmtId="0" fontId="2" fillId="0" borderId="2" xfId="5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 wrapText="1"/>
    </xf>
    <xf numFmtId="0" fontId="2" fillId="0" borderId="2" xfId="3" applyFont="1" applyFill="1" applyBorder="1" applyAlignment="1" applyProtection="1">
      <alignment vertical="top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3" applyFont="1" applyFill="1" applyBorder="1" applyAlignment="1" applyProtection="1">
      <alignment horizontal="center" vertical="center"/>
    </xf>
    <xf numFmtId="165" fontId="2" fillId="0" borderId="2" xfId="1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wrapText="1"/>
    </xf>
    <xf numFmtId="165" fontId="2" fillId="0" borderId="2" xfId="1" applyNumberFormat="1" applyFont="1" applyBorder="1" applyAlignment="1">
      <alignment vertical="top" wrapText="1"/>
    </xf>
    <xf numFmtId="166" fontId="1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6" applyFont="1" applyFill="1" applyBorder="1" applyAlignment="1">
      <alignment wrapText="1"/>
    </xf>
    <xf numFmtId="0" fontId="2" fillId="0" borderId="0" xfId="6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2" fillId="0" borderId="0" xfId="6" applyFont="1" applyFill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left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wrapText="1"/>
    </xf>
    <xf numFmtId="0" fontId="15" fillId="0" borderId="1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right" vertical="center" wrapText="1"/>
    </xf>
    <xf numFmtId="0" fontId="17" fillId="0" borderId="2" xfId="0" applyFont="1" applyBorder="1" applyAlignment="1">
      <alignment horizontal="right" vertical="center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17" fillId="0" borderId="2" xfId="0" applyFont="1" applyBorder="1" applyAlignment="1">
      <alignment horizontal="right" wrapText="1"/>
    </xf>
    <xf numFmtId="166" fontId="2" fillId="0" borderId="7" xfId="0" applyNumberFormat="1" applyFont="1" applyBorder="1" applyAlignment="1">
      <alignment horizontal="center" vertical="center"/>
    </xf>
    <xf numFmtId="166" fontId="2" fillId="0" borderId="7" xfId="0" applyNumberFormat="1" applyFont="1" applyFill="1" applyBorder="1" applyAlignment="1" applyProtection="1">
      <alignment horizontal="center" vertical="center" wrapText="1"/>
    </xf>
    <xf numFmtId="166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15" fillId="0" borderId="0" xfId="0" applyFont="1"/>
    <xf numFmtId="1" fontId="15" fillId="0" borderId="2" xfId="0" applyNumberFormat="1" applyFont="1" applyFill="1" applyBorder="1" applyAlignment="1">
      <alignment horizontal="center" vertical="center" wrapText="1"/>
    </xf>
    <xf numFmtId="166" fontId="15" fillId="0" borderId="2" xfId="0" applyNumberFormat="1" applyFont="1" applyBorder="1" applyAlignment="1">
      <alignment horizontal="center" vertical="center" wrapText="1"/>
    </xf>
    <xf numFmtId="166" fontId="15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166" fontId="15" fillId="0" borderId="7" xfId="0" applyNumberFormat="1" applyFont="1" applyBorder="1" applyAlignment="1">
      <alignment horizontal="center" vertical="center"/>
    </xf>
    <xf numFmtId="166" fontId="15" fillId="0" borderId="7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0" fontId="15" fillId="0" borderId="9" xfId="0" applyFont="1" applyBorder="1" applyAlignment="1">
      <alignment horizontal="center" vertical="center" wrapText="1"/>
    </xf>
    <xf numFmtId="0" fontId="2" fillId="0" borderId="2" xfId="7" applyFont="1" applyFill="1" applyBorder="1" applyAlignment="1">
      <alignment vertical="justify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6" applyFont="1" applyFill="1" applyAlignment="1">
      <alignment horizontal="center" wrapText="1"/>
    </xf>
    <xf numFmtId="2" fontId="4" fillId="0" borderId="0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vertical="center"/>
    </xf>
    <xf numFmtId="0" fontId="5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3" fillId="0" borderId="10" xfId="0" applyFont="1" applyBorder="1" applyAlignment="1">
      <alignment horizontal="right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2" fillId="0" borderId="2" xfId="0" applyFont="1" applyBorder="1" applyAlignment="1">
      <alignment horizontal="center"/>
    </xf>
    <xf numFmtId="0" fontId="5" fillId="0" borderId="0" xfId="0" applyFont="1" applyFill="1" applyAlignment="1">
      <alignment horizontal="left"/>
    </xf>
    <xf numFmtId="0" fontId="2" fillId="0" borderId="0" xfId="6" applyFont="1" applyFill="1" applyAlignment="1">
      <alignment horizontal="left" wrapText="1"/>
    </xf>
    <xf numFmtId="0" fontId="5" fillId="0" borderId="0" xfId="0" applyFont="1" applyFill="1" applyAlignment="1">
      <alignment horizontal="center"/>
    </xf>
  </cellXfs>
  <cellStyles count="9">
    <cellStyle name="Comma" xfId="1" builtinId="3"/>
    <cellStyle name="Normal" xfId="0" builtinId="0"/>
    <cellStyle name="Normal 2" xfId="2"/>
    <cellStyle name="Normal_sar12+16-20" xfId="3"/>
    <cellStyle name="Normal_Sheet2" xfId="4"/>
    <cellStyle name="Normal_tame" xfId="5"/>
    <cellStyle name="Normal_Tāme" xfId="6"/>
    <cellStyle name="Normal_Tame paraugs_Fitinghofa nams MS" xfId="7"/>
    <cellStyle name="Style 1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P842"/>
  <sheetViews>
    <sheetView showZeros="0" tabSelected="1" showWhiteSpace="0" zoomScaleNormal="100" workbookViewId="0">
      <selection activeCell="F330" sqref="F330"/>
    </sheetView>
  </sheetViews>
  <sheetFormatPr defaultRowHeight="12.75"/>
  <cols>
    <col min="1" max="1" width="8.140625" style="2" bestFit="1" customWidth="1"/>
    <col min="2" max="2" width="6.42578125" style="2" customWidth="1"/>
    <col min="3" max="3" width="36.85546875" style="1" customWidth="1"/>
    <col min="4" max="4" width="9.7109375" style="1" bestFit="1" customWidth="1"/>
    <col min="5" max="5" width="9.85546875" style="1" bestFit="1" customWidth="1"/>
    <col min="6" max="6" width="9" style="1" customWidth="1"/>
    <col min="7" max="7" width="8.7109375" style="1" customWidth="1"/>
    <col min="8" max="8" width="9.140625" style="2"/>
    <col min="9" max="9" width="13.140625" style="2" customWidth="1"/>
    <col min="10" max="16384" width="9.140625" style="2"/>
  </cols>
  <sheetData>
    <row r="1" spans="1:14" s="4" customFormat="1">
      <c r="A1" s="246" t="s">
        <v>33</v>
      </c>
      <c r="B1" s="246"/>
      <c r="C1" s="246"/>
      <c r="D1" s="246"/>
      <c r="E1" s="246"/>
      <c r="F1" s="246"/>
      <c r="G1" s="246"/>
    </row>
    <row r="2" spans="1:14" s="4" customFormat="1"/>
    <row r="3" spans="1:14" s="4" customFormat="1">
      <c r="A3" s="246" t="s">
        <v>4</v>
      </c>
      <c r="B3" s="246"/>
      <c r="C3" s="246"/>
      <c r="D3" s="246"/>
      <c r="E3" s="246"/>
      <c r="F3" s="246"/>
      <c r="G3" s="246"/>
    </row>
    <row r="4" spans="1:14" s="4" customFormat="1">
      <c r="A4" s="247" t="s">
        <v>3</v>
      </c>
      <c r="B4" s="247"/>
      <c r="C4" s="247"/>
      <c r="D4" s="247"/>
      <c r="E4" s="247"/>
      <c r="F4" s="247"/>
      <c r="G4" s="247"/>
    </row>
    <row r="5" spans="1:14" s="4" customFormat="1"/>
    <row r="6" spans="1:14" s="4" customFormat="1" ht="15" customHeight="1">
      <c r="A6" s="243" t="s">
        <v>636</v>
      </c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121"/>
      <c r="M6" s="121"/>
      <c r="N6" s="121"/>
    </row>
    <row r="7" spans="1:14" s="4" customFormat="1" ht="15" customHeight="1">
      <c r="A7" s="243" t="s">
        <v>637</v>
      </c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</row>
    <row r="8" spans="1:14" s="4" customFormat="1" ht="15" customHeight="1">
      <c r="A8" s="243" t="s">
        <v>638</v>
      </c>
      <c r="B8" s="243"/>
      <c r="C8" s="243"/>
      <c r="D8" s="243"/>
      <c r="E8" s="243"/>
      <c r="F8" s="243"/>
      <c r="G8" s="243"/>
      <c r="H8" s="243"/>
      <c r="I8" s="243"/>
      <c r="J8" s="86"/>
      <c r="K8" s="86"/>
      <c r="L8" s="122"/>
      <c r="M8" s="122"/>
      <c r="N8" s="86"/>
    </row>
    <row r="9" spans="1:14" s="4" customFormat="1" ht="15" customHeight="1">
      <c r="A9" s="245" t="s">
        <v>10</v>
      </c>
      <c r="B9" s="245"/>
      <c r="C9" s="245"/>
      <c r="D9" s="245"/>
      <c r="E9" s="245"/>
      <c r="F9" s="245"/>
      <c r="G9" s="245"/>
    </row>
    <row r="10" spans="1:14" s="4" customFormat="1"/>
    <row r="11" spans="1:14" s="4" customFormat="1" ht="12.75" customHeight="1">
      <c r="A11" s="248" t="s">
        <v>11</v>
      </c>
      <c r="B11" s="249" t="s">
        <v>34</v>
      </c>
      <c r="C11" s="248" t="s">
        <v>12</v>
      </c>
      <c r="D11" s="248" t="s">
        <v>13</v>
      </c>
      <c r="E11" s="248" t="s">
        <v>14</v>
      </c>
      <c r="F11" s="244" t="s">
        <v>19</v>
      </c>
      <c r="G11" s="244" t="s">
        <v>20</v>
      </c>
    </row>
    <row r="12" spans="1:14" s="4" customFormat="1" ht="35.25" customHeight="1">
      <c r="A12" s="248"/>
      <c r="B12" s="250"/>
      <c r="C12" s="248"/>
      <c r="D12" s="248"/>
      <c r="E12" s="248"/>
      <c r="F12" s="251"/>
      <c r="G12" s="244"/>
    </row>
    <row r="13" spans="1:14" s="4" customFormat="1" ht="25.5">
      <c r="A13" s="87" t="s">
        <v>47</v>
      </c>
      <c r="B13" s="90"/>
      <c r="C13" s="71" t="s">
        <v>23</v>
      </c>
      <c r="D13" s="51"/>
      <c r="E13" s="52"/>
      <c r="F13" s="28"/>
      <c r="G13" s="26"/>
    </row>
    <row r="14" spans="1:14" s="4" customFormat="1" ht="51">
      <c r="A14" s="85" t="s">
        <v>174</v>
      </c>
      <c r="B14" s="90"/>
      <c r="C14" s="31" t="s">
        <v>24</v>
      </c>
      <c r="D14" s="46" t="s">
        <v>0</v>
      </c>
      <c r="E14" s="47">
        <v>1</v>
      </c>
      <c r="F14" s="28"/>
      <c r="G14" s="26"/>
    </row>
    <row r="15" spans="1:14" s="4" customFormat="1" ht="15">
      <c r="A15" s="85" t="s">
        <v>175</v>
      </c>
      <c r="B15" s="90"/>
      <c r="C15" s="53" t="s">
        <v>25</v>
      </c>
      <c r="D15" s="44" t="s">
        <v>1</v>
      </c>
      <c r="E15" s="43">
        <v>535</v>
      </c>
      <c r="F15" s="28"/>
      <c r="G15" s="26"/>
    </row>
    <row r="16" spans="1:14" s="4" customFormat="1" ht="15">
      <c r="A16" s="85" t="s">
        <v>176</v>
      </c>
      <c r="B16" s="90"/>
      <c r="C16" s="53" t="s">
        <v>6</v>
      </c>
      <c r="D16" s="44" t="s">
        <v>0</v>
      </c>
      <c r="E16" s="43">
        <v>1</v>
      </c>
      <c r="F16" s="28"/>
      <c r="G16" s="26"/>
    </row>
    <row r="17" spans="1:7" s="4" customFormat="1" ht="15">
      <c r="A17" s="85" t="s">
        <v>177</v>
      </c>
      <c r="B17" s="90"/>
      <c r="C17" s="53" t="s">
        <v>7</v>
      </c>
      <c r="D17" s="44" t="s">
        <v>0</v>
      </c>
      <c r="E17" s="43">
        <v>1</v>
      </c>
      <c r="F17" s="28"/>
      <c r="G17" s="26"/>
    </row>
    <row r="18" spans="1:7" s="4" customFormat="1" ht="15">
      <c r="A18" s="85" t="s">
        <v>178</v>
      </c>
      <c r="B18" s="90"/>
      <c r="C18" s="53" t="s">
        <v>8</v>
      </c>
      <c r="D18" s="44" t="s">
        <v>0</v>
      </c>
      <c r="E18" s="43">
        <v>1</v>
      </c>
      <c r="F18" s="28"/>
      <c r="G18" s="26"/>
    </row>
    <row r="19" spans="1:7" s="4" customFormat="1" ht="15">
      <c r="A19" s="85" t="s">
        <v>179</v>
      </c>
      <c r="B19" s="90"/>
      <c r="C19" s="53" t="s">
        <v>9</v>
      </c>
      <c r="D19" s="44" t="s">
        <v>2</v>
      </c>
      <c r="E19" s="43">
        <v>1</v>
      </c>
      <c r="F19" s="28"/>
      <c r="G19" s="26"/>
    </row>
    <row r="20" spans="1:7" s="4" customFormat="1" ht="25.5">
      <c r="A20" s="85" t="s">
        <v>180</v>
      </c>
      <c r="B20" s="102"/>
      <c r="C20" s="53" t="s">
        <v>26</v>
      </c>
      <c r="D20" s="44" t="s">
        <v>2</v>
      </c>
      <c r="E20" s="43">
        <v>1</v>
      </c>
      <c r="F20" s="28"/>
      <c r="G20" s="26"/>
    </row>
    <row r="21" spans="1:7" s="4" customFormat="1" ht="15">
      <c r="A21" s="85"/>
      <c r="B21" s="90"/>
      <c r="C21" s="67" t="s">
        <v>36</v>
      </c>
      <c r="D21" s="54"/>
      <c r="E21" s="43"/>
      <c r="F21" s="28"/>
      <c r="G21" s="26"/>
    </row>
    <row r="22" spans="1:7" s="4" customFormat="1" ht="15">
      <c r="A22" s="87" t="s">
        <v>48</v>
      </c>
      <c r="B22" s="90"/>
      <c r="C22" s="72" t="s">
        <v>37</v>
      </c>
      <c r="D22" s="56"/>
      <c r="E22" s="57"/>
      <c r="F22" s="28"/>
      <c r="G22" s="26"/>
    </row>
    <row r="23" spans="1:7" s="4" customFormat="1" ht="15">
      <c r="A23" s="85" t="s">
        <v>181</v>
      </c>
      <c r="B23" s="90"/>
      <c r="C23" s="55" t="s">
        <v>131</v>
      </c>
      <c r="D23" s="66" t="s">
        <v>2</v>
      </c>
      <c r="E23" s="57">
        <v>1</v>
      </c>
      <c r="F23" s="28"/>
      <c r="G23" s="26"/>
    </row>
    <row r="24" spans="1:7" s="4" customFormat="1" ht="15">
      <c r="A24" s="85" t="s">
        <v>182</v>
      </c>
      <c r="B24" s="90"/>
      <c r="C24" s="53" t="s">
        <v>30</v>
      </c>
      <c r="D24" s="48" t="s">
        <v>27</v>
      </c>
      <c r="E24" s="43">
        <v>453</v>
      </c>
      <c r="F24" s="28"/>
      <c r="G24" s="26"/>
    </row>
    <row r="25" spans="1:7" s="4" customFormat="1" ht="25.5">
      <c r="A25" s="85" t="s">
        <v>183</v>
      </c>
      <c r="B25" s="90"/>
      <c r="C25" s="53" t="s">
        <v>38</v>
      </c>
      <c r="D25" s="48" t="s">
        <v>27</v>
      </c>
      <c r="E25" s="43">
        <v>53</v>
      </c>
      <c r="F25" s="28"/>
      <c r="G25" s="26"/>
    </row>
    <row r="26" spans="1:7" s="4" customFormat="1" ht="25.5">
      <c r="A26" s="85" t="s">
        <v>184</v>
      </c>
      <c r="B26" s="90"/>
      <c r="C26" s="53" t="s">
        <v>39</v>
      </c>
      <c r="D26" s="48" t="s">
        <v>27</v>
      </c>
      <c r="E26" s="43">
        <v>506</v>
      </c>
      <c r="F26" s="28"/>
      <c r="G26" s="26"/>
    </row>
    <row r="27" spans="1:7" s="4" customFormat="1" ht="51">
      <c r="A27" s="85" t="s">
        <v>185</v>
      </c>
      <c r="B27" s="90"/>
      <c r="C27" s="53" t="s">
        <v>186</v>
      </c>
      <c r="D27" s="48" t="s">
        <v>27</v>
      </c>
      <c r="E27" s="43">
        <v>396</v>
      </c>
      <c r="F27" s="28"/>
      <c r="G27" s="26"/>
    </row>
    <row r="28" spans="1:7" s="4" customFormat="1" ht="15">
      <c r="A28" s="85"/>
      <c r="B28" s="90"/>
      <c r="C28" s="73" t="s">
        <v>36</v>
      </c>
      <c r="D28" s="48"/>
      <c r="E28" s="43"/>
      <c r="F28" s="28"/>
      <c r="G28" s="26"/>
    </row>
    <row r="29" spans="1:7" s="4" customFormat="1" ht="15">
      <c r="A29" s="87" t="s">
        <v>49</v>
      </c>
      <c r="B29" s="90"/>
      <c r="C29" s="29" t="s">
        <v>69</v>
      </c>
      <c r="D29" s="48"/>
      <c r="E29" s="43"/>
      <c r="F29" s="28"/>
      <c r="G29" s="26"/>
    </row>
    <row r="30" spans="1:7" s="4" customFormat="1" ht="15">
      <c r="A30" s="85"/>
      <c r="B30" s="90"/>
      <c r="C30" s="29" t="s">
        <v>187</v>
      </c>
      <c r="D30" s="48"/>
      <c r="E30" s="43"/>
      <c r="F30" s="28"/>
      <c r="G30" s="26"/>
    </row>
    <row r="31" spans="1:7" s="4" customFormat="1" ht="25.5">
      <c r="A31" s="85" t="s">
        <v>188</v>
      </c>
      <c r="B31" s="90"/>
      <c r="C31" s="74" t="s">
        <v>189</v>
      </c>
      <c r="D31" s="64" t="s">
        <v>27</v>
      </c>
      <c r="E31" s="75">
        <v>8.3699999999999992</v>
      </c>
      <c r="F31" s="28"/>
      <c r="G31" s="26"/>
    </row>
    <row r="32" spans="1:7" s="4" customFormat="1" ht="38.25">
      <c r="A32" s="85" t="s">
        <v>190</v>
      </c>
      <c r="B32" s="90"/>
      <c r="C32" s="53" t="s">
        <v>40</v>
      </c>
      <c r="D32" s="48" t="s">
        <v>27</v>
      </c>
      <c r="E32" s="43">
        <v>4.16</v>
      </c>
      <c r="F32" s="28"/>
      <c r="G32" s="26"/>
    </row>
    <row r="33" spans="1:7" s="4" customFormat="1" ht="51">
      <c r="A33" s="85" t="s">
        <v>191</v>
      </c>
      <c r="B33" s="90"/>
      <c r="C33" s="53" t="s">
        <v>192</v>
      </c>
      <c r="D33" s="48" t="s">
        <v>27</v>
      </c>
      <c r="E33" s="43">
        <v>1.3</v>
      </c>
      <c r="F33" s="28"/>
      <c r="G33" s="26"/>
    </row>
    <row r="34" spans="1:7" s="4" customFormat="1" ht="51">
      <c r="A34" s="85" t="s">
        <v>193</v>
      </c>
      <c r="B34" s="90"/>
      <c r="C34" s="53" t="s">
        <v>41</v>
      </c>
      <c r="D34" s="48" t="s">
        <v>28</v>
      </c>
      <c r="E34" s="43">
        <v>55.92</v>
      </c>
      <c r="F34" s="28"/>
      <c r="G34" s="26"/>
    </row>
    <row r="35" spans="1:7" s="4" customFormat="1" ht="51">
      <c r="A35" s="85" t="s">
        <v>194</v>
      </c>
      <c r="B35" s="90"/>
      <c r="C35" s="53" t="s">
        <v>195</v>
      </c>
      <c r="D35" s="48" t="s">
        <v>29</v>
      </c>
      <c r="E35" s="60">
        <v>0.34799999999999998</v>
      </c>
      <c r="F35" s="28"/>
      <c r="G35" s="26"/>
    </row>
    <row r="36" spans="1:7" s="4" customFormat="1" ht="51">
      <c r="A36" s="85" t="s">
        <v>196</v>
      </c>
      <c r="B36" s="90"/>
      <c r="C36" s="61" t="s">
        <v>197</v>
      </c>
      <c r="D36" s="48" t="s">
        <v>27</v>
      </c>
      <c r="E36" s="43">
        <v>9.4</v>
      </c>
      <c r="F36" s="28"/>
      <c r="G36" s="26"/>
    </row>
    <row r="37" spans="1:7" s="4" customFormat="1" ht="38.25">
      <c r="A37" s="85" t="s">
        <v>198</v>
      </c>
      <c r="B37" s="90"/>
      <c r="C37" s="62" t="s">
        <v>199</v>
      </c>
      <c r="D37" s="54" t="s">
        <v>31</v>
      </c>
      <c r="E37" s="43">
        <v>346</v>
      </c>
      <c r="F37" s="28"/>
      <c r="G37" s="26"/>
    </row>
    <row r="38" spans="1:7" s="4" customFormat="1" ht="38.25">
      <c r="A38" s="85" t="s">
        <v>200</v>
      </c>
      <c r="B38" s="90"/>
      <c r="C38" s="62" t="s">
        <v>201</v>
      </c>
      <c r="D38" s="54" t="s">
        <v>31</v>
      </c>
      <c r="E38" s="43">
        <v>223.1</v>
      </c>
      <c r="F38" s="28"/>
      <c r="G38" s="26"/>
    </row>
    <row r="39" spans="1:7" s="4" customFormat="1" ht="38.25">
      <c r="A39" s="85" t="s">
        <v>202</v>
      </c>
      <c r="B39" s="90"/>
      <c r="C39" s="62" t="s">
        <v>203</v>
      </c>
      <c r="D39" s="54" t="s">
        <v>31</v>
      </c>
      <c r="E39" s="43">
        <v>77.7</v>
      </c>
      <c r="F39" s="28"/>
      <c r="G39" s="26"/>
    </row>
    <row r="40" spans="1:7" s="4" customFormat="1" ht="38.25">
      <c r="A40" s="85" t="s">
        <v>204</v>
      </c>
      <c r="B40" s="90"/>
      <c r="C40" s="62" t="s">
        <v>205</v>
      </c>
      <c r="D40" s="54" t="s">
        <v>31</v>
      </c>
      <c r="E40" s="43">
        <v>39.56</v>
      </c>
      <c r="F40" s="28"/>
      <c r="G40" s="26"/>
    </row>
    <row r="41" spans="1:7" s="4" customFormat="1" ht="25.5">
      <c r="A41" s="85"/>
      <c r="B41" s="90"/>
      <c r="C41" s="29" t="s">
        <v>206</v>
      </c>
      <c r="D41" s="48"/>
      <c r="E41" s="43"/>
      <c r="F41" s="28"/>
      <c r="G41" s="26"/>
    </row>
    <row r="42" spans="1:7" s="4" customFormat="1" ht="25.5">
      <c r="A42" s="85" t="s">
        <v>207</v>
      </c>
      <c r="B42" s="90"/>
      <c r="C42" s="74" t="s">
        <v>208</v>
      </c>
      <c r="D42" s="64" t="s">
        <v>27</v>
      </c>
      <c r="E42" s="75">
        <v>13.59</v>
      </c>
      <c r="F42" s="28"/>
      <c r="G42" s="26"/>
    </row>
    <row r="43" spans="1:7" s="4" customFormat="1" ht="38.25">
      <c r="A43" s="85" t="s">
        <v>209</v>
      </c>
      <c r="B43" s="90"/>
      <c r="C43" s="53" t="s">
        <v>70</v>
      </c>
      <c r="D43" s="48" t="s">
        <v>27</v>
      </c>
      <c r="E43" s="43">
        <v>7.33</v>
      </c>
      <c r="F43" s="28"/>
      <c r="G43" s="26"/>
    </row>
    <row r="44" spans="1:7" s="4" customFormat="1" ht="51">
      <c r="A44" s="85" t="s">
        <v>210</v>
      </c>
      <c r="B44" s="90"/>
      <c r="C44" s="53" t="s">
        <v>211</v>
      </c>
      <c r="D44" s="48" t="s">
        <v>27</v>
      </c>
      <c r="E44" s="43">
        <v>2.6</v>
      </c>
      <c r="F44" s="28"/>
      <c r="G44" s="26"/>
    </row>
    <row r="45" spans="1:7" s="4" customFormat="1" ht="51">
      <c r="A45" s="85" t="s">
        <v>212</v>
      </c>
      <c r="B45" s="90"/>
      <c r="C45" s="53" t="s">
        <v>213</v>
      </c>
      <c r="D45" s="48" t="s">
        <v>28</v>
      </c>
      <c r="E45" s="43">
        <v>214.62</v>
      </c>
      <c r="F45" s="28"/>
      <c r="G45" s="26"/>
    </row>
    <row r="46" spans="1:7" s="4" customFormat="1" ht="51">
      <c r="A46" s="85" t="s">
        <v>214</v>
      </c>
      <c r="B46" s="90"/>
      <c r="C46" s="53" t="s">
        <v>215</v>
      </c>
      <c r="D46" s="48" t="s">
        <v>29</v>
      </c>
      <c r="E46" s="43">
        <v>0.33</v>
      </c>
      <c r="F46" s="28"/>
      <c r="G46" s="26"/>
    </row>
    <row r="47" spans="1:7" s="4" customFormat="1" ht="51">
      <c r="A47" s="85" t="s">
        <v>216</v>
      </c>
      <c r="B47" s="90"/>
      <c r="C47" s="61" t="s">
        <v>217</v>
      </c>
      <c r="D47" s="48" t="s">
        <v>27</v>
      </c>
      <c r="E47" s="43">
        <v>32.299999999999997</v>
      </c>
      <c r="F47" s="28"/>
      <c r="G47" s="26"/>
    </row>
    <row r="48" spans="1:7" s="4" customFormat="1" ht="15">
      <c r="A48" s="85"/>
      <c r="B48" s="90"/>
      <c r="C48" s="29" t="s">
        <v>218</v>
      </c>
      <c r="D48" s="48"/>
      <c r="E48" s="43"/>
      <c r="F48" s="28"/>
      <c r="G48" s="26"/>
    </row>
    <row r="49" spans="1:7" s="4" customFormat="1" ht="25.5">
      <c r="A49" s="85" t="s">
        <v>219</v>
      </c>
      <c r="B49" s="90"/>
      <c r="C49" s="74" t="s">
        <v>208</v>
      </c>
      <c r="D49" s="64" t="s">
        <v>27</v>
      </c>
      <c r="E49" s="75">
        <v>10.94</v>
      </c>
      <c r="F49" s="28"/>
      <c r="G49" s="26"/>
    </row>
    <row r="50" spans="1:7" s="4" customFormat="1" ht="38.25">
      <c r="A50" s="85" t="s">
        <v>220</v>
      </c>
      <c r="B50" s="90"/>
      <c r="C50" s="53" t="s">
        <v>70</v>
      </c>
      <c r="D50" s="48" t="s">
        <v>27</v>
      </c>
      <c r="E50" s="43">
        <v>4.67</v>
      </c>
      <c r="F50" s="28"/>
      <c r="G50" s="26"/>
    </row>
    <row r="51" spans="1:7" s="4" customFormat="1" ht="51">
      <c r="A51" s="85" t="s">
        <v>221</v>
      </c>
      <c r="B51" s="90"/>
      <c r="C51" s="53" t="s">
        <v>213</v>
      </c>
      <c r="D51" s="48" t="s">
        <v>28</v>
      </c>
      <c r="E51" s="43">
        <v>82.44</v>
      </c>
      <c r="F51" s="28"/>
      <c r="G51" s="26"/>
    </row>
    <row r="52" spans="1:7" s="4" customFormat="1" ht="51">
      <c r="A52" s="85" t="s">
        <v>222</v>
      </c>
      <c r="B52" s="90"/>
      <c r="C52" s="53" t="s">
        <v>223</v>
      </c>
      <c r="D52" s="48" t="s">
        <v>29</v>
      </c>
      <c r="E52" s="60">
        <v>0.317</v>
      </c>
      <c r="F52" s="28"/>
      <c r="G52" s="26"/>
    </row>
    <row r="53" spans="1:7" s="4" customFormat="1" ht="51">
      <c r="A53" s="85" t="s">
        <v>224</v>
      </c>
      <c r="B53" s="90"/>
      <c r="C53" s="61" t="s">
        <v>217</v>
      </c>
      <c r="D53" s="48" t="s">
        <v>27</v>
      </c>
      <c r="E53" s="43">
        <v>12.25</v>
      </c>
      <c r="F53" s="28"/>
      <c r="G53" s="26"/>
    </row>
    <row r="54" spans="1:7" s="4" customFormat="1" ht="38.25">
      <c r="A54" s="85" t="s">
        <v>225</v>
      </c>
      <c r="B54" s="90"/>
      <c r="C54" s="103" t="s">
        <v>226</v>
      </c>
      <c r="D54" s="48" t="s">
        <v>28</v>
      </c>
      <c r="E54" s="43">
        <v>50</v>
      </c>
      <c r="F54" s="28"/>
      <c r="G54" s="26"/>
    </row>
    <row r="55" spans="1:7" s="4" customFormat="1" ht="15">
      <c r="A55" s="85"/>
      <c r="B55" s="90"/>
      <c r="C55" s="67" t="s">
        <v>36</v>
      </c>
      <c r="D55" s="54"/>
      <c r="E55" s="43"/>
      <c r="F55" s="28"/>
      <c r="G55" s="26"/>
    </row>
    <row r="56" spans="1:7" s="4" customFormat="1" ht="15">
      <c r="A56" s="87" t="s">
        <v>50</v>
      </c>
      <c r="B56" s="90"/>
      <c r="C56" s="39" t="s">
        <v>227</v>
      </c>
      <c r="D56" s="54"/>
      <c r="E56" s="43"/>
      <c r="F56" s="28"/>
      <c r="G56" s="26"/>
    </row>
    <row r="57" spans="1:7" s="4" customFormat="1" ht="76.5">
      <c r="A57" s="85" t="s">
        <v>228</v>
      </c>
      <c r="B57" s="90"/>
      <c r="C57" s="61" t="s">
        <v>229</v>
      </c>
      <c r="D57" s="44" t="s">
        <v>28</v>
      </c>
      <c r="E57" s="43">
        <v>76.44</v>
      </c>
      <c r="F57" s="28"/>
      <c r="G57" s="26"/>
    </row>
    <row r="58" spans="1:7" s="4" customFormat="1" ht="63.75">
      <c r="A58" s="85" t="s">
        <v>230</v>
      </c>
      <c r="B58" s="90"/>
      <c r="C58" s="61" t="s">
        <v>231</v>
      </c>
      <c r="D58" s="44" t="s">
        <v>28</v>
      </c>
      <c r="E58" s="43">
        <v>22.93</v>
      </c>
      <c r="F58" s="28"/>
      <c r="G58" s="26"/>
    </row>
    <row r="59" spans="1:7" s="4" customFormat="1" ht="25.5">
      <c r="A59" s="85" t="s">
        <v>232</v>
      </c>
      <c r="B59" s="90"/>
      <c r="C59" s="61" t="s">
        <v>233</v>
      </c>
      <c r="D59" s="44" t="s">
        <v>28</v>
      </c>
      <c r="E59" s="43">
        <v>22.93</v>
      </c>
      <c r="F59" s="28"/>
      <c r="G59" s="26"/>
    </row>
    <row r="60" spans="1:7" s="4" customFormat="1" ht="25.5">
      <c r="A60" s="85" t="s">
        <v>234</v>
      </c>
      <c r="B60" s="90"/>
      <c r="C60" s="61" t="s">
        <v>235</v>
      </c>
      <c r="D60" s="44" t="s">
        <v>28</v>
      </c>
      <c r="E60" s="43">
        <v>22.93</v>
      </c>
      <c r="F60" s="28"/>
      <c r="G60" s="26"/>
    </row>
    <row r="61" spans="1:7" s="4" customFormat="1" ht="51">
      <c r="A61" s="85" t="s">
        <v>236</v>
      </c>
      <c r="B61" s="90"/>
      <c r="C61" s="61" t="s">
        <v>237</v>
      </c>
      <c r="D61" s="44" t="s">
        <v>28</v>
      </c>
      <c r="E61" s="43">
        <v>22.93</v>
      </c>
      <c r="F61" s="28"/>
      <c r="G61" s="26"/>
    </row>
    <row r="62" spans="1:7" s="4" customFormat="1" ht="15">
      <c r="A62" s="85"/>
      <c r="B62" s="90"/>
      <c r="C62" s="67" t="s">
        <v>36</v>
      </c>
      <c r="D62" s="54"/>
      <c r="E62" s="43"/>
      <c r="F62" s="28"/>
      <c r="G62" s="26"/>
    </row>
    <row r="63" spans="1:7" s="4" customFormat="1" ht="15">
      <c r="A63" s="87" t="s">
        <v>51</v>
      </c>
      <c r="B63" s="90"/>
      <c r="C63" s="39" t="s">
        <v>238</v>
      </c>
      <c r="D63" s="54"/>
      <c r="E63" s="43"/>
      <c r="F63" s="28"/>
      <c r="G63" s="26"/>
    </row>
    <row r="64" spans="1:7" s="4" customFormat="1" ht="38.25">
      <c r="A64" s="85" t="s">
        <v>239</v>
      </c>
      <c r="B64" s="90"/>
      <c r="C64" s="76" t="s">
        <v>240</v>
      </c>
      <c r="D64" s="77" t="s">
        <v>27</v>
      </c>
      <c r="E64" s="75">
        <v>21.84</v>
      </c>
      <c r="F64" s="28"/>
      <c r="G64" s="26"/>
    </row>
    <row r="65" spans="1:7" s="4" customFormat="1" ht="38.25">
      <c r="A65" s="85" t="s">
        <v>241</v>
      </c>
      <c r="B65" s="90"/>
      <c r="C65" s="55" t="s">
        <v>242</v>
      </c>
      <c r="D65" s="64" t="s">
        <v>27</v>
      </c>
      <c r="E65" s="75">
        <v>10.92</v>
      </c>
      <c r="F65" s="28"/>
      <c r="G65" s="26"/>
    </row>
    <row r="66" spans="1:7" s="4" customFormat="1" ht="38.25">
      <c r="A66" s="85" t="s">
        <v>243</v>
      </c>
      <c r="B66" s="90"/>
      <c r="C66" s="62" t="s">
        <v>244</v>
      </c>
      <c r="D66" s="40" t="s">
        <v>28</v>
      </c>
      <c r="E66" s="65">
        <v>218.46</v>
      </c>
      <c r="F66" s="28"/>
      <c r="G66" s="26"/>
    </row>
    <row r="67" spans="1:7" s="4" customFormat="1" ht="38.25">
      <c r="A67" s="85" t="s">
        <v>245</v>
      </c>
      <c r="B67" s="90"/>
      <c r="C67" s="55" t="s">
        <v>246</v>
      </c>
      <c r="D67" s="66" t="s">
        <v>28</v>
      </c>
      <c r="E67" s="65">
        <v>218.46</v>
      </c>
      <c r="F67" s="28"/>
      <c r="G67" s="26"/>
    </row>
    <row r="68" spans="1:7" s="4" customFormat="1" ht="38.25">
      <c r="A68" s="85" t="s">
        <v>247</v>
      </c>
      <c r="B68" s="90"/>
      <c r="C68" s="104" t="s">
        <v>248</v>
      </c>
      <c r="D68" s="40" t="s">
        <v>28</v>
      </c>
      <c r="E68" s="3">
        <v>237.32</v>
      </c>
      <c r="F68" s="28"/>
      <c r="G68" s="26"/>
    </row>
    <row r="69" spans="1:7" s="4" customFormat="1" ht="38.25">
      <c r="A69" s="85" t="s">
        <v>249</v>
      </c>
      <c r="B69" s="90"/>
      <c r="C69" s="55" t="s">
        <v>250</v>
      </c>
      <c r="D69" s="56" t="s">
        <v>27</v>
      </c>
      <c r="E69" s="56">
        <v>18.98</v>
      </c>
      <c r="F69" s="28"/>
      <c r="G69" s="26"/>
    </row>
    <row r="70" spans="1:7" s="4" customFormat="1" ht="51">
      <c r="A70" s="85" t="s">
        <v>251</v>
      </c>
      <c r="B70" s="90"/>
      <c r="C70" s="103" t="s">
        <v>252</v>
      </c>
      <c r="D70" s="40" t="s">
        <v>28</v>
      </c>
      <c r="E70" s="3">
        <v>151.72</v>
      </c>
      <c r="F70" s="28"/>
      <c r="G70" s="26"/>
    </row>
    <row r="71" spans="1:7" s="4" customFormat="1" ht="51">
      <c r="A71" s="85" t="s">
        <v>253</v>
      </c>
      <c r="B71" s="90"/>
      <c r="C71" s="103" t="s">
        <v>254</v>
      </c>
      <c r="D71" s="40" t="s">
        <v>28</v>
      </c>
      <c r="E71" s="3">
        <v>85.6</v>
      </c>
      <c r="F71" s="28"/>
      <c r="G71" s="26"/>
    </row>
    <row r="72" spans="1:7" s="4" customFormat="1" ht="51">
      <c r="A72" s="85" t="s">
        <v>255</v>
      </c>
      <c r="B72" s="90"/>
      <c r="C72" s="103" t="s">
        <v>256</v>
      </c>
      <c r="D72" s="40" t="s">
        <v>1</v>
      </c>
      <c r="E72" s="3">
        <v>20.3</v>
      </c>
      <c r="F72" s="28"/>
      <c r="G72" s="26"/>
    </row>
    <row r="73" spans="1:7" s="4" customFormat="1" ht="38.25">
      <c r="A73" s="85" t="s">
        <v>257</v>
      </c>
      <c r="B73" s="90"/>
      <c r="C73" s="103" t="s">
        <v>258</v>
      </c>
      <c r="D73" s="44" t="s">
        <v>1</v>
      </c>
      <c r="E73" s="43">
        <v>103</v>
      </c>
      <c r="F73" s="28"/>
      <c r="G73" s="26"/>
    </row>
    <row r="74" spans="1:7" s="4" customFormat="1" ht="15">
      <c r="A74" s="85"/>
      <c r="B74" s="90"/>
      <c r="C74" s="67" t="s">
        <v>36</v>
      </c>
      <c r="D74" s="54"/>
      <c r="E74" s="43"/>
      <c r="F74" s="28"/>
      <c r="G74" s="26"/>
    </row>
    <row r="75" spans="1:7" s="4" customFormat="1" ht="15">
      <c r="A75" s="87" t="s">
        <v>52</v>
      </c>
      <c r="B75" s="90"/>
      <c r="C75" s="39" t="s">
        <v>259</v>
      </c>
      <c r="D75" s="54"/>
      <c r="E75" s="43"/>
      <c r="F75" s="28"/>
      <c r="G75" s="26"/>
    </row>
    <row r="76" spans="1:7" s="4" customFormat="1" ht="63.75">
      <c r="A76" s="85" t="s">
        <v>260</v>
      </c>
      <c r="B76" s="90"/>
      <c r="C76" s="61" t="s">
        <v>261</v>
      </c>
      <c r="D76" s="44" t="s">
        <v>28</v>
      </c>
      <c r="E76" s="43">
        <v>217.39</v>
      </c>
      <c r="F76" s="28"/>
      <c r="G76" s="26"/>
    </row>
    <row r="77" spans="1:7" s="4" customFormat="1" ht="38.25">
      <c r="A77" s="85" t="s">
        <v>262</v>
      </c>
      <c r="B77" s="90"/>
      <c r="C77" s="61" t="s">
        <v>263</v>
      </c>
      <c r="D77" s="44" t="s">
        <v>28</v>
      </c>
      <c r="E77" s="43">
        <v>224.85</v>
      </c>
      <c r="F77" s="28"/>
      <c r="G77" s="26"/>
    </row>
    <row r="78" spans="1:7" s="4" customFormat="1" ht="76.5">
      <c r="A78" s="85" t="s">
        <v>264</v>
      </c>
      <c r="B78" s="90"/>
      <c r="C78" s="61" t="s">
        <v>265</v>
      </c>
      <c r="D78" s="44" t="s">
        <v>28</v>
      </c>
      <c r="E78" s="43">
        <v>194.43</v>
      </c>
      <c r="F78" s="28"/>
      <c r="G78" s="26"/>
    </row>
    <row r="79" spans="1:7" s="4" customFormat="1" ht="63.75">
      <c r="A79" s="85" t="s">
        <v>266</v>
      </c>
      <c r="B79" s="90"/>
      <c r="C79" s="103" t="s">
        <v>267</v>
      </c>
      <c r="D79" s="44" t="s">
        <v>28</v>
      </c>
      <c r="E79" s="43">
        <v>2.1800000000000002</v>
      </c>
      <c r="F79" s="28"/>
      <c r="G79" s="26"/>
    </row>
    <row r="80" spans="1:7" s="4" customFormat="1" ht="51">
      <c r="A80" s="85" t="s">
        <v>268</v>
      </c>
      <c r="B80" s="90"/>
      <c r="C80" s="61" t="s">
        <v>252</v>
      </c>
      <c r="D80" s="40" t="s">
        <v>28</v>
      </c>
      <c r="E80" s="3">
        <v>2.1800000000000002</v>
      </c>
      <c r="F80" s="28"/>
      <c r="G80" s="26"/>
    </row>
    <row r="81" spans="1:7" s="4" customFormat="1" ht="38.25">
      <c r="A81" s="85" t="s">
        <v>269</v>
      </c>
      <c r="B81" s="90"/>
      <c r="C81" s="61" t="s">
        <v>270</v>
      </c>
      <c r="D81" s="44" t="s">
        <v>28</v>
      </c>
      <c r="E81" s="43">
        <v>16.36</v>
      </c>
      <c r="F81" s="28"/>
      <c r="G81" s="26"/>
    </row>
    <row r="82" spans="1:7" s="4" customFormat="1" ht="15">
      <c r="A82" s="85"/>
      <c r="B82" s="90"/>
      <c r="C82" s="105" t="s">
        <v>271</v>
      </c>
      <c r="D82" s="54"/>
      <c r="E82" s="43"/>
      <c r="F82" s="28"/>
      <c r="G82" s="26"/>
    </row>
    <row r="83" spans="1:7" s="4" customFormat="1" ht="38.25">
      <c r="A83" s="85" t="s">
        <v>272</v>
      </c>
      <c r="B83" s="90"/>
      <c r="C83" s="103" t="s">
        <v>273</v>
      </c>
      <c r="D83" s="44" t="s">
        <v>28</v>
      </c>
      <c r="E83" s="43">
        <v>11.88</v>
      </c>
      <c r="F83" s="28"/>
      <c r="G83" s="26"/>
    </row>
    <row r="84" spans="1:7" s="4" customFormat="1" ht="76.5">
      <c r="A84" s="85" t="s">
        <v>274</v>
      </c>
      <c r="B84" s="90"/>
      <c r="C84" s="103" t="s">
        <v>275</v>
      </c>
      <c r="D84" s="44" t="s">
        <v>28</v>
      </c>
      <c r="E84" s="43">
        <v>11.88</v>
      </c>
      <c r="F84" s="28"/>
      <c r="G84" s="26"/>
    </row>
    <row r="85" spans="1:7" s="4" customFormat="1" ht="38.25">
      <c r="A85" s="85" t="s">
        <v>276</v>
      </c>
      <c r="B85" s="90"/>
      <c r="C85" s="103" t="s">
        <v>277</v>
      </c>
      <c r="D85" s="44" t="s">
        <v>28</v>
      </c>
      <c r="E85" s="43">
        <v>11.88</v>
      </c>
      <c r="F85" s="28"/>
      <c r="G85" s="26"/>
    </row>
    <row r="86" spans="1:7" s="4" customFormat="1" ht="15">
      <c r="A86" s="85"/>
      <c r="B86" s="90"/>
      <c r="C86" s="105" t="s">
        <v>278</v>
      </c>
      <c r="D86" s="54"/>
      <c r="E86" s="43"/>
      <c r="F86" s="28"/>
      <c r="G86" s="26"/>
    </row>
    <row r="87" spans="1:7" s="4" customFormat="1" ht="38.25">
      <c r="A87" s="85" t="s">
        <v>279</v>
      </c>
      <c r="B87" s="90"/>
      <c r="C87" s="62" t="s">
        <v>280</v>
      </c>
      <c r="D87" s="54" t="s">
        <v>28</v>
      </c>
      <c r="E87" s="43">
        <v>16.5</v>
      </c>
      <c r="F87" s="28"/>
      <c r="G87" s="26"/>
    </row>
    <row r="88" spans="1:7" s="4" customFormat="1" ht="15">
      <c r="A88" s="85"/>
      <c r="B88" s="90"/>
      <c r="C88" s="105" t="s">
        <v>281</v>
      </c>
      <c r="D88" s="54"/>
      <c r="E88" s="43"/>
      <c r="F88" s="28"/>
      <c r="G88" s="26"/>
    </row>
    <row r="89" spans="1:7" s="4" customFormat="1" ht="51">
      <c r="A89" s="85" t="s">
        <v>282</v>
      </c>
      <c r="B89" s="90"/>
      <c r="C89" s="103" t="s">
        <v>283</v>
      </c>
      <c r="D89" s="44" t="s">
        <v>28</v>
      </c>
      <c r="E89" s="43">
        <v>15.62</v>
      </c>
      <c r="F89" s="28"/>
      <c r="G89" s="26"/>
    </row>
    <row r="90" spans="1:7" s="4" customFormat="1" ht="15">
      <c r="A90" s="85"/>
      <c r="B90" s="90"/>
      <c r="C90" s="67" t="s">
        <v>36</v>
      </c>
      <c r="D90" s="54"/>
      <c r="E90" s="43"/>
      <c r="F90" s="28"/>
      <c r="G90" s="26"/>
    </row>
    <row r="91" spans="1:7" s="4" customFormat="1" ht="15">
      <c r="A91" s="87" t="s">
        <v>53</v>
      </c>
      <c r="B91" s="90"/>
      <c r="C91" s="63" t="s">
        <v>284</v>
      </c>
      <c r="D91" s="54"/>
      <c r="E91" s="43"/>
      <c r="F91" s="28"/>
      <c r="G91" s="26"/>
    </row>
    <row r="92" spans="1:7" s="4" customFormat="1" ht="15">
      <c r="A92" s="85"/>
      <c r="B92" s="90"/>
      <c r="C92" s="105" t="s">
        <v>285</v>
      </c>
      <c r="D92" s="54"/>
      <c r="E92" s="43"/>
      <c r="F92" s="28"/>
      <c r="G92" s="26"/>
    </row>
    <row r="93" spans="1:7" s="4" customFormat="1" ht="25.5">
      <c r="A93" s="85" t="s">
        <v>286</v>
      </c>
      <c r="B93" s="90"/>
      <c r="C93" s="62" t="s">
        <v>287</v>
      </c>
      <c r="D93" s="54" t="s">
        <v>27</v>
      </c>
      <c r="E93" s="43">
        <v>2.5499999999999998</v>
      </c>
      <c r="F93" s="28"/>
      <c r="G93" s="26"/>
    </row>
    <row r="94" spans="1:7" s="4" customFormat="1" ht="89.25">
      <c r="A94" s="85" t="s">
        <v>288</v>
      </c>
      <c r="B94" s="90"/>
      <c r="C94" s="61" t="s">
        <v>289</v>
      </c>
      <c r="D94" s="44" t="s">
        <v>27</v>
      </c>
      <c r="E94" s="43">
        <v>2.5499999999999998</v>
      </c>
      <c r="F94" s="28"/>
      <c r="G94" s="26"/>
    </row>
    <row r="95" spans="1:7" s="4" customFormat="1" ht="51">
      <c r="A95" s="85" t="s">
        <v>290</v>
      </c>
      <c r="B95" s="90"/>
      <c r="C95" s="103" t="s">
        <v>291</v>
      </c>
      <c r="D95" s="44" t="s">
        <v>28</v>
      </c>
      <c r="E95" s="43">
        <v>59.48</v>
      </c>
      <c r="F95" s="28"/>
      <c r="G95" s="26"/>
    </row>
    <row r="96" spans="1:7" s="4" customFormat="1" ht="15">
      <c r="A96" s="85"/>
      <c r="B96" s="90"/>
      <c r="C96" s="105" t="s">
        <v>292</v>
      </c>
      <c r="D96" s="54"/>
      <c r="E96" s="43"/>
      <c r="F96" s="28"/>
      <c r="G96" s="26"/>
    </row>
    <row r="97" spans="1:7" s="4" customFormat="1" ht="25.5">
      <c r="A97" s="85" t="s">
        <v>293</v>
      </c>
      <c r="B97" s="90"/>
      <c r="C97" s="62" t="s">
        <v>294</v>
      </c>
      <c r="D97" s="54" t="s">
        <v>27</v>
      </c>
      <c r="E97" s="43">
        <v>5.45</v>
      </c>
      <c r="F97" s="28"/>
      <c r="G97" s="26"/>
    </row>
    <row r="98" spans="1:7" s="4" customFormat="1" ht="76.5">
      <c r="A98" s="85" t="s">
        <v>295</v>
      </c>
      <c r="B98" s="90"/>
      <c r="C98" s="62" t="s">
        <v>296</v>
      </c>
      <c r="D98" s="54" t="s">
        <v>27</v>
      </c>
      <c r="E98" s="43">
        <v>3.66</v>
      </c>
      <c r="F98" s="28"/>
      <c r="G98" s="26"/>
    </row>
    <row r="99" spans="1:7" s="4" customFormat="1" ht="63.75">
      <c r="A99" s="85" t="s">
        <v>297</v>
      </c>
      <c r="B99" s="90"/>
      <c r="C99" s="62" t="s">
        <v>298</v>
      </c>
      <c r="D99" s="54" t="s">
        <v>27</v>
      </c>
      <c r="E99" s="43">
        <v>1.19</v>
      </c>
      <c r="F99" s="28"/>
      <c r="G99" s="26"/>
    </row>
    <row r="100" spans="1:7" s="4" customFormat="1" ht="51">
      <c r="A100" s="85" t="s">
        <v>299</v>
      </c>
      <c r="B100" s="90"/>
      <c r="C100" s="61" t="s">
        <v>300</v>
      </c>
      <c r="D100" s="44" t="s">
        <v>27</v>
      </c>
      <c r="E100" s="43">
        <v>0.6</v>
      </c>
      <c r="F100" s="28"/>
      <c r="G100" s="26"/>
    </row>
    <row r="101" spans="1:7" s="4" customFormat="1" ht="51">
      <c r="A101" s="85" t="s">
        <v>301</v>
      </c>
      <c r="B101" s="90"/>
      <c r="C101" s="103" t="s">
        <v>291</v>
      </c>
      <c r="D101" s="44" t="s">
        <v>28</v>
      </c>
      <c r="E101" s="43">
        <v>41.68</v>
      </c>
      <c r="F101" s="28"/>
      <c r="G101" s="26"/>
    </row>
    <row r="102" spans="1:7" s="4" customFormat="1" ht="15">
      <c r="A102" s="85"/>
      <c r="B102" s="90"/>
      <c r="C102" s="105" t="s">
        <v>302</v>
      </c>
      <c r="D102" s="54"/>
      <c r="E102" s="43"/>
      <c r="F102" s="28"/>
      <c r="G102" s="26"/>
    </row>
    <row r="103" spans="1:7" s="4" customFormat="1" ht="25.5">
      <c r="A103" s="85" t="s">
        <v>303</v>
      </c>
      <c r="B103" s="90"/>
      <c r="C103" s="62" t="s">
        <v>294</v>
      </c>
      <c r="D103" s="54" t="s">
        <v>27</v>
      </c>
      <c r="E103" s="43">
        <v>10.31</v>
      </c>
      <c r="F103" s="28"/>
      <c r="G103" s="26"/>
    </row>
    <row r="104" spans="1:7" s="4" customFormat="1" ht="63.75">
      <c r="A104" s="85" t="s">
        <v>304</v>
      </c>
      <c r="B104" s="90"/>
      <c r="C104" s="62" t="s">
        <v>305</v>
      </c>
      <c r="D104" s="54" t="s">
        <v>27</v>
      </c>
      <c r="E104" s="43">
        <v>0.85</v>
      </c>
      <c r="F104" s="28"/>
      <c r="G104" s="26"/>
    </row>
    <row r="105" spans="1:7" s="4" customFormat="1" ht="89.25">
      <c r="A105" s="85" t="s">
        <v>306</v>
      </c>
      <c r="B105" s="90"/>
      <c r="C105" s="62" t="s">
        <v>307</v>
      </c>
      <c r="D105" s="54" t="s">
        <v>27</v>
      </c>
      <c r="E105" s="43">
        <v>3.18</v>
      </c>
      <c r="F105" s="28"/>
      <c r="G105" s="26"/>
    </row>
    <row r="106" spans="1:7" s="4" customFormat="1" ht="102">
      <c r="A106" s="85" t="s">
        <v>308</v>
      </c>
      <c r="B106" s="90"/>
      <c r="C106" s="61" t="s">
        <v>309</v>
      </c>
      <c r="D106" s="44" t="s">
        <v>27</v>
      </c>
      <c r="E106" s="43">
        <v>6.45</v>
      </c>
      <c r="F106" s="28"/>
      <c r="G106" s="26"/>
    </row>
    <row r="107" spans="1:7" s="4" customFormat="1" ht="51">
      <c r="A107" s="85" t="s">
        <v>310</v>
      </c>
      <c r="B107" s="90"/>
      <c r="C107" s="103" t="s">
        <v>291</v>
      </c>
      <c r="D107" s="44" t="s">
        <v>28</v>
      </c>
      <c r="E107" s="43">
        <v>174.07</v>
      </c>
      <c r="F107" s="28"/>
      <c r="G107" s="26"/>
    </row>
    <row r="108" spans="1:7" s="4" customFormat="1" ht="15">
      <c r="A108" s="85"/>
      <c r="B108" s="90"/>
      <c r="C108" s="67" t="s">
        <v>36</v>
      </c>
      <c r="D108" s="54"/>
      <c r="E108" s="43"/>
      <c r="F108" s="28"/>
      <c r="G108" s="26"/>
    </row>
    <row r="109" spans="1:7" s="4" customFormat="1" ht="15">
      <c r="A109" s="87" t="s">
        <v>311</v>
      </c>
      <c r="B109" s="90"/>
      <c r="C109" s="39" t="s">
        <v>312</v>
      </c>
      <c r="D109" s="54"/>
      <c r="E109" s="43"/>
      <c r="F109" s="28"/>
      <c r="G109" s="26"/>
    </row>
    <row r="110" spans="1:7" s="4" customFormat="1" ht="25.5">
      <c r="A110" s="85" t="s">
        <v>313</v>
      </c>
      <c r="B110" s="90"/>
      <c r="C110" s="62" t="s">
        <v>294</v>
      </c>
      <c r="D110" s="54" t="s">
        <v>27</v>
      </c>
      <c r="E110" s="43">
        <v>13.27</v>
      </c>
      <c r="F110" s="28"/>
      <c r="G110" s="26"/>
    </row>
    <row r="111" spans="1:7" s="4" customFormat="1" ht="76.5">
      <c r="A111" s="85" t="s">
        <v>314</v>
      </c>
      <c r="B111" s="90"/>
      <c r="C111" s="62" t="s">
        <v>315</v>
      </c>
      <c r="D111" s="54" t="s">
        <v>27</v>
      </c>
      <c r="E111" s="43">
        <v>3.88</v>
      </c>
      <c r="F111" s="28"/>
      <c r="G111" s="26"/>
    </row>
    <row r="112" spans="1:7" s="4" customFormat="1" ht="89.25">
      <c r="A112" s="85" t="s">
        <v>316</v>
      </c>
      <c r="B112" s="90"/>
      <c r="C112" s="62" t="s">
        <v>317</v>
      </c>
      <c r="D112" s="54" t="s">
        <v>27</v>
      </c>
      <c r="E112" s="43">
        <v>9.39</v>
      </c>
      <c r="F112" s="28"/>
      <c r="G112" s="26"/>
    </row>
    <row r="113" spans="1:7" s="4" customFormat="1" ht="38.25">
      <c r="A113" s="85" t="s">
        <v>318</v>
      </c>
      <c r="B113" s="90"/>
      <c r="C113" s="103" t="s">
        <v>319</v>
      </c>
      <c r="D113" s="44" t="s">
        <v>28</v>
      </c>
      <c r="E113" s="43">
        <v>55.4</v>
      </c>
      <c r="F113" s="28"/>
      <c r="G113" s="26"/>
    </row>
    <row r="114" spans="1:7" s="4" customFormat="1" ht="25.5">
      <c r="A114" s="85" t="s">
        <v>320</v>
      </c>
      <c r="B114" s="90"/>
      <c r="C114" s="61" t="s">
        <v>321</v>
      </c>
      <c r="D114" s="44" t="s">
        <v>1</v>
      </c>
      <c r="E114" s="43">
        <v>130</v>
      </c>
      <c r="F114" s="28"/>
      <c r="G114" s="26"/>
    </row>
    <row r="115" spans="1:7" s="4" customFormat="1" ht="51">
      <c r="A115" s="85" t="s">
        <v>322</v>
      </c>
      <c r="B115" s="90"/>
      <c r="C115" s="61" t="s">
        <v>323</v>
      </c>
      <c r="D115" s="44" t="s">
        <v>27</v>
      </c>
      <c r="E115" s="43">
        <v>45.9</v>
      </c>
      <c r="F115" s="28"/>
      <c r="G115" s="26"/>
    </row>
    <row r="116" spans="1:7" s="4" customFormat="1" ht="25.5">
      <c r="A116" s="85" t="s">
        <v>324</v>
      </c>
      <c r="B116" s="90"/>
      <c r="C116" s="103" t="s">
        <v>325</v>
      </c>
      <c r="D116" s="44" t="s">
        <v>28</v>
      </c>
      <c r="E116" s="43">
        <v>255</v>
      </c>
      <c r="F116" s="28"/>
      <c r="G116" s="26"/>
    </row>
    <row r="117" spans="1:7" s="4" customFormat="1" ht="89.25">
      <c r="A117" s="85" t="s">
        <v>326</v>
      </c>
      <c r="B117" s="90"/>
      <c r="C117" s="62" t="s">
        <v>327</v>
      </c>
      <c r="D117" s="54" t="s">
        <v>28</v>
      </c>
      <c r="E117" s="43">
        <v>255</v>
      </c>
      <c r="F117" s="28"/>
      <c r="G117" s="26"/>
    </row>
    <row r="118" spans="1:7" s="4" customFormat="1" ht="15">
      <c r="A118" s="85"/>
      <c r="B118" s="90"/>
      <c r="C118" s="67" t="s">
        <v>36</v>
      </c>
      <c r="D118" s="54"/>
      <c r="E118" s="43"/>
      <c r="F118" s="28"/>
      <c r="G118" s="26"/>
    </row>
    <row r="119" spans="1:7" s="4" customFormat="1" ht="15">
      <c r="A119" s="87" t="s">
        <v>328</v>
      </c>
      <c r="B119" s="90"/>
      <c r="C119" s="63" t="s">
        <v>329</v>
      </c>
      <c r="D119" s="54"/>
      <c r="E119" s="43"/>
      <c r="F119" s="28"/>
      <c r="G119" s="26"/>
    </row>
    <row r="120" spans="1:7" s="4" customFormat="1" ht="15">
      <c r="A120" s="85"/>
      <c r="B120" s="90"/>
      <c r="C120" s="105" t="s">
        <v>330</v>
      </c>
      <c r="D120" s="54"/>
      <c r="E120" s="43"/>
      <c r="F120" s="28"/>
      <c r="G120" s="26"/>
    </row>
    <row r="121" spans="1:7" s="4" customFormat="1" ht="25.5">
      <c r="A121" s="85" t="s">
        <v>331</v>
      </c>
      <c r="B121" s="90"/>
      <c r="C121" s="62" t="s">
        <v>294</v>
      </c>
      <c r="D121" s="54" t="s">
        <v>27</v>
      </c>
      <c r="E121" s="43">
        <v>12.95</v>
      </c>
      <c r="F121" s="28"/>
      <c r="G121" s="26"/>
    </row>
    <row r="122" spans="1:7" s="4" customFormat="1" ht="89.25">
      <c r="A122" s="85" t="s">
        <v>332</v>
      </c>
      <c r="B122" s="90"/>
      <c r="C122" s="62" t="s">
        <v>333</v>
      </c>
      <c r="D122" s="54" t="s">
        <v>27</v>
      </c>
      <c r="E122" s="43">
        <v>12.95</v>
      </c>
      <c r="F122" s="28"/>
      <c r="G122" s="26"/>
    </row>
    <row r="123" spans="1:7" s="4" customFormat="1" ht="51">
      <c r="A123" s="85" t="s">
        <v>334</v>
      </c>
      <c r="B123" s="90"/>
      <c r="C123" s="61" t="s">
        <v>335</v>
      </c>
      <c r="D123" s="44" t="s">
        <v>28</v>
      </c>
      <c r="E123" s="43">
        <v>92.4</v>
      </c>
      <c r="F123" s="28"/>
      <c r="G123" s="26"/>
    </row>
    <row r="124" spans="1:7" s="4" customFormat="1" ht="15">
      <c r="A124" s="85"/>
      <c r="B124" s="90"/>
      <c r="C124" s="105" t="s">
        <v>336</v>
      </c>
      <c r="D124" s="54"/>
      <c r="E124" s="43"/>
      <c r="F124" s="28"/>
      <c r="G124" s="26"/>
    </row>
    <row r="125" spans="1:7" s="4" customFormat="1" ht="89.25">
      <c r="A125" s="85" t="s">
        <v>337</v>
      </c>
      <c r="B125" s="90"/>
      <c r="C125" s="103" t="s">
        <v>338</v>
      </c>
      <c r="D125" s="44" t="s">
        <v>28</v>
      </c>
      <c r="E125" s="43">
        <v>300.5</v>
      </c>
      <c r="F125" s="28"/>
      <c r="G125" s="26"/>
    </row>
    <row r="126" spans="1:7" s="4" customFormat="1" ht="15">
      <c r="A126" s="85"/>
      <c r="B126" s="90"/>
      <c r="C126" s="105" t="s">
        <v>339</v>
      </c>
      <c r="D126" s="54"/>
      <c r="E126" s="43"/>
      <c r="F126" s="28"/>
      <c r="G126" s="26"/>
    </row>
    <row r="127" spans="1:7" s="4" customFormat="1" ht="76.5">
      <c r="A127" s="85" t="s">
        <v>340</v>
      </c>
      <c r="B127" s="90"/>
      <c r="C127" s="103" t="s">
        <v>341</v>
      </c>
      <c r="D127" s="44" t="s">
        <v>28</v>
      </c>
      <c r="E127" s="43">
        <v>546.79999999999995</v>
      </c>
      <c r="F127" s="28"/>
      <c r="G127" s="26"/>
    </row>
    <row r="128" spans="1:7" s="4" customFormat="1" ht="51">
      <c r="A128" s="85" t="s">
        <v>342</v>
      </c>
      <c r="B128" s="90"/>
      <c r="C128" s="103" t="s">
        <v>343</v>
      </c>
      <c r="D128" s="44" t="s">
        <v>28</v>
      </c>
      <c r="E128" s="43">
        <v>546.79999999999995</v>
      </c>
      <c r="F128" s="28"/>
      <c r="G128" s="26"/>
    </row>
    <row r="129" spans="1:7" s="4" customFormat="1" ht="51">
      <c r="A129" s="85" t="s">
        <v>344</v>
      </c>
      <c r="B129" s="90"/>
      <c r="C129" s="62" t="s">
        <v>345</v>
      </c>
      <c r="D129" s="54" t="s">
        <v>28</v>
      </c>
      <c r="E129" s="43">
        <v>546.79999999999995</v>
      </c>
      <c r="F129" s="28"/>
      <c r="G129" s="26"/>
    </row>
    <row r="130" spans="1:7" s="4" customFormat="1" ht="38.25">
      <c r="A130" s="85" t="s">
        <v>346</v>
      </c>
      <c r="B130" s="90"/>
      <c r="C130" s="61" t="s">
        <v>347</v>
      </c>
      <c r="D130" s="44" t="s">
        <v>348</v>
      </c>
      <c r="E130" s="43">
        <v>24</v>
      </c>
      <c r="F130" s="28"/>
      <c r="G130" s="26"/>
    </row>
    <row r="131" spans="1:7" s="4" customFormat="1" ht="51">
      <c r="A131" s="85" t="s">
        <v>349</v>
      </c>
      <c r="B131" s="90"/>
      <c r="C131" s="62" t="s">
        <v>350</v>
      </c>
      <c r="D131" s="44" t="s">
        <v>348</v>
      </c>
      <c r="E131" s="43">
        <v>24</v>
      </c>
      <c r="F131" s="28"/>
      <c r="G131" s="26"/>
    </row>
    <row r="132" spans="1:7" s="4" customFormat="1" ht="140.25">
      <c r="A132" s="85" t="s">
        <v>351</v>
      </c>
      <c r="B132" s="90"/>
      <c r="C132" s="103" t="s">
        <v>352</v>
      </c>
      <c r="D132" s="44" t="s">
        <v>1</v>
      </c>
      <c r="E132" s="43">
        <v>96.5</v>
      </c>
      <c r="F132" s="28"/>
      <c r="G132" s="26"/>
    </row>
    <row r="133" spans="1:7" s="4" customFormat="1" ht="38.25">
      <c r="A133" s="85" t="s">
        <v>353</v>
      </c>
      <c r="B133" s="90"/>
      <c r="C133" s="103" t="s">
        <v>354</v>
      </c>
      <c r="D133" s="44" t="s">
        <v>1</v>
      </c>
      <c r="E133" s="43">
        <v>66.3</v>
      </c>
      <c r="F133" s="28"/>
      <c r="G133" s="26"/>
    </row>
    <row r="134" spans="1:7" s="4" customFormat="1" ht="63.75">
      <c r="A134" s="85" t="s">
        <v>355</v>
      </c>
      <c r="B134" s="90"/>
      <c r="C134" s="103" t="s">
        <v>356</v>
      </c>
      <c r="D134" s="44" t="s">
        <v>1</v>
      </c>
      <c r="E134" s="43">
        <v>72</v>
      </c>
      <c r="F134" s="28"/>
      <c r="G134" s="26"/>
    </row>
    <row r="135" spans="1:7" s="4" customFormat="1" ht="38.25">
      <c r="A135" s="85" t="s">
        <v>357</v>
      </c>
      <c r="B135" s="90"/>
      <c r="C135" s="103" t="s">
        <v>358</v>
      </c>
      <c r="D135" s="44" t="s">
        <v>1</v>
      </c>
      <c r="E135" s="43">
        <v>29</v>
      </c>
      <c r="F135" s="28"/>
      <c r="G135" s="26"/>
    </row>
    <row r="136" spans="1:7" s="4" customFormat="1" ht="38.25">
      <c r="A136" s="85" t="s">
        <v>359</v>
      </c>
      <c r="B136" s="90"/>
      <c r="C136" s="103" t="s">
        <v>360</v>
      </c>
      <c r="D136" s="44" t="s">
        <v>28</v>
      </c>
      <c r="E136" s="43">
        <v>260</v>
      </c>
      <c r="F136" s="28"/>
      <c r="G136" s="26"/>
    </row>
    <row r="137" spans="1:7" s="4" customFormat="1" ht="38.25">
      <c r="A137" s="85" t="s">
        <v>361</v>
      </c>
      <c r="B137" s="90"/>
      <c r="C137" s="103" t="s">
        <v>362</v>
      </c>
      <c r="D137" s="44" t="s">
        <v>28</v>
      </c>
      <c r="E137" s="43">
        <v>260</v>
      </c>
      <c r="F137" s="28"/>
      <c r="G137" s="26"/>
    </row>
    <row r="138" spans="1:7" s="4" customFormat="1" ht="15">
      <c r="A138" s="85"/>
      <c r="B138" s="90"/>
      <c r="C138" s="67" t="s">
        <v>36</v>
      </c>
      <c r="D138" s="54"/>
      <c r="E138" s="43"/>
      <c r="F138" s="28"/>
      <c r="G138" s="26"/>
    </row>
    <row r="139" spans="1:7" s="4" customFormat="1" ht="15">
      <c r="A139" s="87" t="s">
        <v>363</v>
      </c>
      <c r="B139" s="90"/>
      <c r="C139" s="63" t="s">
        <v>43</v>
      </c>
      <c r="D139" s="54"/>
      <c r="E139" s="43"/>
      <c r="F139" s="28"/>
      <c r="G139" s="26"/>
    </row>
    <row r="140" spans="1:7" s="4" customFormat="1" ht="15">
      <c r="A140" s="85"/>
      <c r="B140" s="90"/>
      <c r="C140" s="106" t="s">
        <v>364</v>
      </c>
      <c r="D140" s="44"/>
      <c r="E140" s="43"/>
      <c r="F140" s="28"/>
      <c r="G140" s="26"/>
    </row>
    <row r="141" spans="1:7" s="4" customFormat="1" ht="102">
      <c r="A141" s="85" t="s">
        <v>365</v>
      </c>
      <c r="B141" s="90"/>
      <c r="C141" s="53" t="s">
        <v>366</v>
      </c>
      <c r="D141" s="56" t="s">
        <v>32</v>
      </c>
      <c r="E141" s="65">
        <v>2</v>
      </c>
      <c r="F141" s="28"/>
      <c r="G141" s="26"/>
    </row>
    <row r="142" spans="1:7" s="4" customFormat="1" ht="89.25">
      <c r="A142" s="85" t="s">
        <v>367</v>
      </c>
      <c r="B142" s="90"/>
      <c r="C142" s="53" t="s">
        <v>368</v>
      </c>
      <c r="D142" s="56" t="s">
        <v>32</v>
      </c>
      <c r="E142" s="65">
        <v>6</v>
      </c>
      <c r="F142" s="28"/>
      <c r="G142" s="26"/>
    </row>
    <row r="143" spans="1:7" s="4" customFormat="1" ht="102">
      <c r="A143" s="85" t="s">
        <v>369</v>
      </c>
      <c r="B143" s="90"/>
      <c r="C143" s="53" t="s">
        <v>370</v>
      </c>
      <c r="D143" s="56" t="s">
        <v>32</v>
      </c>
      <c r="E143" s="65">
        <v>1</v>
      </c>
      <c r="F143" s="28"/>
      <c r="G143" s="26"/>
    </row>
    <row r="144" spans="1:7" s="4" customFormat="1" ht="76.5">
      <c r="A144" s="85" t="s">
        <v>371</v>
      </c>
      <c r="B144" s="90"/>
      <c r="C144" s="53" t="s">
        <v>372</v>
      </c>
      <c r="D144" s="56" t="s">
        <v>32</v>
      </c>
      <c r="E144" s="65">
        <v>1</v>
      </c>
      <c r="F144" s="28"/>
      <c r="G144" s="26"/>
    </row>
    <row r="145" spans="1:7" s="4" customFormat="1" ht="89.25">
      <c r="A145" s="85" t="s">
        <v>373</v>
      </c>
      <c r="B145" s="90"/>
      <c r="C145" s="53" t="s">
        <v>374</v>
      </c>
      <c r="D145" s="56" t="s">
        <v>32</v>
      </c>
      <c r="E145" s="65">
        <v>2</v>
      </c>
      <c r="F145" s="28"/>
      <c r="G145" s="26"/>
    </row>
    <row r="146" spans="1:7" s="4" customFormat="1" ht="89.25">
      <c r="A146" s="85" t="s">
        <v>375</v>
      </c>
      <c r="B146" s="90"/>
      <c r="C146" s="53" t="s">
        <v>376</v>
      </c>
      <c r="D146" s="56" t="s">
        <v>32</v>
      </c>
      <c r="E146" s="65">
        <v>1</v>
      </c>
      <c r="F146" s="28"/>
      <c r="G146" s="26"/>
    </row>
    <row r="147" spans="1:7" s="4" customFormat="1" ht="89.25">
      <c r="A147" s="85" t="s">
        <v>377</v>
      </c>
      <c r="B147" s="90"/>
      <c r="C147" s="53" t="s">
        <v>378</v>
      </c>
      <c r="D147" s="56" t="s">
        <v>32</v>
      </c>
      <c r="E147" s="65">
        <v>1</v>
      </c>
      <c r="F147" s="28"/>
      <c r="G147" s="26"/>
    </row>
    <row r="148" spans="1:7" s="4" customFormat="1" ht="76.5">
      <c r="A148" s="85" t="s">
        <v>379</v>
      </c>
      <c r="B148" s="90"/>
      <c r="C148" s="53" t="s">
        <v>380</v>
      </c>
      <c r="D148" s="56" t="s">
        <v>32</v>
      </c>
      <c r="E148" s="65">
        <v>1</v>
      </c>
      <c r="F148" s="28"/>
      <c r="G148" s="26"/>
    </row>
    <row r="149" spans="1:7" s="4" customFormat="1" ht="76.5">
      <c r="A149" s="85" t="s">
        <v>381</v>
      </c>
      <c r="B149" s="90"/>
      <c r="C149" s="53" t="s">
        <v>382</v>
      </c>
      <c r="D149" s="56" t="s">
        <v>32</v>
      </c>
      <c r="E149" s="65">
        <v>1</v>
      </c>
      <c r="F149" s="28"/>
      <c r="G149" s="26"/>
    </row>
    <row r="150" spans="1:7" s="4" customFormat="1" ht="89.25">
      <c r="A150" s="85" t="s">
        <v>383</v>
      </c>
      <c r="B150" s="90"/>
      <c r="C150" s="53" t="s">
        <v>384</v>
      </c>
      <c r="D150" s="56" t="s">
        <v>32</v>
      </c>
      <c r="E150" s="65">
        <v>1</v>
      </c>
      <c r="F150" s="28"/>
      <c r="G150" s="26"/>
    </row>
    <row r="151" spans="1:7" s="4" customFormat="1" ht="15">
      <c r="A151" s="85"/>
      <c r="B151" s="90"/>
      <c r="C151" s="107" t="s">
        <v>385</v>
      </c>
      <c r="D151" s="54"/>
      <c r="E151" s="43"/>
      <c r="F151" s="28"/>
      <c r="G151" s="26"/>
    </row>
    <row r="152" spans="1:7" s="4" customFormat="1" ht="102">
      <c r="A152" s="85" t="s">
        <v>386</v>
      </c>
      <c r="B152" s="90"/>
      <c r="C152" s="61" t="s">
        <v>387</v>
      </c>
      <c r="D152" s="44" t="s">
        <v>32</v>
      </c>
      <c r="E152" s="43">
        <v>2</v>
      </c>
      <c r="F152" s="28"/>
      <c r="G152" s="26"/>
    </row>
    <row r="153" spans="1:7" s="4" customFormat="1" ht="102">
      <c r="A153" s="85" t="s">
        <v>388</v>
      </c>
      <c r="B153" s="90"/>
      <c r="C153" s="61" t="s">
        <v>389</v>
      </c>
      <c r="D153" s="44" t="s">
        <v>32</v>
      </c>
      <c r="E153" s="43">
        <v>2</v>
      </c>
      <c r="F153" s="28"/>
      <c r="G153" s="26"/>
    </row>
    <row r="154" spans="1:7" s="4" customFormat="1" ht="102">
      <c r="A154" s="85" t="s">
        <v>390</v>
      </c>
      <c r="B154" s="90"/>
      <c r="C154" s="62" t="s">
        <v>391</v>
      </c>
      <c r="D154" s="54" t="s">
        <v>32</v>
      </c>
      <c r="E154" s="43">
        <v>1</v>
      </c>
      <c r="F154" s="28"/>
      <c r="G154" s="26"/>
    </row>
    <row r="155" spans="1:7" s="4" customFormat="1" ht="15">
      <c r="A155" s="85"/>
      <c r="B155" s="90"/>
      <c r="C155" s="107" t="s">
        <v>392</v>
      </c>
      <c r="D155" s="54"/>
      <c r="E155" s="43"/>
      <c r="F155" s="28"/>
      <c r="G155" s="26"/>
    </row>
    <row r="156" spans="1:7" s="4" customFormat="1" ht="63.75">
      <c r="A156" s="85" t="s">
        <v>393</v>
      </c>
      <c r="B156" s="90"/>
      <c r="C156" s="103" t="s">
        <v>394</v>
      </c>
      <c r="D156" s="54" t="s">
        <v>32</v>
      </c>
      <c r="E156" s="43">
        <v>1</v>
      </c>
      <c r="F156" s="28"/>
      <c r="G156" s="26"/>
    </row>
    <row r="157" spans="1:7" s="4" customFormat="1" ht="15">
      <c r="A157" s="85"/>
      <c r="B157" s="90"/>
      <c r="C157" s="107" t="s">
        <v>395</v>
      </c>
      <c r="D157" s="54"/>
      <c r="E157" s="43"/>
      <c r="F157" s="28"/>
      <c r="G157" s="26"/>
    </row>
    <row r="158" spans="1:7" s="4" customFormat="1" ht="51">
      <c r="A158" s="85" t="s">
        <v>396</v>
      </c>
      <c r="B158" s="90"/>
      <c r="C158" s="53" t="s">
        <v>397</v>
      </c>
      <c r="D158" s="44" t="s">
        <v>348</v>
      </c>
      <c r="E158" s="43">
        <v>32.299999999999997</v>
      </c>
      <c r="F158" s="28"/>
      <c r="G158" s="26"/>
    </row>
    <row r="159" spans="1:7" s="4" customFormat="1" ht="51">
      <c r="A159" s="85" t="s">
        <v>398</v>
      </c>
      <c r="B159" s="90"/>
      <c r="C159" s="53" t="s">
        <v>399</v>
      </c>
      <c r="D159" s="44" t="s">
        <v>348</v>
      </c>
      <c r="E159" s="43">
        <v>28.9</v>
      </c>
      <c r="F159" s="28"/>
      <c r="G159" s="26"/>
    </row>
    <row r="160" spans="1:7" s="4" customFormat="1" ht="15">
      <c r="A160" s="85"/>
      <c r="B160" s="90"/>
      <c r="C160" s="67" t="s">
        <v>36</v>
      </c>
      <c r="D160" s="54"/>
      <c r="E160" s="43"/>
      <c r="F160" s="28"/>
      <c r="G160" s="26"/>
    </row>
    <row r="161" spans="1:7" s="4" customFormat="1" ht="15">
      <c r="A161" s="87" t="s">
        <v>400</v>
      </c>
      <c r="B161" s="90"/>
      <c r="C161" s="39" t="s">
        <v>401</v>
      </c>
      <c r="D161" s="54"/>
      <c r="E161" s="43"/>
      <c r="F161" s="28"/>
      <c r="G161" s="26"/>
    </row>
    <row r="162" spans="1:7" s="4" customFormat="1" ht="51">
      <c r="A162" s="85" t="s">
        <v>402</v>
      </c>
      <c r="B162" s="90"/>
      <c r="C162" s="62" t="s">
        <v>403</v>
      </c>
      <c r="D162" s="54" t="s">
        <v>348</v>
      </c>
      <c r="E162" s="43">
        <v>118.42</v>
      </c>
      <c r="F162" s="28"/>
      <c r="G162" s="26"/>
    </row>
    <row r="163" spans="1:7" s="4" customFormat="1" ht="38.25">
      <c r="A163" s="85" t="s">
        <v>404</v>
      </c>
      <c r="B163" s="90"/>
      <c r="C163" s="61" t="s">
        <v>405</v>
      </c>
      <c r="D163" s="44" t="s">
        <v>28</v>
      </c>
      <c r="E163" s="43">
        <v>17.760000000000002</v>
      </c>
      <c r="F163" s="28"/>
      <c r="G163" s="26"/>
    </row>
    <row r="164" spans="1:7" s="4" customFormat="1" ht="51">
      <c r="A164" s="85" t="s">
        <v>406</v>
      </c>
      <c r="B164" s="90"/>
      <c r="C164" s="62" t="s">
        <v>407</v>
      </c>
      <c r="D164" s="54" t="s">
        <v>348</v>
      </c>
      <c r="E164" s="43">
        <v>118.42</v>
      </c>
      <c r="F164" s="28"/>
      <c r="G164" s="26"/>
    </row>
    <row r="165" spans="1:7" s="4" customFormat="1" ht="63.75">
      <c r="A165" s="85" t="s">
        <v>408</v>
      </c>
      <c r="B165" s="90"/>
      <c r="C165" s="62" t="s">
        <v>409</v>
      </c>
      <c r="D165" s="54" t="s">
        <v>28</v>
      </c>
      <c r="E165" s="43">
        <v>15.39</v>
      </c>
      <c r="F165" s="28"/>
      <c r="G165" s="26"/>
    </row>
    <row r="166" spans="1:7" s="4" customFormat="1" ht="76.5">
      <c r="A166" s="85" t="s">
        <v>410</v>
      </c>
      <c r="B166" s="90"/>
      <c r="C166" s="61" t="s">
        <v>411</v>
      </c>
      <c r="D166" s="44" t="s">
        <v>28</v>
      </c>
      <c r="E166" s="43">
        <v>15.39</v>
      </c>
      <c r="F166" s="28"/>
      <c r="G166" s="26"/>
    </row>
    <row r="167" spans="1:7" s="4" customFormat="1" ht="15">
      <c r="A167" s="85"/>
      <c r="B167" s="90"/>
      <c r="C167" s="67" t="s">
        <v>36</v>
      </c>
      <c r="D167" s="54"/>
      <c r="E167" s="43"/>
      <c r="F167" s="28"/>
      <c r="G167" s="26"/>
    </row>
    <row r="168" spans="1:7" s="4" customFormat="1" ht="25.5">
      <c r="A168" s="87" t="s">
        <v>412</v>
      </c>
      <c r="B168" s="90"/>
      <c r="C168" s="63" t="s">
        <v>413</v>
      </c>
      <c r="D168" s="54"/>
      <c r="E168" s="43"/>
      <c r="F168" s="28"/>
      <c r="G168" s="26"/>
    </row>
    <row r="169" spans="1:7" s="4" customFormat="1" ht="15">
      <c r="A169" s="85"/>
      <c r="B169" s="90"/>
      <c r="C169" s="105" t="s">
        <v>414</v>
      </c>
      <c r="D169" s="54"/>
      <c r="E169" s="43"/>
      <c r="F169" s="28"/>
      <c r="G169" s="26"/>
    </row>
    <row r="170" spans="1:7" s="4" customFormat="1" ht="89.25">
      <c r="A170" s="85" t="s">
        <v>415</v>
      </c>
      <c r="B170" s="90"/>
      <c r="C170" s="103" t="s">
        <v>416</v>
      </c>
      <c r="D170" s="44" t="s">
        <v>42</v>
      </c>
      <c r="E170" s="43">
        <v>9</v>
      </c>
      <c r="F170" s="28"/>
      <c r="G170" s="26"/>
    </row>
    <row r="171" spans="1:7" s="4" customFormat="1" ht="89.25">
      <c r="A171" s="85" t="s">
        <v>417</v>
      </c>
      <c r="B171" s="90"/>
      <c r="C171" s="103" t="s">
        <v>418</v>
      </c>
      <c r="D171" s="44" t="s">
        <v>42</v>
      </c>
      <c r="E171" s="43">
        <v>7</v>
      </c>
      <c r="F171" s="28"/>
      <c r="G171" s="26"/>
    </row>
    <row r="172" spans="1:7" s="4" customFormat="1" ht="89.25">
      <c r="A172" s="85" t="s">
        <v>419</v>
      </c>
      <c r="B172" s="90"/>
      <c r="C172" s="103" t="s">
        <v>420</v>
      </c>
      <c r="D172" s="44" t="s">
        <v>42</v>
      </c>
      <c r="E172" s="43">
        <v>1</v>
      </c>
      <c r="F172" s="28"/>
      <c r="G172" s="26"/>
    </row>
    <row r="173" spans="1:7" s="4" customFormat="1" ht="89.25">
      <c r="A173" s="85" t="s">
        <v>421</v>
      </c>
      <c r="B173" s="90"/>
      <c r="C173" s="103" t="s">
        <v>422</v>
      </c>
      <c r="D173" s="44" t="s">
        <v>42</v>
      </c>
      <c r="E173" s="43">
        <v>1</v>
      </c>
      <c r="F173" s="28"/>
      <c r="G173" s="26"/>
    </row>
    <row r="174" spans="1:7" s="4" customFormat="1" ht="114.75">
      <c r="A174" s="85" t="s">
        <v>423</v>
      </c>
      <c r="B174" s="90"/>
      <c r="C174" s="53" t="s">
        <v>424</v>
      </c>
      <c r="D174" s="44" t="s">
        <v>42</v>
      </c>
      <c r="E174" s="43">
        <v>1</v>
      </c>
      <c r="F174" s="28"/>
      <c r="G174" s="26"/>
    </row>
    <row r="175" spans="1:7" s="4" customFormat="1" ht="15">
      <c r="A175" s="85"/>
      <c r="B175" s="90"/>
      <c r="C175" s="105" t="s">
        <v>425</v>
      </c>
      <c r="D175" s="54"/>
      <c r="E175" s="43"/>
      <c r="F175" s="28"/>
      <c r="G175" s="26"/>
    </row>
    <row r="176" spans="1:7" s="4" customFormat="1" ht="76.5">
      <c r="A176" s="85" t="s">
        <v>426</v>
      </c>
      <c r="B176" s="90"/>
      <c r="C176" s="62" t="s">
        <v>427</v>
      </c>
      <c r="D176" s="54" t="s">
        <v>32</v>
      </c>
      <c r="E176" s="43">
        <v>2</v>
      </c>
      <c r="F176" s="28"/>
      <c r="G176" s="26"/>
    </row>
    <row r="177" spans="1:7" s="4" customFormat="1" ht="89.25">
      <c r="A177" s="85" t="s">
        <v>428</v>
      </c>
      <c r="B177" s="90"/>
      <c r="C177" s="53" t="s">
        <v>429</v>
      </c>
      <c r="D177" s="56" t="s">
        <v>32</v>
      </c>
      <c r="E177" s="65">
        <v>1</v>
      </c>
      <c r="F177" s="28"/>
      <c r="G177" s="26"/>
    </row>
    <row r="178" spans="1:7" s="4" customFormat="1" ht="102">
      <c r="A178" s="85" t="s">
        <v>430</v>
      </c>
      <c r="B178" s="90"/>
      <c r="C178" s="53" t="s">
        <v>431</v>
      </c>
      <c r="D178" s="56" t="s">
        <v>32</v>
      </c>
      <c r="E178" s="43">
        <v>1</v>
      </c>
      <c r="F178" s="28"/>
      <c r="G178" s="26"/>
    </row>
    <row r="179" spans="1:7" s="4" customFormat="1" ht="102">
      <c r="A179" s="85" t="s">
        <v>432</v>
      </c>
      <c r="B179" s="90"/>
      <c r="C179" s="53" t="s">
        <v>433</v>
      </c>
      <c r="D179" s="56" t="s">
        <v>32</v>
      </c>
      <c r="E179" s="43">
        <v>1</v>
      </c>
      <c r="F179" s="28"/>
      <c r="G179" s="26"/>
    </row>
    <row r="180" spans="1:7" s="4" customFormat="1" ht="102">
      <c r="A180" s="85" t="s">
        <v>434</v>
      </c>
      <c r="B180" s="90"/>
      <c r="C180" s="53" t="s">
        <v>435</v>
      </c>
      <c r="D180" s="56" t="s">
        <v>32</v>
      </c>
      <c r="E180" s="43">
        <v>1</v>
      </c>
      <c r="F180" s="28"/>
      <c r="G180" s="26"/>
    </row>
    <row r="181" spans="1:7" s="4" customFormat="1" ht="15">
      <c r="A181" s="85"/>
      <c r="B181" s="90"/>
      <c r="C181" s="105" t="s">
        <v>436</v>
      </c>
      <c r="D181" s="54"/>
      <c r="E181" s="43"/>
      <c r="F181" s="28"/>
      <c r="G181" s="26"/>
    </row>
    <row r="182" spans="1:7" s="4" customFormat="1" ht="51">
      <c r="A182" s="85" t="s">
        <v>437</v>
      </c>
      <c r="B182" s="90"/>
      <c r="C182" s="62" t="s">
        <v>438</v>
      </c>
      <c r="D182" s="54" t="s">
        <v>32</v>
      </c>
      <c r="E182" s="43">
        <v>1</v>
      </c>
      <c r="F182" s="28"/>
      <c r="G182" s="26"/>
    </row>
    <row r="183" spans="1:7" s="4" customFormat="1" ht="15">
      <c r="A183" s="85"/>
      <c r="B183" s="90"/>
      <c r="C183" s="105" t="s">
        <v>439</v>
      </c>
      <c r="D183" s="54"/>
      <c r="E183" s="43"/>
      <c r="F183" s="28"/>
      <c r="G183" s="26"/>
    </row>
    <row r="184" spans="1:7" s="4" customFormat="1" ht="89.25">
      <c r="A184" s="85" t="s">
        <v>440</v>
      </c>
      <c r="B184" s="90"/>
      <c r="C184" s="53" t="s">
        <v>441</v>
      </c>
      <c r="D184" s="56" t="s">
        <v>32</v>
      </c>
      <c r="E184" s="43">
        <v>1</v>
      </c>
      <c r="F184" s="28"/>
      <c r="G184" s="26"/>
    </row>
    <row r="185" spans="1:7" s="4" customFormat="1" ht="89.25">
      <c r="A185" s="85" t="s">
        <v>442</v>
      </c>
      <c r="B185" s="90"/>
      <c r="C185" s="53" t="s">
        <v>443</v>
      </c>
      <c r="D185" s="56" t="s">
        <v>32</v>
      </c>
      <c r="E185" s="43">
        <v>1</v>
      </c>
      <c r="F185" s="28"/>
      <c r="G185" s="26"/>
    </row>
    <row r="186" spans="1:7" s="4" customFormat="1" ht="15">
      <c r="A186" s="85"/>
      <c r="B186" s="90"/>
      <c r="C186" s="105" t="s">
        <v>444</v>
      </c>
      <c r="D186" s="54"/>
      <c r="E186" s="43"/>
      <c r="F186" s="28"/>
      <c r="G186" s="26"/>
    </row>
    <row r="187" spans="1:7" s="4" customFormat="1" ht="63.75">
      <c r="A187" s="85" t="s">
        <v>445</v>
      </c>
      <c r="B187" s="90"/>
      <c r="C187" s="62" t="s">
        <v>446</v>
      </c>
      <c r="D187" s="54" t="s">
        <v>32</v>
      </c>
      <c r="E187" s="43">
        <v>1</v>
      </c>
      <c r="F187" s="28"/>
      <c r="G187" s="26"/>
    </row>
    <row r="188" spans="1:7" s="4" customFormat="1" ht="63.75">
      <c r="A188" s="85" t="s">
        <v>447</v>
      </c>
      <c r="B188" s="90"/>
      <c r="C188" s="62" t="s">
        <v>448</v>
      </c>
      <c r="D188" s="54" t="s">
        <v>32</v>
      </c>
      <c r="E188" s="43">
        <v>1</v>
      </c>
      <c r="F188" s="28"/>
      <c r="G188" s="26"/>
    </row>
    <row r="189" spans="1:7" s="4" customFormat="1" ht="15">
      <c r="A189" s="85"/>
      <c r="B189" s="90"/>
      <c r="C189" s="105" t="s">
        <v>449</v>
      </c>
      <c r="D189" s="54"/>
      <c r="E189" s="43"/>
      <c r="F189" s="28"/>
      <c r="G189" s="26"/>
    </row>
    <row r="190" spans="1:7" s="4" customFormat="1" ht="76.5">
      <c r="A190" s="85" t="s">
        <v>450</v>
      </c>
      <c r="B190" s="90"/>
      <c r="C190" s="108" t="s">
        <v>451</v>
      </c>
      <c r="D190" s="56" t="s">
        <v>42</v>
      </c>
      <c r="E190" s="65">
        <v>2</v>
      </c>
      <c r="F190" s="28"/>
      <c r="G190" s="26"/>
    </row>
    <row r="191" spans="1:7" s="4" customFormat="1" ht="15">
      <c r="A191" s="85"/>
      <c r="B191" s="90"/>
      <c r="C191" s="67" t="s">
        <v>36</v>
      </c>
      <c r="D191" s="54"/>
      <c r="E191" s="43"/>
      <c r="F191" s="28"/>
      <c r="G191" s="26"/>
    </row>
    <row r="192" spans="1:7" s="4" customFormat="1" ht="15">
      <c r="A192" s="87" t="s">
        <v>452</v>
      </c>
      <c r="B192" s="90"/>
      <c r="C192" s="29" t="s">
        <v>453</v>
      </c>
      <c r="D192" s="44"/>
      <c r="E192" s="43"/>
      <c r="F192" s="28"/>
      <c r="G192" s="26"/>
    </row>
    <row r="193" spans="1:7" s="4" customFormat="1" ht="25.5">
      <c r="A193" s="85"/>
      <c r="B193" s="90"/>
      <c r="C193" s="106" t="s">
        <v>454</v>
      </c>
      <c r="D193" s="44"/>
      <c r="E193" s="43"/>
      <c r="F193" s="28"/>
      <c r="G193" s="26"/>
    </row>
    <row r="194" spans="1:7" s="4" customFormat="1" ht="204">
      <c r="A194" s="85" t="s">
        <v>455</v>
      </c>
      <c r="B194" s="90"/>
      <c r="C194" s="61" t="s">
        <v>456</v>
      </c>
      <c r="D194" s="44" t="s">
        <v>28</v>
      </c>
      <c r="E194" s="43">
        <v>218.33</v>
      </c>
      <c r="F194" s="28"/>
      <c r="G194" s="26"/>
    </row>
    <row r="195" spans="1:7" s="4" customFormat="1" ht="25.5">
      <c r="A195" s="85"/>
      <c r="B195" s="90"/>
      <c r="C195" s="106" t="s">
        <v>457</v>
      </c>
      <c r="D195" s="44"/>
      <c r="E195" s="43"/>
      <c r="F195" s="28"/>
      <c r="G195" s="26"/>
    </row>
    <row r="196" spans="1:7" s="4" customFormat="1" ht="204">
      <c r="A196" s="85" t="s">
        <v>458</v>
      </c>
      <c r="B196" s="90"/>
      <c r="C196" s="61" t="s">
        <v>459</v>
      </c>
      <c r="D196" s="44" t="s">
        <v>28</v>
      </c>
      <c r="E196" s="43">
        <v>97.07</v>
      </c>
      <c r="F196" s="28"/>
      <c r="G196" s="26"/>
    </row>
    <row r="197" spans="1:7" s="4" customFormat="1" ht="25.5">
      <c r="A197" s="85"/>
      <c r="B197" s="90"/>
      <c r="C197" s="109" t="s">
        <v>460</v>
      </c>
      <c r="D197" s="44"/>
      <c r="E197" s="43"/>
      <c r="F197" s="28"/>
      <c r="G197" s="26"/>
    </row>
    <row r="198" spans="1:7" s="4" customFormat="1" ht="191.25">
      <c r="A198" s="85" t="s">
        <v>461</v>
      </c>
      <c r="B198" s="90"/>
      <c r="C198" s="61" t="s">
        <v>462</v>
      </c>
      <c r="D198" s="44" t="s">
        <v>28</v>
      </c>
      <c r="E198" s="43">
        <v>36</v>
      </c>
      <c r="F198" s="28"/>
      <c r="G198" s="26"/>
    </row>
    <row r="199" spans="1:7" s="4" customFormat="1" ht="15">
      <c r="A199" s="85"/>
      <c r="B199" s="90"/>
      <c r="C199" s="105" t="s">
        <v>463</v>
      </c>
      <c r="D199" s="54"/>
      <c r="E199" s="3"/>
      <c r="F199" s="28"/>
      <c r="G199" s="26"/>
    </row>
    <row r="200" spans="1:7" s="4" customFormat="1" ht="38.25">
      <c r="A200" s="85" t="s">
        <v>464</v>
      </c>
      <c r="B200" s="90"/>
      <c r="C200" s="55" t="s">
        <v>465</v>
      </c>
      <c r="D200" s="56" t="s">
        <v>27</v>
      </c>
      <c r="E200" s="65">
        <v>2.9</v>
      </c>
      <c r="F200" s="28"/>
      <c r="G200" s="26"/>
    </row>
    <row r="201" spans="1:7" s="4" customFormat="1" ht="25.5">
      <c r="A201" s="85" t="s">
        <v>466</v>
      </c>
      <c r="B201" s="90"/>
      <c r="C201" s="103" t="s">
        <v>467</v>
      </c>
      <c r="D201" s="44" t="s">
        <v>27</v>
      </c>
      <c r="E201" s="43">
        <v>26.98</v>
      </c>
      <c r="F201" s="28"/>
      <c r="G201" s="26"/>
    </row>
    <row r="202" spans="1:7" s="4" customFormat="1" ht="25.5">
      <c r="A202" s="85" t="s">
        <v>468</v>
      </c>
      <c r="B202" s="90"/>
      <c r="C202" s="103" t="s">
        <v>469</v>
      </c>
      <c r="D202" s="44" t="s">
        <v>27</v>
      </c>
      <c r="E202" s="43">
        <v>3.65</v>
      </c>
      <c r="F202" s="28"/>
      <c r="G202" s="26"/>
    </row>
    <row r="203" spans="1:7" s="4" customFormat="1" ht="25.5">
      <c r="A203" s="85" t="s">
        <v>470</v>
      </c>
      <c r="B203" s="90"/>
      <c r="C203" s="103" t="s">
        <v>471</v>
      </c>
      <c r="D203" s="44" t="s">
        <v>28</v>
      </c>
      <c r="E203" s="43">
        <v>20.41</v>
      </c>
      <c r="F203" s="28"/>
      <c r="G203" s="26"/>
    </row>
    <row r="204" spans="1:7" s="4" customFormat="1" ht="15">
      <c r="A204" s="85"/>
      <c r="B204" s="90"/>
      <c r="C204" s="109" t="s">
        <v>472</v>
      </c>
      <c r="D204" s="44"/>
      <c r="E204" s="43"/>
      <c r="F204" s="28"/>
      <c r="G204" s="26"/>
    </row>
    <row r="205" spans="1:7" s="4" customFormat="1" ht="51">
      <c r="A205" s="85" t="s">
        <v>473</v>
      </c>
      <c r="B205" s="90"/>
      <c r="C205" s="61" t="s">
        <v>474</v>
      </c>
      <c r="D205" s="44" t="s">
        <v>28</v>
      </c>
      <c r="E205" s="43">
        <v>63.51</v>
      </c>
      <c r="F205" s="28"/>
      <c r="G205" s="26"/>
    </row>
    <row r="206" spans="1:7" s="4" customFormat="1" ht="76.5">
      <c r="A206" s="85" t="s">
        <v>475</v>
      </c>
      <c r="B206" s="90"/>
      <c r="C206" s="61" t="s">
        <v>476</v>
      </c>
      <c r="D206" s="44" t="s">
        <v>28</v>
      </c>
      <c r="E206" s="43">
        <v>13.98</v>
      </c>
      <c r="F206" s="28"/>
      <c r="G206" s="26"/>
    </row>
    <row r="207" spans="1:7" s="4" customFormat="1" ht="63.75">
      <c r="A207" s="85" t="s">
        <v>477</v>
      </c>
      <c r="B207" s="90"/>
      <c r="C207" s="61" t="s">
        <v>478</v>
      </c>
      <c r="D207" s="44" t="s">
        <v>28</v>
      </c>
      <c r="E207" s="43">
        <v>19.48</v>
      </c>
      <c r="F207" s="28"/>
      <c r="G207" s="26"/>
    </row>
    <row r="208" spans="1:7" s="4" customFormat="1" ht="15">
      <c r="A208" s="85"/>
      <c r="B208" s="90"/>
      <c r="C208" s="109" t="s">
        <v>479</v>
      </c>
      <c r="D208" s="44"/>
      <c r="E208" s="43"/>
      <c r="F208" s="28"/>
      <c r="G208" s="26"/>
    </row>
    <row r="209" spans="1:7" s="4" customFormat="1" ht="51">
      <c r="A209" s="85" t="s">
        <v>480</v>
      </c>
      <c r="B209" s="90"/>
      <c r="C209" s="61" t="s">
        <v>474</v>
      </c>
      <c r="D209" s="44" t="s">
        <v>28</v>
      </c>
      <c r="E209" s="43">
        <v>131.19</v>
      </c>
      <c r="F209" s="28"/>
      <c r="G209" s="26"/>
    </row>
    <row r="210" spans="1:7" s="4" customFormat="1" ht="63.75">
      <c r="A210" s="85" t="s">
        <v>481</v>
      </c>
      <c r="B210" s="90"/>
      <c r="C210" s="61" t="s">
        <v>482</v>
      </c>
      <c r="D210" s="44" t="s">
        <v>28</v>
      </c>
      <c r="E210" s="43">
        <v>20.07</v>
      </c>
      <c r="F210" s="28"/>
      <c r="G210" s="26"/>
    </row>
    <row r="211" spans="1:7" s="4" customFormat="1" ht="15">
      <c r="A211" s="85"/>
      <c r="B211" s="90"/>
      <c r="C211" s="105" t="s">
        <v>483</v>
      </c>
      <c r="D211" s="44"/>
      <c r="E211" s="43"/>
      <c r="F211" s="28"/>
      <c r="G211" s="26"/>
    </row>
    <row r="212" spans="1:7" s="4" customFormat="1" ht="76.5">
      <c r="A212" s="85" t="s">
        <v>484</v>
      </c>
      <c r="B212" s="90"/>
      <c r="C212" s="61" t="s">
        <v>485</v>
      </c>
      <c r="D212" s="44" t="s">
        <v>28</v>
      </c>
      <c r="E212" s="43">
        <v>68.08</v>
      </c>
      <c r="F212" s="28"/>
      <c r="G212" s="26"/>
    </row>
    <row r="213" spans="1:7" s="4" customFormat="1" ht="15">
      <c r="A213" s="85"/>
      <c r="B213" s="90"/>
      <c r="C213" s="109" t="s">
        <v>486</v>
      </c>
      <c r="D213" s="44"/>
      <c r="E213" s="43"/>
      <c r="F213" s="28"/>
      <c r="G213" s="26"/>
    </row>
    <row r="214" spans="1:7" s="4" customFormat="1" ht="38.25">
      <c r="A214" s="85" t="s">
        <v>487</v>
      </c>
      <c r="B214" s="90"/>
      <c r="C214" s="61" t="s">
        <v>488</v>
      </c>
      <c r="D214" s="44" t="s">
        <v>32</v>
      </c>
      <c r="E214" s="43">
        <v>4</v>
      </c>
      <c r="F214" s="28"/>
      <c r="G214" s="26"/>
    </row>
    <row r="215" spans="1:7" s="4" customFormat="1" ht="15">
      <c r="A215" s="85"/>
      <c r="B215" s="90"/>
      <c r="C215" s="109" t="s">
        <v>489</v>
      </c>
      <c r="D215" s="44"/>
      <c r="E215" s="43"/>
      <c r="F215" s="28"/>
      <c r="G215" s="26"/>
    </row>
    <row r="216" spans="1:7" s="4" customFormat="1" ht="51">
      <c r="A216" s="85" t="s">
        <v>490</v>
      </c>
      <c r="B216" s="90"/>
      <c r="C216" s="61" t="s">
        <v>491</v>
      </c>
      <c r="D216" s="44" t="s">
        <v>28</v>
      </c>
      <c r="E216" s="43">
        <v>1.85</v>
      </c>
      <c r="F216" s="28"/>
      <c r="G216" s="26"/>
    </row>
    <row r="217" spans="1:7" s="4" customFormat="1" ht="15">
      <c r="A217" s="85"/>
      <c r="B217" s="90"/>
      <c r="C217" s="109" t="s">
        <v>492</v>
      </c>
      <c r="D217" s="44"/>
      <c r="E217" s="43"/>
      <c r="F217" s="28"/>
      <c r="G217" s="26"/>
    </row>
    <row r="218" spans="1:7" s="4" customFormat="1" ht="25.5">
      <c r="A218" s="85" t="s">
        <v>493</v>
      </c>
      <c r="B218" s="90"/>
      <c r="C218" s="62" t="s">
        <v>294</v>
      </c>
      <c r="D218" s="54" t="s">
        <v>27</v>
      </c>
      <c r="E218" s="43">
        <v>1</v>
      </c>
      <c r="F218" s="28"/>
      <c r="G218" s="26"/>
    </row>
    <row r="219" spans="1:7" s="4" customFormat="1" ht="51">
      <c r="A219" s="85" t="s">
        <v>494</v>
      </c>
      <c r="B219" s="90"/>
      <c r="C219" s="62" t="s">
        <v>495</v>
      </c>
      <c r="D219" s="54" t="s">
        <v>28</v>
      </c>
      <c r="E219" s="43">
        <v>25.11</v>
      </c>
      <c r="F219" s="28"/>
      <c r="G219" s="26"/>
    </row>
    <row r="220" spans="1:7" s="4" customFormat="1" ht="38.25">
      <c r="A220" s="85" t="s">
        <v>496</v>
      </c>
      <c r="B220" s="90"/>
      <c r="C220" s="103" t="s">
        <v>497</v>
      </c>
      <c r="D220" s="44" t="s">
        <v>28</v>
      </c>
      <c r="E220" s="43">
        <v>67</v>
      </c>
      <c r="F220" s="28"/>
      <c r="G220" s="26"/>
    </row>
    <row r="221" spans="1:7" s="4" customFormat="1" ht="15">
      <c r="A221" s="85"/>
      <c r="B221" s="90"/>
      <c r="C221" s="67" t="s">
        <v>36</v>
      </c>
      <c r="D221" s="54"/>
      <c r="E221" s="43"/>
      <c r="F221" s="28"/>
      <c r="G221" s="26"/>
    </row>
    <row r="222" spans="1:7" s="4" customFormat="1" ht="15">
      <c r="A222" s="87" t="s">
        <v>498</v>
      </c>
      <c r="B222" s="90"/>
      <c r="C222" s="39" t="s">
        <v>499</v>
      </c>
      <c r="D222" s="54"/>
      <c r="E222" s="43"/>
      <c r="F222" s="28"/>
      <c r="G222" s="26"/>
    </row>
    <row r="223" spans="1:7" s="4" customFormat="1" ht="38.25">
      <c r="A223" s="85" t="s">
        <v>500</v>
      </c>
      <c r="B223" s="90"/>
      <c r="C223" s="110" t="s">
        <v>501</v>
      </c>
      <c r="D223" s="40" t="s">
        <v>32</v>
      </c>
      <c r="E223" s="3">
        <v>3</v>
      </c>
      <c r="F223" s="28"/>
      <c r="G223" s="26"/>
    </row>
    <row r="224" spans="1:7" s="4" customFormat="1" ht="76.5">
      <c r="A224" s="85" t="s">
        <v>502</v>
      </c>
      <c r="B224" s="90"/>
      <c r="C224" s="110" t="s">
        <v>503</v>
      </c>
      <c r="D224" s="40" t="s">
        <v>32</v>
      </c>
      <c r="E224" s="3">
        <v>6</v>
      </c>
      <c r="F224" s="28"/>
      <c r="G224" s="26"/>
    </row>
    <row r="225" spans="1:7" s="4" customFormat="1" ht="76.5">
      <c r="A225" s="85" t="s">
        <v>504</v>
      </c>
      <c r="B225" s="90"/>
      <c r="C225" s="110" t="s">
        <v>505</v>
      </c>
      <c r="D225" s="40" t="s">
        <v>32</v>
      </c>
      <c r="E225" s="3">
        <v>1</v>
      </c>
      <c r="F225" s="28"/>
      <c r="G225" s="26"/>
    </row>
    <row r="226" spans="1:7" s="4" customFormat="1" ht="15">
      <c r="A226" s="85"/>
      <c r="B226" s="90"/>
      <c r="C226" s="67" t="s">
        <v>36</v>
      </c>
      <c r="D226" s="54"/>
      <c r="E226" s="43"/>
      <c r="F226" s="28"/>
      <c r="G226" s="26"/>
    </row>
    <row r="227" spans="1:7" s="4" customFormat="1" ht="15">
      <c r="A227" s="87" t="s">
        <v>506</v>
      </c>
      <c r="B227" s="90"/>
      <c r="C227" s="41" t="s">
        <v>507</v>
      </c>
      <c r="D227" s="44"/>
      <c r="E227" s="43"/>
      <c r="F227" s="28"/>
      <c r="G227" s="26"/>
    </row>
    <row r="228" spans="1:7" s="4" customFormat="1" ht="15">
      <c r="A228" s="85"/>
      <c r="B228" s="90"/>
      <c r="C228" s="109" t="s">
        <v>508</v>
      </c>
      <c r="D228" s="44"/>
      <c r="E228" s="43"/>
      <c r="F228" s="28"/>
      <c r="G228" s="26"/>
    </row>
    <row r="229" spans="1:7" s="4" customFormat="1" ht="25.5">
      <c r="A229" s="85" t="s">
        <v>509</v>
      </c>
      <c r="B229" s="90"/>
      <c r="C229" s="61" t="s">
        <v>510</v>
      </c>
      <c r="D229" s="44" t="s">
        <v>28</v>
      </c>
      <c r="E229" s="43">
        <v>378.48</v>
      </c>
      <c r="F229" s="28"/>
      <c r="G229" s="26"/>
    </row>
    <row r="230" spans="1:7" s="4" customFormat="1" ht="89.25">
      <c r="A230" s="85" t="s">
        <v>511</v>
      </c>
      <c r="B230" s="90"/>
      <c r="C230" s="61" t="s">
        <v>512</v>
      </c>
      <c r="D230" s="44" t="s">
        <v>28</v>
      </c>
      <c r="E230" s="43">
        <v>40.5</v>
      </c>
      <c r="F230" s="28"/>
      <c r="G230" s="26"/>
    </row>
    <row r="231" spans="1:7" s="4" customFormat="1" ht="89.25">
      <c r="A231" s="85" t="s">
        <v>513</v>
      </c>
      <c r="B231" s="90"/>
      <c r="C231" s="61" t="s">
        <v>514</v>
      </c>
      <c r="D231" s="44" t="s">
        <v>28</v>
      </c>
      <c r="E231" s="43">
        <v>4.8</v>
      </c>
      <c r="F231" s="28"/>
      <c r="G231" s="26"/>
    </row>
    <row r="232" spans="1:7" s="4" customFormat="1" ht="38.25">
      <c r="A232" s="85" t="s">
        <v>515</v>
      </c>
      <c r="B232" s="90"/>
      <c r="C232" s="61" t="s">
        <v>516</v>
      </c>
      <c r="D232" s="44" t="s">
        <v>28</v>
      </c>
      <c r="E232" s="43">
        <v>4.8</v>
      </c>
      <c r="F232" s="28"/>
      <c r="G232" s="26"/>
    </row>
    <row r="233" spans="1:7" s="4" customFormat="1" ht="76.5">
      <c r="A233" s="85" t="s">
        <v>517</v>
      </c>
      <c r="B233" s="90"/>
      <c r="C233" s="61" t="s">
        <v>518</v>
      </c>
      <c r="D233" s="44" t="s">
        <v>28</v>
      </c>
      <c r="E233" s="43">
        <v>13.4</v>
      </c>
      <c r="F233" s="28"/>
      <c r="G233" s="26"/>
    </row>
    <row r="234" spans="1:7" s="4" customFormat="1" ht="38.25">
      <c r="A234" s="85" t="s">
        <v>519</v>
      </c>
      <c r="B234" s="90"/>
      <c r="C234" s="61" t="s">
        <v>520</v>
      </c>
      <c r="D234" s="44" t="s">
        <v>28</v>
      </c>
      <c r="E234" s="43">
        <v>13.4</v>
      </c>
      <c r="F234" s="28"/>
      <c r="G234" s="26"/>
    </row>
    <row r="235" spans="1:7" s="4" customFormat="1" ht="76.5">
      <c r="A235" s="85" t="s">
        <v>521</v>
      </c>
      <c r="B235" s="90"/>
      <c r="C235" s="61" t="s">
        <v>522</v>
      </c>
      <c r="D235" s="44" t="s">
        <v>28</v>
      </c>
      <c r="E235" s="43">
        <v>74.7</v>
      </c>
      <c r="F235" s="28"/>
      <c r="G235" s="26"/>
    </row>
    <row r="236" spans="1:7" s="4" customFormat="1" ht="38.25">
      <c r="A236" s="85" t="s">
        <v>523</v>
      </c>
      <c r="B236" s="90"/>
      <c r="C236" s="61" t="s">
        <v>524</v>
      </c>
      <c r="D236" s="44" t="s">
        <v>28</v>
      </c>
      <c r="E236" s="43">
        <v>205.7</v>
      </c>
      <c r="F236" s="28"/>
      <c r="G236" s="26"/>
    </row>
    <row r="237" spans="1:7" s="4" customFormat="1" ht="63.75">
      <c r="A237" s="85" t="s">
        <v>525</v>
      </c>
      <c r="B237" s="90"/>
      <c r="C237" s="61" t="s">
        <v>526</v>
      </c>
      <c r="D237" s="44" t="s">
        <v>28</v>
      </c>
      <c r="E237" s="43">
        <v>205.7</v>
      </c>
      <c r="F237" s="28"/>
      <c r="G237" s="26"/>
    </row>
    <row r="238" spans="1:7" s="4" customFormat="1" ht="38.25">
      <c r="A238" s="85" t="s">
        <v>527</v>
      </c>
      <c r="B238" s="90"/>
      <c r="C238" s="61" t="s">
        <v>528</v>
      </c>
      <c r="D238" s="44" t="s">
        <v>28</v>
      </c>
      <c r="E238" s="43">
        <v>256.5</v>
      </c>
      <c r="F238" s="28"/>
      <c r="G238" s="26"/>
    </row>
    <row r="239" spans="1:7" s="4" customFormat="1" ht="15">
      <c r="A239" s="85"/>
      <c r="B239" s="90"/>
      <c r="C239" s="109" t="s">
        <v>529</v>
      </c>
      <c r="D239" s="44"/>
      <c r="E239" s="43"/>
      <c r="F239" s="28"/>
      <c r="G239" s="26"/>
    </row>
    <row r="240" spans="1:7" s="4" customFormat="1" ht="89.25">
      <c r="A240" s="85" t="s">
        <v>530</v>
      </c>
      <c r="B240" s="90"/>
      <c r="C240" s="61" t="s">
        <v>512</v>
      </c>
      <c r="D240" s="44" t="s">
        <v>28</v>
      </c>
      <c r="E240" s="43">
        <v>30.2</v>
      </c>
      <c r="F240" s="28"/>
      <c r="G240" s="26"/>
    </row>
    <row r="241" spans="1:7" s="4" customFormat="1" ht="89.25">
      <c r="A241" s="85" t="s">
        <v>531</v>
      </c>
      <c r="B241" s="90"/>
      <c r="C241" s="61" t="s">
        <v>514</v>
      </c>
      <c r="D241" s="44" t="s">
        <v>28</v>
      </c>
      <c r="E241" s="43">
        <v>5.3</v>
      </c>
      <c r="F241" s="28"/>
      <c r="G241" s="26"/>
    </row>
    <row r="242" spans="1:7" s="4" customFormat="1" ht="38.25">
      <c r="A242" s="85" t="s">
        <v>532</v>
      </c>
      <c r="B242" s="90"/>
      <c r="C242" s="61" t="s">
        <v>516</v>
      </c>
      <c r="D242" s="44" t="s">
        <v>28</v>
      </c>
      <c r="E242" s="43">
        <v>5.3</v>
      </c>
      <c r="F242" s="28"/>
      <c r="G242" s="26"/>
    </row>
    <row r="243" spans="1:7" s="4" customFormat="1" ht="38.25">
      <c r="A243" s="85" t="s">
        <v>533</v>
      </c>
      <c r="B243" s="90"/>
      <c r="C243" s="61" t="s">
        <v>524</v>
      </c>
      <c r="D243" s="44" t="s">
        <v>28</v>
      </c>
      <c r="E243" s="43">
        <v>236.94</v>
      </c>
      <c r="F243" s="28"/>
      <c r="G243" s="26"/>
    </row>
    <row r="244" spans="1:7" s="4" customFormat="1" ht="38.25">
      <c r="A244" s="85" t="s">
        <v>534</v>
      </c>
      <c r="B244" s="90"/>
      <c r="C244" s="61" t="s">
        <v>535</v>
      </c>
      <c r="D244" s="44" t="s">
        <v>28</v>
      </c>
      <c r="E244" s="43">
        <v>40.5</v>
      </c>
      <c r="F244" s="28"/>
      <c r="G244" s="26"/>
    </row>
    <row r="245" spans="1:7" s="4" customFormat="1" ht="63.75">
      <c r="A245" s="85" t="s">
        <v>536</v>
      </c>
      <c r="B245" s="90"/>
      <c r="C245" s="61" t="s">
        <v>526</v>
      </c>
      <c r="D245" s="44" t="s">
        <v>28</v>
      </c>
      <c r="E245" s="43">
        <v>277.44</v>
      </c>
      <c r="F245" s="28"/>
      <c r="G245" s="26"/>
    </row>
    <row r="246" spans="1:7" s="4" customFormat="1" ht="38.25">
      <c r="A246" s="85" t="s">
        <v>537</v>
      </c>
      <c r="B246" s="90"/>
      <c r="C246" s="61" t="s">
        <v>528</v>
      </c>
      <c r="D246" s="44" t="s">
        <v>28</v>
      </c>
      <c r="E246" s="43">
        <v>28.87</v>
      </c>
      <c r="F246" s="28"/>
      <c r="G246" s="26"/>
    </row>
    <row r="247" spans="1:7" s="4" customFormat="1" ht="15">
      <c r="A247" s="85"/>
      <c r="B247" s="90"/>
      <c r="C247" s="67" t="s">
        <v>36</v>
      </c>
      <c r="D247" s="54"/>
      <c r="E247" s="43"/>
      <c r="F247" s="28"/>
      <c r="G247" s="26"/>
    </row>
    <row r="248" spans="1:7" s="4" customFormat="1" ht="15">
      <c r="A248" s="87" t="s">
        <v>538</v>
      </c>
      <c r="B248" s="90"/>
      <c r="C248" s="41" t="s">
        <v>539</v>
      </c>
      <c r="D248" s="44"/>
      <c r="E248" s="43"/>
      <c r="F248" s="28"/>
      <c r="G248" s="26"/>
    </row>
    <row r="249" spans="1:7" s="4" customFormat="1" ht="15">
      <c r="A249" s="85"/>
      <c r="B249" s="90"/>
      <c r="C249" s="109" t="s">
        <v>540</v>
      </c>
      <c r="D249" s="44"/>
      <c r="E249" s="43"/>
      <c r="F249" s="28"/>
      <c r="G249" s="26"/>
    </row>
    <row r="250" spans="1:7" s="4" customFormat="1" ht="51">
      <c r="A250" s="85" t="s">
        <v>541</v>
      </c>
      <c r="B250" s="90"/>
      <c r="C250" s="61" t="s">
        <v>542</v>
      </c>
      <c r="D250" s="44" t="s">
        <v>28</v>
      </c>
      <c r="E250" s="43">
        <v>103.76</v>
      </c>
      <c r="F250" s="28"/>
      <c r="G250" s="26"/>
    </row>
    <row r="251" spans="1:7" s="4" customFormat="1" ht="89.25">
      <c r="A251" s="85" t="s">
        <v>543</v>
      </c>
      <c r="B251" s="90"/>
      <c r="C251" s="61" t="s">
        <v>544</v>
      </c>
      <c r="D251" s="44" t="s">
        <v>28</v>
      </c>
      <c r="E251" s="43">
        <v>38.700000000000003</v>
      </c>
      <c r="F251" s="28"/>
      <c r="G251" s="26"/>
    </row>
    <row r="252" spans="1:7" s="4" customFormat="1" ht="102">
      <c r="A252" s="85" t="s">
        <v>545</v>
      </c>
      <c r="B252" s="90"/>
      <c r="C252" s="53" t="s">
        <v>546</v>
      </c>
      <c r="D252" s="44" t="s">
        <v>28</v>
      </c>
      <c r="E252" s="43">
        <v>111.32</v>
      </c>
      <c r="F252" s="28"/>
      <c r="G252" s="26"/>
    </row>
    <row r="253" spans="1:7" s="4" customFormat="1" ht="89.25">
      <c r="A253" s="85" t="s">
        <v>547</v>
      </c>
      <c r="B253" s="90"/>
      <c r="C253" s="61" t="s">
        <v>548</v>
      </c>
      <c r="D253" s="44" t="s">
        <v>28</v>
      </c>
      <c r="E253" s="43">
        <v>9.1</v>
      </c>
      <c r="F253" s="28"/>
      <c r="G253" s="26"/>
    </row>
    <row r="254" spans="1:7" s="4" customFormat="1" ht="38.25">
      <c r="A254" s="85" t="s">
        <v>549</v>
      </c>
      <c r="B254" s="90"/>
      <c r="C254" s="61" t="s">
        <v>516</v>
      </c>
      <c r="D254" s="44" t="s">
        <v>28</v>
      </c>
      <c r="E254" s="43">
        <v>9.1</v>
      </c>
      <c r="F254" s="28"/>
      <c r="G254" s="26"/>
    </row>
    <row r="255" spans="1:7" s="4" customFormat="1" ht="38.25">
      <c r="A255" s="85" t="s">
        <v>550</v>
      </c>
      <c r="B255" s="90"/>
      <c r="C255" s="61" t="s">
        <v>551</v>
      </c>
      <c r="D255" s="44" t="s">
        <v>28</v>
      </c>
      <c r="E255" s="43">
        <v>52.96</v>
      </c>
      <c r="F255" s="28"/>
      <c r="G255" s="26"/>
    </row>
    <row r="256" spans="1:7" s="4" customFormat="1" ht="89.25">
      <c r="A256" s="85" t="s">
        <v>552</v>
      </c>
      <c r="B256" s="90"/>
      <c r="C256" s="61" t="s">
        <v>553</v>
      </c>
      <c r="D256" s="44" t="s">
        <v>28</v>
      </c>
      <c r="E256" s="43">
        <v>3</v>
      </c>
      <c r="F256" s="28"/>
      <c r="G256" s="26"/>
    </row>
    <row r="257" spans="1:7" s="4" customFormat="1" ht="76.5">
      <c r="A257" s="85" t="s">
        <v>554</v>
      </c>
      <c r="B257" s="90"/>
      <c r="C257" s="61" t="s">
        <v>555</v>
      </c>
      <c r="D257" s="44" t="s">
        <v>28</v>
      </c>
      <c r="E257" s="43">
        <v>52.96</v>
      </c>
      <c r="F257" s="28"/>
      <c r="G257" s="26"/>
    </row>
    <row r="258" spans="1:7" s="4" customFormat="1" ht="15">
      <c r="A258" s="85"/>
      <c r="B258" s="90"/>
      <c r="C258" s="109" t="s">
        <v>556</v>
      </c>
      <c r="D258" s="44"/>
      <c r="E258" s="43"/>
      <c r="F258" s="28"/>
      <c r="G258" s="26"/>
    </row>
    <row r="259" spans="1:7" s="4" customFormat="1" ht="63.75">
      <c r="A259" s="85" t="s">
        <v>557</v>
      </c>
      <c r="B259" s="90"/>
      <c r="C259" s="61" t="s">
        <v>558</v>
      </c>
      <c r="D259" s="44" t="s">
        <v>28</v>
      </c>
      <c r="E259" s="43">
        <v>17</v>
      </c>
      <c r="F259" s="28"/>
      <c r="G259" s="26"/>
    </row>
    <row r="260" spans="1:7" s="4" customFormat="1" ht="63.75">
      <c r="A260" s="85" t="s">
        <v>559</v>
      </c>
      <c r="B260" s="90"/>
      <c r="C260" s="103" t="s">
        <v>560</v>
      </c>
      <c r="D260" s="44" t="s">
        <v>28</v>
      </c>
      <c r="E260" s="43">
        <v>260.36</v>
      </c>
      <c r="F260" s="28"/>
      <c r="G260" s="26"/>
    </row>
    <row r="261" spans="1:7" s="4" customFormat="1" ht="51">
      <c r="A261" s="85" t="s">
        <v>561</v>
      </c>
      <c r="B261" s="90"/>
      <c r="C261" s="61" t="s">
        <v>562</v>
      </c>
      <c r="D261" s="44" t="s">
        <v>28</v>
      </c>
      <c r="E261" s="43">
        <v>238.34</v>
      </c>
      <c r="F261" s="28"/>
      <c r="G261" s="26"/>
    </row>
    <row r="262" spans="1:7" s="4" customFormat="1" ht="38.25">
      <c r="A262" s="85" t="s">
        <v>563</v>
      </c>
      <c r="B262" s="90"/>
      <c r="C262" s="61" t="s">
        <v>520</v>
      </c>
      <c r="D262" s="44" t="s">
        <v>28</v>
      </c>
      <c r="E262" s="43">
        <v>238.34</v>
      </c>
      <c r="F262" s="28"/>
      <c r="G262" s="26"/>
    </row>
    <row r="263" spans="1:7" s="4" customFormat="1" ht="38.25">
      <c r="A263" s="85" t="s">
        <v>564</v>
      </c>
      <c r="B263" s="90"/>
      <c r="C263" s="61" t="s">
        <v>551</v>
      </c>
      <c r="D263" s="44" t="s">
        <v>28</v>
      </c>
      <c r="E263" s="43">
        <v>7.71</v>
      </c>
      <c r="F263" s="28"/>
      <c r="G263" s="26"/>
    </row>
    <row r="264" spans="1:7" s="4" customFormat="1" ht="38.25">
      <c r="A264" s="85" t="s">
        <v>565</v>
      </c>
      <c r="B264" s="90"/>
      <c r="C264" s="61" t="s">
        <v>566</v>
      </c>
      <c r="D264" s="44" t="s">
        <v>28</v>
      </c>
      <c r="E264" s="43">
        <v>14.31</v>
      </c>
      <c r="F264" s="28"/>
      <c r="G264" s="26"/>
    </row>
    <row r="265" spans="1:7" s="4" customFormat="1" ht="76.5">
      <c r="A265" s="85" t="s">
        <v>567</v>
      </c>
      <c r="B265" s="90"/>
      <c r="C265" s="61" t="s">
        <v>555</v>
      </c>
      <c r="D265" s="44" t="s">
        <v>28</v>
      </c>
      <c r="E265" s="43">
        <v>22.02</v>
      </c>
      <c r="F265" s="28"/>
      <c r="G265" s="26"/>
    </row>
    <row r="266" spans="1:7" s="4" customFormat="1" ht="15">
      <c r="A266" s="85"/>
      <c r="B266" s="90"/>
      <c r="C266" s="67" t="s">
        <v>36</v>
      </c>
      <c r="D266" s="54"/>
      <c r="E266" s="43"/>
      <c r="F266" s="28"/>
      <c r="G266" s="26"/>
    </row>
    <row r="267" spans="1:7" s="4" customFormat="1" ht="15">
      <c r="A267" s="87" t="s">
        <v>568</v>
      </c>
      <c r="B267" s="90"/>
      <c r="C267" s="41" t="s">
        <v>569</v>
      </c>
      <c r="D267" s="44"/>
      <c r="E267" s="43"/>
      <c r="F267" s="28"/>
      <c r="G267" s="26"/>
    </row>
    <row r="268" spans="1:7" s="4" customFormat="1" ht="15">
      <c r="A268" s="85"/>
      <c r="B268" s="90"/>
      <c r="C268" s="109" t="s">
        <v>570</v>
      </c>
      <c r="D268" s="44"/>
      <c r="E268" s="43"/>
      <c r="F268" s="28"/>
      <c r="G268" s="26"/>
    </row>
    <row r="269" spans="1:7" s="4" customFormat="1" ht="76.5">
      <c r="A269" s="85" t="s">
        <v>571</v>
      </c>
      <c r="B269" s="90"/>
      <c r="C269" s="61" t="s">
        <v>572</v>
      </c>
      <c r="D269" s="44" t="s">
        <v>42</v>
      </c>
      <c r="E269" s="43">
        <v>1</v>
      </c>
      <c r="F269" s="28"/>
      <c r="G269" s="26"/>
    </row>
    <row r="270" spans="1:7" s="4" customFormat="1" ht="38.25">
      <c r="A270" s="85" t="s">
        <v>573</v>
      </c>
      <c r="B270" s="90"/>
      <c r="C270" s="61" t="s">
        <v>574</v>
      </c>
      <c r="D270" s="44" t="s">
        <v>42</v>
      </c>
      <c r="E270" s="43">
        <v>1</v>
      </c>
      <c r="F270" s="28"/>
      <c r="G270" s="26"/>
    </row>
    <row r="271" spans="1:7" s="4" customFormat="1" ht="15">
      <c r="A271" s="85"/>
      <c r="B271" s="90"/>
      <c r="C271" s="109" t="s">
        <v>575</v>
      </c>
      <c r="D271" s="44"/>
      <c r="E271" s="43"/>
      <c r="F271" s="28"/>
      <c r="G271" s="26"/>
    </row>
    <row r="272" spans="1:7" s="4" customFormat="1" ht="76.5">
      <c r="A272" s="85" t="s">
        <v>576</v>
      </c>
      <c r="B272" s="90"/>
      <c r="C272" s="61" t="s">
        <v>577</v>
      </c>
      <c r="D272" s="44" t="s">
        <v>42</v>
      </c>
      <c r="E272" s="43">
        <v>1</v>
      </c>
      <c r="F272" s="28"/>
      <c r="G272" s="26"/>
    </row>
    <row r="273" spans="1:7" s="4" customFormat="1" ht="38.25">
      <c r="A273" s="85" t="s">
        <v>578</v>
      </c>
      <c r="B273" s="90"/>
      <c r="C273" s="61" t="s">
        <v>574</v>
      </c>
      <c r="D273" s="44" t="s">
        <v>42</v>
      </c>
      <c r="E273" s="43">
        <v>1</v>
      </c>
      <c r="F273" s="28"/>
      <c r="G273" s="26"/>
    </row>
    <row r="274" spans="1:7" s="4" customFormat="1" ht="15">
      <c r="A274" s="85"/>
      <c r="B274" s="90"/>
      <c r="C274" s="109" t="s">
        <v>579</v>
      </c>
      <c r="D274" s="44"/>
      <c r="E274" s="43"/>
      <c r="F274" s="28"/>
      <c r="G274" s="26"/>
    </row>
    <row r="275" spans="1:7" s="4" customFormat="1" ht="38.25">
      <c r="A275" s="85" t="s">
        <v>580</v>
      </c>
      <c r="B275" s="90"/>
      <c r="C275" s="61" t="s">
        <v>581</v>
      </c>
      <c r="D275" s="44" t="s">
        <v>42</v>
      </c>
      <c r="E275" s="43">
        <v>2</v>
      </c>
      <c r="F275" s="28"/>
      <c r="G275" s="26"/>
    </row>
    <row r="276" spans="1:7" s="4" customFormat="1" ht="15">
      <c r="A276" s="85"/>
      <c r="B276" s="90"/>
      <c r="C276" s="67" t="s">
        <v>36</v>
      </c>
      <c r="D276" s="54"/>
      <c r="E276" s="43"/>
      <c r="F276" s="28"/>
      <c r="G276" s="26"/>
    </row>
    <row r="277" spans="1:7" s="4" customFormat="1" ht="15">
      <c r="A277" s="87" t="s">
        <v>582</v>
      </c>
      <c r="B277" s="90"/>
      <c r="C277" s="41" t="s">
        <v>583</v>
      </c>
      <c r="D277" s="44"/>
      <c r="E277" s="43"/>
      <c r="F277" s="28"/>
      <c r="G277" s="26"/>
    </row>
    <row r="278" spans="1:7" s="4" customFormat="1" ht="76.5">
      <c r="A278" s="85" t="s">
        <v>584</v>
      </c>
      <c r="B278" s="90"/>
      <c r="C278" s="61" t="s">
        <v>585</v>
      </c>
      <c r="D278" s="44" t="s">
        <v>1</v>
      </c>
      <c r="E278" s="43">
        <v>22</v>
      </c>
      <c r="F278" s="28"/>
      <c r="G278" s="26"/>
    </row>
    <row r="279" spans="1:7" s="4" customFormat="1" ht="89.25">
      <c r="A279" s="85" t="s">
        <v>586</v>
      </c>
      <c r="B279" s="90"/>
      <c r="C279" s="61" t="s">
        <v>587</v>
      </c>
      <c r="D279" s="44" t="s">
        <v>1</v>
      </c>
      <c r="E279" s="43">
        <v>15.8</v>
      </c>
      <c r="F279" s="28"/>
      <c r="G279" s="26"/>
    </row>
    <row r="280" spans="1:7" s="4" customFormat="1" ht="114.75">
      <c r="A280" s="85" t="s">
        <v>588</v>
      </c>
      <c r="B280" s="90"/>
      <c r="C280" s="61" t="s">
        <v>589</v>
      </c>
      <c r="D280" s="44" t="s">
        <v>28</v>
      </c>
      <c r="E280" s="43">
        <v>28.44</v>
      </c>
      <c r="F280" s="28"/>
      <c r="G280" s="26"/>
    </row>
    <row r="281" spans="1:7" s="4" customFormat="1" ht="15">
      <c r="A281" s="85"/>
      <c r="B281" s="90"/>
      <c r="C281" s="67" t="s">
        <v>36</v>
      </c>
      <c r="D281" s="54"/>
      <c r="E281" s="43"/>
      <c r="F281" s="28"/>
      <c r="G281" s="26"/>
    </row>
    <row r="282" spans="1:7" s="4" customFormat="1" ht="25.5">
      <c r="A282" s="87" t="s">
        <v>590</v>
      </c>
      <c r="B282" s="90"/>
      <c r="C282" s="41" t="s">
        <v>591</v>
      </c>
      <c r="D282" s="44"/>
      <c r="E282" s="43"/>
      <c r="F282" s="28"/>
      <c r="G282" s="26"/>
    </row>
    <row r="283" spans="1:7" s="4" customFormat="1" ht="114.75">
      <c r="A283" s="85" t="s">
        <v>592</v>
      </c>
      <c r="B283" s="90"/>
      <c r="C283" s="61" t="s">
        <v>593</v>
      </c>
      <c r="D283" s="44" t="s">
        <v>32</v>
      </c>
      <c r="E283" s="43">
        <v>1</v>
      </c>
      <c r="F283" s="28"/>
      <c r="G283" s="26"/>
    </row>
    <row r="284" spans="1:7" s="4" customFormat="1" ht="15">
      <c r="A284" s="85"/>
      <c r="B284" s="90"/>
      <c r="C284" s="67" t="s">
        <v>36</v>
      </c>
      <c r="D284" s="54"/>
      <c r="E284" s="43"/>
      <c r="F284" s="28"/>
      <c r="G284" s="26"/>
    </row>
    <row r="285" spans="1:7" s="4" customFormat="1" ht="15">
      <c r="A285" s="87" t="s">
        <v>594</v>
      </c>
      <c r="B285" s="90"/>
      <c r="C285" s="41" t="s">
        <v>595</v>
      </c>
      <c r="D285" s="44"/>
      <c r="E285" s="43"/>
      <c r="F285" s="28"/>
      <c r="G285" s="26"/>
    </row>
    <row r="286" spans="1:7" s="4" customFormat="1" ht="51">
      <c r="A286" s="85" t="s">
        <v>596</v>
      </c>
      <c r="B286" s="90"/>
      <c r="C286" s="61" t="s">
        <v>597</v>
      </c>
      <c r="D286" s="44" t="s">
        <v>28</v>
      </c>
      <c r="E286" s="43">
        <v>8.0500000000000007</v>
      </c>
      <c r="F286" s="28"/>
      <c r="G286" s="26"/>
    </row>
    <row r="287" spans="1:7" s="4" customFormat="1" ht="15">
      <c r="A287" s="85"/>
      <c r="B287" s="90"/>
      <c r="C287" s="67" t="s">
        <v>36</v>
      </c>
      <c r="D287" s="54"/>
      <c r="E287" s="43"/>
      <c r="F287" s="28"/>
      <c r="G287" s="26"/>
    </row>
    <row r="288" spans="1:7" s="4" customFormat="1" ht="15">
      <c r="A288" s="87" t="s">
        <v>598</v>
      </c>
      <c r="B288" s="90"/>
      <c r="C288" s="39" t="s">
        <v>44</v>
      </c>
      <c r="D288" s="54"/>
      <c r="E288" s="54"/>
      <c r="F288" s="28"/>
      <c r="G288" s="26"/>
    </row>
    <row r="289" spans="1:7" s="4" customFormat="1" ht="15">
      <c r="A289" s="85" t="s">
        <v>599</v>
      </c>
      <c r="B289" s="90"/>
      <c r="C289" s="45" t="s">
        <v>45</v>
      </c>
      <c r="D289" s="44" t="s">
        <v>27</v>
      </c>
      <c r="E289" s="43">
        <v>7</v>
      </c>
      <c r="F289" s="28"/>
      <c r="G289" s="26"/>
    </row>
    <row r="290" spans="1:7" s="4" customFormat="1" ht="51">
      <c r="A290" s="85" t="s">
        <v>600</v>
      </c>
      <c r="B290" s="90"/>
      <c r="C290" s="45" t="s">
        <v>601</v>
      </c>
      <c r="D290" s="44" t="s">
        <v>29</v>
      </c>
      <c r="E290" s="43">
        <v>9.8000000000000007</v>
      </c>
      <c r="F290" s="28"/>
      <c r="G290" s="26"/>
    </row>
    <row r="291" spans="1:7" s="4" customFormat="1" ht="15">
      <c r="A291" s="90"/>
      <c r="B291" s="90"/>
      <c r="C291" s="67" t="s">
        <v>18</v>
      </c>
      <c r="D291" s="54"/>
      <c r="E291" s="3"/>
      <c r="F291" s="28"/>
      <c r="G291" s="26"/>
    </row>
    <row r="292" spans="1:7" s="4" customFormat="1" ht="15">
      <c r="A292" s="87" t="s">
        <v>602</v>
      </c>
      <c r="B292" s="90"/>
      <c r="C292" s="39" t="s">
        <v>603</v>
      </c>
      <c r="D292" s="54"/>
      <c r="E292" s="3"/>
      <c r="F292" s="28"/>
      <c r="G292" s="26"/>
    </row>
    <row r="293" spans="1:7" s="4" customFormat="1" ht="76.5">
      <c r="A293" s="85" t="s">
        <v>604</v>
      </c>
      <c r="B293" s="90"/>
      <c r="C293" s="62" t="s">
        <v>605</v>
      </c>
      <c r="D293" s="54" t="s">
        <v>32</v>
      </c>
      <c r="E293" s="43">
        <v>2</v>
      </c>
      <c r="F293" s="28"/>
      <c r="G293" s="26"/>
    </row>
    <row r="294" spans="1:7" s="4" customFormat="1" ht="38.25">
      <c r="A294" s="85" t="s">
        <v>606</v>
      </c>
      <c r="B294" s="90"/>
      <c r="C294" s="62" t="s">
        <v>607</v>
      </c>
      <c r="D294" s="54" t="s">
        <v>32</v>
      </c>
      <c r="E294" s="3">
        <v>1</v>
      </c>
      <c r="F294" s="28"/>
      <c r="G294" s="26"/>
    </row>
    <row r="295" spans="1:7" s="4" customFormat="1" ht="38.25">
      <c r="A295" s="85" t="s">
        <v>608</v>
      </c>
      <c r="B295" s="90"/>
      <c r="C295" s="62" t="s">
        <v>609</v>
      </c>
      <c r="D295" s="54" t="s">
        <v>32</v>
      </c>
      <c r="E295" s="3">
        <v>2</v>
      </c>
      <c r="F295" s="28"/>
      <c r="G295" s="26"/>
    </row>
    <row r="296" spans="1:7" s="4" customFormat="1" ht="38.25">
      <c r="A296" s="85" t="s">
        <v>610</v>
      </c>
      <c r="B296" s="90"/>
      <c r="C296" s="62" t="s">
        <v>611</v>
      </c>
      <c r="D296" s="54" t="s">
        <v>32</v>
      </c>
      <c r="E296" s="3">
        <v>5</v>
      </c>
      <c r="F296" s="28"/>
      <c r="G296" s="26"/>
    </row>
    <row r="297" spans="1:7" s="4" customFormat="1" ht="89.25">
      <c r="A297" s="85" t="s">
        <v>612</v>
      </c>
      <c r="B297" s="90"/>
      <c r="C297" s="62" t="s">
        <v>613</v>
      </c>
      <c r="D297" s="54" t="s">
        <v>32</v>
      </c>
      <c r="E297" s="3">
        <v>8</v>
      </c>
      <c r="F297" s="28"/>
      <c r="G297" s="26"/>
    </row>
    <row r="298" spans="1:7" s="4" customFormat="1" ht="38.25">
      <c r="A298" s="85" t="s">
        <v>614</v>
      </c>
      <c r="B298" s="90"/>
      <c r="C298" s="62" t="s">
        <v>615</v>
      </c>
      <c r="D298" s="54" t="s">
        <v>32</v>
      </c>
      <c r="E298" s="3">
        <v>1</v>
      </c>
      <c r="F298" s="28"/>
      <c r="G298" s="26"/>
    </row>
    <row r="299" spans="1:7" s="4" customFormat="1" ht="25.5">
      <c r="A299" s="85" t="s">
        <v>616</v>
      </c>
      <c r="B299" s="90"/>
      <c r="C299" s="62" t="s">
        <v>617</v>
      </c>
      <c r="D299" s="54" t="s">
        <v>32</v>
      </c>
      <c r="E299" s="3">
        <v>1</v>
      </c>
      <c r="F299" s="28"/>
      <c r="G299" s="26"/>
    </row>
    <row r="300" spans="1:7" s="4" customFormat="1" ht="63.75">
      <c r="A300" s="85" t="s">
        <v>618</v>
      </c>
      <c r="B300" s="90"/>
      <c r="C300" s="62" t="s">
        <v>619</v>
      </c>
      <c r="D300" s="54" t="s">
        <v>32</v>
      </c>
      <c r="E300" s="3">
        <v>1</v>
      </c>
      <c r="F300" s="28"/>
      <c r="G300" s="26"/>
    </row>
    <row r="301" spans="1:7" s="4" customFormat="1" ht="38.25">
      <c r="A301" s="85" t="s">
        <v>620</v>
      </c>
      <c r="B301" s="90"/>
      <c r="C301" s="62" t="s">
        <v>621</v>
      </c>
      <c r="D301" s="54" t="s">
        <v>32</v>
      </c>
      <c r="E301" s="3">
        <v>2</v>
      </c>
      <c r="F301" s="28"/>
      <c r="G301" s="26"/>
    </row>
    <row r="302" spans="1:7" s="4" customFormat="1" ht="63.75">
      <c r="A302" s="85" t="s">
        <v>622</v>
      </c>
      <c r="B302" s="90"/>
      <c r="C302" s="110" t="s">
        <v>623</v>
      </c>
      <c r="D302" s="54" t="s">
        <v>32</v>
      </c>
      <c r="E302" s="3">
        <v>1</v>
      </c>
      <c r="F302" s="28"/>
      <c r="G302" s="26"/>
    </row>
    <row r="303" spans="1:7" s="4" customFormat="1" ht="25.5">
      <c r="A303" s="85" t="s">
        <v>624</v>
      </c>
      <c r="B303" s="90"/>
      <c r="C303" s="62" t="s">
        <v>625</v>
      </c>
      <c r="D303" s="54" t="s">
        <v>32</v>
      </c>
      <c r="E303" s="3">
        <v>1</v>
      </c>
      <c r="F303" s="28"/>
      <c r="G303" s="26"/>
    </row>
    <row r="304" spans="1:7" s="4" customFormat="1" ht="38.25">
      <c r="A304" s="85" t="s">
        <v>626</v>
      </c>
      <c r="B304" s="90"/>
      <c r="C304" s="62" t="s">
        <v>627</v>
      </c>
      <c r="D304" s="54" t="s">
        <v>32</v>
      </c>
      <c r="E304" s="3">
        <v>1</v>
      </c>
      <c r="F304" s="28"/>
      <c r="G304" s="26"/>
    </row>
    <row r="305" spans="1:16" s="4" customFormat="1" ht="38.25">
      <c r="A305" s="85" t="s">
        <v>628</v>
      </c>
      <c r="B305" s="90"/>
      <c r="C305" s="62" t="s">
        <v>629</v>
      </c>
      <c r="D305" s="54" t="s">
        <v>32</v>
      </c>
      <c r="E305" s="3">
        <v>1</v>
      </c>
      <c r="F305" s="28"/>
      <c r="G305" s="26"/>
    </row>
    <row r="306" spans="1:16" s="4" customFormat="1" ht="89.25">
      <c r="A306" s="85" t="s">
        <v>630</v>
      </c>
      <c r="B306" s="90"/>
      <c r="C306" s="62" t="s">
        <v>631</v>
      </c>
      <c r="D306" s="54" t="s">
        <v>32</v>
      </c>
      <c r="E306" s="3">
        <v>1</v>
      </c>
      <c r="F306" s="28"/>
      <c r="G306" s="26"/>
    </row>
    <row r="307" spans="1:16" s="4" customFormat="1" ht="51">
      <c r="A307" s="85" t="s">
        <v>632</v>
      </c>
      <c r="B307" s="90"/>
      <c r="C307" s="62" t="s">
        <v>633</v>
      </c>
      <c r="D307" s="54" t="s">
        <v>32</v>
      </c>
      <c r="E307" s="3">
        <v>1</v>
      </c>
      <c r="F307" s="28"/>
      <c r="G307" s="26"/>
    </row>
    <row r="308" spans="1:16" s="4" customFormat="1" ht="25.5">
      <c r="A308" s="85" t="s">
        <v>634</v>
      </c>
      <c r="B308" s="90"/>
      <c r="C308" s="62" t="s">
        <v>635</v>
      </c>
      <c r="D308" s="54" t="s">
        <v>32</v>
      </c>
      <c r="E308" s="3">
        <v>1</v>
      </c>
      <c r="F308" s="28"/>
      <c r="G308" s="26"/>
    </row>
    <row r="309" spans="1:16">
      <c r="A309" s="116"/>
      <c r="B309" s="92"/>
      <c r="C309" s="117" t="s">
        <v>46</v>
      </c>
      <c r="D309" s="118"/>
      <c r="E309" s="119"/>
      <c r="F309" s="120"/>
      <c r="G309" s="120"/>
      <c r="H309" s="113"/>
      <c r="I309" s="113"/>
      <c r="J309" s="113"/>
      <c r="K309" s="113"/>
      <c r="L309" s="114">
        <f>SUM(L13:L308)</f>
        <v>0</v>
      </c>
      <c r="M309" s="115">
        <f>M308+M290+M286+M283+M280+M275+M265+M246+M225+M220+M190+M166+M159+M137+M117+M107+M89+M73+M61+M54+M27+M20</f>
        <v>0</v>
      </c>
      <c r="N309" s="115">
        <f>N308+N290+N286+N283+N280+N275+N265+N246+N225+N220+N190+N166+N159+N137+N117+N107+N89+N73+N61+N54+N27+N20</f>
        <v>0</v>
      </c>
      <c r="O309" s="115">
        <f>O308+O290+O286+O283+O280+O275+O265+O246+O225+O220+O190+O166+O159+O137+O117+O107+O89+O73+O61+O54+O27+O20</f>
        <v>0</v>
      </c>
      <c r="P309" s="115">
        <f>ROUND(O309+N309+M309,2)</f>
        <v>0</v>
      </c>
    </row>
    <row r="310" spans="1:16">
      <c r="A310" s="91"/>
      <c r="B310" s="4"/>
      <c r="C310" s="4"/>
      <c r="D310" s="4"/>
      <c r="E310" s="4"/>
      <c r="F310" s="4"/>
      <c r="G310" s="4"/>
    </row>
    <row r="311" spans="1:16">
      <c r="A311" s="91"/>
      <c r="B311" s="4"/>
      <c r="C311" s="4"/>
      <c r="D311" s="4"/>
      <c r="E311" s="4"/>
      <c r="F311" s="4"/>
      <c r="G311" s="4"/>
    </row>
    <row r="312" spans="1:16">
      <c r="A312" s="4"/>
      <c r="B312" s="4"/>
      <c r="C312" s="245" t="s">
        <v>21</v>
      </c>
      <c r="D312" s="245"/>
      <c r="E312" s="245"/>
      <c r="F312" s="245"/>
      <c r="G312" s="245"/>
    </row>
    <row r="313" spans="1:16">
      <c r="A313" s="4"/>
      <c r="B313" s="4"/>
      <c r="C313" s="247" t="s">
        <v>5</v>
      </c>
      <c r="D313" s="247"/>
      <c r="E313" s="247"/>
      <c r="F313" s="247"/>
      <c r="G313" s="247"/>
    </row>
    <row r="314" spans="1:16">
      <c r="A314" s="4"/>
      <c r="B314" s="4"/>
      <c r="C314" s="27"/>
      <c r="D314" s="27"/>
      <c r="E314" s="27"/>
      <c r="F314" s="27"/>
      <c r="G314" s="27"/>
    </row>
    <row r="315" spans="1:16">
      <c r="A315" s="4"/>
      <c r="B315" s="4"/>
      <c r="C315" s="245" t="s">
        <v>22</v>
      </c>
      <c r="D315" s="245"/>
      <c r="E315" s="245"/>
      <c r="F315" s="245"/>
      <c r="G315" s="245"/>
    </row>
    <row r="316" spans="1:16">
      <c r="A316" s="4"/>
      <c r="B316" s="4"/>
      <c r="C316" s="247" t="s">
        <v>5</v>
      </c>
      <c r="D316" s="247"/>
      <c r="E316" s="247"/>
      <c r="F316" s="247"/>
      <c r="G316" s="247"/>
    </row>
    <row r="317" spans="1:16">
      <c r="A317" s="4"/>
      <c r="B317" s="4"/>
      <c r="C317" s="27"/>
      <c r="D317" s="27"/>
      <c r="E317" s="27"/>
      <c r="F317" s="27"/>
      <c r="G317" s="27"/>
    </row>
    <row r="318" spans="1:16">
      <c r="A318" s="4"/>
      <c r="B318" s="4"/>
      <c r="C318" s="50" t="s">
        <v>35</v>
      </c>
      <c r="D318" s="49"/>
      <c r="E318" s="49"/>
      <c r="F318" s="49"/>
      <c r="G318" s="4"/>
    </row>
    <row r="320" spans="1:16">
      <c r="C320" s="1" t="s">
        <v>16</v>
      </c>
    </row>
    <row r="321" spans="3:7" ht="36.75" customHeight="1">
      <c r="C321" s="98" t="s">
        <v>17</v>
      </c>
      <c r="D321" s="98"/>
      <c r="E321" s="98"/>
      <c r="F321" s="98"/>
      <c r="G321" s="98"/>
    </row>
    <row r="322" spans="3:7" ht="36.75" customHeight="1">
      <c r="C322" s="98" t="s">
        <v>15</v>
      </c>
      <c r="D322" s="98"/>
      <c r="E322" s="98"/>
      <c r="F322" s="98"/>
      <c r="G322" s="98"/>
    </row>
    <row r="325" spans="3:7">
      <c r="C325" s="23"/>
      <c r="D325" s="20"/>
      <c r="E325" s="10"/>
      <c r="F325" s="20"/>
      <c r="G325" s="10"/>
    </row>
    <row r="326" spans="3:7">
      <c r="C326" s="7"/>
      <c r="D326" s="9"/>
      <c r="E326" s="10"/>
      <c r="F326" s="10"/>
      <c r="G326" s="10"/>
    </row>
    <row r="327" spans="3:7">
      <c r="C327" s="24"/>
      <c r="D327" s="20"/>
      <c r="E327" s="25"/>
      <c r="F327" s="10"/>
      <c r="G327" s="10"/>
    </row>
    <row r="328" spans="3:7">
      <c r="C328" s="22"/>
      <c r="D328" s="20"/>
      <c r="E328" s="25"/>
      <c r="F328" s="10"/>
      <c r="G328" s="10"/>
    </row>
    <row r="329" spans="3:7">
      <c r="C329" s="8"/>
      <c r="D329" s="9"/>
      <c r="E329" s="10"/>
      <c r="F329" s="10"/>
      <c r="G329" s="10"/>
    </row>
    <row r="330" spans="3:7">
      <c r="C330" s="12"/>
      <c r="D330" s="9"/>
      <c r="E330" s="10"/>
      <c r="F330" s="10"/>
      <c r="G330" s="10"/>
    </row>
    <row r="331" spans="3:7">
      <c r="C331" s="2"/>
      <c r="D331" s="2"/>
      <c r="E331" s="10"/>
      <c r="F331" s="10"/>
      <c r="G331" s="10"/>
    </row>
    <row r="332" spans="3:7">
      <c r="C332" s="2"/>
      <c r="D332" s="2"/>
      <c r="E332" s="20"/>
      <c r="F332" s="10"/>
      <c r="G332" s="10"/>
    </row>
    <row r="333" spans="3:7">
      <c r="C333" s="2"/>
      <c r="D333" s="2"/>
      <c r="E333" s="10"/>
      <c r="F333" s="10"/>
      <c r="G333" s="10"/>
    </row>
    <row r="334" spans="3:7">
      <c r="C334" s="2"/>
      <c r="D334" s="2"/>
      <c r="E334" s="25"/>
      <c r="F334" s="10"/>
      <c r="G334" s="10"/>
    </row>
    <row r="335" spans="3:7">
      <c r="C335" s="2"/>
      <c r="D335" s="2"/>
      <c r="E335" s="5"/>
      <c r="F335" s="6"/>
      <c r="G335" s="5"/>
    </row>
    <row r="336" spans="3:7">
      <c r="C336" s="2"/>
      <c r="D336" s="2"/>
      <c r="E336" s="5"/>
      <c r="F336" s="6"/>
      <c r="G336" s="5"/>
    </row>
    <row r="337" spans="3:7">
      <c r="C337" s="2"/>
      <c r="D337" s="2"/>
      <c r="E337" s="25"/>
      <c r="F337" s="10"/>
      <c r="G337" s="10"/>
    </row>
    <row r="338" spans="3:7">
      <c r="C338" s="2"/>
      <c r="D338" s="2"/>
      <c r="E338" s="25"/>
      <c r="F338" s="10"/>
      <c r="G338" s="10"/>
    </row>
    <row r="339" spans="3:7">
      <c r="C339" s="2"/>
      <c r="D339" s="2"/>
      <c r="E339" s="25"/>
      <c r="F339" s="10"/>
      <c r="G339" s="10"/>
    </row>
    <row r="340" spans="3:7">
      <c r="C340" s="8"/>
      <c r="D340" s="9"/>
      <c r="E340" s="10"/>
      <c r="F340" s="10"/>
      <c r="G340" s="10"/>
    </row>
    <row r="341" spans="3:7">
      <c r="C341" s="12"/>
      <c r="D341" s="9"/>
      <c r="E341" s="10"/>
      <c r="F341" s="10"/>
      <c r="G341" s="10"/>
    </row>
    <row r="342" spans="3:7">
      <c r="C342" s="12"/>
      <c r="D342" s="9"/>
      <c r="E342" s="10"/>
      <c r="F342" s="10"/>
      <c r="G342" s="10"/>
    </row>
    <row r="343" spans="3:7">
      <c r="C343" s="8"/>
      <c r="D343" s="9"/>
      <c r="E343" s="10"/>
      <c r="F343" s="10"/>
      <c r="G343" s="10"/>
    </row>
    <row r="344" spans="3:7">
      <c r="C344" s="12"/>
      <c r="D344" s="9"/>
      <c r="E344" s="10"/>
      <c r="F344" s="10"/>
      <c r="G344" s="10"/>
    </row>
    <row r="345" spans="3:7">
      <c r="C345" s="12"/>
      <c r="D345" s="9"/>
      <c r="E345" s="10"/>
      <c r="F345" s="10"/>
      <c r="G345" s="10"/>
    </row>
    <row r="346" spans="3:7">
      <c r="C346" s="32"/>
      <c r="D346" s="20"/>
      <c r="E346" s="25"/>
      <c r="F346" s="10"/>
      <c r="G346" s="10"/>
    </row>
    <row r="347" spans="3:7">
      <c r="C347" s="24"/>
      <c r="D347" s="20"/>
      <c r="E347" s="25"/>
      <c r="F347" s="10"/>
      <c r="G347" s="10"/>
    </row>
    <row r="348" spans="3:7">
      <c r="C348" s="22"/>
      <c r="D348" s="20"/>
      <c r="E348" s="25"/>
      <c r="F348" s="10"/>
      <c r="G348" s="10"/>
    </row>
    <row r="349" spans="3:7">
      <c r="C349" s="8"/>
      <c r="D349" s="9"/>
      <c r="E349" s="10"/>
      <c r="F349" s="10"/>
      <c r="G349" s="10"/>
    </row>
    <row r="350" spans="3:7">
      <c r="C350" s="12"/>
      <c r="D350" s="9"/>
      <c r="E350" s="10"/>
      <c r="F350" s="10"/>
      <c r="G350" s="10"/>
    </row>
    <row r="351" spans="3:7">
      <c r="C351" s="12"/>
      <c r="D351" s="9"/>
      <c r="E351" s="10"/>
      <c r="F351" s="10"/>
      <c r="G351" s="10"/>
    </row>
    <row r="352" spans="3:7">
      <c r="C352" s="33"/>
      <c r="D352" s="20"/>
      <c r="E352" s="10"/>
      <c r="F352" s="10"/>
      <c r="G352" s="10"/>
    </row>
    <row r="353" spans="3:7">
      <c r="C353" s="23"/>
      <c r="D353" s="20"/>
      <c r="E353" s="10"/>
      <c r="F353" s="10"/>
      <c r="G353" s="10"/>
    </row>
    <row r="354" spans="3:7">
      <c r="C354" s="23"/>
      <c r="D354" s="20"/>
      <c r="E354" s="10"/>
      <c r="F354" s="10"/>
      <c r="G354" s="10"/>
    </row>
    <row r="355" spans="3:7">
      <c r="C355" s="8"/>
      <c r="D355" s="9"/>
      <c r="E355" s="10"/>
      <c r="F355" s="10"/>
      <c r="G355" s="10"/>
    </row>
    <row r="356" spans="3:7">
      <c r="C356" s="12"/>
      <c r="D356" s="9"/>
      <c r="E356" s="10"/>
      <c r="F356" s="10"/>
      <c r="G356" s="10"/>
    </row>
    <row r="357" spans="3:7">
      <c r="C357" s="8"/>
      <c r="D357" s="20"/>
      <c r="E357" s="10"/>
      <c r="F357" s="10"/>
      <c r="G357" s="10"/>
    </row>
    <row r="358" spans="3:7">
      <c r="C358" s="12"/>
      <c r="D358" s="20"/>
      <c r="E358" s="10"/>
      <c r="F358" s="10"/>
      <c r="G358" s="10"/>
    </row>
    <row r="359" spans="3:7">
      <c r="C359" s="34"/>
      <c r="D359" s="20"/>
      <c r="E359" s="10"/>
      <c r="F359" s="10"/>
      <c r="G359" s="10"/>
    </row>
    <row r="360" spans="3:7">
      <c r="C360" s="23"/>
      <c r="D360" s="20"/>
      <c r="E360" s="10"/>
      <c r="F360" s="10"/>
      <c r="G360" s="10"/>
    </row>
    <row r="361" spans="3:7">
      <c r="C361" s="23"/>
      <c r="D361" s="20"/>
      <c r="E361" s="10"/>
      <c r="F361" s="10"/>
      <c r="G361" s="10"/>
    </row>
    <row r="362" spans="3:7">
      <c r="C362" s="23"/>
      <c r="D362" s="20"/>
      <c r="E362" s="10"/>
      <c r="F362" s="10"/>
      <c r="G362" s="10"/>
    </row>
    <row r="363" spans="3:7">
      <c r="C363" s="34"/>
      <c r="D363" s="20"/>
      <c r="E363" s="10"/>
      <c r="F363" s="10"/>
      <c r="G363" s="10"/>
    </row>
    <row r="364" spans="3:7">
      <c r="C364" s="23"/>
      <c r="D364" s="20"/>
      <c r="E364" s="10"/>
      <c r="F364" s="10"/>
      <c r="G364" s="10"/>
    </row>
    <row r="365" spans="3:7">
      <c r="C365" s="23"/>
      <c r="D365" s="20"/>
      <c r="E365" s="10"/>
      <c r="F365" s="10"/>
      <c r="G365" s="10"/>
    </row>
    <row r="366" spans="3:7">
      <c r="C366" s="34"/>
      <c r="D366" s="20"/>
      <c r="E366" s="10"/>
      <c r="F366" s="10"/>
      <c r="G366" s="10"/>
    </row>
    <row r="367" spans="3:7">
      <c r="C367" s="23"/>
      <c r="D367" s="20"/>
      <c r="E367" s="10"/>
      <c r="F367" s="10"/>
      <c r="G367" s="10"/>
    </row>
    <row r="368" spans="3:7">
      <c r="C368" s="23"/>
      <c r="D368" s="20"/>
      <c r="E368" s="10"/>
      <c r="F368" s="10"/>
      <c r="G368" s="10"/>
    </row>
    <row r="369" spans="3:7">
      <c r="C369" s="32"/>
      <c r="D369" s="20"/>
      <c r="E369" s="25"/>
      <c r="F369" s="10"/>
      <c r="G369" s="10"/>
    </row>
    <row r="370" spans="3:7">
      <c r="C370" s="21"/>
      <c r="D370" s="20"/>
      <c r="E370" s="25"/>
      <c r="F370" s="10"/>
      <c r="G370" s="10"/>
    </row>
    <row r="371" spans="3:7">
      <c r="C371" s="22"/>
      <c r="D371" s="20"/>
      <c r="E371" s="25"/>
      <c r="F371" s="10"/>
      <c r="G371" s="10"/>
    </row>
    <row r="372" spans="3:7">
      <c r="C372" s="33"/>
      <c r="D372" s="20"/>
      <c r="E372" s="10"/>
      <c r="F372" s="10"/>
      <c r="G372" s="10"/>
    </row>
    <row r="373" spans="3:7">
      <c r="C373" s="23"/>
      <c r="D373" s="20"/>
      <c r="E373" s="10"/>
      <c r="F373" s="10"/>
      <c r="G373" s="10"/>
    </row>
    <row r="374" spans="3:7">
      <c r="C374" s="23"/>
      <c r="D374" s="20"/>
      <c r="E374" s="10"/>
      <c r="F374" s="10"/>
      <c r="G374" s="10"/>
    </row>
    <row r="375" spans="3:7">
      <c r="C375" s="34"/>
      <c r="D375" s="20"/>
      <c r="E375" s="10"/>
      <c r="F375" s="10"/>
      <c r="G375" s="10"/>
    </row>
    <row r="376" spans="3:7">
      <c r="C376" s="23"/>
      <c r="D376" s="20"/>
      <c r="E376" s="10"/>
      <c r="F376" s="10"/>
      <c r="G376" s="10"/>
    </row>
    <row r="377" spans="3:7">
      <c r="C377" s="23"/>
      <c r="D377" s="20"/>
      <c r="E377" s="10"/>
      <c r="F377" s="10"/>
      <c r="G377" s="10"/>
    </row>
    <row r="378" spans="3:7">
      <c r="C378" s="23"/>
      <c r="D378" s="20"/>
      <c r="E378" s="10"/>
      <c r="F378" s="10"/>
      <c r="G378" s="10"/>
    </row>
    <row r="379" spans="3:7">
      <c r="C379" s="34"/>
      <c r="D379" s="20"/>
      <c r="E379" s="10"/>
      <c r="F379" s="10"/>
      <c r="G379" s="10"/>
    </row>
    <row r="380" spans="3:7">
      <c r="C380" s="23"/>
      <c r="D380" s="20"/>
      <c r="E380" s="10"/>
      <c r="F380" s="10"/>
      <c r="G380" s="10"/>
    </row>
    <row r="381" spans="3:7">
      <c r="C381" s="23"/>
      <c r="D381" s="20"/>
      <c r="E381" s="10"/>
      <c r="F381" s="10"/>
      <c r="G381" s="10"/>
    </row>
    <row r="382" spans="3:7">
      <c r="C382" s="34"/>
      <c r="D382" s="20"/>
      <c r="E382" s="10"/>
      <c r="F382" s="10"/>
      <c r="G382" s="10"/>
    </row>
    <row r="383" spans="3:7">
      <c r="C383" s="23"/>
      <c r="D383" s="20"/>
      <c r="E383" s="10"/>
      <c r="F383" s="10"/>
      <c r="G383" s="10"/>
    </row>
    <row r="384" spans="3:7">
      <c r="C384" s="23"/>
      <c r="D384" s="20"/>
      <c r="E384" s="10"/>
      <c r="F384" s="10"/>
      <c r="G384" s="10"/>
    </row>
    <row r="385" spans="3:7">
      <c r="C385" s="7"/>
      <c r="D385" s="20"/>
      <c r="E385" s="10"/>
      <c r="F385" s="10"/>
      <c r="G385" s="10"/>
    </row>
    <row r="386" spans="3:7">
      <c r="C386" s="21"/>
      <c r="D386" s="20"/>
      <c r="E386" s="25"/>
      <c r="F386" s="10"/>
      <c r="G386" s="10"/>
    </row>
    <row r="387" spans="3:7">
      <c r="C387" s="22"/>
      <c r="D387" s="20"/>
      <c r="E387" s="25"/>
      <c r="F387" s="10"/>
      <c r="G387" s="10"/>
    </row>
    <row r="388" spans="3:7">
      <c r="C388" s="33"/>
      <c r="D388" s="20"/>
      <c r="E388" s="10"/>
      <c r="F388" s="10"/>
      <c r="G388" s="10"/>
    </row>
    <row r="389" spans="3:7">
      <c r="C389" s="23"/>
      <c r="D389" s="20"/>
      <c r="E389" s="10"/>
      <c r="F389" s="10"/>
      <c r="G389" s="10"/>
    </row>
    <row r="390" spans="3:7">
      <c r="C390" s="23"/>
      <c r="D390" s="20"/>
      <c r="E390" s="10"/>
      <c r="F390" s="10"/>
      <c r="G390" s="10"/>
    </row>
    <row r="391" spans="3:7">
      <c r="C391" s="8"/>
      <c r="D391" s="9"/>
      <c r="E391" s="10"/>
      <c r="F391" s="10"/>
      <c r="G391" s="10"/>
    </row>
    <row r="392" spans="3:7">
      <c r="C392" s="22"/>
      <c r="D392" s="20"/>
      <c r="E392" s="25"/>
      <c r="F392" s="10"/>
      <c r="G392" s="10"/>
    </row>
    <row r="393" spans="3:7">
      <c r="C393" s="22"/>
      <c r="D393" s="20"/>
      <c r="E393" s="25"/>
      <c r="F393" s="10"/>
      <c r="G393" s="10"/>
    </row>
    <row r="394" spans="3:7">
      <c r="C394" s="22"/>
      <c r="D394" s="20"/>
      <c r="E394" s="25"/>
      <c r="F394" s="10"/>
      <c r="G394" s="10"/>
    </row>
    <row r="395" spans="3:7">
      <c r="C395" s="22"/>
      <c r="D395" s="20"/>
      <c r="E395" s="25"/>
      <c r="F395" s="10"/>
      <c r="G395" s="10"/>
    </row>
    <row r="396" spans="3:7">
      <c r="C396" s="21"/>
      <c r="D396" s="20"/>
      <c r="E396" s="25"/>
      <c r="F396" s="10"/>
      <c r="G396" s="10"/>
    </row>
    <row r="397" spans="3:7">
      <c r="C397" s="22"/>
      <c r="D397" s="20"/>
      <c r="E397" s="25"/>
      <c r="F397" s="10"/>
      <c r="G397" s="10"/>
    </row>
    <row r="398" spans="3:7">
      <c r="C398" s="22"/>
      <c r="D398" s="20"/>
      <c r="E398" s="25"/>
      <c r="F398" s="10"/>
      <c r="G398" s="10"/>
    </row>
    <row r="399" spans="3:7">
      <c r="C399" s="22"/>
      <c r="D399" s="20"/>
      <c r="E399" s="25"/>
      <c r="F399" s="10"/>
      <c r="G399" s="10"/>
    </row>
    <row r="400" spans="3:7">
      <c r="C400" s="22"/>
      <c r="D400" s="20"/>
      <c r="E400" s="25"/>
      <c r="F400" s="10"/>
      <c r="G400" s="10"/>
    </row>
    <row r="401" spans="3:7">
      <c r="C401" s="7"/>
      <c r="D401" s="20"/>
      <c r="E401" s="10"/>
      <c r="F401" s="10"/>
      <c r="G401" s="10"/>
    </row>
    <row r="402" spans="3:7">
      <c r="C402" s="21"/>
      <c r="D402" s="20"/>
      <c r="E402" s="25"/>
      <c r="F402" s="10"/>
      <c r="G402" s="10"/>
    </row>
    <row r="403" spans="3:7">
      <c r="C403" s="22"/>
      <c r="D403" s="20"/>
      <c r="E403" s="25"/>
      <c r="F403" s="10"/>
      <c r="G403" s="10"/>
    </row>
    <row r="404" spans="3:7">
      <c r="C404" s="33"/>
      <c r="D404" s="20"/>
      <c r="E404" s="10"/>
      <c r="F404" s="10"/>
      <c r="G404" s="10"/>
    </row>
    <row r="405" spans="3:7">
      <c r="C405" s="23"/>
      <c r="D405" s="20"/>
      <c r="E405" s="10"/>
      <c r="F405" s="10"/>
      <c r="G405" s="10"/>
    </row>
    <row r="406" spans="3:7">
      <c r="C406" s="23"/>
      <c r="D406" s="20"/>
      <c r="E406" s="10"/>
      <c r="F406" s="10"/>
      <c r="G406" s="10"/>
    </row>
    <row r="407" spans="3:7">
      <c r="C407" s="8"/>
      <c r="D407" s="9"/>
      <c r="E407" s="10"/>
      <c r="F407" s="10"/>
      <c r="G407" s="10"/>
    </row>
    <row r="408" spans="3:7">
      <c r="C408" s="22"/>
      <c r="D408" s="20"/>
      <c r="E408" s="25"/>
      <c r="F408" s="10"/>
      <c r="G408" s="10"/>
    </row>
    <row r="409" spans="3:7">
      <c r="C409" s="22"/>
      <c r="D409" s="20"/>
      <c r="E409" s="25"/>
      <c r="F409" s="10"/>
      <c r="G409" s="10"/>
    </row>
    <row r="410" spans="3:7">
      <c r="C410" s="22"/>
      <c r="D410" s="20"/>
      <c r="E410" s="25"/>
      <c r="F410" s="10"/>
      <c r="G410" s="10"/>
    </row>
    <row r="411" spans="3:7">
      <c r="C411" s="21"/>
      <c r="D411" s="20"/>
      <c r="E411" s="25"/>
      <c r="F411" s="10"/>
      <c r="G411" s="10"/>
    </row>
    <row r="412" spans="3:7">
      <c r="C412" s="22"/>
      <c r="D412" s="20"/>
      <c r="E412" s="25"/>
      <c r="F412" s="10"/>
      <c r="G412" s="10"/>
    </row>
    <row r="413" spans="3:7">
      <c r="C413" s="22"/>
      <c r="D413" s="20"/>
      <c r="E413" s="25"/>
      <c r="F413" s="10"/>
      <c r="G413" s="10"/>
    </row>
    <row r="414" spans="3:7">
      <c r="C414" s="22"/>
      <c r="D414" s="20"/>
      <c r="E414" s="25"/>
      <c r="F414" s="10"/>
      <c r="G414" s="10"/>
    </row>
    <row r="415" spans="3:7">
      <c r="C415" s="35"/>
      <c r="D415" s="20"/>
      <c r="E415" s="10"/>
      <c r="F415" s="10"/>
      <c r="G415" s="10"/>
    </row>
    <row r="416" spans="3:7">
      <c r="C416" s="21"/>
      <c r="D416" s="20"/>
      <c r="E416" s="25"/>
      <c r="F416" s="10"/>
      <c r="G416" s="10"/>
    </row>
    <row r="417" spans="3:7">
      <c r="C417" s="22"/>
      <c r="D417" s="20"/>
      <c r="E417" s="25"/>
      <c r="F417" s="10"/>
      <c r="G417" s="10"/>
    </row>
    <row r="418" spans="3:7">
      <c r="C418" s="33"/>
      <c r="D418" s="20"/>
      <c r="E418" s="10"/>
      <c r="F418" s="10"/>
      <c r="G418" s="10"/>
    </row>
    <row r="419" spans="3:7">
      <c r="C419" s="23"/>
      <c r="D419" s="20"/>
      <c r="E419" s="10"/>
      <c r="F419" s="10"/>
      <c r="G419" s="10"/>
    </row>
    <row r="420" spans="3:7">
      <c r="C420" s="23"/>
      <c r="D420" s="20"/>
      <c r="E420" s="10"/>
      <c r="F420" s="10"/>
      <c r="G420" s="10"/>
    </row>
    <row r="421" spans="3:7">
      <c r="C421" s="34"/>
      <c r="D421" s="20"/>
      <c r="E421" s="10"/>
      <c r="F421" s="10"/>
      <c r="G421" s="10"/>
    </row>
    <row r="422" spans="3:7">
      <c r="C422" s="23"/>
      <c r="D422" s="20"/>
      <c r="E422" s="10"/>
      <c r="F422" s="10"/>
      <c r="G422" s="10"/>
    </row>
    <row r="423" spans="3:7">
      <c r="C423" s="23"/>
      <c r="D423" s="20"/>
      <c r="E423" s="10"/>
      <c r="F423" s="10"/>
      <c r="G423" s="10"/>
    </row>
    <row r="424" spans="3:7">
      <c r="C424" s="34"/>
      <c r="D424" s="20"/>
      <c r="E424" s="10"/>
      <c r="F424" s="10"/>
      <c r="G424" s="10"/>
    </row>
    <row r="425" spans="3:7">
      <c r="C425" s="23"/>
      <c r="D425" s="20"/>
      <c r="E425" s="10"/>
      <c r="F425" s="10"/>
      <c r="G425" s="10"/>
    </row>
    <row r="426" spans="3:7">
      <c r="C426" s="23"/>
      <c r="D426" s="20"/>
      <c r="E426" s="10"/>
      <c r="F426" s="10"/>
      <c r="G426" s="10"/>
    </row>
    <row r="427" spans="3:7">
      <c r="C427" s="7"/>
      <c r="D427" s="20"/>
      <c r="E427" s="10"/>
      <c r="F427" s="10"/>
      <c r="G427" s="10"/>
    </row>
    <row r="428" spans="3:7">
      <c r="C428" s="7"/>
      <c r="D428" s="20"/>
      <c r="E428" s="10"/>
      <c r="F428" s="10"/>
      <c r="G428" s="10"/>
    </row>
    <row r="429" spans="3:7">
      <c r="C429" s="21"/>
      <c r="D429" s="20"/>
      <c r="E429" s="25"/>
      <c r="F429" s="10"/>
      <c r="G429" s="10"/>
    </row>
    <row r="430" spans="3:7">
      <c r="C430" s="22"/>
      <c r="D430" s="20"/>
      <c r="E430" s="25"/>
      <c r="F430" s="10"/>
      <c r="G430" s="10"/>
    </row>
    <row r="431" spans="3:7">
      <c r="C431" s="33"/>
      <c r="D431" s="20"/>
      <c r="E431" s="10"/>
      <c r="F431" s="10"/>
      <c r="G431" s="10"/>
    </row>
    <row r="432" spans="3:7">
      <c r="C432" s="23"/>
      <c r="D432" s="20"/>
      <c r="E432" s="10"/>
      <c r="F432" s="10"/>
      <c r="G432" s="10"/>
    </row>
    <row r="433" spans="3:7">
      <c r="C433" s="23"/>
      <c r="D433" s="20"/>
      <c r="E433" s="10"/>
      <c r="F433" s="10"/>
      <c r="G433" s="10"/>
    </row>
    <row r="434" spans="3:7">
      <c r="C434" s="8"/>
      <c r="D434" s="9"/>
      <c r="E434" s="10"/>
      <c r="F434" s="10"/>
      <c r="G434" s="10"/>
    </row>
    <row r="435" spans="3:7">
      <c r="C435" s="22"/>
      <c r="D435" s="20"/>
      <c r="E435" s="25"/>
      <c r="F435" s="10"/>
      <c r="G435" s="10"/>
    </row>
    <row r="436" spans="3:7">
      <c r="C436" s="22"/>
      <c r="D436" s="20"/>
      <c r="E436" s="25"/>
      <c r="F436" s="10"/>
      <c r="G436" s="10"/>
    </row>
    <row r="437" spans="3:7">
      <c r="C437" s="22"/>
      <c r="D437" s="20"/>
      <c r="E437" s="25"/>
      <c r="F437" s="10"/>
      <c r="G437" s="10"/>
    </row>
    <row r="438" spans="3:7">
      <c r="C438" s="21"/>
      <c r="D438" s="20"/>
      <c r="E438" s="25"/>
      <c r="F438" s="10"/>
      <c r="G438" s="10"/>
    </row>
    <row r="439" spans="3:7">
      <c r="C439" s="22"/>
      <c r="D439" s="20"/>
      <c r="E439" s="25"/>
      <c r="F439" s="10"/>
      <c r="G439" s="10"/>
    </row>
    <row r="440" spans="3:7">
      <c r="C440" s="22"/>
      <c r="D440" s="20"/>
      <c r="E440" s="25"/>
      <c r="F440" s="10"/>
      <c r="G440" s="10"/>
    </row>
    <row r="441" spans="3:7">
      <c r="C441" s="22"/>
      <c r="D441" s="20"/>
      <c r="E441" s="25"/>
      <c r="F441" s="10"/>
      <c r="G441" s="10"/>
    </row>
    <row r="442" spans="3:7">
      <c r="C442" s="35"/>
      <c r="D442" s="20"/>
      <c r="E442" s="10"/>
      <c r="F442" s="10"/>
      <c r="G442" s="10"/>
    </row>
    <row r="443" spans="3:7">
      <c r="C443" s="21"/>
      <c r="D443" s="20"/>
      <c r="E443" s="25"/>
      <c r="F443" s="10"/>
      <c r="G443" s="10"/>
    </row>
    <row r="444" spans="3:7">
      <c r="C444" s="22"/>
      <c r="D444" s="20"/>
      <c r="E444" s="25"/>
      <c r="F444" s="10"/>
      <c r="G444" s="10"/>
    </row>
    <row r="445" spans="3:7">
      <c r="C445" s="33"/>
      <c r="D445" s="20"/>
      <c r="E445" s="10"/>
      <c r="F445" s="10"/>
      <c r="G445" s="10"/>
    </row>
    <row r="446" spans="3:7">
      <c r="C446" s="23"/>
      <c r="D446" s="20"/>
      <c r="E446" s="10"/>
      <c r="F446" s="10"/>
      <c r="G446" s="10"/>
    </row>
    <row r="447" spans="3:7">
      <c r="C447" s="23"/>
      <c r="D447" s="20"/>
      <c r="E447" s="10"/>
      <c r="F447" s="10"/>
      <c r="G447" s="10"/>
    </row>
    <row r="448" spans="3:7">
      <c r="C448" s="34"/>
      <c r="D448" s="20"/>
      <c r="E448" s="10"/>
      <c r="F448" s="10"/>
      <c r="G448" s="10"/>
    </row>
    <row r="449" spans="3:7">
      <c r="C449" s="23"/>
      <c r="D449" s="20"/>
      <c r="E449" s="10"/>
      <c r="F449" s="10"/>
      <c r="G449" s="10"/>
    </row>
    <row r="450" spans="3:7">
      <c r="C450" s="23"/>
      <c r="D450" s="20"/>
      <c r="E450" s="10"/>
      <c r="F450" s="10"/>
      <c r="G450" s="10"/>
    </row>
    <row r="451" spans="3:7">
      <c r="C451" s="34"/>
      <c r="D451" s="20"/>
      <c r="E451" s="10"/>
      <c r="F451" s="10"/>
      <c r="G451" s="10"/>
    </row>
    <row r="452" spans="3:7">
      <c r="C452" s="23"/>
      <c r="D452" s="20"/>
      <c r="E452" s="10"/>
      <c r="F452" s="10"/>
      <c r="G452" s="10"/>
    </row>
    <row r="453" spans="3:7">
      <c r="C453" s="23"/>
      <c r="D453" s="20"/>
      <c r="E453" s="10"/>
      <c r="F453" s="10"/>
      <c r="G453" s="10"/>
    </row>
    <row r="454" spans="3:7">
      <c r="C454" s="7"/>
      <c r="D454" s="20"/>
      <c r="E454" s="10"/>
      <c r="F454" s="10"/>
      <c r="G454" s="10"/>
    </row>
    <row r="455" spans="3:7">
      <c r="C455" s="21"/>
      <c r="D455" s="20"/>
      <c r="E455" s="25"/>
      <c r="F455" s="10"/>
      <c r="G455" s="10"/>
    </row>
    <row r="456" spans="3:7">
      <c r="C456" s="22"/>
      <c r="D456" s="20"/>
      <c r="E456" s="25"/>
      <c r="F456" s="10"/>
      <c r="G456" s="10"/>
    </row>
    <row r="457" spans="3:7">
      <c r="C457" s="33"/>
      <c r="D457" s="20"/>
      <c r="E457" s="10"/>
      <c r="F457" s="10"/>
      <c r="G457" s="10"/>
    </row>
    <row r="458" spans="3:7">
      <c r="C458" s="23"/>
      <c r="D458" s="20"/>
      <c r="E458" s="10"/>
      <c r="F458" s="10"/>
      <c r="G458" s="10"/>
    </row>
    <row r="459" spans="3:7">
      <c r="C459" s="23"/>
      <c r="D459" s="20"/>
      <c r="E459" s="10"/>
      <c r="F459" s="10"/>
      <c r="G459" s="10"/>
    </row>
    <row r="460" spans="3:7">
      <c r="C460" s="21"/>
      <c r="D460" s="20"/>
      <c r="E460" s="25"/>
      <c r="F460" s="10"/>
      <c r="G460" s="10"/>
    </row>
    <row r="461" spans="3:7">
      <c r="C461" s="22"/>
      <c r="D461" s="20"/>
      <c r="E461" s="25"/>
      <c r="F461" s="10"/>
      <c r="G461" s="10"/>
    </row>
    <row r="462" spans="3:7">
      <c r="C462" s="22"/>
      <c r="D462" s="20"/>
      <c r="E462" s="25"/>
      <c r="F462" s="10"/>
      <c r="G462" s="10"/>
    </row>
    <row r="463" spans="3:7">
      <c r="C463" s="22"/>
      <c r="D463" s="20"/>
      <c r="E463" s="25"/>
      <c r="F463" s="10"/>
      <c r="G463" s="10"/>
    </row>
    <row r="464" spans="3:7">
      <c r="C464" s="34"/>
      <c r="D464" s="20"/>
      <c r="E464" s="10"/>
      <c r="F464" s="10"/>
      <c r="G464" s="10"/>
    </row>
    <row r="465" spans="3:7">
      <c r="C465" s="23"/>
      <c r="D465" s="20"/>
      <c r="E465" s="10"/>
      <c r="F465" s="10"/>
      <c r="G465" s="10"/>
    </row>
    <row r="466" spans="3:7">
      <c r="C466" s="23"/>
      <c r="D466" s="20"/>
      <c r="E466" s="10"/>
      <c r="F466" s="10"/>
      <c r="G466" s="10"/>
    </row>
    <row r="467" spans="3:7">
      <c r="C467" s="7"/>
      <c r="D467" s="9"/>
      <c r="E467" s="10"/>
      <c r="F467" s="10"/>
      <c r="G467" s="10"/>
    </row>
    <row r="468" spans="3:7">
      <c r="C468" s="7"/>
      <c r="D468" s="9"/>
      <c r="E468" s="10"/>
      <c r="F468" s="10"/>
      <c r="G468" s="10"/>
    </row>
    <row r="469" spans="3:7">
      <c r="C469" s="8"/>
      <c r="D469" s="9"/>
      <c r="E469" s="10"/>
      <c r="F469" s="10"/>
      <c r="G469" s="10"/>
    </row>
    <row r="470" spans="3:7">
      <c r="C470" s="12"/>
      <c r="D470" s="9"/>
      <c r="E470" s="10"/>
      <c r="F470" s="10"/>
      <c r="G470" s="10"/>
    </row>
    <row r="471" spans="3:7">
      <c r="C471" s="8"/>
      <c r="D471" s="9"/>
      <c r="E471" s="10"/>
      <c r="F471" s="10"/>
      <c r="G471" s="10"/>
    </row>
    <row r="472" spans="3:7">
      <c r="C472" s="23"/>
      <c r="D472" s="20"/>
      <c r="E472" s="10"/>
      <c r="F472" s="20"/>
      <c r="G472" s="10"/>
    </row>
    <row r="473" spans="3:7">
      <c r="C473" s="23"/>
      <c r="D473" s="20"/>
      <c r="E473" s="10"/>
      <c r="F473" s="20"/>
      <c r="G473" s="10"/>
    </row>
    <row r="474" spans="3:7">
      <c r="C474" s="23"/>
      <c r="D474" s="20"/>
      <c r="E474" s="10"/>
      <c r="F474" s="20"/>
      <c r="G474" s="10"/>
    </row>
    <row r="475" spans="3:7">
      <c r="C475" s="18"/>
      <c r="D475" s="9"/>
      <c r="E475" s="14"/>
      <c r="F475" s="5"/>
      <c r="G475" s="5"/>
    </row>
    <row r="476" spans="3:7">
      <c r="C476" s="23"/>
      <c r="D476" s="20"/>
      <c r="E476" s="10"/>
      <c r="F476" s="20"/>
      <c r="G476" s="10"/>
    </row>
    <row r="477" spans="3:7">
      <c r="C477" s="21"/>
      <c r="D477" s="20"/>
      <c r="E477" s="25"/>
      <c r="F477" s="10"/>
      <c r="G477" s="10"/>
    </row>
    <row r="478" spans="3:7">
      <c r="C478" s="22"/>
      <c r="D478" s="20"/>
      <c r="E478" s="25"/>
      <c r="F478" s="10"/>
      <c r="G478" s="10"/>
    </row>
    <row r="479" spans="3:7">
      <c r="C479" s="22"/>
      <c r="D479" s="20"/>
      <c r="E479" s="25"/>
      <c r="F479" s="10"/>
      <c r="G479" s="10"/>
    </row>
    <row r="480" spans="3:7">
      <c r="C480" s="22"/>
      <c r="D480" s="20"/>
      <c r="E480" s="25"/>
      <c r="F480" s="10"/>
      <c r="G480" s="10"/>
    </row>
    <row r="481" spans="3:7">
      <c r="C481" s="21"/>
      <c r="D481" s="20"/>
      <c r="E481" s="25"/>
      <c r="F481" s="10"/>
      <c r="G481" s="10"/>
    </row>
    <row r="482" spans="3:7">
      <c r="C482" s="22"/>
      <c r="D482" s="20"/>
      <c r="E482" s="25"/>
      <c r="F482" s="10"/>
      <c r="G482" s="10"/>
    </row>
    <row r="483" spans="3:7">
      <c r="C483" s="22"/>
      <c r="D483" s="20"/>
      <c r="E483" s="25"/>
      <c r="F483" s="10"/>
      <c r="G483" s="10"/>
    </row>
    <row r="484" spans="3:7">
      <c r="C484" s="36"/>
      <c r="D484" s="20"/>
      <c r="E484" s="25"/>
      <c r="F484" s="10"/>
      <c r="G484" s="10"/>
    </row>
    <row r="485" spans="3:7">
      <c r="C485" s="22"/>
      <c r="D485" s="20"/>
      <c r="E485" s="25"/>
      <c r="F485" s="10"/>
      <c r="G485" s="10"/>
    </row>
    <row r="486" spans="3:7">
      <c r="C486" s="36"/>
      <c r="D486" s="20"/>
      <c r="E486" s="25"/>
      <c r="F486" s="10"/>
      <c r="G486" s="10"/>
    </row>
    <row r="487" spans="3:7">
      <c r="C487" s="22"/>
      <c r="D487" s="20"/>
      <c r="E487" s="25"/>
      <c r="F487" s="10"/>
      <c r="G487" s="10"/>
    </row>
    <row r="488" spans="3:7">
      <c r="C488" s="22"/>
      <c r="D488" s="20"/>
      <c r="E488" s="25"/>
      <c r="F488" s="10"/>
      <c r="G488" s="10"/>
    </row>
    <row r="489" spans="3:7">
      <c r="C489" s="21"/>
      <c r="D489" s="20"/>
      <c r="E489" s="25"/>
      <c r="F489" s="10"/>
      <c r="G489" s="10"/>
    </row>
    <row r="490" spans="3:7">
      <c r="C490" s="23"/>
      <c r="D490" s="20"/>
      <c r="E490" s="10"/>
      <c r="F490" s="10"/>
      <c r="G490" s="10"/>
    </row>
    <row r="491" spans="3:7">
      <c r="C491" s="23"/>
      <c r="D491" s="20"/>
      <c r="E491" s="10"/>
      <c r="F491" s="10"/>
      <c r="G491" s="10"/>
    </row>
    <row r="492" spans="3:7">
      <c r="C492" s="34"/>
      <c r="D492" s="20"/>
      <c r="E492" s="10"/>
      <c r="F492" s="10"/>
      <c r="G492" s="10"/>
    </row>
    <row r="493" spans="3:7">
      <c r="C493" s="22"/>
      <c r="D493" s="20"/>
      <c r="E493" s="25"/>
      <c r="F493" s="10"/>
      <c r="G493" s="10"/>
    </row>
    <row r="494" spans="3:7">
      <c r="C494" s="22"/>
      <c r="D494" s="20"/>
      <c r="E494" s="25"/>
      <c r="F494" s="10"/>
      <c r="G494" s="10"/>
    </row>
    <row r="495" spans="3:7">
      <c r="C495" s="21"/>
      <c r="D495" s="20"/>
      <c r="E495" s="25"/>
      <c r="F495" s="10"/>
      <c r="G495" s="10"/>
    </row>
    <row r="496" spans="3:7">
      <c r="C496" s="22"/>
      <c r="D496" s="20"/>
      <c r="E496" s="25"/>
      <c r="F496" s="10"/>
      <c r="G496" s="10"/>
    </row>
    <row r="497" spans="3:7">
      <c r="C497" s="22"/>
      <c r="D497" s="20"/>
      <c r="E497" s="25"/>
      <c r="F497" s="10"/>
      <c r="G497" s="10"/>
    </row>
    <row r="498" spans="3:7">
      <c r="C498" s="7"/>
      <c r="D498" s="9"/>
      <c r="E498" s="10"/>
      <c r="F498" s="10"/>
      <c r="G498" s="10"/>
    </row>
    <row r="499" spans="3:7">
      <c r="C499" s="8"/>
      <c r="D499" s="9"/>
      <c r="E499" s="10"/>
      <c r="F499" s="10"/>
      <c r="G499" s="10"/>
    </row>
    <row r="500" spans="3:7">
      <c r="C500" s="23"/>
      <c r="D500" s="20"/>
      <c r="E500" s="10"/>
      <c r="F500" s="20"/>
      <c r="G500" s="10"/>
    </row>
    <row r="501" spans="3:7">
      <c r="C501" s="23"/>
      <c r="D501" s="20"/>
      <c r="E501" s="10"/>
      <c r="F501" s="20"/>
      <c r="G501" s="10"/>
    </row>
    <row r="502" spans="3:7">
      <c r="C502" s="23"/>
      <c r="D502" s="20"/>
      <c r="E502" s="10"/>
      <c r="F502" s="20"/>
      <c r="G502" s="10"/>
    </row>
    <row r="503" spans="3:7">
      <c r="C503" s="23"/>
      <c r="D503" s="20"/>
      <c r="E503" s="10"/>
      <c r="F503" s="20"/>
      <c r="G503" s="10"/>
    </row>
    <row r="504" spans="3:7">
      <c r="C504" s="18"/>
      <c r="D504" s="9"/>
      <c r="E504" s="14"/>
      <c r="F504" s="5"/>
      <c r="G504" s="5"/>
    </row>
    <row r="505" spans="3:7">
      <c r="C505" s="23"/>
      <c r="D505" s="20"/>
      <c r="E505" s="10"/>
      <c r="F505" s="20"/>
      <c r="G505" s="10"/>
    </row>
    <row r="506" spans="3:7">
      <c r="C506" s="21"/>
      <c r="D506" s="20"/>
      <c r="E506" s="25"/>
      <c r="F506" s="10"/>
      <c r="G506" s="10"/>
    </row>
    <row r="507" spans="3:7">
      <c r="C507" s="22"/>
      <c r="D507" s="20"/>
      <c r="E507" s="25"/>
      <c r="F507" s="10"/>
      <c r="G507" s="10"/>
    </row>
    <row r="508" spans="3:7">
      <c r="C508" s="22"/>
      <c r="D508" s="20"/>
      <c r="E508" s="25"/>
      <c r="F508" s="10"/>
      <c r="G508" s="10"/>
    </row>
    <row r="509" spans="3:7">
      <c r="C509" s="22"/>
      <c r="D509" s="20"/>
      <c r="E509" s="25"/>
      <c r="F509" s="10"/>
      <c r="G509" s="10"/>
    </row>
    <row r="510" spans="3:7">
      <c r="C510" s="21"/>
      <c r="D510" s="20"/>
      <c r="E510" s="25"/>
      <c r="F510" s="10"/>
      <c r="G510" s="10"/>
    </row>
    <row r="511" spans="3:7">
      <c r="C511" s="22"/>
      <c r="D511" s="20"/>
      <c r="E511" s="25"/>
      <c r="F511" s="10"/>
      <c r="G511" s="10"/>
    </row>
    <row r="512" spans="3:7">
      <c r="C512" s="22"/>
      <c r="D512" s="20"/>
      <c r="E512" s="25"/>
      <c r="F512" s="10"/>
      <c r="G512" s="10"/>
    </row>
    <row r="513" spans="3:7">
      <c r="C513" s="8"/>
      <c r="D513" s="9"/>
      <c r="E513" s="10"/>
      <c r="F513" s="10"/>
      <c r="G513" s="10"/>
    </row>
    <row r="514" spans="3:7">
      <c r="C514" s="12"/>
      <c r="D514" s="9"/>
      <c r="E514" s="10"/>
      <c r="F514" s="10"/>
      <c r="G514" s="10"/>
    </row>
    <row r="515" spans="3:7">
      <c r="C515" s="7"/>
      <c r="D515" s="9"/>
      <c r="E515" s="10"/>
      <c r="F515" s="10"/>
      <c r="G515" s="10"/>
    </row>
    <row r="516" spans="3:7">
      <c r="C516" s="8"/>
      <c r="D516" s="9"/>
      <c r="E516" s="6"/>
      <c r="F516" s="6"/>
      <c r="G516" s="6"/>
    </row>
    <row r="517" spans="3:7">
      <c r="C517" s="7"/>
      <c r="D517" s="9"/>
      <c r="E517" s="10"/>
      <c r="F517" s="10"/>
      <c r="G517" s="10"/>
    </row>
    <row r="518" spans="3:7">
      <c r="C518" s="19"/>
      <c r="D518" s="9"/>
      <c r="E518" s="10"/>
      <c r="F518" s="10"/>
      <c r="G518" s="10"/>
    </row>
    <row r="519" spans="3:7" ht="14.25" customHeight="1">
      <c r="C519" s="12"/>
      <c r="D519" s="9"/>
      <c r="E519" s="10"/>
      <c r="F519" s="10"/>
      <c r="G519" s="10"/>
    </row>
    <row r="520" spans="3:7">
      <c r="C520" s="12"/>
      <c r="D520" s="9"/>
      <c r="E520" s="10"/>
      <c r="F520" s="10"/>
      <c r="G520" s="10"/>
    </row>
    <row r="521" spans="3:7">
      <c r="C521" s="12"/>
      <c r="D521" s="9"/>
      <c r="E521" s="10"/>
      <c r="F521" s="10"/>
      <c r="G521" s="10"/>
    </row>
    <row r="522" spans="3:7" ht="12.75" customHeight="1">
      <c r="C522" s="12"/>
      <c r="D522" s="9"/>
      <c r="E522" s="10"/>
      <c r="F522" s="10"/>
      <c r="G522" s="10"/>
    </row>
    <row r="523" spans="3:7">
      <c r="C523" s="12"/>
      <c r="D523" s="9"/>
      <c r="E523" s="10"/>
      <c r="F523" s="10"/>
      <c r="G523" s="10"/>
    </row>
    <row r="524" spans="3:7">
      <c r="C524" s="12"/>
      <c r="D524" s="9"/>
      <c r="E524" s="10"/>
      <c r="F524" s="10"/>
      <c r="G524" s="10"/>
    </row>
    <row r="525" spans="3:7">
      <c r="C525" s="12"/>
      <c r="D525" s="9"/>
      <c r="E525" s="10"/>
      <c r="F525" s="10"/>
      <c r="G525" s="10"/>
    </row>
    <row r="526" spans="3:7">
      <c r="C526" s="12"/>
      <c r="D526" s="9"/>
      <c r="E526" s="10"/>
      <c r="F526" s="10"/>
      <c r="G526" s="10"/>
    </row>
    <row r="527" spans="3:7">
      <c r="C527" s="12"/>
      <c r="D527" s="9"/>
      <c r="E527" s="10"/>
      <c r="F527" s="10"/>
      <c r="G527" s="10"/>
    </row>
    <row r="528" spans="3:7">
      <c r="C528" s="12"/>
      <c r="D528" s="9"/>
      <c r="E528" s="10"/>
      <c r="F528" s="10"/>
      <c r="G528" s="10"/>
    </row>
    <row r="529" spans="3:7">
      <c r="C529" s="12"/>
      <c r="D529" s="9"/>
      <c r="E529" s="10"/>
      <c r="F529" s="10"/>
      <c r="G529" s="10"/>
    </row>
    <row r="530" spans="3:7" ht="12.75" customHeight="1">
      <c r="C530" s="12"/>
      <c r="D530" s="9"/>
      <c r="E530" s="14"/>
      <c r="F530" s="5"/>
      <c r="G530" s="5"/>
    </row>
    <row r="531" spans="3:7">
      <c r="C531" s="19"/>
      <c r="D531" s="9"/>
      <c r="E531" s="10"/>
      <c r="F531" s="10"/>
      <c r="G531" s="10"/>
    </row>
    <row r="532" spans="3:7">
      <c r="C532" s="12"/>
      <c r="D532" s="9"/>
      <c r="E532" s="10"/>
      <c r="F532" s="10"/>
      <c r="G532" s="10"/>
    </row>
    <row r="533" spans="3:7" ht="12.75" customHeight="1">
      <c r="C533" s="12"/>
      <c r="D533" s="9"/>
      <c r="E533" s="10"/>
      <c r="F533" s="10"/>
      <c r="G533" s="10"/>
    </row>
    <row r="534" spans="3:7">
      <c r="C534" s="12"/>
      <c r="D534" s="9"/>
      <c r="E534" s="10"/>
      <c r="F534" s="10"/>
      <c r="G534" s="10"/>
    </row>
    <row r="535" spans="3:7">
      <c r="C535" s="12"/>
      <c r="D535" s="9"/>
      <c r="E535" s="10"/>
      <c r="F535" s="10"/>
      <c r="G535" s="10"/>
    </row>
    <row r="536" spans="3:7">
      <c r="C536" s="12"/>
      <c r="D536" s="9"/>
      <c r="E536" s="10"/>
      <c r="F536" s="10"/>
      <c r="G536" s="10"/>
    </row>
    <row r="537" spans="3:7" ht="12.75" customHeight="1">
      <c r="C537" s="12"/>
      <c r="D537" s="9"/>
      <c r="E537" s="10"/>
      <c r="F537" s="10"/>
      <c r="G537" s="10"/>
    </row>
    <row r="538" spans="3:7">
      <c r="C538" s="12"/>
      <c r="D538" s="9"/>
      <c r="E538" s="10"/>
      <c r="F538" s="10"/>
      <c r="G538" s="10"/>
    </row>
    <row r="539" spans="3:7">
      <c r="C539" s="12"/>
      <c r="D539" s="9"/>
      <c r="E539" s="10"/>
      <c r="F539" s="10"/>
      <c r="G539" s="10"/>
    </row>
    <row r="540" spans="3:7" ht="12.75" customHeight="1">
      <c r="C540" s="12"/>
      <c r="D540" s="9"/>
      <c r="E540" s="10"/>
      <c r="F540" s="10"/>
      <c r="G540" s="10"/>
    </row>
    <row r="541" spans="3:7">
      <c r="C541" s="12"/>
      <c r="D541" s="9"/>
      <c r="E541" s="14"/>
      <c r="F541" s="5"/>
      <c r="G541" s="5"/>
    </row>
    <row r="542" spans="3:7">
      <c r="C542" s="7"/>
      <c r="D542" s="9"/>
      <c r="E542" s="10"/>
      <c r="F542" s="10"/>
      <c r="G542" s="10"/>
    </row>
    <row r="543" spans="3:7">
      <c r="C543" s="8"/>
      <c r="D543" s="9"/>
      <c r="E543" s="14"/>
      <c r="F543" s="5"/>
      <c r="G543" s="5"/>
    </row>
    <row r="544" spans="3:7">
      <c r="C544" s="12"/>
      <c r="D544" s="9"/>
      <c r="E544" s="14"/>
      <c r="F544" s="5"/>
      <c r="G544" s="5"/>
    </row>
    <row r="545" spans="3:7">
      <c r="C545" s="12"/>
      <c r="D545" s="9"/>
      <c r="E545" s="14"/>
      <c r="F545" s="5"/>
      <c r="G545" s="5"/>
    </row>
    <row r="546" spans="3:7">
      <c r="C546" s="8"/>
      <c r="D546" s="9"/>
      <c r="E546" s="14"/>
      <c r="F546" s="5"/>
      <c r="G546" s="5"/>
    </row>
    <row r="547" spans="3:7">
      <c r="C547" s="12"/>
      <c r="D547" s="9"/>
      <c r="E547" s="14"/>
      <c r="F547" s="5"/>
      <c r="G547" s="5"/>
    </row>
    <row r="548" spans="3:7">
      <c r="C548" s="12"/>
      <c r="D548" s="9"/>
      <c r="E548" s="14"/>
      <c r="F548" s="5"/>
      <c r="G548" s="5"/>
    </row>
    <row r="549" spans="3:7">
      <c r="C549" s="8"/>
      <c r="D549" s="9"/>
      <c r="E549" s="14"/>
      <c r="F549" s="5"/>
      <c r="G549" s="5"/>
    </row>
    <row r="550" spans="3:7">
      <c r="C550" s="12"/>
      <c r="D550" s="9"/>
      <c r="E550" s="14"/>
      <c r="F550" s="5"/>
      <c r="G550" s="5"/>
    </row>
    <row r="551" spans="3:7">
      <c r="C551" s="12"/>
      <c r="D551" s="9"/>
      <c r="E551" s="14"/>
      <c r="F551" s="5"/>
      <c r="G551" s="5"/>
    </row>
    <row r="552" spans="3:7" ht="12.75" customHeight="1">
      <c r="C552" s="7"/>
      <c r="D552" s="9"/>
      <c r="E552" s="10"/>
      <c r="F552" s="10"/>
      <c r="G552" s="10"/>
    </row>
    <row r="553" spans="3:7">
      <c r="C553" s="19"/>
      <c r="D553" s="9"/>
      <c r="E553" s="10"/>
      <c r="F553" s="10"/>
      <c r="G553" s="10"/>
    </row>
    <row r="554" spans="3:7">
      <c r="C554" s="12"/>
      <c r="D554" s="9"/>
      <c r="E554" s="10"/>
      <c r="F554" s="10"/>
      <c r="G554" s="10"/>
    </row>
    <row r="555" spans="3:7" ht="12.75" customHeight="1">
      <c r="C555" s="12"/>
      <c r="D555" s="9"/>
      <c r="E555" s="10"/>
      <c r="F555" s="10"/>
      <c r="G555" s="10"/>
    </row>
    <row r="556" spans="3:7">
      <c r="C556" s="12"/>
      <c r="D556" s="9"/>
      <c r="E556" s="10"/>
      <c r="F556" s="10"/>
      <c r="G556" s="10"/>
    </row>
    <row r="557" spans="3:7" ht="12.75" customHeight="1">
      <c r="C557" s="12"/>
      <c r="D557" s="9"/>
      <c r="E557" s="10"/>
      <c r="F557" s="10"/>
      <c r="G557" s="10"/>
    </row>
    <row r="558" spans="3:7" ht="12.75" customHeight="1">
      <c r="C558" s="12"/>
      <c r="D558" s="9"/>
      <c r="E558" s="10"/>
      <c r="F558" s="10"/>
      <c r="G558" s="10"/>
    </row>
    <row r="559" spans="3:7" ht="12.75" customHeight="1">
      <c r="C559" s="12"/>
      <c r="D559" s="9"/>
      <c r="E559" s="10"/>
      <c r="F559" s="10"/>
      <c r="G559" s="10"/>
    </row>
    <row r="560" spans="3:7" ht="12.75" customHeight="1">
      <c r="C560" s="12"/>
      <c r="D560" s="9"/>
      <c r="E560" s="14"/>
      <c r="F560" s="5"/>
      <c r="G560" s="5"/>
    </row>
    <row r="561" spans="3:7" ht="12.75" customHeight="1">
      <c r="C561" s="8"/>
      <c r="D561" s="9"/>
      <c r="E561" s="10"/>
      <c r="F561" s="10"/>
      <c r="G561" s="10"/>
    </row>
    <row r="562" spans="3:7" ht="12.75" customHeight="1">
      <c r="C562" s="12"/>
      <c r="D562" s="9"/>
      <c r="E562" s="10"/>
      <c r="F562" s="10"/>
      <c r="G562" s="10"/>
    </row>
    <row r="563" spans="3:7" ht="12.75" customHeight="1">
      <c r="C563" s="12"/>
      <c r="D563" s="9"/>
      <c r="E563" s="14"/>
      <c r="F563" s="5"/>
      <c r="G563" s="5"/>
    </row>
    <row r="564" spans="3:7" ht="12.75" customHeight="1">
      <c r="C564" s="19"/>
      <c r="D564" s="9"/>
      <c r="E564" s="10"/>
      <c r="F564" s="10"/>
      <c r="G564" s="10"/>
    </row>
    <row r="565" spans="3:7" ht="12.75" customHeight="1">
      <c r="C565" s="12"/>
      <c r="D565" s="9"/>
      <c r="E565" s="14"/>
      <c r="F565" s="5"/>
      <c r="G565" s="5"/>
    </row>
    <row r="566" spans="3:7" ht="12.75" customHeight="1">
      <c r="C566" s="12"/>
      <c r="D566" s="9"/>
      <c r="E566" s="14"/>
      <c r="F566" s="5"/>
      <c r="G566" s="5"/>
    </row>
    <row r="567" spans="3:7">
      <c r="C567" s="12"/>
      <c r="D567" s="9"/>
      <c r="E567" s="14"/>
      <c r="F567" s="5"/>
      <c r="G567" s="5"/>
    </row>
    <row r="568" spans="3:7">
      <c r="C568" s="12"/>
      <c r="D568" s="9"/>
      <c r="E568" s="14"/>
      <c r="F568" s="5"/>
      <c r="G568" s="5"/>
    </row>
    <row r="569" spans="3:7">
      <c r="C569" s="12"/>
      <c r="D569" s="9"/>
      <c r="E569" s="14"/>
      <c r="F569" s="5"/>
      <c r="G569" s="5"/>
    </row>
    <row r="570" spans="3:7">
      <c r="C570" s="12"/>
      <c r="D570" s="9"/>
      <c r="E570" s="14"/>
      <c r="F570" s="5"/>
      <c r="G570" s="5"/>
    </row>
    <row r="571" spans="3:7">
      <c r="C571" s="12"/>
      <c r="D571" s="9"/>
      <c r="E571" s="14"/>
      <c r="F571" s="5"/>
      <c r="G571" s="5"/>
    </row>
    <row r="572" spans="3:7">
      <c r="C572" s="12"/>
      <c r="D572" s="9"/>
      <c r="E572" s="14"/>
      <c r="F572" s="5"/>
      <c r="G572" s="5"/>
    </row>
    <row r="573" spans="3:7">
      <c r="C573" s="12"/>
      <c r="D573" s="9"/>
      <c r="E573" s="14"/>
      <c r="F573" s="5"/>
      <c r="G573" s="5"/>
    </row>
    <row r="574" spans="3:7">
      <c r="C574" s="7"/>
      <c r="D574" s="9"/>
      <c r="E574" s="14"/>
      <c r="F574" s="5"/>
      <c r="G574" s="5"/>
    </row>
    <row r="575" spans="3:7">
      <c r="C575" s="7"/>
      <c r="D575" s="9"/>
      <c r="E575" s="10"/>
      <c r="F575" s="10"/>
      <c r="G575" s="10"/>
    </row>
    <row r="576" spans="3:7">
      <c r="C576" s="19"/>
      <c r="D576" s="9"/>
      <c r="E576" s="10"/>
      <c r="F576" s="10"/>
      <c r="G576" s="10"/>
    </row>
    <row r="577" spans="3:7">
      <c r="C577" s="19"/>
      <c r="D577" s="9"/>
      <c r="E577" s="10"/>
      <c r="F577" s="10"/>
      <c r="G577" s="10"/>
    </row>
    <row r="578" spans="3:7">
      <c r="C578" s="12"/>
      <c r="D578" s="9"/>
      <c r="E578" s="10"/>
      <c r="F578" s="10"/>
      <c r="G578" s="10"/>
    </row>
    <row r="579" spans="3:7">
      <c r="C579" s="19"/>
      <c r="D579" s="9"/>
      <c r="E579" s="10"/>
      <c r="F579" s="10"/>
      <c r="G579" s="10"/>
    </row>
    <row r="580" spans="3:7">
      <c r="C580" s="19"/>
      <c r="D580" s="9"/>
      <c r="E580" s="10"/>
      <c r="F580" s="10"/>
      <c r="G580" s="10"/>
    </row>
    <row r="581" spans="3:7">
      <c r="C581" s="12"/>
      <c r="D581" s="9"/>
      <c r="E581" s="10"/>
      <c r="F581" s="10"/>
      <c r="G581" s="10"/>
    </row>
    <row r="582" spans="3:7">
      <c r="C582" s="12"/>
      <c r="D582" s="9"/>
      <c r="E582" s="10"/>
      <c r="F582" s="10"/>
      <c r="G582" s="10"/>
    </row>
    <row r="583" spans="3:7">
      <c r="C583" s="12"/>
      <c r="D583" s="9"/>
      <c r="E583" s="10"/>
      <c r="F583" s="10"/>
      <c r="G583" s="10"/>
    </row>
    <row r="584" spans="3:7">
      <c r="C584" s="7"/>
      <c r="D584" s="9"/>
      <c r="E584" s="10"/>
      <c r="F584" s="10"/>
      <c r="G584" s="10"/>
    </row>
    <row r="585" spans="3:7">
      <c r="C585" s="8"/>
      <c r="D585" s="9"/>
      <c r="E585" s="10"/>
      <c r="F585" s="10"/>
      <c r="G585" s="10"/>
    </row>
    <row r="586" spans="3:7">
      <c r="C586" s="7"/>
      <c r="D586" s="9"/>
      <c r="E586" s="10"/>
      <c r="F586" s="10"/>
      <c r="G586" s="10"/>
    </row>
    <row r="587" spans="3:7">
      <c r="C587" s="8"/>
      <c r="D587" s="9"/>
      <c r="E587" s="10"/>
      <c r="F587" s="10"/>
      <c r="G587" s="10"/>
    </row>
    <row r="588" spans="3:7">
      <c r="C588" s="12"/>
      <c r="D588" s="9"/>
      <c r="E588" s="10"/>
      <c r="F588" s="10"/>
      <c r="G588" s="10"/>
    </row>
    <row r="589" spans="3:7">
      <c r="C589" s="19"/>
      <c r="D589" s="9"/>
      <c r="E589" s="10"/>
      <c r="F589" s="10"/>
      <c r="G589" s="10"/>
    </row>
    <row r="590" spans="3:7">
      <c r="C590" s="12"/>
      <c r="D590" s="9"/>
      <c r="E590" s="10"/>
      <c r="F590" s="10"/>
      <c r="G590" s="10"/>
    </row>
    <row r="591" spans="3:7">
      <c r="C591" s="19"/>
      <c r="D591" s="9"/>
      <c r="E591" s="10"/>
      <c r="F591" s="10"/>
      <c r="G591" s="10"/>
    </row>
    <row r="592" spans="3:7">
      <c r="C592" s="12"/>
      <c r="D592" s="9"/>
      <c r="E592" s="10"/>
      <c r="F592" s="10"/>
      <c r="G592" s="10"/>
    </row>
    <row r="593" spans="3:7">
      <c r="C593" s="19"/>
      <c r="D593" s="9"/>
      <c r="E593" s="10"/>
      <c r="F593" s="10"/>
      <c r="G593" s="10"/>
    </row>
    <row r="594" spans="3:7">
      <c r="C594" s="23"/>
      <c r="D594" s="20"/>
      <c r="E594" s="10"/>
      <c r="F594" s="10"/>
      <c r="G594" s="10"/>
    </row>
    <row r="595" spans="3:7">
      <c r="C595" s="23"/>
      <c r="D595" s="20"/>
      <c r="E595" s="10"/>
      <c r="F595" s="10"/>
      <c r="G595" s="10"/>
    </row>
    <row r="596" spans="3:7">
      <c r="C596" s="8"/>
      <c r="D596" s="9"/>
      <c r="E596" s="10"/>
      <c r="F596" s="10"/>
      <c r="G596" s="10"/>
    </row>
    <row r="597" spans="3:7">
      <c r="C597" s="12"/>
      <c r="D597" s="9"/>
      <c r="E597" s="10"/>
      <c r="F597" s="10"/>
      <c r="G597" s="10"/>
    </row>
    <row r="598" spans="3:7">
      <c r="C598" s="12"/>
      <c r="D598" s="9"/>
      <c r="E598" s="10"/>
      <c r="F598" s="10"/>
      <c r="G598" s="10"/>
    </row>
    <row r="599" spans="3:7">
      <c r="C599" s="8"/>
      <c r="D599" s="9"/>
      <c r="E599" s="10"/>
      <c r="F599" s="10"/>
      <c r="G599" s="10"/>
    </row>
    <row r="600" spans="3:7">
      <c r="C600" s="12"/>
      <c r="D600" s="9"/>
      <c r="E600" s="10"/>
      <c r="F600" s="10"/>
      <c r="G600" s="10"/>
    </row>
    <row r="601" spans="3:7">
      <c r="C601" s="7"/>
      <c r="D601" s="9"/>
      <c r="E601" s="10"/>
      <c r="F601" s="10"/>
      <c r="G601" s="10"/>
    </row>
    <row r="602" spans="3:7">
      <c r="C602" s="8"/>
      <c r="D602" s="9"/>
      <c r="E602" s="10"/>
      <c r="F602" s="10"/>
      <c r="G602" s="10"/>
    </row>
    <row r="603" spans="3:7">
      <c r="C603" s="12"/>
      <c r="D603" s="9"/>
      <c r="E603" s="10"/>
      <c r="F603" s="10"/>
      <c r="G603" s="10"/>
    </row>
    <row r="604" spans="3:7">
      <c r="C604" s="8"/>
      <c r="D604" s="9"/>
      <c r="E604" s="10"/>
      <c r="F604" s="10"/>
      <c r="G604" s="10"/>
    </row>
    <row r="605" spans="3:7">
      <c r="C605" s="12"/>
      <c r="D605" s="9"/>
      <c r="E605" s="10"/>
      <c r="F605" s="10"/>
      <c r="G605" s="10"/>
    </row>
    <row r="606" spans="3:7">
      <c r="C606" s="19"/>
      <c r="D606" s="9"/>
      <c r="E606" s="10"/>
      <c r="F606" s="10"/>
      <c r="G606" s="10"/>
    </row>
    <row r="607" spans="3:7">
      <c r="C607" s="12"/>
      <c r="D607" s="9"/>
      <c r="E607" s="10"/>
      <c r="F607" s="10"/>
      <c r="G607" s="10"/>
    </row>
    <row r="608" spans="3:7">
      <c r="C608" s="19"/>
      <c r="D608" s="9"/>
      <c r="E608" s="10"/>
      <c r="F608" s="10"/>
      <c r="G608" s="10"/>
    </row>
    <row r="609" spans="3:7">
      <c r="C609" s="12"/>
      <c r="D609" s="9"/>
      <c r="E609" s="10"/>
      <c r="F609" s="10"/>
      <c r="G609" s="10"/>
    </row>
    <row r="610" spans="3:7">
      <c r="C610" s="19"/>
      <c r="D610" s="9"/>
      <c r="E610" s="10"/>
      <c r="F610" s="10"/>
      <c r="G610" s="10"/>
    </row>
    <row r="611" spans="3:7">
      <c r="C611" s="23"/>
      <c r="D611" s="20"/>
      <c r="E611" s="10"/>
      <c r="F611" s="10"/>
      <c r="G611" s="10"/>
    </row>
    <row r="612" spans="3:7">
      <c r="C612" s="23"/>
      <c r="D612" s="20"/>
      <c r="E612" s="10"/>
      <c r="F612" s="10"/>
      <c r="G612" s="10"/>
    </row>
    <row r="613" spans="3:7">
      <c r="C613" s="8"/>
      <c r="D613" s="9"/>
      <c r="E613" s="10"/>
      <c r="F613" s="10"/>
      <c r="G613" s="10"/>
    </row>
    <row r="614" spans="3:7">
      <c r="C614" s="12"/>
      <c r="D614" s="9"/>
      <c r="E614" s="10"/>
      <c r="F614" s="10"/>
      <c r="G614" s="10"/>
    </row>
    <row r="615" spans="3:7">
      <c r="C615" s="12"/>
      <c r="D615" s="9"/>
      <c r="E615" s="10"/>
      <c r="F615" s="10"/>
      <c r="G615" s="10"/>
    </row>
    <row r="616" spans="3:7">
      <c r="C616" s="8"/>
      <c r="D616" s="9"/>
      <c r="E616" s="10"/>
      <c r="F616" s="10"/>
      <c r="G616" s="10"/>
    </row>
    <row r="617" spans="3:7">
      <c r="C617" s="12"/>
      <c r="D617" s="9"/>
      <c r="E617" s="10"/>
      <c r="F617" s="10"/>
      <c r="G617" s="10"/>
    </row>
    <row r="618" spans="3:7">
      <c r="C618" s="7"/>
      <c r="D618" s="9"/>
      <c r="E618" s="10"/>
      <c r="F618" s="10"/>
      <c r="G618" s="10"/>
    </row>
    <row r="619" spans="3:7">
      <c r="C619" s="8"/>
      <c r="D619" s="9"/>
      <c r="E619" s="10"/>
      <c r="F619" s="10"/>
      <c r="G619" s="10"/>
    </row>
    <row r="620" spans="3:7">
      <c r="C620" s="12"/>
      <c r="D620" s="9"/>
      <c r="E620" s="10"/>
      <c r="F620" s="10"/>
      <c r="G620" s="10"/>
    </row>
    <row r="621" spans="3:7">
      <c r="C621" s="8"/>
      <c r="D621" s="9"/>
      <c r="E621" s="10"/>
      <c r="F621" s="10"/>
      <c r="G621" s="10"/>
    </row>
    <row r="622" spans="3:7">
      <c r="C622" s="12"/>
      <c r="D622" s="9"/>
      <c r="E622" s="10"/>
      <c r="F622" s="10"/>
      <c r="G622" s="10"/>
    </row>
    <row r="623" spans="3:7">
      <c r="C623" s="19"/>
      <c r="D623" s="9"/>
      <c r="E623" s="10"/>
      <c r="F623" s="10"/>
      <c r="G623" s="10"/>
    </row>
    <row r="624" spans="3:7">
      <c r="C624" s="12"/>
      <c r="D624" s="9"/>
      <c r="E624" s="10"/>
      <c r="F624" s="10"/>
      <c r="G624" s="10"/>
    </row>
    <row r="625" spans="3:7">
      <c r="C625" s="19"/>
      <c r="D625" s="9"/>
      <c r="E625" s="10"/>
      <c r="F625" s="10"/>
      <c r="G625" s="10"/>
    </row>
    <row r="626" spans="3:7">
      <c r="C626" s="12"/>
      <c r="D626" s="9"/>
      <c r="E626" s="10"/>
      <c r="F626" s="10"/>
      <c r="G626" s="10"/>
    </row>
    <row r="627" spans="3:7">
      <c r="C627" s="19"/>
      <c r="D627" s="9"/>
      <c r="E627" s="10"/>
      <c r="F627" s="10"/>
      <c r="G627" s="10"/>
    </row>
    <row r="628" spans="3:7">
      <c r="C628" s="23"/>
      <c r="D628" s="20"/>
      <c r="E628" s="10"/>
      <c r="F628" s="10"/>
      <c r="G628" s="10"/>
    </row>
    <row r="629" spans="3:7">
      <c r="C629" s="23"/>
      <c r="D629" s="20"/>
      <c r="E629" s="10"/>
      <c r="F629" s="10"/>
      <c r="G629" s="10"/>
    </row>
    <row r="630" spans="3:7">
      <c r="C630" s="8"/>
      <c r="D630" s="9"/>
      <c r="E630" s="10"/>
      <c r="F630" s="10"/>
      <c r="G630" s="10"/>
    </row>
    <row r="631" spans="3:7">
      <c r="C631" s="12"/>
      <c r="D631" s="9"/>
      <c r="E631" s="10"/>
      <c r="F631" s="10"/>
      <c r="G631" s="10"/>
    </row>
    <row r="632" spans="3:7">
      <c r="C632" s="12"/>
      <c r="D632" s="9"/>
      <c r="E632" s="10"/>
      <c r="F632" s="10"/>
      <c r="G632" s="10"/>
    </row>
    <row r="633" spans="3:7">
      <c r="C633" s="8"/>
      <c r="D633" s="9"/>
      <c r="E633" s="10"/>
      <c r="F633" s="10"/>
      <c r="G633" s="10"/>
    </row>
    <row r="634" spans="3:7">
      <c r="C634" s="12"/>
      <c r="D634" s="9"/>
      <c r="E634" s="10"/>
      <c r="F634" s="10"/>
      <c r="G634" s="10"/>
    </row>
    <row r="635" spans="3:7">
      <c r="C635" s="7"/>
      <c r="D635" s="9"/>
      <c r="E635" s="10"/>
      <c r="F635" s="10"/>
      <c r="G635" s="10"/>
    </row>
    <row r="636" spans="3:7">
      <c r="C636" s="8"/>
      <c r="D636" s="9"/>
      <c r="E636" s="10"/>
      <c r="F636" s="10"/>
      <c r="G636" s="10"/>
    </row>
    <row r="637" spans="3:7">
      <c r="C637" s="12"/>
      <c r="D637" s="9"/>
      <c r="E637" s="10"/>
      <c r="F637" s="10"/>
      <c r="G637" s="10"/>
    </row>
    <row r="638" spans="3:7">
      <c r="C638" s="8"/>
      <c r="D638" s="9"/>
      <c r="E638" s="10"/>
      <c r="F638" s="10"/>
      <c r="G638" s="10"/>
    </row>
    <row r="639" spans="3:7">
      <c r="C639" s="12"/>
      <c r="D639" s="9"/>
      <c r="E639" s="10"/>
      <c r="F639" s="10"/>
      <c r="G639" s="10"/>
    </row>
    <row r="640" spans="3:7">
      <c r="C640" s="12"/>
      <c r="D640" s="9"/>
      <c r="E640" s="10"/>
      <c r="F640" s="10"/>
      <c r="G640" s="10"/>
    </row>
    <row r="641" spans="3:7">
      <c r="C641" s="8"/>
      <c r="D641" s="9"/>
      <c r="E641" s="10"/>
      <c r="F641" s="10"/>
      <c r="G641" s="10"/>
    </row>
    <row r="642" spans="3:7">
      <c r="C642" s="12"/>
      <c r="D642" s="9"/>
      <c r="E642" s="10"/>
      <c r="F642" s="10"/>
      <c r="G642" s="10"/>
    </row>
    <row r="643" spans="3:7">
      <c r="C643" s="8"/>
      <c r="D643" s="9"/>
      <c r="E643" s="10"/>
      <c r="F643" s="10"/>
      <c r="G643" s="10"/>
    </row>
    <row r="644" spans="3:7">
      <c r="C644" s="12"/>
      <c r="D644" s="9"/>
      <c r="E644" s="10"/>
      <c r="F644" s="10"/>
      <c r="G644" s="10"/>
    </row>
    <row r="645" spans="3:7">
      <c r="C645" s="8"/>
      <c r="D645" s="9"/>
      <c r="E645" s="10"/>
      <c r="F645" s="10"/>
      <c r="G645" s="10"/>
    </row>
    <row r="646" spans="3:7">
      <c r="C646" s="18"/>
      <c r="D646" s="9"/>
      <c r="E646" s="10"/>
      <c r="F646" s="10"/>
      <c r="G646" s="10"/>
    </row>
    <row r="647" spans="3:7">
      <c r="C647" s="19"/>
      <c r="D647" s="9"/>
      <c r="E647" s="10"/>
      <c r="F647" s="10"/>
      <c r="G647" s="10"/>
    </row>
    <row r="648" spans="3:7">
      <c r="C648" s="12"/>
      <c r="D648" s="9"/>
      <c r="E648" s="10"/>
      <c r="F648" s="10"/>
      <c r="G648" s="10"/>
    </row>
    <row r="649" spans="3:7">
      <c r="C649" s="12"/>
      <c r="D649" s="9"/>
      <c r="E649" s="10"/>
      <c r="F649" s="10"/>
      <c r="G649" s="10"/>
    </row>
    <row r="650" spans="3:7">
      <c r="C650" s="34"/>
      <c r="D650" s="20"/>
      <c r="E650" s="10"/>
      <c r="F650" s="10"/>
      <c r="G650" s="10"/>
    </row>
    <row r="651" spans="3:7">
      <c r="C651" s="23"/>
      <c r="D651" s="20"/>
      <c r="E651" s="10"/>
      <c r="F651" s="10"/>
      <c r="G651" s="10"/>
    </row>
    <row r="652" spans="3:7">
      <c r="C652" s="23"/>
      <c r="D652" s="20"/>
      <c r="E652" s="10"/>
      <c r="F652" s="10"/>
      <c r="G652" s="10"/>
    </row>
    <row r="653" spans="3:7">
      <c r="C653" s="12"/>
      <c r="D653" s="20"/>
      <c r="E653" s="10"/>
      <c r="F653" s="10"/>
      <c r="G653" s="10"/>
    </row>
    <row r="654" spans="3:7">
      <c r="C654" s="12"/>
      <c r="D654" s="20"/>
      <c r="E654" s="10"/>
      <c r="F654" s="10"/>
      <c r="G654" s="10"/>
    </row>
    <row r="655" spans="3:7">
      <c r="C655" s="12"/>
      <c r="D655" s="20"/>
      <c r="E655" s="10"/>
      <c r="F655" s="10"/>
      <c r="G655" s="10"/>
    </row>
    <row r="656" spans="3:7">
      <c r="C656" s="12"/>
      <c r="D656" s="20"/>
      <c r="E656" s="10"/>
      <c r="F656" s="10"/>
      <c r="G656" s="10"/>
    </row>
    <row r="657" spans="3:7">
      <c r="C657" s="12"/>
      <c r="D657" s="20"/>
      <c r="E657" s="10"/>
      <c r="F657" s="10"/>
      <c r="G657" s="10"/>
    </row>
    <row r="658" spans="3:7">
      <c r="C658" s="12"/>
      <c r="D658" s="20"/>
      <c r="E658" s="10"/>
      <c r="F658" s="10"/>
      <c r="G658" s="10"/>
    </row>
    <row r="659" spans="3:7">
      <c r="C659" s="8"/>
      <c r="D659" s="20"/>
      <c r="E659" s="10"/>
      <c r="F659" s="10"/>
      <c r="G659" s="10"/>
    </row>
    <row r="660" spans="3:7">
      <c r="C660" s="12"/>
      <c r="D660" s="20"/>
      <c r="E660" s="10"/>
      <c r="F660" s="10"/>
      <c r="G660" s="10"/>
    </row>
    <row r="661" spans="3:7">
      <c r="C661" s="12"/>
      <c r="D661" s="20"/>
      <c r="E661" s="10"/>
      <c r="F661" s="10"/>
      <c r="G661" s="10"/>
    </row>
    <row r="662" spans="3:7">
      <c r="C662" s="8"/>
      <c r="D662" s="20"/>
      <c r="E662" s="10"/>
      <c r="F662" s="10"/>
      <c r="G662" s="10"/>
    </row>
    <row r="663" spans="3:7">
      <c r="C663" s="12"/>
      <c r="D663" s="20"/>
      <c r="E663" s="10"/>
      <c r="F663" s="10"/>
      <c r="G663" s="10"/>
    </row>
    <row r="664" spans="3:7">
      <c r="C664" s="12"/>
      <c r="D664" s="20"/>
      <c r="E664" s="10"/>
      <c r="F664" s="10"/>
      <c r="G664" s="10"/>
    </row>
    <row r="665" spans="3:7">
      <c r="C665" s="8"/>
      <c r="D665" s="20"/>
      <c r="E665" s="10"/>
      <c r="F665" s="10"/>
      <c r="G665" s="10"/>
    </row>
    <row r="666" spans="3:7">
      <c r="C666" s="23"/>
      <c r="D666" s="20"/>
      <c r="E666" s="10"/>
      <c r="F666" s="10"/>
      <c r="G666" s="10"/>
    </row>
    <row r="667" spans="3:7">
      <c r="C667" s="23"/>
      <c r="D667" s="20"/>
      <c r="E667" s="10"/>
      <c r="F667" s="10"/>
      <c r="G667" s="10"/>
    </row>
    <row r="668" spans="3:7">
      <c r="C668" s="7"/>
      <c r="D668" s="9"/>
      <c r="E668" s="10"/>
      <c r="F668" s="10"/>
      <c r="G668" s="10"/>
    </row>
    <row r="669" spans="3:7">
      <c r="C669" s="8"/>
      <c r="D669" s="9"/>
      <c r="E669" s="10"/>
      <c r="F669" s="10"/>
      <c r="G669" s="10"/>
    </row>
    <row r="670" spans="3:7">
      <c r="C670" s="12"/>
      <c r="D670" s="9"/>
      <c r="E670" s="10"/>
      <c r="F670" s="10"/>
      <c r="G670" s="10"/>
    </row>
    <row r="671" spans="3:7">
      <c r="C671" s="8"/>
      <c r="D671" s="9"/>
      <c r="E671" s="10"/>
      <c r="F671" s="10"/>
      <c r="G671" s="10"/>
    </row>
    <row r="672" spans="3:7">
      <c r="C672" s="12"/>
      <c r="D672" s="9"/>
      <c r="E672" s="10"/>
      <c r="F672" s="10"/>
      <c r="G672" s="10"/>
    </row>
    <row r="673" spans="3:7">
      <c r="C673" s="12"/>
      <c r="D673" s="9"/>
      <c r="E673" s="10"/>
      <c r="F673" s="10"/>
      <c r="G673" s="10"/>
    </row>
    <row r="674" spans="3:7">
      <c r="C674" s="8"/>
      <c r="D674" s="9"/>
      <c r="E674" s="10"/>
      <c r="F674" s="10"/>
      <c r="G674" s="10"/>
    </row>
    <row r="675" spans="3:7">
      <c r="C675" s="12"/>
      <c r="D675" s="9"/>
      <c r="E675" s="10"/>
      <c r="F675" s="10"/>
      <c r="G675" s="10"/>
    </row>
    <row r="676" spans="3:7">
      <c r="C676" s="8"/>
      <c r="D676" s="9"/>
      <c r="E676" s="10"/>
      <c r="F676" s="10"/>
      <c r="G676" s="10"/>
    </row>
    <row r="677" spans="3:7">
      <c r="C677" s="12"/>
      <c r="D677" s="9"/>
      <c r="E677" s="10"/>
      <c r="F677" s="10"/>
      <c r="G677" s="10"/>
    </row>
    <row r="678" spans="3:7">
      <c r="C678" s="8"/>
      <c r="D678" s="9"/>
      <c r="E678" s="10"/>
      <c r="F678" s="10"/>
      <c r="G678" s="10"/>
    </row>
    <row r="679" spans="3:7">
      <c r="C679" s="18"/>
      <c r="D679" s="9"/>
      <c r="E679" s="10"/>
      <c r="F679" s="10"/>
      <c r="G679" s="10"/>
    </row>
    <row r="680" spans="3:7">
      <c r="C680" s="19"/>
      <c r="D680" s="9"/>
      <c r="E680" s="10"/>
      <c r="F680" s="10"/>
      <c r="G680" s="10"/>
    </row>
    <row r="681" spans="3:7">
      <c r="C681" s="12"/>
      <c r="D681" s="9"/>
      <c r="E681" s="10"/>
      <c r="F681" s="10"/>
      <c r="G681" s="10"/>
    </row>
    <row r="682" spans="3:7">
      <c r="C682" s="12"/>
      <c r="D682" s="9"/>
      <c r="E682" s="10"/>
      <c r="F682" s="10"/>
      <c r="G682" s="10"/>
    </row>
    <row r="683" spans="3:7">
      <c r="C683" s="34"/>
      <c r="D683" s="20"/>
      <c r="E683" s="10"/>
      <c r="F683" s="10"/>
      <c r="G683" s="10"/>
    </row>
    <row r="684" spans="3:7">
      <c r="C684" s="23"/>
      <c r="D684" s="20"/>
      <c r="E684" s="10"/>
      <c r="F684" s="10"/>
      <c r="G684" s="10"/>
    </row>
    <row r="685" spans="3:7">
      <c r="C685" s="23"/>
      <c r="D685" s="20"/>
      <c r="E685" s="10"/>
      <c r="F685" s="10"/>
      <c r="G685" s="10"/>
    </row>
    <row r="686" spans="3:7">
      <c r="C686" s="12"/>
      <c r="D686" s="20"/>
      <c r="E686" s="10"/>
      <c r="F686" s="10"/>
      <c r="G686" s="10"/>
    </row>
    <row r="687" spans="3:7">
      <c r="C687" s="12"/>
      <c r="D687" s="20"/>
      <c r="E687" s="10"/>
      <c r="F687" s="10"/>
      <c r="G687" s="10"/>
    </row>
    <row r="688" spans="3:7">
      <c r="C688" s="12"/>
      <c r="D688" s="20"/>
      <c r="E688" s="10"/>
      <c r="F688" s="10"/>
      <c r="G688" s="10"/>
    </row>
    <row r="689" spans="1:7">
      <c r="C689" s="12"/>
      <c r="D689" s="20"/>
      <c r="E689" s="10"/>
      <c r="F689" s="10"/>
      <c r="G689" s="10"/>
    </row>
    <row r="690" spans="1:7">
      <c r="C690" s="12"/>
      <c r="D690" s="20"/>
      <c r="E690" s="10"/>
      <c r="F690" s="10"/>
      <c r="G690" s="10"/>
    </row>
    <row r="691" spans="1:7">
      <c r="C691" s="12"/>
      <c r="D691" s="20"/>
      <c r="E691" s="10"/>
      <c r="F691" s="10"/>
      <c r="G691" s="10"/>
    </row>
    <row r="692" spans="1:7">
      <c r="C692" s="8"/>
      <c r="D692" s="20"/>
      <c r="E692" s="10"/>
      <c r="F692" s="10"/>
      <c r="G692" s="10"/>
    </row>
    <row r="693" spans="1:7">
      <c r="C693" s="12"/>
      <c r="D693" s="20"/>
      <c r="E693" s="10"/>
      <c r="F693" s="10"/>
      <c r="G693" s="10"/>
    </row>
    <row r="694" spans="1:7">
      <c r="C694" s="12"/>
      <c r="D694" s="20"/>
      <c r="E694" s="10"/>
      <c r="F694" s="10"/>
      <c r="G694" s="10"/>
    </row>
    <row r="695" spans="1:7">
      <c r="C695" s="8"/>
      <c r="D695" s="20"/>
      <c r="E695" s="10"/>
      <c r="F695" s="10"/>
      <c r="G695" s="10"/>
    </row>
    <row r="696" spans="1:7">
      <c r="C696" s="12"/>
      <c r="D696" s="20"/>
      <c r="E696" s="10"/>
      <c r="F696" s="10"/>
      <c r="G696" s="10"/>
    </row>
    <row r="697" spans="1:7">
      <c r="C697" s="12"/>
      <c r="D697" s="20"/>
      <c r="E697" s="10"/>
      <c r="F697" s="10"/>
      <c r="G697" s="10"/>
    </row>
    <row r="698" spans="1:7">
      <c r="C698" s="8"/>
      <c r="D698" s="20"/>
      <c r="E698" s="10"/>
      <c r="F698" s="10"/>
      <c r="G698" s="10"/>
    </row>
    <row r="699" spans="1:7">
      <c r="C699" s="23"/>
      <c r="D699" s="20"/>
      <c r="E699" s="10"/>
      <c r="F699" s="10"/>
      <c r="G699" s="10"/>
    </row>
    <row r="700" spans="1:7">
      <c r="C700" s="23"/>
      <c r="D700" s="20"/>
      <c r="E700" s="10"/>
      <c r="F700" s="10"/>
      <c r="G700" s="10"/>
    </row>
    <row r="701" spans="1:7">
      <c r="C701" s="2"/>
      <c r="D701" s="2"/>
      <c r="E701" s="2"/>
      <c r="F701" s="2"/>
      <c r="G701" s="2"/>
    </row>
    <row r="702" spans="1:7">
      <c r="C702" s="2"/>
      <c r="D702" s="2"/>
      <c r="E702" s="2"/>
      <c r="F702" s="2"/>
      <c r="G702" s="2"/>
    </row>
    <row r="703" spans="1:7">
      <c r="C703" s="2"/>
      <c r="D703" s="2"/>
      <c r="E703" s="2"/>
      <c r="F703" s="2"/>
      <c r="G703" s="2"/>
    </row>
    <row r="704" spans="1:7" s="33" customFormat="1">
      <c r="A704" s="2"/>
      <c r="B704" s="2"/>
      <c r="C704" s="2"/>
      <c r="D704" s="2"/>
      <c r="E704" s="2"/>
      <c r="F704" s="2"/>
      <c r="G704" s="2"/>
    </row>
    <row r="705" spans="1:7" s="33" customFormat="1">
      <c r="A705" s="2"/>
      <c r="B705" s="2"/>
      <c r="C705" s="2"/>
      <c r="D705" s="2"/>
      <c r="E705" s="2"/>
      <c r="F705" s="2"/>
      <c r="G705" s="2"/>
    </row>
    <row r="706" spans="1:7" s="33" customFormat="1">
      <c r="A706" s="2"/>
      <c r="B706" s="2"/>
      <c r="C706" s="2"/>
      <c r="D706" s="2"/>
      <c r="E706" s="2"/>
      <c r="F706" s="2"/>
      <c r="G706" s="2"/>
    </row>
    <row r="707" spans="1:7" s="33" customFormat="1">
      <c r="A707" s="2"/>
      <c r="B707" s="2"/>
      <c r="C707" s="2"/>
      <c r="D707" s="2"/>
      <c r="E707" s="2"/>
      <c r="F707" s="2"/>
      <c r="G707" s="2"/>
    </row>
    <row r="708" spans="1:7" s="33" customFormat="1">
      <c r="A708" s="2"/>
      <c r="B708" s="2"/>
      <c r="C708" s="2"/>
      <c r="D708" s="2"/>
      <c r="E708" s="2"/>
      <c r="F708" s="2"/>
      <c r="G708" s="2"/>
    </row>
    <row r="709" spans="1:7" s="33" customFormat="1">
      <c r="A709" s="2"/>
      <c r="B709" s="2"/>
      <c r="C709" s="2"/>
      <c r="D709" s="2"/>
      <c r="E709" s="2"/>
      <c r="F709" s="2"/>
      <c r="G709" s="2"/>
    </row>
    <row r="710" spans="1:7" s="33" customFormat="1">
      <c r="A710" s="2"/>
      <c r="B710" s="2"/>
      <c r="C710" s="2"/>
      <c r="D710" s="2"/>
      <c r="E710" s="2"/>
      <c r="F710" s="2"/>
      <c r="G710" s="2"/>
    </row>
    <row r="711" spans="1:7">
      <c r="C711" s="2"/>
      <c r="D711" s="2"/>
      <c r="E711" s="2"/>
      <c r="F711" s="2"/>
      <c r="G711" s="2"/>
    </row>
    <row r="712" spans="1:7">
      <c r="A712" s="33"/>
      <c r="B712" s="33"/>
      <c r="C712" s="252"/>
      <c r="D712" s="252"/>
      <c r="E712" s="252"/>
      <c r="F712" s="252"/>
      <c r="G712" s="252"/>
    </row>
    <row r="713" spans="1:7">
      <c r="A713" s="33"/>
      <c r="B713" s="33"/>
      <c r="C713" s="33"/>
      <c r="D713" s="252"/>
      <c r="E713" s="252"/>
      <c r="F713" s="252"/>
      <c r="G713" s="252"/>
    </row>
    <row r="714" spans="1:7">
      <c r="A714" s="33"/>
      <c r="B714" s="33"/>
      <c r="C714" s="33"/>
      <c r="D714" s="20"/>
      <c r="E714" s="20"/>
      <c r="F714" s="20"/>
      <c r="G714" s="20"/>
    </row>
    <row r="715" spans="1:7">
      <c r="A715" s="33"/>
      <c r="B715" s="33"/>
      <c r="C715" s="252"/>
      <c r="D715" s="252"/>
      <c r="E715" s="252"/>
      <c r="F715" s="252"/>
      <c r="G715" s="252"/>
    </row>
    <row r="716" spans="1:7">
      <c r="A716" s="33"/>
      <c r="B716" s="33"/>
      <c r="C716" s="33"/>
      <c r="D716" s="252"/>
      <c r="E716" s="252"/>
      <c r="F716" s="252"/>
      <c r="G716" s="252"/>
    </row>
    <row r="717" spans="1:7">
      <c r="A717" s="33"/>
      <c r="B717" s="33"/>
      <c r="C717" s="33"/>
      <c r="D717" s="20"/>
      <c r="E717" s="20"/>
      <c r="F717" s="20"/>
      <c r="G717" s="20"/>
    </row>
    <row r="718" spans="1:7">
      <c r="A718" s="33"/>
      <c r="B718" s="33"/>
      <c r="C718" s="33"/>
      <c r="D718" s="33"/>
      <c r="E718" s="33"/>
      <c r="F718" s="33"/>
      <c r="G718" s="33"/>
    </row>
    <row r="719" spans="1:7">
      <c r="C719" s="2"/>
      <c r="D719" s="2"/>
      <c r="E719" s="2"/>
      <c r="F719" s="2"/>
      <c r="G719" s="2"/>
    </row>
    <row r="720" spans="1:7">
      <c r="C720" s="2"/>
      <c r="D720" s="2"/>
      <c r="E720" s="2"/>
      <c r="F720" s="2"/>
      <c r="G720" s="2"/>
    </row>
    <row r="721" spans="3:7">
      <c r="C721" s="2"/>
      <c r="D721" s="2"/>
      <c r="E721" s="2"/>
      <c r="F721" s="2"/>
      <c r="G721" s="2"/>
    </row>
    <row r="722" spans="3:7">
      <c r="C722" s="2"/>
      <c r="D722" s="2"/>
      <c r="E722" s="2"/>
      <c r="F722" s="2"/>
      <c r="G722" s="2"/>
    </row>
    <row r="723" spans="3:7">
      <c r="C723" s="2"/>
      <c r="D723" s="2"/>
      <c r="E723" s="2"/>
      <c r="F723" s="2"/>
      <c r="G723" s="2"/>
    </row>
    <row r="724" spans="3:7">
      <c r="C724" s="2"/>
      <c r="D724" s="2"/>
      <c r="E724" s="2"/>
      <c r="F724" s="2"/>
      <c r="G724" s="2"/>
    </row>
    <row r="725" spans="3:7">
      <c r="C725" s="2"/>
      <c r="D725" s="2"/>
      <c r="E725" s="2"/>
      <c r="F725" s="2"/>
      <c r="G725" s="2"/>
    </row>
    <row r="726" spans="3:7">
      <c r="C726" s="2"/>
      <c r="D726" s="2"/>
      <c r="E726" s="2"/>
      <c r="F726" s="2"/>
      <c r="G726" s="2"/>
    </row>
    <row r="727" spans="3:7">
      <c r="C727" s="7"/>
      <c r="D727" s="2"/>
      <c r="E727" s="2"/>
      <c r="F727" s="2"/>
      <c r="G727" s="2"/>
    </row>
    <row r="728" spans="3:7">
      <c r="C728" s="8"/>
      <c r="D728" s="11"/>
      <c r="E728" s="10"/>
      <c r="F728" s="10"/>
      <c r="G728" s="5"/>
    </row>
    <row r="729" spans="3:7">
      <c r="C729" s="8"/>
      <c r="D729" s="11"/>
      <c r="E729" s="10"/>
      <c r="F729" s="10"/>
      <c r="G729" s="10"/>
    </row>
    <row r="730" spans="3:7">
      <c r="C730" s="12"/>
      <c r="D730" s="11"/>
      <c r="E730" s="10"/>
      <c r="F730" s="10"/>
      <c r="G730" s="10"/>
    </row>
    <row r="731" spans="3:7">
      <c r="C731" s="12"/>
      <c r="D731" s="11"/>
      <c r="E731" s="10"/>
      <c r="F731" s="10"/>
      <c r="G731" s="10"/>
    </row>
    <row r="732" spans="3:7">
      <c r="C732" s="8"/>
      <c r="D732" s="11"/>
      <c r="E732" s="10"/>
      <c r="F732" s="10"/>
      <c r="G732" s="10"/>
    </row>
    <row r="733" spans="3:7">
      <c r="C733" s="12"/>
      <c r="D733" s="11"/>
      <c r="E733" s="10"/>
      <c r="F733" s="10"/>
      <c r="G733" s="10"/>
    </row>
    <row r="734" spans="3:7">
      <c r="C734" s="12"/>
      <c r="D734" s="11"/>
      <c r="E734" s="10"/>
      <c r="F734" s="10"/>
      <c r="G734" s="10"/>
    </row>
    <row r="735" spans="3:7">
      <c r="C735" s="12"/>
      <c r="D735" s="11"/>
      <c r="E735" s="10"/>
      <c r="F735" s="10"/>
      <c r="G735" s="10"/>
    </row>
    <row r="736" spans="3:7">
      <c r="C736" s="8"/>
      <c r="D736" s="11"/>
      <c r="E736" s="10"/>
      <c r="F736" s="10"/>
      <c r="G736" s="10"/>
    </row>
    <row r="737" spans="3:7">
      <c r="C737" s="12"/>
      <c r="D737" s="11"/>
      <c r="E737" s="10"/>
      <c r="F737" s="10"/>
      <c r="G737" s="10"/>
    </row>
    <row r="738" spans="3:7">
      <c r="C738" s="12"/>
      <c r="D738" s="11"/>
      <c r="E738" s="10"/>
      <c r="F738" s="10"/>
      <c r="G738" s="10"/>
    </row>
    <row r="739" spans="3:7">
      <c r="C739" s="8"/>
      <c r="D739" s="11"/>
      <c r="E739" s="10"/>
      <c r="F739" s="10"/>
      <c r="G739" s="10"/>
    </row>
    <row r="740" spans="3:7">
      <c r="C740" s="12"/>
      <c r="D740" s="11"/>
      <c r="E740" s="10"/>
      <c r="F740" s="10"/>
      <c r="G740" s="10"/>
    </row>
    <row r="741" spans="3:7">
      <c r="C741" s="12"/>
      <c r="D741" s="11"/>
      <c r="E741" s="10"/>
      <c r="F741" s="10"/>
      <c r="G741" s="10"/>
    </row>
    <row r="742" spans="3:7">
      <c r="C742" s="37"/>
      <c r="D742" s="10"/>
      <c r="E742" s="10"/>
      <c r="F742" s="10"/>
      <c r="G742" s="10"/>
    </row>
    <row r="743" spans="3:7">
      <c r="C743" s="38"/>
      <c r="D743" s="10"/>
      <c r="E743" s="10"/>
      <c r="F743" s="10"/>
      <c r="G743" s="10"/>
    </row>
    <row r="744" spans="3:7">
      <c r="C744" s="13"/>
      <c r="D744" s="14"/>
      <c r="E744" s="14"/>
      <c r="F744" s="14"/>
      <c r="G744" s="14"/>
    </row>
    <row r="745" spans="3:7">
      <c r="C745" s="15"/>
      <c r="D745" s="16"/>
      <c r="E745" s="10"/>
      <c r="F745" s="10"/>
      <c r="G745" s="10"/>
    </row>
    <row r="746" spans="3:7">
      <c r="C746" s="15"/>
      <c r="D746" s="16"/>
      <c r="E746" s="10"/>
      <c r="F746" s="10"/>
      <c r="G746" s="10"/>
    </row>
    <row r="747" spans="3:7">
      <c r="C747" s="15"/>
      <c r="D747" s="16"/>
      <c r="E747" s="10"/>
      <c r="F747" s="10"/>
      <c r="G747" s="10"/>
    </row>
    <row r="748" spans="3:7">
      <c r="C748" s="15"/>
      <c r="D748" s="16"/>
      <c r="E748" s="10"/>
      <c r="F748" s="10"/>
      <c r="G748" s="10"/>
    </row>
    <row r="749" spans="3:7">
      <c r="C749" s="15"/>
      <c r="D749" s="16"/>
      <c r="E749" s="10"/>
      <c r="F749" s="10"/>
      <c r="G749" s="10"/>
    </row>
    <row r="750" spans="3:7">
      <c r="C750" s="15"/>
      <c r="D750" s="16"/>
      <c r="E750" s="10"/>
      <c r="F750" s="10"/>
      <c r="G750" s="10"/>
    </row>
    <row r="751" spans="3:7">
      <c r="C751" s="17"/>
      <c r="D751" s="11"/>
      <c r="E751" s="16"/>
      <c r="F751" s="5"/>
      <c r="G751" s="5"/>
    </row>
    <row r="752" spans="3:7">
      <c r="C752" s="18"/>
      <c r="D752" s="11"/>
      <c r="E752" s="16"/>
      <c r="F752" s="5"/>
      <c r="G752" s="5"/>
    </row>
    <row r="753" spans="3:7">
      <c r="C753" s="18"/>
      <c r="D753" s="11"/>
      <c r="E753" s="16"/>
      <c r="F753" s="5"/>
      <c r="G753" s="5"/>
    </row>
    <row r="754" spans="3:7">
      <c r="C754" s="18"/>
      <c r="D754" s="11"/>
      <c r="E754" s="16"/>
      <c r="F754" s="5"/>
      <c r="G754" s="5"/>
    </row>
    <row r="755" spans="3:7">
      <c r="C755" s="17"/>
      <c r="D755" s="11"/>
      <c r="E755" s="16"/>
      <c r="F755" s="5"/>
      <c r="G755" s="5"/>
    </row>
    <row r="756" spans="3:7">
      <c r="C756" s="18"/>
      <c r="D756" s="11"/>
      <c r="E756" s="16"/>
      <c r="F756" s="5"/>
      <c r="G756" s="5"/>
    </row>
    <row r="757" spans="3:7">
      <c r="C757" s="18"/>
      <c r="D757" s="11"/>
      <c r="E757" s="16"/>
      <c r="F757" s="5"/>
      <c r="G757" s="5"/>
    </row>
    <row r="758" spans="3:7">
      <c r="C758" s="18"/>
      <c r="D758" s="11"/>
      <c r="E758" s="16"/>
      <c r="F758" s="5"/>
      <c r="G758" s="5"/>
    </row>
    <row r="759" spans="3:7">
      <c r="C759" s="18"/>
      <c r="D759" s="11"/>
      <c r="E759" s="16"/>
      <c r="F759" s="5"/>
      <c r="G759" s="5"/>
    </row>
    <row r="760" spans="3:7">
      <c r="C760" s="18"/>
      <c r="D760" s="11"/>
      <c r="E760" s="16"/>
      <c r="F760" s="5"/>
      <c r="G760" s="5"/>
    </row>
    <row r="761" spans="3:7">
      <c r="C761" s="18"/>
      <c r="D761" s="11"/>
      <c r="E761" s="16"/>
      <c r="F761" s="5"/>
      <c r="G761" s="5"/>
    </row>
    <row r="762" spans="3:7">
      <c r="C762" s="18"/>
      <c r="D762" s="11"/>
      <c r="E762" s="16"/>
      <c r="F762" s="5"/>
      <c r="G762" s="5"/>
    </row>
    <row r="763" spans="3:7">
      <c r="C763" s="18"/>
      <c r="D763" s="11"/>
      <c r="E763" s="16"/>
      <c r="F763" s="5"/>
      <c r="G763" s="5"/>
    </row>
    <row r="764" spans="3:7">
      <c r="C764" s="18"/>
      <c r="D764" s="11"/>
      <c r="E764" s="16"/>
      <c r="F764" s="5"/>
      <c r="G764" s="5"/>
    </row>
    <row r="765" spans="3:7">
      <c r="C765" s="2"/>
      <c r="D765" s="2"/>
      <c r="E765" s="2"/>
      <c r="F765" s="2"/>
      <c r="G765" s="2"/>
    </row>
    <row r="766" spans="3:7">
      <c r="C766" s="2"/>
      <c r="D766" s="2"/>
      <c r="E766" s="2"/>
      <c r="F766" s="2"/>
      <c r="G766" s="2"/>
    </row>
    <row r="767" spans="3:7">
      <c r="C767" s="2"/>
      <c r="D767" s="2"/>
      <c r="E767" s="2"/>
      <c r="F767" s="2"/>
      <c r="G767" s="2"/>
    </row>
    <row r="768" spans="3:7">
      <c r="C768" s="2"/>
      <c r="D768" s="2"/>
      <c r="E768" s="2"/>
      <c r="F768" s="2"/>
      <c r="G768" s="2"/>
    </row>
    <row r="769" spans="3:7">
      <c r="C769" s="2"/>
      <c r="D769" s="2"/>
      <c r="E769" s="2"/>
      <c r="F769" s="2"/>
      <c r="G769" s="2"/>
    </row>
    <row r="770" spans="3:7">
      <c r="C770" s="2"/>
      <c r="D770" s="2"/>
      <c r="E770" s="2"/>
      <c r="F770" s="2"/>
      <c r="G770" s="2"/>
    </row>
    <row r="771" spans="3:7">
      <c r="C771" s="2"/>
      <c r="D771" s="2"/>
      <c r="E771" s="2"/>
      <c r="F771" s="2"/>
      <c r="G771" s="2"/>
    </row>
    <row r="772" spans="3:7">
      <c r="C772" s="2"/>
      <c r="D772" s="2"/>
      <c r="E772" s="2"/>
      <c r="F772" s="2"/>
      <c r="G772" s="2"/>
    </row>
    <row r="773" spans="3:7">
      <c r="C773" s="2"/>
      <c r="D773" s="2"/>
      <c r="E773" s="2"/>
      <c r="F773" s="2"/>
      <c r="G773" s="2"/>
    </row>
    <row r="774" spans="3:7">
      <c r="C774" s="2"/>
      <c r="D774" s="2"/>
      <c r="E774" s="2"/>
      <c r="F774" s="2"/>
      <c r="G774" s="2"/>
    </row>
    <row r="775" spans="3:7">
      <c r="C775" s="2"/>
      <c r="D775" s="2"/>
      <c r="E775" s="2"/>
      <c r="F775" s="2"/>
      <c r="G775" s="2"/>
    </row>
    <row r="776" spans="3:7">
      <c r="C776" s="2"/>
      <c r="D776" s="2"/>
      <c r="E776" s="2"/>
      <c r="F776" s="2"/>
      <c r="G776" s="2"/>
    </row>
    <row r="777" spans="3:7">
      <c r="C777" s="2"/>
      <c r="D777" s="2"/>
      <c r="E777" s="2"/>
      <c r="F777" s="2"/>
      <c r="G777" s="2"/>
    </row>
    <row r="778" spans="3:7">
      <c r="C778" s="2"/>
      <c r="D778" s="2"/>
      <c r="E778" s="2"/>
      <c r="F778" s="2"/>
      <c r="G778" s="2"/>
    </row>
    <row r="779" spans="3:7">
      <c r="C779" s="2"/>
      <c r="D779" s="2"/>
      <c r="E779" s="2"/>
      <c r="F779" s="2"/>
      <c r="G779" s="2"/>
    </row>
    <row r="780" spans="3:7">
      <c r="C780" s="2"/>
      <c r="D780" s="2"/>
      <c r="E780" s="2"/>
      <c r="F780" s="2"/>
      <c r="G780" s="2"/>
    </row>
    <row r="781" spans="3:7">
      <c r="C781" s="2"/>
      <c r="D781" s="2"/>
      <c r="E781" s="2"/>
      <c r="F781" s="2"/>
      <c r="G781" s="2"/>
    </row>
    <row r="782" spans="3:7">
      <c r="C782" s="2"/>
      <c r="D782" s="2"/>
      <c r="E782" s="2"/>
      <c r="F782" s="2"/>
      <c r="G782" s="2"/>
    </row>
    <row r="783" spans="3:7">
      <c r="C783" s="2"/>
      <c r="D783" s="2"/>
      <c r="E783" s="2"/>
      <c r="F783" s="2"/>
      <c r="G783" s="2"/>
    </row>
    <row r="784" spans="3:7">
      <c r="C784" s="2"/>
      <c r="D784" s="2"/>
      <c r="E784" s="2"/>
      <c r="F784" s="2"/>
      <c r="G784" s="2"/>
    </row>
    <row r="785" spans="3:7">
      <c r="C785" s="2"/>
      <c r="D785" s="2"/>
      <c r="E785" s="2"/>
      <c r="F785" s="2"/>
      <c r="G785" s="2"/>
    </row>
    <row r="786" spans="3:7">
      <c r="C786" s="2"/>
      <c r="D786" s="2"/>
      <c r="E786" s="2"/>
      <c r="F786" s="2"/>
      <c r="G786" s="2"/>
    </row>
    <row r="787" spans="3:7">
      <c r="C787" s="2"/>
      <c r="D787" s="2"/>
      <c r="E787" s="2"/>
      <c r="F787" s="2"/>
      <c r="G787" s="2"/>
    </row>
    <row r="788" spans="3:7">
      <c r="C788" s="2"/>
      <c r="D788" s="2"/>
      <c r="E788" s="2"/>
      <c r="F788" s="2"/>
      <c r="G788" s="2"/>
    </row>
    <row r="789" spans="3:7">
      <c r="C789" s="2"/>
      <c r="D789" s="2"/>
      <c r="E789" s="2"/>
      <c r="F789" s="2"/>
      <c r="G789" s="2"/>
    </row>
    <row r="790" spans="3:7">
      <c r="C790" s="2"/>
      <c r="D790" s="2"/>
      <c r="E790" s="2"/>
      <c r="F790" s="2"/>
      <c r="G790" s="2"/>
    </row>
    <row r="791" spans="3:7">
      <c r="C791" s="2"/>
      <c r="D791" s="2"/>
      <c r="E791" s="2"/>
      <c r="F791" s="2"/>
      <c r="G791" s="2"/>
    </row>
    <row r="792" spans="3:7">
      <c r="C792" s="2"/>
      <c r="D792" s="2"/>
      <c r="E792" s="2"/>
      <c r="F792" s="2"/>
      <c r="G792" s="2"/>
    </row>
    <row r="793" spans="3:7">
      <c r="C793" s="2"/>
      <c r="D793" s="2"/>
      <c r="E793" s="2"/>
      <c r="F793" s="2"/>
      <c r="G793" s="2"/>
    </row>
    <row r="794" spans="3:7">
      <c r="C794" s="2"/>
      <c r="D794" s="2"/>
      <c r="E794" s="2"/>
      <c r="F794" s="2"/>
      <c r="G794" s="2"/>
    </row>
    <row r="795" spans="3:7">
      <c r="C795" s="2"/>
      <c r="D795" s="2"/>
      <c r="E795" s="2"/>
      <c r="F795" s="2"/>
      <c r="G795" s="2"/>
    </row>
    <row r="796" spans="3:7">
      <c r="C796" s="2"/>
      <c r="D796" s="2"/>
      <c r="E796" s="2"/>
      <c r="F796" s="2"/>
      <c r="G796" s="2"/>
    </row>
    <row r="797" spans="3:7">
      <c r="C797" s="2"/>
      <c r="D797" s="2"/>
      <c r="E797" s="2"/>
      <c r="F797" s="2"/>
      <c r="G797" s="2"/>
    </row>
    <row r="798" spans="3:7">
      <c r="C798" s="2"/>
      <c r="D798" s="2"/>
      <c r="E798" s="2"/>
      <c r="F798" s="2"/>
      <c r="G798" s="2"/>
    </row>
    <row r="799" spans="3:7">
      <c r="C799" s="2"/>
      <c r="D799" s="2"/>
      <c r="E799" s="2"/>
      <c r="F799" s="2"/>
      <c r="G799" s="2"/>
    </row>
    <row r="800" spans="3:7">
      <c r="C800" s="2"/>
      <c r="D800" s="2"/>
      <c r="E800" s="2"/>
      <c r="F800" s="2"/>
      <c r="G800" s="2"/>
    </row>
    <row r="801" spans="3:7">
      <c r="C801" s="2"/>
      <c r="D801" s="2"/>
      <c r="E801" s="2"/>
      <c r="F801" s="2"/>
      <c r="G801" s="2"/>
    </row>
    <row r="802" spans="3:7">
      <c r="C802" s="2"/>
      <c r="D802" s="2"/>
      <c r="E802" s="2"/>
      <c r="F802" s="2"/>
      <c r="G802" s="2"/>
    </row>
    <row r="803" spans="3:7">
      <c r="C803" s="2"/>
      <c r="D803" s="2"/>
      <c r="E803" s="2"/>
      <c r="F803" s="2"/>
      <c r="G803" s="2"/>
    </row>
    <row r="804" spans="3:7">
      <c r="C804" s="2"/>
      <c r="D804" s="2"/>
      <c r="E804" s="2"/>
      <c r="F804" s="2"/>
      <c r="G804" s="2"/>
    </row>
    <row r="805" spans="3:7">
      <c r="C805" s="2"/>
      <c r="D805" s="2"/>
      <c r="E805" s="2"/>
      <c r="F805" s="2"/>
      <c r="G805" s="2"/>
    </row>
    <row r="806" spans="3:7">
      <c r="C806" s="2"/>
      <c r="D806" s="2"/>
      <c r="E806" s="2"/>
      <c r="F806" s="2"/>
      <c r="G806" s="2"/>
    </row>
    <row r="807" spans="3:7">
      <c r="C807" s="2"/>
      <c r="D807" s="2"/>
      <c r="E807" s="2"/>
      <c r="F807" s="2"/>
      <c r="G807" s="2"/>
    </row>
    <row r="808" spans="3:7">
      <c r="C808" s="2"/>
      <c r="D808" s="2"/>
      <c r="E808" s="2"/>
      <c r="F808" s="2"/>
      <c r="G808" s="2"/>
    </row>
    <row r="809" spans="3:7">
      <c r="C809" s="2"/>
      <c r="D809" s="2"/>
      <c r="E809" s="2"/>
      <c r="F809" s="2"/>
      <c r="G809" s="2"/>
    </row>
    <row r="810" spans="3:7">
      <c r="C810" s="2"/>
      <c r="D810" s="2"/>
      <c r="E810" s="2"/>
      <c r="F810" s="2"/>
      <c r="G810" s="2"/>
    </row>
    <row r="811" spans="3:7">
      <c r="C811" s="2"/>
      <c r="D811" s="2"/>
      <c r="E811" s="2"/>
      <c r="F811" s="2"/>
      <c r="G811" s="2"/>
    </row>
    <row r="812" spans="3:7">
      <c r="C812" s="2"/>
      <c r="D812" s="2"/>
      <c r="E812" s="2"/>
      <c r="F812" s="2"/>
      <c r="G812" s="2"/>
    </row>
    <row r="813" spans="3:7">
      <c r="C813" s="2"/>
      <c r="D813" s="2"/>
      <c r="E813" s="2"/>
      <c r="F813" s="2"/>
      <c r="G813" s="2"/>
    </row>
    <row r="814" spans="3:7">
      <c r="C814" s="2"/>
      <c r="D814" s="2"/>
      <c r="E814" s="2"/>
      <c r="F814" s="2"/>
      <c r="G814" s="2"/>
    </row>
    <row r="815" spans="3:7">
      <c r="C815" s="2"/>
      <c r="D815" s="2"/>
      <c r="E815" s="2"/>
      <c r="F815" s="2"/>
      <c r="G815" s="2"/>
    </row>
    <row r="816" spans="3:7">
      <c r="C816" s="2"/>
      <c r="D816" s="2"/>
      <c r="E816" s="2"/>
      <c r="F816" s="2"/>
      <c r="G816" s="2"/>
    </row>
    <row r="817" spans="3:7">
      <c r="C817" s="2"/>
      <c r="D817" s="2"/>
      <c r="E817" s="2"/>
      <c r="F817" s="2"/>
      <c r="G817" s="2"/>
    </row>
    <row r="818" spans="3:7">
      <c r="C818" s="2"/>
      <c r="D818" s="2"/>
      <c r="E818" s="2"/>
      <c r="F818" s="2"/>
      <c r="G818" s="2"/>
    </row>
    <row r="819" spans="3:7">
      <c r="C819" s="2"/>
      <c r="D819" s="2"/>
      <c r="E819" s="2"/>
      <c r="F819" s="2"/>
      <c r="G819" s="2"/>
    </row>
    <row r="820" spans="3:7">
      <c r="C820" s="2"/>
      <c r="D820" s="2"/>
      <c r="E820" s="2"/>
      <c r="F820" s="2"/>
      <c r="G820" s="2"/>
    </row>
    <row r="821" spans="3:7">
      <c r="C821" s="2"/>
      <c r="D821" s="2"/>
      <c r="E821" s="2"/>
      <c r="F821" s="2"/>
      <c r="G821" s="2"/>
    </row>
    <row r="822" spans="3:7">
      <c r="C822" s="2"/>
      <c r="D822" s="2"/>
      <c r="E822" s="2"/>
      <c r="F822" s="2"/>
      <c r="G822" s="2"/>
    </row>
    <row r="823" spans="3:7">
      <c r="C823" s="2"/>
      <c r="D823" s="2"/>
      <c r="E823" s="2"/>
      <c r="F823" s="2"/>
      <c r="G823" s="2"/>
    </row>
    <row r="824" spans="3:7">
      <c r="C824" s="2"/>
      <c r="D824" s="2"/>
      <c r="E824" s="2"/>
      <c r="F824" s="2"/>
      <c r="G824" s="2"/>
    </row>
    <row r="825" spans="3:7">
      <c r="C825" s="2"/>
      <c r="D825" s="2"/>
      <c r="E825" s="2"/>
      <c r="F825" s="2"/>
      <c r="G825" s="2"/>
    </row>
    <row r="826" spans="3:7">
      <c r="C826" s="2"/>
      <c r="D826" s="2"/>
      <c r="E826" s="2"/>
      <c r="F826" s="2"/>
      <c r="G826" s="2"/>
    </row>
    <row r="827" spans="3:7">
      <c r="C827" s="2"/>
      <c r="D827" s="2"/>
      <c r="E827" s="2"/>
      <c r="F827" s="2"/>
      <c r="G827" s="2"/>
    </row>
    <row r="828" spans="3:7">
      <c r="C828" s="2"/>
      <c r="D828" s="2"/>
      <c r="E828" s="2"/>
      <c r="F828" s="2"/>
      <c r="G828" s="2"/>
    </row>
    <row r="829" spans="3:7">
      <c r="C829" s="2"/>
      <c r="D829" s="2"/>
      <c r="E829" s="2"/>
      <c r="F829" s="2"/>
      <c r="G829" s="2"/>
    </row>
    <row r="830" spans="3:7">
      <c r="C830" s="2"/>
      <c r="D830" s="2"/>
      <c r="E830" s="2"/>
      <c r="F830" s="2"/>
      <c r="G830" s="2"/>
    </row>
    <row r="831" spans="3:7">
      <c r="C831" s="2"/>
      <c r="D831" s="2"/>
      <c r="E831" s="2"/>
      <c r="F831" s="2"/>
      <c r="G831" s="2"/>
    </row>
    <row r="832" spans="3:7">
      <c r="C832" s="2"/>
      <c r="D832" s="2"/>
      <c r="E832" s="2"/>
      <c r="F832" s="2"/>
      <c r="G832" s="2"/>
    </row>
    <row r="833" spans="3:7">
      <c r="C833" s="2"/>
      <c r="D833" s="2"/>
      <c r="E833" s="2"/>
      <c r="F833" s="2"/>
      <c r="G833" s="2"/>
    </row>
    <row r="834" spans="3:7">
      <c r="C834" s="2"/>
      <c r="D834" s="2"/>
      <c r="E834" s="2"/>
      <c r="F834" s="2"/>
      <c r="G834" s="2"/>
    </row>
    <row r="835" spans="3:7">
      <c r="C835" s="2"/>
      <c r="D835" s="2"/>
      <c r="E835" s="2"/>
      <c r="F835" s="2"/>
      <c r="G835" s="2"/>
    </row>
    <row r="836" spans="3:7">
      <c r="C836" s="2"/>
      <c r="D836" s="2"/>
      <c r="E836" s="2"/>
      <c r="F836" s="2"/>
      <c r="G836" s="2"/>
    </row>
    <row r="837" spans="3:7">
      <c r="C837" s="2"/>
      <c r="D837" s="2"/>
      <c r="E837" s="2"/>
      <c r="F837" s="2"/>
      <c r="G837" s="2"/>
    </row>
    <row r="838" spans="3:7">
      <c r="C838" s="2"/>
      <c r="D838" s="2"/>
      <c r="E838" s="2"/>
      <c r="F838" s="2"/>
      <c r="G838" s="2"/>
    </row>
    <row r="839" spans="3:7">
      <c r="C839" s="2"/>
      <c r="D839" s="2"/>
      <c r="E839" s="2"/>
      <c r="F839" s="2"/>
      <c r="G839" s="2"/>
    </row>
    <row r="840" spans="3:7">
      <c r="C840" s="2"/>
      <c r="D840" s="2"/>
      <c r="E840" s="2"/>
      <c r="F840" s="2"/>
      <c r="G840" s="2"/>
    </row>
    <row r="841" spans="3:7">
      <c r="C841" s="2"/>
      <c r="D841" s="2"/>
      <c r="E841" s="2"/>
      <c r="F841" s="2"/>
      <c r="G841" s="2"/>
    </row>
    <row r="842" spans="3:7">
      <c r="C842" s="2"/>
      <c r="D842" s="2"/>
      <c r="E842" s="2"/>
      <c r="F842" s="2"/>
      <c r="G842" s="2"/>
    </row>
  </sheetData>
  <mergeCells count="22">
    <mergeCell ref="C315:G315"/>
    <mergeCell ref="C712:G712"/>
    <mergeCell ref="C715:G715"/>
    <mergeCell ref="D716:G716"/>
    <mergeCell ref="D713:G713"/>
    <mergeCell ref="C316:G316"/>
    <mergeCell ref="D11:D12"/>
    <mergeCell ref="C11:C12"/>
    <mergeCell ref="B11:B12"/>
    <mergeCell ref="F11:F12"/>
    <mergeCell ref="C313:G313"/>
    <mergeCell ref="C312:G312"/>
    <mergeCell ref="A8:I8"/>
    <mergeCell ref="G11:G12"/>
    <mergeCell ref="A9:G9"/>
    <mergeCell ref="A1:G1"/>
    <mergeCell ref="A3:G3"/>
    <mergeCell ref="A4:G4"/>
    <mergeCell ref="A6:K6"/>
    <mergeCell ref="A7:N7"/>
    <mergeCell ref="A11:A12"/>
    <mergeCell ref="E11:E12"/>
  </mergeCells>
  <pageMargins left="1.24" right="0.7" top="0.43" bottom="0.54" header="0.3" footer="0.3"/>
  <pageSetup scale="9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2:O648"/>
  <sheetViews>
    <sheetView topLeftCell="A82" workbookViewId="0">
      <selection activeCell="F97" sqref="F97"/>
    </sheetView>
  </sheetViews>
  <sheetFormatPr defaultRowHeight="12.75"/>
  <cols>
    <col min="1" max="1" width="7" style="2" bestFit="1" customWidth="1"/>
    <col min="2" max="2" width="6.42578125" style="2" customWidth="1"/>
    <col min="3" max="3" width="36.85546875" style="1" customWidth="1"/>
    <col min="4" max="4" width="9.7109375" style="1" bestFit="1" customWidth="1"/>
    <col min="5" max="5" width="9.85546875" style="1" bestFit="1" customWidth="1"/>
    <col min="6" max="6" width="9" style="1" customWidth="1"/>
    <col min="7" max="7" width="8.7109375" style="1" customWidth="1"/>
    <col min="8" max="8" width="9.140625" style="2"/>
    <col min="9" max="9" width="13.140625" style="2" customWidth="1"/>
    <col min="10" max="16384" width="9.140625" style="2"/>
  </cols>
  <sheetData>
    <row r="2" spans="1:15" s="4" customFormat="1">
      <c r="A2" s="246" t="s">
        <v>68</v>
      </c>
      <c r="B2" s="246"/>
      <c r="C2" s="246"/>
      <c r="D2" s="246"/>
      <c r="E2" s="246"/>
      <c r="F2" s="246"/>
      <c r="G2" s="246"/>
    </row>
    <row r="3" spans="1:15" s="4" customFormat="1"/>
    <row r="4" spans="1:15" s="4" customFormat="1" ht="15" customHeight="1">
      <c r="A4" s="256" t="s">
        <v>770</v>
      </c>
      <c r="B4" s="256"/>
      <c r="C4" s="256"/>
      <c r="D4" s="256"/>
      <c r="E4" s="256"/>
      <c r="F4" s="121"/>
      <c r="G4" s="121"/>
      <c r="H4" s="121"/>
      <c r="I4" s="121"/>
      <c r="J4" s="121"/>
      <c r="K4" s="121"/>
      <c r="L4" s="121"/>
      <c r="M4" s="121"/>
      <c r="N4" s="121"/>
      <c r="O4" s="145"/>
    </row>
    <row r="5" spans="1:15" s="4" customFormat="1" ht="15" customHeight="1">
      <c r="A5" s="254" t="s">
        <v>771</v>
      </c>
      <c r="B5" s="254"/>
      <c r="C5" s="254"/>
      <c r="D5" s="254"/>
      <c r="E5" s="254"/>
      <c r="F5" s="254"/>
      <c r="G5" s="254"/>
      <c r="H5" s="121"/>
      <c r="I5" s="121"/>
      <c r="J5" s="121"/>
      <c r="K5" s="121"/>
      <c r="L5" s="121"/>
      <c r="M5" s="121"/>
      <c r="N5" s="121"/>
      <c r="O5" s="145"/>
    </row>
    <row r="6" spans="1:15" s="4" customFormat="1">
      <c r="A6" s="255" t="s">
        <v>1839</v>
      </c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</row>
    <row r="7" spans="1:15" s="4" customFormat="1">
      <c r="A7" s="145"/>
      <c r="B7" s="145"/>
      <c r="C7" s="257" t="s">
        <v>1838</v>
      </c>
      <c r="D7" s="257"/>
      <c r="E7" s="257"/>
      <c r="F7" s="145"/>
      <c r="G7" s="145"/>
      <c r="H7" s="145"/>
      <c r="I7" s="145"/>
      <c r="J7" s="145"/>
      <c r="K7" s="145"/>
      <c r="L7" s="145"/>
      <c r="M7" s="145"/>
      <c r="N7" s="145"/>
      <c r="O7" s="145"/>
    </row>
    <row r="8" spans="1:15" s="4" customFormat="1" ht="15" customHeight="1">
      <c r="A8" s="243" t="s">
        <v>774</v>
      </c>
      <c r="B8" s="243"/>
      <c r="C8" s="243"/>
      <c r="D8" s="243"/>
      <c r="E8" s="243"/>
      <c r="F8" s="243"/>
      <c r="G8" s="243"/>
      <c r="H8" s="243"/>
      <c r="I8" s="243"/>
      <c r="J8" s="243"/>
      <c r="K8" s="243"/>
      <c r="L8" s="121"/>
      <c r="M8" s="121"/>
      <c r="N8" s="121"/>
    </row>
    <row r="9" spans="1:15" s="4" customFormat="1" ht="15" customHeight="1">
      <c r="A9" s="243" t="s">
        <v>637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</row>
    <row r="10" spans="1:15" s="4" customFormat="1" ht="15" customHeight="1">
      <c r="A10" s="243" t="s">
        <v>638</v>
      </c>
      <c r="B10" s="243"/>
      <c r="C10" s="243"/>
      <c r="D10" s="243"/>
      <c r="E10" s="243"/>
      <c r="F10" s="243"/>
      <c r="G10" s="243"/>
      <c r="H10" s="243"/>
      <c r="I10" s="243"/>
      <c r="J10" s="86"/>
      <c r="K10" s="86"/>
      <c r="L10" s="122"/>
      <c r="M10" s="122"/>
      <c r="N10" s="86"/>
    </row>
    <row r="11" spans="1:15" s="4" customFormat="1" ht="15" customHeight="1">
      <c r="A11" s="245" t="s">
        <v>10</v>
      </c>
      <c r="B11" s="245"/>
      <c r="C11" s="245"/>
      <c r="D11" s="245"/>
      <c r="E11" s="245"/>
      <c r="F11" s="245"/>
      <c r="G11" s="245"/>
    </row>
    <row r="12" spans="1:15" s="4" customFormat="1"/>
    <row r="13" spans="1:15" s="4" customFormat="1" ht="12.75" customHeight="1">
      <c r="A13" s="248" t="s">
        <v>11</v>
      </c>
      <c r="B13" s="249" t="s">
        <v>34</v>
      </c>
      <c r="C13" s="248" t="s">
        <v>12</v>
      </c>
      <c r="D13" s="248" t="s">
        <v>13</v>
      </c>
      <c r="E13" s="248" t="s">
        <v>14</v>
      </c>
      <c r="F13" s="244" t="s">
        <v>19</v>
      </c>
      <c r="G13" s="244" t="s">
        <v>20</v>
      </c>
    </row>
    <row r="14" spans="1:15" s="4" customFormat="1" ht="35.25" customHeight="1">
      <c r="A14" s="248"/>
      <c r="B14" s="250"/>
      <c r="C14" s="248"/>
      <c r="D14" s="248"/>
      <c r="E14" s="248"/>
      <c r="F14" s="251"/>
      <c r="G14" s="244"/>
    </row>
    <row r="15" spans="1:15" s="4" customFormat="1" ht="15">
      <c r="A15" s="87" t="s">
        <v>54</v>
      </c>
      <c r="B15" s="58"/>
      <c r="C15" s="124" t="s">
        <v>640</v>
      </c>
      <c r="D15" s="58"/>
      <c r="E15" s="58"/>
      <c r="F15" s="28"/>
      <c r="G15" s="26"/>
    </row>
    <row r="16" spans="1:15" s="4" customFormat="1" ht="25.5">
      <c r="A16" s="85" t="s">
        <v>71</v>
      </c>
      <c r="B16" s="58"/>
      <c r="C16" s="125" t="s">
        <v>641</v>
      </c>
      <c r="D16" s="126" t="s">
        <v>0</v>
      </c>
      <c r="E16" s="126">
        <v>1</v>
      </c>
      <c r="F16" s="28"/>
      <c r="G16" s="26"/>
    </row>
    <row r="17" spans="1:7" s="4" customFormat="1" ht="25.5">
      <c r="A17" s="85" t="s">
        <v>72</v>
      </c>
      <c r="B17" s="58"/>
      <c r="C17" s="125" t="s">
        <v>642</v>
      </c>
      <c r="D17" s="126" t="s">
        <v>0</v>
      </c>
      <c r="E17" s="126">
        <v>1</v>
      </c>
      <c r="F17" s="28"/>
      <c r="G17" s="26"/>
    </row>
    <row r="18" spans="1:7" s="4" customFormat="1" ht="25.5">
      <c r="A18" s="85" t="s">
        <v>73</v>
      </c>
      <c r="B18" s="58"/>
      <c r="C18" s="125" t="s">
        <v>643</v>
      </c>
      <c r="D18" s="126" t="s">
        <v>0</v>
      </c>
      <c r="E18" s="126">
        <v>1</v>
      </c>
      <c r="F18" s="28"/>
      <c r="G18" s="26"/>
    </row>
    <row r="19" spans="1:7" s="4" customFormat="1" ht="38.25">
      <c r="A19" s="85" t="s">
        <v>74</v>
      </c>
      <c r="B19" s="58"/>
      <c r="C19" s="125" t="s">
        <v>644</v>
      </c>
      <c r="D19" s="126" t="s">
        <v>0</v>
      </c>
      <c r="E19" s="126">
        <v>4</v>
      </c>
      <c r="F19" s="28"/>
      <c r="G19" s="26"/>
    </row>
    <row r="20" spans="1:7" s="4" customFormat="1" ht="15">
      <c r="A20" s="85" t="s">
        <v>75</v>
      </c>
      <c r="B20" s="58"/>
      <c r="C20" s="125" t="s">
        <v>121</v>
      </c>
      <c r="D20" s="126" t="s">
        <v>0</v>
      </c>
      <c r="E20" s="126">
        <v>2</v>
      </c>
      <c r="F20" s="28"/>
      <c r="G20" s="26"/>
    </row>
    <row r="21" spans="1:7" s="4" customFormat="1" ht="15">
      <c r="A21" s="85" t="s">
        <v>76</v>
      </c>
      <c r="B21" s="58"/>
      <c r="C21" s="125" t="s">
        <v>645</v>
      </c>
      <c r="D21" s="126" t="s">
        <v>0</v>
      </c>
      <c r="E21" s="126">
        <v>1</v>
      </c>
      <c r="F21" s="28"/>
      <c r="G21" s="26"/>
    </row>
    <row r="22" spans="1:7" s="4" customFormat="1" ht="15">
      <c r="A22" s="85" t="s">
        <v>646</v>
      </c>
      <c r="B22" s="58"/>
      <c r="C22" s="125" t="s">
        <v>647</v>
      </c>
      <c r="D22" s="126" t="s">
        <v>0</v>
      </c>
      <c r="E22" s="126">
        <v>16</v>
      </c>
      <c r="F22" s="28"/>
      <c r="G22" s="26"/>
    </row>
    <row r="23" spans="1:7" s="4" customFormat="1" ht="15">
      <c r="A23" s="85" t="s">
        <v>648</v>
      </c>
      <c r="B23" s="58"/>
      <c r="C23" s="125" t="s">
        <v>649</v>
      </c>
      <c r="D23" s="126" t="s">
        <v>0</v>
      </c>
      <c r="E23" s="126">
        <v>36</v>
      </c>
      <c r="F23" s="28"/>
      <c r="G23" s="26"/>
    </row>
    <row r="24" spans="1:7" s="4" customFormat="1" ht="15">
      <c r="A24" s="85" t="s">
        <v>650</v>
      </c>
      <c r="B24" s="58"/>
      <c r="C24" s="125" t="s">
        <v>651</v>
      </c>
      <c r="D24" s="126" t="s">
        <v>0</v>
      </c>
      <c r="E24" s="126">
        <v>2</v>
      </c>
      <c r="F24" s="28"/>
      <c r="G24" s="26"/>
    </row>
    <row r="25" spans="1:7" s="4" customFormat="1" ht="15">
      <c r="A25" s="85" t="s">
        <v>652</v>
      </c>
      <c r="B25" s="58"/>
      <c r="C25" s="125" t="s">
        <v>653</v>
      </c>
      <c r="D25" s="126" t="s">
        <v>0</v>
      </c>
      <c r="E25" s="126">
        <v>12</v>
      </c>
      <c r="F25" s="28"/>
      <c r="G25" s="26"/>
    </row>
    <row r="26" spans="1:7" s="4" customFormat="1" ht="15">
      <c r="A26" s="85" t="s">
        <v>654</v>
      </c>
      <c r="B26" s="58"/>
      <c r="C26" s="125" t="s">
        <v>655</v>
      </c>
      <c r="D26" s="126" t="s">
        <v>0</v>
      </c>
      <c r="E26" s="126">
        <v>2</v>
      </c>
      <c r="F26" s="28"/>
      <c r="G26" s="26"/>
    </row>
    <row r="27" spans="1:7" s="4" customFormat="1" ht="25.5">
      <c r="A27" s="85" t="s">
        <v>656</v>
      </c>
      <c r="B27" s="58"/>
      <c r="C27" s="125" t="s">
        <v>657</v>
      </c>
      <c r="D27" s="126" t="s">
        <v>0</v>
      </c>
      <c r="E27" s="126">
        <v>8</v>
      </c>
      <c r="F27" s="28"/>
      <c r="G27" s="26"/>
    </row>
    <row r="28" spans="1:7" s="4" customFormat="1" ht="25.5">
      <c r="A28" s="85" t="s">
        <v>658</v>
      </c>
      <c r="B28" s="58"/>
      <c r="C28" s="125" t="s">
        <v>659</v>
      </c>
      <c r="D28" s="126" t="s">
        <v>0</v>
      </c>
      <c r="E28" s="126">
        <v>14</v>
      </c>
      <c r="F28" s="28"/>
      <c r="G28" s="26"/>
    </row>
    <row r="29" spans="1:7" s="4" customFormat="1" ht="38.25">
      <c r="A29" s="85" t="s">
        <v>660</v>
      </c>
      <c r="B29" s="58"/>
      <c r="C29" s="125" t="s">
        <v>661</v>
      </c>
      <c r="D29" s="126" t="s">
        <v>0</v>
      </c>
      <c r="E29" s="126">
        <v>28</v>
      </c>
      <c r="F29" s="28"/>
      <c r="G29" s="26"/>
    </row>
    <row r="30" spans="1:7" s="4" customFormat="1" ht="38.25">
      <c r="A30" s="85" t="s">
        <v>662</v>
      </c>
      <c r="B30" s="58"/>
      <c r="C30" s="125" t="s">
        <v>663</v>
      </c>
      <c r="D30" s="126" t="s">
        <v>0</v>
      </c>
      <c r="E30" s="126">
        <v>4</v>
      </c>
      <c r="F30" s="28"/>
      <c r="G30" s="26"/>
    </row>
    <row r="31" spans="1:7" s="4" customFormat="1" ht="25.5">
      <c r="A31" s="85" t="s">
        <v>664</v>
      </c>
      <c r="B31" s="58"/>
      <c r="C31" s="125" t="s">
        <v>665</v>
      </c>
      <c r="D31" s="126" t="s">
        <v>0</v>
      </c>
      <c r="E31" s="126">
        <v>10</v>
      </c>
      <c r="F31" s="28"/>
      <c r="G31" s="26"/>
    </row>
    <row r="32" spans="1:7" s="4" customFormat="1" ht="15">
      <c r="A32" s="85" t="s">
        <v>666</v>
      </c>
      <c r="B32" s="58"/>
      <c r="C32" s="125" t="s">
        <v>667</v>
      </c>
      <c r="D32" s="126" t="s">
        <v>0</v>
      </c>
      <c r="E32" s="126">
        <v>40</v>
      </c>
      <c r="F32" s="28"/>
      <c r="G32" s="26"/>
    </row>
    <row r="33" spans="1:7" s="4" customFormat="1" ht="15">
      <c r="A33" s="85" t="s">
        <v>668</v>
      </c>
      <c r="B33" s="58"/>
      <c r="C33" s="125" t="s">
        <v>669</v>
      </c>
      <c r="D33" s="126" t="s">
        <v>0</v>
      </c>
      <c r="E33" s="126">
        <v>200</v>
      </c>
      <c r="F33" s="28"/>
      <c r="G33" s="26"/>
    </row>
    <row r="34" spans="1:7" s="4" customFormat="1" ht="15">
      <c r="A34" s="85" t="s">
        <v>670</v>
      </c>
      <c r="B34" s="58"/>
      <c r="C34" s="125" t="s">
        <v>671</v>
      </c>
      <c r="D34" s="126" t="s">
        <v>0</v>
      </c>
      <c r="E34" s="126">
        <v>100</v>
      </c>
      <c r="F34" s="28"/>
      <c r="G34" s="26"/>
    </row>
    <row r="35" spans="1:7" s="4" customFormat="1" ht="15">
      <c r="A35" s="85" t="s">
        <v>672</v>
      </c>
      <c r="B35" s="58"/>
      <c r="C35" s="125" t="s">
        <v>673</v>
      </c>
      <c r="D35" s="126" t="s">
        <v>1</v>
      </c>
      <c r="E35" s="126">
        <v>120</v>
      </c>
      <c r="F35" s="28"/>
      <c r="G35" s="26"/>
    </row>
    <row r="36" spans="1:7" s="4" customFormat="1" ht="15">
      <c r="A36" s="85" t="s">
        <v>674</v>
      </c>
      <c r="B36" s="58"/>
      <c r="C36" s="125" t="s">
        <v>675</v>
      </c>
      <c r="D36" s="126" t="s">
        <v>1</v>
      </c>
      <c r="E36" s="126">
        <v>200</v>
      </c>
      <c r="F36" s="28"/>
      <c r="G36" s="26"/>
    </row>
    <row r="37" spans="1:7" s="4" customFormat="1" ht="15">
      <c r="A37" s="85" t="s">
        <v>676</v>
      </c>
      <c r="B37" s="58"/>
      <c r="C37" s="125" t="s">
        <v>677</v>
      </c>
      <c r="D37" s="126" t="s">
        <v>1</v>
      </c>
      <c r="E37" s="126">
        <v>100</v>
      </c>
      <c r="F37" s="28"/>
      <c r="G37" s="26"/>
    </row>
    <row r="38" spans="1:7" s="4" customFormat="1" ht="15">
      <c r="A38" s="85" t="s">
        <v>678</v>
      </c>
      <c r="B38" s="58"/>
      <c r="C38" s="125" t="s">
        <v>679</v>
      </c>
      <c r="D38" s="126" t="s">
        <v>1</v>
      </c>
      <c r="E38" s="126">
        <v>200</v>
      </c>
      <c r="F38" s="28"/>
      <c r="G38" s="26"/>
    </row>
    <row r="39" spans="1:7" s="4" customFormat="1" ht="15">
      <c r="A39" s="85" t="s">
        <v>680</v>
      </c>
      <c r="B39" s="58"/>
      <c r="C39" s="125" t="s">
        <v>681</v>
      </c>
      <c r="D39" s="126" t="s">
        <v>1</v>
      </c>
      <c r="E39" s="126">
        <v>40</v>
      </c>
      <c r="F39" s="28"/>
      <c r="G39" s="26"/>
    </row>
    <row r="40" spans="1:7" s="4" customFormat="1" ht="15">
      <c r="A40" s="85" t="s">
        <v>682</v>
      </c>
      <c r="B40" s="58"/>
      <c r="C40" s="125" t="s">
        <v>683</v>
      </c>
      <c r="D40" s="126" t="s">
        <v>1</v>
      </c>
      <c r="E40" s="126">
        <v>100</v>
      </c>
      <c r="F40" s="28"/>
      <c r="G40" s="26"/>
    </row>
    <row r="41" spans="1:7" s="4" customFormat="1" ht="15">
      <c r="A41" s="85" t="s">
        <v>684</v>
      </c>
      <c r="B41" s="58"/>
      <c r="C41" s="125" t="s">
        <v>685</v>
      </c>
      <c r="D41" s="126" t="s">
        <v>1</v>
      </c>
      <c r="E41" s="126">
        <v>600</v>
      </c>
      <c r="F41" s="28"/>
      <c r="G41" s="26"/>
    </row>
    <row r="42" spans="1:7" s="4" customFormat="1" ht="15">
      <c r="A42" s="85" t="s">
        <v>686</v>
      </c>
      <c r="B42" s="58"/>
      <c r="C42" s="125" t="s">
        <v>687</v>
      </c>
      <c r="D42" s="126" t="s">
        <v>1</v>
      </c>
      <c r="E42" s="126">
        <v>700</v>
      </c>
      <c r="F42" s="28"/>
      <c r="G42" s="26"/>
    </row>
    <row r="43" spans="1:7" s="4" customFormat="1" ht="15">
      <c r="A43" s="85" t="s">
        <v>688</v>
      </c>
      <c r="B43" s="58"/>
      <c r="C43" s="125" t="s">
        <v>689</v>
      </c>
      <c r="D43" s="126" t="s">
        <v>1</v>
      </c>
      <c r="E43" s="126">
        <v>200</v>
      </c>
      <c r="F43" s="28"/>
      <c r="G43" s="26"/>
    </row>
    <row r="44" spans="1:7" s="4" customFormat="1" ht="15">
      <c r="A44" s="85" t="s">
        <v>690</v>
      </c>
      <c r="B44" s="58"/>
      <c r="C44" s="125" t="s">
        <v>123</v>
      </c>
      <c r="D44" s="126" t="s">
        <v>1</v>
      </c>
      <c r="E44" s="126">
        <v>100</v>
      </c>
      <c r="F44" s="28"/>
      <c r="G44" s="26"/>
    </row>
    <row r="45" spans="1:7" s="4" customFormat="1" ht="15">
      <c r="A45" s="85" t="s">
        <v>691</v>
      </c>
      <c r="B45" s="58"/>
      <c r="C45" s="125" t="s">
        <v>122</v>
      </c>
      <c r="D45" s="126" t="s">
        <v>1</v>
      </c>
      <c r="E45" s="126">
        <v>200</v>
      </c>
      <c r="F45" s="28"/>
      <c r="G45" s="26"/>
    </row>
    <row r="46" spans="1:7" s="4" customFormat="1" ht="15">
      <c r="A46" s="85" t="s">
        <v>692</v>
      </c>
      <c r="B46" s="58"/>
      <c r="C46" s="125" t="s">
        <v>130</v>
      </c>
      <c r="D46" s="126" t="s">
        <v>1</v>
      </c>
      <c r="E46" s="126">
        <v>300</v>
      </c>
      <c r="F46" s="28"/>
      <c r="G46" s="26"/>
    </row>
    <row r="47" spans="1:7" s="4" customFormat="1" ht="25.5">
      <c r="A47" s="85" t="s">
        <v>693</v>
      </c>
      <c r="B47" s="58"/>
      <c r="C47" s="125" t="s">
        <v>694</v>
      </c>
      <c r="D47" s="126" t="s">
        <v>0</v>
      </c>
      <c r="E47" s="126">
        <v>14</v>
      </c>
      <c r="F47" s="28"/>
      <c r="G47" s="26"/>
    </row>
    <row r="48" spans="1:7" s="4" customFormat="1" ht="25.5">
      <c r="A48" s="85" t="s">
        <v>695</v>
      </c>
      <c r="B48" s="58"/>
      <c r="C48" s="125" t="s">
        <v>696</v>
      </c>
      <c r="D48" s="126" t="s">
        <v>0</v>
      </c>
      <c r="E48" s="126">
        <v>20</v>
      </c>
      <c r="F48" s="28"/>
      <c r="G48" s="26"/>
    </row>
    <row r="49" spans="1:7" s="4" customFormat="1" ht="25.5">
      <c r="A49" s="85" t="s">
        <v>697</v>
      </c>
      <c r="B49" s="58"/>
      <c r="C49" s="125" t="s">
        <v>698</v>
      </c>
      <c r="D49" s="126" t="s">
        <v>0</v>
      </c>
      <c r="E49" s="126">
        <v>8</v>
      </c>
      <c r="F49" s="28"/>
      <c r="G49" s="26"/>
    </row>
    <row r="50" spans="1:7" s="4" customFormat="1" ht="25.5">
      <c r="A50" s="85" t="s">
        <v>699</v>
      </c>
      <c r="B50" s="58"/>
      <c r="C50" s="125" t="s">
        <v>700</v>
      </c>
      <c r="D50" s="126" t="s">
        <v>0</v>
      </c>
      <c r="E50" s="126">
        <v>2</v>
      </c>
      <c r="F50" s="28"/>
      <c r="G50" s="26"/>
    </row>
    <row r="51" spans="1:7" s="4" customFormat="1" ht="25.5">
      <c r="A51" s="85" t="s">
        <v>701</v>
      </c>
      <c r="B51" s="58"/>
      <c r="C51" s="125" t="s">
        <v>702</v>
      </c>
      <c r="D51" s="126" t="s">
        <v>0</v>
      </c>
      <c r="E51" s="126">
        <v>60</v>
      </c>
      <c r="F51" s="28"/>
      <c r="G51" s="26"/>
    </row>
    <row r="52" spans="1:7" s="4" customFormat="1" ht="25.5">
      <c r="A52" s="85" t="s">
        <v>703</v>
      </c>
      <c r="B52" s="58"/>
      <c r="C52" s="125" t="s">
        <v>704</v>
      </c>
      <c r="D52" s="126" t="s">
        <v>0</v>
      </c>
      <c r="E52" s="126">
        <v>40</v>
      </c>
      <c r="F52" s="28"/>
      <c r="G52" s="26"/>
    </row>
    <row r="53" spans="1:7" s="4" customFormat="1" ht="25.5">
      <c r="A53" s="85" t="s">
        <v>705</v>
      </c>
      <c r="B53" s="58"/>
      <c r="C53" s="125" t="s">
        <v>706</v>
      </c>
      <c r="D53" s="126" t="s">
        <v>0</v>
      </c>
      <c r="E53" s="126">
        <v>6</v>
      </c>
      <c r="F53" s="28"/>
      <c r="G53" s="26"/>
    </row>
    <row r="54" spans="1:7" s="4" customFormat="1" ht="25.5">
      <c r="A54" s="85" t="s">
        <v>707</v>
      </c>
      <c r="B54" s="58"/>
      <c r="C54" s="125" t="s">
        <v>708</v>
      </c>
      <c r="D54" s="126" t="s">
        <v>0</v>
      </c>
      <c r="E54" s="126">
        <v>30</v>
      </c>
      <c r="F54" s="28"/>
      <c r="G54" s="26"/>
    </row>
    <row r="55" spans="1:7" s="4" customFormat="1" ht="15">
      <c r="A55" s="85" t="s">
        <v>709</v>
      </c>
      <c r="B55" s="58"/>
      <c r="C55" s="125" t="s">
        <v>124</v>
      </c>
      <c r="D55" s="126" t="s">
        <v>1</v>
      </c>
      <c r="E55" s="126">
        <v>120</v>
      </c>
      <c r="F55" s="28"/>
      <c r="G55" s="26"/>
    </row>
    <row r="56" spans="1:7" s="4" customFormat="1" ht="15">
      <c r="A56" s="85" t="s">
        <v>710</v>
      </c>
      <c r="B56" s="58"/>
      <c r="C56" s="125" t="s">
        <v>125</v>
      </c>
      <c r="D56" s="126" t="s">
        <v>0</v>
      </c>
      <c r="E56" s="126">
        <v>8</v>
      </c>
      <c r="F56" s="28"/>
      <c r="G56" s="26"/>
    </row>
    <row r="57" spans="1:7" s="4" customFormat="1" ht="15">
      <c r="A57" s="85" t="s">
        <v>711</v>
      </c>
      <c r="B57" s="58"/>
      <c r="C57" s="125" t="s">
        <v>126</v>
      </c>
      <c r="D57" s="126" t="s">
        <v>0</v>
      </c>
      <c r="E57" s="126">
        <v>8</v>
      </c>
      <c r="F57" s="28"/>
      <c r="G57" s="26"/>
    </row>
    <row r="58" spans="1:7" s="4" customFormat="1" ht="15">
      <c r="A58" s="85" t="s">
        <v>712</v>
      </c>
      <c r="B58" s="58"/>
      <c r="C58" s="125" t="s">
        <v>713</v>
      </c>
      <c r="D58" s="126" t="s">
        <v>0</v>
      </c>
      <c r="E58" s="126">
        <v>8</v>
      </c>
      <c r="F58" s="28"/>
      <c r="G58" s="26"/>
    </row>
    <row r="59" spans="1:7" s="4" customFormat="1" ht="15">
      <c r="A59" s="85" t="s">
        <v>714</v>
      </c>
      <c r="B59" s="58"/>
      <c r="C59" s="125" t="s">
        <v>127</v>
      </c>
      <c r="D59" s="126" t="s">
        <v>0</v>
      </c>
      <c r="E59" s="126">
        <v>2</v>
      </c>
      <c r="F59" s="28"/>
      <c r="G59" s="26"/>
    </row>
    <row r="60" spans="1:7" s="4" customFormat="1" ht="25.5">
      <c r="A60" s="85" t="s">
        <v>715</v>
      </c>
      <c r="B60" s="58"/>
      <c r="C60" s="125" t="s">
        <v>716</v>
      </c>
      <c r="D60" s="126" t="s">
        <v>0</v>
      </c>
      <c r="E60" s="126">
        <v>8</v>
      </c>
      <c r="F60" s="28"/>
      <c r="G60" s="26"/>
    </row>
    <row r="61" spans="1:7" s="4" customFormat="1" ht="15">
      <c r="A61" s="85" t="s">
        <v>717</v>
      </c>
      <c r="B61" s="58"/>
      <c r="C61" s="125" t="s">
        <v>128</v>
      </c>
      <c r="D61" s="126" t="s">
        <v>1</v>
      </c>
      <c r="E61" s="126">
        <v>160</v>
      </c>
      <c r="F61" s="28"/>
      <c r="G61" s="26"/>
    </row>
    <row r="62" spans="1:7" s="4" customFormat="1" ht="25.5">
      <c r="A62" s="85" t="s">
        <v>718</v>
      </c>
      <c r="B62" s="58"/>
      <c r="C62" s="125" t="s">
        <v>719</v>
      </c>
      <c r="D62" s="126" t="s">
        <v>0</v>
      </c>
      <c r="E62" s="126">
        <v>40</v>
      </c>
      <c r="F62" s="28"/>
      <c r="G62" s="26"/>
    </row>
    <row r="63" spans="1:7" s="4" customFormat="1" ht="15">
      <c r="A63" s="85" t="s">
        <v>720</v>
      </c>
      <c r="B63" s="58"/>
      <c r="C63" s="125" t="s">
        <v>721</v>
      </c>
      <c r="D63" s="126" t="s">
        <v>0</v>
      </c>
      <c r="E63" s="126">
        <v>160</v>
      </c>
      <c r="F63" s="28"/>
      <c r="G63" s="26"/>
    </row>
    <row r="64" spans="1:7" s="4" customFormat="1" ht="25.5">
      <c r="A64" s="85" t="s">
        <v>722</v>
      </c>
      <c r="B64" s="58"/>
      <c r="C64" s="125" t="s">
        <v>723</v>
      </c>
      <c r="D64" s="126" t="s">
        <v>0</v>
      </c>
      <c r="E64" s="126">
        <v>22</v>
      </c>
      <c r="F64" s="28"/>
      <c r="G64" s="26"/>
    </row>
    <row r="65" spans="1:7" s="4" customFormat="1" ht="38.25">
      <c r="A65" s="85" t="s">
        <v>724</v>
      </c>
      <c r="B65" s="58"/>
      <c r="C65" s="125" t="s">
        <v>725</v>
      </c>
      <c r="D65" s="126" t="s">
        <v>0</v>
      </c>
      <c r="E65" s="126">
        <v>12</v>
      </c>
      <c r="F65" s="28"/>
      <c r="G65" s="26"/>
    </row>
    <row r="66" spans="1:7" s="4" customFormat="1" ht="25.5">
      <c r="A66" s="85" t="s">
        <v>726</v>
      </c>
      <c r="B66" s="58"/>
      <c r="C66" s="125" t="s">
        <v>727</v>
      </c>
      <c r="D66" s="126" t="s">
        <v>0</v>
      </c>
      <c r="E66" s="126">
        <v>10</v>
      </c>
      <c r="F66" s="28"/>
      <c r="G66" s="26"/>
    </row>
    <row r="67" spans="1:7" s="4" customFormat="1" ht="25.5">
      <c r="A67" s="85" t="s">
        <v>728</v>
      </c>
      <c r="B67" s="58"/>
      <c r="C67" s="125" t="s">
        <v>729</v>
      </c>
      <c r="D67" s="126" t="s">
        <v>0</v>
      </c>
      <c r="E67" s="126">
        <v>10</v>
      </c>
      <c r="F67" s="28"/>
      <c r="G67" s="26"/>
    </row>
    <row r="68" spans="1:7" s="4" customFormat="1" ht="25.5">
      <c r="A68" s="85" t="s">
        <v>730</v>
      </c>
      <c r="B68" s="58"/>
      <c r="C68" s="125" t="s">
        <v>731</v>
      </c>
      <c r="D68" s="126" t="s">
        <v>0</v>
      </c>
      <c r="E68" s="126">
        <v>1</v>
      </c>
      <c r="F68" s="28"/>
      <c r="G68" s="26"/>
    </row>
    <row r="69" spans="1:7" s="4" customFormat="1" ht="38.25">
      <c r="A69" s="85" t="s">
        <v>732</v>
      </c>
      <c r="B69" s="58"/>
      <c r="C69" s="125" t="s">
        <v>733</v>
      </c>
      <c r="D69" s="126" t="s">
        <v>0</v>
      </c>
      <c r="E69" s="126">
        <v>1</v>
      </c>
      <c r="F69" s="28"/>
      <c r="G69" s="26"/>
    </row>
    <row r="70" spans="1:7" s="4" customFormat="1" ht="25.5">
      <c r="A70" s="85" t="s">
        <v>734</v>
      </c>
      <c r="B70" s="58"/>
      <c r="C70" s="125" t="s">
        <v>735</v>
      </c>
      <c r="D70" s="126" t="s">
        <v>0</v>
      </c>
      <c r="E70" s="126">
        <v>2</v>
      </c>
      <c r="F70" s="28"/>
      <c r="G70" s="26"/>
    </row>
    <row r="71" spans="1:7" s="4" customFormat="1" ht="25.5">
      <c r="A71" s="85" t="s">
        <v>736</v>
      </c>
      <c r="B71" s="58"/>
      <c r="C71" s="125" t="s">
        <v>737</v>
      </c>
      <c r="D71" s="126" t="s">
        <v>0</v>
      </c>
      <c r="E71" s="126">
        <v>6</v>
      </c>
      <c r="F71" s="28"/>
      <c r="G71" s="26"/>
    </row>
    <row r="72" spans="1:7" s="4" customFormat="1" ht="25.5">
      <c r="A72" s="85" t="s">
        <v>738</v>
      </c>
      <c r="B72" s="58"/>
      <c r="C72" s="125" t="s">
        <v>739</v>
      </c>
      <c r="D72" s="126" t="s">
        <v>0</v>
      </c>
      <c r="E72" s="126">
        <v>2</v>
      </c>
      <c r="F72" s="28"/>
      <c r="G72" s="26"/>
    </row>
    <row r="73" spans="1:7" s="4" customFormat="1" ht="25.5">
      <c r="A73" s="85" t="s">
        <v>740</v>
      </c>
      <c r="B73" s="58"/>
      <c r="C73" s="125" t="s">
        <v>741</v>
      </c>
      <c r="D73" s="126" t="s">
        <v>0</v>
      </c>
      <c r="E73" s="126">
        <v>8</v>
      </c>
      <c r="F73" s="28"/>
      <c r="G73" s="26"/>
    </row>
    <row r="74" spans="1:7" s="4" customFormat="1" ht="25.5">
      <c r="A74" s="85" t="s">
        <v>742</v>
      </c>
      <c r="B74" s="58"/>
      <c r="C74" s="125" t="s">
        <v>743</v>
      </c>
      <c r="D74" s="126" t="s">
        <v>0</v>
      </c>
      <c r="E74" s="126">
        <v>4</v>
      </c>
      <c r="F74" s="28"/>
      <c r="G74" s="26"/>
    </row>
    <row r="75" spans="1:7" s="4" customFormat="1" ht="25.5">
      <c r="A75" s="85" t="s">
        <v>744</v>
      </c>
      <c r="B75" s="58"/>
      <c r="C75" s="125" t="s">
        <v>745</v>
      </c>
      <c r="D75" s="126" t="s">
        <v>0</v>
      </c>
      <c r="E75" s="126">
        <v>2</v>
      </c>
      <c r="F75" s="28"/>
      <c r="G75" s="26"/>
    </row>
    <row r="76" spans="1:7" s="4" customFormat="1" ht="25.5">
      <c r="A76" s="85" t="s">
        <v>746</v>
      </c>
      <c r="B76" s="58"/>
      <c r="C76" s="125" t="s">
        <v>747</v>
      </c>
      <c r="D76" s="126" t="s">
        <v>0</v>
      </c>
      <c r="E76" s="126">
        <v>8</v>
      </c>
      <c r="F76" s="28"/>
      <c r="G76" s="26"/>
    </row>
    <row r="77" spans="1:7" s="4" customFormat="1" ht="25.5">
      <c r="A77" s="85" t="s">
        <v>748</v>
      </c>
      <c r="B77" s="58"/>
      <c r="C77" s="125" t="s">
        <v>749</v>
      </c>
      <c r="D77" s="126" t="s">
        <v>0</v>
      </c>
      <c r="E77" s="126">
        <v>4</v>
      </c>
      <c r="F77" s="28"/>
      <c r="G77" s="26"/>
    </row>
    <row r="78" spans="1:7" s="4" customFormat="1" ht="25.5">
      <c r="A78" s="85" t="s">
        <v>750</v>
      </c>
      <c r="B78" s="58"/>
      <c r="C78" s="125" t="s">
        <v>751</v>
      </c>
      <c r="D78" s="126" t="s">
        <v>0</v>
      </c>
      <c r="E78" s="126">
        <v>12</v>
      </c>
      <c r="F78" s="28"/>
      <c r="G78" s="26"/>
    </row>
    <row r="79" spans="1:7" s="4" customFormat="1" ht="25.5">
      <c r="A79" s="85" t="s">
        <v>752</v>
      </c>
      <c r="B79" s="58"/>
      <c r="C79" s="125" t="s">
        <v>753</v>
      </c>
      <c r="D79" s="126" t="s">
        <v>0</v>
      </c>
      <c r="E79" s="126">
        <v>2</v>
      </c>
      <c r="F79" s="28"/>
      <c r="G79" s="26"/>
    </row>
    <row r="80" spans="1:7" s="4" customFormat="1" ht="38.25">
      <c r="A80" s="85" t="s">
        <v>754</v>
      </c>
      <c r="B80" s="58"/>
      <c r="C80" s="125" t="s">
        <v>755</v>
      </c>
      <c r="D80" s="126" t="s">
        <v>0</v>
      </c>
      <c r="E80" s="126">
        <v>15</v>
      </c>
      <c r="F80" s="28"/>
      <c r="G80" s="26"/>
    </row>
    <row r="81" spans="1:7" s="4" customFormat="1" ht="38.25">
      <c r="A81" s="85" t="s">
        <v>756</v>
      </c>
      <c r="B81" s="58"/>
      <c r="C81" s="125" t="s">
        <v>757</v>
      </c>
      <c r="D81" s="126" t="s">
        <v>0</v>
      </c>
      <c r="E81" s="126">
        <v>8</v>
      </c>
      <c r="F81" s="28"/>
      <c r="G81" s="26"/>
    </row>
    <row r="82" spans="1:7" s="4" customFormat="1" ht="25.5">
      <c r="A82" s="85" t="s">
        <v>758</v>
      </c>
      <c r="B82" s="58"/>
      <c r="C82" s="125" t="s">
        <v>759</v>
      </c>
      <c r="D82" s="126" t="s">
        <v>0</v>
      </c>
      <c r="E82" s="126">
        <v>1</v>
      </c>
      <c r="F82" s="28"/>
      <c r="G82" s="26"/>
    </row>
    <row r="83" spans="1:7" s="4" customFormat="1" ht="15">
      <c r="A83" s="85" t="s">
        <v>760</v>
      </c>
      <c r="B83" s="58"/>
      <c r="C83" s="125" t="s">
        <v>761</v>
      </c>
      <c r="D83" s="126" t="s">
        <v>0</v>
      </c>
      <c r="E83" s="126">
        <v>2</v>
      </c>
      <c r="F83" s="28"/>
      <c r="G83" s="26"/>
    </row>
    <row r="84" spans="1:7" s="4" customFormat="1" ht="25.5">
      <c r="A84" s="85" t="s">
        <v>762</v>
      </c>
      <c r="B84" s="58"/>
      <c r="C84" s="127" t="s">
        <v>763</v>
      </c>
      <c r="D84" s="42" t="s">
        <v>27</v>
      </c>
      <c r="E84" s="128">
        <v>119</v>
      </c>
      <c r="F84" s="28"/>
      <c r="G84" s="26"/>
    </row>
    <row r="85" spans="1:7" s="4" customFormat="1" ht="15">
      <c r="A85" s="129"/>
      <c r="B85" s="135"/>
      <c r="C85" s="136" t="s">
        <v>764</v>
      </c>
      <c r="D85" s="118"/>
      <c r="E85" s="137"/>
      <c r="F85" s="28"/>
      <c r="G85" s="26"/>
    </row>
    <row r="86" spans="1:7" s="4" customFormat="1">
      <c r="E86" s="253"/>
      <c r="F86" s="253"/>
      <c r="G86" s="253"/>
    </row>
    <row r="87" spans="1:7" s="4" customFormat="1"/>
    <row r="88" spans="1:7" s="4" customFormat="1">
      <c r="C88" s="245" t="s">
        <v>21</v>
      </c>
      <c r="D88" s="245"/>
      <c r="E88" s="245"/>
      <c r="F88" s="245"/>
      <c r="G88" s="245"/>
    </row>
    <row r="89" spans="1:7" s="4" customFormat="1">
      <c r="C89" s="247" t="s">
        <v>5</v>
      </c>
      <c r="D89" s="247"/>
      <c r="E89" s="247"/>
      <c r="F89" s="247"/>
      <c r="G89" s="247"/>
    </row>
    <row r="90" spans="1:7" s="4" customFormat="1">
      <c r="C90" s="27"/>
      <c r="D90" s="27"/>
      <c r="E90" s="27"/>
      <c r="F90" s="27"/>
      <c r="G90" s="27"/>
    </row>
    <row r="91" spans="1:7" s="4" customFormat="1">
      <c r="C91" s="245" t="s">
        <v>22</v>
      </c>
      <c r="D91" s="245"/>
      <c r="E91" s="245"/>
      <c r="F91" s="245"/>
      <c r="G91" s="245"/>
    </row>
    <row r="92" spans="1:7" s="4" customFormat="1">
      <c r="C92" s="247" t="s">
        <v>5</v>
      </c>
      <c r="D92" s="247"/>
      <c r="E92" s="247"/>
      <c r="F92" s="247"/>
      <c r="G92" s="247"/>
    </row>
    <row r="93" spans="1:7" s="4" customFormat="1">
      <c r="C93" s="27"/>
      <c r="D93" s="27"/>
      <c r="E93" s="27"/>
      <c r="F93" s="27"/>
      <c r="G93" s="27"/>
    </row>
    <row r="94" spans="1:7" s="4" customFormat="1">
      <c r="C94" s="50" t="s">
        <v>35</v>
      </c>
      <c r="D94" s="49"/>
      <c r="E94" s="49"/>
      <c r="F94" s="49"/>
    </row>
    <row r="95" spans="1:7" s="4" customFormat="1">
      <c r="A95" s="2"/>
      <c r="B95" s="2"/>
      <c r="C95" s="1"/>
      <c r="D95" s="1"/>
      <c r="E95" s="1"/>
      <c r="F95" s="1"/>
      <c r="G95" s="1"/>
    </row>
    <row r="96" spans="1:7" s="4" customFormat="1">
      <c r="A96" s="2"/>
      <c r="B96" s="138"/>
      <c r="C96" s="139" t="s">
        <v>16</v>
      </c>
      <c r="D96" s="1"/>
      <c r="E96" s="1"/>
      <c r="F96" s="1"/>
      <c r="G96" s="1"/>
    </row>
    <row r="97" spans="1:7" s="4" customFormat="1" ht="51">
      <c r="A97" s="2"/>
      <c r="B97" s="238" t="s">
        <v>765</v>
      </c>
      <c r="C97" s="98" t="s">
        <v>17</v>
      </c>
      <c r="D97" s="98"/>
      <c r="E97" s="98"/>
      <c r="F97" s="98"/>
      <c r="G97" s="98"/>
    </row>
    <row r="98" spans="1:7" s="4" customFormat="1" ht="38.25">
      <c r="A98" s="2"/>
      <c r="B98" s="238" t="s">
        <v>766</v>
      </c>
      <c r="C98" s="98" t="s">
        <v>767</v>
      </c>
      <c r="D98" s="98"/>
      <c r="E98" s="98"/>
      <c r="F98" s="98"/>
      <c r="G98" s="98"/>
    </row>
    <row r="99" spans="1:7" s="4" customFormat="1" ht="25.5">
      <c r="A99" s="2"/>
      <c r="B99" s="113" t="s">
        <v>768</v>
      </c>
      <c r="C99" s="141" t="s">
        <v>769</v>
      </c>
      <c r="D99" s="113"/>
      <c r="E99" s="114"/>
      <c r="F99" s="113"/>
      <c r="G99" s="114"/>
    </row>
    <row r="100" spans="1:7" s="4" customFormat="1">
      <c r="A100" s="2"/>
      <c r="B100" s="2"/>
      <c r="C100" s="1"/>
      <c r="D100" s="1"/>
      <c r="E100" s="1"/>
      <c r="F100" s="1"/>
      <c r="G100" s="1"/>
    </row>
    <row r="101" spans="1:7" s="4" customFormat="1">
      <c r="A101" s="2"/>
      <c r="B101" s="2"/>
      <c r="C101" s="23"/>
      <c r="D101" s="20"/>
      <c r="E101" s="10"/>
      <c r="F101" s="20"/>
      <c r="G101" s="10"/>
    </row>
    <row r="102" spans="1:7" s="4" customFormat="1">
      <c r="A102" s="2"/>
      <c r="B102" s="2"/>
      <c r="C102" s="7"/>
      <c r="D102" s="9"/>
      <c r="E102" s="10"/>
      <c r="F102" s="10"/>
      <c r="G102" s="10"/>
    </row>
    <row r="103" spans="1:7" s="4" customFormat="1">
      <c r="A103" s="2"/>
      <c r="B103" s="2"/>
      <c r="C103" s="24"/>
      <c r="D103" s="20"/>
      <c r="E103" s="25"/>
      <c r="F103" s="10"/>
      <c r="G103" s="10"/>
    </row>
    <row r="104" spans="1:7" s="4" customFormat="1">
      <c r="A104" s="2"/>
      <c r="B104" s="2"/>
      <c r="C104" s="22"/>
      <c r="D104" s="20"/>
      <c r="E104" s="25"/>
      <c r="F104" s="10"/>
      <c r="G104" s="10"/>
    </row>
    <row r="105" spans="1:7" s="4" customFormat="1">
      <c r="A105" s="2"/>
      <c r="B105" s="2"/>
      <c r="C105" s="8"/>
      <c r="D105" s="9"/>
      <c r="E105" s="10"/>
      <c r="F105" s="10"/>
      <c r="G105" s="10"/>
    </row>
    <row r="106" spans="1:7" s="4" customFormat="1">
      <c r="A106" s="2"/>
      <c r="B106" s="2"/>
      <c r="C106" s="12"/>
      <c r="D106" s="9"/>
      <c r="E106" s="10"/>
      <c r="F106" s="10"/>
      <c r="G106" s="10"/>
    </row>
    <row r="107" spans="1:7" s="4" customFormat="1">
      <c r="A107" s="2"/>
      <c r="B107" s="2"/>
      <c r="C107" s="2"/>
      <c r="D107" s="2"/>
      <c r="E107" s="10"/>
      <c r="F107" s="10"/>
      <c r="G107" s="10"/>
    </row>
    <row r="108" spans="1:7" s="4" customFormat="1">
      <c r="A108" s="2"/>
      <c r="B108" s="2"/>
      <c r="C108" s="2"/>
      <c r="D108" s="2"/>
      <c r="E108" s="20"/>
      <c r="F108" s="10"/>
      <c r="G108" s="10"/>
    </row>
    <row r="109" spans="1:7" s="4" customFormat="1">
      <c r="A109" s="2"/>
      <c r="B109" s="2"/>
      <c r="C109" s="2"/>
      <c r="D109" s="2"/>
      <c r="E109" s="10"/>
      <c r="F109" s="10"/>
      <c r="G109" s="10"/>
    </row>
    <row r="110" spans="1:7" s="4" customFormat="1">
      <c r="A110" s="2"/>
      <c r="B110" s="2"/>
      <c r="C110" s="2"/>
      <c r="D110" s="2"/>
      <c r="E110" s="25"/>
      <c r="F110" s="10"/>
      <c r="G110" s="10"/>
    </row>
    <row r="111" spans="1:7" s="4" customFormat="1">
      <c r="A111" s="2"/>
      <c r="B111" s="2"/>
      <c r="C111" s="2"/>
      <c r="D111" s="2"/>
      <c r="E111" s="5"/>
      <c r="F111" s="6"/>
      <c r="G111" s="5"/>
    </row>
    <row r="112" spans="1:7" s="4" customFormat="1">
      <c r="A112" s="2"/>
      <c r="B112" s="2"/>
      <c r="C112" s="2"/>
      <c r="D112" s="2"/>
      <c r="E112" s="5"/>
      <c r="F112" s="6"/>
      <c r="G112" s="5"/>
    </row>
    <row r="113" spans="1:7" s="4" customFormat="1">
      <c r="A113" s="2"/>
      <c r="B113" s="2"/>
      <c r="C113" s="2"/>
      <c r="D113" s="2"/>
      <c r="E113" s="25"/>
      <c r="F113" s="10"/>
      <c r="G113" s="10"/>
    </row>
    <row r="114" spans="1:7" s="4" customFormat="1">
      <c r="A114" s="2"/>
      <c r="B114" s="2"/>
      <c r="C114" s="2"/>
      <c r="D114" s="2"/>
      <c r="E114" s="25"/>
      <c r="F114" s="10"/>
      <c r="G114" s="10"/>
    </row>
    <row r="115" spans="1:7" s="4" customFormat="1">
      <c r="A115" s="2"/>
      <c r="B115" s="2"/>
      <c r="C115" s="2"/>
      <c r="D115" s="2"/>
      <c r="E115" s="25"/>
      <c r="F115" s="10"/>
      <c r="G115" s="10"/>
    </row>
    <row r="116" spans="1:7" s="4" customFormat="1">
      <c r="A116" s="2"/>
      <c r="B116" s="2"/>
      <c r="C116" s="8"/>
      <c r="D116" s="9"/>
      <c r="E116" s="10"/>
      <c r="F116" s="10"/>
      <c r="G116" s="10"/>
    </row>
    <row r="117" spans="1:7" s="4" customFormat="1">
      <c r="A117" s="2"/>
      <c r="B117" s="2"/>
      <c r="C117" s="12"/>
      <c r="D117" s="9"/>
      <c r="E117" s="10"/>
      <c r="F117" s="10"/>
      <c r="G117" s="10"/>
    </row>
    <row r="118" spans="1:7" s="4" customFormat="1">
      <c r="A118" s="2"/>
      <c r="B118" s="2"/>
      <c r="C118" s="12"/>
      <c r="D118" s="9"/>
      <c r="E118" s="10"/>
      <c r="F118" s="10"/>
      <c r="G118" s="10"/>
    </row>
    <row r="119" spans="1:7" s="4" customFormat="1">
      <c r="A119" s="2"/>
      <c r="B119" s="2"/>
      <c r="C119" s="8"/>
      <c r="D119" s="9"/>
      <c r="E119" s="10"/>
      <c r="F119" s="10"/>
      <c r="G119" s="10"/>
    </row>
    <row r="120" spans="1:7" s="4" customFormat="1">
      <c r="A120" s="2"/>
      <c r="B120" s="2"/>
      <c r="C120" s="12"/>
      <c r="D120" s="9"/>
      <c r="E120" s="10"/>
      <c r="F120" s="10"/>
      <c r="G120" s="10"/>
    </row>
    <row r="121" spans="1:7" s="4" customFormat="1">
      <c r="A121" s="2"/>
      <c r="B121" s="2"/>
      <c r="C121" s="12"/>
      <c r="D121" s="9"/>
      <c r="E121" s="10"/>
      <c r="F121" s="10"/>
      <c r="G121" s="10"/>
    </row>
    <row r="122" spans="1:7" s="4" customFormat="1">
      <c r="A122" s="2"/>
      <c r="B122" s="2"/>
      <c r="C122" s="32"/>
      <c r="D122" s="20"/>
      <c r="E122" s="25"/>
      <c r="F122" s="10"/>
      <c r="G122" s="10"/>
    </row>
    <row r="123" spans="1:7" s="4" customFormat="1">
      <c r="A123" s="2"/>
      <c r="B123" s="2"/>
      <c r="C123" s="24"/>
      <c r="D123" s="20"/>
      <c r="E123" s="25"/>
      <c r="F123" s="10"/>
      <c r="G123" s="10"/>
    </row>
    <row r="124" spans="1:7" s="4" customFormat="1">
      <c r="A124" s="2"/>
      <c r="B124" s="2"/>
      <c r="C124" s="22"/>
      <c r="D124" s="20"/>
      <c r="E124" s="25"/>
      <c r="F124" s="10"/>
      <c r="G124" s="10"/>
    </row>
    <row r="125" spans="1:7" s="4" customFormat="1">
      <c r="A125" s="2"/>
      <c r="B125" s="2"/>
      <c r="C125" s="8"/>
      <c r="D125" s="9"/>
      <c r="E125" s="10"/>
      <c r="F125" s="10"/>
      <c r="G125" s="10"/>
    </row>
    <row r="126" spans="1:7" s="4" customFormat="1">
      <c r="A126" s="2"/>
      <c r="B126" s="2"/>
      <c r="C126" s="12"/>
      <c r="D126" s="9"/>
      <c r="E126" s="10"/>
      <c r="F126" s="10"/>
      <c r="G126" s="10"/>
    </row>
    <row r="127" spans="1:7" s="4" customFormat="1">
      <c r="A127" s="2"/>
      <c r="B127" s="2"/>
      <c r="C127" s="12"/>
      <c r="D127" s="9"/>
      <c r="E127" s="10"/>
      <c r="F127" s="10"/>
      <c r="G127" s="10"/>
    </row>
    <row r="128" spans="1:7" s="4" customFormat="1">
      <c r="A128" s="2"/>
      <c r="B128" s="2"/>
      <c r="C128" s="33"/>
      <c r="D128" s="20"/>
      <c r="E128" s="10"/>
      <c r="F128" s="10"/>
      <c r="G128" s="10"/>
    </row>
    <row r="129" spans="1:7" s="4" customFormat="1">
      <c r="A129" s="2"/>
      <c r="B129" s="2"/>
      <c r="C129" s="23"/>
      <c r="D129" s="20"/>
      <c r="E129" s="10"/>
      <c r="F129" s="10"/>
      <c r="G129" s="10"/>
    </row>
    <row r="130" spans="1:7" s="4" customFormat="1">
      <c r="A130" s="2"/>
      <c r="B130" s="2"/>
      <c r="C130" s="23"/>
      <c r="D130" s="20"/>
      <c r="E130" s="10"/>
      <c r="F130" s="10"/>
      <c r="G130" s="10"/>
    </row>
    <row r="131" spans="1:7" s="4" customFormat="1">
      <c r="A131" s="2"/>
      <c r="B131" s="2"/>
      <c r="C131" s="8"/>
      <c r="D131" s="9"/>
      <c r="E131" s="10"/>
      <c r="F131" s="10"/>
      <c r="G131" s="10"/>
    </row>
    <row r="132" spans="1:7" s="4" customFormat="1">
      <c r="A132" s="2"/>
      <c r="B132" s="2"/>
      <c r="C132" s="12"/>
      <c r="D132" s="9"/>
      <c r="E132" s="10"/>
      <c r="F132" s="10"/>
      <c r="G132" s="10"/>
    </row>
    <row r="133" spans="1:7" s="4" customFormat="1">
      <c r="A133" s="2"/>
      <c r="B133" s="2"/>
      <c r="C133" s="8"/>
      <c r="D133" s="20"/>
      <c r="E133" s="10"/>
      <c r="F133" s="10"/>
      <c r="G133" s="10"/>
    </row>
    <row r="134" spans="1:7" s="4" customFormat="1">
      <c r="A134" s="2"/>
      <c r="B134" s="2"/>
      <c r="C134" s="12"/>
      <c r="D134" s="20"/>
      <c r="E134" s="10"/>
      <c r="F134" s="10"/>
      <c r="G134" s="10"/>
    </row>
    <row r="135" spans="1:7" s="4" customFormat="1">
      <c r="A135" s="2"/>
      <c r="B135" s="2"/>
      <c r="C135" s="34"/>
      <c r="D135" s="20"/>
      <c r="E135" s="10"/>
      <c r="F135" s="10"/>
      <c r="G135" s="10"/>
    </row>
    <row r="136" spans="1:7" s="4" customFormat="1">
      <c r="A136" s="2"/>
      <c r="B136" s="2"/>
      <c r="C136" s="23"/>
      <c r="D136" s="20"/>
      <c r="E136" s="10"/>
      <c r="F136" s="10"/>
      <c r="G136" s="10"/>
    </row>
    <row r="137" spans="1:7" s="4" customFormat="1">
      <c r="A137" s="2"/>
      <c r="B137" s="2"/>
      <c r="C137" s="23"/>
      <c r="D137" s="20"/>
      <c r="E137" s="10"/>
      <c r="F137" s="10"/>
      <c r="G137" s="10"/>
    </row>
    <row r="138" spans="1:7" s="4" customFormat="1">
      <c r="A138" s="2"/>
      <c r="B138" s="2"/>
      <c r="C138" s="23"/>
      <c r="D138" s="20"/>
      <c r="E138" s="10"/>
      <c r="F138" s="10"/>
      <c r="G138" s="10"/>
    </row>
    <row r="139" spans="1:7" s="4" customFormat="1">
      <c r="A139" s="2"/>
      <c r="B139" s="2"/>
      <c r="C139" s="34"/>
      <c r="D139" s="20"/>
      <c r="E139" s="10"/>
      <c r="F139" s="10"/>
      <c r="G139" s="10"/>
    </row>
    <row r="140" spans="1:7" s="4" customFormat="1">
      <c r="A140" s="2"/>
      <c r="B140" s="2"/>
      <c r="C140" s="23"/>
      <c r="D140" s="20"/>
      <c r="E140" s="10"/>
      <c r="F140" s="10"/>
      <c r="G140" s="10"/>
    </row>
    <row r="141" spans="1:7" s="4" customFormat="1">
      <c r="A141" s="2"/>
      <c r="B141" s="2"/>
      <c r="C141" s="23"/>
      <c r="D141" s="20"/>
      <c r="E141" s="10"/>
      <c r="F141" s="10"/>
      <c r="G141" s="10"/>
    </row>
    <row r="142" spans="1:7" s="4" customFormat="1">
      <c r="A142" s="2"/>
      <c r="B142" s="2"/>
      <c r="C142" s="34"/>
      <c r="D142" s="20"/>
      <c r="E142" s="10"/>
      <c r="F142" s="10"/>
      <c r="G142" s="10"/>
    </row>
    <row r="143" spans="1:7" s="4" customFormat="1">
      <c r="A143" s="2"/>
      <c r="B143" s="2"/>
      <c r="C143" s="23"/>
      <c r="D143" s="20"/>
      <c r="E143" s="10"/>
      <c r="F143" s="10"/>
      <c r="G143" s="10"/>
    </row>
    <row r="144" spans="1:7" s="4" customFormat="1">
      <c r="A144" s="2"/>
      <c r="B144" s="2"/>
      <c r="C144" s="23"/>
      <c r="D144" s="20"/>
      <c r="E144" s="10"/>
      <c r="F144" s="10"/>
      <c r="G144" s="10"/>
    </row>
    <row r="145" spans="1:7" s="4" customFormat="1">
      <c r="A145" s="2"/>
      <c r="B145" s="2"/>
      <c r="C145" s="32"/>
      <c r="D145" s="20"/>
      <c r="E145" s="25"/>
      <c r="F145" s="10"/>
      <c r="G145" s="10"/>
    </row>
    <row r="146" spans="1:7" s="4" customFormat="1">
      <c r="A146" s="2"/>
      <c r="B146" s="2"/>
      <c r="C146" s="21"/>
      <c r="D146" s="20"/>
      <c r="E146" s="25"/>
      <c r="F146" s="10"/>
      <c r="G146" s="10"/>
    </row>
    <row r="147" spans="1:7" s="4" customFormat="1">
      <c r="A147" s="2"/>
      <c r="B147" s="2"/>
      <c r="C147" s="22"/>
      <c r="D147" s="20"/>
      <c r="E147" s="25"/>
      <c r="F147" s="10"/>
      <c r="G147" s="10"/>
    </row>
    <row r="148" spans="1:7" s="4" customFormat="1">
      <c r="A148" s="2"/>
      <c r="B148" s="2"/>
      <c r="C148" s="33"/>
      <c r="D148" s="20"/>
      <c r="E148" s="10"/>
      <c r="F148" s="10"/>
      <c r="G148" s="10"/>
    </row>
    <row r="149" spans="1:7" s="4" customFormat="1">
      <c r="A149" s="2"/>
      <c r="B149" s="2"/>
      <c r="C149" s="23"/>
      <c r="D149" s="20"/>
      <c r="E149" s="10"/>
      <c r="F149" s="10"/>
      <c r="G149" s="10"/>
    </row>
    <row r="150" spans="1:7" s="4" customFormat="1">
      <c r="A150" s="2"/>
      <c r="B150" s="2"/>
      <c r="C150" s="23"/>
      <c r="D150" s="20"/>
      <c r="E150" s="10"/>
      <c r="F150" s="10"/>
      <c r="G150" s="10"/>
    </row>
    <row r="151" spans="1:7" s="4" customFormat="1">
      <c r="A151" s="2"/>
      <c r="B151" s="2"/>
      <c r="C151" s="34"/>
      <c r="D151" s="20"/>
      <c r="E151" s="10"/>
      <c r="F151" s="10"/>
      <c r="G151" s="10"/>
    </row>
    <row r="152" spans="1:7" s="4" customFormat="1">
      <c r="A152" s="2"/>
      <c r="B152" s="2"/>
      <c r="C152" s="23"/>
      <c r="D152" s="20"/>
      <c r="E152" s="10"/>
      <c r="F152" s="10"/>
      <c r="G152" s="10"/>
    </row>
    <row r="153" spans="1:7" s="4" customFormat="1">
      <c r="A153" s="2"/>
      <c r="B153" s="2"/>
      <c r="C153" s="23"/>
      <c r="D153" s="20"/>
      <c r="E153" s="10"/>
      <c r="F153" s="10"/>
      <c r="G153" s="10"/>
    </row>
    <row r="154" spans="1:7" s="4" customFormat="1">
      <c r="A154" s="2"/>
      <c r="B154" s="2"/>
      <c r="C154" s="23"/>
      <c r="D154" s="20"/>
      <c r="E154" s="10"/>
      <c r="F154" s="10"/>
      <c r="G154" s="10"/>
    </row>
    <row r="155" spans="1:7" s="4" customFormat="1">
      <c r="A155" s="2"/>
      <c r="B155" s="2"/>
      <c r="C155" s="34"/>
      <c r="D155" s="20"/>
      <c r="E155" s="10"/>
      <c r="F155" s="10"/>
      <c r="G155" s="10"/>
    </row>
    <row r="156" spans="1:7" s="4" customFormat="1">
      <c r="A156" s="2"/>
      <c r="B156" s="2"/>
      <c r="C156" s="23"/>
      <c r="D156" s="20"/>
      <c r="E156" s="10"/>
      <c r="F156" s="10"/>
      <c r="G156" s="10"/>
    </row>
    <row r="157" spans="1:7" s="4" customFormat="1">
      <c r="A157" s="2"/>
      <c r="B157" s="2"/>
      <c r="C157" s="23"/>
      <c r="D157" s="20"/>
      <c r="E157" s="10"/>
      <c r="F157" s="10"/>
      <c r="G157" s="10"/>
    </row>
    <row r="158" spans="1:7" s="4" customFormat="1">
      <c r="A158" s="2"/>
      <c r="B158" s="2"/>
      <c r="C158" s="34"/>
      <c r="D158" s="20"/>
      <c r="E158" s="10"/>
      <c r="F158" s="10"/>
      <c r="G158" s="10"/>
    </row>
    <row r="159" spans="1:7" s="4" customFormat="1">
      <c r="A159" s="2"/>
      <c r="B159" s="2"/>
      <c r="C159" s="23"/>
      <c r="D159" s="20"/>
      <c r="E159" s="10"/>
      <c r="F159" s="10"/>
      <c r="G159" s="10"/>
    </row>
    <row r="160" spans="1:7" s="4" customFormat="1">
      <c r="A160" s="2"/>
      <c r="B160" s="2"/>
      <c r="C160" s="23"/>
      <c r="D160" s="20"/>
      <c r="E160" s="10"/>
      <c r="F160" s="10"/>
      <c r="G160" s="10"/>
    </row>
    <row r="161" spans="1:7" s="4" customFormat="1">
      <c r="A161" s="2"/>
      <c r="B161" s="2"/>
      <c r="C161" s="7"/>
      <c r="D161" s="20"/>
      <c r="E161" s="10"/>
      <c r="F161" s="10"/>
      <c r="G161" s="10"/>
    </row>
    <row r="162" spans="1:7" s="4" customFormat="1">
      <c r="A162" s="2"/>
      <c r="B162" s="2"/>
      <c r="C162" s="21"/>
      <c r="D162" s="20"/>
      <c r="E162" s="25"/>
      <c r="F162" s="10"/>
      <c r="G162" s="10"/>
    </row>
    <row r="163" spans="1:7" s="4" customFormat="1">
      <c r="A163" s="2"/>
      <c r="B163" s="2"/>
      <c r="C163" s="22"/>
      <c r="D163" s="20"/>
      <c r="E163" s="25"/>
      <c r="F163" s="10"/>
      <c r="G163" s="10"/>
    </row>
    <row r="164" spans="1:7" s="4" customFormat="1">
      <c r="A164" s="2"/>
      <c r="B164" s="2"/>
      <c r="C164" s="33"/>
      <c r="D164" s="20"/>
      <c r="E164" s="10"/>
      <c r="F164" s="10"/>
      <c r="G164" s="10"/>
    </row>
    <row r="165" spans="1:7" s="4" customFormat="1">
      <c r="A165" s="2"/>
      <c r="B165" s="2"/>
      <c r="C165" s="23"/>
      <c r="D165" s="20"/>
      <c r="E165" s="10"/>
      <c r="F165" s="10"/>
      <c r="G165" s="10"/>
    </row>
    <row r="166" spans="1:7" s="4" customFormat="1">
      <c r="A166" s="2"/>
      <c r="B166" s="2"/>
      <c r="C166" s="23"/>
      <c r="D166" s="20"/>
      <c r="E166" s="10"/>
      <c r="F166" s="10"/>
      <c r="G166" s="10"/>
    </row>
    <row r="167" spans="1:7" s="4" customFormat="1">
      <c r="A167" s="2"/>
      <c r="B167" s="2"/>
      <c r="C167" s="8"/>
      <c r="D167" s="9"/>
      <c r="E167" s="10"/>
      <c r="F167" s="10"/>
      <c r="G167" s="10"/>
    </row>
    <row r="168" spans="1:7" s="4" customFormat="1">
      <c r="A168" s="2"/>
      <c r="B168" s="2"/>
      <c r="C168" s="22"/>
      <c r="D168" s="20"/>
      <c r="E168" s="25"/>
      <c r="F168" s="10"/>
      <c r="G168" s="10"/>
    </row>
    <row r="169" spans="1:7" s="4" customFormat="1">
      <c r="A169" s="2"/>
      <c r="B169" s="2"/>
      <c r="C169" s="22"/>
      <c r="D169" s="20"/>
      <c r="E169" s="25"/>
      <c r="F169" s="10"/>
      <c r="G169" s="10"/>
    </row>
    <row r="170" spans="1:7" s="4" customFormat="1">
      <c r="A170" s="2"/>
      <c r="B170" s="2"/>
      <c r="C170" s="22"/>
      <c r="D170" s="20"/>
      <c r="E170" s="25"/>
      <c r="F170" s="10"/>
      <c r="G170" s="10"/>
    </row>
    <row r="171" spans="1:7" s="4" customFormat="1">
      <c r="A171" s="2"/>
      <c r="B171" s="2"/>
      <c r="C171" s="22"/>
      <c r="D171" s="20"/>
      <c r="E171" s="25"/>
      <c r="F171" s="10"/>
      <c r="G171" s="10"/>
    </row>
    <row r="172" spans="1:7" s="4" customFormat="1">
      <c r="A172" s="2"/>
      <c r="B172" s="2"/>
      <c r="C172" s="21"/>
      <c r="D172" s="20"/>
      <c r="E172" s="25"/>
      <c r="F172" s="10"/>
      <c r="G172" s="10"/>
    </row>
    <row r="173" spans="1:7" s="4" customFormat="1">
      <c r="A173" s="2"/>
      <c r="B173" s="2"/>
      <c r="C173" s="22"/>
      <c r="D173" s="20"/>
      <c r="E173" s="25"/>
      <c r="F173" s="10"/>
      <c r="G173" s="10"/>
    </row>
    <row r="174" spans="1:7" s="4" customFormat="1">
      <c r="A174" s="2"/>
      <c r="B174" s="2"/>
      <c r="C174" s="22"/>
      <c r="D174" s="20"/>
      <c r="E174" s="25"/>
      <c r="F174" s="10"/>
      <c r="G174" s="10"/>
    </row>
    <row r="175" spans="1:7" s="4" customFormat="1">
      <c r="A175" s="2"/>
      <c r="B175" s="2"/>
      <c r="C175" s="22"/>
      <c r="D175" s="20"/>
      <c r="E175" s="25"/>
      <c r="F175" s="10"/>
      <c r="G175" s="10"/>
    </row>
    <row r="176" spans="1:7" s="4" customFormat="1">
      <c r="A176" s="2"/>
      <c r="B176" s="2"/>
      <c r="C176" s="22"/>
      <c r="D176" s="20"/>
      <c r="E176" s="25"/>
      <c r="F176" s="10"/>
      <c r="G176" s="10"/>
    </row>
    <row r="177" spans="1:7" s="4" customFormat="1">
      <c r="A177" s="2"/>
      <c r="B177" s="2"/>
      <c r="C177" s="7"/>
      <c r="D177" s="20"/>
      <c r="E177" s="10"/>
      <c r="F177" s="10"/>
      <c r="G177" s="10"/>
    </row>
    <row r="178" spans="1:7" s="4" customFormat="1">
      <c r="A178" s="2"/>
      <c r="B178" s="2"/>
      <c r="C178" s="21"/>
      <c r="D178" s="20"/>
      <c r="E178" s="25"/>
      <c r="F178" s="10"/>
      <c r="G178" s="10"/>
    </row>
    <row r="179" spans="1:7" s="4" customFormat="1">
      <c r="A179" s="2"/>
      <c r="B179" s="2"/>
      <c r="C179" s="22"/>
      <c r="D179" s="20"/>
      <c r="E179" s="25"/>
      <c r="F179" s="10"/>
      <c r="G179" s="10"/>
    </row>
    <row r="180" spans="1:7" s="4" customFormat="1">
      <c r="A180" s="2"/>
      <c r="B180" s="2"/>
      <c r="C180" s="33"/>
      <c r="D180" s="20"/>
      <c r="E180" s="10"/>
      <c r="F180" s="10"/>
      <c r="G180" s="10"/>
    </row>
    <row r="181" spans="1:7" s="4" customFormat="1">
      <c r="A181" s="2"/>
      <c r="B181" s="2"/>
      <c r="C181" s="23"/>
      <c r="D181" s="20"/>
      <c r="E181" s="10"/>
      <c r="F181" s="10"/>
      <c r="G181" s="10"/>
    </row>
    <row r="182" spans="1:7" s="4" customFormat="1">
      <c r="A182" s="2"/>
      <c r="B182" s="2"/>
      <c r="C182" s="23"/>
      <c r="D182" s="20"/>
      <c r="E182" s="10"/>
      <c r="F182" s="10"/>
      <c r="G182" s="10"/>
    </row>
    <row r="183" spans="1:7" s="4" customFormat="1">
      <c r="A183" s="2"/>
      <c r="B183" s="2"/>
      <c r="C183" s="8"/>
      <c r="D183" s="9"/>
      <c r="E183" s="10"/>
      <c r="F183" s="10"/>
      <c r="G183" s="10"/>
    </row>
    <row r="184" spans="1:7" s="4" customFormat="1">
      <c r="A184" s="2"/>
      <c r="B184" s="2"/>
      <c r="C184" s="22"/>
      <c r="D184" s="20"/>
      <c r="E184" s="25"/>
      <c r="F184" s="10"/>
      <c r="G184" s="10"/>
    </row>
    <row r="185" spans="1:7" s="4" customFormat="1">
      <c r="A185" s="2"/>
      <c r="B185" s="2"/>
      <c r="C185" s="22"/>
      <c r="D185" s="20"/>
      <c r="E185" s="25"/>
      <c r="F185" s="10"/>
      <c r="G185" s="10"/>
    </row>
    <row r="186" spans="1:7" s="4" customFormat="1">
      <c r="A186" s="2"/>
      <c r="B186" s="2"/>
      <c r="C186" s="22"/>
      <c r="D186" s="20"/>
      <c r="E186" s="25"/>
      <c r="F186" s="10"/>
      <c r="G186" s="10"/>
    </row>
    <row r="187" spans="1:7" s="4" customFormat="1">
      <c r="A187" s="2"/>
      <c r="B187" s="2"/>
      <c r="C187" s="21"/>
      <c r="D187" s="20"/>
      <c r="E187" s="25"/>
      <c r="F187" s="10"/>
      <c r="G187" s="10"/>
    </row>
    <row r="188" spans="1:7" s="4" customFormat="1">
      <c r="A188" s="2"/>
      <c r="B188" s="2"/>
      <c r="C188" s="22"/>
      <c r="D188" s="20"/>
      <c r="E188" s="25"/>
      <c r="F188" s="10"/>
      <c r="G188" s="10"/>
    </row>
    <row r="189" spans="1:7" s="4" customFormat="1">
      <c r="A189" s="2"/>
      <c r="B189" s="2"/>
      <c r="C189" s="22"/>
      <c r="D189" s="20"/>
      <c r="E189" s="25"/>
      <c r="F189" s="10"/>
      <c r="G189" s="10"/>
    </row>
    <row r="190" spans="1:7" s="4" customFormat="1">
      <c r="A190" s="2"/>
      <c r="B190" s="2"/>
      <c r="C190" s="22"/>
      <c r="D190" s="20"/>
      <c r="E190" s="25"/>
      <c r="F190" s="10"/>
      <c r="G190" s="10"/>
    </row>
    <row r="191" spans="1:7" s="4" customFormat="1">
      <c r="A191" s="2"/>
      <c r="B191" s="2"/>
      <c r="C191" s="35"/>
      <c r="D191" s="20"/>
      <c r="E191" s="10"/>
      <c r="F191" s="10"/>
      <c r="G191" s="10"/>
    </row>
    <row r="192" spans="1:7" s="4" customFormat="1">
      <c r="A192" s="2"/>
      <c r="B192" s="2"/>
      <c r="C192" s="21"/>
      <c r="D192" s="20"/>
      <c r="E192" s="25"/>
      <c r="F192" s="10"/>
      <c r="G192" s="10"/>
    </row>
    <row r="193" spans="1:7" s="4" customFormat="1">
      <c r="A193" s="2"/>
      <c r="B193" s="2"/>
      <c r="C193" s="22"/>
      <c r="D193" s="20"/>
      <c r="E193" s="25"/>
      <c r="F193" s="10"/>
      <c r="G193" s="10"/>
    </row>
    <row r="194" spans="1:7" s="4" customFormat="1">
      <c r="A194" s="2"/>
      <c r="B194" s="2"/>
      <c r="C194" s="33"/>
      <c r="D194" s="20"/>
      <c r="E194" s="10"/>
      <c r="F194" s="10"/>
      <c r="G194" s="10"/>
    </row>
    <row r="195" spans="1:7" s="4" customFormat="1">
      <c r="A195" s="2"/>
      <c r="B195" s="2"/>
      <c r="C195" s="23"/>
      <c r="D195" s="20"/>
      <c r="E195" s="10"/>
      <c r="F195" s="10"/>
      <c r="G195" s="10"/>
    </row>
    <row r="196" spans="1:7" s="4" customFormat="1">
      <c r="A196" s="2"/>
      <c r="B196" s="2"/>
      <c r="C196" s="23"/>
      <c r="D196" s="20"/>
      <c r="E196" s="10"/>
      <c r="F196" s="10"/>
      <c r="G196" s="10"/>
    </row>
    <row r="197" spans="1:7" s="4" customFormat="1">
      <c r="A197" s="2"/>
      <c r="B197" s="2"/>
      <c r="C197" s="34"/>
      <c r="D197" s="20"/>
      <c r="E197" s="10"/>
      <c r="F197" s="10"/>
      <c r="G197" s="10"/>
    </row>
    <row r="198" spans="1:7" s="4" customFormat="1">
      <c r="A198" s="2"/>
      <c r="B198" s="2"/>
      <c r="C198" s="23"/>
      <c r="D198" s="20"/>
      <c r="E198" s="10"/>
      <c r="F198" s="10"/>
      <c r="G198" s="10"/>
    </row>
    <row r="199" spans="1:7" s="4" customFormat="1">
      <c r="A199" s="2"/>
      <c r="B199" s="2"/>
      <c r="C199" s="23"/>
      <c r="D199" s="20"/>
      <c r="E199" s="10"/>
      <c r="F199" s="10"/>
      <c r="G199" s="10"/>
    </row>
    <row r="200" spans="1:7" s="4" customFormat="1">
      <c r="A200" s="2"/>
      <c r="B200" s="2"/>
      <c r="C200" s="34"/>
      <c r="D200" s="20"/>
      <c r="E200" s="10"/>
      <c r="F200" s="10"/>
      <c r="G200" s="10"/>
    </row>
    <row r="201" spans="1:7" s="4" customFormat="1">
      <c r="A201" s="2"/>
      <c r="B201" s="2"/>
      <c r="C201" s="23"/>
      <c r="D201" s="20"/>
      <c r="E201" s="10"/>
      <c r="F201" s="10"/>
      <c r="G201" s="10"/>
    </row>
    <row r="202" spans="1:7" s="4" customFormat="1">
      <c r="A202" s="2"/>
      <c r="B202" s="2"/>
      <c r="C202" s="23"/>
      <c r="D202" s="20"/>
      <c r="E202" s="10"/>
      <c r="F202" s="10"/>
      <c r="G202" s="10"/>
    </row>
    <row r="203" spans="1:7" s="4" customFormat="1">
      <c r="A203" s="2"/>
      <c r="B203" s="2"/>
      <c r="C203" s="7"/>
      <c r="D203" s="20"/>
      <c r="E203" s="10"/>
      <c r="F203" s="10"/>
      <c r="G203" s="10"/>
    </row>
    <row r="204" spans="1:7" s="4" customFormat="1">
      <c r="A204" s="2"/>
      <c r="B204" s="2"/>
      <c r="C204" s="7"/>
      <c r="D204" s="20"/>
      <c r="E204" s="10"/>
      <c r="F204" s="10"/>
      <c r="G204" s="10"/>
    </row>
    <row r="205" spans="1:7" s="4" customFormat="1">
      <c r="A205" s="2"/>
      <c r="B205" s="2"/>
      <c r="C205" s="21"/>
      <c r="D205" s="20"/>
      <c r="E205" s="25"/>
      <c r="F205" s="10"/>
      <c r="G205" s="10"/>
    </row>
    <row r="206" spans="1:7" s="4" customFormat="1">
      <c r="A206" s="2"/>
      <c r="B206" s="2"/>
      <c r="C206" s="22"/>
      <c r="D206" s="20"/>
      <c r="E206" s="25"/>
      <c r="F206" s="10"/>
      <c r="G206" s="10"/>
    </row>
    <row r="207" spans="1:7" s="4" customFormat="1">
      <c r="A207" s="2"/>
      <c r="B207" s="2"/>
      <c r="C207" s="33"/>
      <c r="D207" s="20"/>
      <c r="E207" s="10"/>
      <c r="F207" s="10"/>
      <c r="G207" s="10"/>
    </row>
    <row r="208" spans="1:7" s="4" customFormat="1">
      <c r="A208" s="2"/>
      <c r="B208" s="2"/>
      <c r="C208" s="23"/>
      <c r="D208" s="20"/>
      <c r="E208" s="10"/>
      <c r="F208" s="10"/>
      <c r="G208" s="10"/>
    </row>
    <row r="209" spans="1:7" s="4" customFormat="1">
      <c r="A209" s="2"/>
      <c r="B209" s="2"/>
      <c r="C209" s="23"/>
      <c r="D209" s="20"/>
      <c r="E209" s="10"/>
      <c r="F209" s="10"/>
      <c r="G209" s="10"/>
    </row>
    <row r="210" spans="1:7" s="4" customFormat="1">
      <c r="A210" s="2"/>
      <c r="B210" s="2"/>
      <c r="C210" s="8"/>
      <c r="D210" s="9"/>
      <c r="E210" s="10"/>
      <c r="F210" s="10"/>
      <c r="G210" s="10"/>
    </row>
    <row r="211" spans="1:7" s="4" customFormat="1">
      <c r="A211" s="2"/>
      <c r="B211" s="2"/>
      <c r="C211" s="22"/>
      <c r="D211" s="20"/>
      <c r="E211" s="25"/>
      <c r="F211" s="10"/>
      <c r="G211" s="10"/>
    </row>
    <row r="212" spans="1:7" s="4" customFormat="1">
      <c r="A212" s="2"/>
      <c r="B212" s="2"/>
      <c r="C212" s="22"/>
      <c r="D212" s="20"/>
      <c r="E212" s="25"/>
      <c r="F212" s="10"/>
      <c r="G212" s="10"/>
    </row>
    <row r="213" spans="1:7" s="4" customFormat="1">
      <c r="A213" s="2"/>
      <c r="B213" s="2"/>
      <c r="C213" s="22"/>
      <c r="D213" s="20"/>
      <c r="E213" s="25"/>
      <c r="F213" s="10"/>
      <c r="G213" s="10"/>
    </row>
    <row r="214" spans="1:7" s="4" customFormat="1">
      <c r="A214" s="2"/>
      <c r="B214" s="2"/>
      <c r="C214" s="21"/>
      <c r="D214" s="20"/>
      <c r="E214" s="25"/>
      <c r="F214" s="10"/>
      <c r="G214" s="10"/>
    </row>
    <row r="215" spans="1:7" s="4" customFormat="1">
      <c r="A215" s="2"/>
      <c r="B215" s="2"/>
      <c r="C215" s="22"/>
      <c r="D215" s="20"/>
      <c r="E215" s="25"/>
      <c r="F215" s="10"/>
      <c r="G215" s="10"/>
    </row>
    <row r="216" spans="1:7" s="4" customFormat="1">
      <c r="A216" s="2"/>
      <c r="B216" s="2"/>
      <c r="C216" s="22"/>
      <c r="D216" s="20"/>
      <c r="E216" s="25"/>
      <c r="F216" s="10"/>
      <c r="G216" s="10"/>
    </row>
    <row r="217" spans="1:7" s="4" customFormat="1">
      <c r="A217" s="2"/>
      <c r="B217" s="2"/>
      <c r="C217" s="22"/>
      <c r="D217" s="20"/>
      <c r="E217" s="25"/>
      <c r="F217" s="10"/>
      <c r="G217" s="10"/>
    </row>
    <row r="218" spans="1:7" s="4" customFormat="1">
      <c r="A218" s="2"/>
      <c r="B218" s="2"/>
      <c r="C218" s="35"/>
      <c r="D218" s="20"/>
      <c r="E218" s="10"/>
      <c r="F218" s="10"/>
      <c r="G218" s="10"/>
    </row>
    <row r="219" spans="1:7" s="4" customFormat="1">
      <c r="A219" s="2"/>
      <c r="B219" s="2"/>
      <c r="C219" s="21"/>
      <c r="D219" s="20"/>
      <c r="E219" s="25"/>
      <c r="F219" s="10"/>
      <c r="G219" s="10"/>
    </row>
    <row r="220" spans="1:7" s="4" customFormat="1">
      <c r="A220" s="2"/>
      <c r="B220" s="2"/>
      <c r="C220" s="22"/>
      <c r="D220" s="20"/>
      <c r="E220" s="25"/>
      <c r="F220" s="10"/>
      <c r="G220" s="10"/>
    </row>
    <row r="221" spans="1:7" s="4" customFormat="1">
      <c r="A221" s="2"/>
      <c r="B221" s="2"/>
      <c r="C221" s="33"/>
      <c r="D221" s="20"/>
      <c r="E221" s="10"/>
      <c r="F221" s="10"/>
      <c r="G221" s="10"/>
    </row>
    <row r="222" spans="1:7" s="4" customFormat="1">
      <c r="A222" s="2"/>
      <c r="B222" s="2"/>
      <c r="C222" s="23"/>
      <c r="D222" s="20"/>
      <c r="E222" s="10"/>
      <c r="F222" s="10"/>
      <c r="G222" s="10"/>
    </row>
    <row r="223" spans="1:7" s="4" customFormat="1">
      <c r="A223" s="2"/>
      <c r="B223" s="2"/>
      <c r="C223" s="23"/>
      <c r="D223" s="20"/>
      <c r="E223" s="10"/>
      <c r="F223" s="10"/>
      <c r="G223" s="10"/>
    </row>
    <row r="224" spans="1:7" s="4" customFormat="1">
      <c r="A224" s="2"/>
      <c r="B224" s="2"/>
      <c r="C224" s="34"/>
      <c r="D224" s="20"/>
      <c r="E224" s="10"/>
      <c r="F224" s="10"/>
      <c r="G224" s="10"/>
    </row>
    <row r="225" spans="1:7" s="4" customFormat="1">
      <c r="A225" s="2"/>
      <c r="B225" s="2"/>
      <c r="C225" s="23"/>
      <c r="D225" s="20"/>
      <c r="E225" s="10"/>
      <c r="F225" s="10"/>
      <c r="G225" s="10"/>
    </row>
    <row r="226" spans="1:7" s="4" customFormat="1">
      <c r="A226" s="2"/>
      <c r="B226" s="2"/>
      <c r="C226" s="23"/>
      <c r="D226" s="20"/>
      <c r="E226" s="10"/>
      <c r="F226" s="10"/>
      <c r="G226" s="10"/>
    </row>
    <row r="227" spans="1:7" s="4" customFormat="1">
      <c r="A227" s="2"/>
      <c r="B227" s="2"/>
      <c r="C227" s="34"/>
      <c r="D227" s="20"/>
      <c r="E227" s="10"/>
      <c r="F227" s="10"/>
      <c r="G227" s="10"/>
    </row>
    <row r="228" spans="1:7" s="4" customFormat="1">
      <c r="A228" s="2"/>
      <c r="B228" s="2"/>
      <c r="C228" s="23"/>
      <c r="D228" s="20"/>
      <c r="E228" s="10"/>
      <c r="F228" s="10"/>
      <c r="G228" s="10"/>
    </row>
    <row r="229" spans="1:7" s="4" customFormat="1">
      <c r="A229" s="2"/>
      <c r="B229" s="2"/>
      <c r="C229" s="23"/>
      <c r="D229" s="20"/>
      <c r="E229" s="10"/>
      <c r="F229" s="10"/>
      <c r="G229" s="10"/>
    </row>
    <row r="230" spans="1:7" s="4" customFormat="1">
      <c r="A230" s="2"/>
      <c r="B230" s="2"/>
      <c r="C230" s="7"/>
      <c r="D230" s="20"/>
      <c r="E230" s="10"/>
      <c r="F230" s="10"/>
      <c r="G230" s="10"/>
    </row>
    <row r="231" spans="1:7" s="4" customFormat="1">
      <c r="A231" s="2"/>
      <c r="B231" s="2"/>
      <c r="C231" s="21"/>
      <c r="D231" s="20"/>
      <c r="E231" s="25"/>
      <c r="F231" s="10"/>
      <c r="G231" s="10"/>
    </row>
    <row r="232" spans="1:7" s="4" customFormat="1">
      <c r="A232" s="2"/>
      <c r="B232" s="2"/>
      <c r="C232" s="22"/>
      <c r="D232" s="20"/>
      <c r="E232" s="25"/>
      <c r="F232" s="10"/>
      <c r="G232" s="10"/>
    </row>
    <row r="233" spans="1:7" s="4" customFormat="1">
      <c r="A233" s="2"/>
      <c r="B233" s="2"/>
      <c r="C233" s="33"/>
      <c r="D233" s="20"/>
      <c r="E233" s="10"/>
      <c r="F233" s="10"/>
      <c r="G233" s="10"/>
    </row>
    <row r="234" spans="1:7" s="4" customFormat="1">
      <c r="A234" s="2"/>
      <c r="B234" s="2"/>
      <c r="C234" s="23"/>
      <c r="D234" s="20"/>
      <c r="E234" s="10"/>
      <c r="F234" s="10"/>
      <c r="G234" s="10"/>
    </row>
    <row r="235" spans="1:7" s="4" customFormat="1">
      <c r="A235" s="2"/>
      <c r="B235" s="2"/>
      <c r="C235" s="23"/>
      <c r="D235" s="20"/>
      <c r="E235" s="10"/>
      <c r="F235" s="10"/>
      <c r="G235" s="10"/>
    </row>
    <row r="236" spans="1:7" s="4" customFormat="1">
      <c r="A236" s="2"/>
      <c r="B236" s="2"/>
      <c r="C236" s="21"/>
      <c r="D236" s="20"/>
      <c r="E236" s="25"/>
      <c r="F236" s="10"/>
      <c r="G236" s="10"/>
    </row>
    <row r="237" spans="1:7" s="4" customFormat="1">
      <c r="A237" s="2"/>
      <c r="B237" s="2"/>
      <c r="C237" s="22"/>
      <c r="D237" s="20"/>
      <c r="E237" s="25"/>
      <c r="F237" s="10"/>
      <c r="G237" s="10"/>
    </row>
    <row r="238" spans="1:7" s="4" customFormat="1">
      <c r="A238" s="2"/>
      <c r="B238" s="2"/>
      <c r="C238" s="22"/>
      <c r="D238" s="20"/>
      <c r="E238" s="25"/>
      <c r="F238" s="10"/>
      <c r="G238" s="10"/>
    </row>
    <row r="239" spans="1:7" s="4" customFormat="1">
      <c r="A239" s="2"/>
      <c r="B239" s="2"/>
      <c r="C239" s="22"/>
      <c r="D239" s="20"/>
      <c r="E239" s="25"/>
      <c r="F239" s="10"/>
      <c r="G239" s="10"/>
    </row>
    <row r="240" spans="1:7" s="4" customFormat="1">
      <c r="A240" s="2"/>
      <c r="B240" s="2"/>
      <c r="C240" s="34"/>
      <c r="D240" s="20"/>
      <c r="E240" s="10"/>
      <c r="F240" s="10"/>
      <c r="G240" s="10"/>
    </row>
    <row r="241" spans="1:7" s="4" customFormat="1">
      <c r="A241" s="2"/>
      <c r="B241" s="2"/>
      <c r="C241" s="23"/>
      <c r="D241" s="20"/>
      <c r="E241" s="10"/>
      <c r="F241" s="10"/>
      <c r="G241" s="10"/>
    </row>
    <row r="242" spans="1:7" s="4" customFormat="1">
      <c r="A242" s="2"/>
      <c r="B242" s="2"/>
      <c r="C242" s="23"/>
      <c r="D242" s="20"/>
      <c r="E242" s="10"/>
      <c r="F242" s="10"/>
      <c r="G242" s="10"/>
    </row>
    <row r="243" spans="1:7" s="4" customFormat="1">
      <c r="A243" s="2"/>
      <c r="B243" s="2"/>
      <c r="C243" s="7"/>
      <c r="D243" s="9"/>
      <c r="E243" s="10"/>
      <c r="F243" s="10"/>
      <c r="G243" s="10"/>
    </row>
    <row r="244" spans="1:7" s="4" customFormat="1">
      <c r="A244" s="2"/>
      <c r="B244" s="2"/>
      <c r="C244" s="7"/>
      <c r="D244" s="9"/>
      <c r="E244" s="10"/>
      <c r="F244" s="10"/>
      <c r="G244" s="10"/>
    </row>
    <row r="245" spans="1:7" s="4" customFormat="1">
      <c r="A245" s="2"/>
      <c r="B245" s="2"/>
      <c r="C245" s="8"/>
      <c r="D245" s="9"/>
      <c r="E245" s="10"/>
      <c r="F245" s="10"/>
      <c r="G245" s="10"/>
    </row>
    <row r="246" spans="1:7" s="4" customFormat="1">
      <c r="A246" s="2"/>
      <c r="B246" s="2"/>
      <c r="C246" s="12"/>
      <c r="D246" s="9"/>
      <c r="E246" s="10"/>
      <c r="F246" s="10"/>
      <c r="G246" s="10"/>
    </row>
    <row r="247" spans="1:7" s="4" customFormat="1">
      <c r="A247" s="2"/>
      <c r="B247" s="2"/>
      <c r="C247" s="8"/>
      <c r="D247" s="9"/>
      <c r="E247" s="10"/>
      <c r="F247" s="10"/>
      <c r="G247" s="10"/>
    </row>
    <row r="248" spans="1:7" s="4" customFormat="1">
      <c r="A248" s="2"/>
      <c r="B248" s="2"/>
      <c r="C248" s="23"/>
      <c r="D248" s="20"/>
      <c r="E248" s="10"/>
      <c r="F248" s="20"/>
      <c r="G248" s="10"/>
    </row>
    <row r="249" spans="1:7">
      <c r="C249" s="23"/>
      <c r="D249" s="20"/>
      <c r="E249" s="10"/>
      <c r="F249" s="20"/>
      <c r="G249" s="10"/>
    </row>
    <row r="250" spans="1:7">
      <c r="C250" s="23"/>
      <c r="D250" s="20"/>
      <c r="E250" s="10"/>
      <c r="F250" s="20"/>
      <c r="G250" s="10"/>
    </row>
    <row r="251" spans="1:7">
      <c r="C251" s="18"/>
      <c r="D251" s="9"/>
      <c r="E251" s="14"/>
      <c r="F251" s="5"/>
      <c r="G251" s="5"/>
    </row>
    <row r="252" spans="1:7">
      <c r="C252" s="23"/>
      <c r="D252" s="20"/>
      <c r="E252" s="10"/>
      <c r="F252" s="20"/>
      <c r="G252" s="10"/>
    </row>
    <row r="253" spans="1:7">
      <c r="C253" s="21"/>
      <c r="D253" s="20"/>
      <c r="E253" s="25"/>
      <c r="F253" s="10"/>
      <c r="G253" s="10"/>
    </row>
    <row r="254" spans="1:7">
      <c r="C254" s="22"/>
      <c r="D254" s="20"/>
      <c r="E254" s="25"/>
      <c r="F254" s="10"/>
      <c r="G254" s="10"/>
    </row>
    <row r="255" spans="1:7">
      <c r="C255" s="22"/>
      <c r="D255" s="20"/>
      <c r="E255" s="25"/>
      <c r="F255" s="10"/>
      <c r="G255" s="10"/>
    </row>
    <row r="256" spans="1:7">
      <c r="C256" s="22"/>
      <c r="D256" s="20"/>
      <c r="E256" s="25"/>
      <c r="F256" s="10"/>
      <c r="G256" s="10"/>
    </row>
    <row r="257" spans="3:7">
      <c r="C257" s="21"/>
      <c r="D257" s="20"/>
      <c r="E257" s="25"/>
      <c r="F257" s="10"/>
      <c r="G257" s="10"/>
    </row>
    <row r="258" spans="3:7">
      <c r="C258" s="22"/>
      <c r="D258" s="20"/>
      <c r="E258" s="25"/>
      <c r="F258" s="10"/>
      <c r="G258" s="10"/>
    </row>
    <row r="259" spans="3:7" ht="36.75" customHeight="1">
      <c r="C259" s="22"/>
      <c r="D259" s="20"/>
      <c r="E259" s="25"/>
      <c r="F259" s="10"/>
      <c r="G259" s="10"/>
    </row>
    <row r="260" spans="3:7" ht="36.75" customHeight="1">
      <c r="C260" s="36"/>
      <c r="D260" s="20"/>
      <c r="E260" s="25"/>
      <c r="F260" s="10"/>
      <c r="G260" s="10"/>
    </row>
    <row r="261" spans="3:7">
      <c r="C261" s="22"/>
      <c r="D261" s="20"/>
      <c r="E261" s="25"/>
      <c r="F261" s="10"/>
      <c r="G261" s="10"/>
    </row>
    <row r="262" spans="3:7">
      <c r="C262" s="36"/>
      <c r="D262" s="20"/>
      <c r="E262" s="25"/>
      <c r="F262" s="10"/>
      <c r="G262" s="10"/>
    </row>
    <row r="263" spans="3:7">
      <c r="C263" s="22"/>
      <c r="D263" s="20"/>
      <c r="E263" s="25"/>
      <c r="F263" s="10"/>
      <c r="G263" s="10"/>
    </row>
    <row r="264" spans="3:7">
      <c r="C264" s="22"/>
      <c r="D264" s="20"/>
      <c r="E264" s="25"/>
      <c r="F264" s="10"/>
      <c r="G264" s="10"/>
    </row>
    <row r="265" spans="3:7">
      <c r="C265" s="21"/>
      <c r="D265" s="20"/>
      <c r="E265" s="25"/>
      <c r="F265" s="10"/>
      <c r="G265" s="10"/>
    </row>
    <row r="266" spans="3:7">
      <c r="C266" s="23"/>
      <c r="D266" s="20"/>
      <c r="E266" s="10"/>
      <c r="F266" s="10"/>
      <c r="G266" s="10"/>
    </row>
    <row r="267" spans="3:7">
      <c r="C267" s="23"/>
      <c r="D267" s="20"/>
      <c r="E267" s="10"/>
      <c r="F267" s="10"/>
      <c r="G267" s="10"/>
    </row>
    <row r="268" spans="3:7">
      <c r="C268" s="34"/>
      <c r="D268" s="20"/>
      <c r="E268" s="10"/>
      <c r="F268" s="10"/>
      <c r="G268" s="10"/>
    </row>
    <row r="269" spans="3:7">
      <c r="C269" s="22"/>
      <c r="D269" s="20"/>
      <c r="E269" s="25"/>
      <c r="F269" s="10"/>
      <c r="G269" s="10"/>
    </row>
    <row r="270" spans="3:7">
      <c r="C270" s="22"/>
      <c r="D270" s="20"/>
      <c r="E270" s="25"/>
      <c r="F270" s="10"/>
      <c r="G270" s="10"/>
    </row>
    <row r="271" spans="3:7">
      <c r="C271" s="21"/>
      <c r="D271" s="20"/>
      <c r="E271" s="25"/>
      <c r="F271" s="10"/>
      <c r="G271" s="10"/>
    </row>
    <row r="272" spans="3:7">
      <c r="C272" s="22"/>
      <c r="D272" s="20"/>
      <c r="E272" s="25"/>
      <c r="F272" s="10"/>
      <c r="G272" s="10"/>
    </row>
    <row r="273" spans="3:7">
      <c r="C273" s="22"/>
      <c r="D273" s="20"/>
      <c r="E273" s="25"/>
      <c r="F273" s="10"/>
      <c r="G273" s="10"/>
    </row>
    <row r="274" spans="3:7">
      <c r="C274" s="7"/>
      <c r="D274" s="9"/>
      <c r="E274" s="10"/>
      <c r="F274" s="10"/>
      <c r="G274" s="10"/>
    </row>
    <row r="275" spans="3:7">
      <c r="C275" s="8"/>
      <c r="D275" s="9"/>
      <c r="E275" s="10"/>
      <c r="F275" s="10"/>
      <c r="G275" s="10"/>
    </row>
    <row r="276" spans="3:7">
      <c r="C276" s="23"/>
      <c r="D276" s="20"/>
      <c r="E276" s="10"/>
      <c r="F276" s="20"/>
      <c r="G276" s="10"/>
    </row>
    <row r="277" spans="3:7">
      <c r="C277" s="23"/>
      <c r="D277" s="20"/>
      <c r="E277" s="10"/>
      <c r="F277" s="20"/>
      <c r="G277" s="10"/>
    </row>
    <row r="278" spans="3:7">
      <c r="C278" s="23"/>
      <c r="D278" s="20"/>
      <c r="E278" s="10"/>
      <c r="F278" s="20"/>
      <c r="G278" s="10"/>
    </row>
    <row r="279" spans="3:7">
      <c r="C279" s="23"/>
      <c r="D279" s="20"/>
      <c r="E279" s="10"/>
      <c r="F279" s="20"/>
      <c r="G279" s="10"/>
    </row>
    <row r="280" spans="3:7">
      <c r="C280" s="18"/>
      <c r="D280" s="9"/>
      <c r="E280" s="14"/>
      <c r="F280" s="5"/>
      <c r="G280" s="5"/>
    </row>
    <row r="281" spans="3:7">
      <c r="C281" s="23"/>
      <c r="D281" s="20"/>
      <c r="E281" s="10"/>
      <c r="F281" s="20"/>
      <c r="G281" s="10"/>
    </row>
    <row r="282" spans="3:7">
      <c r="C282" s="21"/>
      <c r="D282" s="20"/>
      <c r="E282" s="25"/>
      <c r="F282" s="10"/>
      <c r="G282" s="10"/>
    </row>
    <row r="283" spans="3:7">
      <c r="C283" s="22"/>
      <c r="D283" s="20"/>
      <c r="E283" s="25"/>
      <c r="F283" s="10"/>
      <c r="G283" s="10"/>
    </row>
    <row r="284" spans="3:7">
      <c r="C284" s="22"/>
      <c r="D284" s="20"/>
      <c r="E284" s="25"/>
      <c r="F284" s="10"/>
      <c r="G284" s="10"/>
    </row>
    <row r="285" spans="3:7">
      <c r="C285" s="22"/>
      <c r="D285" s="20"/>
      <c r="E285" s="25"/>
      <c r="F285" s="10"/>
      <c r="G285" s="10"/>
    </row>
    <row r="286" spans="3:7">
      <c r="C286" s="21"/>
      <c r="D286" s="20"/>
      <c r="E286" s="25"/>
      <c r="F286" s="10"/>
      <c r="G286" s="10"/>
    </row>
    <row r="287" spans="3:7">
      <c r="C287" s="22"/>
      <c r="D287" s="20"/>
      <c r="E287" s="25"/>
      <c r="F287" s="10"/>
      <c r="G287" s="10"/>
    </row>
    <row r="288" spans="3:7">
      <c r="C288" s="22"/>
      <c r="D288" s="20"/>
      <c r="E288" s="25"/>
      <c r="F288" s="10"/>
      <c r="G288" s="10"/>
    </row>
    <row r="289" spans="3:7">
      <c r="C289" s="8"/>
      <c r="D289" s="9"/>
      <c r="E289" s="10"/>
      <c r="F289" s="10"/>
      <c r="G289" s="10"/>
    </row>
    <row r="290" spans="3:7">
      <c r="C290" s="12"/>
      <c r="D290" s="9"/>
      <c r="E290" s="10"/>
      <c r="F290" s="10"/>
      <c r="G290" s="10"/>
    </row>
    <row r="291" spans="3:7">
      <c r="C291" s="7"/>
      <c r="D291" s="9"/>
      <c r="E291" s="10"/>
      <c r="F291" s="10"/>
      <c r="G291" s="10"/>
    </row>
    <row r="292" spans="3:7">
      <c r="C292" s="8"/>
      <c r="D292" s="9"/>
      <c r="E292" s="6"/>
      <c r="F292" s="6"/>
      <c r="G292" s="6"/>
    </row>
    <row r="293" spans="3:7">
      <c r="C293" s="7"/>
      <c r="D293" s="9"/>
      <c r="E293" s="10"/>
      <c r="F293" s="10"/>
      <c r="G293" s="10"/>
    </row>
    <row r="294" spans="3:7">
      <c r="C294" s="19"/>
      <c r="D294" s="9"/>
      <c r="E294" s="10"/>
      <c r="F294" s="10"/>
      <c r="G294" s="10"/>
    </row>
    <row r="295" spans="3:7">
      <c r="C295" s="12"/>
      <c r="D295" s="9"/>
      <c r="E295" s="10"/>
      <c r="F295" s="10"/>
      <c r="G295" s="10"/>
    </row>
    <row r="296" spans="3:7">
      <c r="C296" s="12"/>
      <c r="D296" s="9"/>
      <c r="E296" s="10"/>
      <c r="F296" s="10"/>
      <c r="G296" s="10"/>
    </row>
    <row r="297" spans="3:7">
      <c r="C297" s="12"/>
      <c r="D297" s="9"/>
      <c r="E297" s="10"/>
      <c r="F297" s="10"/>
      <c r="G297" s="10"/>
    </row>
    <row r="298" spans="3:7">
      <c r="C298" s="12"/>
      <c r="D298" s="9"/>
      <c r="E298" s="10"/>
      <c r="F298" s="10"/>
      <c r="G298" s="10"/>
    </row>
    <row r="299" spans="3:7">
      <c r="C299" s="12"/>
      <c r="D299" s="9"/>
      <c r="E299" s="10"/>
      <c r="F299" s="10"/>
      <c r="G299" s="10"/>
    </row>
    <row r="300" spans="3:7">
      <c r="C300" s="12"/>
      <c r="D300" s="9"/>
      <c r="E300" s="10"/>
      <c r="F300" s="10"/>
      <c r="G300" s="10"/>
    </row>
    <row r="301" spans="3:7">
      <c r="C301" s="12"/>
      <c r="D301" s="9"/>
      <c r="E301" s="10"/>
      <c r="F301" s="10"/>
      <c r="G301" s="10"/>
    </row>
    <row r="302" spans="3:7">
      <c r="C302" s="12"/>
      <c r="D302" s="9"/>
      <c r="E302" s="10"/>
      <c r="F302" s="10"/>
      <c r="G302" s="10"/>
    </row>
    <row r="303" spans="3:7">
      <c r="C303" s="12"/>
      <c r="D303" s="9"/>
      <c r="E303" s="10"/>
      <c r="F303" s="10"/>
      <c r="G303" s="10"/>
    </row>
    <row r="304" spans="3:7">
      <c r="C304" s="12"/>
      <c r="D304" s="9"/>
      <c r="E304" s="10"/>
      <c r="F304" s="10"/>
      <c r="G304" s="10"/>
    </row>
    <row r="305" spans="3:7">
      <c r="C305" s="12"/>
      <c r="D305" s="9"/>
      <c r="E305" s="10"/>
      <c r="F305" s="10"/>
      <c r="G305" s="10"/>
    </row>
    <row r="306" spans="3:7">
      <c r="C306" s="12"/>
      <c r="D306" s="9"/>
      <c r="E306" s="14"/>
      <c r="F306" s="5"/>
      <c r="G306" s="5"/>
    </row>
    <row r="307" spans="3:7">
      <c r="C307" s="19"/>
      <c r="D307" s="9"/>
      <c r="E307" s="10"/>
      <c r="F307" s="10"/>
      <c r="G307" s="10"/>
    </row>
    <row r="308" spans="3:7">
      <c r="C308" s="12"/>
      <c r="D308" s="9"/>
      <c r="E308" s="10"/>
      <c r="F308" s="10"/>
      <c r="G308" s="10"/>
    </row>
    <row r="309" spans="3:7">
      <c r="C309" s="12"/>
      <c r="D309" s="9"/>
      <c r="E309" s="10"/>
      <c r="F309" s="10"/>
      <c r="G309" s="10"/>
    </row>
    <row r="310" spans="3:7">
      <c r="C310" s="12"/>
      <c r="D310" s="9"/>
      <c r="E310" s="10"/>
      <c r="F310" s="10"/>
      <c r="G310" s="10"/>
    </row>
    <row r="311" spans="3:7">
      <c r="C311" s="12"/>
      <c r="D311" s="9"/>
      <c r="E311" s="10"/>
      <c r="F311" s="10"/>
      <c r="G311" s="10"/>
    </row>
    <row r="312" spans="3:7">
      <c r="C312" s="12"/>
      <c r="D312" s="9"/>
      <c r="E312" s="10"/>
      <c r="F312" s="10"/>
      <c r="G312" s="10"/>
    </row>
    <row r="313" spans="3:7">
      <c r="C313" s="12"/>
      <c r="D313" s="9"/>
      <c r="E313" s="10"/>
      <c r="F313" s="10"/>
      <c r="G313" s="10"/>
    </row>
    <row r="314" spans="3:7">
      <c r="C314" s="12"/>
      <c r="D314" s="9"/>
      <c r="E314" s="10"/>
      <c r="F314" s="10"/>
      <c r="G314" s="10"/>
    </row>
    <row r="315" spans="3:7">
      <c r="C315" s="12"/>
      <c r="D315" s="9"/>
      <c r="E315" s="10"/>
      <c r="F315" s="10"/>
      <c r="G315" s="10"/>
    </row>
    <row r="316" spans="3:7">
      <c r="C316" s="12"/>
      <c r="D316" s="9"/>
      <c r="E316" s="10"/>
      <c r="F316" s="10"/>
      <c r="G316" s="10"/>
    </row>
    <row r="317" spans="3:7">
      <c r="C317" s="12"/>
      <c r="D317" s="9"/>
      <c r="E317" s="14"/>
      <c r="F317" s="5"/>
      <c r="G317" s="5"/>
    </row>
    <row r="318" spans="3:7">
      <c r="C318" s="7"/>
      <c r="D318" s="9"/>
      <c r="E318" s="10"/>
      <c r="F318" s="10"/>
      <c r="G318" s="10"/>
    </row>
    <row r="319" spans="3:7">
      <c r="C319" s="8"/>
      <c r="D319" s="9"/>
      <c r="E319" s="14"/>
      <c r="F319" s="5"/>
      <c r="G319" s="5"/>
    </row>
    <row r="320" spans="3:7">
      <c r="C320" s="12"/>
      <c r="D320" s="9"/>
      <c r="E320" s="14"/>
      <c r="F320" s="5"/>
      <c r="G320" s="5"/>
    </row>
    <row r="321" spans="3:7">
      <c r="C321" s="12"/>
      <c r="D321" s="9"/>
      <c r="E321" s="14"/>
      <c r="F321" s="5"/>
      <c r="G321" s="5"/>
    </row>
    <row r="322" spans="3:7">
      <c r="C322" s="8"/>
      <c r="D322" s="9"/>
      <c r="E322" s="14"/>
      <c r="F322" s="5"/>
      <c r="G322" s="5"/>
    </row>
    <row r="323" spans="3:7">
      <c r="C323" s="12"/>
      <c r="D323" s="9"/>
      <c r="E323" s="14"/>
      <c r="F323" s="5"/>
      <c r="G323" s="5"/>
    </row>
    <row r="324" spans="3:7">
      <c r="C324" s="12"/>
      <c r="D324" s="9"/>
      <c r="E324" s="14"/>
      <c r="F324" s="5"/>
      <c r="G324" s="5"/>
    </row>
    <row r="325" spans="3:7">
      <c r="C325" s="8"/>
      <c r="D325" s="9"/>
      <c r="E325" s="14"/>
      <c r="F325" s="5"/>
      <c r="G325" s="5"/>
    </row>
    <row r="326" spans="3:7">
      <c r="C326" s="12"/>
      <c r="D326" s="9"/>
      <c r="E326" s="14"/>
      <c r="F326" s="5"/>
      <c r="G326" s="5"/>
    </row>
    <row r="327" spans="3:7">
      <c r="C327" s="12"/>
      <c r="D327" s="9"/>
      <c r="E327" s="14"/>
      <c r="F327" s="5"/>
      <c r="G327" s="5"/>
    </row>
    <row r="328" spans="3:7">
      <c r="C328" s="7"/>
      <c r="D328" s="9"/>
      <c r="E328" s="10"/>
      <c r="F328" s="10"/>
      <c r="G328" s="10"/>
    </row>
    <row r="329" spans="3:7">
      <c r="C329" s="19"/>
      <c r="D329" s="9"/>
      <c r="E329" s="10"/>
      <c r="F329" s="10"/>
      <c r="G329" s="10"/>
    </row>
    <row r="330" spans="3:7">
      <c r="C330" s="12"/>
      <c r="D330" s="9"/>
      <c r="E330" s="10"/>
      <c r="F330" s="10"/>
      <c r="G330" s="10"/>
    </row>
    <row r="331" spans="3:7">
      <c r="C331" s="12"/>
      <c r="D331" s="9"/>
      <c r="E331" s="10"/>
      <c r="F331" s="10"/>
      <c r="G331" s="10"/>
    </row>
    <row r="332" spans="3:7">
      <c r="C332" s="12"/>
      <c r="D332" s="9"/>
      <c r="E332" s="10"/>
      <c r="F332" s="10"/>
      <c r="G332" s="10"/>
    </row>
    <row r="333" spans="3:7">
      <c r="C333" s="12"/>
      <c r="D333" s="9"/>
      <c r="E333" s="10"/>
      <c r="F333" s="10"/>
      <c r="G333" s="10"/>
    </row>
    <row r="334" spans="3:7">
      <c r="C334" s="12"/>
      <c r="D334" s="9"/>
      <c r="E334" s="10"/>
      <c r="F334" s="10"/>
      <c r="G334" s="10"/>
    </row>
    <row r="335" spans="3:7">
      <c r="C335" s="12"/>
      <c r="D335" s="9"/>
      <c r="E335" s="10"/>
      <c r="F335" s="10"/>
      <c r="G335" s="10"/>
    </row>
    <row r="336" spans="3:7">
      <c r="C336" s="12"/>
      <c r="D336" s="9"/>
      <c r="E336" s="14"/>
      <c r="F336" s="5"/>
      <c r="G336" s="5"/>
    </row>
    <row r="337" spans="3:7">
      <c r="C337" s="8"/>
      <c r="D337" s="9"/>
      <c r="E337" s="10"/>
      <c r="F337" s="10"/>
      <c r="G337" s="10"/>
    </row>
    <row r="338" spans="3:7">
      <c r="C338" s="12"/>
      <c r="D338" s="9"/>
      <c r="E338" s="10"/>
      <c r="F338" s="10"/>
      <c r="G338" s="10"/>
    </row>
    <row r="339" spans="3:7">
      <c r="C339" s="12"/>
      <c r="D339" s="9"/>
      <c r="E339" s="14"/>
      <c r="F339" s="5"/>
      <c r="G339" s="5"/>
    </row>
    <row r="340" spans="3:7">
      <c r="C340" s="19"/>
      <c r="D340" s="9"/>
      <c r="E340" s="10"/>
      <c r="F340" s="10"/>
      <c r="G340" s="10"/>
    </row>
    <row r="341" spans="3:7">
      <c r="C341" s="12"/>
      <c r="D341" s="9"/>
      <c r="E341" s="14"/>
      <c r="F341" s="5"/>
      <c r="G341" s="5"/>
    </row>
    <row r="342" spans="3:7">
      <c r="C342" s="12"/>
      <c r="D342" s="9"/>
      <c r="E342" s="14"/>
      <c r="F342" s="5"/>
      <c r="G342" s="5"/>
    </row>
    <row r="343" spans="3:7">
      <c r="C343" s="12"/>
      <c r="D343" s="9"/>
      <c r="E343" s="14"/>
      <c r="F343" s="5"/>
      <c r="G343" s="5"/>
    </row>
    <row r="344" spans="3:7">
      <c r="C344" s="12"/>
      <c r="D344" s="9"/>
      <c r="E344" s="14"/>
      <c r="F344" s="5"/>
      <c r="G344" s="5"/>
    </row>
    <row r="345" spans="3:7">
      <c r="C345" s="12"/>
      <c r="D345" s="9"/>
      <c r="E345" s="14"/>
      <c r="F345" s="5"/>
      <c r="G345" s="5"/>
    </row>
    <row r="346" spans="3:7">
      <c r="C346" s="12"/>
      <c r="D346" s="9"/>
      <c r="E346" s="14"/>
      <c r="F346" s="5"/>
      <c r="G346" s="5"/>
    </row>
    <row r="347" spans="3:7">
      <c r="C347" s="12"/>
      <c r="D347" s="9"/>
      <c r="E347" s="14"/>
      <c r="F347" s="5"/>
      <c r="G347" s="5"/>
    </row>
    <row r="348" spans="3:7">
      <c r="C348" s="12"/>
      <c r="D348" s="9"/>
      <c r="E348" s="14"/>
      <c r="F348" s="5"/>
      <c r="G348" s="5"/>
    </row>
    <row r="349" spans="3:7">
      <c r="C349" s="12"/>
      <c r="D349" s="9"/>
      <c r="E349" s="14"/>
      <c r="F349" s="5"/>
      <c r="G349" s="5"/>
    </row>
    <row r="350" spans="3:7">
      <c r="C350" s="7"/>
      <c r="D350" s="9"/>
      <c r="E350" s="14"/>
      <c r="F350" s="5"/>
      <c r="G350" s="5"/>
    </row>
    <row r="351" spans="3:7">
      <c r="C351" s="7"/>
      <c r="D351" s="9"/>
      <c r="E351" s="10"/>
      <c r="F351" s="10"/>
      <c r="G351" s="10"/>
    </row>
    <row r="352" spans="3:7">
      <c r="C352" s="19"/>
      <c r="D352" s="9"/>
      <c r="E352" s="10"/>
      <c r="F352" s="10"/>
      <c r="G352" s="10"/>
    </row>
    <row r="353" spans="3:7">
      <c r="C353" s="19"/>
      <c r="D353" s="9"/>
      <c r="E353" s="10"/>
      <c r="F353" s="10"/>
      <c r="G353" s="10"/>
    </row>
    <row r="354" spans="3:7">
      <c r="C354" s="12"/>
      <c r="D354" s="9"/>
      <c r="E354" s="10"/>
      <c r="F354" s="10"/>
      <c r="G354" s="10"/>
    </row>
    <row r="355" spans="3:7">
      <c r="C355" s="19"/>
      <c r="D355" s="9"/>
      <c r="E355" s="10"/>
      <c r="F355" s="10"/>
      <c r="G355" s="10"/>
    </row>
    <row r="356" spans="3:7">
      <c r="C356" s="19"/>
      <c r="D356" s="9"/>
      <c r="E356" s="10"/>
      <c r="F356" s="10"/>
      <c r="G356" s="10"/>
    </row>
    <row r="357" spans="3:7">
      <c r="C357" s="12"/>
      <c r="D357" s="9"/>
      <c r="E357" s="10"/>
      <c r="F357" s="10"/>
      <c r="G357" s="10"/>
    </row>
    <row r="358" spans="3:7">
      <c r="C358" s="12"/>
      <c r="D358" s="9"/>
      <c r="E358" s="10"/>
      <c r="F358" s="10"/>
      <c r="G358" s="10"/>
    </row>
    <row r="359" spans="3:7">
      <c r="C359" s="12"/>
      <c r="D359" s="9"/>
      <c r="E359" s="10"/>
      <c r="F359" s="10"/>
      <c r="G359" s="10"/>
    </row>
    <row r="360" spans="3:7">
      <c r="C360" s="7"/>
      <c r="D360" s="9"/>
      <c r="E360" s="10"/>
      <c r="F360" s="10"/>
      <c r="G360" s="10"/>
    </row>
    <row r="361" spans="3:7">
      <c r="C361" s="8"/>
      <c r="D361" s="9"/>
      <c r="E361" s="10"/>
      <c r="F361" s="10"/>
      <c r="G361" s="10"/>
    </row>
    <row r="362" spans="3:7">
      <c r="C362" s="7"/>
      <c r="D362" s="9"/>
      <c r="E362" s="10"/>
      <c r="F362" s="10"/>
      <c r="G362" s="10"/>
    </row>
    <row r="363" spans="3:7">
      <c r="C363" s="8"/>
      <c r="D363" s="9"/>
      <c r="E363" s="10"/>
      <c r="F363" s="10"/>
      <c r="G363" s="10"/>
    </row>
    <row r="364" spans="3:7">
      <c r="C364" s="12"/>
      <c r="D364" s="9"/>
      <c r="E364" s="10"/>
      <c r="F364" s="10"/>
      <c r="G364" s="10"/>
    </row>
    <row r="365" spans="3:7">
      <c r="C365" s="19"/>
      <c r="D365" s="9"/>
      <c r="E365" s="10"/>
      <c r="F365" s="10"/>
      <c r="G365" s="10"/>
    </row>
    <row r="366" spans="3:7">
      <c r="C366" s="12"/>
      <c r="D366" s="9"/>
      <c r="E366" s="10"/>
      <c r="F366" s="10"/>
      <c r="G366" s="10"/>
    </row>
    <row r="367" spans="3:7">
      <c r="C367" s="19"/>
      <c r="D367" s="9"/>
      <c r="E367" s="10"/>
      <c r="F367" s="10"/>
      <c r="G367" s="10"/>
    </row>
    <row r="368" spans="3:7">
      <c r="C368" s="12"/>
      <c r="D368" s="9"/>
      <c r="E368" s="10"/>
      <c r="F368" s="10"/>
      <c r="G368" s="10"/>
    </row>
    <row r="369" spans="3:7">
      <c r="C369" s="19"/>
      <c r="D369" s="9"/>
      <c r="E369" s="10"/>
      <c r="F369" s="10"/>
      <c r="G369" s="10"/>
    </row>
    <row r="370" spans="3:7">
      <c r="C370" s="23"/>
      <c r="D370" s="20"/>
      <c r="E370" s="10"/>
      <c r="F370" s="10"/>
      <c r="G370" s="10"/>
    </row>
    <row r="371" spans="3:7">
      <c r="C371" s="23"/>
      <c r="D371" s="20"/>
      <c r="E371" s="10"/>
      <c r="F371" s="10"/>
      <c r="G371" s="10"/>
    </row>
    <row r="372" spans="3:7">
      <c r="C372" s="8"/>
      <c r="D372" s="9"/>
      <c r="E372" s="10"/>
      <c r="F372" s="10"/>
      <c r="G372" s="10"/>
    </row>
    <row r="373" spans="3:7">
      <c r="C373" s="12"/>
      <c r="D373" s="9"/>
      <c r="E373" s="10"/>
      <c r="F373" s="10"/>
      <c r="G373" s="10"/>
    </row>
    <row r="374" spans="3:7">
      <c r="C374" s="12"/>
      <c r="D374" s="9"/>
      <c r="E374" s="10"/>
      <c r="F374" s="10"/>
      <c r="G374" s="10"/>
    </row>
    <row r="375" spans="3:7">
      <c r="C375" s="8"/>
      <c r="D375" s="9"/>
      <c r="E375" s="10"/>
      <c r="F375" s="10"/>
      <c r="G375" s="10"/>
    </row>
    <row r="376" spans="3:7">
      <c r="C376" s="12"/>
      <c r="D376" s="9"/>
      <c r="E376" s="10"/>
      <c r="F376" s="10"/>
      <c r="G376" s="10"/>
    </row>
    <row r="377" spans="3:7">
      <c r="C377" s="7"/>
      <c r="D377" s="9"/>
      <c r="E377" s="10"/>
      <c r="F377" s="10"/>
      <c r="G377" s="10"/>
    </row>
    <row r="378" spans="3:7">
      <c r="C378" s="8"/>
      <c r="D378" s="9"/>
      <c r="E378" s="10"/>
      <c r="F378" s="10"/>
      <c r="G378" s="10"/>
    </row>
    <row r="379" spans="3:7">
      <c r="C379" s="12"/>
      <c r="D379" s="9"/>
      <c r="E379" s="10"/>
      <c r="F379" s="10"/>
      <c r="G379" s="10"/>
    </row>
    <row r="380" spans="3:7">
      <c r="C380" s="8"/>
      <c r="D380" s="9"/>
      <c r="E380" s="10"/>
      <c r="F380" s="10"/>
      <c r="G380" s="10"/>
    </row>
    <row r="381" spans="3:7">
      <c r="C381" s="12"/>
      <c r="D381" s="9"/>
      <c r="E381" s="10"/>
      <c r="F381" s="10"/>
      <c r="G381" s="10"/>
    </row>
    <row r="382" spans="3:7">
      <c r="C382" s="19"/>
      <c r="D382" s="9"/>
      <c r="E382" s="10"/>
      <c r="F382" s="10"/>
      <c r="G382" s="10"/>
    </row>
    <row r="383" spans="3:7">
      <c r="C383" s="12"/>
      <c r="D383" s="9"/>
      <c r="E383" s="10"/>
      <c r="F383" s="10"/>
      <c r="G383" s="10"/>
    </row>
    <row r="384" spans="3:7">
      <c r="C384" s="19"/>
      <c r="D384" s="9"/>
      <c r="E384" s="10"/>
      <c r="F384" s="10"/>
      <c r="G384" s="10"/>
    </row>
    <row r="385" spans="3:7">
      <c r="C385" s="12"/>
      <c r="D385" s="9"/>
      <c r="E385" s="10"/>
      <c r="F385" s="10"/>
      <c r="G385" s="10"/>
    </row>
    <row r="386" spans="3:7">
      <c r="C386" s="19"/>
      <c r="D386" s="9"/>
      <c r="E386" s="10"/>
      <c r="F386" s="10"/>
      <c r="G386" s="10"/>
    </row>
    <row r="387" spans="3:7">
      <c r="C387" s="23"/>
      <c r="D387" s="20"/>
      <c r="E387" s="10"/>
      <c r="F387" s="10"/>
      <c r="G387" s="10"/>
    </row>
    <row r="388" spans="3:7">
      <c r="C388" s="23"/>
      <c r="D388" s="20"/>
      <c r="E388" s="10"/>
      <c r="F388" s="10"/>
      <c r="G388" s="10"/>
    </row>
    <row r="389" spans="3:7">
      <c r="C389" s="8"/>
      <c r="D389" s="9"/>
      <c r="E389" s="10"/>
      <c r="F389" s="10"/>
      <c r="G389" s="10"/>
    </row>
    <row r="390" spans="3:7">
      <c r="C390" s="12"/>
      <c r="D390" s="9"/>
      <c r="E390" s="10"/>
      <c r="F390" s="10"/>
      <c r="G390" s="10"/>
    </row>
    <row r="391" spans="3:7">
      <c r="C391" s="12"/>
      <c r="D391" s="9"/>
      <c r="E391" s="10"/>
      <c r="F391" s="10"/>
      <c r="G391" s="10"/>
    </row>
    <row r="392" spans="3:7">
      <c r="C392" s="8"/>
      <c r="D392" s="9"/>
      <c r="E392" s="10"/>
      <c r="F392" s="10"/>
      <c r="G392" s="10"/>
    </row>
    <row r="393" spans="3:7">
      <c r="C393" s="12"/>
      <c r="D393" s="9"/>
      <c r="E393" s="10"/>
      <c r="F393" s="10"/>
      <c r="G393" s="10"/>
    </row>
    <row r="394" spans="3:7">
      <c r="C394" s="7"/>
      <c r="D394" s="9"/>
      <c r="E394" s="10"/>
      <c r="F394" s="10"/>
      <c r="G394" s="10"/>
    </row>
    <row r="395" spans="3:7">
      <c r="C395" s="8"/>
      <c r="D395" s="9"/>
      <c r="E395" s="10"/>
      <c r="F395" s="10"/>
      <c r="G395" s="10"/>
    </row>
    <row r="396" spans="3:7">
      <c r="C396" s="12"/>
      <c r="D396" s="9"/>
      <c r="E396" s="10"/>
      <c r="F396" s="10"/>
      <c r="G396" s="10"/>
    </row>
    <row r="397" spans="3:7">
      <c r="C397" s="8"/>
      <c r="D397" s="9"/>
      <c r="E397" s="10"/>
      <c r="F397" s="10"/>
      <c r="G397" s="10"/>
    </row>
    <row r="398" spans="3:7">
      <c r="C398" s="12"/>
      <c r="D398" s="9"/>
      <c r="E398" s="10"/>
      <c r="F398" s="10"/>
      <c r="G398" s="10"/>
    </row>
    <row r="399" spans="3:7">
      <c r="C399" s="19"/>
      <c r="D399" s="9"/>
      <c r="E399" s="10"/>
      <c r="F399" s="10"/>
      <c r="G399" s="10"/>
    </row>
    <row r="400" spans="3:7">
      <c r="C400" s="12"/>
      <c r="D400" s="9"/>
      <c r="E400" s="10"/>
      <c r="F400" s="10"/>
      <c r="G400" s="10"/>
    </row>
    <row r="401" spans="3:7">
      <c r="C401" s="19"/>
      <c r="D401" s="9"/>
      <c r="E401" s="10"/>
      <c r="F401" s="10"/>
      <c r="G401" s="10"/>
    </row>
    <row r="402" spans="3:7">
      <c r="C402" s="12"/>
      <c r="D402" s="9"/>
      <c r="E402" s="10"/>
      <c r="F402" s="10"/>
      <c r="G402" s="10"/>
    </row>
    <row r="403" spans="3:7">
      <c r="C403" s="19"/>
      <c r="D403" s="9"/>
      <c r="E403" s="10"/>
      <c r="F403" s="10"/>
      <c r="G403" s="10"/>
    </row>
    <row r="404" spans="3:7">
      <c r="C404" s="23"/>
      <c r="D404" s="20"/>
      <c r="E404" s="10"/>
      <c r="F404" s="10"/>
      <c r="G404" s="10"/>
    </row>
    <row r="405" spans="3:7">
      <c r="C405" s="23"/>
      <c r="D405" s="20"/>
      <c r="E405" s="10"/>
      <c r="F405" s="10"/>
      <c r="G405" s="10"/>
    </row>
    <row r="406" spans="3:7">
      <c r="C406" s="8"/>
      <c r="D406" s="9"/>
      <c r="E406" s="10"/>
      <c r="F406" s="10"/>
      <c r="G406" s="10"/>
    </row>
    <row r="407" spans="3:7">
      <c r="C407" s="12"/>
      <c r="D407" s="9"/>
      <c r="E407" s="10"/>
      <c r="F407" s="10"/>
      <c r="G407" s="10"/>
    </row>
    <row r="408" spans="3:7">
      <c r="C408" s="12"/>
      <c r="D408" s="9"/>
      <c r="E408" s="10"/>
      <c r="F408" s="10"/>
      <c r="G408" s="10"/>
    </row>
    <row r="409" spans="3:7">
      <c r="C409" s="8"/>
      <c r="D409" s="9"/>
      <c r="E409" s="10"/>
      <c r="F409" s="10"/>
      <c r="G409" s="10"/>
    </row>
    <row r="410" spans="3:7">
      <c r="C410" s="12"/>
      <c r="D410" s="9"/>
      <c r="E410" s="10"/>
      <c r="F410" s="10"/>
      <c r="G410" s="10"/>
    </row>
    <row r="411" spans="3:7">
      <c r="C411" s="7"/>
      <c r="D411" s="9"/>
      <c r="E411" s="10"/>
      <c r="F411" s="10"/>
      <c r="G411" s="10"/>
    </row>
    <row r="412" spans="3:7">
      <c r="C412" s="8"/>
      <c r="D412" s="9"/>
      <c r="E412" s="10"/>
      <c r="F412" s="10"/>
      <c r="G412" s="10"/>
    </row>
    <row r="413" spans="3:7">
      <c r="C413" s="12"/>
      <c r="D413" s="9"/>
      <c r="E413" s="10"/>
      <c r="F413" s="10"/>
      <c r="G413" s="10"/>
    </row>
    <row r="414" spans="3:7">
      <c r="C414" s="8"/>
      <c r="D414" s="9"/>
      <c r="E414" s="10"/>
      <c r="F414" s="10"/>
      <c r="G414" s="10"/>
    </row>
    <row r="415" spans="3:7">
      <c r="C415" s="12"/>
      <c r="D415" s="9"/>
      <c r="E415" s="10"/>
      <c r="F415" s="10"/>
      <c r="G415" s="10"/>
    </row>
    <row r="416" spans="3:7">
      <c r="C416" s="12"/>
      <c r="D416" s="9"/>
      <c r="E416" s="10"/>
      <c r="F416" s="10"/>
      <c r="G416" s="10"/>
    </row>
    <row r="417" spans="3:7">
      <c r="C417" s="8"/>
      <c r="D417" s="9"/>
      <c r="E417" s="10"/>
      <c r="F417" s="10"/>
      <c r="G417" s="10"/>
    </row>
    <row r="418" spans="3:7">
      <c r="C418" s="12"/>
      <c r="D418" s="9"/>
      <c r="E418" s="10"/>
      <c r="F418" s="10"/>
      <c r="G418" s="10"/>
    </row>
    <row r="419" spans="3:7">
      <c r="C419" s="8"/>
      <c r="D419" s="9"/>
      <c r="E419" s="10"/>
      <c r="F419" s="10"/>
      <c r="G419" s="10"/>
    </row>
    <row r="420" spans="3:7">
      <c r="C420" s="12"/>
      <c r="D420" s="9"/>
      <c r="E420" s="10"/>
      <c r="F420" s="10"/>
      <c r="G420" s="10"/>
    </row>
    <row r="421" spans="3:7">
      <c r="C421" s="8"/>
      <c r="D421" s="9"/>
      <c r="E421" s="10"/>
      <c r="F421" s="10"/>
      <c r="G421" s="10"/>
    </row>
    <row r="422" spans="3:7">
      <c r="C422" s="18"/>
      <c r="D422" s="9"/>
      <c r="E422" s="10"/>
      <c r="F422" s="10"/>
      <c r="G422" s="10"/>
    </row>
    <row r="423" spans="3:7">
      <c r="C423" s="19"/>
      <c r="D423" s="9"/>
      <c r="E423" s="10"/>
      <c r="F423" s="10"/>
      <c r="G423" s="10"/>
    </row>
    <row r="424" spans="3:7">
      <c r="C424" s="12"/>
      <c r="D424" s="9"/>
      <c r="E424" s="10"/>
      <c r="F424" s="10"/>
      <c r="G424" s="10"/>
    </row>
    <row r="425" spans="3:7">
      <c r="C425" s="12"/>
      <c r="D425" s="9"/>
      <c r="E425" s="10"/>
      <c r="F425" s="10"/>
      <c r="G425" s="10"/>
    </row>
    <row r="426" spans="3:7">
      <c r="C426" s="34"/>
      <c r="D426" s="20"/>
      <c r="E426" s="10"/>
      <c r="F426" s="10"/>
      <c r="G426" s="10"/>
    </row>
    <row r="427" spans="3:7">
      <c r="C427" s="23"/>
      <c r="D427" s="20"/>
      <c r="E427" s="10"/>
      <c r="F427" s="10"/>
      <c r="G427" s="10"/>
    </row>
    <row r="428" spans="3:7">
      <c r="C428" s="23"/>
      <c r="D428" s="20"/>
      <c r="E428" s="10"/>
      <c r="F428" s="10"/>
      <c r="G428" s="10"/>
    </row>
    <row r="429" spans="3:7">
      <c r="C429" s="12"/>
      <c r="D429" s="20"/>
      <c r="E429" s="10"/>
      <c r="F429" s="10"/>
      <c r="G429" s="10"/>
    </row>
    <row r="430" spans="3:7">
      <c r="C430" s="12"/>
      <c r="D430" s="20"/>
      <c r="E430" s="10"/>
      <c r="F430" s="10"/>
      <c r="G430" s="10"/>
    </row>
    <row r="431" spans="3:7">
      <c r="C431" s="12"/>
      <c r="D431" s="20"/>
      <c r="E431" s="10"/>
      <c r="F431" s="10"/>
      <c r="G431" s="10"/>
    </row>
    <row r="432" spans="3:7">
      <c r="C432" s="12"/>
      <c r="D432" s="20"/>
      <c r="E432" s="10"/>
      <c r="F432" s="10"/>
      <c r="G432" s="10"/>
    </row>
    <row r="433" spans="3:7">
      <c r="C433" s="12"/>
      <c r="D433" s="20"/>
      <c r="E433" s="10"/>
      <c r="F433" s="10"/>
      <c r="G433" s="10"/>
    </row>
    <row r="434" spans="3:7">
      <c r="C434" s="12"/>
      <c r="D434" s="20"/>
      <c r="E434" s="10"/>
      <c r="F434" s="10"/>
      <c r="G434" s="10"/>
    </row>
    <row r="435" spans="3:7">
      <c r="C435" s="8"/>
      <c r="D435" s="20"/>
      <c r="E435" s="10"/>
      <c r="F435" s="10"/>
      <c r="G435" s="10"/>
    </row>
    <row r="436" spans="3:7">
      <c r="C436" s="12"/>
      <c r="D436" s="20"/>
      <c r="E436" s="10"/>
      <c r="F436" s="10"/>
      <c r="G436" s="10"/>
    </row>
    <row r="437" spans="3:7">
      <c r="C437" s="12"/>
      <c r="D437" s="20"/>
      <c r="E437" s="10"/>
      <c r="F437" s="10"/>
      <c r="G437" s="10"/>
    </row>
    <row r="438" spans="3:7">
      <c r="C438" s="8"/>
      <c r="D438" s="20"/>
      <c r="E438" s="10"/>
      <c r="F438" s="10"/>
      <c r="G438" s="10"/>
    </row>
    <row r="439" spans="3:7">
      <c r="C439" s="12"/>
      <c r="D439" s="20"/>
      <c r="E439" s="10"/>
      <c r="F439" s="10"/>
      <c r="G439" s="10"/>
    </row>
    <row r="440" spans="3:7">
      <c r="C440" s="12"/>
      <c r="D440" s="20"/>
      <c r="E440" s="10"/>
      <c r="F440" s="10"/>
      <c r="G440" s="10"/>
    </row>
    <row r="441" spans="3:7">
      <c r="C441" s="8"/>
      <c r="D441" s="20"/>
      <c r="E441" s="10"/>
      <c r="F441" s="10"/>
      <c r="G441" s="10"/>
    </row>
    <row r="442" spans="3:7">
      <c r="C442" s="23"/>
      <c r="D442" s="20"/>
      <c r="E442" s="10"/>
      <c r="F442" s="10"/>
      <c r="G442" s="10"/>
    </row>
    <row r="443" spans="3:7">
      <c r="C443" s="23"/>
      <c r="D443" s="20"/>
      <c r="E443" s="10"/>
      <c r="F443" s="10"/>
      <c r="G443" s="10"/>
    </row>
    <row r="444" spans="3:7">
      <c r="C444" s="7"/>
      <c r="D444" s="9"/>
      <c r="E444" s="10"/>
      <c r="F444" s="10"/>
      <c r="G444" s="10"/>
    </row>
    <row r="445" spans="3:7">
      <c r="C445" s="8"/>
      <c r="D445" s="9"/>
      <c r="E445" s="10"/>
      <c r="F445" s="10"/>
      <c r="G445" s="10"/>
    </row>
    <row r="446" spans="3:7">
      <c r="C446" s="12"/>
      <c r="D446" s="9"/>
      <c r="E446" s="10"/>
      <c r="F446" s="10"/>
      <c r="G446" s="10"/>
    </row>
    <row r="447" spans="3:7">
      <c r="C447" s="8"/>
      <c r="D447" s="9"/>
      <c r="E447" s="10"/>
      <c r="F447" s="10"/>
      <c r="G447" s="10"/>
    </row>
    <row r="448" spans="3:7">
      <c r="C448" s="12"/>
      <c r="D448" s="9"/>
      <c r="E448" s="10"/>
      <c r="F448" s="10"/>
      <c r="G448" s="10"/>
    </row>
    <row r="449" spans="3:7">
      <c r="C449" s="12"/>
      <c r="D449" s="9"/>
      <c r="E449" s="10"/>
      <c r="F449" s="10"/>
      <c r="G449" s="10"/>
    </row>
    <row r="450" spans="3:7">
      <c r="C450" s="8"/>
      <c r="D450" s="9"/>
      <c r="E450" s="10"/>
      <c r="F450" s="10"/>
      <c r="G450" s="10"/>
    </row>
    <row r="451" spans="3:7">
      <c r="C451" s="12"/>
      <c r="D451" s="9"/>
      <c r="E451" s="10"/>
      <c r="F451" s="10"/>
      <c r="G451" s="10"/>
    </row>
    <row r="452" spans="3:7">
      <c r="C452" s="8"/>
      <c r="D452" s="9"/>
      <c r="E452" s="10"/>
      <c r="F452" s="10"/>
      <c r="G452" s="10"/>
    </row>
    <row r="453" spans="3:7">
      <c r="C453" s="12"/>
      <c r="D453" s="9"/>
      <c r="E453" s="10"/>
      <c r="F453" s="10"/>
      <c r="G453" s="10"/>
    </row>
    <row r="454" spans="3:7">
      <c r="C454" s="8"/>
      <c r="D454" s="9"/>
      <c r="E454" s="10"/>
      <c r="F454" s="10"/>
      <c r="G454" s="10"/>
    </row>
    <row r="455" spans="3:7">
      <c r="C455" s="18"/>
      <c r="D455" s="9"/>
      <c r="E455" s="10"/>
      <c r="F455" s="10"/>
      <c r="G455" s="10"/>
    </row>
    <row r="456" spans="3:7">
      <c r="C456" s="19"/>
      <c r="D456" s="9"/>
      <c r="E456" s="10"/>
      <c r="F456" s="10"/>
      <c r="G456" s="10"/>
    </row>
    <row r="457" spans="3:7" ht="14.25" customHeight="1">
      <c r="C457" s="12"/>
      <c r="D457" s="9"/>
      <c r="E457" s="10"/>
      <c r="F457" s="10"/>
      <c r="G457" s="10"/>
    </row>
    <row r="458" spans="3:7">
      <c r="C458" s="12"/>
      <c r="D458" s="9"/>
      <c r="E458" s="10"/>
      <c r="F458" s="10"/>
      <c r="G458" s="10"/>
    </row>
    <row r="459" spans="3:7">
      <c r="C459" s="34"/>
      <c r="D459" s="20"/>
      <c r="E459" s="10"/>
      <c r="F459" s="10"/>
      <c r="G459" s="10"/>
    </row>
    <row r="460" spans="3:7" ht="12.75" customHeight="1">
      <c r="C460" s="23"/>
      <c r="D460" s="20"/>
      <c r="E460" s="10"/>
      <c r="F460" s="10"/>
      <c r="G460" s="10"/>
    </row>
    <row r="461" spans="3:7">
      <c r="C461" s="23"/>
      <c r="D461" s="20"/>
      <c r="E461" s="10"/>
      <c r="F461" s="10"/>
      <c r="G461" s="10"/>
    </row>
    <row r="462" spans="3:7">
      <c r="C462" s="12"/>
      <c r="D462" s="20"/>
      <c r="E462" s="10"/>
      <c r="F462" s="10"/>
      <c r="G462" s="10"/>
    </row>
    <row r="463" spans="3:7">
      <c r="C463" s="12"/>
      <c r="D463" s="20"/>
      <c r="E463" s="10"/>
      <c r="F463" s="10"/>
      <c r="G463" s="10"/>
    </row>
    <row r="464" spans="3:7">
      <c r="C464" s="12"/>
      <c r="D464" s="20"/>
      <c r="E464" s="10"/>
      <c r="F464" s="10"/>
      <c r="G464" s="10"/>
    </row>
    <row r="465" spans="3:7">
      <c r="C465" s="12"/>
      <c r="D465" s="20"/>
      <c r="E465" s="10"/>
      <c r="F465" s="10"/>
      <c r="G465" s="10"/>
    </row>
    <row r="466" spans="3:7">
      <c r="C466" s="12"/>
      <c r="D466" s="20"/>
      <c r="E466" s="10"/>
      <c r="F466" s="10"/>
      <c r="G466" s="10"/>
    </row>
    <row r="467" spans="3:7">
      <c r="C467" s="12"/>
      <c r="D467" s="20"/>
      <c r="E467" s="10"/>
      <c r="F467" s="10"/>
      <c r="G467" s="10"/>
    </row>
    <row r="468" spans="3:7" ht="12.75" customHeight="1">
      <c r="C468" s="8"/>
      <c r="D468" s="20"/>
      <c r="E468" s="10"/>
      <c r="F468" s="10"/>
      <c r="G468" s="10"/>
    </row>
    <row r="469" spans="3:7">
      <c r="C469" s="12"/>
      <c r="D469" s="20"/>
      <c r="E469" s="10"/>
      <c r="F469" s="10"/>
      <c r="G469" s="10"/>
    </row>
    <row r="470" spans="3:7">
      <c r="C470" s="12"/>
      <c r="D470" s="20"/>
      <c r="E470" s="10"/>
      <c r="F470" s="10"/>
      <c r="G470" s="10"/>
    </row>
    <row r="471" spans="3:7" ht="12.75" customHeight="1">
      <c r="C471" s="8"/>
      <c r="D471" s="20"/>
      <c r="E471" s="10"/>
      <c r="F471" s="10"/>
      <c r="G471" s="10"/>
    </row>
    <row r="472" spans="3:7">
      <c r="C472" s="12"/>
      <c r="D472" s="20"/>
      <c r="E472" s="10"/>
      <c r="F472" s="10"/>
      <c r="G472" s="10"/>
    </row>
    <row r="473" spans="3:7">
      <c r="C473" s="12"/>
      <c r="D473" s="20"/>
      <c r="E473" s="10"/>
      <c r="F473" s="10"/>
      <c r="G473" s="10"/>
    </row>
    <row r="474" spans="3:7">
      <c r="C474" s="8"/>
      <c r="D474" s="20"/>
      <c r="E474" s="10"/>
      <c r="F474" s="10"/>
      <c r="G474" s="10"/>
    </row>
    <row r="475" spans="3:7" ht="12.75" customHeight="1">
      <c r="C475" s="23"/>
      <c r="D475" s="20"/>
      <c r="E475" s="10"/>
      <c r="F475" s="10"/>
      <c r="G475" s="10"/>
    </row>
    <row r="476" spans="3:7">
      <c r="C476" s="23"/>
      <c r="D476" s="20"/>
      <c r="E476" s="10"/>
      <c r="F476" s="10"/>
      <c r="G476" s="10"/>
    </row>
    <row r="477" spans="3:7">
      <c r="C477" s="2"/>
      <c r="D477" s="2"/>
      <c r="E477" s="2"/>
      <c r="F477" s="2"/>
      <c r="G477" s="2"/>
    </row>
    <row r="478" spans="3:7" ht="12.75" customHeight="1">
      <c r="C478" s="2"/>
      <c r="D478" s="2"/>
      <c r="E478" s="2"/>
      <c r="F478" s="2"/>
      <c r="G478" s="2"/>
    </row>
    <row r="479" spans="3:7">
      <c r="C479" s="2"/>
      <c r="D479" s="2"/>
      <c r="E479" s="2"/>
      <c r="F479" s="2"/>
      <c r="G479" s="2"/>
    </row>
    <row r="480" spans="3:7">
      <c r="C480" s="2"/>
      <c r="D480" s="2"/>
      <c r="E480" s="2"/>
      <c r="F480" s="2"/>
      <c r="G480" s="2"/>
    </row>
    <row r="481" spans="1:7">
      <c r="C481" s="2"/>
      <c r="D481" s="2"/>
      <c r="E481" s="2"/>
      <c r="F481" s="2"/>
      <c r="G481" s="2"/>
    </row>
    <row r="482" spans="1:7">
      <c r="C482" s="2"/>
      <c r="D482" s="2"/>
      <c r="E482" s="2"/>
      <c r="F482" s="2"/>
      <c r="G482" s="2"/>
    </row>
    <row r="483" spans="1:7">
      <c r="C483" s="2"/>
      <c r="D483" s="2"/>
      <c r="E483" s="2"/>
      <c r="F483" s="2"/>
      <c r="G483" s="2"/>
    </row>
    <row r="484" spans="1:7">
      <c r="C484" s="2"/>
      <c r="D484" s="2"/>
      <c r="E484" s="2"/>
      <c r="F484" s="2"/>
      <c r="G484" s="2"/>
    </row>
    <row r="485" spans="1:7">
      <c r="C485" s="2"/>
      <c r="D485" s="2"/>
      <c r="E485" s="2"/>
      <c r="F485" s="2"/>
      <c r="G485" s="2"/>
    </row>
    <row r="486" spans="1:7">
      <c r="C486" s="2"/>
      <c r="D486" s="2"/>
      <c r="E486" s="2"/>
      <c r="F486" s="2"/>
      <c r="G486" s="2"/>
    </row>
    <row r="487" spans="1:7">
      <c r="C487" s="2"/>
      <c r="D487" s="2"/>
      <c r="E487" s="2"/>
      <c r="F487" s="2"/>
      <c r="G487" s="2"/>
    </row>
    <row r="488" spans="1:7">
      <c r="A488" s="33"/>
      <c r="B488" s="33"/>
      <c r="C488" s="252"/>
      <c r="D488" s="252"/>
      <c r="E488" s="252"/>
      <c r="F488" s="252"/>
      <c r="G488" s="252"/>
    </row>
    <row r="489" spans="1:7">
      <c r="A489" s="33"/>
      <c r="B489" s="33"/>
      <c r="C489" s="33"/>
      <c r="D489" s="252"/>
      <c r="E489" s="252"/>
      <c r="F489" s="252"/>
      <c r="G489" s="252"/>
    </row>
    <row r="490" spans="1:7" ht="12.75" customHeight="1">
      <c r="A490" s="33"/>
      <c r="B490" s="33"/>
      <c r="C490" s="33"/>
      <c r="D490" s="20"/>
      <c r="E490" s="20"/>
      <c r="F490" s="20"/>
      <c r="G490" s="20"/>
    </row>
    <row r="491" spans="1:7">
      <c r="A491" s="33"/>
      <c r="B491" s="33"/>
      <c r="C491" s="252"/>
      <c r="D491" s="252"/>
      <c r="E491" s="252"/>
      <c r="F491" s="252"/>
      <c r="G491" s="252"/>
    </row>
    <row r="492" spans="1:7">
      <c r="A492" s="33"/>
      <c r="B492" s="33"/>
      <c r="C492" s="33"/>
      <c r="D492" s="252"/>
      <c r="E492" s="252"/>
      <c r="F492" s="252"/>
      <c r="G492" s="252"/>
    </row>
    <row r="493" spans="1:7" ht="12.75" customHeight="1">
      <c r="A493" s="33"/>
      <c r="B493" s="33"/>
      <c r="C493" s="33"/>
      <c r="D493" s="20"/>
      <c r="E493" s="20"/>
      <c r="F493" s="20"/>
      <c r="G493" s="20"/>
    </row>
    <row r="494" spans="1:7">
      <c r="A494" s="33"/>
      <c r="B494" s="33"/>
      <c r="C494" s="33"/>
      <c r="D494" s="33"/>
      <c r="E494" s="33"/>
      <c r="F494" s="33"/>
      <c r="G494" s="33"/>
    </row>
    <row r="495" spans="1:7" ht="12.75" customHeight="1">
      <c r="C495" s="2"/>
      <c r="D495" s="2"/>
      <c r="E495" s="2"/>
      <c r="F495" s="2"/>
      <c r="G495" s="2"/>
    </row>
    <row r="496" spans="1:7" ht="12.75" customHeight="1">
      <c r="C496" s="2"/>
      <c r="D496" s="2"/>
      <c r="E496" s="2"/>
      <c r="F496" s="2"/>
      <c r="G496" s="2"/>
    </row>
    <row r="497" spans="3:7" ht="12.75" customHeight="1">
      <c r="C497" s="2"/>
      <c r="D497" s="2"/>
      <c r="E497" s="2"/>
      <c r="F497" s="2"/>
      <c r="G497" s="2"/>
    </row>
    <row r="498" spans="3:7" ht="12.75" customHeight="1">
      <c r="C498" s="2"/>
      <c r="D498" s="2"/>
      <c r="E498" s="2"/>
      <c r="F498" s="2"/>
      <c r="G498" s="2"/>
    </row>
    <row r="499" spans="3:7" ht="12.75" customHeight="1">
      <c r="C499" s="2"/>
      <c r="D499" s="2"/>
      <c r="E499" s="2"/>
      <c r="F499" s="2"/>
      <c r="G499" s="2"/>
    </row>
    <row r="500" spans="3:7" ht="12.75" customHeight="1">
      <c r="C500" s="2"/>
      <c r="D500" s="2"/>
      <c r="E500" s="2"/>
      <c r="F500" s="2"/>
      <c r="G500" s="2"/>
    </row>
    <row r="501" spans="3:7" ht="12.75" customHeight="1">
      <c r="C501" s="2"/>
      <c r="D501" s="2"/>
      <c r="E501" s="2"/>
      <c r="F501" s="2"/>
      <c r="G501" s="2"/>
    </row>
    <row r="502" spans="3:7" ht="12.75" customHeight="1">
      <c r="C502" s="2"/>
      <c r="D502" s="2"/>
      <c r="E502" s="2"/>
      <c r="F502" s="2"/>
      <c r="G502" s="2"/>
    </row>
    <row r="503" spans="3:7" ht="12.75" customHeight="1">
      <c r="C503" s="7"/>
      <c r="D503" s="2"/>
      <c r="E503" s="2"/>
      <c r="F503" s="2"/>
      <c r="G503" s="2"/>
    </row>
    <row r="504" spans="3:7" ht="12.75" customHeight="1">
      <c r="C504" s="8"/>
      <c r="D504" s="11"/>
      <c r="E504" s="10"/>
      <c r="F504" s="10"/>
      <c r="G504" s="5"/>
    </row>
    <row r="505" spans="3:7">
      <c r="C505" s="8"/>
      <c r="D505" s="11"/>
      <c r="E505" s="10"/>
      <c r="F505" s="10"/>
      <c r="G505" s="10"/>
    </row>
    <row r="506" spans="3:7">
      <c r="C506" s="12"/>
      <c r="D506" s="11"/>
      <c r="E506" s="10"/>
      <c r="F506" s="10"/>
      <c r="G506" s="10"/>
    </row>
    <row r="507" spans="3:7">
      <c r="C507" s="12"/>
      <c r="D507" s="11"/>
      <c r="E507" s="10"/>
      <c r="F507" s="10"/>
      <c r="G507" s="10"/>
    </row>
    <row r="508" spans="3:7">
      <c r="C508" s="8"/>
      <c r="D508" s="11"/>
      <c r="E508" s="10"/>
      <c r="F508" s="10"/>
      <c r="G508" s="10"/>
    </row>
    <row r="509" spans="3:7">
      <c r="C509" s="12"/>
      <c r="D509" s="11"/>
      <c r="E509" s="10"/>
      <c r="F509" s="10"/>
      <c r="G509" s="10"/>
    </row>
    <row r="510" spans="3:7">
      <c r="C510" s="12"/>
      <c r="D510" s="11"/>
      <c r="E510" s="10"/>
      <c r="F510" s="10"/>
      <c r="G510" s="10"/>
    </row>
    <row r="511" spans="3:7">
      <c r="C511" s="12"/>
      <c r="D511" s="11"/>
      <c r="E511" s="10"/>
      <c r="F511" s="10"/>
      <c r="G511" s="10"/>
    </row>
    <row r="512" spans="3:7">
      <c r="C512" s="8"/>
      <c r="D512" s="11"/>
      <c r="E512" s="10"/>
      <c r="F512" s="10"/>
      <c r="G512" s="10"/>
    </row>
    <row r="513" spans="3:7">
      <c r="C513" s="12"/>
      <c r="D513" s="11"/>
      <c r="E513" s="10"/>
      <c r="F513" s="10"/>
      <c r="G513" s="10"/>
    </row>
    <row r="514" spans="3:7">
      <c r="C514" s="12"/>
      <c r="D514" s="11"/>
      <c r="E514" s="10"/>
      <c r="F514" s="10"/>
      <c r="G514" s="10"/>
    </row>
    <row r="515" spans="3:7">
      <c r="C515" s="8"/>
      <c r="D515" s="11"/>
      <c r="E515" s="10"/>
      <c r="F515" s="10"/>
      <c r="G515" s="10"/>
    </row>
    <row r="516" spans="3:7">
      <c r="C516" s="12"/>
      <c r="D516" s="11"/>
      <c r="E516" s="10"/>
      <c r="F516" s="10"/>
      <c r="G516" s="10"/>
    </row>
    <row r="517" spans="3:7">
      <c r="C517" s="12"/>
      <c r="D517" s="11"/>
      <c r="E517" s="10"/>
      <c r="F517" s="10"/>
      <c r="G517" s="10"/>
    </row>
    <row r="518" spans="3:7">
      <c r="C518" s="37"/>
      <c r="D518" s="10"/>
      <c r="E518" s="10"/>
      <c r="F518" s="10"/>
      <c r="G518" s="10"/>
    </row>
    <row r="519" spans="3:7">
      <c r="C519" s="38"/>
      <c r="D519" s="10"/>
      <c r="E519" s="10"/>
      <c r="F519" s="10"/>
      <c r="G519" s="10"/>
    </row>
    <row r="520" spans="3:7">
      <c r="C520" s="13"/>
      <c r="D520" s="14"/>
      <c r="E520" s="14"/>
      <c r="F520" s="14"/>
      <c r="G520" s="14"/>
    </row>
    <row r="521" spans="3:7">
      <c r="C521" s="15"/>
      <c r="D521" s="16"/>
      <c r="E521" s="10"/>
      <c r="F521" s="10"/>
      <c r="G521" s="10"/>
    </row>
    <row r="522" spans="3:7">
      <c r="C522" s="15"/>
      <c r="D522" s="16"/>
      <c r="E522" s="10"/>
      <c r="F522" s="10"/>
      <c r="G522" s="10"/>
    </row>
    <row r="523" spans="3:7">
      <c r="C523" s="15"/>
      <c r="D523" s="16"/>
      <c r="E523" s="10"/>
      <c r="F523" s="10"/>
      <c r="G523" s="10"/>
    </row>
    <row r="524" spans="3:7">
      <c r="C524" s="15"/>
      <c r="D524" s="16"/>
      <c r="E524" s="10"/>
      <c r="F524" s="10"/>
      <c r="G524" s="10"/>
    </row>
    <row r="525" spans="3:7">
      <c r="C525" s="15"/>
      <c r="D525" s="16"/>
      <c r="E525" s="10"/>
      <c r="F525" s="10"/>
      <c r="G525" s="10"/>
    </row>
    <row r="526" spans="3:7">
      <c r="C526" s="15"/>
      <c r="D526" s="16"/>
      <c r="E526" s="10"/>
      <c r="F526" s="10"/>
      <c r="G526" s="10"/>
    </row>
    <row r="527" spans="3:7">
      <c r="C527" s="17"/>
      <c r="D527" s="11"/>
      <c r="E527" s="16"/>
      <c r="F527" s="5"/>
      <c r="G527" s="5"/>
    </row>
    <row r="528" spans="3:7">
      <c r="C528" s="18"/>
      <c r="D528" s="11"/>
      <c r="E528" s="16"/>
      <c r="F528" s="5"/>
      <c r="G528" s="5"/>
    </row>
    <row r="529" spans="3:7">
      <c r="C529" s="18"/>
      <c r="D529" s="11"/>
      <c r="E529" s="16"/>
      <c r="F529" s="5"/>
      <c r="G529" s="5"/>
    </row>
    <row r="530" spans="3:7">
      <c r="C530" s="18"/>
      <c r="D530" s="11"/>
      <c r="E530" s="16"/>
      <c r="F530" s="5"/>
      <c r="G530" s="5"/>
    </row>
    <row r="531" spans="3:7">
      <c r="C531" s="17"/>
      <c r="D531" s="11"/>
      <c r="E531" s="16"/>
      <c r="F531" s="5"/>
      <c r="G531" s="5"/>
    </row>
    <row r="532" spans="3:7">
      <c r="C532" s="18"/>
      <c r="D532" s="11"/>
      <c r="E532" s="16"/>
      <c r="F532" s="5"/>
      <c r="G532" s="5"/>
    </row>
    <row r="533" spans="3:7">
      <c r="C533" s="18"/>
      <c r="D533" s="11"/>
      <c r="E533" s="16"/>
      <c r="F533" s="5"/>
      <c r="G533" s="5"/>
    </row>
    <row r="534" spans="3:7">
      <c r="C534" s="18"/>
      <c r="D534" s="11"/>
      <c r="E534" s="16"/>
      <c r="F534" s="5"/>
      <c r="G534" s="5"/>
    </row>
    <row r="535" spans="3:7">
      <c r="C535" s="18"/>
      <c r="D535" s="11"/>
      <c r="E535" s="16"/>
      <c r="F535" s="5"/>
      <c r="G535" s="5"/>
    </row>
    <row r="536" spans="3:7">
      <c r="C536" s="18"/>
      <c r="D536" s="11"/>
      <c r="E536" s="16"/>
      <c r="F536" s="5"/>
      <c r="G536" s="5"/>
    </row>
    <row r="537" spans="3:7">
      <c r="C537" s="18"/>
      <c r="D537" s="11"/>
      <c r="E537" s="16"/>
      <c r="F537" s="5"/>
      <c r="G537" s="5"/>
    </row>
    <row r="538" spans="3:7">
      <c r="C538" s="18"/>
      <c r="D538" s="11"/>
      <c r="E538" s="16"/>
      <c r="F538" s="5"/>
      <c r="G538" s="5"/>
    </row>
    <row r="539" spans="3:7">
      <c r="C539" s="18"/>
      <c r="D539" s="11"/>
      <c r="E539" s="16"/>
      <c r="F539" s="5"/>
      <c r="G539" s="5"/>
    </row>
    <row r="540" spans="3:7">
      <c r="C540" s="18"/>
      <c r="D540" s="11"/>
      <c r="E540" s="16"/>
      <c r="F540" s="5"/>
      <c r="G540" s="5"/>
    </row>
    <row r="541" spans="3:7">
      <c r="C541" s="2"/>
      <c r="D541" s="2"/>
      <c r="E541" s="2"/>
      <c r="F541" s="2"/>
      <c r="G541" s="2"/>
    </row>
    <row r="542" spans="3:7">
      <c r="C542" s="2"/>
      <c r="D542" s="2"/>
      <c r="E542" s="2"/>
      <c r="F542" s="2"/>
      <c r="G542" s="2"/>
    </row>
    <row r="543" spans="3:7">
      <c r="C543" s="2"/>
      <c r="D543" s="2"/>
      <c r="E543" s="2"/>
      <c r="F543" s="2"/>
      <c r="G543" s="2"/>
    </row>
    <row r="544" spans="3:7">
      <c r="C544" s="2"/>
      <c r="D544" s="2"/>
      <c r="E544" s="2"/>
      <c r="F544" s="2"/>
      <c r="G544" s="2"/>
    </row>
    <row r="545" spans="3:7">
      <c r="C545" s="2"/>
      <c r="D545" s="2"/>
      <c r="E545" s="2"/>
      <c r="F545" s="2"/>
      <c r="G545" s="2"/>
    </row>
    <row r="546" spans="3:7">
      <c r="C546" s="2"/>
      <c r="D546" s="2"/>
      <c r="E546" s="2"/>
      <c r="F546" s="2"/>
      <c r="G546" s="2"/>
    </row>
    <row r="547" spans="3:7">
      <c r="C547" s="2"/>
      <c r="D547" s="2"/>
      <c r="E547" s="2"/>
      <c r="F547" s="2"/>
      <c r="G547" s="2"/>
    </row>
    <row r="548" spans="3:7">
      <c r="C548" s="2"/>
      <c r="D548" s="2"/>
      <c r="E548" s="2"/>
      <c r="F548" s="2"/>
      <c r="G548" s="2"/>
    </row>
    <row r="549" spans="3:7">
      <c r="C549" s="2"/>
      <c r="D549" s="2"/>
      <c r="E549" s="2"/>
      <c r="F549" s="2"/>
      <c r="G549" s="2"/>
    </row>
    <row r="550" spans="3:7">
      <c r="C550" s="2"/>
      <c r="D550" s="2"/>
      <c r="E550" s="2"/>
      <c r="F550" s="2"/>
      <c r="G550" s="2"/>
    </row>
    <row r="551" spans="3:7">
      <c r="C551" s="2"/>
      <c r="D551" s="2"/>
      <c r="E551" s="2"/>
      <c r="F551" s="2"/>
      <c r="G551" s="2"/>
    </row>
    <row r="552" spans="3:7">
      <c r="C552" s="2"/>
      <c r="D552" s="2"/>
      <c r="E552" s="2"/>
      <c r="F552" s="2"/>
      <c r="G552" s="2"/>
    </row>
    <row r="553" spans="3:7">
      <c r="C553" s="2"/>
      <c r="D553" s="2"/>
      <c r="E553" s="2"/>
      <c r="F553" s="2"/>
      <c r="G553" s="2"/>
    </row>
    <row r="554" spans="3:7">
      <c r="C554" s="2"/>
      <c r="D554" s="2"/>
      <c r="E554" s="2"/>
      <c r="F554" s="2"/>
      <c r="G554" s="2"/>
    </row>
    <row r="555" spans="3:7">
      <c r="C555" s="2"/>
      <c r="D555" s="2"/>
      <c r="E555" s="2"/>
      <c r="F555" s="2"/>
      <c r="G555" s="2"/>
    </row>
    <row r="556" spans="3:7">
      <c r="C556" s="2"/>
      <c r="D556" s="2"/>
      <c r="E556" s="2"/>
      <c r="F556" s="2"/>
      <c r="G556" s="2"/>
    </row>
    <row r="557" spans="3:7">
      <c r="C557" s="2"/>
      <c r="D557" s="2"/>
      <c r="E557" s="2"/>
      <c r="F557" s="2"/>
      <c r="G557" s="2"/>
    </row>
    <row r="558" spans="3:7">
      <c r="C558" s="2"/>
      <c r="D558" s="2"/>
      <c r="E558" s="2"/>
      <c r="F558" s="2"/>
      <c r="G558" s="2"/>
    </row>
    <row r="559" spans="3:7">
      <c r="C559" s="2"/>
      <c r="D559" s="2"/>
      <c r="E559" s="2"/>
      <c r="F559" s="2"/>
      <c r="G559" s="2"/>
    </row>
    <row r="560" spans="3:7">
      <c r="C560" s="2"/>
      <c r="D560" s="2"/>
      <c r="E560" s="2"/>
      <c r="F560" s="2"/>
      <c r="G560" s="2"/>
    </row>
    <row r="561" spans="3:7">
      <c r="C561" s="2"/>
      <c r="D561" s="2"/>
      <c r="E561" s="2"/>
      <c r="F561" s="2"/>
      <c r="G561" s="2"/>
    </row>
    <row r="562" spans="3:7">
      <c r="C562" s="2"/>
      <c r="D562" s="2"/>
      <c r="E562" s="2"/>
      <c r="F562" s="2"/>
      <c r="G562" s="2"/>
    </row>
    <row r="563" spans="3:7">
      <c r="C563" s="2"/>
      <c r="D563" s="2"/>
      <c r="E563" s="2"/>
      <c r="F563" s="2"/>
      <c r="G563" s="2"/>
    </row>
    <row r="564" spans="3:7">
      <c r="C564" s="2"/>
      <c r="D564" s="2"/>
      <c r="E564" s="2"/>
      <c r="F564" s="2"/>
      <c r="G564" s="2"/>
    </row>
    <row r="565" spans="3:7">
      <c r="C565" s="2"/>
      <c r="D565" s="2"/>
      <c r="E565" s="2"/>
      <c r="F565" s="2"/>
      <c r="G565" s="2"/>
    </row>
    <row r="566" spans="3:7">
      <c r="C566" s="2"/>
      <c r="D566" s="2"/>
      <c r="E566" s="2"/>
      <c r="F566" s="2"/>
      <c r="G566" s="2"/>
    </row>
    <row r="567" spans="3:7">
      <c r="C567" s="2"/>
      <c r="D567" s="2"/>
      <c r="E567" s="2"/>
      <c r="F567" s="2"/>
      <c r="G567" s="2"/>
    </row>
    <row r="568" spans="3:7">
      <c r="C568" s="2"/>
      <c r="D568" s="2"/>
      <c r="E568" s="2"/>
      <c r="F568" s="2"/>
      <c r="G568" s="2"/>
    </row>
    <row r="569" spans="3:7">
      <c r="C569" s="2"/>
      <c r="D569" s="2"/>
      <c r="E569" s="2"/>
      <c r="F569" s="2"/>
      <c r="G569" s="2"/>
    </row>
    <row r="570" spans="3:7">
      <c r="C570" s="2"/>
      <c r="D570" s="2"/>
      <c r="E570" s="2"/>
      <c r="F570" s="2"/>
      <c r="G570" s="2"/>
    </row>
    <row r="571" spans="3:7">
      <c r="C571" s="2"/>
      <c r="D571" s="2"/>
      <c r="E571" s="2"/>
      <c r="F571" s="2"/>
      <c r="G571" s="2"/>
    </row>
    <row r="572" spans="3:7">
      <c r="C572" s="2"/>
      <c r="D572" s="2"/>
      <c r="E572" s="2"/>
      <c r="F572" s="2"/>
      <c r="G572" s="2"/>
    </row>
    <row r="573" spans="3:7">
      <c r="C573" s="2"/>
      <c r="D573" s="2"/>
      <c r="E573" s="2"/>
      <c r="F573" s="2"/>
      <c r="G573" s="2"/>
    </row>
    <row r="574" spans="3:7">
      <c r="C574" s="2"/>
      <c r="D574" s="2"/>
      <c r="E574" s="2"/>
      <c r="F574" s="2"/>
      <c r="G574" s="2"/>
    </row>
    <row r="575" spans="3:7">
      <c r="C575" s="2"/>
      <c r="D575" s="2"/>
      <c r="E575" s="2"/>
      <c r="F575" s="2"/>
      <c r="G575" s="2"/>
    </row>
    <row r="576" spans="3:7">
      <c r="C576" s="2"/>
      <c r="D576" s="2"/>
      <c r="E576" s="2"/>
      <c r="F576" s="2"/>
      <c r="G576" s="2"/>
    </row>
    <row r="577" spans="3:7">
      <c r="C577" s="2"/>
      <c r="D577" s="2"/>
      <c r="E577" s="2"/>
      <c r="F577" s="2"/>
      <c r="G577" s="2"/>
    </row>
    <row r="578" spans="3:7">
      <c r="C578" s="2"/>
      <c r="D578" s="2"/>
      <c r="E578" s="2"/>
      <c r="F578" s="2"/>
      <c r="G578" s="2"/>
    </row>
    <row r="579" spans="3:7">
      <c r="C579" s="2"/>
      <c r="D579" s="2"/>
      <c r="E579" s="2"/>
      <c r="F579" s="2"/>
      <c r="G579" s="2"/>
    </row>
    <row r="580" spans="3:7">
      <c r="C580" s="2"/>
      <c r="D580" s="2"/>
      <c r="E580" s="2"/>
      <c r="F580" s="2"/>
      <c r="G580" s="2"/>
    </row>
    <row r="581" spans="3:7">
      <c r="C581" s="2"/>
      <c r="D581" s="2"/>
      <c r="E581" s="2"/>
      <c r="F581" s="2"/>
      <c r="G581" s="2"/>
    </row>
    <row r="582" spans="3:7">
      <c r="C582" s="2"/>
      <c r="D582" s="2"/>
      <c r="E582" s="2"/>
      <c r="F582" s="2"/>
      <c r="G582" s="2"/>
    </row>
    <row r="583" spans="3:7">
      <c r="C583" s="2"/>
      <c r="D583" s="2"/>
      <c r="E583" s="2"/>
      <c r="F583" s="2"/>
      <c r="G583" s="2"/>
    </row>
    <row r="584" spans="3:7">
      <c r="C584" s="2"/>
      <c r="D584" s="2"/>
      <c r="E584" s="2"/>
      <c r="F584" s="2"/>
      <c r="G584" s="2"/>
    </row>
    <row r="585" spans="3:7">
      <c r="C585" s="2"/>
      <c r="D585" s="2"/>
      <c r="E585" s="2"/>
      <c r="F585" s="2"/>
      <c r="G585" s="2"/>
    </row>
    <row r="586" spans="3:7">
      <c r="C586" s="2"/>
      <c r="D586" s="2"/>
      <c r="E586" s="2"/>
      <c r="F586" s="2"/>
      <c r="G586" s="2"/>
    </row>
    <row r="587" spans="3:7">
      <c r="C587" s="2"/>
      <c r="D587" s="2"/>
      <c r="E587" s="2"/>
      <c r="F587" s="2"/>
      <c r="G587" s="2"/>
    </row>
    <row r="588" spans="3:7">
      <c r="C588" s="2"/>
      <c r="D588" s="2"/>
      <c r="E588" s="2"/>
      <c r="F588" s="2"/>
      <c r="G588" s="2"/>
    </row>
    <row r="589" spans="3:7">
      <c r="C589" s="2"/>
      <c r="D589" s="2"/>
      <c r="E589" s="2"/>
      <c r="F589" s="2"/>
      <c r="G589" s="2"/>
    </row>
    <row r="590" spans="3:7">
      <c r="C590" s="2"/>
      <c r="D590" s="2"/>
      <c r="E590" s="2"/>
      <c r="F590" s="2"/>
      <c r="G590" s="2"/>
    </row>
    <row r="591" spans="3:7">
      <c r="C591" s="2"/>
      <c r="D591" s="2"/>
      <c r="E591" s="2"/>
      <c r="F591" s="2"/>
      <c r="G591" s="2"/>
    </row>
    <row r="592" spans="3:7">
      <c r="C592" s="2"/>
      <c r="D592" s="2"/>
      <c r="E592" s="2"/>
      <c r="F592" s="2"/>
      <c r="G592" s="2"/>
    </row>
    <row r="593" spans="3:7">
      <c r="C593" s="2"/>
      <c r="D593" s="2"/>
      <c r="E593" s="2"/>
      <c r="F593" s="2"/>
      <c r="G593" s="2"/>
    </row>
    <row r="594" spans="3:7">
      <c r="C594" s="2"/>
      <c r="D594" s="2"/>
      <c r="E594" s="2"/>
      <c r="F594" s="2"/>
      <c r="G594" s="2"/>
    </row>
    <row r="595" spans="3:7">
      <c r="C595" s="2"/>
      <c r="D595" s="2"/>
      <c r="E595" s="2"/>
      <c r="F595" s="2"/>
      <c r="G595" s="2"/>
    </row>
    <row r="596" spans="3:7">
      <c r="C596" s="2"/>
      <c r="D596" s="2"/>
      <c r="E596" s="2"/>
      <c r="F596" s="2"/>
      <c r="G596" s="2"/>
    </row>
    <row r="597" spans="3:7">
      <c r="C597" s="2"/>
      <c r="D597" s="2"/>
      <c r="E597" s="2"/>
      <c r="F597" s="2"/>
      <c r="G597" s="2"/>
    </row>
    <row r="598" spans="3:7">
      <c r="C598" s="2"/>
      <c r="D598" s="2"/>
      <c r="E598" s="2"/>
      <c r="F598" s="2"/>
      <c r="G598" s="2"/>
    </row>
    <row r="599" spans="3:7">
      <c r="C599" s="2"/>
      <c r="D599" s="2"/>
      <c r="E599" s="2"/>
      <c r="F599" s="2"/>
      <c r="G599" s="2"/>
    </row>
    <row r="600" spans="3:7">
      <c r="C600" s="2"/>
      <c r="D600" s="2"/>
      <c r="E600" s="2"/>
      <c r="F600" s="2"/>
      <c r="G600" s="2"/>
    </row>
    <row r="601" spans="3:7">
      <c r="C601" s="2"/>
      <c r="D601" s="2"/>
      <c r="E601" s="2"/>
      <c r="F601" s="2"/>
      <c r="G601" s="2"/>
    </row>
    <row r="602" spans="3:7">
      <c r="C602" s="2"/>
      <c r="D602" s="2"/>
      <c r="E602" s="2"/>
      <c r="F602" s="2"/>
      <c r="G602" s="2"/>
    </row>
    <row r="603" spans="3:7">
      <c r="C603" s="2"/>
      <c r="D603" s="2"/>
      <c r="E603" s="2"/>
      <c r="F603" s="2"/>
      <c r="G603" s="2"/>
    </row>
    <row r="604" spans="3:7">
      <c r="C604" s="2"/>
      <c r="D604" s="2"/>
      <c r="E604" s="2"/>
      <c r="F604" s="2"/>
      <c r="G604" s="2"/>
    </row>
    <row r="605" spans="3:7">
      <c r="C605" s="2"/>
      <c r="D605" s="2"/>
      <c r="E605" s="2"/>
      <c r="F605" s="2"/>
      <c r="G605" s="2"/>
    </row>
    <row r="606" spans="3:7">
      <c r="C606" s="2"/>
      <c r="D606" s="2"/>
      <c r="E606" s="2"/>
      <c r="F606" s="2"/>
      <c r="G606" s="2"/>
    </row>
    <row r="607" spans="3:7">
      <c r="C607" s="2"/>
      <c r="D607" s="2"/>
      <c r="E607" s="2"/>
      <c r="F607" s="2"/>
      <c r="G607" s="2"/>
    </row>
    <row r="608" spans="3:7">
      <c r="C608" s="2"/>
      <c r="D608" s="2"/>
      <c r="E608" s="2"/>
      <c r="F608" s="2"/>
      <c r="G608" s="2"/>
    </row>
    <row r="609" spans="3:7">
      <c r="C609" s="2"/>
      <c r="D609" s="2"/>
      <c r="E609" s="2"/>
      <c r="F609" s="2"/>
      <c r="G609" s="2"/>
    </row>
    <row r="610" spans="3:7">
      <c r="C610" s="2"/>
      <c r="D610" s="2"/>
      <c r="E610" s="2"/>
      <c r="F610" s="2"/>
      <c r="G610" s="2"/>
    </row>
    <row r="611" spans="3:7">
      <c r="C611" s="2"/>
      <c r="D611" s="2"/>
      <c r="E611" s="2"/>
      <c r="F611" s="2"/>
      <c r="G611" s="2"/>
    </row>
    <row r="612" spans="3:7">
      <c r="C612" s="2"/>
      <c r="D612" s="2"/>
      <c r="E612" s="2"/>
      <c r="F612" s="2"/>
      <c r="G612" s="2"/>
    </row>
    <row r="613" spans="3:7">
      <c r="C613" s="2"/>
      <c r="D613" s="2"/>
      <c r="E613" s="2"/>
      <c r="F613" s="2"/>
      <c r="G613" s="2"/>
    </row>
    <row r="614" spans="3:7">
      <c r="C614" s="2"/>
      <c r="D614" s="2"/>
      <c r="E614" s="2"/>
      <c r="F614" s="2"/>
      <c r="G614" s="2"/>
    </row>
    <row r="615" spans="3:7">
      <c r="C615" s="2"/>
      <c r="D615" s="2"/>
      <c r="E615" s="2"/>
      <c r="F615" s="2"/>
      <c r="G615" s="2"/>
    </row>
    <row r="616" spans="3:7">
      <c r="C616" s="2"/>
      <c r="D616" s="2"/>
      <c r="E616" s="2"/>
      <c r="F616" s="2"/>
      <c r="G616" s="2"/>
    </row>
    <row r="617" spans="3:7">
      <c r="C617" s="2"/>
      <c r="D617" s="2"/>
      <c r="E617" s="2"/>
      <c r="F617" s="2"/>
      <c r="G617" s="2"/>
    </row>
    <row r="618" spans="3:7">
      <c r="C618" s="2"/>
      <c r="D618" s="2"/>
      <c r="E618" s="2"/>
      <c r="F618" s="2"/>
      <c r="G618" s="2"/>
    </row>
    <row r="642" spans="1:7" s="33" customFormat="1">
      <c r="A642" s="2"/>
      <c r="B642" s="2"/>
      <c r="C642" s="1"/>
      <c r="D642" s="1"/>
      <c r="E642" s="1"/>
      <c r="F642" s="1"/>
      <c r="G642" s="1"/>
    </row>
    <row r="643" spans="1:7" s="33" customFormat="1">
      <c r="A643" s="2"/>
      <c r="B643" s="2"/>
      <c r="C643" s="1"/>
      <c r="D643" s="1"/>
      <c r="E643" s="1"/>
      <c r="F643" s="1"/>
      <c r="G643" s="1"/>
    </row>
    <row r="644" spans="1:7" s="33" customFormat="1">
      <c r="A644" s="2"/>
      <c r="B644" s="2"/>
      <c r="C644" s="1"/>
      <c r="D644" s="1"/>
      <c r="E644" s="1"/>
      <c r="F644" s="1"/>
      <c r="G644" s="1"/>
    </row>
    <row r="645" spans="1:7" s="33" customFormat="1">
      <c r="A645" s="2"/>
      <c r="B645" s="2"/>
      <c r="C645" s="1"/>
      <c r="D645" s="1"/>
      <c r="E645" s="1"/>
      <c r="F645" s="1"/>
      <c r="G645" s="1"/>
    </row>
    <row r="646" spans="1:7" s="33" customFormat="1">
      <c r="A646" s="2"/>
      <c r="B646" s="2"/>
      <c r="C646" s="1"/>
      <c r="D646" s="1"/>
      <c r="E646" s="1"/>
      <c r="F646" s="1"/>
      <c r="G646" s="1"/>
    </row>
    <row r="647" spans="1:7" s="33" customFormat="1">
      <c r="A647" s="2"/>
      <c r="B647" s="2"/>
      <c r="C647" s="1"/>
      <c r="D647" s="1"/>
      <c r="E647" s="1"/>
      <c r="F647" s="1"/>
      <c r="G647" s="1"/>
    </row>
    <row r="648" spans="1:7" s="33" customFormat="1">
      <c r="A648" s="2"/>
      <c r="B648" s="2"/>
      <c r="C648" s="1"/>
      <c r="D648" s="1"/>
      <c r="E648" s="1"/>
      <c r="F648" s="1"/>
      <c r="G648" s="1"/>
    </row>
  </sheetData>
  <mergeCells count="25">
    <mergeCell ref="A2:G2"/>
    <mergeCell ref="A5:G5"/>
    <mergeCell ref="A11:G11"/>
    <mergeCell ref="A8:K8"/>
    <mergeCell ref="A9:N9"/>
    <mergeCell ref="A10:I10"/>
    <mergeCell ref="A6:O6"/>
    <mergeCell ref="A4:E4"/>
    <mergeCell ref="C7:E7"/>
    <mergeCell ref="D489:G489"/>
    <mergeCell ref="C491:G491"/>
    <mergeCell ref="D492:G492"/>
    <mergeCell ref="G13:G14"/>
    <mergeCell ref="E86:G86"/>
    <mergeCell ref="C88:G88"/>
    <mergeCell ref="C89:G89"/>
    <mergeCell ref="C91:G91"/>
    <mergeCell ref="C92:G92"/>
    <mergeCell ref="E13:E14"/>
    <mergeCell ref="C488:G488"/>
    <mergeCell ref="A13:A14"/>
    <mergeCell ref="B13:B14"/>
    <mergeCell ref="C13:C14"/>
    <mergeCell ref="D13:D14"/>
    <mergeCell ref="F13:F14"/>
  </mergeCells>
  <pageMargins left="1.1086614173228346" right="0.43307086614173229" top="0.74803149606299213" bottom="0.57999999999999996" header="0.31496062992125984" footer="0.31496062992125984"/>
  <pageSetup scale="8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2:N610"/>
  <sheetViews>
    <sheetView topLeftCell="A73" workbookViewId="0">
      <selection activeCell="B84" sqref="B84"/>
    </sheetView>
  </sheetViews>
  <sheetFormatPr defaultRowHeight="12.75"/>
  <cols>
    <col min="1" max="1" width="7" style="2" bestFit="1" customWidth="1"/>
    <col min="2" max="2" width="6.42578125" style="2" customWidth="1"/>
    <col min="3" max="3" width="36.85546875" style="1" customWidth="1"/>
    <col min="4" max="4" width="9.7109375" style="1" bestFit="1" customWidth="1"/>
    <col min="5" max="5" width="9.85546875" style="1" bestFit="1" customWidth="1"/>
    <col min="6" max="6" width="9" style="1" customWidth="1"/>
    <col min="7" max="7" width="8.7109375" style="1" customWidth="1"/>
    <col min="8" max="8" width="9.140625" style="2"/>
    <col min="9" max="9" width="13.140625" style="2" customWidth="1"/>
    <col min="10" max="16384" width="9.140625" style="2"/>
  </cols>
  <sheetData>
    <row r="2" spans="1:14" s="4" customFormat="1">
      <c r="A2" s="246" t="s">
        <v>77</v>
      </c>
      <c r="B2" s="246"/>
      <c r="C2" s="246"/>
      <c r="D2" s="246"/>
      <c r="E2" s="246"/>
      <c r="F2" s="246"/>
      <c r="G2" s="246"/>
    </row>
    <row r="3" spans="1:14" s="4" customFormat="1"/>
    <row r="4" spans="1:14" s="4" customFormat="1">
      <c r="A4" s="256" t="s">
        <v>113</v>
      </c>
      <c r="B4" s="256"/>
      <c r="C4" s="256"/>
      <c r="D4" s="256"/>
      <c r="E4" s="256"/>
      <c r="F4" s="256"/>
      <c r="G4" s="256"/>
    </row>
    <row r="5" spans="1:14" s="4" customFormat="1">
      <c r="A5" s="258" t="s">
        <v>772</v>
      </c>
      <c r="B5" s="258"/>
      <c r="C5" s="258"/>
      <c r="D5" s="258"/>
      <c r="E5" s="258"/>
      <c r="F5" s="258"/>
      <c r="G5" s="258"/>
    </row>
    <row r="6" spans="1:14" s="4" customFormat="1">
      <c r="C6" s="255" t="s">
        <v>773</v>
      </c>
      <c r="D6" s="255"/>
      <c r="E6" s="255"/>
      <c r="F6" s="255"/>
      <c r="G6" s="255"/>
      <c r="H6" s="145"/>
      <c r="I6" s="145"/>
      <c r="J6" s="145"/>
      <c r="K6" s="145"/>
      <c r="L6" s="145"/>
      <c r="M6" s="145"/>
      <c r="N6" s="145"/>
    </row>
    <row r="7" spans="1:14" s="4" customFormat="1"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</row>
    <row r="8" spans="1:14" s="4" customFormat="1" ht="15" customHeight="1">
      <c r="A8" s="243" t="s">
        <v>774</v>
      </c>
      <c r="B8" s="243"/>
      <c r="C8" s="243"/>
      <c r="D8" s="243"/>
      <c r="E8" s="243"/>
      <c r="F8" s="243"/>
      <c r="G8" s="243"/>
      <c r="H8" s="243"/>
      <c r="I8" s="243"/>
      <c r="J8" s="243"/>
      <c r="K8" s="243"/>
      <c r="L8" s="121"/>
      <c r="M8" s="121"/>
      <c r="N8" s="121"/>
    </row>
    <row r="9" spans="1:14" s="4" customFormat="1" ht="15" customHeight="1">
      <c r="A9" s="243" t="s">
        <v>637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</row>
    <row r="10" spans="1:14" s="4" customFormat="1" ht="15" customHeight="1">
      <c r="A10" s="243" t="s">
        <v>638</v>
      </c>
      <c r="B10" s="243"/>
      <c r="C10" s="243"/>
      <c r="D10" s="243"/>
      <c r="E10" s="243"/>
      <c r="F10" s="243"/>
      <c r="G10" s="243"/>
      <c r="H10" s="243"/>
      <c r="I10" s="243"/>
      <c r="J10" s="86"/>
      <c r="K10" s="86"/>
      <c r="L10" s="122"/>
      <c r="M10" s="122"/>
      <c r="N10" s="86"/>
    </row>
    <row r="11" spans="1:14" s="4" customFormat="1" ht="15" customHeight="1">
      <c r="A11" s="245" t="s">
        <v>10</v>
      </c>
      <c r="B11" s="245"/>
      <c r="C11" s="245"/>
      <c r="D11" s="245"/>
      <c r="E11" s="245"/>
      <c r="F11" s="245"/>
      <c r="G11" s="245"/>
    </row>
    <row r="12" spans="1:14" s="4" customFormat="1"/>
    <row r="13" spans="1:14" s="4" customFormat="1" ht="12.75" customHeight="1">
      <c r="A13" s="248" t="s">
        <v>11</v>
      </c>
      <c r="B13" s="249" t="s">
        <v>34</v>
      </c>
      <c r="C13" s="248" t="s">
        <v>12</v>
      </c>
      <c r="D13" s="248" t="s">
        <v>13</v>
      </c>
      <c r="E13" s="248" t="s">
        <v>14</v>
      </c>
      <c r="F13" s="244" t="s">
        <v>19</v>
      </c>
      <c r="G13" s="244" t="s">
        <v>20</v>
      </c>
    </row>
    <row r="14" spans="1:14" s="4" customFormat="1" ht="35.25" customHeight="1">
      <c r="A14" s="248"/>
      <c r="B14" s="250"/>
      <c r="C14" s="248"/>
      <c r="D14" s="248"/>
      <c r="E14" s="248"/>
      <c r="F14" s="251"/>
      <c r="G14" s="244"/>
    </row>
    <row r="15" spans="1:14" s="4" customFormat="1" ht="15">
      <c r="A15" s="87" t="s">
        <v>55</v>
      </c>
      <c r="B15" s="58"/>
      <c r="C15" s="41" t="s">
        <v>775</v>
      </c>
      <c r="D15" s="82"/>
      <c r="E15" s="82"/>
      <c r="F15" s="28"/>
      <c r="G15" s="26"/>
    </row>
    <row r="16" spans="1:14" s="4" customFormat="1" ht="15">
      <c r="A16" s="85" t="s">
        <v>78</v>
      </c>
      <c r="B16" s="58"/>
      <c r="C16" s="61" t="s">
        <v>776</v>
      </c>
      <c r="D16" s="30" t="s">
        <v>1</v>
      </c>
      <c r="E16" s="30">
        <v>8</v>
      </c>
      <c r="F16" s="28"/>
      <c r="G16" s="26"/>
    </row>
    <row r="17" spans="1:7" s="4" customFormat="1" ht="15">
      <c r="A17" s="85" t="s">
        <v>79</v>
      </c>
      <c r="B17" s="58"/>
      <c r="C17" s="61" t="s">
        <v>777</v>
      </c>
      <c r="D17" s="30" t="s">
        <v>1</v>
      </c>
      <c r="E17" s="146">
        <v>10</v>
      </c>
      <c r="F17" s="28"/>
      <c r="G17" s="26"/>
    </row>
    <row r="18" spans="1:7" s="4" customFormat="1" ht="15">
      <c r="A18" s="85" t="s">
        <v>80</v>
      </c>
      <c r="B18" s="58"/>
      <c r="C18" s="61" t="s">
        <v>778</v>
      </c>
      <c r="D18" s="30" t="s">
        <v>1</v>
      </c>
      <c r="E18" s="146">
        <v>18</v>
      </c>
      <c r="F18" s="28"/>
      <c r="G18" s="26"/>
    </row>
    <row r="19" spans="1:7" s="4" customFormat="1" ht="15">
      <c r="A19" s="85" t="s">
        <v>81</v>
      </c>
      <c r="B19" s="58"/>
      <c r="C19" s="61" t="s">
        <v>779</v>
      </c>
      <c r="D19" s="30" t="s">
        <v>1</v>
      </c>
      <c r="E19" s="146">
        <v>54</v>
      </c>
      <c r="F19" s="28"/>
      <c r="G19" s="26"/>
    </row>
    <row r="20" spans="1:7" s="4" customFormat="1" ht="15">
      <c r="A20" s="85" t="s">
        <v>82</v>
      </c>
      <c r="B20" s="58"/>
      <c r="C20" s="61" t="s">
        <v>780</v>
      </c>
      <c r="D20" s="30" t="s">
        <v>1</v>
      </c>
      <c r="E20" s="146">
        <v>197</v>
      </c>
      <c r="F20" s="28"/>
      <c r="G20" s="26"/>
    </row>
    <row r="21" spans="1:7" s="4" customFormat="1" ht="15">
      <c r="A21" s="85" t="s">
        <v>83</v>
      </c>
      <c r="B21" s="58"/>
      <c r="C21" s="61" t="s">
        <v>781</v>
      </c>
      <c r="D21" s="30" t="s">
        <v>1</v>
      </c>
      <c r="E21" s="30">
        <v>8</v>
      </c>
      <c r="F21" s="28"/>
      <c r="G21" s="26"/>
    </row>
    <row r="22" spans="1:7" s="4" customFormat="1" ht="15">
      <c r="A22" s="85" t="s">
        <v>782</v>
      </c>
      <c r="B22" s="58"/>
      <c r="C22" s="61" t="s">
        <v>783</v>
      </c>
      <c r="D22" s="30" t="s">
        <v>1</v>
      </c>
      <c r="E22" s="146">
        <v>10</v>
      </c>
      <c r="F22" s="28"/>
      <c r="G22" s="26"/>
    </row>
    <row r="23" spans="1:7" s="4" customFormat="1" ht="15">
      <c r="A23" s="85" t="s">
        <v>784</v>
      </c>
      <c r="B23" s="58"/>
      <c r="C23" s="61" t="s">
        <v>785</v>
      </c>
      <c r="D23" s="30" t="s">
        <v>1</v>
      </c>
      <c r="E23" s="146">
        <v>18</v>
      </c>
      <c r="F23" s="28"/>
      <c r="G23" s="26"/>
    </row>
    <row r="24" spans="1:7" s="4" customFormat="1" ht="15">
      <c r="A24" s="85" t="s">
        <v>786</v>
      </c>
      <c r="B24" s="58"/>
      <c r="C24" s="61" t="s">
        <v>787</v>
      </c>
      <c r="D24" s="30" t="s">
        <v>1</v>
      </c>
      <c r="E24" s="146">
        <v>54</v>
      </c>
      <c r="F24" s="28"/>
      <c r="G24" s="26"/>
    </row>
    <row r="25" spans="1:7" s="4" customFormat="1" ht="15">
      <c r="A25" s="85" t="s">
        <v>788</v>
      </c>
      <c r="B25" s="58"/>
      <c r="C25" s="61" t="s">
        <v>789</v>
      </c>
      <c r="D25" s="30" t="s">
        <v>1</v>
      </c>
      <c r="E25" s="146">
        <v>197</v>
      </c>
      <c r="F25" s="28"/>
      <c r="G25" s="26"/>
    </row>
    <row r="26" spans="1:7" s="4" customFormat="1" ht="15">
      <c r="A26" s="85" t="s">
        <v>790</v>
      </c>
      <c r="B26" s="58"/>
      <c r="C26" s="61" t="s">
        <v>791</v>
      </c>
      <c r="D26" s="30" t="s">
        <v>792</v>
      </c>
      <c r="E26" s="147">
        <v>2</v>
      </c>
      <c r="F26" s="28"/>
      <c r="G26" s="26"/>
    </row>
    <row r="27" spans="1:7" s="4" customFormat="1" ht="15">
      <c r="A27" s="85" t="s">
        <v>793</v>
      </c>
      <c r="B27" s="58"/>
      <c r="C27" s="61" t="s">
        <v>794</v>
      </c>
      <c r="D27" s="30" t="s">
        <v>792</v>
      </c>
      <c r="E27" s="148">
        <v>3</v>
      </c>
      <c r="F27" s="28"/>
      <c r="G27" s="26"/>
    </row>
    <row r="28" spans="1:7" s="4" customFormat="1" ht="15">
      <c r="A28" s="85" t="s">
        <v>795</v>
      </c>
      <c r="B28" s="58"/>
      <c r="C28" s="61" t="s">
        <v>796</v>
      </c>
      <c r="D28" s="30" t="s">
        <v>792</v>
      </c>
      <c r="E28" s="148">
        <v>1</v>
      </c>
      <c r="F28" s="28"/>
      <c r="G28" s="26"/>
    </row>
    <row r="29" spans="1:7" s="4" customFormat="1" ht="25.5">
      <c r="A29" s="85" t="s">
        <v>797</v>
      </c>
      <c r="B29" s="58"/>
      <c r="C29" s="61" t="s">
        <v>798</v>
      </c>
      <c r="D29" s="30" t="s">
        <v>792</v>
      </c>
      <c r="E29" s="149">
        <v>1</v>
      </c>
      <c r="F29" s="28"/>
      <c r="G29" s="26"/>
    </row>
    <row r="30" spans="1:7" s="4" customFormat="1" ht="15">
      <c r="A30" s="85" t="s">
        <v>799</v>
      </c>
      <c r="B30" s="58"/>
      <c r="C30" s="61" t="s">
        <v>800</v>
      </c>
      <c r="D30" s="30" t="s">
        <v>792</v>
      </c>
      <c r="E30" s="149">
        <v>1</v>
      </c>
      <c r="F30" s="28"/>
      <c r="G30" s="26"/>
    </row>
    <row r="31" spans="1:7" s="4" customFormat="1" ht="15">
      <c r="A31" s="85" t="s">
        <v>801</v>
      </c>
      <c r="B31" s="58"/>
      <c r="C31" s="61" t="s">
        <v>802</v>
      </c>
      <c r="D31" s="30" t="s">
        <v>792</v>
      </c>
      <c r="E31" s="149">
        <v>2</v>
      </c>
      <c r="F31" s="28"/>
      <c r="G31" s="26"/>
    </row>
    <row r="32" spans="1:7" s="4" customFormat="1" ht="15">
      <c r="A32" s="85" t="s">
        <v>803</v>
      </c>
      <c r="B32" s="58"/>
      <c r="C32" s="61" t="s">
        <v>804</v>
      </c>
      <c r="D32" s="30" t="s">
        <v>792</v>
      </c>
      <c r="E32" s="149">
        <v>4</v>
      </c>
      <c r="F32" s="28"/>
      <c r="G32" s="26"/>
    </row>
    <row r="33" spans="1:7" s="4" customFormat="1" ht="15">
      <c r="A33" s="85" t="s">
        <v>805</v>
      </c>
      <c r="B33" s="58"/>
      <c r="C33" s="61" t="s">
        <v>806</v>
      </c>
      <c r="D33" s="30" t="s">
        <v>792</v>
      </c>
      <c r="E33" s="149">
        <v>1</v>
      </c>
      <c r="F33" s="28"/>
      <c r="G33" s="26"/>
    </row>
    <row r="34" spans="1:7" s="4" customFormat="1" ht="15">
      <c r="A34" s="85" t="s">
        <v>807</v>
      </c>
      <c r="B34" s="58"/>
      <c r="C34" s="61" t="s">
        <v>808</v>
      </c>
      <c r="D34" s="30" t="s">
        <v>792</v>
      </c>
      <c r="E34" s="149">
        <v>1</v>
      </c>
      <c r="F34" s="28"/>
      <c r="G34" s="26"/>
    </row>
    <row r="35" spans="1:7" s="4" customFormat="1" ht="15">
      <c r="A35" s="85" t="s">
        <v>809</v>
      </c>
      <c r="B35" s="58"/>
      <c r="C35" s="61" t="s">
        <v>810</v>
      </c>
      <c r="D35" s="30" t="s">
        <v>792</v>
      </c>
      <c r="E35" s="149">
        <v>1</v>
      </c>
      <c r="F35" s="28"/>
      <c r="G35" s="26"/>
    </row>
    <row r="36" spans="1:7" s="4" customFormat="1" ht="15">
      <c r="A36" s="85" t="s">
        <v>811</v>
      </c>
      <c r="B36" s="58"/>
      <c r="C36" s="61" t="s">
        <v>812</v>
      </c>
      <c r="D36" s="30" t="s">
        <v>792</v>
      </c>
      <c r="E36" s="149">
        <v>1</v>
      </c>
      <c r="F36" s="28"/>
      <c r="G36" s="26"/>
    </row>
    <row r="37" spans="1:7" s="4" customFormat="1" ht="15">
      <c r="A37" s="85" t="s">
        <v>813</v>
      </c>
      <c r="B37" s="58"/>
      <c r="C37" s="61" t="s">
        <v>814</v>
      </c>
      <c r="D37" s="30" t="s">
        <v>792</v>
      </c>
      <c r="E37" s="149">
        <v>9</v>
      </c>
      <c r="F37" s="28"/>
      <c r="G37" s="26"/>
    </row>
    <row r="38" spans="1:7" s="4" customFormat="1" ht="15">
      <c r="A38" s="85" t="s">
        <v>815</v>
      </c>
      <c r="B38" s="58"/>
      <c r="C38" s="61" t="s">
        <v>816</v>
      </c>
      <c r="D38" s="30" t="s">
        <v>792</v>
      </c>
      <c r="E38" s="149">
        <v>4</v>
      </c>
      <c r="F38" s="28"/>
      <c r="G38" s="26"/>
    </row>
    <row r="39" spans="1:7" s="4" customFormat="1" ht="15">
      <c r="A39" s="85" t="s">
        <v>817</v>
      </c>
      <c r="B39" s="58"/>
      <c r="C39" s="61" t="s">
        <v>818</v>
      </c>
      <c r="D39" s="30" t="s">
        <v>792</v>
      </c>
      <c r="E39" s="149">
        <v>6</v>
      </c>
      <c r="F39" s="28"/>
      <c r="G39" s="26"/>
    </row>
    <row r="40" spans="1:7" s="4" customFormat="1" ht="15">
      <c r="A40" s="85" t="s">
        <v>819</v>
      </c>
      <c r="B40" s="58"/>
      <c r="C40" s="61" t="s">
        <v>820</v>
      </c>
      <c r="D40" s="30" t="s">
        <v>792</v>
      </c>
      <c r="E40" s="149">
        <v>1</v>
      </c>
      <c r="F40" s="28"/>
      <c r="G40" s="26"/>
    </row>
    <row r="41" spans="1:7" s="4" customFormat="1" ht="15">
      <c r="A41" s="85" t="s">
        <v>821</v>
      </c>
      <c r="B41" s="58"/>
      <c r="C41" s="61" t="s">
        <v>822</v>
      </c>
      <c r="D41" s="30" t="s">
        <v>792</v>
      </c>
      <c r="E41" s="149">
        <v>2</v>
      </c>
      <c r="F41" s="28"/>
      <c r="G41" s="26"/>
    </row>
    <row r="42" spans="1:7" s="4" customFormat="1" ht="15">
      <c r="A42" s="85" t="s">
        <v>823</v>
      </c>
      <c r="B42" s="58"/>
      <c r="C42" s="61" t="s">
        <v>824</v>
      </c>
      <c r="D42" s="30" t="s">
        <v>792</v>
      </c>
      <c r="E42" s="149">
        <v>1</v>
      </c>
      <c r="F42" s="28"/>
      <c r="G42" s="26"/>
    </row>
    <row r="43" spans="1:7" s="4" customFormat="1" ht="15">
      <c r="A43" s="85" t="s">
        <v>825</v>
      </c>
      <c r="B43" s="58"/>
      <c r="C43" s="61" t="s">
        <v>826</v>
      </c>
      <c r="D43" s="30" t="s">
        <v>792</v>
      </c>
      <c r="E43" s="149">
        <v>5</v>
      </c>
      <c r="F43" s="28"/>
      <c r="G43" s="26"/>
    </row>
    <row r="44" spans="1:7" s="4" customFormat="1" ht="15">
      <c r="A44" s="85" t="s">
        <v>827</v>
      </c>
      <c r="B44" s="58"/>
      <c r="C44" s="61" t="s">
        <v>828</v>
      </c>
      <c r="D44" s="30" t="s">
        <v>792</v>
      </c>
      <c r="E44" s="149">
        <v>2</v>
      </c>
      <c r="F44" s="28"/>
      <c r="G44" s="26"/>
    </row>
    <row r="45" spans="1:7" s="4" customFormat="1" ht="15">
      <c r="A45" s="85" t="s">
        <v>829</v>
      </c>
      <c r="B45" s="58"/>
      <c r="C45" s="61" t="s">
        <v>830</v>
      </c>
      <c r="D45" s="30" t="s">
        <v>792</v>
      </c>
      <c r="E45" s="149">
        <v>1</v>
      </c>
      <c r="F45" s="28"/>
      <c r="G45" s="26"/>
    </row>
    <row r="46" spans="1:7" s="4" customFormat="1" ht="15">
      <c r="A46" s="85" t="s">
        <v>831</v>
      </c>
      <c r="B46" s="58"/>
      <c r="C46" s="61" t="s">
        <v>832</v>
      </c>
      <c r="D46" s="30" t="s">
        <v>792</v>
      </c>
      <c r="E46" s="149">
        <v>2</v>
      </c>
      <c r="F46" s="28"/>
      <c r="G46" s="26"/>
    </row>
    <row r="47" spans="1:7" s="4" customFormat="1" ht="15">
      <c r="A47" s="85" t="s">
        <v>833</v>
      </c>
      <c r="B47" s="58"/>
      <c r="C47" s="61" t="s">
        <v>834</v>
      </c>
      <c r="D47" s="30" t="s">
        <v>792</v>
      </c>
      <c r="E47" s="149">
        <v>3</v>
      </c>
      <c r="F47" s="28"/>
      <c r="G47" s="26"/>
    </row>
    <row r="48" spans="1:7" s="4" customFormat="1" ht="15">
      <c r="A48" s="85" t="s">
        <v>835</v>
      </c>
      <c r="B48" s="58"/>
      <c r="C48" s="61" t="s">
        <v>836</v>
      </c>
      <c r="D48" s="30" t="s">
        <v>792</v>
      </c>
      <c r="E48" s="149">
        <v>1</v>
      </c>
      <c r="F48" s="28"/>
      <c r="G48" s="26"/>
    </row>
    <row r="49" spans="1:7" s="4" customFormat="1" ht="15">
      <c r="A49" s="85" t="s">
        <v>837</v>
      </c>
      <c r="B49" s="58"/>
      <c r="C49" s="61" t="s">
        <v>838</v>
      </c>
      <c r="D49" s="30" t="s">
        <v>792</v>
      </c>
      <c r="E49" s="149">
        <v>1</v>
      </c>
      <c r="F49" s="28"/>
      <c r="G49" s="26"/>
    </row>
    <row r="50" spans="1:7" s="4" customFormat="1" ht="15">
      <c r="A50" s="85" t="s">
        <v>839</v>
      </c>
      <c r="B50" s="58"/>
      <c r="C50" s="61" t="s">
        <v>840</v>
      </c>
      <c r="D50" s="30" t="s">
        <v>792</v>
      </c>
      <c r="E50" s="149">
        <v>1</v>
      </c>
      <c r="F50" s="28"/>
      <c r="G50" s="26"/>
    </row>
    <row r="51" spans="1:7" s="4" customFormat="1" ht="15">
      <c r="A51" s="85" t="s">
        <v>841</v>
      </c>
      <c r="B51" s="58"/>
      <c r="C51" s="61" t="s">
        <v>842</v>
      </c>
      <c r="D51" s="30" t="s">
        <v>792</v>
      </c>
      <c r="E51" s="149">
        <v>1</v>
      </c>
      <c r="F51" s="28"/>
      <c r="G51" s="26"/>
    </row>
    <row r="52" spans="1:7" s="4" customFormat="1" ht="15">
      <c r="A52" s="85" t="s">
        <v>843</v>
      </c>
      <c r="B52" s="58"/>
      <c r="C52" s="61" t="s">
        <v>844</v>
      </c>
      <c r="D52" s="30" t="s">
        <v>792</v>
      </c>
      <c r="E52" s="149">
        <v>1</v>
      </c>
      <c r="F52" s="28"/>
      <c r="G52" s="26"/>
    </row>
    <row r="53" spans="1:7" s="4" customFormat="1" ht="15">
      <c r="A53" s="85" t="s">
        <v>845</v>
      </c>
      <c r="B53" s="58"/>
      <c r="C53" s="61" t="s">
        <v>846</v>
      </c>
      <c r="D53" s="30" t="s">
        <v>792</v>
      </c>
      <c r="E53" s="149">
        <v>1</v>
      </c>
      <c r="F53" s="28"/>
      <c r="G53" s="26"/>
    </row>
    <row r="54" spans="1:7" s="4" customFormat="1" ht="15">
      <c r="A54" s="85" t="s">
        <v>847</v>
      </c>
      <c r="B54" s="58"/>
      <c r="C54" s="61" t="s">
        <v>848</v>
      </c>
      <c r="D54" s="30" t="s">
        <v>792</v>
      </c>
      <c r="E54" s="149">
        <v>1</v>
      </c>
      <c r="F54" s="28"/>
      <c r="G54" s="26"/>
    </row>
    <row r="55" spans="1:7" s="4" customFormat="1" ht="15">
      <c r="A55" s="85" t="s">
        <v>849</v>
      </c>
      <c r="B55" s="58"/>
      <c r="C55" s="61" t="s">
        <v>832</v>
      </c>
      <c r="D55" s="30" t="s">
        <v>792</v>
      </c>
      <c r="E55" s="149">
        <v>1</v>
      </c>
      <c r="F55" s="28"/>
      <c r="G55" s="26"/>
    </row>
    <row r="56" spans="1:7" s="4" customFormat="1" ht="15">
      <c r="A56" s="85" t="s">
        <v>850</v>
      </c>
      <c r="B56" s="58"/>
      <c r="C56" s="61" t="s">
        <v>851</v>
      </c>
      <c r="D56" s="30" t="s">
        <v>792</v>
      </c>
      <c r="E56" s="149">
        <v>1</v>
      </c>
      <c r="F56" s="28"/>
      <c r="G56" s="26"/>
    </row>
    <row r="57" spans="1:7" s="4" customFormat="1" ht="15">
      <c r="A57" s="85" t="s">
        <v>852</v>
      </c>
      <c r="B57" s="58"/>
      <c r="C57" s="61" t="s">
        <v>853</v>
      </c>
      <c r="D57" s="30" t="s">
        <v>792</v>
      </c>
      <c r="E57" s="149">
        <v>1</v>
      </c>
      <c r="F57" s="28"/>
      <c r="G57" s="26"/>
    </row>
    <row r="58" spans="1:7" s="4" customFormat="1" ht="15">
      <c r="A58" s="85" t="s">
        <v>854</v>
      </c>
      <c r="B58" s="58"/>
      <c r="C58" s="61" t="s">
        <v>855</v>
      </c>
      <c r="D58" s="30" t="s">
        <v>792</v>
      </c>
      <c r="E58" s="149">
        <v>1</v>
      </c>
      <c r="F58" s="28"/>
      <c r="G58" s="26"/>
    </row>
    <row r="59" spans="1:7" s="4" customFormat="1" ht="15">
      <c r="A59" s="85" t="s">
        <v>856</v>
      </c>
      <c r="B59" s="58"/>
      <c r="C59" s="61" t="s">
        <v>857</v>
      </c>
      <c r="D59" s="30" t="s">
        <v>792</v>
      </c>
      <c r="E59" s="149">
        <v>1</v>
      </c>
      <c r="F59" s="28"/>
      <c r="G59" s="26"/>
    </row>
    <row r="60" spans="1:7" s="4" customFormat="1" ht="15">
      <c r="A60" s="85" t="s">
        <v>858</v>
      </c>
      <c r="B60" s="58"/>
      <c r="C60" s="61" t="s">
        <v>859</v>
      </c>
      <c r="D60" s="30" t="s">
        <v>792</v>
      </c>
      <c r="E60" s="149">
        <v>1</v>
      </c>
      <c r="F60" s="28"/>
      <c r="G60" s="26"/>
    </row>
    <row r="61" spans="1:7" s="4" customFormat="1" ht="15">
      <c r="A61" s="85" t="s">
        <v>860</v>
      </c>
      <c r="B61" s="58"/>
      <c r="C61" s="61" t="s">
        <v>861</v>
      </c>
      <c r="D61" s="30" t="s">
        <v>792</v>
      </c>
      <c r="E61" s="149">
        <v>1</v>
      </c>
      <c r="F61" s="28"/>
      <c r="G61" s="26"/>
    </row>
    <row r="62" spans="1:7" s="4" customFormat="1" ht="15">
      <c r="A62" s="85" t="s">
        <v>862</v>
      </c>
      <c r="B62" s="58"/>
      <c r="C62" s="61" t="s">
        <v>863</v>
      </c>
      <c r="D62" s="30" t="s">
        <v>792</v>
      </c>
      <c r="E62" s="149">
        <v>1</v>
      </c>
      <c r="F62" s="28"/>
      <c r="G62" s="26"/>
    </row>
    <row r="63" spans="1:7" s="4" customFormat="1" ht="15">
      <c r="A63" s="85" t="s">
        <v>864</v>
      </c>
      <c r="B63" s="58"/>
      <c r="C63" s="61" t="s">
        <v>865</v>
      </c>
      <c r="D63" s="30" t="s">
        <v>792</v>
      </c>
      <c r="E63" s="149">
        <v>4</v>
      </c>
      <c r="F63" s="28"/>
      <c r="G63" s="26"/>
    </row>
    <row r="64" spans="1:7" s="4" customFormat="1" ht="15">
      <c r="A64" s="85" t="s">
        <v>866</v>
      </c>
      <c r="B64" s="58"/>
      <c r="C64" s="61" t="s">
        <v>832</v>
      </c>
      <c r="D64" s="30" t="s">
        <v>792</v>
      </c>
      <c r="E64" s="149">
        <v>23</v>
      </c>
      <c r="F64" s="28"/>
      <c r="G64" s="26"/>
    </row>
    <row r="65" spans="1:7" s="4" customFormat="1" ht="15">
      <c r="A65" s="85" t="s">
        <v>867</v>
      </c>
      <c r="B65" s="58"/>
      <c r="C65" s="61" t="s">
        <v>868</v>
      </c>
      <c r="D65" s="30" t="s">
        <v>792</v>
      </c>
      <c r="E65" s="149">
        <v>1</v>
      </c>
      <c r="F65" s="28"/>
      <c r="G65" s="26"/>
    </row>
    <row r="66" spans="1:7" s="4" customFormat="1" ht="15">
      <c r="A66" s="85" t="s">
        <v>869</v>
      </c>
      <c r="B66" s="58"/>
      <c r="C66" s="61" t="s">
        <v>870</v>
      </c>
      <c r="D66" s="30" t="s">
        <v>792</v>
      </c>
      <c r="E66" s="149">
        <v>1</v>
      </c>
      <c r="F66" s="28"/>
      <c r="G66" s="26"/>
    </row>
    <row r="67" spans="1:7" s="4" customFormat="1" ht="15">
      <c r="A67" s="85" t="s">
        <v>871</v>
      </c>
      <c r="B67" s="58"/>
      <c r="C67" s="61" t="s">
        <v>872</v>
      </c>
      <c r="D67" s="30" t="s">
        <v>792</v>
      </c>
      <c r="E67" s="149">
        <v>1</v>
      </c>
      <c r="F67" s="28"/>
      <c r="G67" s="26"/>
    </row>
    <row r="68" spans="1:7" s="4" customFormat="1" ht="15">
      <c r="A68" s="85" t="s">
        <v>873</v>
      </c>
      <c r="B68" s="58"/>
      <c r="C68" s="61" t="s">
        <v>874</v>
      </c>
      <c r="D68" s="30" t="s">
        <v>792</v>
      </c>
      <c r="E68" s="149">
        <v>55</v>
      </c>
      <c r="F68" s="28"/>
      <c r="G68" s="26"/>
    </row>
    <row r="69" spans="1:7" s="4" customFormat="1" ht="15">
      <c r="A69" s="85" t="s">
        <v>875</v>
      </c>
      <c r="B69" s="58"/>
      <c r="C69" s="61" t="s">
        <v>876</v>
      </c>
      <c r="D69" s="30" t="s">
        <v>792</v>
      </c>
      <c r="E69" s="149">
        <v>55</v>
      </c>
      <c r="F69" s="28"/>
      <c r="G69" s="26"/>
    </row>
    <row r="70" spans="1:7" s="4" customFormat="1" ht="15">
      <c r="A70" s="85" t="s">
        <v>877</v>
      </c>
      <c r="B70" s="58"/>
      <c r="C70" s="61" t="s">
        <v>878</v>
      </c>
      <c r="D70" s="30" t="s">
        <v>792</v>
      </c>
      <c r="E70" s="149">
        <v>45</v>
      </c>
      <c r="F70" s="28"/>
      <c r="G70" s="26"/>
    </row>
    <row r="71" spans="1:7" s="4" customFormat="1" ht="15">
      <c r="A71" s="85" t="s">
        <v>879</v>
      </c>
      <c r="B71" s="58"/>
      <c r="C71" s="61" t="s">
        <v>880</v>
      </c>
      <c r="D71" s="30" t="s">
        <v>792</v>
      </c>
      <c r="E71" s="149">
        <v>20</v>
      </c>
      <c r="F71" s="28"/>
      <c r="G71" s="26"/>
    </row>
    <row r="72" spans="1:7" s="4" customFormat="1" ht="15">
      <c r="A72" s="85" t="s">
        <v>881</v>
      </c>
      <c r="B72" s="58"/>
      <c r="C72" s="61" t="s">
        <v>882</v>
      </c>
      <c r="D72" s="30" t="s">
        <v>792</v>
      </c>
      <c r="E72" s="149">
        <v>4</v>
      </c>
      <c r="F72" s="28"/>
      <c r="G72" s="26"/>
    </row>
    <row r="73" spans="1:7" s="4" customFormat="1" ht="15">
      <c r="A73" s="85" t="s">
        <v>883</v>
      </c>
      <c r="B73" s="58"/>
      <c r="C73" s="61" t="s">
        <v>884</v>
      </c>
      <c r="D73" s="30" t="s">
        <v>792</v>
      </c>
      <c r="E73" s="149">
        <v>6</v>
      </c>
      <c r="F73" s="28"/>
      <c r="G73" s="26"/>
    </row>
    <row r="74" spans="1:7" s="4" customFormat="1" ht="15">
      <c r="A74" s="85" t="s">
        <v>885</v>
      </c>
      <c r="B74" s="58"/>
      <c r="C74" s="61" t="s">
        <v>886</v>
      </c>
      <c r="D74" s="30" t="s">
        <v>792</v>
      </c>
      <c r="E74" s="149">
        <v>15</v>
      </c>
      <c r="F74" s="28"/>
      <c r="G74" s="26"/>
    </row>
    <row r="75" spans="1:7" s="4" customFormat="1" ht="15">
      <c r="A75" s="85" t="s">
        <v>887</v>
      </c>
      <c r="B75" s="58"/>
      <c r="C75" s="61" t="s">
        <v>888</v>
      </c>
      <c r="D75" s="30" t="s">
        <v>792</v>
      </c>
      <c r="E75" s="149">
        <v>63</v>
      </c>
      <c r="F75" s="28"/>
      <c r="G75" s="26"/>
    </row>
    <row r="76" spans="1:7" s="4" customFormat="1" ht="15">
      <c r="A76" s="85" t="s">
        <v>889</v>
      </c>
      <c r="B76" s="58"/>
      <c r="C76" s="61" t="s">
        <v>890</v>
      </c>
      <c r="D76" s="30" t="s">
        <v>792</v>
      </c>
      <c r="E76" s="149">
        <v>290</v>
      </c>
      <c r="F76" s="28"/>
      <c r="G76" s="26"/>
    </row>
    <row r="77" spans="1:7" s="4" customFormat="1" ht="15">
      <c r="A77" s="85" t="s">
        <v>891</v>
      </c>
      <c r="B77" s="58"/>
      <c r="C77" s="61" t="s">
        <v>892</v>
      </c>
      <c r="D77" s="30" t="s">
        <v>893</v>
      </c>
      <c r="E77" s="149">
        <v>1</v>
      </c>
      <c r="F77" s="28"/>
      <c r="G77" s="26"/>
    </row>
    <row r="78" spans="1:7" s="4" customFormat="1" ht="15">
      <c r="A78" s="85" t="s">
        <v>894</v>
      </c>
      <c r="B78" s="58"/>
      <c r="C78" s="61" t="s">
        <v>895</v>
      </c>
      <c r="D78" s="30" t="s">
        <v>792</v>
      </c>
      <c r="E78" s="149">
        <v>2</v>
      </c>
      <c r="F78" s="28"/>
      <c r="G78" s="26"/>
    </row>
    <row r="79" spans="1:7" s="4" customFormat="1" ht="15">
      <c r="A79" s="129" t="s">
        <v>896</v>
      </c>
      <c r="B79" s="130"/>
      <c r="C79" s="152" t="s">
        <v>880</v>
      </c>
      <c r="D79" s="153" t="s">
        <v>792</v>
      </c>
      <c r="E79" s="154">
        <v>20</v>
      </c>
      <c r="F79" s="131"/>
      <c r="G79" s="132"/>
    </row>
    <row r="80" spans="1:7" s="4" customFormat="1" ht="15" customHeight="1">
      <c r="A80" s="240"/>
      <c r="B80" s="240"/>
      <c r="C80" s="136" t="s">
        <v>2129</v>
      </c>
      <c r="D80" s="240"/>
      <c r="E80" s="155"/>
      <c r="F80" s="155"/>
      <c r="G80" s="155"/>
    </row>
    <row r="81" spans="1:7">
      <c r="A81" s="4"/>
      <c r="B81" s="4"/>
      <c r="C81" s="4"/>
      <c r="D81" s="4"/>
      <c r="E81" s="4"/>
      <c r="F81" s="4"/>
      <c r="G81" s="4"/>
    </row>
    <row r="82" spans="1:7">
      <c r="A82" s="4"/>
      <c r="B82" s="4"/>
      <c r="C82" s="245" t="s">
        <v>21</v>
      </c>
      <c r="D82" s="245"/>
      <c r="E82" s="245"/>
      <c r="F82" s="245"/>
      <c r="G82" s="245"/>
    </row>
    <row r="83" spans="1:7">
      <c r="A83" s="4"/>
      <c r="B83" s="4"/>
      <c r="C83" s="247" t="s">
        <v>5</v>
      </c>
      <c r="D83" s="247"/>
      <c r="E83" s="247"/>
      <c r="F83" s="247"/>
      <c r="G83" s="247"/>
    </row>
    <row r="84" spans="1:7">
      <c r="A84" s="4"/>
      <c r="B84" s="4"/>
      <c r="C84" s="27"/>
      <c r="D84" s="27"/>
      <c r="E84" s="27"/>
      <c r="F84" s="27"/>
      <c r="G84" s="27"/>
    </row>
    <row r="85" spans="1:7">
      <c r="A85" s="4"/>
      <c r="B85" s="4"/>
      <c r="C85" s="245" t="s">
        <v>22</v>
      </c>
      <c r="D85" s="245"/>
      <c r="E85" s="245"/>
      <c r="F85" s="245"/>
      <c r="G85" s="245"/>
    </row>
    <row r="86" spans="1:7">
      <c r="A86" s="4"/>
      <c r="B86" s="4"/>
      <c r="C86" s="247" t="s">
        <v>5</v>
      </c>
      <c r="D86" s="247"/>
      <c r="E86" s="247"/>
      <c r="F86" s="247"/>
      <c r="G86" s="247"/>
    </row>
    <row r="87" spans="1:7">
      <c r="A87" s="4"/>
      <c r="B87" s="4"/>
      <c r="C87" s="27"/>
      <c r="D87" s="27"/>
      <c r="E87" s="27"/>
      <c r="F87" s="27"/>
      <c r="G87" s="27"/>
    </row>
    <row r="88" spans="1:7">
      <c r="A88" s="4"/>
      <c r="B88" s="4"/>
      <c r="C88" s="50" t="s">
        <v>35</v>
      </c>
      <c r="D88" s="49"/>
      <c r="E88" s="49"/>
      <c r="F88" s="49"/>
      <c r="G88" s="4"/>
    </row>
    <row r="90" spans="1:7">
      <c r="C90" s="1" t="s">
        <v>16</v>
      </c>
    </row>
    <row r="92" spans="1:7" ht="51">
      <c r="B92" s="138" t="s">
        <v>765</v>
      </c>
      <c r="C92" s="98" t="s">
        <v>17</v>
      </c>
      <c r="D92" s="98"/>
      <c r="E92" s="98"/>
      <c r="F92" s="98"/>
      <c r="G92" s="98"/>
    </row>
    <row r="93" spans="1:7" ht="38.25">
      <c r="B93" s="138" t="s">
        <v>766</v>
      </c>
      <c r="C93" s="98" t="s">
        <v>767</v>
      </c>
      <c r="D93" s="98"/>
      <c r="E93" s="98"/>
      <c r="F93" s="98"/>
      <c r="G93" s="98"/>
    </row>
    <row r="94" spans="1:7" ht="25.5">
      <c r="B94" s="140" t="s">
        <v>768</v>
      </c>
      <c r="C94" s="141" t="s">
        <v>769</v>
      </c>
      <c r="D94" s="113"/>
      <c r="E94" s="114"/>
      <c r="F94" s="113"/>
      <c r="G94" s="114"/>
    </row>
    <row r="95" spans="1:7">
      <c r="C95" s="24"/>
      <c r="D95" s="20"/>
      <c r="E95" s="25"/>
      <c r="F95" s="10"/>
      <c r="G95" s="10"/>
    </row>
    <row r="96" spans="1:7">
      <c r="C96" s="22"/>
      <c r="D96" s="20"/>
      <c r="E96" s="25"/>
      <c r="F96" s="10"/>
      <c r="G96" s="10"/>
    </row>
    <row r="97" spans="3:7">
      <c r="C97" s="8"/>
      <c r="D97" s="9"/>
      <c r="E97" s="10"/>
      <c r="F97" s="10"/>
      <c r="G97" s="10"/>
    </row>
    <row r="98" spans="3:7">
      <c r="C98" s="12"/>
      <c r="D98" s="9"/>
      <c r="E98" s="10"/>
      <c r="F98" s="10"/>
      <c r="G98" s="10"/>
    </row>
    <row r="99" spans="3:7">
      <c r="C99" s="2"/>
      <c r="D99" s="2"/>
      <c r="E99" s="10"/>
      <c r="F99" s="10"/>
      <c r="G99" s="10"/>
    </row>
    <row r="100" spans="3:7">
      <c r="C100" s="2"/>
      <c r="D100" s="2"/>
      <c r="E100" s="20"/>
      <c r="F100" s="10"/>
      <c r="G100" s="10"/>
    </row>
    <row r="101" spans="3:7">
      <c r="C101" s="2"/>
      <c r="D101" s="2"/>
      <c r="E101" s="10"/>
      <c r="F101" s="10"/>
      <c r="G101" s="10"/>
    </row>
    <row r="102" spans="3:7">
      <c r="C102" s="2"/>
      <c r="D102" s="2"/>
      <c r="E102" s="25"/>
      <c r="F102" s="10"/>
      <c r="G102" s="10"/>
    </row>
    <row r="103" spans="3:7">
      <c r="C103" s="2"/>
      <c r="D103" s="2"/>
      <c r="E103" s="5"/>
      <c r="F103" s="6"/>
      <c r="G103" s="5"/>
    </row>
    <row r="104" spans="3:7">
      <c r="C104" s="2"/>
      <c r="D104" s="2"/>
      <c r="E104" s="5"/>
      <c r="F104" s="6"/>
      <c r="G104" s="5"/>
    </row>
    <row r="105" spans="3:7">
      <c r="C105" s="2"/>
      <c r="D105" s="2"/>
      <c r="E105" s="25"/>
      <c r="F105" s="10"/>
      <c r="G105" s="10"/>
    </row>
    <row r="106" spans="3:7">
      <c r="C106" s="2"/>
      <c r="D106" s="2"/>
      <c r="E106" s="25"/>
      <c r="F106" s="10"/>
      <c r="G106" s="10"/>
    </row>
    <row r="107" spans="3:7">
      <c r="C107" s="2"/>
      <c r="D107" s="2"/>
      <c r="E107" s="25"/>
      <c r="F107" s="10"/>
      <c r="G107" s="10"/>
    </row>
    <row r="108" spans="3:7">
      <c r="C108" s="8"/>
      <c r="D108" s="9"/>
      <c r="E108" s="10"/>
      <c r="F108" s="10"/>
      <c r="G108" s="10"/>
    </row>
    <row r="109" spans="3:7">
      <c r="C109" s="12"/>
      <c r="D109" s="9"/>
      <c r="E109" s="10"/>
      <c r="F109" s="10"/>
      <c r="G109" s="10"/>
    </row>
    <row r="110" spans="3:7">
      <c r="C110" s="12"/>
      <c r="D110" s="9"/>
      <c r="E110" s="10"/>
      <c r="F110" s="10"/>
      <c r="G110" s="10"/>
    </row>
    <row r="111" spans="3:7">
      <c r="C111" s="8"/>
      <c r="D111" s="9"/>
      <c r="E111" s="10"/>
      <c r="F111" s="10"/>
      <c r="G111" s="10"/>
    </row>
    <row r="112" spans="3:7">
      <c r="C112" s="12"/>
      <c r="D112" s="9"/>
      <c r="E112" s="10"/>
      <c r="F112" s="10"/>
      <c r="G112" s="10"/>
    </row>
    <row r="113" spans="3:7">
      <c r="C113" s="12"/>
      <c r="D113" s="9"/>
      <c r="E113" s="10"/>
      <c r="F113" s="10"/>
      <c r="G113" s="10"/>
    </row>
    <row r="114" spans="3:7">
      <c r="C114" s="32"/>
      <c r="D114" s="20"/>
      <c r="E114" s="25"/>
      <c r="F114" s="10"/>
      <c r="G114" s="10"/>
    </row>
    <row r="115" spans="3:7">
      <c r="C115" s="24"/>
      <c r="D115" s="20"/>
      <c r="E115" s="25"/>
      <c r="F115" s="10"/>
      <c r="G115" s="10"/>
    </row>
    <row r="116" spans="3:7">
      <c r="C116" s="22"/>
      <c r="D116" s="20"/>
      <c r="E116" s="25"/>
      <c r="F116" s="10"/>
      <c r="G116" s="10"/>
    </row>
    <row r="117" spans="3:7">
      <c r="C117" s="8"/>
      <c r="D117" s="9"/>
      <c r="E117" s="10"/>
      <c r="F117" s="10"/>
      <c r="G117" s="10"/>
    </row>
    <row r="118" spans="3:7">
      <c r="C118" s="12"/>
      <c r="D118" s="9"/>
      <c r="E118" s="10"/>
      <c r="F118" s="10"/>
      <c r="G118" s="10"/>
    </row>
    <row r="119" spans="3:7">
      <c r="C119" s="12"/>
      <c r="D119" s="9"/>
      <c r="E119" s="10"/>
      <c r="F119" s="10"/>
      <c r="G119" s="10"/>
    </row>
    <row r="120" spans="3:7">
      <c r="C120" s="33"/>
      <c r="D120" s="20"/>
      <c r="E120" s="10"/>
      <c r="F120" s="10"/>
      <c r="G120" s="10"/>
    </row>
    <row r="121" spans="3:7">
      <c r="C121" s="23"/>
      <c r="D121" s="20"/>
      <c r="E121" s="10"/>
      <c r="F121" s="10"/>
      <c r="G121" s="10"/>
    </row>
    <row r="122" spans="3:7">
      <c r="C122" s="23"/>
      <c r="D122" s="20"/>
      <c r="E122" s="10"/>
      <c r="F122" s="10"/>
      <c r="G122" s="10"/>
    </row>
    <row r="123" spans="3:7">
      <c r="C123" s="8"/>
      <c r="D123" s="9"/>
      <c r="E123" s="10"/>
      <c r="F123" s="10"/>
      <c r="G123" s="10"/>
    </row>
    <row r="124" spans="3:7">
      <c r="C124" s="12"/>
      <c r="D124" s="9"/>
      <c r="E124" s="10"/>
      <c r="F124" s="10"/>
      <c r="G124" s="10"/>
    </row>
    <row r="125" spans="3:7">
      <c r="C125" s="8"/>
      <c r="D125" s="20"/>
      <c r="E125" s="10"/>
      <c r="F125" s="10"/>
      <c r="G125" s="10"/>
    </row>
    <row r="126" spans="3:7">
      <c r="C126" s="12"/>
      <c r="D126" s="20"/>
      <c r="E126" s="10"/>
      <c r="F126" s="10"/>
      <c r="G126" s="10"/>
    </row>
    <row r="127" spans="3:7">
      <c r="C127" s="34"/>
      <c r="D127" s="20"/>
      <c r="E127" s="10"/>
      <c r="F127" s="10"/>
      <c r="G127" s="10"/>
    </row>
    <row r="128" spans="3:7">
      <c r="C128" s="23"/>
      <c r="D128" s="20"/>
      <c r="E128" s="10"/>
      <c r="F128" s="10"/>
      <c r="G128" s="10"/>
    </row>
    <row r="129" spans="3:7">
      <c r="C129" s="23"/>
      <c r="D129" s="20"/>
      <c r="E129" s="10"/>
      <c r="F129" s="10"/>
      <c r="G129" s="10"/>
    </row>
    <row r="130" spans="3:7">
      <c r="C130" s="23"/>
      <c r="D130" s="20"/>
      <c r="E130" s="10"/>
      <c r="F130" s="10"/>
      <c r="G130" s="10"/>
    </row>
    <row r="131" spans="3:7">
      <c r="C131" s="34"/>
      <c r="D131" s="20"/>
      <c r="E131" s="10"/>
      <c r="F131" s="10"/>
      <c r="G131" s="10"/>
    </row>
    <row r="132" spans="3:7">
      <c r="C132" s="23"/>
      <c r="D132" s="20"/>
      <c r="E132" s="10"/>
      <c r="F132" s="10"/>
      <c r="G132" s="10"/>
    </row>
    <row r="133" spans="3:7">
      <c r="C133" s="23"/>
      <c r="D133" s="20"/>
      <c r="E133" s="10"/>
      <c r="F133" s="10"/>
      <c r="G133" s="10"/>
    </row>
    <row r="134" spans="3:7">
      <c r="C134" s="34"/>
      <c r="D134" s="20"/>
      <c r="E134" s="10"/>
      <c r="F134" s="10"/>
      <c r="G134" s="10"/>
    </row>
    <row r="135" spans="3:7">
      <c r="C135" s="23"/>
      <c r="D135" s="20"/>
      <c r="E135" s="10"/>
      <c r="F135" s="10"/>
      <c r="G135" s="10"/>
    </row>
    <row r="136" spans="3:7">
      <c r="C136" s="23"/>
      <c r="D136" s="20"/>
      <c r="E136" s="10"/>
      <c r="F136" s="10"/>
      <c r="G136" s="10"/>
    </row>
    <row r="137" spans="3:7">
      <c r="C137" s="32"/>
      <c r="D137" s="20"/>
      <c r="E137" s="25"/>
      <c r="F137" s="10"/>
      <c r="G137" s="10"/>
    </row>
    <row r="138" spans="3:7">
      <c r="C138" s="21"/>
      <c r="D138" s="20"/>
      <c r="E138" s="25"/>
      <c r="F138" s="10"/>
      <c r="G138" s="10"/>
    </row>
    <row r="139" spans="3:7">
      <c r="C139" s="22"/>
      <c r="D139" s="20"/>
      <c r="E139" s="25"/>
      <c r="F139" s="10"/>
      <c r="G139" s="10"/>
    </row>
    <row r="140" spans="3:7">
      <c r="C140" s="33"/>
      <c r="D140" s="20"/>
      <c r="E140" s="10"/>
      <c r="F140" s="10"/>
      <c r="G140" s="10"/>
    </row>
    <row r="141" spans="3:7">
      <c r="C141" s="23"/>
      <c r="D141" s="20"/>
      <c r="E141" s="10"/>
      <c r="F141" s="10"/>
      <c r="G141" s="10"/>
    </row>
    <row r="142" spans="3:7">
      <c r="C142" s="23"/>
      <c r="D142" s="20"/>
      <c r="E142" s="10"/>
      <c r="F142" s="10"/>
      <c r="G142" s="10"/>
    </row>
    <row r="143" spans="3:7">
      <c r="C143" s="34"/>
      <c r="D143" s="20"/>
      <c r="E143" s="10"/>
      <c r="F143" s="10"/>
      <c r="G143" s="10"/>
    </row>
    <row r="144" spans="3:7">
      <c r="C144" s="23"/>
      <c r="D144" s="20"/>
      <c r="E144" s="10"/>
      <c r="F144" s="10"/>
      <c r="G144" s="10"/>
    </row>
    <row r="145" spans="3:7">
      <c r="C145" s="23"/>
      <c r="D145" s="20"/>
      <c r="E145" s="10"/>
      <c r="F145" s="10"/>
      <c r="G145" s="10"/>
    </row>
    <row r="146" spans="3:7">
      <c r="C146" s="23"/>
      <c r="D146" s="20"/>
      <c r="E146" s="10"/>
      <c r="F146" s="10"/>
      <c r="G146" s="10"/>
    </row>
    <row r="147" spans="3:7">
      <c r="C147" s="34"/>
      <c r="D147" s="20"/>
      <c r="E147" s="10"/>
      <c r="F147" s="10"/>
      <c r="G147" s="10"/>
    </row>
    <row r="148" spans="3:7">
      <c r="C148" s="23"/>
      <c r="D148" s="20"/>
      <c r="E148" s="10"/>
      <c r="F148" s="10"/>
      <c r="G148" s="10"/>
    </row>
    <row r="149" spans="3:7">
      <c r="C149" s="23"/>
      <c r="D149" s="20"/>
      <c r="E149" s="10"/>
      <c r="F149" s="10"/>
      <c r="G149" s="10"/>
    </row>
    <row r="150" spans="3:7">
      <c r="C150" s="34"/>
      <c r="D150" s="20"/>
      <c r="E150" s="10"/>
      <c r="F150" s="10"/>
      <c r="G150" s="10"/>
    </row>
    <row r="151" spans="3:7">
      <c r="C151" s="23"/>
      <c r="D151" s="20"/>
      <c r="E151" s="10"/>
      <c r="F151" s="10"/>
      <c r="G151" s="10"/>
    </row>
    <row r="152" spans="3:7">
      <c r="C152" s="23"/>
      <c r="D152" s="20"/>
      <c r="E152" s="10"/>
      <c r="F152" s="10"/>
      <c r="G152" s="10"/>
    </row>
    <row r="153" spans="3:7">
      <c r="C153" s="7"/>
      <c r="D153" s="20"/>
      <c r="E153" s="10"/>
      <c r="F153" s="10"/>
      <c r="G153" s="10"/>
    </row>
    <row r="154" spans="3:7">
      <c r="C154" s="21"/>
      <c r="D154" s="20"/>
      <c r="E154" s="25"/>
      <c r="F154" s="10"/>
      <c r="G154" s="10"/>
    </row>
    <row r="155" spans="3:7">
      <c r="C155" s="22"/>
      <c r="D155" s="20"/>
      <c r="E155" s="25"/>
      <c r="F155" s="10"/>
      <c r="G155" s="10"/>
    </row>
    <row r="156" spans="3:7">
      <c r="C156" s="33"/>
      <c r="D156" s="20"/>
      <c r="E156" s="10"/>
      <c r="F156" s="10"/>
      <c r="G156" s="10"/>
    </row>
    <row r="157" spans="3:7">
      <c r="C157" s="23"/>
      <c r="D157" s="20"/>
      <c r="E157" s="10"/>
      <c r="F157" s="10"/>
      <c r="G157" s="10"/>
    </row>
    <row r="158" spans="3:7">
      <c r="C158" s="23"/>
      <c r="D158" s="20"/>
      <c r="E158" s="10"/>
      <c r="F158" s="10"/>
      <c r="G158" s="10"/>
    </row>
    <row r="159" spans="3:7">
      <c r="C159" s="8"/>
      <c r="D159" s="9"/>
      <c r="E159" s="10"/>
      <c r="F159" s="10"/>
      <c r="G159" s="10"/>
    </row>
    <row r="160" spans="3:7">
      <c r="C160" s="22"/>
      <c r="D160" s="20"/>
      <c r="E160" s="25"/>
      <c r="F160" s="10"/>
      <c r="G160" s="10"/>
    </row>
    <row r="161" spans="3:7">
      <c r="C161" s="22"/>
      <c r="D161" s="20"/>
      <c r="E161" s="25"/>
      <c r="F161" s="10"/>
      <c r="G161" s="10"/>
    </row>
    <row r="162" spans="3:7">
      <c r="C162" s="22"/>
      <c r="D162" s="20"/>
      <c r="E162" s="25"/>
      <c r="F162" s="10"/>
      <c r="G162" s="10"/>
    </row>
    <row r="163" spans="3:7">
      <c r="C163" s="22"/>
      <c r="D163" s="20"/>
      <c r="E163" s="25"/>
      <c r="F163" s="10"/>
      <c r="G163" s="10"/>
    </row>
    <row r="164" spans="3:7">
      <c r="C164" s="21"/>
      <c r="D164" s="20"/>
      <c r="E164" s="25"/>
      <c r="F164" s="10"/>
      <c r="G164" s="10"/>
    </row>
    <row r="165" spans="3:7">
      <c r="C165" s="22"/>
      <c r="D165" s="20"/>
      <c r="E165" s="25"/>
      <c r="F165" s="10"/>
      <c r="G165" s="10"/>
    </row>
    <row r="166" spans="3:7">
      <c r="C166" s="22"/>
      <c r="D166" s="20"/>
      <c r="E166" s="25"/>
      <c r="F166" s="10"/>
      <c r="G166" s="10"/>
    </row>
    <row r="167" spans="3:7">
      <c r="C167" s="22"/>
      <c r="D167" s="20"/>
      <c r="E167" s="25"/>
      <c r="F167" s="10"/>
      <c r="G167" s="10"/>
    </row>
    <row r="168" spans="3:7">
      <c r="C168" s="22"/>
      <c r="D168" s="20"/>
      <c r="E168" s="25"/>
      <c r="F168" s="10"/>
      <c r="G168" s="10"/>
    </row>
    <row r="169" spans="3:7">
      <c r="C169" s="7"/>
      <c r="D169" s="20"/>
      <c r="E169" s="10"/>
      <c r="F169" s="10"/>
      <c r="G169" s="10"/>
    </row>
    <row r="170" spans="3:7">
      <c r="C170" s="21"/>
      <c r="D170" s="20"/>
      <c r="E170" s="25"/>
      <c r="F170" s="10"/>
      <c r="G170" s="10"/>
    </row>
    <row r="171" spans="3:7">
      <c r="C171" s="22"/>
      <c r="D171" s="20"/>
      <c r="E171" s="25"/>
      <c r="F171" s="10"/>
      <c r="G171" s="10"/>
    </row>
    <row r="172" spans="3:7">
      <c r="C172" s="33"/>
      <c r="D172" s="20"/>
      <c r="E172" s="10"/>
      <c r="F172" s="10"/>
      <c r="G172" s="10"/>
    </row>
    <row r="173" spans="3:7">
      <c r="C173" s="23"/>
      <c r="D173" s="20"/>
      <c r="E173" s="10"/>
      <c r="F173" s="10"/>
      <c r="G173" s="10"/>
    </row>
    <row r="174" spans="3:7">
      <c r="C174" s="23"/>
      <c r="D174" s="20"/>
      <c r="E174" s="10"/>
      <c r="F174" s="10"/>
      <c r="G174" s="10"/>
    </row>
    <row r="175" spans="3:7">
      <c r="C175" s="8"/>
      <c r="D175" s="9"/>
      <c r="E175" s="10"/>
      <c r="F175" s="10"/>
      <c r="G175" s="10"/>
    </row>
    <row r="176" spans="3:7">
      <c r="C176" s="22"/>
      <c r="D176" s="20"/>
      <c r="E176" s="25"/>
      <c r="F176" s="10"/>
      <c r="G176" s="10"/>
    </row>
    <row r="177" spans="3:7">
      <c r="C177" s="22"/>
      <c r="D177" s="20"/>
      <c r="E177" s="25"/>
      <c r="F177" s="10"/>
      <c r="G177" s="10"/>
    </row>
    <row r="178" spans="3:7">
      <c r="C178" s="22"/>
      <c r="D178" s="20"/>
      <c r="E178" s="25"/>
      <c r="F178" s="10"/>
      <c r="G178" s="10"/>
    </row>
    <row r="179" spans="3:7">
      <c r="C179" s="21"/>
      <c r="D179" s="20"/>
      <c r="E179" s="25"/>
      <c r="F179" s="10"/>
      <c r="G179" s="10"/>
    </row>
    <row r="180" spans="3:7">
      <c r="C180" s="22"/>
      <c r="D180" s="20"/>
      <c r="E180" s="25"/>
      <c r="F180" s="10"/>
      <c r="G180" s="10"/>
    </row>
    <row r="181" spans="3:7">
      <c r="C181" s="22"/>
      <c r="D181" s="20"/>
      <c r="E181" s="25"/>
      <c r="F181" s="10"/>
      <c r="G181" s="10"/>
    </row>
    <row r="182" spans="3:7">
      <c r="C182" s="22"/>
      <c r="D182" s="20"/>
      <c r="E182" s="25"/>
      <c r="F182" s="10"/>
      <c r="G182" s="10"/>
    </row>
    <row r="183" spans="3:7">
      <c r="C183" s="35"/>
      <c r="D183" s="20"/>
      <c r="E183" s="10"/>
      <c r="F183" s="10"/>
      <c r="G183" s="10"/>
    </row>
    <row r="184" spans="3:7">
      <c r="C184" s="21"/>
      <c r="D184" s="20"/>
      <c r="E184" s="25"/>
      <c r="F184" s="10"/>
      <c r="G184" s="10"/>
    </row>
    <row r="185" spans="3:7">
      <c r="C185" s="22"/>
      <c r="D185" s="20"/>
      <c r="E185" s="25"/>
      <c r="F185" s="10"/>
      <c r="G185" s="10"/>
    </row>
    <row r="186" spans="3:7">
      <c r="C186" s="33"/>
      <c r="D186" s="20"/>
      <c r="E186" s="10"/>
      <c r="F186" s="10"/>
      <c r="G186" s="10"/>
    </row>
    <row r="187" spans="3:7">
      <c r="C187" s="23"/>
      <c r="D187" s="20"/>
      <c r="E187" s="10"/>
      <c r="F187" s="10"/>
      <c r="G187" s="10"/>
    </row>
    <row r="188" spans="3:7">
      <c r="C188" s="23"/>
      <c r="D188" s="20"/>
      <c r="E188" s="10"/>
      <c r="F188" s="10"/>
      <c r="G188" s="10"/>
    </row>
    <row r="189" spans="3:7">
      <c r="C189" s="34"/>
      <c r="D189" s="20"/>
      <c r="E189" s="10"/>
      <c r="F189" s="10"/>
      <c r="G189" s="10"/>
    </row>
    <row r="190" spans="3:7">
      <c r="C190" s="23"/>
      <c r="D190" s="20"/>
      <c r="E190" s="10"/>
      <c r="F190" s="10"/>
      <c r="G190" s="10"/>
    </row>
    <row r="191" spans="3:7">
      <c r="C191" s="23"/>
      <c r="D191" s="20"/>
      <c r="E191" s="10"/>
      <c r="F191" s="10"/>
      <c r="G191" s="10"/>
    </row>
    <row r="192" spans="3:7">
      <c r="C192" s="34"/>
      <c r="D192" s="20"/>
      <c r="E192" s="10"/>
      <c r="F192" s="10"/>
      <c r="G192" s="10"/>
    </row>
    <row r="193" spans="3:7">
      <c r="C193" s="23"/>
      <c r="D193" s="20"/>
      <c r="E193" s="10"/>
      <c r="F193" s="10"/>
      <c r="G193" s="10"/>
    </row>
    <row r="194" spans="3:7">
      <c r="C194" s="23"/>
      <c r="D194" s="20"/>
      <c r="E194" s="10"/>
      <c r="F194" s="10"/>
      <c r="G194" s="10"/>
    </row>
    <row r="195" spans="3:7">
      <c r="C195" s="7"/>
      <c r="D195" s="20"/>
      <c r="E195" s="10"/>
      <c r="F195" s="10"/>
      <c r="G195" s="10"/>
    </row>
    <row r="196" spans="3:7">
      <c r="C196" s="7"/>
      <c r="D196" s="20"/>
      <c r="E196" s="10"/>
      <c r="F196" s="10"/>
      <c r="G196" s="10"/>
    </row>
    <row r="197" spans="3:7">
      <c r="C197" s="21"/>
      <c r="D197" s="20"/>
      <c r="E197" s="25"/>
      <c r="F197" s="10"/>
      <c r="G197" s="10"/>
    </row>
    <row r="198" spans="3:7">
      <c r="C198" s="22"/>
      <c r="D198" s="20"/>
      <c r="E198" s="25"/>
      <c r="F198" s="10"/>
      <c r="G198" s="10"/>
    </row>
    <row r="199" spans="3:7">
      <c r="C199" s="33"/>
      <c r="D199" s="20"/>
      <c r="E199" s="10"/>
      <c r="F199" s="10"/>
      <c r="G199" s="10"/>
    </row>
    <row r="200" spans="3:7">
      <c r="C200" s="23"/>
      <c r="D200" s="20"/>
      <c r="E200" s="10"/>
      <c r="F200" s="10"/>
      <c r="G200" s="10"/>
    </row>
    <row r="201" spans="3:7">
      <c r="C201" s="23"/>
      <c r="D201" s="20"/>
      <c r="E201" s="10"/>
      <c r="F201" s="10"/>
      <c r="G201" s="10"/>
    </row>
    <row r="202" spans="3:7">
      <c r="C202" s="8"/>
      <c r="D202" s="9"/>
      <c r="E202" s="10"/>
      <c r="F202" s="10"/>
      <c r="G202" s="10"/>
    </row>
    <row r="203" spans="3:7">
      <c r="C203" s="22"/>
      <c r="D203" s="20"/>
      <c r="E203" s="25"/>
      <c r="F203" s="10"/>
      <c r="G203" s="10"/>
    </row>
    <row r="204" spans="3:7">
      <c r="C204" s="22"/>
      <c r="D204" s="20"/>
      <c r="E204" s="25"/>
      <c r="F204" s="10"/>
      <c r="G204" s="10"/>
    </row>
    <row r="205" spans="3:7">
      <c r="C205" s="22"/>
      <c r="D205" s="20"/>
      <c r="E205" s="25"/>
      <c r="F205" s="10"/>
      <c r="G205" s="10"/>
    </row>
    <row r="206" spans="3:7">
      <c r="C206" s="21"/>
      <c r="D206" s="20"/>
      <c r="E206" s="25"/>
      <c r="F206" s="10"/>
      <c r="G206" s="10"/>
    </row>
    <row r="207" spans="3:7">
      <c r="C207" s="22"/>
      <c r="D207" s="20"/>
      <c r="E207" s="25"/>
      <c r="F207" s="10"/>
      <c r="G207" s="10"/>
    </row>
    <row r="208" spans="3:7">
      <c r="C208" s="22"/>
      <c r="D208" s="20"/>
      <c r="E208" s="25"/>
      <c r="F208" s="10"/>
      <c r="G208" s="10"/>
    </row>
    <row r="209" spans="3:7">
      <c r="C209" s="22"/>
      <c r="D209" s="20"/>
      <c r="E209" s="25"/>
      <c r="F209" s="10"/>
      <c r="G209" s="10"/>
    </row>
    <row r="210" spans="3:7">
      <c r="C210" s="35"/>
      <c r="D210" s="20"/>
      <c r="E210" s="10"/>
      <c r="F210" s="10"/>
      <c r="G210" s="10"/>
    </row>
    <row r="211" spans="3:7">
      <c r="C211" s="21"/>
      <c r="D211" s="20"/>
      <c r="E211" s="25"/>
      <c r="F211" s="10"/>
      <c r="G211" s="10"/>
    </row>
    <row r="212" spans="3:7">
      <c r="C212" s="22"/>
      <c r="D212" s="20"/>
      <c r="E212" s="25"/>
      <c r="F212" s="10"/>
      <c r="G212" s="10"/>
    </row>
    <row r="213" spans="3:7">
      <c r="C213" s="33"/>
      <c r="D213" s="20"/>
      <c r="E213" s="10"/>
      <c r="F213" s="10"/>
      <c r="G213" s="10"/>
    </row>
    <row r="214" spans="3:7">
      <c r="C214" s="23"/>
      <c r="D214" s="20"/>
      <c r="E214" s="10"/>
      <c r="F214" s="10"/>
      <c r="G214" s="10"/>
    </row>
    <row r="215" spans="3:7">
      <c r="C215" s="23"/>
      <c r="D215" s="20"/>
      <c r="E215" s="10"/>
      <c r="F215" s="10"/>
      <c r="G215" s="10"/>
    </row>
    <row r="216" spans="3:7">
      <c r="C216" s="34"/>
      <c r="D216" s="20"/>
      <c r="E216" s="10"/>
      <c r="F216" s="10"/>
      <c r="G216" s="10"/>
    </row>
    <row r="217" spans="3:7">
      <c r="C217" s="23"/>
      <c r="D217" s="20"/>
      <c r="E217" s="10"/>
      <c r="F217" s="10"/>
      <c r="G217" s="10"/>
    </row>
    <row r="218" spans="3:7">
      <c r="C218" s="23"/>
      <c r="D218" s="20"/>
      <c r="E218" s="10"/>
      <c r="F218" s="10"/>
      <c r="G218" s="10"/>
    </row>
    <row r="219" spans="3:7">
      <c r="C219" s="34"/>
      <c r="D219" s="20"/>
      <c r="E219" s="10"/>
      <c r="F219" s="10"/>
      <c r="G219" s="10"/>
    </row>
    <row r="220" spans="3:7">
      <c r="C220" s="23"/>
      <c r="D220" s="20"/>
      <c r="E220" s="10"/>
      <c r="F220" s="10"/>
      <c r="G220" s="10"/>
    </row>
    <row r="221" spans="3:7">
      <c r="C221" s="23"/>
      <c r="D221" s="20"/>
      <c r="E221" s="10"/>
      <c r="F221" s="10"/>
      <c r="G221" s="10"/>
    </row>
    <row r="222" spans="3:7">
      <c r="C222" s="7"/>
      <c r="D222" s="20"/>
      <c r="E222" s="10"/>
      <c r="F222" s="10"/>
      <c r="G222" s="10"/>
    </row>
    <row r="223" spans="3:7">
      <c r="C223" s="21"/>
      <c r="D223" s="20"/>
      <c r="E223" s="25"/>
      <c r="F223" s="10"/>
      <c r="G223" s="10"/>
    </row>
    <row r="224" spans="3:7">
      <c r="C224" s="22"/>
      <c r="D224" s="20"/>
      <c r="E224" s="25"/>
      <c r="F224" s="10"/>
      <c r="G224" s="10"/>
    </row>
    <row r="225" spans="3:7">
      <c r="C225" s="33"/>
      <c r="D225" s="20"/>
      <c r="E225" s="10"/>
      <c r="F225" s="10"/>
      <c r="G225" s="10"/>
    </row>
    <row r="226" spans="3:7">
      <c r="C226" s="23"/>
      <c r="D226" s="20"/>
      <c r="E226" s="10"/>
      <c r="F226" s="10"/>
      <c r="G226" s="10"/>
    </row>
    <row r="227" spans="3:7">
      <c r="C227" s="23"/>
      <c r="D227" s="20"/>
      <c r="E227" s="10"/>
      <c r="F227" s="10"/>
      <c r="G227" s="10"/>
    </row>
    <row r="228" spans="3:7">
      <c r="C228" s="21"/>
      <c r="D228" s="20"/>
      <c r="E228" s="25"/>
      <c r="F228" s="10"/>
      <c r="G228" s="10"/>
    </row>
    <row r="229" spans="3:7">
      <c r="C229" s="22"/>
      <c r="D229" s="20"/>
      <c r="E229" s="25"/>
      <c r="F229" s="10"/>
      <c r="G229" s="10"/>
    </row>
    <row r="230" spans="3:7">
      <c r="C230" s="22"/>
      <c r="D230" s="20"/>
      <c r="E230" s="25"/>
      <c r="F230" s="10"/>
      <c r="G230" s="10"/>
    </row>
    <row r="231" spans="3:7">
      <c r="C231" s="22"/>
      <c r="D231" s="20"/>
      <c r="E231" s="25"/>
      <c r="F231" s="10"/>
      <c r="G231" s="10"/>
    </row>
    <row r="232" spans="3:7">
      <c r="C232" s="34"/>
      <c r="D232" s="20"/>
      <c r="E232" s="10"/>
      <c r="F232" s="10"/>
      <c r="G232" s="10"/>
    </row>
    <row r="233" spans="3:7">
      <c r="C233" s="23"/>
      <c r="D233" s="20"/>
      <c r="E233" s="10"/>
      <c r="F233" s="10"/>
      <c r="G233" s="10"/>
    </row>
    <row r="234" spans="3:7">
      <c r="C234" s="23"/>
      <c r="D234" s="20"/>
      <c r="E234" s="10"/>
      <c r="F234" s="10"/>
      <c r="G234" s="10"/>
    </row>
    <row r="235" spans="3:7">
      <c r="C235" s="7"/>
      <c r="D235" s="9"/>
      <c r="E235" s="10"/>
      <c r="F235" s="10"/>
      <c r="G235" s="10"/>
    </row>
    <row r="236" spans="3:7">
      <c r="C236" s="7"/>
      <c r="D236" s="9"/>
      <c r="E236" s="10"/>
      <c r="F236" s="10"/>
      <c r="G236" s="10"/>
    </row>
    <row r="237" spans="3:7">
      <c r="C237" s="8"/>
      <c r="D237" s="9"/>
      <c r="E237" s="10"/>
      <c r="F237" s="10"/>
      <c r="G237" s="10"/>
    </row>
    <row r="238" spans="3:7">
      <c r="C238" s="12"/>
      <c r="D238" s="9"/>
      <c r="E238" s="10"/>
      <c r="F238" s="10"/>
      <c r="G238" s="10"/>
    </row>
    <row r="239" spans="3:7">
      <c r="C239" s="8"/>
      <c r="D239" s="9"/>
      <c r="E239" s="10"/>
      <c r="F239" s="10"/>
      <c r="G239" s="10"/>
    </row>
    <row r="240" spans="3:7">
      <c r="C240" s="23"/>
      <c r="D240" s="20"/>
      <c r="E240" s="10"/>
      <c r="F240" s="20"/>
      <c r="G240" s="10"/>
    </row>
    <row r="241" spans="3:7">
      <c r="C241" s="23"/>
      <c r="D241" s="20"/>
      <c r="E241" s="10"/>
      <c r="F241" s="20"/>
      <c r="G241" s="10"/>
    </row>
    <row r="242" spans="3:7">
      <c r="C242" s="23"/>
      <c r="D242" s="20"/>
      <c r="E242" s="10"/>
      <c r="F242" s="20"/>
      <c r="G242" s="10"/>
    </row>
    <row r="243" spans="3:7">
      <c r="C243" s="18"/>
      <c r="D243" s="9"/>
      <c r="E243" s="14"/>
      <c r="F243" s="5"/>
      <c r="G243" s="5"/>
    </row>
    <row r="244" spans="3:7">
      <c r="C244" s="23"/>
      <c r="D244" s="20"/>
      <c r="E244" s="10"/>
      <c r="F244" s="20"/>
      <c r="G244" s="10"/>
    </row>
    <row r="245" spans="3:7">
      <c r="C245" s="21"/>
      <c r="D245" s="20"/>
      <c r="E245" s="25"/>
      <c r="F245" s="10"/>
      <c r="G245" s="10"/>
    </row>
    <row r="246" spans="3:7">
      <c r="C246" s="22"/>
      <c r="D246" s="20"/>
      <c r="E246" s="25"/>
      <c r="F246" s="10"/>
      <c r="G246" s="10"/>
    </row>
    <row r="247" spans="3:7">
      <c r="C247" s="22"/>
      <c r="D247" s="20"/>
      <c r="E247" s="25"/>
      <c r="F247" s="10"/>
      <c r="G247" s="10"/>
    </row>
    <row r="248" spans="3:7">
      <c r="C248" s="22"/>
      <c r="D248" s="20"/>
      <c r="E248" s="25"/>
      <c r="F248" s="10"/>
      <c r="G248" s="10"/>
    </row>
    <row r="249" spans="3:7">
      <c r="C249" s="21"/>
      <c r="D249" s="20"/>
      <c r="E249" s="25"/>
      <c r="F249" s="10"/>
      <c r="G249" s="10"/>
    </row>
    <row r="250" spans="3:7">
      <c r="C250" s="22"/>
      <c r="D250" s="20"/>
      <c r="E250" s="25"/>
      <c r="F250" s="10"/>
      <c r="G250" s="10"/>
    </row>
    <row r="251" spans="3:7">
      <c r="C251" s="22"/>
      <c r="D251" s="20"/>
      <c r="E251" s="25"/>
      <c r="F251" s="10"/>
      <c r="G251" s="10"/>
    </row>
    <row r="252" spans="3:7">
      <c r="C252" s="36"/>
      <c r="D252" s="20"/>
      <c r="E252" s="25"/>
      <c r="F252" s="10"/>
      <c r="G252" s="10"/>
    </row>
    <row r="253" spans="3:7">
      <c r="C253" s="22"/>
      <c r="D253" s="20"/>
      <c r="E253" s="25"/>
      <c r="F253" s="10"/>
      <c r="G253" s="10"/>
    </row>
    <row r="254" spans="3:7">
      <c r="C254" s="36"/>
      <c r="D254" s="20"/>
      <c r="E254" s="25"/>
      <c r="F254" s="10"/>
      <c r="G254" s="10"/>
    </row>
    <row r="255" spans="3:7">
      <c r="C255" s="22"/>
      <c r="D255" s="20"/>
      <c r="E255" s="25"/>
      <c r="F255" s="10"/>
      <c r="G255" s="10"/>
    </row>
    <row r="256" spans="3:7">
      <c r="C256" s="22"/>
      <c r="D256" s="20"/>
      <c r="E256" s="25"/>
      <c r="F256" s="10"/>
      <c r="G256" s="10"/>
    </row>
    <row r="257" spans="3:7">
      <c r="C257" s="21"/>
      <c r="D257" s="20"/>
      <c r="E257" s="25"/>
      <c r="F257" s="10"/>
      <c r="G257" s="10"/>
    </row>
    <row r="258" spans="3:7">
      <c r="C258" s="23"/>
      <c r="D258" s="20"/>
      <c r="E258" s="10"/>
      <c r="F258" s="10"/>
      <c r="G258" s="10"/>
    </row>
    <row r="259" spans="3:7">
      <c r="C259" s="23"/>
      <c r="D259" s="20"/>
      <c r="E259" s="10"/>
      <c r="F259" s="10"/>
      <c r="G259" s="10"/>
    </row>
    <row r="260" spans="3:7">
      <c r="C260" s="34"/>
      <c r="D260" s="20"/>
      <c r="E260" s="10"/>
      <c r="F260" s="10"/>
      <c r="G260" s="10"/>
    </row>
    <row r="261" spans="3:7">
      <c r="C261" s="22"/>
      <c r="D261" s="20"/>
      <c r="E261" s="25"/>
      <c r="F261" s="10"/>
      <c r="G261" s="10"/>
    </row>
    <row r="262" spans="3:7">
      <c r="C262" s="22"/>
      <c r="D262" s="20"/>
      <c r="E262" s="25"/>
      <c r="F262" s="10"/>
      <c r="G262" s="10"/>
    </row>
    <row r="263" spans="3:7">
      <c r="C263" s="21"/>
      <c r="D263" s="20"/>
      <c r="E263" s="25"/>
      <c r="F263" s="10"/>
      <c r="G263" s="10"/>
    </row>
    <row r="264" spans="3:7">
      <c r="C264" s="22"/>
      <c r="D264" s="20"/>
      <c r="E264" s="25"/>
      <c r="F264" s="10"/>
      <c r="G264" s="10"/>
    </row>
    <row r="265" spans="3:7">
      <c r="C265" s="22"/>
      <c r="D265" s="20"/>
      <c r="E265" s="25"/>
      <c r="F265" s="10"/>
      <c r="G265" s="10"/>
    </row>
    <row r="266" spans="3:7">
      <c r="C266" s="7"/>
      <c r="D266" s="9"/>
      <c r="E266" s="10"/>
      <c r="F266" s="10"/>
      <c r="G266" s="10"/>
    </row>
    <row r="267" spans="3:7">
      <c r="C267" s="8"/>
      <c r="D267" s="9"/>
      <c r="E267" s="10"/>
      <c r="F267" s="10"/>
      <c r="G267" s="10"/>
    </row>
    <row r="268" spans="3:7">
      <c r="C268" s="23"/>
      <c r="D268" s="20"/>
      <c r="E268" s="10"/>
      <c r="F268" s="20"/>
      <c r="G268" s="10"/>
    </row>
    <row r="269" spans="3:7">
      <c r="C269" s="23"/>
      <c r="D269" s="20"/>
      <c r="E269" s="10"/>
      <c r="F269" s="20"/>
      <c r="G269" s="10"/>
    </row>
    <row r="270" spans="3:7">
      <c r="C270" s="23"/>
      <c r="D270" s="20"/>
      <c r="E270" s="10"/>
      <c r="F270" s="20"/>
      <c r="G270" s="10"/>
    </row>
    <row r="271" spans="3:7">
      <c r="C271" s="23"/>
      <c r="D271" s="20"/>
      <c r="E271" s="10"/>
      <c r="F271" s="20"/>
      <c r="G271" s="10"/>
    </row>
    <row r="272" spans="3:7">
      <c r="C272" s="18"/>
      <c r="D272" s="9"/>
      <c r="E272" s="14"/>
      <c r="F272" s="5"/>
      <c r="G272" s="5"/>
    </row>
    <row r="273" spans="3:7">
      <c r="C273" s="23"/>
      <c r="D273" s="20"/>
      <c r="E273" s="10"/>
      <c r="F273" s="20"/>
      <c r="G273" s="10"/>
    </row>
    <row r="274" spans="3:7">
      <c r="C274" s="21"/>
      <c r="D274" s="20"/>
      <c r="E274" s="25"/>
      <c r="F274" s="10"/>
      <c r="G274" s="10"/>
    </row>
    <row r="275" spans="3:7">
      <c r="C275" s="22"/>
      <c r="D275" s="20"/>
      <c r="E275" s="25"/>
      <c r="F275" s="10"/>
      <c r="G275" s="10"/>
    </row>
    <row r="276" spans="3:7">
      <c r="C276" s="22"/>
      <c r="D276" s="20"/>
      <c r="E276" s="25"/>
      <c r="F276" s="10"/>
      <c r="G276" s="10"/>
    </row>
    <row r="277" spans="3:7">
      <c r="C277" s="22"/>
      <c r="D277" s="20"/>
      <c r="E277" s="25"/>
      <c r="F277" s="10"/>
      <c r="G277" s="10"/>
    </row>
    <row r="278" spans="3:7">
      <c r="C278" s="21"/>
      <c r="D278" s="20"/>
      <c r="E278" s="25"/>
      <c r="F278" s="10"/>
      <c r="G278" s="10"/>
    </row>
    <row r="279" spans="3:7">
      <c r="C279" s="22"/>
      <c r="D279" s="20"/>
      <c r="E279" s="25"/>
      <c r="F279" s="10"/>
      <c r="G279" s="10"/>
    </row>
    <row r="280" spans="3:7">
      <c r="C280" s="22"/>
      <c r="D280" s="20"/>
      <c r="E280" s="25"/>
      <c r="F280" s="10"/>
      <c r="G280" s="10"/>
    </row>
    <row r="281" spans="3:7">
      <c r="C281" s="8"/>
      <c r="D281" s="9"/>
      <c r="E281" s="10"/>
      <c r="F281" s="10"/>
      <c r="G281" s="10"/>
    </row>
    <row r="282" spans="3:7">
      <c r="C282" s="12"/>
      <c r="D282" s="9"/>
      <c r="E282" s="10"/>
      <c r="F282" s="10"/>
      <c r="G282" s="10"/>
    </row>
    <row r="283" spans="3:7">
      <c r="C283" s="7"/>
      <c r="D283" s="9"/>
      <c r="E283" s="10"/>
      <c r="F283" s="10"/>
      <c r="G283" s="10"/>
    </row>
    <row r="284" spans="3:7">
      <c r="C284" s="8"/>
      <c r="D284" s="9"/>
      <c r="E284" s="6"/>
      <c r="F284" s="6"/>
      <c r="G284" s="6"/>
    </row>
    <row r="285" spans="3:7">
      <c r="C285" s="7"/>
      <c r="D285" s="9"/>
      <c r="E285" s="10"/>
      <c r="F285" s="10"/>
      <c r="G285" s="10"/>
    </row>
    <row r="286" spans="3:7">
      <c r="C286" s="19"/>
      <c r="D286" s="9"/>
      <c r="E286" s="10"/>
      <c r="F286" s="10"/>
      <c r="G286" s="10"/>
    </row>
    <row r="287" spans="3:7" ht="14.25" customHeight="1">
      <c r="C287" s="12"/>
      <c r="D287" s="9"/>
      <c r="E287" s="10"/>
      <c r="F287" s="10"/>
      <c r="G287" s="10"/>
    </row>
    <row r="288" spans="3:7">
      <c r="C288" s="12"/>
      <c r="D288" s="9"/>
      <c r="E288" s="10"/>
      <c r="F288" s="10"/>
      <c r="G288" s="10"/>
    </row>
    <row r="289" spans="3:7">
      <c r="C289" s="12"/>
      <c r="D289" s="9"/>
      <c r="E289" s="10"/>
      <c r="F289" s="10"/>
      <c r="G289" s="10"/>
    </row>
    <row r="290" spans="3:7" ht="12.75" customHeight="1">
      <c r="C290" s="12"/>
      <c r="D290" s="9"/>
      <c r="E290" s="10"/>
      <c r="F290" s="10"/>
      <c r="G290" s="10"/>
    </row>
    <row r="291" spans="3:7">
      <c r="C291" s="12"/>
      <c r="D291" s="9"/>
      <c r="E291" s="10"/>
      <c r="F291" s="10"/>
      <c r="G291" s="10"/>
    </row>
    <row r="292" spans="3:7">
      <c r="C292" s="12"/>
      <c r="D292" s="9"/>
      <c r="E292" s="10"/>
      <c r="F292" s="10"/>
      <c r="G292" s="10"/>
    </row>
    <row r="293" spans="3:7">
      <c r="C293" s="12"/>
      <c r="D293" s="9"/>
      <c r="E293" s="10"/>
      <c r="F293" s="10"/>
      <c r="G293" s="10"/>
    </row>
    <row r="294" spans="3:7">
      <c r="C294" s="12"/>
      <c r="D294" s="9"/>
      <c r="E294" s="10"/>
      <c r="F294" s="10"/>
      <c r="G294" s="10"/>
    </row>
    <row r="295" spans="3:7">
      <c r="C295" s="12"/>
      <c r="D295" s="9"/>
      <c r="E295" s="10"/>
      <c r="F295" s="10"/>
      <c r="G295" s="10"/>
    </row>
    <row r="296" spans="3:7">
      <c r="C296" s="12"/>
      <c r="D296" s="9"/>
      <c r="E296" s="10"/>
      <c r="F296" s="10"/>
      <c r="G296" s="10"/>
    </row>
    <row r="297" spans="3:7">
      <c r="C297" s="12"/>
      <c r="D297" s="9"/>
      <c r="E297" s="10"/>
      <c r="F297" s="10"/>
      <c r="G297" s="10"/>
    </row>
    <row r="298" spans="3:7" ht="12.75" customHeight="1">
      <c r="C298" s="12"/>
      <c r="D298" s="9"/>
      <c r="E298" s="14"/>
      <c r="F298" s="5"/>
      <c r="G298" s="5"/>
    </row>
    <row r="299" spans="3:7">
      <c r="C299" s="19"/>
      <c r="D299" s="9"/>
      <c r="E299" s="10"/>
      <c r="F299" s="10"/>
      <c r="G299" s="10"/>
    </row>
    <row r="300" spans="3:7">
      <c r="C300" s="12"/>
      <c r="D300" s="9"/>
      <c r="E300" s="10"/>
      <c r="F300" s="10"/>
      <c r="G300" s="10"/>
    </row>
    <row r="301" spans="3:7" ht="12.75" customHeight="1">
      <c r="C301" s="12"/>
      <c r="D301" s="9"/>
      <c r="E301" s="10"/>
      <c r="F301" s="10"/>
      <c r="G301" s="10"/>
    </row>
    <row r="302" spans="3:7">
      <c r="C302" s="12"/>
      <c r="D302" s="9"/>
      <c r="E302" s="10"/>
      <c r="F302" s="10"/>
      <c r="G302" s="10"/>
    </row>
    <row r="303" spans="3:7">
      <c r="C303" s="12"/>
      <c r="D303" s="9"/>
      <c r="E303" s="10"/>
      <c r="F303" s="10"/>
      <c r="G303" s="10"/>
    </row>
    <row r="304" spans="3:7">
      <c r="C304" s="12"/>
      <c r="D304" s="9"/>
      <c r="E304" s="10"/>
      <c r="F304" s="10"/>
      <c r="G304" s="10"/>
    </row>
    <row r="305" spans="3:7" ht="12.75" customHeight="1">
      <c r="C305" s="12"/>
      <c r="D305" s="9"/>
      <c r="E305" s="10"/>
      <c r="F305" s="10"/>
      <c r="G305" s="10"/>
    </row>
    <row r="306" spans="3:7">
      <c r="C306" s="12"/>
      <c r="D306" s="9"/>
      <c r="E306" s="10"/>
      <c r="F306" s="10"/>
      <c r="G306" s="10"/>
    </row>
    <row r="307" spans="3:7">
      <c r="C307" s="12"/>
      <c r="D307" s="9"/>
      <c r="E307" s="10"/>
      <c r="F307" s="10"/>
      <c r="G307" s="10"/>
    </row>
    <row r="308" spans="3:7" ht="12.75" customHeight="1">
      <c r="C308" s="12"/>
      <c r="D308" s="9"/>
      <c r="E308" s="10"/>
      <c r="F308" s="10"/>
      <c r="G308" s="10"/>
    </row>
    <row r="309" spans="3:7">
      <c r="C309" s="12"/>
      <c r="D309" s="9"/>
      <c r="E309" s="14"/>
      <c r="F309" s="5"/>
      <c r="G309" s="5"/>
    </row>
    <row r="310" spans="3:7">
      <c r="C310" s="7"/>
      <c r="D310" s="9"/>
      <c r="E310" s="10"/>
      <c r="F310" s="10"/>
      <c r="G310" s="10"/>
    </row>
    <row r="311" spans="3:7">
      <c r="C311" s="8"/>
      <c r="D311" s="9"/>
      <c r="E311" s="14"/>
      <c r="F311" s="5"/>
      <c r="G311" s="5"/>
    </row>
    <row r="312" spans="3:7">
      <c r="C312" s="12"/>
      <c r="D312" s="9"/>
      <c r="E312" s="14"/>
      <c r="F312" s="5"/>
      <c r="G312" s="5"/>
    </row>
    <row r="313" spans="3:7">
      <c r="C313" s="12"/>
      <c r="D313" s="9"/>
      <c r="E313" s="14"/>
      <c r="F313" s="5"/>
      <c r="G313" s="5"/>
    </row>
    <row r="314" spans="3:7">
      <c r="C314" s="8"/>
      <c r="D314" s="9"/>
      <c r="E314" s="14"/>
      <c r="F314" s="5"/>
      <c r="G314" s="5"/>
    </row>
    <row r="315" spans="3:7">
      <c r="C315" s="12"/>
      <c r="D315" s="9"/>
      <c r="E315" s="14"/>
      <c r="F315" s="5"/>
      <c r="G315" s="5"/>
    </row>
    <row r="316" spans="3:7">
      <c r="C316" s="12"/>
      <c r="D316" s="9"/>
      <c r="E316" s="14"/>
      <c r="F316" s="5"/>
      <c r="G316" s="5"/>
    </row>
    <row r="317" spans="3:7">
      <c r="C317" s="8"/>
      <c r="D317" s="9"/>
      <c r="E317" s="14"/>
      <c r="F317" s="5"/>
      <c r="G317" s="5"/>
    </row>
    <row r="318" spans="3:7">
      <c r="C318" s="12"/>
      <c r="D318" s="9"/>
      <c r="E318" s="14"/>
      <c r="F318" s="5"/>
      <c r="G318" s="5"/>
    </row>
    <row r="319" spans="3:7">
      <c r="C319" s="12"/>
      <c r="D319" s="9"/>
      <c r="E319" s="14"/>
      <c r="F319" s="5"/>
      <c r="G319" s="5"/>
    </row>
    <row r="320" spans="3:7" ht="12.75" customHeight="1">
      <c r="C320" s="7"/>
      <c r="D320" s="9"/>
      <c r="E320" s="10"/>
      <c r="F320" s="10"/>
      <c r="G320" s="10"/>
    </row>
    <row r="321" spans="3:7">
      <c r="C321" s="19"/>
      <c r="D321" s="9"/>
      <c r="E321" s="10"/>
      <c r="F321" s="10"/>
      <c r="G321" s="10"/>
    </row>
    <row r="322" spans="3:7">
      <c r="C322" s="12"/>
      <c r="D322" s="9"/>
      <c r="E322" s="10"/>
      <c r="F322" s="10"/>
      <c r="G322" s="10"/>
    </row>
    <row r="323" spans="3:7" ht="12.75" customHeight="1">
      <c r="C323" s="12"/>
      <c r="D323" s="9"/>
      <c r="E323" s="10"/>
      <c r="F323" s="10"/>
      <c r="G323" s="10"/>
    </row>
    <row r="324" spans="3:7">
      <c r="C324" s="12"/>
      <c r="D324" s="9"/>
      <c r="E324" s="10"/>
      <c r="F324" s="10"/>
      <c r="G324" s="10"/>
    </row>
    <row r="325" spans="3:7" ht="12.75" customHeight="1">
      <c r="C325" s="12"/>
      <c r="D325" s="9"/>
      <c r="E325" s="10"/>
      <c r="F325" s="10"/>
      <c r="G325" s="10"/>
    </row>
    <row r="326" spans="3:7" ht="12.75" customHeight="1">
      <c r="C326" s="12"/>
      <c r="D326" s="9"/>
      <c r="E326" s="10"/>
      <c r="F326" s="10"/>
      <c r="G326" s="10"/>
    </row>
    <row r="327" spans="3:7" ht="12.75" customHeight="1">
      <c r="C327" s="12"/>
      <c r="D327" s="9"/>
      <c r="E327" s="10"/>
      <c r="F327" s="10"/>
      <c r="G327" s="10"/>
    </row>
    <row r="328" spans="3:7" ht="12.75" customHeight="1">
      <c r="C328" s="12"/>
      <c r="D328" s="9"/>
      <c r="E328" s="14"/>
      <c r="F328" s="5"/>
      <c r="G328" s="5"/>
    </row>
    <row r="329" spans="3:7" ht="12.75" customHeight="1">
      <c r="C329" s="8"/>
      <c r="D329" s="9"/>
      <c r="E329" s="10"/>
      <c r="F329" s="10"/>
      <c r="G329" s="10"/>
    </row>
    <row r="330" spans="3:7" ht="12.75" customHeight="1">
      <c r="C330" s="12"/>
      <c r="D330" s="9"/>
      <c r="E330" s="10"/>
      <c r="F330" s="10"/>
      <c r="G330" s="10"/>
    </row>
    <row r="331" spans="3:7" ht="12.75" customHeight="1">
      <c r="C331" s="12"/>
      <c r="D331" s="9"/>
      <c r="E331" s="14"/>
      <c r="F331" s="5"/>
      <c r="G331" s="5"/>
    </row>
    <row r="332" spans="3:7" ht="12.75" customHeight="1">
      <c r="C332" s="19"/>
      <c r="D332" s="9"/>
      <c r="E332" s="10"/>
      <c r="F332" s="10"/>
      <c r="G332" s="10"/>
    </row>
    <row r="333" spans="3:7" ht="12.75" customHeight="1">
      <c r="C333" s="12"/>
      <c r="D333" s="9"/>
      <c r="E333" s="14"/>
      <c r="F333" s="5"/>
      <c r="G333" s="5"/>
    </row>
    <row r="334" spans="3:7" ht="12.75" customHeight="1">
      <c r="C334" s="12"/>
      <c r="D334" s="9"/>
      <c r="E334" s="14"/>
      <c r="F334" s="5"/>
      <c r="G334" s="5"/>
    </row>
    <row r="335" spans="3:7">
      <c r="C335" s="12"/>
      <c r="D335" s="9"/>
      <c r="E335" s="14"/>
      <c r="F335" s="5"/>
      <c r="G335" s="5"/>
    </row>
    <row r="336" spans="3:7">
      <c r="C336" s="12"/>
      <c r="D336" s="9"/>
      <c r="E336" s="14"/>
      <c r="F336" s="5"/>
      <c r="G336" s="5"/>
    </row>
    <row r="337" spans="3:7">
      <c r="C337" s="12"/>
      <c r="D337" s="9"/>
      <c r="E337" s="14"/>
      <c r="F337" s="5"/>
      <c r="G337" s="5"/>
    </row>
    <row r="338" spans="3:7">
      <c r="C338" s="12"/>
      <c r="D338" s="9"/>
      <c r="E338" s="14"/>
      <c r="F338" s="5"/>
      <c r="G338" s="5"/>
    </row>
    <row r="339" spans="3:7">
      <c r="C339" s="12"/>
      <c r="D339" s="9"/>
      <c r="E339" s="14"/>
      <c r="F339" s="5"/>
      <c r="G339" s="5"/>
    </row>
    <row r="340" spans="3:7">
      <c r="C340" s="12"/>
      <c r="D340" s="9"/>
      <c r="E340" s="14"/>
      <c r="F340" s="5"/>
      <c r="G340" s="5"/>
    </row>
    <row r="341" spans="3:7">
      <c r="C341" s="12"/>
      <c r="D341" s="9"/>
      <c r="E341" s="14"/>
      <c r="F341" s="5"/>
      <c r="G341" s="5"/>
    </row>
    <row r="342" spans="3:7">
      <c r="C342" s="7"/>
      <c r="D342" s="9"/>
      <c r="E342" s="14"/>
      <c r="F342" s="5"/>
      <c r="G342" s="5"/>
    </row>
    <row r="343" spans="3:7">
      <c r="C343" s="7"/>
      <c r="D343" s="9"/>
      <c r="E343" s="10"/>
      <c r="F343" s="10"/>
      <c r="G343" s="10"/>
    </row>
    <row r="344" spans="3:7">
      <c r="C344" s="19"/>
      <c r="D344" s="9"/>
      <c r="E344" s="10"/>
      <c r="F344" s="10"/>
      <c r="G344" s="10"/>
    </row>
    <row r="345" spans="3:7">
      <c r="C345" s="19"/>
      <c r="D345" s="9"/>
      <c r="E345" s="10"/>
      <c r="F345" s="10"/>
      <c r="G345" s="10"/>
    </row>
    <row r="346" spans="3:7">
      <c r="C346" s="12"/>
      <c r="D346" s="9"/>
      <c r="E346" s="10"/>
      <c r="F346" s="10"/>
      <c r="G346" s="10"/>
    </row>
    <row r="347" spans="3:7">
      <c r="C347" s="19"/>
      <c r="D347" s="9"/>
      <c r="E347" s="10"/>
      <c r="F347" s="10"/>
      <c r="G347" s="10"/>
    </row>
    <row r="348" spans="3:7">
      <c r="C348" s="19"/>
      <c r="D348" s="9"/>
      <c r="E348" s="10"/>
      <c r="F348" s="10"/>
      <c r="G348" s="10"/>
    </row>
    <row r="349" spans="3:7">
      <c r="C349" s="12"/>
      <c r="D349" s="9"/>
      <c r="E349" s="10"/>
      <c r="F349" s="10"/>
      <c r="G349" s="10"/>
    </row>
    <row r="350" spans="3:7">
      <c r="C350" s="12"/>
      <c r="D350" s="9"/>
      <c r="E350" s="10"/>
      <c r="F350" s="10"/>
      <c r="G350" s="10"/>
    </row>
    <row r="351" spans="3:7">
      <c r="C351" s="12"/>
      <c r="D351" s="9"/>
      <c r="E351" s="10"/>
      <c r="F351" s="10"/>
      <c r="G351" s="10"/>
    </row>
    <row r="352" spans="3:7">
      <c r="C352" s="7"/>
      <c r="D352" s="9"/>
      <c r="E352" s="10"/>
      <c r="F352" s="10"/>
      <c r="G352" s="10"/>
    </row>
    <row r="353" spans="3:7">
      <c r="C353" s="8"/>
      <c r="D353" s="9"/>
      <c r="E353" s="10"/>
      <c r="F353" s="10"/>
      <c r="G353" s="10"/>
    </row>
    <row r="354" spans="3:7">
      <c r="C354" s="7"/>
      <c r="D354" s="9"/>
      <c r="E354" s="10"/>
      <c r="F354" s="10"/>
      <c r="G354" s="10"/>
    </row>
    <row r="355" spans="3:7">
      <c r="C355" s="8"/>
      <c r="D355" s="9"/>
      <c r="E355" s="10"/>
      <c r="F355" s="10"/>
      <c r="G355" s="10"/>
    </row>
    <row r="356" spans="3:7">
      <c r="C356" s="12"/>
      <c r="D356" s="9"/>
      <c r="E356" s="10"/>
      <c r="F356" s="10"/>
      <c r="G356" s="10"/>
    </row>
    <row r="357" spans="3:7">
      <c r="C357" s="19"/>
      <c r="D357" s="9"/>
      <c r="E357" s="10"/>
      <c r="F357" s="10"/>
      <c r="G357" s="10"/>
    </row>
    <row r="358" spans="3:7">
      <c r="C358" s="12"/>
      <c r="D358" s="9"/>
      <c r="E358" s="10"/>
      <c r="F358" s="10"/>
      <c r="G358" s="10"/>
    </row>
    <row r="359" spans="3:7">
      <c r="C359" s="19"/>
      <c r="D359" s="9"/>
      <c r="E359" s="10"/>
      <c r="F359" s="10"/>
      <c r="G359" s="10"/>
    </row>
    <row r="360" spans="3:7">
      <c r="C360" s="12"/>
      <c r="D360" s="9"/>
      <c r="E360" s="10"/>
      <c r="F360" s="10"/>
      <c r="G360" s="10"/>
    </row>
    <row r="361" spans="3:7">
      <c r="C361" s="19"/>
      <c r="D361" s="9"/>
      <c r="E361" s="10"/>
      <c r="F361" s="10"/>
      <c r="G361" s="10"/>
    </row>
    <row r="362" spans="3:7">
      <c r="C362" s="23"/>
      <c r="D362" s="20"/>
      <c r="E362" s="10"/>
      <c r="F362" s="10"/>
      <c r="G362" s="10"/>
    </row>
    <row r="363" spans="3:7">
      <c r="C363" s="23"/>
      <c r="D363" s="20"/>
      <c r="E363" s="10"/>
      <c r="F363" s="10"/>
      <c r="G363" s="10"/>
    </row>
    <row r="364" spans="3:7">
      <c r="C364" s="8"/>
      <c r="D364" s="9"/>
      <c r="E364" s="10"/>
      <c r="F364" s="10"/>
      <c r="G364" s="10"/>
    </row>
    <row r="365" spans="3:7">
      <c r="C365" s="12"/>
      <c r="D365" s="9"/>
      <c r="E365" s="10"/>
      <c r="F365" s="10"/>
      <c r="G365" s="10"/>
    </row>
    <row r="366" spans="3:7">
      <c r="C366" s="12"/>
      <c r="D366" s="9"/>
      <c r="E366" s="10"/>
      <c r="F366" s="10"/>
      <c r="G366" s="10"/>
    </row>
    <row r="367" spans="3:7">
      <c r="C367" s="8"/>
      <c r="D367" s="9"/>
      <c r="E367" s="10"/>
      <c r="F367" s="10"/>
      <c r="G367" s="10"/>
    </row>
    <row r="368" spans="3:7">
      <c r="C368" s="12"/>
      <c r="D368" s="9"/>
      <c r="E368" s="10"/>
      <c r="F368" s="10"/>
      <c r="G368" s="10"/>
    </row>
    <row r="369" spans="3:7">
      <c r="C369" s="7"/>
      <c r="D369" s="9"/>
      <c r="E369" s="10"/>
      <c r="F369" s="10"/>
      <c r="G369" s="10"/>
    </row>
    <row r="370" spans="3:7">
      <c r="C370" s="8"/>
      <c r="D370" s="9"/>
      <c r="E370" s="10"/>
      <c r="F370" s="10"/>
      <c r="G370" s="10"/>
    </row>
    <row r="371" spans="3:7">
      <c r="C371" s="12"/>
      <c r="D371" s="9"/>
      <c r="E371" s="10"/>
      <c r="F371" s="10"/>
      <c r="G371" s="10"/>
    </row>
    <row r="372" spans="3:7">
      <c r="C372" s="8"/>
      <c r="D372" s="9"/>
      <c r="E372" s="10"/>
      <c r="F372" s="10"/>
      <c r="G372" s="10"/>
    </row>
    <row r="373" spans="3:7">
      <c r="C373" s="12"/>
      <c r="D373" s="9"/>
      <c r="E373" s="10"/>
      <c r="F373" s="10"/>
      <c r="G373" s="10"/>
    </row>
    <row r="374" spans="3:7">
      <c r="C374" s="19"/>
      <c r="D374" s="9"/>
      <c r="E374" s="10"/>
      <c r="F374" s="10"/>
      <c r="G374" s="10"/>
    </row>
    <row r="375" spans="3:7">
      <c r="C375" s="12"/>
      <c r="D375" s="9"/>
      <c r="E375" s="10"/>
      <c r="F375" s="10"/>
      <c r="G375" s="10"/>
    </row>
    <row r="376" spans="3:7">
      <c r="C376" s="19"/>
      <c r="D376" s="9"/>
      <c r="E376" s="10"/>
      <c r="F376" s="10"/>
      <c r="G376" s="10"/>
    </row>
    <row r="377" spans="3:7">
      <c r="C377" s="12"/>
      <c r="D377" s="9"/>
      <c r="E377" s="10"/>
      <c r="F377" s="10"/>
      <c r="G377" s="10"/>
    </row>
    <row r="378" spans="3:7">
      <c r="C378" s="19"/>
      <c r="D378" s="9"/>
      <c r="E378" s="10"/>
      <c r="F378" s="10"/>
      <c r="G378" s="10"/>
    </row>
    <row r="379" spans="3:7">
      <c r="C379" s="23"/>
      <c r="D379" s="20"/>
      <c r="E379" s="10"/>
      <c r="F379" s="10"/>
      <c r="G379" s="10"/>
    </row>
    <row r="380" spans="3:7">
      <c r="C380" s="23"/>
      <c r="D380" s="20"/>
      <c r="E380" s="10"/>
      <c r="F380" s="10"/>
      <c r="G380" s="10"/>
    </row>
    <row r="381" spans="3:7">
      <c r="C381" s="8"/>
      <c r="D381" s="9"/>
      <c r="E381" s="10"/>
      <c r="F381" s="10"/>
      <c r="G381" s="10"/>
    </row>
    <row r="382" spans="3:7">
      <c r="C382" s="12"/>
      <c r="D382" s="9"/>
      <c r="E382" s="10"/>
      <c r="F382" s="10"/>
      <c r="G382" s="10"/>
    </row>
    <row r="383" spans="3:7">
      <c r="C383" s="12"/>
      <c r="D383" s="9"/>
      <c r="E383" s="10"/>
      <c r="F383" s="10"/>
      <c r="G383" s="10"/>
    </row>
    <row r="384" spans="3:7">
      <c r="C384" s="8"/>
      <c r="D384" s="9"/>
      <c r="E384" s="10"/>
      <c r="F384" s="10"/>
      <c r="G384" s="10"/>
    </row>
    <row r="385" spans="3:7">
      <c r="C385" s="12"/>
      <c r="D385" s="9"/>
      <c r="E385" s="10"/>
      <c r="F385" s="10"/>
      <c r="G385" s="10"/>
    </row>
    <row r="386" spans="3:7">
      <c r="C386" s="7"/>
      <c r="D386" s="9"/>
      <c r="E386" s="10"/>
      <c r="F386" s="10"/>
      <c r="G386" s="10"/>
    </row>
    <row r="387" spans="3:7">
      <c r="C387" s="8"/>
      <c r="D387" s="9"/>
      <c r="E387" s="10"/>
      <c r="F387" s="10"/>
      <c r="G387" s="10"/>
    </row>
    <row r="388" spans="3:7">
      <c r="C388" s="12"/>
      <c r="D388" s="9"/>
      <c r="E388" s="10"/>
      <c r="F388" s="10"/>
      <c r="G388" s="10"/>
    </row>
    <row r="389" spans="3:7">
      <c r="C389" s="8"/>
      <c r="D389" s="9"/>
      <c r="E389" s="10"/>
      <c r="F389" s="10"/>
      <c r="G389" s="10"/>
    </row>
    <row r="390" spans="3:7">
      <c r="C390" s="12"/>
      <c r="D390" s="9"/>
      <c r="E390" s="10"/>
      <c r="F390" s="10"/>
      <c r="G390" s="10"/>
    </row>
    <row r="391" spans="3:7">
      <c r="C391" s="19"/>
      <c r="D391" s="9"/>
      <c r="E391" s="10"/>
      <c r="F391" s="10"/>
      <c r="G391" s="10"/>
    </row>
    <row r="392" spans="3:7">
      <c r="C392" s="12"/>
      <c r="D392" s="9"/>
      <c r="E392" s="10"/>
      <c r="F392" s="10"/>
      <c r="G392" s="10"/>
    </row>
    <row r="393" spans="3:7">
      <c r="C393" s="19"/>
      <c r="D393" s="9"/>
      <c r="E393" s="10"/>
      <c r="F393" s="10"/>
      <c r="G393" s="10"/>
    </row>
    <row r="394" spans="3:7">
      <c r="C394" s="12"/>
      <c r="D394" s="9"/>
      <c r="E394" s="10"/>
      <c r="F394" s="10"/>
      <c r="G394" s="10"/>
    </row>
    <row r="395" spans="3:7">
      <c r="C395" s="19"/>
      <c r="D395" s="9"/>
      <c r="E395" s="10"/>
      <c r="F395" s="10"/>
      <c r="G395" s="10"/>
    </row>
    <row r="396" spans="3:7">
      <c r="C396" s="23"/>
      <c r="D396" s="20"/>
      <c r="E396" s="10"/>
      <c r="F396" s="10"/>
      <c r="G396" s="10"/>
    </row>
    <row r="397" spans="3:7">
      <c r="C397" s="23"/>
      <c r="D397" s="20"/>
      <c r="E397" s="10"/>
      <c r="F397" s="10"/>
      <c r="G397" s="10"/>
    </row>
    <row r="398" spans="3:7">
      <c r="C398" s="8"/>
      <c r="D398" s="9"/>
      <c r="E398" s="10"/>
      <c r="F398" s="10"/>
      <c r="G398" s="10"/>
    </row>
    <row r="399" spans="3:7">
      <c r="C399" s="12"/>
      <c r="D399" s="9"/>
      <c r="E399" s="10"/>
      <c r="F399" s="10"/>
      <c r="G399" s="10"/>
    </row>
    <row r="400" spans="3:7">
      <c r="C400" s="12"/>
      <c r="D400" s="9"/>
      <c r="E400" s="10"/>
      <c r="F400" s="10"/>
      <c r="G400" s="10"/>
    </row>
    <row r="401" spans="3:7">
      <c r="C401" s="8"/>
      <c r="D401" s="9"/>
      <c r="E401" s="10"/>
      <c r="F401" s="10"/>
      <c r="G401" s="10"/>
    </row>
    <row r="402" spans="3:7">
      <c r="C402" s="12"/>
      <c r="D402" s="9"/>
      <c r="E402" s="10"/>
      <c r="F402" s="10"/>
      <c r="G402" s="10"/>
    </row>
    <row r="403" spans="3:7">
      <c r="C403" s="7"/>
      <c r="D403" s="9"/>
      <c r="E403" s="10"/>
      <c r="F403" s="10"/>
      <c r="G403" s="10"/>
    </row>
    <row r="404" spans="3:7">
      <c r="C404" s="8"/>
      <c r="D404" s="9"/>
      <c r="E404" s="10"/>
      <c r="F404" s="10"/>
      <c r="G404" s="10"/>
    </row>
    <row r="405" spans="3:7">
      <c r="C405" s="12"/>
      <c r="D405" s="9"/>
      <c r="E405" s="10"/>
      <c r="F405" s="10"/>
      <c r="G405" s="10"/>
    </row>
    <row r="406" spans="3:7">
      <c r="C406" s="8"/>
      <c r="D406" s="9"/>
      <c r="E406" s="10"/>
      <c r="F406" s="10"/>
      <c r="G406" s="10"/>
    </row>
    <row r="407" spans="3:7">
      <c r="C407" s="12"/>
      <c r="D407" s="9"/>
      <c r="E407" s="10"/>
      <c r="F407" s="10"/>
      <c r="G407" s="10"/>
    </row>
    <row r="408" spans="3:7">
      <c r="C408" s="12"/>
      <c r="D408" s="9"/>
      <c r="E408" s="10"/>
      <c r="F408" s="10"/>
      <c r="G408" s="10"/>
    </row>
    <row r="409" spans="3:7">
      <c r="C409" s="8"/>
      <c r="D409" s="9"/>
      <c r="E409" s="10"/>
      <c r="F409" s="10"/>
      <c r="G409" s="10"/>
    </row>
    <row r="410" spans="3:7">
      <c r="C410" s="12"/>
      <c r="D410" s="9"/>
      <c r="E410" s="10"/>
      <c r="F410" s="10"/>
      <c r="G410" s="10"/>
    </row>
    <row r="411" spans="3:7">
      <c r="C411" s="8"/>
      <c r="D411" s="9"/>
      <c r="E411" s="10"/>
      <c r="F411" s="10"/>
      <c r="G411" s="10"/>
    </row>
    <row r="412" spans="3:7">
      <c r="C412" s="12"/>
      <c r="D412" s="9"/>
      <c r="E412" s="10"/>
      <c r="F412" s="10"/>
      <c r="G412" s="10"/>
    </row>
    <row r="413" spans="3:7">
      <c r="C413" s="8"/>
      <c r="D413" s="9"/>
      <c r="E413" s="10"/>
      <c r="F413" s="10"/>
      <c r="G413" s="10"/>
    </row>
    <row r="414" spans="3:7">
      <c r="C414" s="18"/>
      <c r="D414" s="9"/>
      <c r="E414" s="10"/>
      <c r="F414" s="10"/>
      <c r="G414" s="10"/>
    </row>
    <row r="415" spans="3:7">
      <c r="C415" s="19"/>
      <c r="D415" s="9"/>
      <c r="E415" s="10"/>
      <c r="F415" s="10"/>
      <c r="G415" s="10"/>
    </row>
    <row r="416" spans="3:7">
      <c r="C416" s="12"/>
      <c r="D416" s="9"/>
      <c r="E416" s="10"/>
      <c r="F416" s="10"/>
      <c r="G416" s="10"/>
    </row>
    <row r="417" spans="3:7">
      <c r="C417" s="12"/>
      <c r="D417" s="9"/>
      <c r="E417" s="10"/>
      <c r="F417" s="10"/>
      <c r="G417" s="10"/>
    </row>
    <row r="418" spans="3:7">
      <c r="C418" s="34"/>
      <c r="D418" s="20"/>
      <c r="E418" s="10"/>
      <c r="F418" s="10"/>
      <c r="G418" s="10"/>
    </row>
    <row r="419" spans="3:7">
      <c r="C419" s="23"/>
      <c r="D419" s="20"/>
      <c r="E419" s="10"/>
      <c r="F419" s="10"/>
      <c r="G419" s="10"/>
    </row>
    <row r="420" spans="3:7">
      <c r="C420" s="23"/>
      <c r="D420" s="20"/>
      <c r="E420" s="10"/>
      <c r="F420" s="10"/>
      <c r="G420" s="10"/>
    </row>
    <row r="421" spans="3:7">
      <c r="C421" s="12"/>
      <c r="D421" s="20"/>
      <c r="E421" s="10"/>
      <c r="F421" s="10"/>
      <c r="G421" s="10"/>
    </row>
    <row r="422" spans="3:7">
      <c r="C422" s="12"/>
      <c r="D422" s="20"/>
      <c r="E422" s="10"/>
      <c r="F422" s="10"/>
      <c r="G422" s="10"/>
    </row>
    <row r="423" spans="3:7">
      <c r="C423" s="12"/>
      <c r="D423" s="20"/>
      <c r="E423" s="10"/>
      <c r="F423" s="10"/>
      <c r="G423" s="10"/>
    </row>
    <row r="424" spans="3:7">
      <c r="C424" s="12"/>
      <c r="D424" s="20"/>
      <c r="E424" s="10"/>
      <c r="F424" s="10"/>
      <c r="G424" s="10"/>
    </row>
    <row r="425" spans="3:7">
      <c r="C425" s="12"/>
      <c r="D425" s="20"/>
      <c r="E425" s="10"/>
      <c r="F425" s="10"/>
      <c r="G425" s="10"/>
    </row>
    <row r="426" spans="3:7">
      <c r="C426" s="12"/>
      <c r="D426" s="20"/>
      <c r="E426" s="10"/>
      <c r="F426" s="10"/>
      <c r="G426" s="10"/>
    </row>
    <row r="427" spans="3:7">
      <c r="C427" s="8"/>
      <c r="D427" s="20"/>
      <c r="E427" s="10"/>
      <c r="F427" s="10"/>
      <c r="G427" s="10"/>
    </row>
    <row r="428" spans="3:7">
      <c r="C428" s="12"/>
      <c r="D428" s="20"/>
      <c r="E428" s="10"/>
      <c r="F428" s="10"/>
      <c r="G428" s="10"/>
    </row>
    <row r="429" spans="3:7">
      <c r="C429" s="12"/>
      <c r="D429" s="20"/>
      <c r="E429" s="10"/>
      <c r="F429" s="10"/>
      <c r="G429" s="10"/>
    </row>
    <row r="430" spans="3:7">
      <c r="C430" s="8"/>
      <c r="D430" s="20"/>
      <c r="E430" s="10"/>
      <c r="F430" s="10"/>
      <c r="G430" s="10"/>
    </row>
    <row r="431" spans="3:7">
      <c r="C431" s="12"/>
      <c r="D431" s="20"/>
      <c r="E431" s="10"/>
      <c r="F431" s="10"/>
      <c r="G431" s="10"/>
    </row>
    <row r="432" spans="3:7">
      <c r="C432" s="12"/>
      <c r="D432" s="20"/>
      <c r="E432" s="10"/>
      <c r="F432" s="10"/>
      <c r="G432" s="10"/>
    </row>
    <row r="433" spans="3:7">
      <c r="C433" s="8"/>
      <c r="D433" s="20"/>
      <c r="E433" s="10"/>
      <c r="F433" s="10"/>
      <c r="G433" s="10"/>
    </row>
    <row r="434" spans="3:7">
      <c r="C434" s="23"/>
      <c r="D434" s="20"/>
      <c r="E434" s="10"/>
      <c r="F434" s="10"/>
      <c r="G434" s="10"/>
    </row>
    <row r="435" spans="3:7">
      <c r="C435" s="23"/>
      <c r="D435" s="20"/>
      <c r="E435" s="10"/>
      <c r="F435" s="10"/>
      <c r="G435" s="10"/>
    </row>
    <row r="436" spans="3:7">
      <c r="C436" s="7"/>
      <c r="D436" s="9"/>
      <c r="E436" s="10"/>
      <c r="F436" s="10"/>
      <c r="G436" s="10"/>
    </row>
    <row r="437" spans="3:7">
      <c r="C437" s="8"/>
      <c r="D437" s="9"/>
      <c r="E437" s="10"/>
      <c r="F437" s="10"/>
      <c r="G437" s="10"/>
    </row>
    <row r="438" spans="3:7">
      <c r="C438" s="12"/>
      <c r="D438" s="9"/>
      <c r="E438" s="10"/>
      <c r="F438" s="10"/>
      <c r="G438" s="10"/>
    </row>
    <row r="439" spans="3:7">
      <c r="C439" s="8"/>
      <c r="D439" s="9"/>
      <c r="E439" s="10"/>
      <c r="F439" s="10"/>
      <c r="G439" s="10"/>
    </row>
    <row r="440" spans="3:7">
      <c r="C440" s="12"/>
      <c r="D440" s="9"/>
      <c r="E440" s="10"/>
      <c r="F440" s="10"/>
      <c r="G440" s="10"/>
    </row>
    <row r="441" spans="3:7">
      <c r="C441" s="12"/>
      <c r="D441" s="9"/>
      <c r="E441" s="10"/>
      <c r="F441" s="10"/>
      <c r="G441" s="10"/>
    </row>
    <row r="442" spans="3:7">
      <c r="C442" s="8"/>
      <c r="D442" s="9"/>
      <c r="E442" s="10"/>
      <c r="F442" s="10"/>
      <c r="G442" s="10"/>
    </row>
    <row r="443" spans="3:7">
      <c r="C443" s="12"/>
      <c r="D443" s="9"/>
      <c r="E443" s="10"/>
      <c r="F443" s="10"/>
      <c r="G443" s="10"/>
    </row>
    <row r="444" spans="3:7">
      <c r="C444" s="8"/>
      <c r="D444" s="9"/>
      <c r="E444" s="10"/>
      <c r="F444" s="10"/>
      <c r="G444" s="10"/>
    </row>
    <row r="445" spans="3:7">
      <c r="C445" s="12"/>
      <c r="D445" s="9"/>
      <c r="E445" s="10"/>
      <c r="F445" s="10"/>
      <c r="G445" s="10"/>
    </row>
    <row r="446" spans="3:7">
      <c r="C446" s="8"/>
      <c r="D446" s="9"/>
      <c r="E446" s="10"/>
      <c r="F446" s="10"/>
      <c r="G446" s="10"/>
    </row>
    <row r="447" spans="3:7">
      <c r="C447" s="18"/>
      <c r="D447" s="9"/>
      <c r="E447" s="10"/>
      <c r="F447" s="10"/>
      <c r="G447" s="10"/>
    </row>
    <row r="448" spans="3:7">
      <c r="C448" s="19"/>
      <c r="D448" s="9"/>
      <c r="E448" s="10"/>
      <c r="F448" s="10"/>
      <c r="G448" s="10"/>
    </row>
    <row r="449" spans="3:7">
      <c r="C449" s="12"/>
      <c r="D449" s="9"/>
      <c r="E449" s="10"/>
      <c r="F449" s="10"/>
      <c r="G449" s="10"/>
    </row>
    <row r="450" spans="3:7">
      <c r="C450" s="12"/>
      <c r="D450" s="9"/>
      <c r="E450" s="10"/>
      <c r="F450" s="10"/>
      <c r="G450" s="10"/>
    </row>
    <row r="451" spans="3:7">
      <c r="C451" s="34"/>
      <c r="D451" s="20"/>
      <c r="E451" s="10"/>
      <c r="F451" s="10"/>
      <c r="G451" s="10"/>
    </row>
    <row r="452" spans="3:7">
      <c r="C452" s="23"/>
      <c r="D452" s="20"/>
      <c r="E452" s="10"/>
      <c r="F452" s="10"/>
      <c r="G452" s="10"/>
    </row>
    <row r="453" spans="3:7">
      <c r="C453" s="23"/>
      <c r="D453" s="20"/>
      <c r="E453" s="10"/>
      <c r="F453" s="10"/>
      <c r="G453" s="10"/>
    </row>
    <row r="454" spans="3:7">
      <c r="C454" s="12"/>
      <c r="D454" s="20"/>
      <c r="E454" s="10"/>
      <c r="F454" s="10"/>
      <c r="G454" s="10"/>
    </row>
    <row r="455" spans="3:7">
      <c r="C455" s="12"/>
      <c r="D455" s="20"/>
      <c r="E455" s="10"/>
      <c r="F455" s="10"/>
      <c r="G455" s="10"/>
    </row>
    <row r="456" spans="3:7">
      <c r="C456" s="12"/>
      <c r="D456" s="20"/>
      <c r="E456" s="10"/>
      <c r="F456" s="10"/>
      <c r="G456" s="10"/>
    </row>
    <row r="457" spans="3:7">
      <c r="C457" s="12"/>
      <c r="D457" s="20"/>
      <c r="E457" s="10"/>
      <c r="F457" s="10"/>
      <c r="G457" s="10"/>
    </row>
    <row r="458" spans="3:7">
      <c r="C458" s="12"/>
      <c r="D458" s="20"/>
      <c r="E458" s="10"/>
      <c r="F458" s="10"/>
      <c r="G458" s="10"/>
    </row>
    <row r="459" spans="3:7">
      <c r="C459" s="12"/>
      <c r="D459" s="20"/>
      <c r="E459" s="10"/>
      <c r="F459" s="10"/>
      <c r="G459" s="10"/>
    </row>
    <row r="460" spans="3:7">
      <c r="C460" s="8"/>
      <c r="D460" s="20"/>
      <c r="E460" s="10"/>
      <c r="F460" s="10"/>
      <c r="G460" s="10"/>
    </row>
    <row r="461" spans="3:7">
      <c r="C461" s="12"/>
      <c r="D461" s="20"/>
      <c r="E461" s="10"/>
      <c r="F461" s="10"/>
      <c r="G461" s="10"/>
    </row>
    <row r="462" spans="3:7">
      <c r="C462" s="12"/>
      <c r="D462" s="20"/>
      <c r="E462" s="10"/>
      <c r="F462" s="10"/>
      <c r="G462" s="10"/>
    </row>
    <row r="463" spans="3:7">
      <c r="C463" s="8"/>
      <c r="D463" s="20"/>
      <c r="E463" s="10"/>
      <c r="F463" s="10"/>
      <c r="G463" s="10"/>
    </row>
    <row r="464" spans="3:7">
      <c r="C464" s="12"/>
      <c r="D464" s="20"/>
      <c r="E464" s="10"/>
      <c r="F464" s="10"/>
      <c r="G464" s="10"/>
    </row>
    <row r="465" spans="1:7">
      <c r="C465" s="12"/>
      <c r="D465" s="20"/>
      <c r="E465" s="10"/>
      <c r="F465" s="10"/>
      <c r="G465" s="10"/>
    </row>
    <row r="466" spans="1:7">
      <c r="C466" s="8"/>
      <c r="D466" s="20"/>
      <c r="E466" s="10"/>
      <c r="F466" s="10"/>
      <c r="G466" s="10"/>
    </row>
    <row r="467" spans="1:7">
      <c r="C467" s="23"/>
      <c r="D467" s="20"/>
      <c r="E467" s="10"/>
      <c r="F467" s="10"/>
      <c r="G467" s="10"/>
    </row>
    <row r="468" spans="1:7">
      <c r="C468" s="23"/>
      <c r="D468" s="20"/>
      <c r="E468" s="10"/>
      <c r="F468" s="10"/>
      <c r="G468" s="10"/>
    </row>
    <row r="469" spans="1:7">
      <c r="C469" s="2"/>
      <c r="D469" s="2"/>
      <c r="E469" s="2"/>
      <c r="F469" s="2"/>
      <c r="G469" s="2"/>
    </row>
    <row r="470" spans="1:7">
      <c r="C470" s="2"/>
      <c r="D470" s="2"/>
      <c r="E470" s="2"/>
      <c r="F470" s="2"/>
      <c r="G470" s="2"/>
    </row>
    <row r="471" spans="1:7">
      <c r="C471" s="2"/>
      <c r="D471" s="2"/>
      <c r="E471" s="2"/>
      <c r="F471" s="2"/>
      <c r="G471" s="2"/>
    </row>
    <row r="472" spans="1:7" s="33" customFormat="1">
      <c r="A472" s="2"/>
      <c r="B472" s="2"/>
      <c r="C472" s="2"/>
      <c r="D472" s="2"/>
      <c r="E472" s="2"/>
      <c r="F472" s="2"/>
      <c r="G472" s="2"/>
    </row>
    <row r="473" spans="1:7" s="33" customFormat="1">
      <c r="A473" s="2"/>
      <c r="B473" s="2"/>
      <c r="C473" s="2"/>
      <c r="D473" s="2"/>
      <c r="E473" s="2"/>
      <c r="F473" s="2"/>
      <c r="G473" s="2"/>
    </row>
    <row r="474" spans="1:7" s="33" customFormat="1">
      <c r="A474" s="2"/>
      <c r="B474" s="2"/>
      <c r="C474" s="2"/>
      <c r="D474" s="2"/>
      <c r="E474" s="2"/>
      <c r="F474" s="2"/>
      <c r="G474" s="2"/>
    </row>
    <row r="475" spans="1:7" s="33" customFormat="1">
      <c r="A475" s="2"/>
      <c r="B475" s="2"/>
      <c r="C475" s="2"/>
      <c r="D475" s="2"/>
      <c r="E475" s="2"/>
      <c r="F475" s="2"/>
      <c r="G475" s="2"/>
    </row>
    <row r="476" spans="1:7" s="33" customFormat="1">
      <c r="A476" s="2"/>
      <c r="B476" s="2"/>
      <c r="C476" s="2"/>
      <c r="D476" s="2"/>
      <c r="E476" s="2"/>
      <c r="F476" s="2"/>
      <c r="G476" s="2"/>
    </row>
    <row r="477" spans="1:7" s="33" customFormat="1">
      <c r="A477" s="2"/>
      <c r="B477" s="2"/>
      <c r="C477" s="2"/>
      <c r="D477" s="2"/>
      <c r="E477" s="2"/>
      <c r="F477" s="2"/>
      <c r="G477" s="2"/>
    </row>
    <row r="478" spans="1:7" s="33" customFormat="1">
      <c r="A478" s="2"/>
      <c r="B478" s="2"/>
      <c r="C478" s="2"/>
      <c r="D478" s="2"/>
      <c r="E478" s="2"/>
      <c r="F478" s="2"/>
      <c r="G478" s="2"/>
    </row>
    <row r="479" spans="1:7">
      <c r="C479" s="2"/>
      <c r="D479" s="2"/>
      <c r="E479" s="2"/>
      <c r="F479" s="2"/>
      <c r="G479" s="2"/>
    </row>
    <row r="480" spans="1:7">
      <c r="A480" s="33"/>
      <c r="B480" s="33"/>
      <c r="C480" s="252"/>
      <c r="D480" s="252"/>
      <c r="E480" s="252"/>
      <c r="F480" s="252"/>
      <c r="G480" s="252"/>
    </row>
    <row r="481" spans="1:7">
      <c r="A481" s="33"/>
      <c r="B481" s="33"/>
      <c r="C481" s="33"/>
      <c r="D481" s="252"/>
      <c r="E481" s="252"/>
      <c r="F481" s="252"/>
      <c r="G481" s="252"/>
    </row>
    <row r="482" spans="1:7">
      <c r="A482" s="33"/>
      <c r="B482" s="33"/>
      <c r="C482" s="33"/>
      <c r="D482" s="20"/>
      <c r="E482" s="20"/>
      <c r="F482" s="20"/>
      <c r="G482" s="20"/>
    </row>
    <row r="483" spans="1:7">
      <c r="A483" s="33"/>
      <c r="B483" s="33"/>
      <c r="C483" s="252"/>
      <c r="D483" s="252"/>
      <c r="E483" s="252"/>
      <c r="F483" s="252"/>
      <c r="G483" s="252"/>
    </row>
    <row r="484" spans="1:7">
      <c r="A484" s="33"/>
      <c r="B484" s="33"/>
      <c r="C484" s="33"/>
      <c r="D484" s="252"/>
      <c r="E484" s="252"/>
      <c r="F484" s="252"/>
      <c r="G484" s="252"/>
    </row>
    <row r="485" spans="1:7">
      <c r="A485" s="33"/>
      <c r="B485" s="33"/>
      <c r="C485" s="33"/>
      <c r="D485" s="20"/>
      <c r="E485" s="20"/>
      <c r="F485" s="20"/>
      <c r="G485" s="20"/>
    </row>
    <row r="486" spans="1:7">
      <c r="A486" s="33"/>
      <c r="B486" s="33"/>
      <c r="C486" s="33"/>
      <c r="D486" s="33"/>
      <c r="E486" s="33"/>
      <c r="F486" s="33"/>
      <c r="G486" s="33"/>
    </row>
    <row r="487" spans="1:7">
      <c r="C487" s="2"/>
      <c r="D487" s="2"/>
      <c r="E487" s="2"/>
      <c r="F487" s="2"/>
      <c r="G487" s="2"/>
    </row>
    <row r="488" spans="1:7">
      <c r="C488" s="2"/>
      <c r="D488" s="2"/>
      <c r="E488" s="2"/>
      <c r="F488" s="2"/>
      <c r="G488" s="2"/>
    </row>
    <row r="489" spans="1:7">
      <c r="C489" s="2"/>
      <c r="D489" s="2"/>
      <c r="E489" s="2"/>
      <c r="F489" s="2"/>
      <c r="G489" s="2"/>
    </row>
    <row r="490" spans="1:7">
      <c r="C490" s="2"/>
      <c r="D490" s="2"/>
      <c r="E490" s="2"/>
      <c r="F490" s="2"/>
      <c r="G490" s="2"/>
    </row>
    <row r="491" spans="1:7">
      <c r="C491" s="2"/>
      <c r="D491" s="2"/>
      <c r="E491" s="2"/>
      <c r="F491" s="2"/>
      <c r="G491" s="2"/>
    </row>
    <row r="492" spans="1:7">
      <c r="C492" s="2"/>
      <c r="D492" s="2"/>
      <c r="E492" s="2"/>
      <c r="F492" s="2"/>
      <c r="G492" s="2"/>
    </row>
    <row r="493" spans="1:7">
      <c r="C493" s="2"/>
      <c r="D493" s="2"/>
      <c r="E493" s="2"/>
      <c r="F493" s="2"/>
      <c r="G493" s="2"/>
    </row>
    <row r="494" spans="1:7">
      <c r="C494" s="2"/>
      <c r="D494" s="2"/>
      <c r="E494" s="2"/>
      <c r="F494" s="2"/>
      <c r="G494" s="2"/>
    </row>
    <row r="495" spans="1:7">
      <c r="C495" s="7"/>
      <c r="D495" s="2"/>
      <c r="E495" s="2"/>
      <c r="F495" s="2"/>
      <c r="G495" s="2"/>
    </row>
    <row r="496" spans="1:7">
      <c r="C496" s="8"/>
      <c r="D496" s="11"/>
      <c r="E496" s="10"/>
      <c r="F496" s="10"/>
      <c r="G496" s="5"/>
    </row>
    <row r="497" spans="3:7">
      <c r="C497" s="8"/>
      <c r="D497" s="11"/>
      <c r="E497" s="10"/>
      <c r="F497" s="10"/>
      <c r="G497" s="10"/>
    </row>
    <row r="498" spans="3:7">
      <c r="C498" s="12"/>
      <c r="D498" s="11"/>
      <c r="E498" s="10"/>
      <c r="F498" s="10"/>
      <c r="G498" s="10"/>
    </row>
    <row r="499" spans="3:7">
      <c r="C499" s="12"/>
      <c r="D499" s="11"/>
      <c r="E499" s="10"/>
      <c r="F499" s="10"/>
      <c r="G499" s="10"/>
    </row>
    <row r="500" spans="3:7">
      <c r="C500" s="8"/>
      <c r="D500" s="11"/>
      <c r="E500" s="10"/>
      <c r="F500" s="10"/>
      <c r="G500" s="10"/>
    </row>
    <row r="501" spans="3:7">
      <c r="C501" s="12"/>
      <c r="D501" s="11"/>
      <c r="E501" s="10"/>
      <c r="F501" s="10"/>
      <c r="G501" s="10"/>
    </row>
    <row r="502" spans="3:7">
      <c r="C502" s="12"/>
      <c r="D502" s="11"/>
      <c r="E502" s="10"/>
      <c r="F502" s="10"/>
      <c r="G502" s="10"/>
    </row>
    <row r="503" spans="3:7">
      <c r="C503" s="12"/>
      <c r="D503" s="11"/>
      <c r="E503" s="10"/>
      <c r="F503" s="10"/>
      <c r="G503" s="10"/>
    </row>
    <row r="504" spans="3:7">
      <c r="C504" s="8"/>
      <c r="D504" s="11"/>
      <c r="E504" s="10"/>
      <c r="F504" s="10"/>
      <c r="G504" s="10"/>
    </row>
    <row r="505" spans="3:7">
      <c r="C505" s="12"/>
      <c r="D505" s="11"/>
      <c r="E505" s="10"/>
      <c r="F505" s="10"/>
      <c r="G505" s="10"/>
    </row>
    <row r="506" spans="3:7">
      <c r="C506" s="12"/>
      <c r="D506" s="11"/>
      <c r="E506" s="10"/>
      <c r="F506" s="10"/>
      <c r="G506" s="10"/>
    </row>
    <row r="507" spans="3:7">
      <c r="C507" s="8"/>
      <c r="D507" s="11"/>
      <c r="E507" s="10"/>
      <c r="F507" s="10"/>
      <c r="G507" s="10"/>
    </row>
    <row r="508" spans="3:7">
      <c r="C508" s="12"/>
      <c r="D508" s="11"/>
      <c r="E508" s="10"/>
      <c r="F508" s="10"/>
      <c r="G508" s="10"/>
    </row>
    <row r="509" spans="3:7">
      <c r="C509" s="12"/>
      <c r="D509" s="11"/>
      <c r="E509" s="10"/>
      <c r="F509" s="10"/>
      <c r="G509" s="10"/>
    </row>
    <row r="510" spans="3:7">
      <c r="C510" s="37"/>
      <c r="D510" s="10"/>
      <c r="E510" s="10"/>
      <c r="F510" s="10"/>
      <c r="G510" s="10"/>
    </row>
    <row r="511" spans="3:7">
      <c r="C511" s="38"/>
      <c r="D511" s="10"/>
      <c r="E511" s="10"/>
      <c r="F511" s="10"/>
      <c r="G511" s="10"/>
    </row>
    <row r="512" spans="3:7">
      <c r="C512" s="13"/>
      <c r="D512" s="14"/>
      <c r="E512" s="14"/>
      <c r="F512" s="14"/>
      <c r="G512" s="14"/>
    </row>
    <row r="513" spans="3:7">
      <c r="C513" s="15"/>
      <c r="D513" s="16"/>
      <c r="E513" s="10"/>
      <c r="F513" s="10"/>
      <c r="G513" s="10"/>
    </row>
    <row r="514" spans="3:7">
      <c r="C514" s="15"/>
      <c r="D514" s="16"/>
      <c r="E514" s="10"/>
      <c r="F514" s="10"/>
      <c r="G514" s="10"/>
    </row>
    <row r="515" spans="3:7">
      <c r="C515" s="15"/>
      <c r="D515" s="16"/>
      <c r="E515" s="10"/>
      <c r="F515" s="10"/>
      <c r="G515" s="10"/>
    </row>
    <row r="516" spans="3:7">
      <c r="C516" s="15"/>
      <c r="D516" s="16"/>
      <c r="E516" s="10"/>
      <c r="F516" s="10"/>
      <c r="G516" s="10"/>
    </row>
    <row r="517" spans="3:7">
      <c r="C517" s="15"/>
      <c r="D517" s="16"/>
      <c r="E517" s="10"/>
      <c r="F517" s="10"/>
      <c r="G517" s="10"/>
    </row>
    <row r="518" spans="3:7">
      <c r="C518" s="15"/>
      <c r="D518" s="16"/>
      <c r="E518" s="10"/>
      <c r="F518" s="10"/>
      <c r="G518" s="10"/>
    </row>
    <row r="519" spans="3:7">
      <c r="C519" s="17"/>
      <c r="D519" s="11"/>
      <c r="E519" s="16"/>
      <c r="F519" s="5"/>
      <c r="G519" s="5"/>
    </row>
    <row r="520" spans="3:7">
      <c r="C520" s="18"/>
      <c r="D520" s="11"/>
      <c r="E520" s="16"/>
      <c r="F520" s="5"/>
      <c r="G520" s="5"/>
    </row>
    <row r="521" spans="3:7">
      <c r="C521" s="18"/>
      <c r="D521" s="11"/>
      <c r="E521" s="16"/>
      <c r="F521" s="5"/>
      <c r="G521" s="5"/>
    </row>
    <row r="522" spans="3:7">
      <c r="C522" s="18"/>
      <c r="D522" s="11"/>
      <c r="E522" s="16"/>
      <c r="F522" s="5"/>
      <c r="G522" s="5"/>
    </row>
    <row r="523" spans="3:7">
      <c r="C523" s="17"/>
      <c r="D523" s="11"/>
      <c r="E523" s="16"/>
      <c r="F523" s="5"/>
      <c r="G523" s="5"/>
    </row>
    <row r="524" spans="3:7">
      <c r="C524" s="18"/>
      <c r="D524" s="11"/>
      <c r="E524" s="16"/>
      <c r="F524" s="5"/>
      <c r="G524" s="5"/>
    </row>
    <row r="525" spans="3:7">
      <c r="C525" s="18"/>
      <c r="D525" s="11"/>
      <c r="E525" s="16"/>
      <c r="F525" s="5"/>
      <c r="G525" s="5"/>
    </row>
    <row r="526" spans="3:7">
      <c r="C526" s="18"/>
      <c r="D526" s="11"/>
      <c r="E526" s="16"/>
      <c r="F526" s="5"/>
      <c r="G526" s="5"/>
    </row>
    <row r="527" spans="3:7">
      <c r="C527" s="18"/>
      <c r="D527" s="11"/>
      <c r="E527" s="16"/>
      <c r="F527" s="5"/>
      <c r="G527" s="5"/>
    </row>
    <row r="528" spans="3:7">
      <c r="C528" s="18"/>
      <c r="D528" s="11"/>
      <c r="E528" s="16"/>
      <c r="F528" s="5"/>
      <c r="G528" s="5"/>
    </row>
    <row r="529" spans="3:7">
      <c r="C529" s="18"/>
      <c r="D529" s="11"/>
      <c r="E529" s="16"/>
      <c r="F529" s="5"/>
      <c r="G529" s="5"/>
    </row>
    <row r="530" spans="3:7">
      <c r="C530" s="18"/>
      <c r="D530" s="11"/>
      <c r="E530" s="16"/>
      <c r="F530" s="5"/>
      <c r="G530" s="5"/>
    </row>
    <row r="531" spans="3:7">
      <c r="C531" s="18"/>
      <c r="D531" s="11"/>
      <c r="E531" s="16"/>
      <c r="F531" s="5"/>
      <c r="G531" s="5"/>
    </row>
    <row r="532" spans="3:7">
      <c r="C532" s="18"/>
      <c r="D532" s="11"/>
      <c r="E532" s="16"/>
      <c r="F532" s="5"/>
      <c r="G532" s="5"/>
    </row>
    <row r="533" spans="3:7">
      <c r="C533" s="2"/>
      <c r="D533" s="2"/>
      <c r="E533" s="2"/>
      <c r="F533" s="2"/>
      <c r="G533" s="2"/>
    </row>
    <row r="534" spans="3:7">
      <c r="C534" s="2"/>
      <c r="D534" s="2"/>
      <c r="E534" s="2"/>
      <c r="F534" s="2"/>
      <c r="G534" s="2"/>
    </row>
    <row r="535" spans="3:7">
      <c r="C535" s="2"/>
      <c r="D535" s="2"/>
      <c r="E535" s="2"/>
      <c r="F535" s="2"/>
      <c r="G535" s="2"/>
    </row>
    <row r="536" spans="3:7">
      <c r="C536" s="2"/>
      <c r="D536" s="2"/>
      <c r="E536" s="2"/>
      <c r="F536" s="2"/>
      <c r="G536" s="2"/>
    </row>
    <row r="537" spans="3:7">
      <c r="C537" s="2"/>
      <c r="D537" s="2"/>
      <c r="E537" s="2"/>
      <c r="F537" s="2"/>
      <c r="G537" s="2"/>
    </row>
    <row r="538" spans="3:7">
      <c r="C538" s="2"/>
      <c r="D538" s="2"/>
      <c r="E538" s="2"/>
      <c r="F538" s="2"/>
      <c r="G538" s="2"/>
    </row>
    <row r="539" spans="3:7">
      <c r="C539" s="2"/>
      <c r="D539" s="2"/>
      <c r="E539" s="2"/>
      <c r="F539" s="2"/>
      <c r="G539" s="2"/>
    </row>
    <row r="540" spans="3:7">
      <c r="C540" s="2"/>
      <c r="D540" s="2"/>
      <c r="E540" s="2"/>
      <c r="F540" s="2"/>
      <c r="G540" s="2"/>
    </row>
    <row r="541" spans="3:7">
      <c r="C541" s="2"/>
      <c r="D541" s="2"/>
      <c r="E541" s="2"/>
      <c r="F541" s="2"/>
      <c r="G541" s="2"/>
    </row>
    <row r="542" spans="3:7">
      <c r="C542" s="2"/>
      <c r="D542" s="2"/>
      <c r="E542" s="2"/>
      <c r="F542" s="2"/>
      <c r="G542" s="2"/>
    </row>
    <row r="543" spans="3:7">
      <c r="C543" s="2"/>
      <c r="D543" s="2"/>
      <c r="E543" s="2"/>
      <c r="F543" s="2"/>
      <c r="G543" s="2"/>
    </row>
    <row r="544" spans="3:7">
      <c r="C544" s="2"/>
      <c r="D544" s="2"/>
      <c r="E544" s="2"/>
      <c r="F544" s="2"/>
      <c r="G544" s="2"/>
    </row>
    <row r="545" spans="3:7">
      <c r="C545" s="2"/>
      <c r="D545" s="2"/>
      <c r="E545" s="2"/>
      <c r="F545" s="2"/>
      <c r="G545" s="2"/>
    </row>
    <row r="546" spans="3:7">
      <c r="C546" s="2"/>
      <c r="D546" s="2"/>
      <c r="E546" s="2"/>
      <c r="F546" s="2"/>
      <c r="G546" s="2"/>
    </row>
    <row r="547" spans="3:7">
      <c r="C547" s="2"/>
      <c r="D547" s="2"/>
      <c r="E547" s="2"/>
      <c r="F547" s="2"/>
      <c r="G547" s="2"/>
    </row>
    <row r="548" spans="3:7">
      <c r="C548" s="2"/>
      <c r="D548" s="2"/>
      <c r="E548" s="2"/>
      <c r="F548" s="2"/>
      <c r="G548" s="2"/>
    </row>
    <row r="549" spans="3:7">
      <c r="C549" s="2"/>
      <c r="D549" s="2"/>
      <c r="E549" s="2"/>
      <c r="F549" s="2"/>
      <c r="G549" s="2"/>
    </row>
    <row r="550" spans="3:7">
      <c r="C550" s="2"/>
      <c r="D550" s="2"/>
      <c r="E550" s="2"/>
      <c r="F550" s="2"/>
      <c r="G550" s="2"/>
    </row>
    <row r="551" spans="3:7">
      <c r="C551" s="2"/>
      <c r="D551" s="2"/>
      <c r="E551" s="2"/>
      <c r="F551" s="2"/>
      <c r="G551" s="2"/>
    </row>
    <row r="552" spans="3:7">
      <c r="C552" s="2"/>
      <c r="D552" s="2"/>
      <c r="E552" s="2"/>
      <c r="F552" s="2"/>
      <c r="G552" s="2"/>
    </row>
    <row r="553" spans="3:7">
      <c r="C553" s="2"/>
      <c r="D553" s="2"/>
      <c r="E553" s="2"/>
      <c r="F553" s="2"/>
      <c r="G553" s="2"/>
    </row>
    <row r="554" spans="3:7">
      <c r="C554" s="2"/>
      <c r="D554" s="2"/>
      <c r="E554" s="2"/>
      <c r="F554" s="2"/>
      <c r="G554" s="2"/>
    </row>
    <row r="555" spans="3:7">
      <c r="C555" s="2"/>
      <c r="D555" s="2"/>
      <c r="E555" s="2"/>
      <c r="F555" s="2"/>
      <c r="G555" s="2"/>
    </row>
    <row r="556" spans="3:7">
      <c r="C556" s="2"/>
      <c r="D556" s="2"/>
      <c r="E556" s="2"/>
      <c r="F556" s="2"/>
      <c r="G556" s="2"/>
    </row>
    <row r="557" spans="3:7">
      <c r="C557" s="2"/>
      <c r="D557" s="2"/>
      <c r="E557" s="2"/>
      <c r="F557" s="2"/>
      <c r="G557" s="2"/>
    </row>
    <row r="558" spans="3:7">
      <c r="C558" s="2"/>
      <c r="D558" s="2"/>
      <c r="E558" s="2"/>
      <c r="F558" s="2"/>
      <c r="G558" s="2"/>
    </row>
    <row r="559" spans="3:7">
      <c r="C559" s="2"/>
      <c r="D559" s="2"/>
      <c r="E559" s="2"/>
      <c r="F559" s="2"/>
      <c r="G559" s="2"/>
    </row>
    <row r="560" spans="3:7">
      <c r="C560" s="2"/>
      <c r="D560" s="2"/>
      <c r="E560" s="2"/>
      <c r="F560" s="2"/>
      <c r="G560" s="2"/>
    </row>
    <row r="561" spans="3:7">
      <c r="C561" s="2"/>
      <c r="D561" s="2"/>
      <c r="E561" s="2"/>
      <c r="F561" s="2"/>
      <c r="G561" s="2"/>
    </row>
    <row r="562" spans="3:7">
      <c r="C562" s="2"/>
      <c r="D562" s="2"/>
      <c r="E562" s="2"/>
      <c r="F562" s="2"/>
      <c r="G562" s="2"/>
    </row>
    <row r="563" spans="3:7">
      <c r="C563" s="2"/>
      <c r="D563" s="2"/>
      <c r="E563" s="2"/>
      <c r="F563" s="2"/>
      <c r="G563" s="2"/>
    </row>
    <row r="564" spans="3:7">
      <c r="C564" s="2"/>
      <c r="D564" s="2"/>
      <c r="E564" s="2"/>
      <c r="F564" s="2"/>
      <c r="G564" s="2"/>
    </row>
    <row r="565" spans="3:7">
      <c r="C565" s="2"/>
      <c r="D565" s="2"/>
      <c r="E565" s="2"/>
      <c r="F565" s="2"/>
      <c r="G565" s="2"/>
    </row>
    <row r="566" spans="3:7">
      <c r="C566" s="2"/>
      <c r="D566" s="2"/>
      <c r="E566" s="2"/>
      <c r="F566" s="2"/>
      <c r="G566" s="2"/>
    </row>
    <row r="567" spans="3:7">
      <c r="C567" s="2"/>
      <c r="D567" s="2"/>
      <c r="E567" s="2"/>
      <c r="F567" s="2"/>
      <c r="G567" s="2"/>
    </row>
    <row r="568" spans="3:7">
      <c r="C568" s="2"/>
      <c r="D568" s="2"/>
      <c r="E568" s="2"/>
      <c r="F568" s="2"/>
      <c r="G568" s="2"/>
    </row>
    <row r="569" spans="3:7">
      <c r="C569" s="2"/>
      <c r="D569" s="2"/>
      <c r="E569" s="2"/>
      <c r="F569" s="2"/>
      <c r="G569" s="2"/>
    </row>
    <row r="570" spans="3:7">
      <c r="C570" s="2"/>
      <c r="D570" s="2"/>
      <c r="E570" s="2"/>
      <c r="F570" s="2"/>
      <c r="G570" s="2"/>
    </row>
    <row r="571" spans="3:7">
      <c r="C571" s="2"/>
      <c r="D571" s="2"/>
      <c r="E571" s="2"/>
      <c r="F571" s="2"/>
      <c r="G571" s="2"/>
    </row>
    <row r="572" spans="3:7">
      <c r="C572" s="2"/>
      <c r="D572" s="2"/>
      <c r="E572" s="2"/>
      <c r="F572" s="2"/>
      <c r="G572" s="2"/>
    </row>
    <row r="573" spans="3:7">
      <c r="C573" s="2"/>
      <c r="D573" s="2"/>
      <c r="E573" s="2"/>
      <c r="F573" s="2"/>
      <c r="G573" s="2"/>
    </row>
    <row r="574" spans="3:7">
      <c r="C574" s="2"/>
      <c r="D574" s="2"/>
      <c r="E574" s="2"/>
      <c r="F574" s="2"/>
      <c r="G574" s="2"/>
    </row>
    <row r="575" spans="3:7">
      <c r="C575" s="2"/>
      <c r="D575" s="2"/>
      <c r="E575" s="2"/>
      <c r="F575" s="2"/>
      <c r="G575" s="2"/>
    </row>
    <row r="576" spans="3:7">
      <c r="C576" s="2"/>
      <c r="D576" s="2"/>
      <c r="E576" s="2"/>
      <c r="F576" s="2"/>
      <c r="G576" s="2"/>
    </row>
    <row r="577" spans="3:7">
      <c r="C577" s="2"/>
      <c r="D577" s="2"/>
      <c r="E577" s="2"/>
      <c r="F577" s="2"/>
      <c r="G577" s="2"/>
    </row>
    <row r="578" spans="3:7">
      <c r="C578" s="2"/>
      <c r="D578" s="2"/>
      <c r="E578" s="2"/>
      <c r="F578" s="2"/>
      <c r="G578" s="2"/>
    </row>
    <row r="579" spans="3:7">
      <c r="C579" s="2"/>
      <c r="D579" s="2"/>
      <c r="E579" s="2"/>
      <c r="F579" s="2"/>
      <c r="G579" s="2"/>
    </row>
    <row r="580" spans="3:7">
      <c r="C580" s="2"/>
      <c r="D580" s="2"/>
      <c r="E580" s="2"/>
      <c r="F580" s="2"/>
      <c r="G580" s="2"/>
    </row>
    <row r="581" spans="3:7">
      <c r="C581" s="2"/>
      <c r="D581" s="2"/>
      <c r="E581" s="2"/>
      <c r="F581" s="2"/>
      <c r="G581" s="2"/>
    </row>
    <row r="582" spans="3:7">
      <c r="C582" s="2"/>
      <c r="D582" s="2"/>
      <c r="E582" s="2"/>
      <c r="F582" s="2"/>
      <c r="G582" s="2"/>
    </row>
    <row r="583" spans="3:7">
      <c r="C583" s="2"/>
      <c r="D583" s="2"/>
      <c r="E583" s="2"/>
      <c r="F583" s="2"/>
      <c r="G583" s="2"/>
    </row>
    <row r="584" spans="3:7">
      <c r="C584" s="2"/>
      <c r="D584" s="2"/>
      <c r="E584" s="2"/>
      <c r="F584" s="2"/>
      <c r="G584" s="2"/>
    </row>
    <row r="585" spans="3:7">
      <c r="C585" s="2"/>
      <c r="D585" s="2"/>
      <c r="E585" s="2"/>
      <c r="F585" s="2"/>
      <c r="G585" s="2"/>
    </row>
    <row r="586" spans="3:7">
      <c r="C586" s="2"/>
      <c r="D586" s="2"/>
      <c r="E586" s="2"/>
      <c r="F586" s="2"/>
      <c r="G586" s="2"/>
    </row>
    <row r="587" spans="3:7">
      <c r="C587" s="2"/>
      <c r="D587" s="2"/>
      <c r="E587" s="2"/>
      <c r="F587" s="2"/>
      <c r="G587" s="2"/>
    </row>
    <row r="588" spans="3:7">
      <c r="C588" s="2"/>
      <c r="D588" s="2"/>
      <c r="E588" s="2"/>
      <c r="F588" s="2"/>
      <c r="G588" s="2"/>
    </row>
    <row r="589" spans="3:7">
      <c r="C589" s="2"/>
      <c r="D589" s="2"/>
      <c r="E589" s="2"/>
      <c r="F589" s="2"/>
      <c r="G589" s="2"/>
    </row>
    <row r="590" spans="3:7">
      <c r="C590" s="2"/>
      <c r="D590" s="2"/>
      <c r="E590" s="2"/>
      <c r="F590" s="2"/>
      <c r="G590" s="2"/>
    </row>
    <row r="591" spans="3:7">
      <c r="C591" s="2"/>
      <c r="D591" s="2"/>
      <c r="E591" s="2"/>
      <c r="F591" s="2"/>
      <c r="G591" s="2"/>
    </row>
    <row r="592" spans="3:7">
      <c r="C592" s="2"/>
      <c r="D592" s="2"/>
      <c r="E592" s="2"/>
      <c r="F592" s="2"/>
      <c r="G592" s="2"/>
    </row>
    <row r="593" spans="3:7">
      <c r="C593" s="2"/>
      <c r="D593" s="2"/>
      <c r="E593" s="2"/>
      <c r="F593" s="2"/>
      <c r="G593" s="2"/>
    </row>
    <row r="594" spans="3:7">
      <c r="C594" s="2"/>
      <c r="D594" s="2"/>
      <c r="E594" s="2"/>
      <c r="F594" s="2"/>
      <c r="G594" s="2"/>
    </row>
    <row r="595" spans="3:7">
      <c r="C595" s="2"/>
      <c r="D595" s="2"/>
      <c r="E595" s="2"/>
      <c r="F595" s="2"/>
      <c r="G595" s="2"/>
    </row>
    <row r="596" spans="3:7">
      <c r="C596" s="2"/>
      <c r="D596" s="2"/>
      <c r="E596" s="2"/>
      <c r="F596" s="2"/>
      <c r="G596" s="2"/>
    </row>
    <row r="597" spans="3:7">
      <c r="C597" s="2"/>
      <c r="D597" s="2"/>
      <c r="E597" s="2"/>
      <c r="F597" s="2"/>
      <c r="G597" s="2"/>
    </row>
    <row r="598" spans="3:7">
      <c r="C598" s="2"/>
      <c r="D598" s="2"/>
      <c r="E598" s="2"/>
      <c r="F598" s="2"/>
      <c r="G598" s="2"/>
    </row>
    <row r="599" spans="3:7">
      <c r="C599" s="2"/>
      <c r="D599" s="2"/>
      <c r="E599" s="2"/>
      <c r="F599" s="2"/>
      <c r="G599" s="2"/>
    </row>
    <row r="600" spans="3:7">
      <c r="C600" s="2"/>
      <c r="D600" s="2"/>
      <c r="E600" s="2"/>
      <c r="F600" s="2"/>
      <c r="G600" s="2"/>
    </row>
    <row r="601" spans="3:7">
      <c r="C601" s="2"/>
      <c r="D601" s="2"/>
      <c r="E601" s="2"/>
      <c r="F601" s="2"/>
      <c r="G601" s="2"/>
    </row>
    <row r="602" spans="3:7">
      <c r="C602" s="2"/>
      <c r="D602" s="2"/>
      <c r="E602" s="2"/>
      <c r="F602" s="2"/>
      <c r="G602" s="2"/>
    </row>
    <row r="603" spans="3:7">
      <c r="C603" s="2"/>
      <c r="D603" s="2"/>
      <c r="E603" s="2"/>
      <c r="F603" s="2"/>
      <c r="G603" s="2"/>
    </row>
    <row r="604" spans="3:7">
      <c r="C604" s="2"/>
      <c r="D604" s="2"/>
      <c r="E604" s="2"/>
      <c r="F604" s="2"/>
      <c r="G604" s="2"/>
    </row>
    <row r="605" spans="3:7">
      <c r="C605" s="2"/>
      <c r="D605" s="2"/>
      <c r="E605" s="2"/>
      <c r="F605" s="2"/>
      <c r="G605" s="2"/>
    </row>
    <row r="606" spans="3:7">
      <c r="C606" s="2"/>
      <c r="D606" s="2"/>
      <c r="E606" s="2"/>
      <c r="F606" s="2"/>
      <c r="G606" s="2"/>
    </row>
    <row r="607" spans="3:7">
      <c r="C607" s="2"/>
      <c r="D607" s="2"/>
      <c r="E607" s="2"/>
      <c r="F607" s="2"/>
      <c r="G607" s="2"/>
    </row>
    <row r="608" spans="3:7">
      <c r="C608" s="2"/>
      <c r="D608" s="2"/>
      <c r="E608" s="2"/>
      <c r="F608" s="2"/>
      <c r="G608" s="2"/>
    </row>
    <row r="609" spans="3:7">
      <c r="C609" s="2"/>
      <c r="D609" s="2"/>
      <c r="E609" s="2"/>
      <c r="F609" s="2"/>
      <c r="G609" s="2"/>
    </row>
    <row r="610" spans="3:7">
      <c r="C610" s="2"/>
      <c r="D610" s="2"/>
      <c r="E610" s="2"/>
      <c r="F610" s="2"/>
      <c r="G610" s="2"/>
    </row>
  </sheetData>
  <mergeCells count="23">
    <mergeCell ref="A2:G2"/>
    <mergeCell ref="A4:G4"/>
    <mergeCell ref="A5:G5"/>
    <mergeCell ref="A11:G11"/>
    <mergeCell ref="C6:G6"/>
    <mergeCell ref="A8:K8"/>
    <mergeCell ref="A13:A14"/>
    <mergeCell ref="B13:B14"/>
    <mergeCell ref="A10:I10"/>
    <mergeCell ref="D13:D14"/>
    <mergeCell ref="E13:E14"/>
    <mergeCell ref="F13:F14"/>
    <mergeCell ref="C13:C14"/>
    <mergeCell ref="C480:G480"/>
    <mergeCell ref="D481:G481"/>
    <mergeCell ref="C483:G483"/>
    <mergeCell ref="D484:G484"/>
    <mergeCell ref="A9:N9"/>
    <mergeCell ref="G13:G14"/>
    <mergeCell ref="C82:G82"/>
    <mergeCell ref="C83:G83"/>
    <mergeCell ref="C85:G85"/>
    <mergeCell ref="C86:G86"/>
  </mergeCells>
  <pageMargins left="1.1023622047244095" right="0.39370078740157483" top="0.74803149606299213" bottom="0.47244094488188981" header="0.31496062992125984" footer="0.31496062992125984"/>
  <pageSetup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2:N604"/>
  <sheetViews>
    <sheetView topLeftCell="A16" workbookViewId="0">
      <selection activeCell="C86" sqref="C86"/>
    </sheetView>
  </sheetViews>
  <sheetFormatPr defaultRowHeight="12.75"/>
  <cols>
    <col min="1" max="1" width="7" style="2" bestFit="1" customWidth="1"/>
    <col min="2" max="2" width="6.42578125" style="2" customWidth="1"/>
    <col min="3" max="3" width="36.85546875" style="1" customWidth="1"/>
    <col min="4" max="4" width="9.7109375" style="1" bestFit="1" customWidth="1"/>
    <col min="5" max="5" width="9.85546875" style="1" bestFit="1" customWidth="1"/>
    <col min="6" max="6" width="9" style="1" customWidth="1"/>
    <col min="7" max="7" width="8.7109375" style="1" customWidth="1"/>
    <col min="8" max="8" width="9.140625" style="2"/>
    <col min="9" max="9" width="13.140625" style="2" customWidth="1"/>
    <col min="10" max="16384" width="9.140625" style="2"/>
  </cols>
  <sheetData>
    <row r="2" spans="1:14" s="4" customFormat="1">
      <c r="A2" s="246" t="s">
        <v>84</v>
      </c>
      <c r="B2" s="246"/>
      <c r="C2" s="246"/>
      <c r="D2" s="246"/>
      <c r="E2" s="246"/>
      <c r="F2" s="246"/>
      <c r="G2" s="246"/>
    </row>
    <row r="3" spans="1:14" s="4" customFormat="1"/>
    <row r="4" spans="1:14" s="4" customFormat="1">
      <c r="A4" s="256" t="s">
        <v>113</v>
      </c>
      <c r="B4" s="256"/>
      <c r="C4" s="256"/>
      <c r="D4" s="256"/>
      <c r="E4" s="256"/>
      <c r="F4" s="256"/>
      <c r="G4" s="256"/>
    </row>
    <row r="5" spans="1:14" s="4" customFormat="1">
      <c r="A5" s="254" t="s">
        <v>897</v>
      </c>
      <c r="B5" s="254"/>
      <c r="C5" s="254"/>
      <c r="D5" s="254"/>
      <c r="E5" s="254"/>
      <c r="F5" s="254"/>
      <c r="G5" s="254"/>
    </row>
    <row r="6" spans="1:14" s="4" customFormat="1">
      <c r="A6" s="247" t="s">
        <v>3</v>
      </c>
      <c r="B6" s="247"/>
      <c r="C6" s="247"/>
      <c r="D6" s="247"/>
      <c r="E6" s="247"/>
      <c r="F6" s="247"/>
      <c r="G6" s="247"/>
    </row>
    <row r="7" spans="1:14" s="4" customFormat="1"/>
    <row r="8" spans="1:14" s="4" customFormat="1" ht="15" customHeight="1">
      <c r="A8" s="243" t="s">
        <v>774</v>
      </c>
      <c r="B8" s="243"/>
      <c r="C8" s="243"/>
      <c r="D8" s="243"/>
      <c r="E8" s="243"/>
      <c r="F8" s="243"/>
      <c r="G8" s="243"/>
      <c r="H8" s="243"/>
      <c r="I8" s="243"/>
      <c r="J8" s="243"/>
      <c r="K8" s="243"/>
      <c r="L8" s="121"/>
      <c r="M8" s="121"/>
      <c r="N8" s="121"/>
    </row>
    <row r="9" spans="1:14" s="4" customFormat="1" ht="15" customHeight="1">
      <c r="A9" s="243" t="s">
        <v>637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</row>
    <row r="10" spans="1:14" s="4" customFormat="1" ht="15" customHeight="1">
      <c r="A10" s="243" t="s">
        <v>638</v>
      </c>
      <c r="B10" s="243"/>
      <c r="C10" s="243"/>
      <c r="D10" s="243"/>
      <c r="E10" s="243"/>
      <c r="F10" s="243"/>
      <c r="G10" s="243"/>
      <c r="H10" s="243"/>
      <c r="I10" s="243"/>
      <c r="J10" s="86"/>
      <c r="K10" s="86"/>
      <c r="L10" s="122"/>
      <c r="M10" s="122"/>
      <c r="N10" s="86"/>
    </row>
    <row r="11" spans="1:14" s="4" customFormat="1" ht="15" customHeight="1">
      <c r="A11" s="245" t="s">
        <v>10</v>
      </c>
      <c r="B11" s="245"/>
      <c r="C11" s="245"/>
      <c r="D11" s="245"/>
      <c r="E11" s="245"/>
      <c r="F11" s="245"/>
      <c r="G11" s="245"/>
    </row>
    <row r="12" spans="1:14" s="4" customFormat="1"/>
    <row r="13" spans="1:14" s="4" customFormat="1" ht="12.75" customHeight="1">
      <c r="A13" s="248" t="s">
        <v>11</v>
      </c>
      <c r="B13" s="249" t="s">
        <v>34</v>
      </c>
      <c r="C13" s="259" t="s">
        <v>12</v>
      </c>
      <c r="D13" s="248" t="s">
        <v>13</v>
      </c>
      <c r="E13" s="248" t="s">
        <v>14</v>
      </c>
      <c r="F13" s="244" t="s">
        <v>19</v>
      </c>
      <c r="G13" s="244" t="s">
        <v>20</v>
      </c>
    </row>
    <row r="14" spans="1:14" s="4" customFormat="1" ht="35.25" customHeight="1">
      <c r="A14" s="248"/>
      <c r="B14" s="250"/>
      <c r="C14" s="259"/>
      <c r="D14" s="248"/>
      <c r="E14" s="248"/>
      <c r="F14" s="244"/>
      <c r="G14" s="244"/>
    </row>
    <row r="15" spans="1:14" s="4" customFormat="1">
      <c r="A15" s="87" t="s">
        <v>56</v>
      </c>
      <c r="B15" s="58"/>
      <c r="C15" s="41" t="s">
        <v>898</v>
      </c>
      <c r="D15" s="82"/>
      <c r="E15" s="82"/>
      <c r="F15" s="26"/>
      <c r="G15" s="26"/>
    </row>
    <row r="16" spans="1:14" s="4" customFormat="1">
      <c r="A16" s="85" t="s">
        <v>86</v>
      </c>
      <c r="B16" s="58"/>
      <c r="C16" s="150" t="s">
        <v>899</v>
      </c>
      <c r="D16" s="30" t="s">
        <v>792</v>
      </c>
      <c r="E16" s="147">
        <v>72</v>
      </c>
      <c r="F16" s="42"/>
      <c r="G16" s="26"/>
    </row>
    <row r="17" spans="1:7" s="4" customFormat="1">
      <c r="A17" s="85" t="s">
        <v>87</v>
      </c>
      <c r="B17" s="58"/>
      <c r="C17" s="150" t="s">
        <v>900</v>
      </c>
      <c r="D17" s="30" t="s">
        <v>792</v>
      </c>
      <c r="E17" s="147">
        <v>29</v>
      </c>
      <c r="F17" s="42"/>
      <c r="G17" s="26"/>
    </row>
    <row r="18" spans="1:7" s="4" customFormat="1">
      <c r="A18" s="85" t="s">
        <v>88</v>
      </c>
      <c r="B18" s="58"/>
      <c r="C18" s="150" t="s">
        <v>901</v>
      </c>
      <c r="D18" s="30" t="s">
        <v>792</v>
      </c>
      <c r="E18" s="147">
        <v>14</v>
      </c>
      <c r="F18" s="42"/>
      <c r="G18" s="26"/>
    </row>
    <row r="19" spans="1:7" s="4" customFormat="1">
      <c r="A19" s="85" t="s">
        <v>89</v>
      </c>
      <c r="B19" s="58"/>
      <c r="C19" s="150" t="s">
        <v>902</v>
      </c>
      <c r="D19" s="30" t="s">
        <v>792</v>
      </c>
      <c r="E19" s="147">
        <v>25</v>
      </c>
      <c r="F19" s="42"/>
      <c r="G19" s="26"/>
    </row>
    <row r="20" spans="1:7" s="4" customFormat="1">
      <c r="A20" s="85" t="s">
        <v>90</v>
      </c>
      <c r="B20" s="58"/>
      <c r="C20" s="150" t="s">
        <v>903</v>
      </c>
      <c r="D20" s="30" t="s">
        <v>792</v>
      </c>
      <c r="E20" s="147">
        <v>78</v>
      </c>
      <c r="F20" s="42"/>
      <c r="G20" s="26"/>
    </row>
    <row r="21" spans="1:7" s="4" customFormat="1">
      <c r="A21" s="85" t="s">
        <v>91</v>
      </c>
      <c r="B21" s="58"/>
      <c r="C21" s="150" t="s">
        <v>904</v>
      </c>
      <c r="D21" s="30" t="s">
        <v>792</v>
      </c>
      <c r="E21" s="147">
        <v>8</v>
      </c>
      <c r="F21" s="42"/>
      <c r="G21" s="26"/>
    </row>
    <row r="22" spans="1:7" s="4" customFormat="1">
      <c r="A22" s="85" t="s">
        <v>92</v>
      </c>
      <c r="B22" s="58"/>
      <c r="C22" s="150" t="s">
        <v>905</v>
      </c>
      <c r="D22" s="30" t="s">
        <v>792</v>
      </c>
      <c r="E22" s="147">
        <v>2</v>
      </c>
      <c r="F22" s="42"/>
      <c r="G22" s="26"/>
    </row>
    <row r="23" spans="1:7" s="4" customFormat="1">
      <c r="A23" s="85" t="s">
        <v>132</v>
      </c>
      <c r="B23" s="58"/>
      <c r="C23" s="150" t="s">
        <v>906</v>
      </c>
      <c r="D23" s="93" t="s">
        <v>1</v>
      </c>
      <c r="E23" s="148">
        <v>4</v>
      </c>
      <c r="F23" s="42"/>
      <c r="G23" s="26"/>
    </row>
    <row r="24" spans="1:7" s="4" customFormat="1">
      <c r="A24" s="85" t="s">
        <v>133</v>
      </c>
      <c r="B24" s="58"/>
      <c r="C24" s="150" t="s">
        <v>907</v>
      </c>
      <c r="D24" s="93" t="s">
        <v>792</v>
      </c>
      <c r="E24" s="148">
        <v>4</v>
      </c>
      <c r="F24" s="42"/>
      <c r="G24" s="26"/>
    </row>
    <row r="25" spans="1:7" s="4" customFormat="1">
      <c r="A25" s="85" t="s">
        <v>134</v>
      </c>
      <c r="B25" s="58"/>
      <c r="C25" s="150" t="s">
        <v>908</v>
      </c>
      <c r="D25" s="93" t="s">
        <v>792</v>
      </c>
      <c r="E25" s="148">
        <v>6</v>
      </c>
      <c r="F25" s="42"/>
      <c r="G25" s="26"/>
    </row>
    <row r="26" spans="1:7" s="4" customFormat="1">
      <c r="A26" s="85" t="s">
        <v>135</v>
      </c>
      <c r="B26" s="58"/>
      <c r="C26" s="150" t="s">
        <v>909</v>
      </c>
      <c r="D26" s="93" t="s">
        <v>792</v>
      </c>
      <c r="E26" s="148">
        <v>3</v>
      </c>
      <c r="F26" s="42"/>
      <c r="G26" s="26"/>
    </row>
    <row r="27" spans="1:7" s="4" customFormat="1">
      <c r="A27" s="85" t="s">
        <v>136</v>
      </c>
      <c r="B27" s="58"/>
      <c r="C27" s="150" t="s">
        <v>910</v>
      </c>
      <c r="D27" s="93" t="s">
        <v>792</v>
      </c>
      <c r="E27" s="148">
        <v>7</v>
      </c>
      <c r="F27" s="42"/>
      <c r="G27" s="26"/>
    </row>
    <row r="28" spans="1:7" s="4" customFormat="1">
      <c r="A28" s="85" t="s">
        <v>137</v>
      </c>
      <c r="B28" s="58"/>
      <c r="C28" s="150" t="s">
        <v>911</v>
      </c>
      <c r="D28" s="93" t="s">
        <v>792</v>
      </c>
      <c r="E28" s="148">
        <v>14</v>
      </c>
      <c r="F28" s="42"/>
      <c r="G28" s="26"/>
    </row>
    <row r="29" spans="1:7" s="4" customFormat="1">
      <c r="A29" s="85" t="s">
        <v>138</v>
      </c>
      <c r="B29" s="58"/>
      <c r="C29" s="150" t="s">
        <v>912</v>
      </c>
      <c r="D29" s="93" t="s">
        <v>792</v>
      </c>
      <c r="E29" s="148">
        <v>42</v>
      </c>
      <c r="F29" s="42"/>
      <c r="G29" s="26"/>
    </row>
    <row r="30" spans="1:7" s="4" customFormat="1">
      <c r="A30" s="85" t="s">
        <v>139</v>
      </c>
      <c r="B30" s="58"/>
      <c r="C30" s="150" t="s">
        <v>913</v>
      </c>
      <c r="D30" s="93" t="s">
        <v>792</v>
      </c>
      <c r="E30" s="148">
        <v>10</v>
      </c>
      <c r="F30" s="42"/>
      <c r="G30" s="26"/>
    </row>
    <row r="31" spans="1:7" s="4" customFormat="1">
      <c r="A31" s="85" t="s">
        <v>140</v>
      </c>
      <c r="B31" s="58"/>
      <c r="C31" s="150" t="s">
        <v>914</v>
      </c>
      <c r="D31" s="93" t="s">
        <v>792</v>
      </c>
      <c r="E31" s="147">
        <v>3</v>
      </c>
      <c r="F31" s="42"/>
      <c r="G31" s="26"/>
    </row>
    <row r="32" spans="1:7" s="4" customFormat="1">
      <c r="A32" s="85" t="s">
        <v>141</v>
      </c>
      <c r="B32" s="58"/>
      <c r="C32" s="150" t="s">
        <v>915</v>
      </c>
      <c r="D32" s="93" t="s">
        <v>792</v>
      </c>
      <c r="E32" s="149">
        <v>3</v>
      </c>
      <c r="F32" s="42"/>
      <c r="G32" s="26"/>
    </row>
    <row r="33" spans="1:7" s="4" customFormat="1">
      <c r="A33" s="85" t="s">
        <v>916</v>
      </c>
      <c r="B33" s="58"/>
      <c r="C33" s="150" t="s">
        <v>917</v>
      </c>
      <c r="D33" s="93" t="s">
        <v>792</v>
      </c>
      <c r="E33" s="149">
        <v>108</v>
      </c>
      <c r="F33" s="42"/>
      <c r="G33" s="26"/>
    </row>
    <row r="34" spans="1:7" s="4" customFormat="1">
      <c r="A34" s="85" t="s">
        <v>918</v>
      </c>
      <c r="B34" s="58"/>
      <c r="C34" s="150" t="s">
        <v>919</v>
      </c>
      <c r="D34" s="93" t="s">
        <v>792</v>
      </c>
      <c r="E34" s="149">
        <v>68</v>
      </c>
      <c r="F34" s="42"/>
      <c r="G34" s="26"/>
    </row>
    <row r="35" spans="1:7" s="4" customFormat="1">
      <c r="A35" s="85" t="s">
        <v>920</v>
      </c>
      <c r="B35" s="58"/>
      <c r="C35" s="150" t="s">
        <v>921</v>
      </c>
      <c r="D35" s="93" t="s">
        <v>792</v>
      </c>
      <c r="E35" s="149">
        <v>4</v>
      </c>
      <c r="F35" s="42"/>
      <c r="G35" s="26"/>
    </row>
    <row r="36" spans="1:7" s="4" customFormat="1">
      <c r="A36" s="85" t="s">
        <v>922</v>
      </c>
      <c r="B36" s="58"/>
      <c r="C36" s="150" t="s">
        <v>923</v>
      </c>
      <c r="D36" s="93" t="s">
        <v>792</v>
      </c>
      <c r="E36" s="149">
        <v>10</v>
      </c>
      <c r="F36" s="42"/>
      <c r="G36" s="26"/>
    </row>
    <row r="37" spans="1:7" s="4" customFormat="1">
      <c r="A37" s="85" t="s">
        <v>924</v>
      </c>
      <c r="B37" s="58"/>
      <c r="C37" s="150" t="s">
        <v>925</v>
      </c>
      <c r="D37" s="93" t="s">
        <v>792</v>
      </c>
      <c r="E37" s="149">
        <v>8</v>
      </c>
      <c r="F37" s="42"/>
      <c r="G37" s="26"/>
    </row>
    <row r="38" spans="1:7" s="4" customFormat="1">
      <c r="A38" s="85" t="s">
        <v>926</v>
      </c>
      <c r="B38" s="58"/>
      <c r="C38" s="150" t="s">
        <v>882</v>
      </c>
      <c r="D38" s="93" t="s">
        <v>792</v>
      </c>
      <c r="E38" s="149">
        <v>8</v>
      </c>
      <c r="F38" s="42"/>
      <c r="G38" s="26"/>
    </row>
    <row r="39" spans="1:7" s="4" customFormat="1">
      <c r="A39" s="85" t="s">
        <v>927</v>
      </c>
      <c r="B39" s="58"/>
      <c r="C39" s="150" t="s">
        <v>928</v>
      </c>
      <c r="D39" s="93" t="s">
        <v>792</v>
      </c>
      <c r="E39" s="149">
        <v>11</v>
      </c>
      <c r="F39" s="42"/>
      <c r="G39" s="26"/>
    </row>
    <row r="40" spans="1:7" s="4" customFormat="1">
      <c r="A40" s="85" t="s">
        <v>929</v>
      </c>
      <c r="B40" s="58"/>
      <c r="C40" s="150" t="s">
        <v>930</v>
      </c>
      <c r="D40" s="93" t="s">
        <v>792</v>
      </c>
      <c r="E40" s="149">
        <v>1</v>
      </c>
      <c r="F40" s="42"/>
      <c r="G40" s="26"/>
    </row>
    <row r="41" spans="1:7" s="4" customFormat="1">
      <c r="A41" s="85" t="s">
        <v>931</v>
      </c>
      <c r="B41" s="58"/>
      <c r="C41" s="150" t="s">
        <v>932</v>
      </c>
      <c r="D41" s="93" t="s">
        <v>792</v>
      </c>
      <c r="E41" s="149">
        <v>10</v>
      </c>
      <c r="F41" s="42"/>
      <c r="G41" s="26"/>
    </row>
    <row r="42" spans="1:7" s="4" customFormat="1">
      <c r="A42" s="85" t="s">
        <v>933</v>
      </c>
      <c r="B42" s="58"/>
      <c r="C42" s="150" t="s">
        <v>934</v>
      </c>
      <c r="D42" s="93" t="s">
        <v>792</v>
      </c>
      <c r="E42" s="149">
        <v>11</v>
      </c>
      <c r="F42" s="42"/>
      <c r="G42" s="26"/>
    </row>
    <row r="43" spans="1:7" s="4" customFormat="1">
      <c r="A43" s="85" t="s">
        <v>935</v>
      </c>
      <c r="B43" s="58"/>
      <c r="C43" s="150" t="s">
        <v>936</v>
      </c>
      <c r="D43" s="93" t="s">
        <v>792</v>
      </c>
      <c r="E43" s="149">
        <v>11</v>
      </c>
      <c r="F43" s="42"/>
      <c r="G43" s="26"/>
    </row>
    <row r="44" spans="1:7" s="4" customFormat="1">
      <c r="A44" s="85" t="s">
        <v>937</v>
      </c>
      <c r="B44" s="58"/>
      <c r="C44" s="150" t="s">
        <v>938</v>
      </c>
      <c r="D44" s="93" t="s">
        <v>792</v>
      </c>
      <c r="E44" s="149">
        <v>11</v>
      </c>
      <c r="F44" s="42"/>
      <c r="G44" s="26"/>
    </row>
    <row r="45" spans="1:7" s="4" customFormat="1">
      <c r="A45" s="85" t="s">
        <v>939</v>
      </c>
      <c r="B45" s="58"/>
      <c r="C45" s="150" t="s">
        <v>940</v>
      </c>
      <c r="D45" s="93" t="s">
        <v>792</v>
      </c>
      <c r="E45" s="149">
        <v>1</v>
      </c>
      <c r="F45" s="42"/>
      <c r="G45" s="26"/>
    </row>
    <row r="46" spans="1:7" s="4" customFormat="1">
      <c r="A46" s="85" t="s">
        <v>941</v>
      </c>
      <c r="B46" s="58"/>
      <c r="C46" s="150" t="s">
        <v>942</v>
      </c>
      <c r="D46" s="93" t="s">
        <v>792</v>
      </c>
      <c r="E46" s="149">
        <v>10</v>
      </c>
      <c r="F46" s="42"/>
      <c r="G46" s="26"/>
    </row>
    <row r="47" spans="1:7" s="4" customFormat="1">
      <c r="A47" s="85" t="s">
        <v>943</v>
      </c>
      <c r="B47" s="58"/>
      <c r="C47" s="150" t="s">
        <v>944</v>
      </c>
      <c r="D47" s="93" t="s">
        <v>792</v>
      </c>
      <c r="E47" s="149">
        <v>11</v>
      </c>
      <c r="F47" s="42"/>
      <c r="G47" s="26"/>
    </row>
    <row r="48" spans="1:7" s="4" customFormat="1">
      <c r="A48" s="85" t="s">
        <v>945</v>
      </c>
      <c r="B48" s="58"/>
      <c r="C48" s="150" t="s">
        <v>946</v>
      </c>
      <c r="D48" s="93" t="s">
        <v>792</v>
      </c>
      <c r="E48" s="149">
        <v>4</v>
      </c>
      <c r="F48" s="42"/>
      <c r="G48" s="26"/>
    </row>
    <row r="49" spans="1:7" s="4" customFormat="1">
      <c r="A49" s="85" t="s">
        <v>947</v>
      </c>
      <c r="B49" s="58"/>
      <c r="C49" s="150" t="s">
        <v>948</v>
      </c>
      <c r="D49" s="93" t="s">
        <v>792</v>
      </c>
      <c r="E49" s="149">
        <v>1</v>
      </c>
      <c r="F49" s="42"/>
      <c r="G49" s="26"/>
    </row>
    <row r="50" spans="1:7" s="4" customFormat="1">
      <c r="A50" s="85" t="s">
        <v>949</v>
      </c>
      <c r="B50" s="58"/>
      <c r="C50" s="150" t="s">
        <v>950</v>
      </c>
      <c r="D50" s="93" t="s">
        <v>792</v>
      </c>
      <c r="E50" s="149">
        <v>2</v>
      </c>
      <c r="F50" s="42"/>
      <c r="G50" s="26"/>
    </row>
    <row r="51" spans="1:7" s="4" customFormat="1">
      <c r="A51" s="85" t="s">
        <v>951</v>
      </c>
      <c r="B51" s="58"/>
      <c r="C51" s="150" t="s">
        <v>952</v>
      </c>
      <c r="D51" s="93" t="s">
        <v>792</v>
      </c>
      <c r="E51" s="149">
        <v>19</v>
      </c>
      <c r="F51" s="80"/>
      <c r="G51" s="26"/>
    </row>
    <row r="52" spans="1:7" s="4" customFormat="1">
      <c r="A52" s="85" t="s">
        <v>953</v>
      </c>
      <c r="B52" s="58"/>
      <c r="C52" s="150" t="s">
        <v>954</v>
      </c>
      <c r="D52" s="93" t="s">
        <v>792</v>
      </c>
      <c r="E52" s="149">
        <v>19</v>
      </c>
      <c r="F52" s="80"/>
      <c r="G52" s="26"/>
    </row>
    <row r="53" spans="1:7" s="4" customFormat="1">
      <c r="A53" s="85" t="s">
        <v>955</v>
      </c>
      <c r="B53" s="58"/>
      <c r="C53" s="150" t="s">
        <v>956</v>
      </c>
      <c r="D53" s="93" t="s">
        <v>792</v>
      </c>
      <c r="E53" s="149">
        <v>19</v>
      </c>
      <c r="F53" s="42"/>
      <c r="G53" s="26"/>
    </row>
    <row r="54" spans="1:7" s="4" customFormat="1">
      <c r="A54" s="85" t="s">
        <v>957</v>
      </c>
      <c r="B54" s="58"/>
      <c r="C54" s="150" t="s">
        <v>958</v>
      </c>
      <c r="D54" s="93" t="s">
        <v>792</v>
      </c>
      <c r="E54" s="149">
        <v>19</v>
      </c>
      <c r="F54" s="42"/>
      <c r="G54" s="26"/>
    </row>
    <row r="55" spans="1:7" s="4" customFormat="1">
      <c r="A55" s="85" t="s">
        <v>959</v>
      </c>
      <c r="B55" s="58"/>
      <c r="C55" s="150" t="s">
        <v>960</v>
      </c>
      <c r="D55" s="93" t="s">
        <v>792</v>
      </c>
      <c r="E55" s="149">
        <v>19</v>
      </c>
      <c r="F55" s="42"/>
      <c r="G55" s="26"/>
    </row>
    <row r="56" spans="1:7" s="4" customFormat="1">
      <c r="A56" s="85" t="s">
        <v>961</v>
      </c>
      <c r="B56" s="58"/>
      <c r="C56" s="150" t="s">
        <v>962</v>
      </c>
      <c r="D56" s="93" t="s">
        <v>792</v>
      </c>
      <c r="E56" s="149">
        <v>1</v>
      </c>
      <c r="F56" s="42"/>
      <c r="G56" s="26"/>
    </row>
    <row r="57" spans="1:7" s="4" customFormat="1">
      <c r="A57" s="85" t="s">
        <v>963</v>
      </c>
      <c r="B57" s="58"/>
      <c r="C57" s="150" t="s">
        <v>964</v>
      </c>
      <c r="D57" s="93" t="s">
        <v>792</v>
      </c>
      <c r="E57" s="149">
        <v>2</v>
      </c>
      <c r="F57" s="42"/>
      <c r="G57" s="26"/>
    </row>
    <row r="58" spans="1:7" s="4" customFormat="1">
      <c r="A58" s="85" t="s">
        <v>965</v>
      </c>
      <c r="B58" s="58"/>
      <c r="C58" s="150" t="s">
        <v>966</v>
      </c>
      <c r="D58" s="93" t="s">
        <v>792</v>
      </c>
      <c r="E58" s="149">
        <v>2</v>
      </c>
      <c r="F58" s="42"/>
      <c r="G58" s="26"/>
    </row>
    <row r="59" spans="1:7" s="4" customFormat="1">
      <c r="A59" s="85" t="s">
        <v>967</v>
      </c>
      <c r="B59" s="58"/>
      <c r="C59" s="150" t="s">
        <v>968</v>
      </c>
      <c r="D59" s="93" t="s">
        <v>792</v>
      </c>
      <c r="E59" s="149">
        <v>2</v>
      </c>
      <c r="F59" s="42"/>
      <c r="G59" s="26"/>
    </row>
    <row r="60" spans="1:7" s="4" customFormat="1">
      <c r="A60" s="85" t="s">
        <v>969</v>
      </c>
      <c r="B60" s="58"/>
      <c r="C60" s="150" t="s">
        <v>970</v>
      </c>
      <c r="D60" s="93" t="s">
        <v>792</v>
      </c>
      <c r="E60" s="149">
        <v>2</v>
      </c>
      <c r="F60" s="42"/>
      <c r="G60" s="26"/>
    </row>
    <row r="61" spans="1:7" s="4" customFormat="1">
      <c r="A61" s="85" t="s">
        <v>971</v>
      </c>
      <c r="B61" s="58"/>
      <c r="C61" s="150" t="s">
        <v>972</v>
      </c>
      <c r="D61" s="93" t="s">
        <v>792</v>
      </c>
      <c r="E61" s="149">
        <v>2</v>
      </c>
      <c r="F61" s="42"/>
      <c r="G61" s="26"/>
    </row>
    <row r="62" spans="1:7" s="4" customFormat="1">
      <c r="A62" s="85" t="s">
        <v>973</v>
      </c>
      <c r="B62" s="58"/>
      <c r="C62" s="150" t="s">
        <v>974</v>
      </c>
      <c r="D62" s="93" t="s">
        <v>792</v>
      </c>
      <c r="E62" s="149">
        <v>6</v>
      </c>
      <c r="F62" s="42"/>
      <c r="G62" s="26"/>
    </row>
    <row r="63" spans="1:7" s="4" customFormat="1">
      <c r="A63" s="85" t="s">
        <v>975</v>
      </c>
      <c r="B63" s="58"/>
      <c r="C63" s="150" t="s">
        <v>976</v>
      </c>
      <c r="D63" s="93" t="s">
        <v>792</v>
      </c>
      <c r="E63" s="149">
        <v>6</v>
      </c>
      <c r="F63" s="42"/>
      <c r="G63" s="26"/>
    </row>
    <row r="64" spans="1:7" s="4" customFormat="1">
      <c r="A64" s="85" t="s">
        <v>977</v>
      </c>
      <c r="B64" s="58"/>
      <c r="C64" s="150" t="s">
        <v>978</v>
      </c>
      <c r="D64" s="93" t="s">
        <v>792</v>
      </c>
      <c r="E64" s="149">
        <v>6</v>
      </c>
      <c r="F64" s="42"/>
      <c r="G64" s="26"/>
    </row>
    <row r="65" spans="1:7" s="4" customFormat="1">
      <c r="A65" s="85" t="s">
        <v>979</v>
      </c>
      <c r="B65" s="58"/>
      <c r="C65" s="150" t="s">
        <v>980</v>
      </c>
      <c r="D65" s="93" t="s">
        <v>792</v>
      </c>
      <c r="E65" s="149">
        <v>6</v>
      </c>
      <c r="F65" s="42"/>
      <c r="G65" s="26"/>
    </row>
    <row r="66" spans="1:7" s="4" customFormat="1">
      <c r="A66" s="85" t="s">
        <v>981</v>
      </c>
      <c r="B66" s="58"/>
      <c r="C66" s="150" t="s">
        <v>982</v>
      </c>
      <c r="D66" s="93" t="s">
        <v>792</v>
      </c>
      <c r="E66" s="149">
        <v>1</v>
      </c>
      <c r="F66" s="42"/>
      <c r="G66" s="26"/>
    </row>
    <row r="67" spans="1:7" s="4" customFormat="1">
      <c r="A67" s="85" t="s">
        <v>983</v>
      </c>
      <c r="B67" s="58"/>
      <c r="C67" s="150" t="s">
        <v>984</v>
      </c>
      <c r="D67" s="93" t="s">
        <v>792</v>
      </c>
      <c r="E67" s="149">
        <v>1</v>
      </c>
      <c r="F67" s="42"/>
      <c r="G67" s="26"/>
    </row>
    <row r="68" spans="1:7" s="4" customFormat="1">
      <c r="A68" s="85" t="s">
        <v>985</v>
      </c>
      <c r="B68" s="58"/>
      <c r="C68" s="150" t="s">
        <v>938</v>
      </c>
      <c r="D68" s="93" t="s">
        <v>792</v>
      </c>
      <c r="E68" s="149">
        <v>1</v>
      </c>
      <c r="F68" s="42"/>
      <c r="G68" s="26"/>
    </row>
    <row r="69" spans="1:7" s="4" customFormat="1">
      <c r="A69" s="85" t="s">
        <v>986</v>
      </c>
      <c r="B69" s="58"/>
      <c r="C69" s="150" t="s">
        <v>987</v>
      </c>
      <c r="D69" s="93" t="s">
        <v>792</v>
      </c>
      <c r="E69" s="149">
        <v>4</v>
      </c>
      <c r="F69" s="42"/>
      <c r="G69" s="26"/>
    </row>
    <row r="70" spans="1:7" s="4" customFormat="1">
      <c r="A70" s="85" t="s">
        <v>988</v>
      </c>
      <c r="B70" s="58"/>
      <c r="C70" s="151" t="s">
        <v>989</v>
      </c>
      <c r="D70" s="93" t="s">
        <v>1</v>
      </c>
      <c r="E70" s="149">
        <v>64</v>
      </c>
      <c r="F70" s="42"/>
      <c r="G70" s="26"/>
    </row>
    <row r="71" spans="1:7" s="4" customFormat="1">
      <c r="A71" s="85" t="s">
        <v>990</v>
      </c>
      <c r="B71" s="58"/>
      <c r="C71" s="151" t="s">
        <v>991</v>
      </c>
      <c r="D71" s="93" t="s">
        <v>27</v>
      </c>
      <c r="E71" s="149">
        <v>10</v>
      </c>
      <c r="F71" s="42"/>
      <c r="G71" s="26"/>
    </row>
    <row r="72" spans="1:7" s="4" customFormat="1">
      <c r="A72" s="85" t="s">
        <v>992</v>
      </c>
      <c r="B72" s="58"/>
      <c r="C72" s="151" t="s">
        <v>993</v>
      </c>
      <c r="D72" s="93" t="s">
        <v>27</v>
      </c>
      <c r="E72" s="149">
        <v>10</v>
      </c>
      <c r="F72" s="42"/>
      <c r="G72" s="26"/>
    </row>
    <row r="73" spans="1:7" s="4" customFormat="1">
      <c r="A73" s="85" t="s">
        <v>994</v>
      </c>
      <c r="B73" s="58"/>
      <c r="C73" s="151" t="s">
        <v>995</v>
      </c>
      <c r="D73" s="93" t="s">
        <v>792</v>
      </c>
      <c r="E73" s="147">
        <v>1</v>
      </c>
      <c r="F73" s="42"/>
      <c r="G73" s="26"/>
    </row>
    <row r="74" spans="1:7" s="4" customFormat="1">
      <c r="A74" s="85"/>
      <c r="B74" s="58"/>
      <c r="C74" s="79" t="s">
        <v>996</v>
      </c>
      <c r="D74" s="69"/>
      <c r="E74" s="95"/>
      <c r="F74" s="42"/>
      <c r="G74" s="26"/>
    </row>
    <row r="75" spans="1:7">
      <c r="A75" s="4"/>
      <c r="B75" s="4"/>
      <c r="C75" s="4"/>
      <c r="D75" s="4"/>
      <c r="E75" s="4"/>
      <c r="F75" s="4"/>
      <c r="G75" s="4"/>
    </row>
    <row r="76" spans="1:7">
      <c r="A76" s="4"/>
      <c r="B76" s="4"/>
      <c r="C76" s="245" t="s">
        <v>21</v>
      </c>
      <c r="D76" s="245"/>
      <c r="E76" s="245"/>
      <c r="F76" s="245"/>
      <c r="G76" s="245"/>
    </row>
    <row r="77" spans="1:7">
      <c r="A77" s="4"/>
      <c r="B77" s="4"/>
      <c r="C77" s="247" t="s">
        <v>5</v>
      </c>
      <c r="D77" s="247"/>
      <c r="E77" s="247"/>
      <c r="F77" s="247"/>
      <c r="G77" s="247"/>
    </row>
    <row r="78" spans="1:7">
      <c r="A78" s="4"/>
      <c r="B78" s="4"/>
      <c r="C78" s="27"/>
      <c r="D78" s="27"/>
      <c r="E78" s="27"/>
      <c r="F78" s="27"/>
      <c r="G78" s="27"/>
    </row>
    <row r="79" spans="1:7">
      <c r="A79" s="4"/>
      <c r="B79" s="4"/>
      <c r="C79" s="245" t="s">
        <v>22</v>
      </c>
      <c r="D79" s="245"/>
      <c r="E79" s="245"/>
      <c r="F79" s="245"/>
      <c r="G79" s="245"/>
    </row>
    <row r="80" spans="1:7">
      <c r="A80" s="4"/>
      <c r="B80" s="4"/>
      <c r="C80" s="247" t="s">
        <v>5</v>
      </c>
      <c r="D80" s="247"/>
      <c r="E80" s="247"/>
      <c r="F80" s="247"/>
      <c r="G80" s="247"/>
    </row>
    <row r="81" spans="1:7">
      <c r="A81" s="4"/>
      <c r="B81" s="4"/>
      <c r="C81" s="27"/>
      <c r="D81" s="27"/>
      <c r="E81" s="27"/>
      <c r="F81" s="27"/>
      <c r="G81" s="27"/>
    </row>
    <row r="82" spans="1:7">
      <c r="A82" s="4"/>
      <c r="B82" s="4"/>
      <c r="C82" s="50" t="s">
        <v>35</v>
      </c>
      <c r="D82" s="49"/>
      <c r="E82" s="49"/>
      <c r="F82" s="49"/>
      <c r="G82" s="4"/>
    </row>
    <row r="84" spans="1:7">
      <c r="B84" s="138"/>
      <c r="C84" s="139" t="s">
        <v>16</v>
      </c>
    </row>
    <row r="85" spans="1:7" ht="51">
      <c r="B85" s="138" t="s">
        <v>765</v>
      </c>
      <c r="C85" s="98" t="s">
        <v>17</v>
      </c>
      <c r="D85" s="98"/>
      <c r="E85" s="98"/>
      <c r="F85" s="98"/>
      <c r="G85" s="98"/>
    </row>
    <row r="86" spans="1:7" ht="38.25">
      <c r="B86" s="138" t="s">
        <v>766</v>
      </c>
      <c r="C86" s="98" t="s">
        <v>767</v>
      </c>
      <c r="D86" s="98"/>
      <c r="E86" s="98"/>
      <c r="F86" s="98"/>
      <c r="G86" s="98"/>
    </row>
    <row r="87" spans="1:7" ht="25.5">
      <c r="B87" s="140" t="s">
        <v>768</v>
      </c>
      <c r="C87" s="141" t="s">
        <v>769</v>
      </c>
      <c r="D87" s="113"/>
      <c r="E87" s="114"/>
      <c r="F87" s="113"/>
      <c r="G87" s="114"/>
    </row>
    <row r="88" spans="1:7">
      <c r="C88" s="7"/>
      <c r="D88" s="9"/>
      <c r="E88" s="10"/>
      <c r="F88" s="10"/>
      <c r="G88" s="10"/>
    </row>
    <row r="89" spans="1:7">
      <c r="C89" s="24"/>
      <c r="D89" s="20"/>
      <c r="E89" s="25"/>
      <c r="F89" s="10"/>
      <c r="G89" s="10"/>
    </row>
    <row r="90" spans="1:7">
      <c r="C90" s="22"/>
      <c r="D90" s="20"/>
      <c r="E90" s="25"/>
      <c r="F90" s="10"/>
      <c r="G90" s="10"/>
    </row>
    <row r="91" spans="1:7">
      <c r="C91" s="8"/>
      <c r="D91" s="9"/>
      <c r="E91" s="10"/>
      <c r="F91" s="10"/>
      <c r="G91" s="10"/>
    </row>
    <row r="92" spans="1:7">
      <c r="C92" s="12"/>
      <c r="D92" s="9"/>
      <c r="E92" s="10"/>
      <c r="F92" s="10"/>
      <c r="G92" s="10"/>
    </row>
    <row r="93" spans="1:7">
      <c r="C93" s="2"/>
      <c r="D93" s="2"/>
      <c r="E93" s="10"/>
      <c r="F93" s="10"/>
      <c r="G93" s="10"/>
    </row>
    <row r="94" spans="1:7">
      <c r="C94" s="2"/>
      <c r="D94" s="2"/>
      <c r="E94" s="20"/>
      <c r="F94" s="10"/>
      <c r="G94" s="10"/>
    </row>
    <row r="95" spans="1:7">
      <c r="C95" s="2"/>
      <c r="D95" s="2"/>
      <c r="E95" s="10"/>
      <c r="F95" s="10"/>
      <c r="G95" s="10"/>
    </row>
    <row r="96" spans="1:7">
      <c r="C96" s="2"/>
      <c r="D96" s="2"/>
      <c r="E96" s="25"/>
      <c r="F96" s="10"/>
      <c r="G96" s="10"/>
    </row>
    <row r="97" spans="3:7">
      <c r="C97" s="2"/>
      <c r="D97" s="2"/>
      <c r="E97" s="5"/>
      <c r="F97" s="6"/>
      <c r="G97" s="5"/>
    </row>
    <row r="98" spans="3:7">
      <c r="C98" s="2"/>
      <c r="D98" s="2"/>
      <c r="E98" s="5"/>
      <c r="F98" s="6"/>
      <c r="G98" s="5"/>
    </row>
    <row r="99" spans="3:7">
      <c r="C99" s="2"/>
      <c r="D99" s="2"/>
      <c r="E99" s="25"/>
      <c r="F99" s="10"/>
      <c r="G99" s="10"/>
    </row>
    <row r="100" spans="3:7">
      <c r="C100" s="2"/>
      <c r="D100" s="2"/>
      <c r="E100" s="25"/>
      <c r="F100" s="10"/>
      <c r="G100" s="10"/>
    </row>
    <row r="101" spans="3:7">
      <c r="C101" s="2"/>
      <c r="D101" s="2"/>
      <c r="E101" s="25"/>
      <c r="F101" s="10"/>
      <c r="G101" s="10"/>
    </row>
    <row r="102" spans="3:7">
      <c r="C102" s="8"/>
      <c r="D102" s="9"/>
      <c r="E102" s="10"/>
      <c r="F102" s="10"/>
      <c r="G102" s="10"/>
    </row>
    <row r="103" spans="3:7">
      <c r="C103" s="12"/>
      <c r="D103" s="9"/>
      <c r="E103" s="10"/>
      <c r="F103" s="10"/>
      <c r="G103" s="10"/>
    </row>
    <row r="104" spans="3:7">
      <c r="C104" s="12"/>
      <c r="D104" s="9"/>
      <c r="E104" s="10"/>
      <c r="F104" s="10"/>
      <c r="G104" s="10"/>
    </row>
    <row r="105" spans="3:7">
      <c r="C105" s="8"/>
      <c r="D105" s="9"/>
      <c r="E105" s="10"/>
      <c r="F105" s="10"/>
      <c r="G105" s="10"/>
    </row>
    <row r="106" spans="3:7">
      <c r="C106" s="12"/>
      <c r="D106" s="9"/>
      <c r="E106" s="10"/>
      <c r="F106" s="10"/>
      <c r="G106" s="10"/>
    </row>
    <row r="107" spans="3:7">
      <c r="C107" s="12"/>
      <c r="D107" s="9"/>
      <c r="E107" s="10"/>
      <c r="F107" s="10"/>
      <c r="G107" s="10"/>
    </row>
    <row r="108" spans="3:7">
      <c r="C108" s="32"/>
      <c r="D108" s="20"/>
      <c r="E108" s="25"/>
      <c r="F108" s="10"/>
      <c r="G108" s="10"/>
    </row>
    <row r="109" spans="3:7">
      <c r="C109" s="24"/>
      <c r="D109" s="20"/>
      <c r="E109" s="25"/>
      <c r="F109" s="10"/>
      <c r="G109" s="10"/>
    </row>
    <row r="110" spans="3:7">
      <c r="C110" s="22"/>
      <c r="D110" s="20"/>
      <c r="E110" s="25"/>
      <c r="F110" s="10"/>
      <c r="G110" s="10"/>
    </row>
    <row r="111" spans="3:7">
      <c r="C111" s="8"/>
      <c r="D111" s="9"/>
      <c r="E111" s="10"/>
      <c r="F111" s="10"/>
      <c r="G111" s="10"/>
    </row>
    <row r="112" spans="3:7">
      <c r="C112" s="12"/>
      <c r="D112" s="9"/>
      <c r="E112" s="10"/>
      <c r="F112" s="10"/>
      <c r="G112" s="10"/>
    </row>
    <row r="113" spans="3:7">
      <c r="C113" s="12"/>
      <c r="D113" s="9"/>
      <c r="E113" s="10"/>
      <c r="F113" s="10"/>
      <c r="G113" s="10"/>
    </row>
    <row r="114" spans="3:7">
      <c r="C114" s="33"/>
      <c r="D114" s="20"/>
      <c r="E114" s="10"/>
      <c r="F114" s="10"/>
      <c r="G114" s="10"/>
    </row>
    <row r="115" spans="3:7">
      <c r="C115" s="23"/>
      <c r="D115" s="20"/>
      <c r="E115" s="10"/>
      <c r="F115" s="10"/>
      <c r="G115" s="10"/>
    </row>
    <row r="116" spans="3:7">
      <c r="C116" s="23"/>
      <c r="D116" s="20"/>
      <c r="E116" s="10"/>
      <c r="F116" s="10"/>
      <c r="G116" s="10"/>
    </row>
    <row r="117" spans="3:7">
      <c r="C117" s="8"/>
      <c r="D117" s="9"/>
      <c r="E117" s="10"/>
      <c r="F117" s="10"/>
      <c r="G117" s="10"/>
    </row>
    <row r="118" spans="3:7">
      <c r="C118" s="12"/>
      <c r="D118" s="9"/>
      <c r="E118" s="10"/>
      <c r="F118" s="10"/>
      <c r="G118" s="10"/>
    </row>
    <row r="119" spans="3:7">
      <c r="C119" s="8"/>
      <c r="D119" s="20"/>
      <c r="E119" s="10"/>
      <c r="F119" s="10"/>
      <c r="G119" s="10"/>
    </row>
    <row r="120" spans="3:7">
      <c r="C120" s="12"/>
      <c r="D120" s="20"/>
      <c r="E120" s="10"/>
      <c r="F120" s="10"/>
      <c r="G120" s="10"/>
    </row>
    <row r="121" spans="3:7">
      <c r="C121" s="34"/>
      <c r="D121" s="20"/>
      <c r="E121" s="10"/>
      <c r="F121" s="10"/>
      <c r="G121" s="10"/>
    </row>
    <row r="122" spans="3:7">
      <c r="C122" s="23"/>
      <c r="D122" s="20"/>
      <c r="E122" s="10"/>
      <c r="F122" s="10"/>
      <c r="G122" s="10"/>
    </row>
    <row r="123" spans="3:7">
      <c r="C123" s="23"/>
      <c r="D123" s="20"/>
      <c r="E123" s="10"/>
      <c r="F123" s="10"/>
      <c r="G123" s="10"/>
    </row>
    <row r="124" spans="3:7">
      <c r="C124" s="23"/>
      <c r="D124" s="20"/>
      <c r="E124" s="10"/>
      <c r="F124" s="10"/>
      <c r="G124" s="10"/>
    </row>
    <row r="125" spans="3:7">
      <c r="C125" s="34"/>
      <c r="D125" s="20"/>
      <c r="E125" s="10"/>
      <c r="F125" s="10"/>
      <c r="G125" s="10"/>
    </row>
    <row r="126" spans="3:7">
      <c r="C126" s="23"/>
      <c r="D126" s="20"/>
      <c r="E126" s="10"/>
      <c r="F126" s="10"/>
      <c r="G126" s="10"/>
    </row>
    <row r="127" spans="3:7">
      <c r="C127" s="23"/>
      <c r="D127" s="20"/>
      <c r="E127" s="10"/>
      <c r="F127" s="10"/>
      <c r="G127" s="10"/>
    </row>
    <row r="128" spans="3:7">
      <c r="C128" s="34"/>
      <c r="D128" s="20"/>
      <c r="E128" s="10"/>
      <c r="F128" s="10"/>
      <c r="G128" s="10"/>
    </row>
    <row r="129" spans="3:7">
      <c r="C129" s="23"/>
      <c r="D129" s="20"/>
      <c r="E129" s="10"/>
      <c r="F129" s="10"/>
      <c r="G129" s="10"/>
    </row>
    <row r="130" spans="3:7">
      <c r="C130" s="23"/>
      <c r="D130" s="20"/>
      <c r="E130" s="10"/>
      <c r="F130" s="10"/>
      <c r="G130" s="10"/>
    </row>
    <row r="131" spans="3:7">
      <c r="C131" s="32"/>
      <c r="D131" s="20"/>
      <c r="E131" s="25"/>
      <c r="F131" s="10"/>
      <c r="G131" s="10"/>
    </row>
    <row r="132" spans="3:7">
      <c r="C132" s="21"/>
      <c r="D132" s="20"/>
      <c r="E132" s="25"/>
      <c r="F132" s="10"/>
      <c r="G132" s="10"/>
    </row>
    <row r="133" spans="3:7">
      <c r="C133" s="22"/>
      <c r="D133" s="20"/>
      <c r="E133" s="25"/>
      <c r="F133" s="10"/>
      <c r="G133" s="10"/>
    </row>
    <row r="134" spans="3:7">
      <c r="C134" s="33"/>
      <c r="D134" s="20"/>
      <c r="E134" s="10"/>
      <c r="F134" s="10"/>
      <c r="G134" s="10"/>
    </row>
    <row r="135" spans="3:7">
      <c r="C135" s="23"/>
      <c r="D135" s="20"/>
      <c r="E135" s="10"/>
      <c r="F135" s="10"/>
      <c r="G135" s="10"/>
    </row>
    <row r="136" spans="3:7">
      <c r="C136" s="23"/>
      <c r="D136" s="20"/>
      <c r="E136" s="10"/>
      <c r="F136" s="10"/>
      <c r="G136" s="10"/>
    </row>
    <row r="137" spans="3:7">
      <c r="C137" s="34"/>
      <c r="D137" s="20"/>
      <c r="E137" s="10"/>
      <c r="F137" s="10"/>
      <c r="G137" s="10"/>
    </row>
    <row r="138" spans="3:7">
      <c r="C138" s="23"/>
      <c r="D138" s="20"/>
      <c r="E138" s="10"/>
      <c r="F138" s="10"/>
      <c r="G138" s="10"/>
    </row>
    <row r="139" spans="3:7">
      <c r="C139" s="23"/>
      <c r="D139" s="20"/>
      <c r="E139" s="10"/>
      <c r="F139" s="10"/>
      <c r="G139" s="10"/>
    </row>
    <row r="140" spans="3:7">
      <c r="C140" s="23"/>
      <c r="D140" s="20"/>
      <c r="E140" s="10"/>
      <c r="F140" s="10"/>
      <c r="G140" s="10"/>
    </row>
    <row r="141" spans="3:7">
      <c r="C141" s="34"/>
      <c r="D141" s="20"/>
      <c r="E141" s="10"/>
      <c r="F141" s="10"/>
      <c r="G141" s="10"/>
    </row>
    <row r="142" spans="3:7">
      <c r="C142" s="23"/>
      <c r="D142" s="20"/>
      <c r="E142" s="10"/>
      <c r="F142" s="10"/>
      <c r="G142" s="10"/>
    </row>
    <row r="143" spans="3:7">
      <c r="C143" s="23"/>
      <c r="D143" s="20"/>
      <c r="E143" s="10"/>
      <c r="F143" s="10"/>
      <c r="G143" s="10"/>
    </row>
    <row r="144" spans="3:7">
      <c r="C144" s="34"/>
      <c r="D144" s="20"/>
      <c r="E144" s="10"/>
      <c r="F144" s="10"/>
      <c r="G144" s="10"/>
    </row>
    <row r="145" spans="3:7">
      <c r="C145" s="23"/>
      <c r="D145" s="20"/>
      <c r="E145" s="10"/>
      <c r="F145" s="10"/>
      <c r="G145" s="10"/>
    </row>
    <row r="146" spans="3:7">
      <c r="C146" s="23"/>
      <c r="D146" s="20"/>
      <c r="E146" s="10"/>
      <c r="F146" s="10"/>
      <c r="G146" s="10"/>
    </row>
    <row r="147" spans="3:7">
      <c r="C147" s="7"/>
      <c r="D147" s="20"/>
      <c r="E147" s="10"/>
      <c r="F147" s="10"/>
      <c r="G147" s="10"/>
    </row>
    <row r="148" spans="3:7">
      <c r="C148" s="21"/>
      <c r="D148" s="20"/>
      <c r="E148" s="25"/>
      <c r="F148" s="10"/>
      <c r="G148" s="10"/>
    </row>
    <row r="149" spans="3:7">
      <c r="C149" s="22"/>
      <c r="D149" s="20"/>
      <c r="E149" s="25"/>
      <c r="F149" s="10"/>
      <c r="G149" s="10"/>
    </row>
    <row r="150" spans="3:7">
      <c r="C150" s="33"/>
      <c r="D150" s="20"/>
      <c r="E150" s="10"/>
      <c r="F150" s="10"/>
      <c r="G150" s="10"/>
    </row>
    <row r="151" spans="3:7">
      <c r="C151" s="23"/>
      <c r="D151" s="20"/>
      <c r="E151" s="10"/>
      <c r="F151" s="10"/>
      <c r="G151" s="10"/>
    </row>
    <row r="152" spans="3:7">
      <c r="C152" s="23"/>
      <c r="D152" s="20"/>
      <c r="E152" s="10"/>
      <c r="F152" s="10"/>
      <c r="G152" s="10"/>
    </row>
    <row r="153" spans="3:7">
      <c r="C153" s="8"/>
      <c r="D153" s="9"/>
      <c r="E153" s="10"/>
      <c r="F153" s="10"/>
      <c r="G153" s="10"/>
    </row>
    <row r="154" spans="3:7">
      <c r="C154" s="22"/>
      <c r="D154" s="20"/>
      <c r="E154" s="25"/>
      <c r="F154" s="10"/>
      <c r="G154" s="10"/>
    </row>
    <row r="155" spans="3:7">
      <c r="C155" s="22"/>
      <c r="D155" s="20"/>
      <c r="E155" s="25"/>
      <c r="F155" s="10"/>
      <c r="G155" s="10"/>
    </row>
    <row r="156" spans="3:7">
      <c r="C156" s="22"/>
      <c r="D156" s="20"/>
      <c r="E156" s="25"/>
      <c r="F156" s="10"/>
      <c r="G156" s="10"/>
    </row>
    <row r="157" spans="3:7">
      <c r="C157" s="22"/>
      <c r="D157" s="20"/>
      <c r="E157" s="25"/>
      <c r="F157" s="10"/>
      <c r="G157" s="10"/>
    </row>
    <row r="158" spans="3:7">
      <c r="C158" s="21"/>
      <c r="D158" s="20"/>
      <c r="E158" s="25"/>
      <c r="F158" s="10"/>
      <c r="G158" s="10"/>
    </row>
    <row r="159" spans="3:7">
      <c r="C159" s="22"/>
      <c r="D159" s="20"/>
      <c r="E159" s="25"/>
      <c r="F159" s="10"/>
      <c r="G159" s="10"/>
    </row>
    <row r="160" spans="3:7">
      <c r="C160" s="22"/>
      <c r="D160" s="20"/>
      <c r="E160" s="25"/>
      <c r="F160" s="10"/>
      <c r="G160" s="10"/>
    </row>
    <row r="161" spans="3:7">
      <c r="C161" s="22"/>
      <c r="D161" s="20"/>
      <c r="E161" s="25"/>
      <c r="F161" s="10"/>
      <c r="G161" s="10"/>
    </row>
    <row r="162" spans="3:7">
      <c r="C162" s="22"/>
      <c r="D162" s="20"/>
      <c r="E162" s="25"/>
      <c r="F162" s="10"/>
      <c r="G162" s="10"/>
    </row>
    <row r="163" spans="3:7">
      <c r="C163" s="7"/>
      <c r="D163" s="20"/>
      <c r="E163" s="10"/>
      <c r="F163" s="10"/>
      <c r="G163" s="10"/>
    </row>
    <row r="164" spans="3:7">
      <c r="C164" s="21"/>
      <c r="D164" s="20"/>
      <c r="E164" s="25"/>
      <c r="F164" s="10"/>
      <c r="G164" s="10"/>
    </row>
    <row r="165" spans="3:7">
      <c r="C165" s="22"/>
      <c r="D165" s="20"/>
      <c r="E165" s="25"/>
      <c r="F165" s="10"/>
      <c r="G165" s="10"/>
    </row>
    <row r="166" spans="3:7">
      <c r="C166" s="33"/>
      <c r="D166" s="20"/>
      <c r="E166" s="10"/>
      <c r="F166" s="10"/>
      <c r="G166" s="10"/>
    </row>
    <row r="167" spans="3:7">
      <c r="C167" s="23"/>
      <c r="D167" s="20"/>
      <c r="E167" s="10"/>
      <c r="F167" s="10"/>
      <c r="G167" s="10"/>
    </row>
    <row r="168" spans="3:7">
      <c r="C168" s="23"/>
      <c r="D168" s="20"/>
      <c r="E168" s="10"/>
      <c r="F168" s="10"/>
      <c r="G168" s="10"/>
    </row>
    <row r="169" spans="3:7">
      <c r="C169" s="8"/>
      <c r="D169" s="9"/>
      <c r="E169" s="10"/>
      <c r="F169" s="10"/>
      <c r="G169" s="10"/>
    </row>
    <row r="170" spans="3:7">
      <c r="C170" s="22"/>
      <c r="D170" s="20"/>
      <c r="E170" s="25"/>
      <c r="F170" s="10"/>
      <c r="G170" s="10"/>
    </row>
    <row r="171" spans="3:7">
      <c r="C171" s="22"/>
      <c r="D171" s="20"/>
      <c r="E171" s="25"/>
      <c r="F171" s="10"/>
      <c r="G171" s="10"/>
    </row>
    <row r="172" spans="3:7">
      <c r="C172" s="22"/>
      <c r="D172" s="20"/>
      <c r="E172" s="25"/>
      <c r="F172" s="10"/>
      <c r="G172" s="10"/>
    </row>
    <row r="173" spans="3:7">
      <c r="C173" s="21"/>
      <c r="D173" s="20"/>
      <c r="E173" s="25"/>
      <c r="F173" s="10"/>
      <c r="G173" s="10"/>
    </row>
    <row r="174" spans="3:7">
      <c r="C174" s="22"/>
      <c r="D174" s="20"/>
      <c r="E174" s="25"/>
      <c r="F174" s="10"/>
      <c r="G174" s="10"/>
    </row>
    <row r="175" spans="3:7">
      <c r="C175" s="22"/>
      <c r="D175" s="20"/>
      <c r="E175" s="25"/>
      <c r="F175" s="10"/>
      <c r="G175" s="10"/>
    </row>
    <row r="176" spans="3:7">
      <c r="C176" s="22"/>
      <c r="D176" s="20"/>
      <c r="E176" s="25"/>
      <c r="F176" s="10"/>
      <c r="G176" s="10"/>
    </row>
    <row r="177" spans="3:7">
      <c r="C177" s="35"/>
      <c r="D177" s="20"/>
      <c r="E177" s="10"/>
      <c r="F177" s="10"/>
      <c r="G177" s="10"/>
    </row>
    <row r="178" spans="3:7">
      <c r="C178" s="21"/>
      <c r="D178" s="20"/>
      <c r="E178" s="25"/>
      <c r="F178" s="10"/>
      <c r="G178" s="10"/>
    </row>
    <row r="179" spans="3:7">
      <c r="C179" s="22"/>
      <c r="D179" s="20"/>
      <c r="E179" s="25"/>
      <c r="F179" s="10"/>
      <c r="G179" s="10"/>
    </row>
    <row r="180" spans="3:7">
      <c r="C180" s="33"/>
      <c r="D180" s="20"/>
      <c r="E180" s="10"/>
      <c r="F180" s="10"/>
      <c r="G180" s="10"/>
    </row>
    <row r="181" spans="3:7">
      <c r="C181" s="23"/>
      <c r="D181" s="20"/>
      <c r="E181" s="10"/>
      <c r="F181" s="10"/>
      <c r="G181" s="10"/>
    </row>
    <row r="182" spans="3:7">
      <c r="C182" s="23"/>
      <c r="D182" s="20"/>
      <c r="E182" s="10"/>
      <c r="F182" s="10"/>
      <c r="G182" s="10"/>
    </row>
    <row r="183" spans="3:7">
      <c r="C183" s="34"/>
      <c r="D183" s="20"/>
      <c r="E183" s="10"/>
      <c r="F183" s="10"/>
      <c r="G183" s="10"/>
    </row>
    <row r="184" spans="3:7">
      <c r="C184" s="23"/>
      <c r="D184" s="20"/>
      <c r="E184" s="10"/>
      <c r="F184" s="10"/>
      <c r="G184" s="10"/>
    </row>
    <row r="185" spans="3:7">
      <c r="C185" s="23"/>
      <c r="D185" s="20"/>
      <c r="E185" s="10"/>
      <c r="F185" s="10"/>
      <c r="G185" s="10"/>
    </row>
    <row r="186" spans="3:7">
      <c r="C186" s="34"/>
      <c r="D186" s="20"/>
      <c r="E186" s="10"/>
      <c r="F186" s="10"/>
      <c r="G186" s="10"/>
    </row>
    <row r="187" spans="3:7">
      <c r="C187" s="23"/>
      <c r="D187" s="20"/>
      <c r="E187" s="10"/>
      <c r="F187" s="10"/>
      <c r="G187" s="10"/>
    </row>
    <row r="188" spans="3:7">
      <c r="C188" s="23"/>
      <c r="D188" s="20"/>
      <c r="E188" s="10"/>
      <c r="F188" s="10"/>
      <c r="G188" s="10"/>
    </row>
    <row r="189" spans="3:7">
      <c r="C189" s="7"/>
      <c r="D189" s="20"/>
      <c r="E189" s="10"/>
      <c r="F189" s="10"/>
      <c r="G189" s="10"/>
    </row>
    <row r="190" spans="3:7">
      <c r="C190" s="7"/>
      <c r="D190" s="20"/>
      <c r="E190" s="10"/>
      <c r="F190" s="10"/>
      <c r="G190" s="10"/>
    </row>
    <row r="191" spans="3:7">
      <c r="C191" s="21"/>
      <c r="D191" s="20"/>
      <c r="E191" s="25"/>
      <c r="F191" s="10"/>
      <c r="G191" s="10"/>
    </row>
    <row r="192" spans="3:7">
      <c r="C192" s="22"/>
      <c r="D192" s="20"/>
      <c r="E192" s="25"/>
      <c r="F192" s="10"/>
      <c r="G192" s="10"/>
    </row>
    <row r="193" spans="3:7">
      <c r="C193" s="33"/>
      <c r="D193" s="20"/>
      <c r="E193" s="10"/>
      <c r="F193" s="10"/>
      <c r="G193" s="10"/>
    </row>
    <row r="194" spans="3:7">
      <c r="C194" s="23"/>
      <c r="D194" s="20"/>
      <c r="E194" s="10"/>
      <c r="F194" s="10"/>
      <c r="G194" s="10"/>
    </row>
    <row r="195" spans="3:7">
      <c r="C195" s="23"/>
      <c r="D195" s="20"/>
      <c r="E195" s="10"/>
      <c r="F195" s="10"/>
      <c r="G195" s="10"/>
    </row>
    <row r="196" spans="3:7">
      <c r="C196" s="8"/>
      <c r="D196" s="9"/>
      <c r="E196" s="10"/>
      <c r="F196" s="10"/>
      <c r="G196" s="10"/>
    </row>
    <row r="197" spans="3:7">
      <c r="C197" s="22"/>
      <c r="D197" s="20"/>
      <c r="E197" s="25"/>
      <c r="F197" s="10"/>
      <c r="G197" s="10"/>
    </row>
    <row r="198" spans="3:7">
      <c r="C198" s="22"/>
      <c r="D198" s="20"/>
      <c r="E198" s="25"/>
      <c r="F198" s="10"/>
      <c r="G198" s="10"/>
    </row>
    <row r="199" spans="3:7">
      <c r="C199" s="22"/>
      <c r="D199" s="20"/>
      <c r="E199" s="25"/>
      <c r="F199" s="10"/>
      <c r="G199" s="10"/>
    </row>
    <row r="200" spans="3:7">
      <c r="C200" s="21"/>
      <c r="D200" s="20"/>
      <c r="E200" s="25"/>
      <c r="F200" s="10"/>
      <c r="G200" s="10"/>
    </row>
    <row r="201" spans="3:7">
      <c r="C201" s="22"/>
      <c r="D201" s="20"/>
      <c r="E201" s="25"/>
      <c r="F201" s="10"/>
      <c r="G201" s="10"/>
    </row>
    <row r="202" spans="3:7">
      <c r="C202" s="22"/>
      <c r="D202" s="20"/>
      <c r="E202" s="25"/>
      <c r="F202" s="10"/>
      <c r="G202" s="10"/>
    </row>
    <row r="203" spans="3:7">
      <c r="C203" s="22"/>
      <c r="D203" s="20"/>
      <c r="E203" s="25"/>
      <c r="F203" s="10"/>
      <c r="G203" s="10"/>
    </row>
    <row r="204" spans="3:7">
      <c r="C204" s="35"/>
      <c r="D204" s="20"/>
      <c r="E204" s="10"/>
      <c r="F204" s="10"/>
      <c r="G204" s="10"/>
    </row>
    <row r="205" spans="3:7">
      <c r="C205" s="21"/>
      <c r="D205" s="20"/>
      <c r="E205" s="25"/>
      <c r="F205" s="10"/>
      <c r="G205" s="10"/>
    </row>
    <row r="206" spans="3:7">
      <c r="C206" s="22"/>
      <c r="D206" s="20"/>
      <c r="E206" s="25"/>
      <c r="F206" s="10"/>
      <c r="G206" s="10"/>
    </row>
    <row r="207" spans="3:7">
      <c r="C207" s="33"/>
      <c r="D207" s="20"/>
      <c r="E207" s="10"/>
      <c r="F207" s="10"/>
      <c r="G207" s="10"/>
    </row>
    <row r="208" spans="3:7">
      <c r="C208" s="23"/>
      <c r="D208" s="20"/>
      <c r="E208" s="10"/>
      <c r="F208" s="10"/>
      <c r="G208" s="10"/>
    </row>
    <row r="209" spans="3:7">
      <c r="C209" s="23"/>
      <c r="D209" s="20"/>
      <c r="E209" s="10"/>
      <c r="F209" s="10"/>
      <c r="G209" s="10"/>
    </row>
    <row r="210" spans="3:7">
      <c r="C210" s="34"/>
      <c r="D210" s="20"/>
      <c r="E210" s="10"/>
      <c r="F210" s="10"/>
      <c r="G210" s="10"/>
    </row>
    <row r="211" spans="3:7">
      <c r="C211" s="23"/>
      <c r="D211" s="20"/>
      <c r="E211" s="10"/>
      <c r="F211" s="10"/>
      <c r="G211" s="10"/>
    </row>
    <row r="212" spans="3:7">
      <c r="C212" s="23"/>
      <c r="D212" s="20"/>
      <c r="E212" s="10"/>
      <c r="F212" s="10"/>
      <c r="G212" s="10"/>
    </row>
    <row r="213" spans="3:7">
      <c r="C213" s="34"/>
      <c r="D213" s="20"/>
      <c r="E213" s="10"/>
      <c r="F213" s="10"/>
      <c r="G213" s="10"/>
    </row>
    <row r="214" spans="3:7">
      <c r="C214" s="23"/>
      <c r="D214" s="20"/>
      <c r="E214" s="10"/>
      <c r="F214" s="10"/>
      <c r="G214" s="10"/>
    </row>
    <row r="215" spans="3:7">
      <c r="C215" s="23"/>
      <c r="D215" s="20"/>
      <c r="E215" s="10"/>
      <c r="F215" s="10"/>
      <c r="G215" s="10"/>
    </row>
    <row r="216" spans="3:7">
      <c r="C216" s="7"/>
      <c r="D216" s="20"/>
      <c r="E216" s="10"/>
      <c r="F216" s="10"/>
      <c r="G216" s="10"/>
    </row>
    <row r="217" spans="3:7">
      <c r="C217" s="21"/>
      <c r="D217" s="20"/>
      <c r="E217" s="25"/>
      <c r="F217" s="10"/>
      <c r="G217" s="10"/>
    </row>
    <row r="218" spans="3:7">
      <c r="C218" s="22"/>
      <c r="D218" s="20"/>
      <c r="E218" s="25"/>
      <c r="F218" s="10"/>
      <c r="G218" s="10"/>
    </row>
    <row r="219" spans="3:7">
      <c r="C219" s="33"/>
      <c r="D219" s="20"/>
      <c r="E219" s="10"/>
      <c r="F219" s="10"/>
      <c r="G219" s="10"/>
    </row>
    <row r="220" spans="3:7">
      <c r="C220" s="23"/>
      <c r="D220" s="20"/>
      <c r="E220" s="10"/>
      <c r="F220" s="10"/>
      <c r="G220" s="10"/>
    </row>
    <row r="221" spans="3:7">
      <c r="C221" s="23"/>
      <c r="D221" s="20"/>
      <c r="E221" s="10"/>
      <c r="F221" s="10"/>
      <c r="G221" s="10"/>
    </row>
    <row r="222" spans="3:7">
      <c r="C222" s="21"/>
      <c r="D222" s="20"/>
      <c r="E222" s="25"/>
      <c r="F222" s="10"/>
      <c r="G222" s="10"/>
    </row>
    <row r="223" spans="3:7">
      <c r="C223" s="22"/>
      <c r="D223" s="20"/>
      <c r="E223" s="25"/>
      <c r="F223" s="10"/>
      <c r="G223" s="10"/>
    </row>
    <row r="224" spans="3:7">
      <c r="C224" s="22"/>
      <c r="D224" s="20"/>
      <c r="E224" s="25"/>
      <c r="F224" s="10"/>
      <c r="G224" s="10"/>
    </row>
    <row r="225" spans="3:7">
      <c r="C225" s="22"/>
      <c r="D225" s="20"/>
      <c r="E225" s="25"/>
      <c r="F225" s="10"/>
      <c r="G225" s="10"/>
    </row>
    <row r="226" spans="3:7">
      <c r="C226" s="34"/>
      <c r="D226" s="20"/>
      <c r="E226" s="10"/>
      <c r="F226" s="10"/>
      <c r="G226" s="10"/>
    </row>
    <row r="227" spans="3:7">
      <c r="C227" s="23"/>
      <c r="D227" s="20"/>
      <c r="E227" s="10"/>
      <c r="F227" s="10"/>
      <c r="G227" s="10"/>
    </row>
    <row r="228" spans="3:7">
      <c r="C228" s="23"/>
      <c r="D228" s="20"/>
      <c r="E228" s="10"/>
      <c r="F228" s="10"/>
      <c r="G228" s="10"/>
    </row>
    <row r="229" spans="3:7">
      <c r="C229" s="7"/>
      <c r="D229" s="9"/>
      <c r="E229" s="10"/>
      <c r="F229" s="10"/>
      <c r="G229" s="10"/>
    </row>
    <row r="230" spans="3:7">
      <c r="C230" s="7"/>
      <c r="D230" s="9"/>
      <c r="E230" s="10"/>
      <c r="F230" s="10"/>
      <c r="G230" s="10"/>
    </row>
    <row r="231" spans="3:7">
      <c r="C231" s="8"/>
      <c r="D231" s="9"/>
      <c r="E231" s="10"/>
      <c r="F231" s="10"/>
      <c r="G231" s="10"/>
    </row>
    <row r="232" spans="3:7">
      <c r="C232" s="12"/>
      <c r="D232" s="9"/>
      <c r="E232" s="10"/>
      <c r="F232" s="10"/>
      <c r="G232" s="10"/>
    </row>
    <row r="233" spans="3:7">
      <c r="C233" s="8"/>
      <c r="D233" s="9"/>
      <c r="E233" s="10"/>
      <c r="F233" s="10"/>
      <c r="G233" s="10"/>
    </row>
    <row r="234" spans="3:7">
      <c r="C234" s="23"/>
      <c r="D234" s="20"/>
      <c r="E234" s="10"/>
      <c r="F234" s="20"/>
      <c r="G234" s="10"/>
    </row>
    <row r="235" spans="3:7">
      <c r="C235" s="23"/>
      <c r="D235" s="20"/>
      <c r="E235" s="10"/>
      <c r="F235" s="20"/>
      <c r="G235" s="10"/>
    </row>
    <row r="236" spans="3:7">
      <c r="C236" s="23"/>
      <c r="D236" s="20"/>
      <c r="E236" s="10"/>
      <c r="F236" s="20"/>
      <c r="G236" s="10"/>
    </row>
    <row r="237" spans="3:7">
      <c r="C237" s="18"/>
      <c r="D237" s="9"/>
      <c r="E237" s="14"/>
      <c r="F237" s="5"/>
      <c r="G237" s="5"/>
    </row>
    <row r="238" spans="3:7">
      <c r="C238" s="23"/>
      <c r="D238" s="20"/>
      <c r="E238" s="10"/>
      <c r="F238" s="20"/>
      <c r="G238" s="10"/>
    </row>
    <row r="239" spans="3:7">
      <c r="C239" s="21"/>
      <c r="D239" s="20"/>
      <c r="E239" s="25"/>
      <c r="F239" s="10"/>
      <c r="G239" s="10"/>
    </row>
    <row r="240" spans="3:7">
      <c r="C240" s="22"/>
      <c r="D240" s="20"/>
      <c r="E240" s="25"/>
      <c r="F240" s="10"/>
      <c r="G240" s="10"/>
    </row>
    <row r="241" spans="3:7">
      <c r="C241" s="22"/>
      <c r="D241" s="20"/>
      <c r="E241" s="25"/>
      <c r="F241" s="10"/>
      <c r="G241" s="10"/>
    </row>
    <row r="242" spans="3:7">
      <c r="C242" s="22"/>
      <c r="D242" s="20"/>
      <c r="E242" s="25"/>
      <c r="F242" s="10"/>
      <c r="G242" s="10"/>
    </row>
    <row r="243" spans="3:7">
      <c r="C243" s="21"/>
      <c r="D243" s="20"/>
      <c r="E243" s="25"/>
      <c r="F243" s="10"/>
      <c r="G243" s="10"/>
    </row>
    <row r="244" spans="3:7">
      <c r="C244" s="22"/>
      <c r="D244" s="20"/>
      <c r="E244" s="25"/>
      <c r="F244" s="10"/>
      <c r="G244" s="10"/>
    </row>
    <row r="245" spans="3:7">
      <c r="C245" s="22"/>
      <c r="D245" s="20"/>
      <c r="E245" s="25"/>
      <c r="F245" s="10"/>
      <c r="G245" s="10"/>
    </row>
    <row r="246" spans="3:7">
      <c r="C246" s="36"/>
      <c r="D246" s="20"/>
      <c r="E246" s="25"/>
      <c r="F246" s="10"/>
      <c r="G246" s="10"/>
    </row>
    <row r="247" spans="3:7">
      <c r="C247" s="22"/>
      <c r="D247" s="20"/>
      <c r="E247" s="25"/>
      <c r="F247" s="10"/>
      <c r="G247" s="10"/>
    </row>
    <row r="248" spans="3:7">
      <c r="C248" s="36"/>
      <c r="D248" s="20"/>
      <c r="E248" s="25"/>
      <c r="F248" s="10"/>
      <c r="G248" s="10"/>
    </row>
    <row r="249" spans="3:7">
      <c r="C249" s="22"/>
      <c r="D249" s="20"/>
      <c r="E249" s="25"/>
      <c r="F249" s="10"/>
      <c r="G249" s="10"/>
    </row>
    <row r="250" spans="3:7">
      <c r="C250" s="22"/>
      <c r="D250" s="20"/>
      <c r="E250" s="25"/>
      <c r="F250" s="10"/>
      <c r="G250" s="10"/>
    </row>
    <row r="251" spans="3:7">
      <c r="C251" s="21"/>
      <c r="D251" s="20"/>
      <c r="E251" s="25"/>
      <c r="F251" s="10"/>
      <c r="G251" s="10"/>
    </row>
    <row r="252" spans="3:7">
      <c r="C252" s="23"/>
      <c r="D252" s="20"/>
      <c r="E252" s="10"/>
      <c r="F252" s="10"/>
      <c r="G252" s="10"/>
    </row>
    <row r="253" spans="3:7">
      <c r="C253" s="23"/>
      <c r="D253" s="20"/>
      <c r="E253" s="10"/>
      <c r="F253" s="10"/>
      <c r="G253" s="10"/>
    </row>
    <row r="254" spans="3:7">
      <c r="C254" s="34"/>
      <c r="D254" s="20"/>
      <c r="E254" s="10"/>
      <c r="F254" s="10"/>
      <c r="G254" s="10"/>
    </row>
    <row r="255" spans="3:7">
      <c r="C255" s="22"/>
      <c r="D255" s="20"/>
      <c r="E255" s="25"/>
      <c r="F255" s="10"/>
      <c r="G255" s="10"/>
    </row>
    <row r="256" spans="3:7">
      <c r="C256" s="22"/>
      <c r="D256" s="20"/>
      <c r="E256" s="25"/>
      <c r="F256" s="10"/>
      <c r="G256" s="10"/>
    </row>
    <row r="257" spans="3:7">
      <c r="C257" s="21"/>
      <c r="D257" s="20"/>
      <c r="E257" s="25"/>
      <c r="F257" s="10"/>
      <c r="G257" s="10"/>
    </row>
    <row r="258" spans="3:7">
      <c r="C258" s="22"/>
      <c r="D258" s="20"/>
      <c r="E258" s="25"/>
      <c r="F258" s="10"/>
      <c r="G258" s="10"/>
    </row>
    <row r="259" spans="3:7">
      <c r="C259" s="22"/>
      <c r="D259" s="20"/>
      <c r="E259" s="25"/>
      <c r="F259" s="10"/>
      <c r="G259" s="10"/>
    </row>
    <row r="260" spans="3:7">
      <c r="C260" s="7"/>
      <c r="D260" s="9"/>
      <c r="E260" s="10"/>
      <c r="F260" s="10"/>
      <c r="G260" s="10"/>
    </row>
    <row r="261" spans="3:7">
      <c r="C261" s="8"/>
      <c r="D261" s="9"/>
      <c r="E261" s="10"/>
      <c r="F261" s="10"/>
      <c r="G261" s="10"/>
    </row>
    <row r="262" spans="3:7">
      <c r="C262" s="23"/>
      <c r="D262" s="20"/>
      <c r="E262" s="10"/>
      <c r="F262" s="20"/>
      <c r="G262" s="10"/>
    </row>
    <row r="263" spans="3:7">
      <c r="C263" s="23"/>
      <c r="D263" s="20"/>
      <c r="E263" s="10"/>
      <c r="F263" s="20"/>
      <c r="G263" s="10"/>
    </row>
    <row r="264" spans="3:7">
      <c r="C264" s="23"/>
      <c r="D264" s="20"/>
      <c r="E264" s="10"/>
      <c r="F264" s="20"/>
      <c r="G264" s="10"/>
    </row>
    <row r="265" spans="3:7">
      <c r="C265" s="23"/>
      <c r="D265" s="20"/>
      <c r="E265" s="10"/>
      <c r="F265" s="20"/>
      <c r="G265" s="10"/>
    </row>
    <row r="266" spans="3:7">
      <c r="C266" s="18"/>
      <c r="D266" s="9"/>
      <c r="E266" s="14"/>
      <c r="F266" s="5"/>
      <c r="G266" s="5"/>
    </row>
    <row r="267" spans="3:7">
      <c r="C267" s="23"/>
      <c r="D267" s="20"/>
      <c r="E267" s="10"/>
      <c r="F267" s="20"/>
      <c r="G267" s="10"/>
    </row>
    <row r="268" spans="3:7">
      <c r="C268" s="21"/>
      <c r="D268" s="20"/>
      <c r="E268" s="25"/>
      <c r="F268" s="10"/>
      <c r="G268" s="10"/>
    </row>
    <row r="269" spans="3:7">
      <c r="C269" s="22"/>
      <c r="D269" s="20"/>
      <c r="E269" s="25"/>
      <c r="F269" s="10"/>
      <c r="G269" s="10"/>
    </row>
    <row r="270" spans="3:7">
      <c r="C270" s="22"/>
      <c r="D270" s="20"/>
      <c r="E270" s="25"/>
      <c r="F270" s="10"/>
      <c r="G270" s="10"/>
    </row>
    <row r="271" spans="3:7">
      <c r="C271" s="22"/>
      <c r="D271" s="20"/>
      <c r="E271" s="25"/>
      <c r="F271" s="10"/>
      <c r="G271" s="10"/>
    </row>
    <row r="272" spans="3:7">
      <c r="C272" s="21"/>
      <c r="D272" s="20"/>
      <c r="E272" s="25"/>
      <c r="F272" s="10"/>
      <c r="G272" s="10"/>
    </row>
    <row r="273" spans="3:7">
      <c r="C273" s="22"/>
      <c r="D273" s="20"/>
      <c r="E273" s="25"/>
      <c r="F273" s="10"/>
      <c r="G273" s="10"/>
    </row>
    <row r="274" spans="3:7">
      <c r="C274" s="22"/>
      <c r="D274" s="20"/>
      <c r="E274" s="25"/>
      <c r="F274" s="10"/>
      <c r="G274" s="10"/>
    </row>
    <row r="275" spans="3:7">
      <c r="C275" s="8"/>
      <c r="D275" s="9"/>
      <c r="E275" s="10"/>
      <c r="F275" s="10"/>
      <c r="G275" s="10"/>
    </row>
    <row r="276" spans="3:7">
      <c r="C276" s="12"/>
      <c r="D276" s="9"/>
      <c r="E276" s="10"/>
      <c r="F276" s="10"/>
      <c r="G276" s="10"/>
    </row>
    <row r="277" spans="3:7">
      <c r="C277" s="7"/>
      <c r="D277" s="9"/>
      <c r="E277" s="10"/>
      <c r="F277" s="10"/>
      <c r="G277" s="10"/>
    </row>
    <row r="278" spans="3:7">
      <c r="C278" s="8"/>
      <c r="D278" s="9"/>
      <c r="E278" s="6"/>
      <c r="F278" s="6"/>
      <c r="G278" s="6"/>
    </row>
    <row r="279" spans="3:7">
      <c r="C279" s="7"/>
      <c r="D279" s="9"/>
      <c r="E279" s="10"/>
      <c r="F279" s="10"/>
      <c r="G279" s="10"/>
    </row>
    <row r="280" spans="3:7">
      <c r="C280" s="19"/>
      <c r="D280" s="9"/>
      <c r="E280" s="10"/>
      <c r="F280" s="10"/>
      <c r="G280" s="10"/>
    </row>
    <row r="281" spans="3:7" ht="14.25" customHeight="1">
      <c r="C281" s="12"/>
      <c r="D281" s="9"/>
      <c r="E281" s="10"/>
      <c r="F281" s="10"/>
      <c r="G281" s="10"/>
    </row>
    <row r="282" spans="3:7">
      <c r="C282" s="12"/>
      <c r="D282" s="9"/>
      <c r="E282" s="10"/>
      <c r="F282" s="10"/>
      <c r="G282" s="10"/>
    </row>
    <row r="283" spans="3:7">
      <c r="C283" s="12"/>
      <c r="D283" s="9"/>
      <c r="E283" s="10"/>
      <c r="F283" s="10"/>
      <c r="G283" s="10"/>
    </row>
    <row r="284" spans="3:7" ht="12.75" customHeight="1">
      <c r="C284" s="12"/>
      <c r="D284" s="9"/>
      <c r="E284" s="10"/>
      <c r="F284" s="10"/>
      <c r="G284" s="10"/>
    </row>
    <row r="285" spans="3:7">
      <c r="C285" s="12"/>
      <c r="D285" s="9"/>
      <c r="E285" s="10"/>
      <c r="F285" s="10"/>
      <c r="G285" s="10"/>
    </row>
    <row r="286" spans="3:7">
      <c r="C286" s="12"/>
      <c r="D286" s="9"/>
      <c r="E286" s="10"/>
      <c r="F286" s="10"/>
      <c r="G286" s="10"/>
    </row>
    <row r="287" spans="3:7">
      <c r="C287" s="12"/>
      <c r="D287" s="9"/>
      <c r="E287" s="10"/>
      <c r="F287" s="10"/>
      <c r="G287" s="10"/>
    </row>
    <row r="288" spans="3:7">
      <c r="C288" s="12"/>
      <c r="D288" s="9"/>
      <c r="E288" s="10"/>
      <c r="F288" s="10"/>
      <c r="G288" s="10"/>
    </row>
    <row r="289" spans="3:7">
      <c r="C289" s="12"/>
      <c r="D289" s="9"/>
      <c r="E289" s="10"/>
      <c r="F289" s="10"/>
      <c r="G289" s="10"/>
    </row>
    <row r="290" spans="3:7">
      <c r="C290" s="12"/>
      <c r="D290" s="9"/>
      <c r="E290" s="10"/>
      <c r="F290" s="10"/>
      <c r="G290" s="10"/>
    </row>
    <row r="291" spans="3:7">
      <c r="C291" s="12"/>
      <c r="D291" s="9"/>
      <c r="E291" s="10"/>
      <c r="F291" s="10"/>
      <c r="G291" s="10"/>
    </row>
    <row r="292" spans="3:7" ht="12.75" customHeight="1">
      <c r="C292" s="12"/>
      <c r="D292" s="9"/>
      <c r="E292" s="14"/>
      <c r="F292" s="5"/>
      <c r="G292" s="5"/>
    </row>
    <row r="293" spans="3:7">
      <c r="C293" s="19"/>
      <c r="D293" s="9"/>
      <c r="E293" s="10"/>
      <c r="F293" s="10"/>
      <c r="G293" s="10"/>
    </row>
    <row r="294" spans="3:7">
      <c r="C294" s="12"/>
      <c r="D294" s="9"/>
      <c r="E294" s="10"/>
      <c r="F294" s="10"/>
      <c r="G294" s="10"/>
    </row>
    <row r="295" spans="3:7" ht="12.75" customHeight="1">
      <c r="C295" s="12"/>
      <c r="D295" s="9"/>
      <c r="E295" s="10"/>
      <c r="F295" s="10"/>
      <c r="G295" s="10"/>
    </row>
    <row r="296" spans="3:7">
      <c r="C296" s="12"/>
      <c r="D296" s="9"/>
      <c r="E296" s="10"/>
      <c r="F296" s="10"/>
      <c r="G296" s="10"/>
    </row>
    <row r="297" spans="3:7">
      <c r="C297" s="12"/>
      <c r="D297" s="9"/>
      <c r="E297" s="10"/>
      <c r="F297" s="10"/>
      <c r="G297" s="10"/>
    </row>
    <row r="298" spans="3:7">
      <c r="C298" s="12"/>
      <c r="D298" s="9"/>
      <c r="E298" s="10"/>
      <c r="F298" s="10"/>
      <c r="G298" s="10"/>
    </row>
    <row r="299" spans="3:7" ht="12.75" customHeight="1">
      <c r="C299" s="12"/>
      <c r="D299" s="9"/>
      <c r="E299" s="10"/>
      <c r="F299" s="10"/>
      <c r="G299" s="10"/>
    </row>
    <row r="300" spans="3:7">
      <c r="C300" s="12"/>
      <c r="D300" s="9"/>
      <c r="E300" s="10"/>
      <c r="F300" s="10"/>
      <c r="G300" s="10"/>
    </row>
    <row r="301" spans="3:7">
      <c r="C301" s="12"/>
      <c r="D301" s="9"/>
      <c r="E301" s="10"/>
      <c r="F301" s="10"/>
      <c r="G301" s="10"/>
    </row>
    <row r="302" spans="3:7" ht="12.75" customHeight="1">
      <c r="C302" s="12"/>
      <c r="D302" s="9"/>
      <c r="E302" s="10"/>
      <c r="F302" s="10"/>
      <c r="G302" s="10"/>
    </row>
    <row r="303" spans="3:7">
      <c r="C303" s="12"/>
      <c r="D303" s="9"/>
      <c r="E303" s="14"/>
      <c r="F303" s="5"/>
      <c r="G303" s="5"/>
    </row>
    <row r="304" spans="3:7">
      <c r="C304" s="7"/>
      <c r="D304" s="9"/>
      <c r="E304" s="10"/>
      <c r="F304" s="10"/>
      <c r="G304" s="10"/>
    </row>
    <row r="305" spans="3:7">
      <c r="C305" s="8"/>
      <c r="D305" s="9"/>
      <c r="E305" s="14"/>
      <c r="F305" s="5"/>
      <c r="G305" s="5"/>
    </row>
    <row r="306" spans="3:7">
      <c r="C306" s="12"/>
      <c r="D306" s="9"/>
      <c r="E306" s="14"/>
      <c r="F306" s="5"/>
      <c r="G306" s="5"/>
    </row>
    <row r="307" spans="3:7">
      <c r="C307" s="12"/>
      <c r="D307" s="9"/>
      <c r="E307" s="14"/>
      <c r="F307" s="5"/>
      <c r="G307" s="5"/>
    </row>
    <row r="308" spans="3:7">
      <c r="C308" s="8"/>
      <c r="D308" s="9"/>
      <c r="E308" s="14"/>
      <c r="F308" s="5"/>
      <c r="G308" s="5"/>
    </row>
    <row r="309" spans="3:7">
      <c r="C309" s="12"/>
      <c r="D309" s="9"/>
      <c r="E309" s="14"/>
      <c r="F309" s="5"/>
      <c r="G309" s="5"/>
    </row>
    <row r="310" spans="3:7">
      <c r="C310" s="12"/>
      <c r="D310" s="9"/>
      <c r="E310" s="14"/>
      <c r="F310" s="5"/>
      <c r="G310" s="5"/>
    </row>
    <row r="311" spans="3:7">
      <c r="C311" s="8"/>
      <c r="D311" s="9"/>
      <c r="E311" s="14"/>
      <c r="F311" s="5"/>
      <c r="G311" s="5"/>
    </row>
    <row r="312" spans="3:7">
      <c r="C312" s="12"/>
      <c r="D312" s="9"/>
      <c r="E312" s="14"/>
      <c r="F312" s="5"/>
      <c r="G312" s="5"/>
    </row>
    <row r="313" spans="3:7">
      <c r="C313" s="12"/>
      <c r="D313" s="9"/>
      <c r="E313" s="14"/>
      <c r="F313" s="5"/>
      <c r="G313" s="5"/>
    </row>
    <row r="314" spans="3:7" ht="12.75" customHeight="1">
      <c r="C314" s="7"/>
      <c r="D314" s="9"/>
      <c r="E314" s="10"/>
      <c r="F314" s="10"/>
      <c r="G314" s="10"/>
    </row>
    <row r="315" spans="3:7">
      <c r="C315" s="19"/>
      <c r="D315" s="9"/>
      <c r="E315" s="10"/>
      <c r="F315" s="10"/>
      <c r="G315" s="10"/>
    </row>
    <row r="316" spans="3:7">
      <c r="C316" s="12"/>
      <c r="D316" s="9"/>
      <c r="E316" s="10"/>
      <c r="F316" s="10"/>
      <c r="G316" s="10"/>
    </row>
    <row r="317" spans="3:7" ht="12.75" customHeight="1">
      <c r="C317" s="12"/>
      <c r="D317" s="9"/>
      <c r="E317" s="10"/>
      <c r="F317" s="10"/>
      <c r="G317" s="10"/>
    </row>
    <row r="318" spans="3:7">
      <c r="C318" s="12"/>
      <c r="D318" s="9"/>
      <c r="E318" s="10"/>
      <c r="F318" s="10"/>
      <c r="G318" s="10"/>
    </row>
    <row r="319" spans="3:7" ht="12.75" customHeight="1">
      <c r="C319" s="12"/>
      <c r="D319" s="9"/>
      <c r="E319" s="10"/>
      <c r="F319" s="10"/>
      <c r="G319" s="10"/>
    </row>
    <row r="320" spans="3:7" ht="12.75" customHeight="1">
      <c r="C320" s="12"/>
      <c r="D320" s="9"/>
      <c r="E320" s="10"/>
      <c r="F320" s="10"/>
      <c r="G320" s="10"/>
    </row>
    <row r="321" spans="3:7" ht="12.75" customHeight="1">
      <c r="C321" s="12"/>
      <c r="D321" s="9"/>
      <c r="E321" s="10"/>
      <c r="F321" s="10"/>
      <c r="G321" s="10"/>
    </row>
    <row r="322" spans="3:7" ht="12.75" customHeight="1">
      <c r="C322" s="12"/>
      <c r="D322" s="9"/>
      <c r="E322" s="14"/>
      <c r="F322" s="5"/>
      <c r="G322" s="5"/>
    </row>
    <row r="323" spans="3:7" ht="12.75" customHeight="1">
      <c r="C323" s="8"/>
      <c r="D323" s="9"/>
      <c r="E323" s="10"/>
      <c r="F323" s="10"/>
      <c r="G323" s="10"/>
    </row>
    <row r="324" spans="3:7" ht="12.75" customHeight="1">
      <c r="C324" s="12"/>
      <c r="D324" s="9"/>
      <c r="E324" s="10"/>
      <c r="F324" s="10"/>
      <c r="G324" s="10"/>
    </row>
    <row r="325" spans="3:7" ht="12.75" customHeight="1">
      <c r="C325" s="12"/>
      <c r="D325" s="9"/>
      <c r="E325" s="14"/>
      <c r="F325" s="5"/>
      <c r="G325" s="5"/>
    </row>
    <row r="326" spans="3:7" ht="12.75" customHeight="1">
      <c r="C326" s="19"/>
      <c r="D326" s="9"/>
      <c r="E326" s="10"/>
      <c r="F326" s="10"/>
      <c r="G326" s="10"/>
    </row>
    <row r="327" spans="3:7" ht="12.75" customHeight="1">
      <c r="C327" s="12"/>
      <c r="D327" s="9"/>
      <c r="E327" s="14"/>
      <c r="F327" s="5"/>
      <c r="G327" s="5"/>
    </row>
    <row r="328" spans="3:7" ht="12.75" customHeight="1">
      <c r="C328" s="12"/>
      <c r="D328" s="9"/>
      <c r="E328" s="14"/>
      <c r="F328" s="5"/>
      <c r="G328" s="5"/>
    </row>
    <row r="329" spans="3:7">
      <c r="C329" s="12"/>
      <c r="D329" s="9"/>
      <c r="E329" s="14"/>
      <c r="F329" s="5"/>
      <c r="G329" s="5"/>
    </row>
    <row r="330" spans="3:7">
      <c r="C330" s="12"/>
      <c r="D330" s="9"/>
      <c r="E330" s="14"/>
      <c r="F330" s="5"/>
      <c r="G330" s="5"/>
    </row>
    <row r="331" spans="3:7">
      <c r="C331" s="12"/>
      <c r="D331" s="9"/>
      <c r="E331" s="14"/>
      <c r="F331" s="5"/>
      <c r="G331" s="5"/>
    </row>
    <row r="332" spans="3:7">
      <c r="C332" s="12"/>
      <c r="D332" s="9"/>
      <c r="E332" s="14"/>
      <c r="F332" s="5"/>
      <c r="G332" s="5"/>
    </row>
    <row r="333" spans="3:7">
      <c r="C333" s="12"/>
      <c r="D333" s="9"/>
      <c r="E333" s="14"/>
      <c r="F333" s="5"/>
      <c r="G333" s="5"/>
    </row>
    <row r="334" spans="3:7">
      <c r="C334" s="12"/>
      <c r="D334" s="9"/>
      <c r="E334" s="14"/>
      <c r="F334" s="5"/>
      <c r="G334" s="5"/>
    </row>
    <row r="335" spans="3:7">
      <c r="C335" s="12"/>
      <c r="D335" s="9"/>
      <c r="E335" s="14"/>
      <c r="F335" s="5"/>
      <c r="G335" s="5"/>
    </row>
    <row r="336" spans="3:7">
      <c r="C336" s="7"/>
      <c r="D336" s="9"/>
      <c r="E336" s="14"/>
      <c r="F336" s="5"/>
      <c r="G336" s="5"/>
    </row>
    <row r="337" spans="3:7">
      <c r="C337" s="7"/>
      <c r="D337" s="9"/>
      <c r="E337" s="10"/>
      <c r="F337" s="10"/>
      <c r="G337" s="10"/>
    </row>
    <row r="338" spans="3:7">
      <c r="C338" s="19"/>
      <c r="D338" s="9"/>
      <c r="E338" s="10"/>
      <c r="F338" s="10"/>
      <c r="G338" s="10"/>
    </row>
    <row r="339" spans="3:7">
      <c r="C339" s="19"/>
      <c r="D339" s="9"/>
      <c r="E339" s="10"/>
      <c r="F339" s="10"/>
      <c r="G339" s="10"/>
    </row>
    <row r="340" spans="3:7">
      <c r="C340" s="12"/>
      <c r="D340" s="9"/>
      <c r="E340" s="10"/>
      <c r="F340" s="10"/>
      <c r="G340" s="10"/>
    </row>
    <row r="341" spans="3:7">
      <c r="C341" s="19"/>
      <c r="D341" s="9"/>
      <c r="E341" s="10"/>
      <c r="F341" s="10"/>
      <c r="G341" s="10"/>
    </row>
    <row r="342" spans="3:7">
      <c r="C342" s="19"/>
      <c r="D342" s="9"/>
      <c r="E342" s="10"/>
      <c r="F342" s="10"/>
      <c r="G342" s="10"/>
    </row>
    <row r="343" spans="3:7">
      <c r="C343" s="12"/>
      <c r="D343" s="9"/>
      <c r="E343" s="10"/>
      <c r="F343" s="10"/>
      <c r="G343" s="10"/>
    </row>
    <row r="344" spans="3:7">
      <c r="C344" s="12"/>
      <c r="D344" s="9"/>
      <c r="E344" s="10"/>
      <c r="F344" s="10"/>
      <c r="G344" s="10"/>
    </row>
    <row r="345" spans="3:7">
      <c r="C345" s="12"/>
      <c r="D345" s="9"/>
      <c r="E345" s="10"/>
      <c r="F345" s="10"/>
      <c r="G345" s="10"/>
    </row>
    <row r="346" spans="3:7">
      <c r="C346" s="7"/>
      <c r="D346" s="9"/>
      <c r="E346" s="10"/>
      <c r="F346" s="10"/>
      <c r="G346" s="10"/>
    </row>
    <row r="347" spans="3:7">
      <c r="C347" s="8"/>
      <c r="D347" s="9"/>
      <c r="E347" s="10"/>
      <c r="F347" s="10"/>
      <c r="G347" s="10"/>
    </row>
    <row r="348" spans="3:7">
      <c r="C348" s="7"/>
      <c r="D348" s="9"/>
      <c r="E348" s="10"/>
      <c r="F348" s="10"/>
      <c r="G348" s="10"/>
    </row>
    <row r="349" spans="3:7">
      <c r="C349" s="8"/>
      <c r="D349" s="9"/>
      <c r="E349" s="10"/>
      <c r="F349" s="10"/>
      <c r="G349" s="10"/>
    </row>
    <row r="350" spans="3:7">
      <c r="C350" s="12"/>
      <c r="D350" s="9"/>
      <c r="E350" s="10"/>
      <c r="F350" s="10"/>
      <c r="G350" s="10"/>
    </row>
    <row r="351" spans="3:7">
      <c r="C351" s="19"/>
      <c r="D351" s="9"/>
      <c r="E351" s="10"/>
      <c r="F351" s="10"/>
      <c r="G351" s="10"/>
    </row>
    <row r="352" spans="3:7">
      <c r="C352" s="12"/>
      <c r="D352" s="9"/>
      <c r="E352" s="10"/>
      <c r="F352" s="10"/>
      <c r="G352" s="10"/>
    </row>
    <row r="353" spans="3:7">
      <c r="C353" s="19"/>
      <c r="D353" s="9"/>
      <c r="E353" s="10"/>
      <c r="F353" s="10"/>
      <c r="G353" s="10"/>
    </row>
    <row r="354" spans="3:7">
      <c r="C354" s="12"/>
      <c r="D354" s="9"/>
      <c r="E354" s="10"/>
      <c r="F354" s="10"/>
      <c r="G354" s="10"/>
    </row>
    <row r="355" spans="3:7">
      <c r="C355" s="19"/>
      <c r="D355" s="9"/>
      <c r="E355" s="10"/>
      <c r="F355" s="10"/>
      <c r="G355" s="10"/>
    </row>
    <row r="356" spans="3:7">
      <c r="C356" s="23"/>
      <c r="D356" s="20"/>
      <c r="E356" s="10"/>
      <c r="F356" s="10"/>
      <c r="G356" s="10"/>
    </row>
    <row r="357" spans="3:7">
      <c r="C357" s="23"/>
      <c r="D357" s="20"/>
      <c r="E357" s="10"/>
      <c r="F357" s="10"/>
      <c r="G357" s="10"/>
    </row>
    <row r="358" spans="3:7">
      <c r="C358" s="8"/>
      <c r="D358" s="9"/>
      <c r="E358" s="10"/>
      <c r="F358" s="10"/>
      <c r="G358" s="10"/>
    </row>
    <row r="359" spans="3:7">
      <c r="C359" s="12"/>
      <c r="D359" s="9"/>
      <c r="E359" s="10"/>
      <c r="F359" s="10"/>
      <c r="G359" s="10"/>
    </row>
    <row r="360" spans="3:7">
      <c r="C360" s="12"/>
      <c r="D360" s="9"/>
      <c r="E360" s="10"/>
      <c r="F360" s="10"/>
      <c r="G360" s="10"/>
    </row>
    <row r="361" spans="3:7">
      <c r="C361" s="8"/>
      <c r="D361" s="9"/>
      <c r="E361" s="10"/>
      <c r="F361" s="10"/>
      <c r="G361" s="10"/>
    </row>
    <row r="362" spans="3:7">
      <c r="C362" s="12"/>
      <c r="D362" s="9"/>
      <c r="E362" s="10"/>
      <c r="F362" s="10"/>
      <c r="G362" s="10"/>
    </row>
    <row r="363" spans="3:7">
      <c r="C363" s="7"/>
      <c r="D363" s="9"/>
      <c r="E363" s="10"/>
      <c r="F363" s="10"/>
      <c r="G363" s="10"/>
    </row>
    <row r="364" spans="3:7">
      <c r="C364" s="8"/>
      <c r="D364" s="9"/>
      <c r="E364" s="10"/>
      <c r="F364" s="10"/>
      <c r="G364" s="10"/>
    </row>
    <row r="365" spans="3:7">
      <c r="C365" s="12"/>
      <c r="D365" s="9"/>
      <c r="E365" s="10"/>
      <c r="F365" s="10"/>
      <c r="G365" s="10"/>
    </row>
    <row r="366" spans="3:7">
      <c r="C366" s="8"/>
      <c r="D366" s="9"/>
      <c r="E366" s="10"/>
      <c r="F366" s="10"/>
      <c r="G366" s="10"/>
    </row>
    <row r="367" spans="3:7">
      <c r="C367" s="12"/>
      <c r="D367" s="9"/>
      <c r="E367" s="10"/>
      <c r="F367" s="10"/>
      <c r="G367" s="10"/>
    </row>
    <row r="368" spans="3:7">
      <c r="C368" s="19"/>
      <c r="D368" s="9"/>
      <c r="E368" s="10"/>
      <c r="F368" s="10"/>
      <c r="G368" s="10"/>
    </row>
    <row r="369" spans="3:7">
      <c r="C369" s="12"/>
      <c r="D369" s="9"/>
      <c r="E369" s="10"/>
      <c r="F369" s="10"/>
      <c r="G369" s="10"/>
    </row>
    <row r="370" spans="3:7">
      <c r="C370" s="19"/>
      <c r="D370" s="9"/>
      <c r="E370" s="10"/>
      <c r="F370" s="10"/>
      <c r="G370" s="10"/>
    </row>
    <row r="371" spans="3:7">
      <c r="C371" s="12"/>
      <c r="D371" s="9"/>
      <c r="E371" s="10"/>
      <c r="F371" s="10"/>
      <c r="G371" s="10"/>
    </row>
    <row r="372" spans="3:7">
      <c r="C372" s="19"/>
      <c r="D372" s="9"/>
      <c r="E372" s="10"/>
      <c r="F372" s="10"/>
      <c r="G372" s="10"/>
    </row>
    <row r="373" spans="3:7">
      <c r="C373" s="23"/>
      <c r="D373" s="20"/>
      <c r="E373" s="10"/>
      <c r="F373" s="10"/>
      <c r="G373" s="10"/>
    </row>
    <row r="374" spans="3:7">
      <c r="C374" s="23"/>
      <c r="D374" s="20"/>
      <c r="E374" s="10"/>
      <c r="F374" s="10"/>
      <c r="G374" s="10"/>
    </row>
    <row r="375" spans="3:7">
      <c r="C375" s="8"/>
      <c r="D375" s="9"/>
      <c r="E375" s="10"/>
      <c r="F375" s="10"/>
      <c r="G375" s="10"/>
    </row>
    <row r="376" spans="3:7">
      <c r="C376" s="12"/>
      <c r="D376" s="9"/>
      <c r="E376" s="10"/>
      <c r="F376" s="10"/>
      <c r="G376" s="10"/>
    </row>
    <row r="377" spans="3:7">
      <c r="C377" s="12"/>
      <c r="D377" s="9"/>
      <c r="E377" s="10"/>
      <c r="F377" s="10"/>
      <c r="G377" s="10"/>
    </row>
    <row r="378" spans="3:7">
      <c r="C378" s="8"/>
      <c r="D378" s="9"/>
      <c r="E378" s="10"/>
      <c r="F378" s="10"/>
      <c r="G378" s="10"/>
    </row>
    <row r="379" spans="3:7">
      <c r="C379" s="12"/>
      <c r="D379" s="9"/>
      <c r="E379" s="10"/>
      <c r="F379" s="10"/>
      <c r="G379" s="10"/>
    </row>
    <row r="380" spans="3:7">
      <c r="C380" s="7"/>
      <c r="D380" s="9"/>
      <c r="E380" s="10"/>
      <c r="F380" s="10"/>
      <c r="G380" s="10"/>
    </row>
    <row r="381" spans="3:7">
      <c r="C381" s="8"/>
      <c r="D381" s="9"/>
      <c r="E381" s="10"/>
      <c r="F381" s="10"/>
      <c r="G381" s="10"/>
    </row>
    <row r="382" spans="3:7">
      <c r="C382" s="12"/>
      <c r="D382" s="9"/>
      <c r="E382" s="10"/>
      <c r="F382" s="10"/>
      <c r="G382" s="10"/>
    </row>
    <row r="383" spans="3:7">
      <c r="C383" s="8"/>
      <c r="D383" s="9"/>
      <c r="E383" s="10"/>
      <c r="F383" s="10"/>
      <c r="G383" s="10"/>
    </row>
    <row r="384" spans="3:7">
      <c r="C384" s="12"/>
      <c r="D384" s="9"/>
      <c r="E384" s="10"/>
      <c r="F384" s="10"/>
      <c r="G384" s="10"/>
    </row>
    <row r="385" spans="3:7">
      <c r="C385" s="19"/>
      <c r="D385" s="9"/>
      <c r="E385" s="10"/>
      <c r="F385" s="10"/>
      <c r="G385" s="10"/>
    </row>
    <row r="386" spans="3:7">
      <c r="C386" s="12"/>
      <c r="D386" s="9"/>
      <c r="E386" s="10"/>
      <c r="F386" s="10"/>
      <c r="G386" s="10"/>
    </row>
    <row r="387" spans="3:7">
      <c r="C387" s="19"/>
      <c r="D387" s="9"/>
      <c r="E387" s="10"/>
      <c r="F387" s="10"/>
      <c r="G387" s="10"/>
    </row>
    <row r="388" spans="3:7">
      <c r="C388" s="12"/>
      <c r="D388" s="9"/>
      <c r="E388" s="10"/>
      <c r="F388" s="10"/>
      <c r="G388" s="10"/>
    </row>
    <row r="389" spans="3:7">
      <c r="C389" s="19"/>
      <c r="D389" s="9"/>
      <c r="E389" s="10"/>
      <c r="F389" s="10"/>
      <c r="G389" s="10"/>
    </row>
    <row r="390" spans="3:7">
      <c r="C390" s="23"/>
      <c r="D390" s="20"/>
      <c r="E390" s="10"/>
      <c r="F390" s="10"/>
      <c r="G390" s="10"/>
    </row>
    <row r="391" spans="3:7">
      <c r="C391" s="23"/>
      <c r="D391" s="20"/>
      <c r="E391" s="10"/>
      <c r="F391" s="10"/>
      <c r="G391" s="10"/>
    </row>
    <row r="392" spans="3:7">
      <c r="C392" s="8"/>
      <c r="D392" s="9"/>
      <c r="E392" s="10"/>
      <c r="F392" s="10"/>
      <c r="G392" s="10"/>
    </row>
    <row r="393" spans="3:7">
      <c r="C393" s="12"/>
      <c r="D393" s="9"/>
      <c r="E393" s="10"/>
      <c r="F393" s="10"/>
      <c r="G393" s="10"/>
    </row>
    <row r="394" spans="3:7">
      <c r="C394" s="12"/>
      <c r="D394" s="9"/>
      <c r="E394" s="10"/>
      <c r="F394" s="10"/>
      <c r="G394" s="10"/>
    </row>
    <row r="395" spans="3:7">
      <c r="C395" s="8"/>
      <c r="D395" s="9"/>
      <c r="E395" s="10"/>
      <c r="F395" s="10"/>
      <c r="G395" s="10"/>
    </row>
    <row r="396" spans="3:7">
      <c r="C396" s="12"/>
      <c r="D396" s="9"/>
      <c r="E396" s="10"/>
      <c r="F396" s="10"/>
      <c r="G396" s="10"/>
    </row>
    <row r="397" spans="3:7">
      <c r="C397" s="7"/>
      <c r="D397" s="9"/>
      <c r="E397" s="10"/>
      <c r="F397" s="10"/>
      <c r="G397" s="10"/>
    </row>
    <row r="398" spans="3:7">
      <c r="C398" s="8"/>
      <c r="D398" s="9"/>
      <c r="E398" s="10"/>
      <c r="F398" s="10"/>
      <c r="G398" s="10"/>
    </row>
    <row r="399" spans="3:7">
      <c r="C399" s="12"/>
      <c r="D399" s="9"/>
      <c r="E399" s="10"/>
      <c r="F399" s="10"/>
      <c r="G399" s="10"/>
    </row>
    <row r="400" spans="3:7">
      <c r="C400" s="8"/>
      <c r="D400" s="9"/>
      <c r="E400" s="10"/>
      <c r="F400" s="10"/>
      <c r="G400" s="10"/>
    </row>
    <row r="401" spans="3:7">
      <c r="C401" s="12"/>
      <c r="D401" s="9"/>
      <c r="E401" s="10"/>
      <c r="F401" s="10"/>
      <c r="G401" s="10"/>
    </row>
    <row r="402" spans="3:7">
      <c r="C402" s="12"/>
      <c r="D402" s="9"/>
      <c r="E402" s="10"/>
      <c r="F402" s="10"/>
      <c r="G402" s="10"/>
    </row>
    <row r="403" spans="3:7">
      <c r="C403" s="8"/>
      <c r="D403" s="9"/>
      <c r="E403" s="10"/>
      <c r="F403" s="10"/>
      <c r="G403" s="10"/>
    </row>
    <row r="404" spans="3:7">
      <c r="C404" s="12"/>
      <c r="D404" s="9"/>
      <c r="E404" s="10"/>
      <c r="F404" s="10"/>
      <c r="G404" s="10"/>
    </row>
    <row r="405" spans="3:7">
      <c r="C405" s="8"/>
      <c r="D405" s="9"/>
      <c r="E405" s="10"/>
      <c r="F405" s="10"/>
      <c r="G405" s="10"/>
    </row>
    <row r="406" spans="3:7">
      <c r="C406" s="12"/>
      <c r="D406" s="9"/>
      <c r="E406" s="10"/>
      <c r="F406" s="10"/>
      <c r="G406" s="10"/>
    </row>
    <row r="407" spans="3:7">
      <c r="C407" s="8"/>
      <c r="D407" s="9"/>
      <c r="E407" s="10"/>
      <c r="F407" s="10"/>
      <c r="G407" s="10"/>
    </row>
    <row r="408" spans="3:7">
      <c r="C408" s="18"/>
      <c r="D408" s="9"/>
      <c r="E408" s="10"/>
      <c r="F408" s="10"/>
      <c r="G408" s="10"/>
    </row>
    <row r="409" spans="3:7">
      <c r="C409" s="19"/>
      <c r="D409" s="9"/>
      <c r="E409" s="10"/>
      <c r="F409" s="10"/>
      <c r="G409" s="10"/>
    </row>
    <row r="410" spans="3:7">
      <c r="C410" s="12"/>
      <c r="D410" s="9"/>
      <c r="E410" s="10"/>
      <c r="F410" s="10"/>
      <c r="G410" s="10"/>
    </row>
    <row r="411" spans="3:7">
      <c r="C411" s="12"/>
      <c r="D411" s="9"/>
      <c r="E411" s="10"/>
      <c r="F411" s="10"/>
      <c r="G411" s="10"/>
    </row>
    <row r="412" spans="3:7">
      <c r="C412" s="34"/>
      <c r="D412" s="20"/>
      <c r="E412" s="10"/>
      <c r="F412" s="10"/>
      <c r="G412" s="10"/>
    </row>
    <row r="413" spans="3:7">
      <c r="C413" s="23"/>
      <c r="D413" s="20"/>
      <c r="E413" s="10"/>
      <c r="F413" s="10"/>
      <c r="G413" s="10"/>
    </row>
    <row r="414" spans="3:7">
      <c r="C414" s="23"/>
      <c r="D414" s="20"/>
      <c r="E414" s="10"/>
      <c r="F414" s="10"/>
      <c r="G414" s="10"/>
    </row>
    <row r="415" spans="3:7">
      <c r="C415" s="12"/>
      <c r="D415" s="20"/>
      <c r="E415" s="10"/>
      <c r="F415" s="10"/>
      <c r="G415" s="10"/>
    </row>
    <row r="416" spans="3:7">
      <c r="C416" s="12"/>
      <c r="D416" s="20"/>
      <c r="E416" s="10"/>
      <c r="F416" s="10"/>
      <c r="G416" s="10"/>
    </row>
    <row r="417" spans="3:7">
      <c r="C417" s="12"/>
      <c r="D417" s="20"/>
      <c r="E417" s="10"/>
      <c r="F417" s="10"/>
      <c r="G417" s="10"/>
    </row>
    <row r="418" spans="3:7">
      <c r="C418" s="12"/>
      <c r="D418" s="20"/>
      <c r="E418" s="10"/>
      <c r="F418" s="10"/>
      <c r="G418" s="10"/>
    </row>
    <row r="419" spans="3:7">
      <c r="C419" s="12"/>
      <c r="D419" s="20"/>
      <c r="E419" s="10"/>
      <c r="F419" s="10"/>
      <c r="G419" s="10"/>
    </row>
    <row r="420" spans="3:7">
      <c r="C420" s="12"/>
      <c r="D420" s="20"/>
      <c r="E420" s="10"/>
      <c r="F420" s="10"/>
      <c r="G420" s="10"/>
    </row>
    <row r="421" spans="3:7">
      <c r="C421" s="8"/>
      <c r="D421" s="20"/>
      <c r="E421" s="10"/>
      <c r="F421" s="10"/>
      <c r="G421" s="10"/>
    </row>
    <row r="422" spans="3:7">
      <c r="C422" s="12"/>
      <c r="D422" s="20"/>
      <c r="E422" s="10"/>
      <c r="F422" s="10"/>
      <c r="G422" s="10"/>
    </row>
    <row r="423" spans="3:7">
      <c r="C423" s="12"/>
      <c r="D423" s="20"/>
      <c r="E423" s="10"/>
      <c r="F423" s="10"/>
      <c r="G423" s="10"/>
    </row>
    <row r="424" spans="3:7">
      <c r="C424" s="8"/>
      <c r="D424" s="20"/>
      <c r="E424" s="10"/>
      <c r="F424" s="10"/>
      <c r="G424" s="10"/>
    </row>
    <row r="425" spans="3:7">
      <c r="C425" s="12"/>
      <c r="D425" s="20"/>
      <c r="E425" s="10"/>
      <c r="F425" s="10"/>
      <c r="G425" s="10"/>
    </row>
    <row r="426" spans="3:7">
      <c r="C426" s="12"/>
      <c r="D426" s="20"/>
      <c r="E426" s="10"/>
      <c r="F426" s="10"/>
      <c r="G426" s="10"/>
    </row>
    <row r="427" spans="3:7">
      <c r="C427" s="8"/>
      <c r="D427" s="20"/>
      <c r="E427" s="10"/>
      <c r="F427" s="10"/>
      <c r="G427" s="10"/>
    </row>
    <row r="428" spans="3:7">
      <c r="C428" s="23"/>
      <c r="D428" s="20"/>
      <c r="E428" s="10"/>
      <c r="F428" s="10"/>
      <c r="G428" s="10"/>
    </row>
    <row r="429" spans="3:7">
      <c r="C429" s="23"/>
      <c r="D429" s="20"/>
      <c r="E429" s="10"/>
      <c r="F429" s="10"/>
      <c r="G429" s="10"/>
    </row>
    <row r="430" spans="3:7">
      <c r="C430" s="7"/>
      <c r="D430" s="9"/>
      <c r="E430" s="10"/>
      <c r="F430" s="10"/>
      <c r="G430" s="10"/>
    </row>
    <row r="431" spans="3:7">
      <c r="C431" s="8"/>
      <c r="D431" s="9"/>
      <c r="E431" s="10"/>
      <c r="F431" s="10"/>
      <c r="G431" s="10"/>
    </row>
    <row r="432" spans="3:7">
      <c r="C432" s="12"/>
      <c r="D432" s="9"/>
      <c r="E432" s="10"/>
      <c r="F432" s="10"/>
      <c r="G432" s="10"/>
    </row>
    <row r="433" spans="3:7">
      <c r="C433" s="8"/>
      <c r="D433" s="9"/>
      <c r="E433" s="10"/>
      <c r="F433" s="10"/>
      <c r="G433" s="10"/>
    </row>
    <row r="434" spans="3:7">
      <c r="C434" s="12"/>
      <c r="D434" s="9"/>
      <c r="E434" s="10"/>
      <c r="F434" s="10"/>
      <c r="G434" s="10"/>
    </row>
    <row r="435" spans="3:7">
      <c r="C435" s="12"/>
      <c r="D435" s="9"/>
      <c r="E435" s="10"/>
      <c r="F435" s="10"/>
      <c r="G435" s="10"/>
    </row>
    <row r="436" spans="3:7">
      <c r="C436" s="8"/>
      <c r="D436" s="9"/>
      <c r="E436" s="10"/>
      <c r="F436" s="10"/>
      <c r="G436" s="10"/>
    </row>
    <row r="437" spans="3:7">
      <c r="C437" s="12"/>
      <c r="D437" s="9"/>
      <c r="E437" s="10"/>
      <c r="F437" s="10"/>
      <c r="G437" s="10"/>
    </row>
    <row r="438" spans="3:7">
      <c r="C438" s="8"/>
      <c r="D438" s="9"/>
      <c r="E438" s="10"/>
      <c r="F438" s="10"/>
      <c r="G438" s="10"/>
    </row>
    <row r="439" spans="3:7">
      <c r="C439" s="12"/>
      <c r="D439" s="9"/>
      <c r="E439" s="10"/>
      <c r="F439" s="10"/>
      <c r="G439" s="10"/>
    </row>
    <row r="440" spans="3:7">
      <c r="C440" s="8"/>
      <c r="D440" s="9"/>
      <c r="E440" s="10"/>
      <c r="F440" s="10"/>
      <c r="G440" s="10"/>
    </row>
    <row r="441" spans="3:7">
      <c r="C441" s="18"/>
      <c r="D441" s="9"/>
      <c r="E441" s="10"/>
      <c r="F441" s="10"/>
      <c r="G441" s="10"/>
    </row>
    <row r="442" spans="3:7">
      <c r="C442" s="19"/>
      <c r="D442" s="9"/>
      <c r="E442" s="10"/>
      <c r="F442" s="10"/>
      <c r="G442" s="10"/>
    </row>
    <row r="443" spans="3:7">
      <c r="C443" s="12"/>
      <c r="D443" s="9"/>
      <c r="E443" s="10"/>
      <c r="F443" s="10"/>
      <c r="G443" s="10"/>
    </row>
    <row r="444" spans="3:7">
      <c r="C444" s="12"/>
      <c r="D444" s="9"/>
      <c r="E444" s="10"/>
      <c r="F444" s="10"/>
      <c r="G444" s="10"/>
    </row>
    <row r="445" spans="3:7">
      <c r="C445" s="34"/>
      <c r="D445" s="20"/>
      <c r="E445" s="10"/>
      <c r="F445" s="10"/>
      <c r="G445" s="10"/>
    </row>
    <row r="446" spans="3:7">
      <c r="C446" s="23"/>
      <c r="D446" s="20"/>
      <c r="E446" s="10"/>
      <c r="F446" s="10"/>
      <c r="G446" s="10"/>
    </row>
    <row r="447" spans="3:7">
      <c r="C447" s="23"/>
      <c r="D447" s="20"/>
      <c r="E447" s="10"/>
      <c r="F447" s="10"/>
      <c r="G447" s="10"/>
    </row>
    <row r="448" spans="3:7">
      <c r="C448" s="12"/>
      <c r="D448" s="20"/>
      <c r="E448" s="10"/>
      <c r="F448" s="10"/>
      <c r="G448" s="10"/>
    </row>
    <row r="449" spans="3:7">
      <c r="C449" s="12"/>
      <c r="D449" s="20"/>
      <c r="E449" s="10"/>
      <c r="F449" s="10"/>
      <c r="G449" s="10"/>
    </row>
    <row r="450" spans="3:7">
      <c r="C450" s="12"/>
      <c r="D450" s="20"/>
      <c r="E450" s="10"/>
      <c r="F450" s="10"/>
      <c r="G450" s="10"/>
    </row>
    <row r="451" spans="3:7">
      <c r="C451" s="12"/>
      <c r="D451" s="20"/>
      <c r="E451" s="10"/>
      <c r="F451" s="10"/>
      <c r="G451" s="10"/>
    </row>
    <row r="452" spans="3:7">
      <c r="C452" s="12"/>
      <c r="D452" s="20"/>
      <c r="E452" s="10"/>
      <c r="F452" s="10"/>
      <c r="G452" s="10"/>
    </row>
    <row r="453" spans="3:7">
      <c r="C453" s="12"/>
      <c r="D453" s="20"/>
      <c r="E453" s="10"/>
      <c r="F453" s="10"/>
      <c r="G453" s="10"/>
    </row>
    <row r="454" spans="3:7">
      <c r="C454" s="8"/>
      <c r="D454" s="20"/>
      <c r="E454" s="10"/>
      <c r="F454" s="10"/>
      <c r="G454" s="10"/>
    </row>
    <row r="455" spans="3:7">
      <c r="C455" s="12"/>
      <c r="D455" s="20"/>
      <c r="E455" s="10"/>
      <c r="F455" s="10"/>
      <c r="G455" s="10"/>
    </row>
    <row r="456" spans="3:7">
      <c r="C456" s="12"/>
      <c r="D456" s="20"/>
      <c r="E456" s="10"/>
      <c r="F456" s="10"/>
      <c r="G456" s="10"/>
    </row>
    <row r="457" spans="3:7">
      <c r="C457" s="8"/>
      <c r="D457" s="20"/>
      <c r="E457" s="10"/>
      <c r="F457" s="10"/>
      <c r="G457" s="10"/>
    </row>
    <row r="458" spans="3:7">
      <c r="C458" s="12"/>
      <c r="D458" s="20"/>
      <c r="E458" s="10"/>
      <c r="F458" s="10"/>
      <c r="G458" s="10"/>
    </row>
    <row r="459" spans="3:7">
      <c r="C459" s="12"/>
      <c r="D459" s="20"/>
      <c r="E459" s="10"/>
      <c r="F459" s="10"/>
      <c r="G459" s="10"/>
    </row>
    <row r="460" spans="3:7">
      <c r="C460" s="8"/>
      <c r="D460" s="20"/>
      <c r="E460" s="10"/>
      <c r="F460" s="10"/>
      <c r="G460" s="10"/>
    </row>
    <row r="461" spans="3:7">
      <c r="C461" s="23"/>
      <c r="D461" s="20"/>
      <c r="E461" s="10"/>
      <c r="F461" s="10"/>
      <c r="G461" s="10"/>
    </row>
    <row r="462" spans="3:7">
      <c r="C462" s="23"/>
      <c r="D462" s="20"/>
      <c r="E462" s="10"/>
      <c r="F462" s="10"/>
      <c r="G462" s="10"/>
    </row>
    <row r="463" spans="3:7">
      <c r="C463" s="2"/>
      <c r="D463" s="2"/>
      <c r="E463" s="2"/>
      <c r="F463" s="2"/>
      <c r="G463" s="2"/>
    </row>
    <row r="464" spans="3:7">
      <c r="C464" s="2"/>
      <c r="D464" s="2"/>
      <c r="E464" s="2"/>
      <c r="F464" s="2"/>
      <c r="G464" s="2"/>
    </row>
    <row r="465" spans="1:7">
      <c r="C465" s="2"/>
      <c r="D465" s="2"/>
      <c r="E465" s="2"/>
      <c r="F465" s="2"/>
      <c r="G465" s="2"/>
    </row>
    <row r="466" spans="1:7" s="33" customFormat="1">
      <c r="A466" s="2"/>
      <c r="B466" s="2"/>
      <c r="C466" s="2"/>
      <c r="D466" s="2"/>
      <c r="E466" s="2"/>
      <c r="F466" s="2"/>
      <c r="G466" s="2"/>
    </row>
    <row r="467" spans="1:7" s="33" customFormat="1">
      <c r="A467" s="2"/>
      <c r="B467" s="2"/>
      <c r="C467" s="2"/>
      <c r="D467" s="2"/>
      <c r="E467" s="2"/>
      <c r="F467" s="2"/>
      <c r="G467" s="2"/>
    </row>
    <row r="468" spans="1:7" s="33" customFormat="1">
      <c r="A468" s="2"/>
      <c r="B468" s="2"/>
      <c r="C468" s="2"/>
      <c r="D468" s="2"/>
      <c r="E468" s="2"/>
      <c r="F468" s="2"/>
      <c r="G468" s="2"/>
    </row>
    <row r="469" spans="1:7" s="33" customFormat="1">
      <c r="A469" s="2"/>
      <c r="B469" s="2"/>
      <c r="C469" s="2"/>
      <c r="D469" s="2"/>
      <c r="E469" s="2"/>
      <c r="F469" s="2"/>
      <c r="G469" s="2"/>
    </row>
    <row r="470" spans="1:7" s="33" customFormat="1">
      <c r="A470" s="2"/>
      <c r="B470" s="2"/>
      <c r="C470" s="2"/>
      <c r="D470" s="2"/>
      <c r="E470" s="2"/>
      <c r="F470" s="2"/>
      <c r="G470" s="2"/>
    </row>
    <row r="471" spans="1:7" s="33" customFormat="1">
      <c r="A471" s="2"/>
      <c r="B471" s="2"/>
      <c r="C471" s="2"/>
      <c r="D471" s="2"/>
      <c r="E471" s="2"/>
      <c r="F471" s="2"/>
      <c r="G471" s="2"/>
    </row>
    <row r="472" spans="1:7" s="33" customFormat="1">
      <c r="A472" s="2"/>
      <c r="B472" s="2"/>
      <c r="C472" s="2"/>
      <c r="D472" s="2"/>
      <c r="E472" s="2"/>
      <c r="F472" s="2"/>
      <c r="G472" s="2"/>
    </row>
    <row r="473" spans="1:7">
      <c r="C473" s="2"/>
      <c r="D473" s="2"/>
      <c r="E473" s="2"/>
      <c r="F473" s="2"/>
      <c r="G473" s="2"/>
    </row>
    <row r="474" spans="1:7">
      <c r="A474" s="33"/>
      <c r="B474" s="33"/>
      <c r="C474" s="252"/>
      <c r="D474" s="252"/>
      <c r="E474" s="252"/>
      <c r="F474" s="252"/>
      <c r="G474" s="252"/>
    </row>
    <row r="475" spans="1:7">
      <c r="A475" s="33"/>
      <c r="B475" s="33"/>
      <c r="C475" s="33"/>
      <c r="D475" s="252"/>
      <c r="E475" s="252"/>
      <c r="F475" s="252"/>
      <c r="G475" s="252"/>
    </row>
    <row r="476" spans="1:7">
      <c r="A476" s="33"/>
      <c r="B476" s="33"/>
      <c r="C476" s="33"/>
      <c r="D476" s="20"/>
      <c r="E476" s="20"/>
      <c r="F476" s="20"/>
      <c r="G476" s="20"/>
    </row>
    <row r="477" spans="1:7">
      <c r="A477" s="33"/>
      <c r="B477" s="33"/>
      <c r="C477" s="252"/>
      <c r="D477" s="252"/>
      <c r="E477" s="252"/>
      <c r="F477" s="252"/>
      <c r="G477" s="252"/>
    </row>
    <row r="478" spans="1:7">
      <c r="A478" s="33"/>
      <c r="B478" s="33"/>
      <c r="C478" s="33"/>
      <c r="D478" s="252"/>
      <c r="E478" s="252"/>
      <c r="F478" s="252"/>
      <c r="G478" s="252"/>
    </row>
    <row r="479" spans="1:7">
      <c r="A479" s="33"/>
      <c r="B479" s="33"/>
      <c r="C479" s="33"/>
      <c r="D479" s="20"/>
      <c r="E479" s="20"/>
      <c r="F479" s="20"/>
      <c r="G479" s="20"/>
    </row>
    <row r="480" spans="1:7">
      <c r="A480" s="33"/>
      <c r="B480" s="33"/>
      <c r="C480" s="33"/>
      <c r="D480" s="33"/>
      <c r="E480" s="33"/>
      <c r="F480" s="33"/>
      <c r="G480" s="33"/>
    </row>
    <row r="481" spans="3:7">
      <c r="C481" s="2"/>
      <c r="D481" s="2"/>
      <c r="E481" s="2"/>
      <c r="F481" s="2"/>
      <c r="G481" s="2"/>
    </row>
    <row r="482" spans="3:7">
      <c r="C482" s="2"/>
      <c r="D482" s="2"/>
      <c r="E482" s="2"/>
      <c r="F482" s="2"/>
      <c r="G482" s="2"/>
    </row>
    <row r="483" spans="3:7">
      <c r="C483" s="2"/>
      <c r="D483" s="2"/>
      <c r="E483" s="2"/>
      <c r="F483" s="2"/>
      <c r="G483" s="2"/>
    </row>
    <row r="484" spans="3:7">
      <c r="C484" s="2"/>
      <c r="D484" s="2"/>
      <c r="E484" s="2"/>
      <c r="F484" s="2"/>
      <c r="G484" s="2"/>
    </row>
    <row r="485" spans="3:7">
      <c r="C485" s="2"/>
      <c r="D485" s="2"/>
      <c r="E485" s="2"/>
      <c r="F485" s="2"/>
      <c r="G485" s="2"/>
    </row>
    <row r="486" spans="3:7">
      <c r="C486" s="2"/>
      <c r="D486" s="2"/>
      <c r="E486" s="2"/>
      <c r="F486" s="2"/>
      <c r="G486" s="2"/>
    </row>
    <row r="487" spans="3:7">
      <c r="C487" s="2"/>
      <c r="D487" s="2"/>
      <c r="E487" s="2"/>
      <c r="F487" s="2"/>
      <c r="G487" s="2"/>
    </row>
    <row r="488" spans="3:7">
      <c r="C488" s="2"/>
      <c r="D488" s="2"/>
      <c r="E488" s="2"/>
      <c r="F488" s="2"/>
      <c r="G488" s="2"/>
    </row>
    <row r="489" spans="3:7">
      <c r="C489" s="7"/>
      <c r="D489" s="2"/>
      <c r="E489" s="2"/>
      <c r="F489" s="2"/>
      <c r="G489" s="2"/>
    </row>
    <row r="490" spans="3:7">
      <c r="C490" s="8"/>
      <c r="D490" s="11"/>
      <c r="E490" s="10"/>
      <c r="F490" s="10"/>
      <c r="G490" s="5"/>
    </row>
    <row r="491" spans="3:7">
      <c r="C491" s="8"/>
      <c r="D491" s="11"/>
      <c r="E491" s="10"/>
      <c r="F491" s="10"/>
      <c r="G491" s="10"/>
    </row>
    <row r="492" spans="3:7">
      <c r="C492" s="12"/>
      <c r="D492" s="11"/>
      <c r="E492" s="10"/>
      <c r="F492" s="10"/>
      <c r="G492" s="10"/>
    </row>
    <row r="493" spans="3:7">
      <c r="C493" s="12"/>
      <c r="D493" s="11"/>
      <c r="E493" s="10"/>
      <c r="F493" s="10"/>
      <c r="G493" s="10"/>
    </row>
    <row r="494" spans="3:7">
      <c r="C494" s="8"/>
      <c r="D494" s="11"/>
      <c r="E494" s="10"/>
      <c r="F494" s="10"/>
      <c r="G494" s="10"/>
    </row>
    <row r="495" spans="3:7">
      <c r="C495" s="12"/>
      <c r="D495" s="11"/>
      <c r="E495" s="10"/>
      <c r="F495" s="10"/>
      <c r="G495" s="10"/>
    </row>
    <row r="496" spans="3:7">
      <c r="C496" s="12"/>
      <c r="D496" s="11"/>
      <c r="E496" s="10"/>
      <c r="F496" s="10"/>
      <c r="G496" s="10"/>
    </row>
    <row r="497" spans="3:7">
      <c r="C497" s="12"/>
      <c r="D497" s="11"/>
      <c r="E497" s="10"/>
      <c r="F497" s="10"/>
      <c r="G497" s="10"/>
    </row>
    <row r="498" spans="3:7">
      <c r="C498" s="8"/>
      <c r="D498" s="11"/>
      <c r="E498" s="10"/>
      <c r="F498" s="10"/>
      <c r="G498" s="10"/>
    </row>
    <row r="499" spans="3:7">
      <c r="C499" s="12"/>
      <c r="D499" s="11"/>
      <c r="E499" s="10"/>
      <c r="F499" s="10"/>
      <c r="G499" s="10"/>
    </row>
    <row r="500" spans="3:7">
      <c r="C500" s="12"/>
      <c r="D500" s="11"/>
      <c r="E500" s="10"/>
      <c r="F500" s="10"/>
      <c r="G500" s="10"/>
    </row>
    <row r="501" spans="3:7">
      <c r="C501" s="8"/>
      <c r="D501" s="11"/>
      <c r="E501" s="10"/>
      <c r="F501" s="10"/>
      <c r="G501" s="10"/>
    </row>
    <row r="502" spans="3:7">
      <c r="C502" s="12"/>
      <c r="D502" s="11"/>
      <c r="E502" s="10"/>
      <c r="F502" s="10"/>
      <c r="G502" s="10"/>
    </row>
    <row r="503" spans="3:7">
      <c r="C503" s="12"/>
      <c r="D503" s="11"/>
      <c r="E503" s="10"/>
      <c r="F503" s="10"/>
      <c r="G503" s="10"/>
    </row>
    <row r="504" spans="3:7">
      <c r="C504" s="37"/>
      <c r="D504" s="10"/>
      <c r="E504" s="10"/>
      <c r="F504" s="10"/>
      <c r="G504" s="10"/>
    </row>
    <row r="505" spans="3:7">
      <c r="C505" s="38"/>
      <c r="D505" s="10"/>
      <c r="E505" s="10"/>
      <c r="F505" s="10"/>
      <c r="G505" s="10"/>
    </row>
    <row r="506" spans="3:7">
      <c r="C506" s="13"/>
      <c r="D506" s="14"/>
      <c r="E506" s="14"/>
      <c r="F506" s="14"/>
      <c r="G506" s="14"/>
    </row>
    <row r="507" spans="3:7">
      <c r="C507" s="15"/>
      <c r="D507" s="16"/>
      <c r="E507" s="10"/>
      <c r="F507" s="10"/>
      <c r="G507" s="10"/>
    </row>
    <row r="508" spans="3:7">
      <c r="C508" s="15"/>
      <c r="D508" s="16"/>
      <c r="E508" s="10"/>
      <c r="F508" s="10"/>
      <c r="G508" s="10"/>
    </row>
    <row r="509" spans="3:7">
      <c r="C509" s="15"/>
      <c r="D509" s="16"/>
      <c r="E509" s="10"/>
      <c r="F509" s="10"/>
      <c r="G509" s="10"/>
    </row>
    <row r="510" spans="3:7">
      <c r="C510" s="15"/>
      <c r="D510" s="16"/>
      <c r="E510" s="10"/>
      <c r="F510" s="10"/>
      <c r="G510" s="10"/>
    </row>
    <row r="511" spans="3:7">
      <c r="C511" s="15"/>
      <c r="D511" s="16"/>
      <c r="E511" s="10"/>
      <c r="F511" s="10"/>
      <c r="G511" s="10"/>
    </row>
    <row r="512" spans="3:7">
      <c r="C512" s="15"/>
      <c r="D512" s="16"/>
      <c r="E512" s="10"/>
      <c r="F512" s="10"/>
      <c r="G512" s="10"/>
    </row>
    <row r="513" spans="3:7">
      <c r="C513" s="17"/>
      <c r="D513" s="11"/>
      <c r="E513" s="16"/>
      <c r="F513" s="5"/>
      <c r="G513" s="5"/>
    </row>
    <row r="514" spans="3:7">
      <c r="C514" s="18"/>
      <c r="D514" s="11"/>
      <c r="E514" s="16"/>
      <c r="F514" s="5"/>
      <c r="G514" s="5"/>
    </row>
    <row r="515" spans="3:7">
      <c r="C515" s="18"/>
      <c r="D515" s="11"/>
      <c r="E515" s="16"/>
      <c r="F515" s="5"/>
      <c r="G515" s="5"/>
    </row>
    <row r="516" spans="3:7">
      <c r="C516" s="18"/>
      <c r="D516" s="11"/>
      <c r="E516" s="16"/>
      <c r="F516" s="5"/>
      <c r="G516" s="5"/>
    </row>
    <row r="517" spans="3:7">
      <c r="C517" s="17"/>
      <c r="D517" s="11"/>
      <c r="E517" s="16"/>
      <c r="F517" s="5"/>
      <c r="G517" s="5"/>
    </row>
    <row r="518" spans="3:7">
      <c r="C518" s="18"/>
      <c r="D518" s="11"/>
      <c r="E518" s="16"/>
      <c r="F518" s="5"/>
      <c r="G518" s="5"/>
    </row>
    <row r="519" spans="3:7">
      <c r="C519" s="18"/>
      <c r="D519" s="11"/>
      <c r="E519" s="16"/>
      <c r="F519" s="5"/>
      <c r="G519" s="5"/>
    </row>
    <row r="520" spans="3:7">
      <c r="C520" s="18"/>
      <c r="D520" s="11"/>
      <c r="E520" s="16"/>
      <c r="F520" s="5"/>
      <c r="G520" s="5"/>
    </row>
    <row r="521" spans="3:7">
      <c r="C521" s="18"/>
      <c r="D521" s="11"/>
      <c r="E521" s="16"/>
      <c r="F521" s="5"/>
      <c r="G521" s="5"/>
    </row>
    <row r="522" spans="3:7">
      <c r="C522" s="18"/>
      <c r="D522" s="11"/>
      <c r="E522" s="16"/>
      <c r="F522" s="5"/>
      <c r="G522" s="5"/>
    </row>
    <row r="523" spans="3:7">
      <c r="C523" s="18"/>
      <c r="D523" s="11"/>
      <c r="E523" s="16"/>
      <c r="F523" s="5"/>
      <c r="G523" s="5"/>
    </row>
    <row r="524" spans="3:7">
      <c r="C524" s="18"/>
      <c r="D524" s="11"/>
      <c r="E524" s="16"/>
      <c r="F524" s="5"/>
      <c r="G524" s="5"/>
    </row>
    <row r="525" spans="3:7">
      <c r="C525" s="18"/>
      <c r="D525" s="11"/>
      <c r="E525" s="16"/>
      <c r="F525" s="5"/>
      <c r="G525" s="5"/>
    </row>
    <row r="526" spans="3:7">
      <c r="C526" s="18"/>
      <c r="D526" s="11"/>
      <c r="E526" s="16"/>
      <c r="F526" s="5"/>
      <c r="G526" s="5"/>
    </row>
    <row r="527" spans="3:7">
      <c r="C527" s="2"/>
      <c r="D527" s="2"/>
      <c r="E527" s="2"/>
      <c r="F527" s="2"/>
      <c r="G527" s="2"/>
    </row>
    <row r="528" spans="3:7">
      <c r="C528" s="2"/>
      <c r="D528" s="2"/>
      <c r="E528" s="2"/>
      <c r="F528" s="2"/>
      <c r="G528" s="2"/>
    </row>
    <row r="529" spans="3:7">
      <c r="C529" s="2"/>
      <c r="D529" s="2"/>
      <c r="E529" s="2"/>
      <c r="F529" s="2"/>
      <c r="G529" s="2"/>
    </row>
    <row r="530" spans="3:7">
      <c r="C530" s="2"/>
      <c r="D530" s="2"/>
      <c r="E530" s="2"/>
      <c r="F530" s="2"/>
      <c r="G530" s="2"/>
    </row>
    <row r="531" spans="3:7">
      <c r="C531" s="2"/>
      <c r="D531" s="2"/>
      <c r="E531" s="2"/>
      <c r="F531" s="2"/>
      <c r="G531" s="2"/>
    </row>
    <row r="532" spans="3:7">
      <c r="C532" s="2"/>
      <c r="D532" s="2"/>
      <c r="E532" s="2"/>
      <c r="F532" s="2"/>
      <c r="G532" s="2"/>
    </row>
    <row r="533" spans="3:7">
      <c r="C533" s="2"/>
      <c r="D533" s="2"/>
      <c r="E533" s="2"/>
      <c r="F533" s="2"/>
      <c r="G533" s="2"/>
    </row>
    <row r="534" spans="3:7">
      <c r="C534" s="2"/>
      <c r="D534" s="2"/>
      <c r="E534" s="2"/>
      <c r="F534" s="2"/>
      <c r="G534" s="2"/>
    </row>
    <row r="535" spans="3:7">
      <c r="C535" s="2"/>
      <c r="D535" s="2"/>
      <c r="E535" s="2"/>
      <c r="F535" s="2"/>
      <c r="G535" s="2"/>
    </row>
    <row r="536" spans="3:7">
      <c r="C536" s="2"/>
      <c r="D536" s="2"/>
      <c r="E536" s="2"/>
      <c r="F536" s="2"/>
      <c r="G536" s="2"/>
    </row>
    <row r="537" spans="3:7">
      <c r="C537" s="2"/>
      <c r="D537" s="2"/>
      <c r="E537" s="2"/>
      <c r="F537" s="2"/>
      <c r="G537" s="2"/>
    </row>
    <row r="538" spans="3:7">
      <c r="C538" s="2"/>
      <c r="D538" s="2"/>
      <c r="E538" s="2"/>
      <c r="F538" s="2"/>
      <c r="G538" s="2"/>
    </row>
    <row r="539" spans="3:7">
      <c r="C539" s="2"/>
      <c r="D539" s="2"/>
      <c r="E539" s="2"/>
      <c r="F539" s="2"/>
      <c r="G539" s="2"/>
    </row>
    <row r="540" spans="3:7">
      <c r="C540" s="2"/>
      <c r="D540" s="2"/>
      <c r="E540" s="2"/>
      <c r="F540" s="2"/>
      <c r="G540" s="2"/>
    </row>
    <row r="541" spans="3:7">
      <c r="C541" s="2"/>
      <c r="D541" s="2"/>
      <c r="E541" s="2"/>
      <c r="F541" s="2"/>
      <c r="G541" s="2"/>
    </row>
    <row r="542" spans="3:7">
      <c r="C542" s="2"/>
      <c r="D542" s="2"/>
      <c r="E542" s="2"/>
      <c r="F542" s="2"/>
      <c r="G542" s="2"/>
    </row>
    <row r="543" spans="3:7">
      <c r="C543" s="2"/>
      <c r="D543" s="2"/>
      <c r="E543" s="2"/>
      <c r="F543" s="2"/>
      <c r="G543" s="2"/>
    </row>
    <row r="544" spans="3:7">
      <c r="C544" s="2"/>
      <c r="D544" s="2"/>
      <c r="E544" s="2"/>
      <c r="F544" s="2"/>
      <c r="G544" s="2"/>
    </row>
    <row r="545" spans="3:7">
      <c r="C545" s="2"/>
      <c r="D545" s="2"/>
      <c r="E545" s="2"/>
      <c r="F545" s="2"/>
      <c r="G545" s="2"/>
    </row>
    <row r="546" spans="3:7">
      <c r="C546" s="2"/>
      <c r="D546" s="2"/>
      <c r="E546" s="2"/>
      <c r="F546" s="2"/>
      <c r="G546" s="2"/>
    </row>
    <row r="547" spans="3:7">
      <c r="C547" s="2"/>
      <c r="D547" s="2"/>
      <c r="E547" s="2"/>
      <c r="F547" s="2"/>
      <c r="G547" s="2"/>
    </row>
    <row r="548" spans="3:7">
      <c r="C548" s="2"/>
      <c r="D548" s="2"/>
      <c r="E548" s="2"/>
      <c r="F548" s="2"/>
      <c r="G548" s="2"/>
    </row>
    <row r="549" spans="3:7">
      <c r="C549" s="2"/>
      <c r="D549" s="2"/>
      <c r="E549" s="2"/>
      <c r="F549" s="2"/>
      <c r="G549" s="2"/>
    </row>
    <row r="550" spans="3:7">
      <c r="C550" s="2"/>
      <c r="D550" s="2"/>
      <c r="E550" s="2"/>
      <c r="F550" s="2"/>
      <c r="G550" s="2"/>
    </row>
    <row r="551" spans="3:7">
      <c r="C551" s="2"/>
      <c r="D551" s="2"/>
      <c r="E551" s="2"/>
      <c r="F551" s="2"/>
      <c r="G551" s="2"/>
    </row>
    <row r="552" spans="3:7">
      <c r="C552" s="2"/>
      <c r="D552" s="2"/>
      <c r="E552" s="2"/>
      <c r="F552" s="2"/>
      <c r="G552" s="2"/>
    </row>
    <row r="553" spans="3:7">
      <c r="C553" s="2"/>
      <c r="D553" s="2"/>
      <c r="E553" s="2"/>
      <c r="F553" s="2"/>
      <c r="G553" s="2"/>
    </row>
    <row r="554" spans="3:7">
      <c r="C554" s="2"/>
      <c r="D554" s="2"/>
      <c r="E554" s="2"/>
      <c r="F554" s="2"/>
      <c r="G554" s="2"/>
    </row>
    <row r="555" spans="3:7">
      <c r="C555" s="2"/>
      <c r="D555" s="2"/>
      <c r="E555" s="2"/>
      <c r="F555" s="2"/>
      <c r="G555" s="2"/>
    </row>
    <row r="556" spans="3:7">
      <c r="C556" s="2"/>
      <c r="D556" s="2"/>
      <c r="E556" s="2"/>
      <c r="F556" s="2"/>
      <c r="G556" s="2"/>
    </row>
    <row r="557" spans="3:7">
      <c r="C557" s="2"/>
      <c r="D557" s="2"/>
      <c r="E557" s="2"/>
      <c r="F557" s="2"/>
      <c r="G557" s="2"/>
    </row>
    <row r="558" spans="3:7">
      <c r="C558" s="2"/>
      <c r="D558" s="2"/>
      <c r="E558" s="2"/>
      <c r="F558" s="2"/>
      <c r="G558" s="2"/>
    </row>
    <row r="559" spans="3:7">
      <c r="C559" s="2"/>
      <c r="D559" s="2"/>
      <c r="E559" s="2"/>
      <c r="F559" s="2"/>
      <c r="G559" s="2"/>
    </row>
    <row r="560" spans="3:7">
      <c r="C560" s="2"/>
      <c r="D560" s="2"/>
      <c r="E560" s="2"/>
      <c r="F560" s="2"/>
      <c r="G560" s="2"/>
    </row>
    <row r="561" spans="3:7">
      <c r="C561" s="2"/>
      <c r="D561" s="2"/>
      <c r="E561" s="2"/>
      <c r="F561" s="2"/>
      <c r="G561" s="2"/>
    </row>
    <row r="562" spans="3:7">
      <c r="C562" s="2"/>
      <c r="D562" s="2"/>
      <c r="E562" s="2"/>
      <c r="F562" s="2"/>
      <c r="G562" s="2"/>
    </row>
    <row r="563" spans="3:7">
      <c r="C563" s="2"/>
      <c r="D563" s="2"/>
      <c r="E563" s="2"/>
      <c r="F563" s="2"/>
      <c r="G563" s="2"/>
    </row>
    <row r="564" spans="3:7">
      <c r="C564" s="2"/>
      <c r="D564" s="2"/>
      <c r="E564" s="2"/>
      <c r="F564" s="2"/>
      <c r="G564" s="2"/>
    </row>
    <row r="565" spans="3:7">
      <c r="C565" s="2"/>
      <c r="D565" s="2"/>
      <c r="E565" s="2"/>
      <c r="F565" s="2"/>
      <c r="G565" s="2"/>
    </row>
    <row r="566" spans="3:7">
      <c r="C566" s="2"/>
      <c r="D566" s="2"/>
      <c r="E566" s="2"/>
      <c r="F566" s="2"/>
      <c r="G566" s="2"/>
    </row>
    <row r="567" spans="3:7">
      <c r="C567" s="2"/>
      <c r="D567" s="2"/>
      <c r="E567" s="2"/>
      <c r="F567" s="2"/>
      <c r="G567" s="2"/>
    </row>
    <row r="568" spans="3:7">
      <c r="C568" s="2"/>
      <c r="D568" s="2"/>
      <c r="E568" s="2"/>
      <c r="F568" s="2"/>
      <c r="G568" s="2"/>
    </row>
    <row r="569" spans="3:7">
      <c r="C569" s="2"/>
      <c r="D569" s="2"/>
      <c r="E569" s="2"/>
      <c r="F569" s="2"/>
      <c r="G569" s="2"/>
    </row>
    <row r="570" spans="3:7">
      <c r="C570" s="2"/>
      <c r="D570" s="2"/>
      <c r="E570" s="2"/>
      <c r="F570" s="2"/>
      <c r="G570" s="2"/>
    </row>
    <row r="571" spans="3:7">
      <c r="C571" s="2"/>
      <c r="D571" s="2"/>
      <c r="E571" s="2"/>
      <c r="F571" s="2"/>
      <c r="G571" s="2"/>
    </row>
    <row r="572" spans="3:7">
      <c r="C572" s="2"/>
      <c r="D572" s="2"/>
      <c r="E572" s="2"/>
      <c r="F572" s="2"/>
      <c r="G572" s="2"/>
    </row>
    <row r="573" spans="3:7">
      <c r="C573" s="2"/>
      <c r="D573" s="2"/>
      <c r="E573" s="2"/>
      <c r="F573" s="2"/>
      <c r="G573" s="2"/>
    </row>
    <row r="574" spans="3:7">
      <c r="C574" s="2"/>
      <c r="D574" s="2"/>
      <c r="E574" s="2"/>
      <c r="F574" s="2"/>
      <c r="G574" s="2"/>
    </row>
    <row r="575" spans="3:7">
      <c r="C575" s="2"/>
      <c r="D575" s="2"/>
      <c r="E575" s="2"/>
      <c r="F575" s="2"/>
      <c r="G575" s="2"/>
    </row>
    <row r="576" spans="3:7">
      <c r="C576" s="2"/>
      <c r="D576" s="2"/>
      <c r="E576" s="2"/>
      <c r="F576" s="2"/>
      <c r="G576" s="2"/>
    </row>
    <row r="577" spans="3:7">
      <c r="C577" s="2"/>
      <c r="D577" s="2"/>
      <c r="E577" s="2"/>
      <c r="F577" s="2"/>
      <c r="G577" s="2"/>
    </row>
    <row r="578" spans="3:7">
      <c r="C578" s="2"/>
      <c r="D578" s="2"/>
      <c r="E578" s="2"/>
      <c r="F578" s="2"/>
      <c r="G578" s="2"/>
    </row>
    <row r="579" spans="3:7">
      <c r="C579" s="2"/>
      <c r="D579" s="2"/>
      <c r="E579" s="2"/>
      <c r="F579" s="2"/>
      <c r="G579" s="2"/>
    </row>
    <row r="580" spans="3:7">
      <c r="C580" s="2"/>
      <c r="D580" s="2"/>
      <c r="E580" s="2"/>
      <c r="F580" s="2"/>
      <c r="G580" s="2"/>
    </row>
    <row r="581" spans="3:7">
      <c r="C581" s="2"/>
      <c r="D581" s="2"/>
      <c r="E581" s="2"/>
      <c r="F581" s="2"/>
      <c r="G581" s="2"/>
    </row>
    <row r="582" spans="3:7">
      <c r="C582" s="2"/>
      <c r="D582" s="2"/>
      <c r="E582" s="2"/>
      <c r="F582" s="2"/>
      <c r="G582" s="2"/>
    </row>
    <row r="583" spans="3:7">
      <c r="C583" s="2"/>
      <c r="D583" s="2"/>
      <c r="E583" s="2"/>
      <c r="F583" s="2"/>
      <c r="G583" s="2"/>
    </row>
    <row r="584" spans="3:7">
      <c r="C584" s="2"/>
      <c r="D584" s="2"/>
      <c r="E584" s="2"/>
      <c r="F584" s="2"/>
      <c r="G584" s="2"/>
    </row>
    <row r="585" spans="3:7">
      <c r="C585" s="2"/>
      <c r="D585" s="2"/>
      <c r="E585" s="2"/>
      <c r="F585" s="2"/>
      <c r="G585" s="2"/>
    </row>
    <row r="586" spans="3:7">
      <c r="C586" s="2"/>
      <c r="D586" s="2"/>
      <c r="E586" s="2"/>
      <c r="F586" s="2"/>
      <c r="G586" s="2"/>
    </row>
    <row r="587" spans="3:7">
      <c r="C587" s="2"/>
      <c r="D587" s="2"/>
      <c r="E587" s="2"/>
      <c r="F587" s="2"/>
      <c r="G587" s="2"/>
    </row>
    <row r="588" spans="3:7">
      <c r="C588" s="2"/>
      <c r="D588" s="2"/>
      <c r="E588" s="2"/>
      <c r="F588" s="2"/>
      <c r="G588" s="2"/>
    </row>
    <row r="589" spans="3:7">
      <c r="C589" s="2"/>
      <c r="D589" s="2"/>
      <c r="E589" s="2"/>
      <c r="F589" s="2"/>
      <c r="G589" s="2"/>
    </row>
    <row r="590" spans="3:7">
      <c r="C590" s="2"/>
      <c r="D590" s="2"/>
      <c r="E590" s="2"/>
      <c r="F590" s="2"/>
      <c r="G590" s="2"/>
    </row>
    <row r="591" spans="3:7">
      <c r="C591" s="2"/>
      <c r="D591" s="2"/>
      <c r="E591" s="2"/>
      <c r="F591" s="2"/>
      <c r="G591" s="2"/>
    </row>
    <row r="592" spans="3:7">
      <c r="C592" s="2"/>
      <c r="D592" s="2"/>
      <c r="E592" s="2"/>
      <c r="F592" s="2"/>
      <c r="G592" s="2"/>
    </row>
    <row r="593" spans="3:7">
      <c r="C593" s="2"/>
      <c r="D593" s="2"/>
      <c r="E593" s="2"/>
      <c r="F593" s="2"/>
      <c r="G593" s="2"/>
    </row>
    <row r="594" spans="3:7">
      <c r="C594" s="2"/>
      <c r="D594" s="2"/>
      <c r="E594" s="2"/>
      <c r="F594" s="2"/>
      <c r="G594" s="2"/>
    </row>
    <row r="595" spans="3:7">
      <c r="C595" s="2"/>
      <c r="D595" s="2"/>
      <c r="E595" s="2"/>
      <c r="F595" s="2"/>
      <c r="G595" s="2"/>
    </row>
    <row r="596" spans="3:7">
      <c r="C596" s="2"/>
      <c r="D596" s="2"/>
      <c r="E596" s="2"/>
      <c r="F596" s="2"/>
      <c r="G596" s="2"/>
    </row>
    <row r="597" spans="3:7">
      <c r="C597" s="2"/>
      <c r="D597" s="2"/>
      <c r="E597" s="2"/>
      <c r="F597" s="2"/>
      <c r="G597" s="2"/>
    </row>
    <row r="598" spans="3:7">
      <c r="C598" s="2"/>
      <c r="D598" s="2"/>
      <c r="E598" s="2"/>
      <c r="F598" s="2"/>
      <c r="G598" s="2"/>
    </row>
    <row r="599" spans="3:7">
      <c r="C599" s="2"/>
      <c r="D599" s="2"/>
      <c r="E599" s="2"/>
      <c r="F599" s="2"/>
      <c r="G599" s="2"/>
    </row>
    <row r="600" spans="3:7">
      <c r="C600" s="2"/>
      <c r="D600" s="2"/>
      <c r="E600" s="2"/>
      <c r="F600" s="2"/>
      <c r="G600" s="2"/>
    </row>
    <row r="601" spans="3:7">
      <c r="C601" s="2"/>
      <c r="D601" s="2"/>
      <c r="E601" s="2"/>
      <c r="F601" s="2"/>
      <c r="G601" s="2"/>
    </row>
    <row r="602" spans="3:7">
      <c r="C602" s="2"/>
      <c r="D602" s="2"/>
      <c r="E602" s="2"/>
      <c r="F602" s="2"/>
      <c r="G602" s="2"/>
    </row>
    <row r="603" spans="3:7">
      <c r="C603" s="2"/>
      <c r="D603" s="2"/>
      <c r="E603" s="2"/>
      <c r="F603" s="2"/>
      <c r="G603" s="2"/>
    </row>
    <row r="604" spans="3:7">
      <c r="C604" s="2"/>
      <c r="D604" s="2"/>
      <c r="E604" s="2"/>
      <c r="F604" s="2"/>
      <c r="G604" s="2"/>
    </row>
  </sheetData>
  <mergeCells count="23">
    <mergeCell ref="A13:A14"/>
    <mergeCell ref="A2:G2"/>
    <mergeCell ref="A4:G4"/>
    <mergeCell ref="A6:G6"/>
    <mergeCell ref="A11:G11"/>
    <mergeCell ref="A5:G5"/>
    <mergeCell ref="A8:K8"/>
    <mergeCell ref="A9:N9"/>
    <mergeCell ref="A10:I10"/>
    <mergeCell ref="B13:B14"/>
    <mergeCell ref="C13:C14"/>
    <mergeCell ref="D13:D14"/>
    <mergeCell ref="E13:E14"/>
    <mergeCell ref="F13:F14"/>
    <mergeCell ref="C474:G474"/>
    <mergeCell ref="G13:G14"/>
    <mergeCell ref="D475:G475"/>
    <mergeCell ref="C477:G477"/>
    <mergeCell ref="D478:G478"/>
    <mergeCell ref="C76:G76"/>
    <mergeCell ref="C77:G77"/>
    <mergeCell ref="C79:G79"/>
    <mergeCell ref="C80:G80"/>
  </mergeCells>
  <pageMargins left="1.1023622047244095" right="0.31496062992125984" top="0.43307086614173229" bottom="0.35433070866141736" header="0.31496062992125984" footer="0.15748031496062992"/>
  <pageSetup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2:N576"/>
  <sheetViews>
    <sheetView topLeftCell="A10" workbookViewId="0">
      <selection activeCell="C59" sqref="C59"/>
    </sheetView>
  </sheetViews>
  <sheetFormatPr defaultRowHeight="12.75"/>
  <cols>
    <col min="1" max="1" width="7" style="2" bestFit="1" customWidth="1"/>
    <col min="2" max="2" width="6.42578125" style="2" customWidth="1"/>
    <col min="3" max="3" width="41" style="1" bestFit="1" customWidth="1"/>
    <col min="4" max="4" width="9.7109375" style="1" bestFit="1" customWidth="1"/>
    <col min="5" max="5" width="9.85546875" style="1" bestFit="1" customWidth="1"/>
    <col min="6" max="6" width="9" style="1" customWidth="1"/>
    <col min="7" max="7" width="8.7109375" style="1" customWidth="1"/>
    <col min="8" max="8" width="9.140625" style="2"/>
    <col min="9" max="9" width="13.140625" style="2" customWidth="1"/>
    <col min="10" max="16384" width="9.140625" style="2"/>
  </cols>
  <sheetData>
    <row r="2" spans="1:14" s="4" customFormat="1">
      <c r="A2" s="246" t="s">
        <v>93</v>
      </c>
      <c r="B2" s="246"/>
      <c r="C2" s="246"/>
      <c r="D2" s="246"/>
      <c r="E2" s="246"/>
      <c r="F2" s="246"/>
      <c r="G2" s="246"/>
    </row>
    <row r="3" spans="1:14" s="4" customFormat="1"/>
    <row r="4" spans="1:14" s="4" customFormat="1">
      <c r="A4" s="256" t="s">
        <v>112</v>
      </c>
      <c r="B4" s="256"/>
      <c r="C4" s="256"/>
      <c r="D4" s="256"/>
      <c r="E4" s="256"/>
      <c r="F4" s="256"/>
      <c r="G4" s="256"/>
    </row>
    <row r="5" spans="1:14" s="4" customFormat="1">
      <c r="A5" s="254" t="s">
        <v>997</v>
      </c>
      <c r="B5" s="254"/>
      <c r="C5" s="254"/>
      <c r="D5" s="254"/>
      <c r="E5" s="254"/>
      <c r="F5" s="254"/>
      <c r="G5" s="254"/>
    </row>
    <row r="6" spans="1:14" s="4" customFormat="1">
      <c r="A6" s="247" t="s">
        <v>3</v>
      </c>
      <c r="B6" s="247"/>
      <c r="C6" s="247"/>
      <c r="D6" s="247"/>
      <c r="E6" s="247"/>
      <c r="F6" s="247"/>
      <c r="G6" s="247"/>
    </row>
    <row r="7" spans="1:14" s="4" customFormat="1"/>
    <row r="8" spans="1:14" s="4" customFormat="1" ht="15" customHeight="1">
      <c r="A8" s="243" t="s">
        <v>774</v>
      </c>
      <c r="B8" s="243"/>
      <c r="C8" s="243"/>
      <c r="D8" s="243"/>
      <c r="E8" s="243"/>
      <c r="F8" s="243"/>
      <c r="G8" s="243"/>
      <c r="H8" s="243"/>
      <c r="I8" s="243"/>
      <c r="J8" s="243"/>
      <c r="K8" s="243"/>
      <c r="L8" s="121"/>
      <c r="M8" s="121"/>
      <c r="N8" s="121"/>
    </row>
    <row r="9" spans="1:14" s="4" customFormat="1" ht="15" customHeight="1">
      <c r="A9" s="243" t="s">
        <v>637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</row>
    <row r="10" spans="1:14" s="4" customFormat="1" ht="15" customHeight="1">
      <c r="A10" s="243" t="s">
        <v>638</v>
      </c>
      <c r="B10" s="243"/>
      <c r="C10" s="243"/>
      <c r="D10" s="243"/>
      <c r="E10" s="243"/>
      <c r="F10" s="243"/>
      <c r="G10" s="243"/>
      <c r="H10" s="243"/>
      <c r="I10" s="243"/>
      <c r="J10" s="86"/>
      <c r="K10" s="86"/>
      <c r="L10" s="122"/>
      <c r="M10" s="122"/>
      <c r="N10" s="86"/>
    </row>
    <row r="11" spans="1:14" s="4" customFormat="1" ht="15" customHeight="1">
      <c r="A11" s="245" t="s">
        <v>10</v>
      </c>
      <c r="B11" s="245"/>
      <c r="C11" s="245"/>
      <c r="D11" s="245"/>
      <c r="E11" s="245"/>
      <c r="F11" s="245"/>
      <c r="G11" s="245"/>
    </row>
    <row r="12" spans="1:14" s="4" customFormat="1"/>
    <row r="13" spans="1:14" s="4" customFormat="1" ht="12.75" customHeight="1">
      <c r="A13" s="248" t="s">
        <v>11</v>
      </c>
      <c r="B13" s="248" t="s">
        <v>34</v>
      </c>
      <c r="C13" s="248" t="s">
        <v>12</v>
      </c>
      <c r="D13" s="248" t="s">
        <v>13</v>
      </c>
      <c r="E13" s="248" t="s">
        <v>14</v>
      </c>
      <c r="F13" s="244" t="s">
        <v>19</v>
      </c>
      <c r="G13" s="244" t="s">
        <v>20</v>
      </c>
    </row>
    <row r="14" spans="1:14" s="4" customFormat="1" ht="35.25" customHeight="1">
      <c r="A14" s="248"/>
      <c r="B14" s="248"/>
      <c r="C14" s="248"/>
      <c r="D14" s="248"/>
      <c r="E14" s="248"/>
      <c r="F14" s="251"/>
      <c r="G14" s="244"/>
    </row>
    <row r="15" spans="1:14" s="4" customFormat="1">
      <c r="A15" s="87" t="s">
        <v>57</v>
      </c>
      <c r="B15" s="135"/>
      <c r="C15" s="41" t="s">
        <v>998</v>
      </c>
      <c r="D15" s="82"/>
      <c r="E15" s="82"/>
      <c r="F15" s="82"/>
      <c r="G15" s="26"/>
    </row>
    <row r="16" spans="1:14" s="4" customFormat="1">
      <c r="A16" s="85" t="s">
        <v>94</v>
      </c>
      <c r="B16" s="135"/>
      <c r="C16" s="78" t="s">
        <v>999</v>
      </c>
      <c r="D16" s="81" t="s">
        <v>1</v>
      </c>
      <c r="E16" s="146">
        <v>128</v>
      </c>
      <c r="F16" s="92"/>
      <c r="G16" s="26"/>
    </row>
    <row r="17" spans="1:7" s="4" customFormat="1" ht="25.5">
      <c r="A17" s="85" t="s">
        <v>95</v>
      </c>
      <c r="B17" s="135"/>
      <c r="C17" s="78" t="s">
        <v>1000</v>
      </c>
      <c r="D17" s="81" t="s">
        <v>1</v>
      </c>
      <c r="E17" s="146">
        <v>6</v>
      </c>
      <c r="F17" s="92"/>
      <c r="G17" s="26"/>
    </row>
    <row r="18" spans="1:7" s="4" customFormat="1">
      <c r="A18" s="85" t="s">
        <v>96</v>
      </c>
      <c r="B18" s="58"/>
      <c r="C18" s="78" t="s">
        <v>1001</v>
      </c>
      <c r="D18" s="81" t="s">
        <v>792</v>
      </c>
      <c r="E18" s="146">
        <v>2</v>
      </c>
      <c r="F18" s="92"/>
      <c r="G18" s="26"/>
    </row>
    <row r="19" spans="1:7" s="4" customFormat="1">
      <c r="A19" s="85" t="s">
        <v>97</v>
      </c>
      <c r="B19" s="58"/>
      <c r="C19" s="78" t="s">
        <v>1002</v>
      </c>
      <c r="D19" s="81" t="s">
        <v>792</v>
      </c>
      <c r="E19" s="146">
        <v>6</v>
      </c>
      <c r="F19" s="92"/>
      <c r="G19" s="26"/>
    </row>
    <row r="20" spans="1:7" s="4" customFormat="1">
      <c r="A20" s="85" t="s">
        <v>98</v>
      </c>
      <c r="B20" s="58"/>
      <c r="C20" s="78" t="s">
        <v>1003</v>
      </c>
      <c r="D20" s="81" t="s">
        <v>792</v>
      </c>
      <c r="E20" s="146">
        <v>2</v>
      </c>
      <c r="F20" s="92"/>
      <c r="G20" s="26"/>
    </row>
    <row r="21" spans="1:7" s="4" customFormat="1" ht="25.5">
      <c r="A21" s="85" t="s">
        <v>99</v>
      </c>
      <c r="B21" s="58"/>
      <c r="C21" s="78" t="s">
        <v>1004</v>
      </c>
      <c r="D21" s="81" t="s">
        <v>792</v>
      </c>
      <c r="E21" s="146">
        <v>2</v>
      </c>
      <c r="F21" s="92"/>
      <c r="G21" s="26"/>
    </row>
    <row r="22" spans="1:7" s="4" customFormat="1" ht="25.5">
      <c r="A22" s="85" t="s">
        <v>100</v>
      </c>
      <c r="B22" s="58"/>
      <c r="C22" s="78" t="s">
        <v>1005</v>
      </c>
      <c r="D22" s="81" t="s">
        <v>792</v>
      </c>
      <c r="E22" s="146">
        <v>1</v>
      </c>
      <c r="F22" s="92"/>
      <c r="G22" s="26"/>
    </row>
    <row r="23" spans="1:7" s="4" customFormat="1">
      <c r="A23" s="85" t="s">
        <v>101</v>
      </c>
      <c r="B23" s="58"/>
      <c r="C23" s="78" t="s">
        <v>1006</v>
      </c>
      <c r="D23" s="81" t="s">
        <v>1</v>
      </c>
      <c r="E23" s="146">
        <v>7</v>
      </c>
      <c r="F23" s="92"/>
      <c r="G23" s="26"/>
    </row>
    <row r="24" spans="1:7" s="4" customFormat="1">
      <c r="A24" s="85" t="s">
        <v>102</v>
      </c>
      <c r="B24" s="58"/>
      <c r="C24" s="78" t="s">
        <v>1007</v>
      </c>
      <c r="D24" s="81" t="s">
        <v>792</v>
      </c>
      <c r="E24" s="146">
        <v>3</v>
      </c>
      <c r="F24" s="92"/>
      <c r="G24" s="26"/>
    </row>
    <row r="25" spans="1:7" s="4" customFormat="1">
      <c r="A25" s="85" t="s">
        <v>103</v>
      </c>
      <c r="B25" s="58"/>
      <c r="C25" s="78" t="s">
        <v>1008</v>
      </c>
      <c r="D25" s="81" t="s">
        <v>792</v>
      </c>
      <c r="E25" s="146">
        <v>2</v>
      </c>
      <c r="F25" s="92"/>
      <c r="G25" s="26"/>
    </row>
    <row r="26" spans="1:7" s="4" customFormat="1">
      <c r="A26" s="85" t="s">
        <v>104</v>
      </c>
      <c r="B26" s="58"/>
      <c r="C26" s="78" t="s">
        <v>1009</v>
      </c>
      <c r="D26" s="81" t="s">
        <v>792</v>
      </c>
      <c r="E26" s="146">
        <v>1</v>
      </c>
      <c r="F26" s="92"/>
      <c r="G26" s="26"/>
    </row>
    <row r="27" spans="1:7" s="4" customFormat="1">
      <c r="A27" s="85" t="s">
        <v>105</v>
      </c>
      <c r="B27" s="58"/>
      <c r="C27" s="78" t="s">
        <v>1010</v>
      </c>
      <c r="D27" s="81" t="s">
        <v>893</v>
      </c>
      <c r="E27" s="146">
        <v>1</v>
      </c>
      <c r="F27" s="92"/>
      <c r="G27" s="26"/>
    </row>
    <row r="28" spans="1:7" s="4" customFormat="1">
      <c r="A28" s="85" t="s">
        <v>106</v>
      </c>
      <c r="B28" s="58"/>
      <c r="C28" s="78" t="s">
        <v>1011</v>
      </c>
      <c r="D28" s="81" t="s">
        <v>792</v>
      </c>
      <c r="E28" s="146">
        <v>1</v>
      </c>
      <c r="F28" s="92"/>
      <c r="G28" s="26"/>
    </row>
    <row r="29" spans="1:7" s="4" customFormat="1">
      <c r="A29" s="85" t="s">
        <v>107</v>
      </c>
      <c r="B29" s="58"/>
      <c r="C29" s="78" t="s">
        <v>1012</v>
      </c>
      <c r="D29" s="81" t="s">
        <v>792</v>
      </c>
      <c r="E29" s="146">
        <v>1</v>
      </c>
      <c r="F29" s="92"/>
      <c r="G29" s="26"/>
    </row>
    <row r="30" spans="1:7" s="4" customFormat="1">
      <c r="A30" s="85" t="s">
        <v>108</v>
      </c>
      <c r="B30" s="58"/>
      <c r="C30" s="78" t="s">
        <v>1013</v>
      </c>
      <c r="D30" s="81" t="s">
        <v>792</v>
      </c>
      <c r="E30" s="146">
        <v>1</v>
      </c>
      <c r="F30" s="92"/>
      <c r="G30" s="26"/>
    </row>
    <row r="31" spans="1:7" s="4" customFormat="1" ht="25.5">
      <c r="A31" s="85" t="s">
        <v>109</v>
      </c>
      <c r="B31" s="58"/>
      <c r="C31" s="78" t="s">
        <v>1014</v>
      </c>
      <c r="D31" s="81" t="s">
        <v>893</v>
      </c>
      <c r="E31" s="146">
        <v>1</v>
      </c>
      <c r="F31" s="92"/>
      <c r="G31" s="26"/>
    </row>
    <row r="32" spans="1:7" s="4" customFormat="1">
      <c r="A32" s="85" t="s">
        <v>110</v>
      </c>
      <c r="B32" s="58"/>
      <c r="C32" s="78" t="s">
        <v>1015</v>
      </c>
      <c r="D32" s="81" t="s">
        <v>792</v>
      </c>
      <c r="E32" s="146">
        <v>10</v>
      </c>
      <c r="F32" s="92"/>
      <c r="G32" s="26"/>
    </row>
    <row r="33" spans="1:7" s="4" customFormat="1">
      <c r="A33" s="85" t="s">
        <v>142</v>
      </c>
      <c r="B33" s="58"/>
      <c r="C33" s="78" t="s">
        <v>1016</v>
      </c>
      <c r="D33" s="81" t="s">
        <v>792</v>
      </c>
      <c r="E33" s="146">
        <v>4</v>
      </c>
      <c r="F33" s="92"/>
      <c r="G33" s="26"/>
    </row>
    <row r="34" spans="1:7" s="4" customFormat="1">
      <c r="A34" s="85" t="s">
        <v>143</v>
      </c>
      <c r="B34" s="58"/>
      <c r="C34" s="78" t="s">
        <v>1017</v>
      </c>
      <c r="D34" s="81" t="s">
        <v>792</v>
      </c>
      <c r="E34" s="146">
        <v>4</v>
      </c>
      <c r="F34" s="92"/>
      <c r="G34" s="26"/>
    </row>
    <row r="35" spans="1:7" s="4" customFormat="1">
      <c r="A35" s="85" t="s">
        <v>144</v>
      </c>
      <c r="B35" s="58"/>
      <c r="C35" s="78" t="s">
        <v>1018</v>
      </c>
      <c r="D35" s="81" t="s">
        <v>792</v>
      </c>
      <c r="E35" s="146">
        <v>1</v>
      </c>
      <c r="F35" s="92"/>
      <c r="G35" s="26"/>
    </row>
    <row r="36" spans="1:7" s="4" customFormat="1">
      <c r="A36" s="85" t="s">
        <v>145</v>
      </c>
      <c r="B36" s="58"/>
      <c r="C36" s="78" t="s">
        <v>1019</v>
      </c>
      <c r="D36" s="81" t="s">
        <v>792</v>
      </c>
      <c r="E36" s="146">
        <v>1</v>
      </c>
      <c r="F36" s="92"/>
      <c r="G36" s="26"/>
    </row>
    <row r="37" spans="1:7" s="4" customFormat="1">
      <c r="A37" s="85" t="s">
        <v>146</v>
      </c>
      <c r="B37" s="58"/>
      <c r="C37" s="78" t="s">
        <v>1020</v>
      </c>
      <c r="D37" s="81" t="s">
        <v>1</v>
      </c>
      <c r="E37" s="146">
        <v>128</v>
      </c>
      <c r="F37" s="92"/>
      <c r="G37" s="26"/>
    </row>
    <row r="38" spans="1:7" s="4" customFormat="1">
      <c r="A38" s="85" t="s">
        <v>147</v>
      </c>
      <c r="B38" s="58"/>
      <c r="C38" s="78" t="s">
        <v>1021</v>
      </c>
      <c r="D38" s="81" t="s">
        <v>1</v>
      </c>
      <c r="E38" s="146">
        <v>128</v>
      </c>
      <c r="F38" s="92"/>
      <c r="G38" s="26"/>
    </row>
    <row r="39" spans="1:7" s="4" customFormat="1">
      <c r="A39" s="85" t="s">
        <v>148</v>
      </c>
      <c r="B39" s="58"/>
      <c r="C39" s="78" t="s">
        <v>1022</v>
      </c>
      <c r="D39" s="81" t="s">
        <v>792</v>
      </c>
      <c r="E39" s="146">
        <v>3</v>
      </c>
      <c r="F39" s="92"/>
      <c r="G39" s="26"/>
    </row>
    <row r="40" spans="1:7" s="4" customFormat="1">
      <c r="A40" s="85" t="s">
        <v>149</v>
      </c>
      <c r="B40" s="58"/>
      <c r="C40" s="78" t="s">
        <v>1023</v>
      </c>
      <c r="D40" s="81" t="s">
        <v>792</v>
      </c>
      <c r="E40" s="146">
        <v>1</v>
      </c>
      <c r="F40" s="92"/>
      <c r="G40" s="26"/>
    </row>
    <row r="41" spans="1:7" s="4" customFormat="1">
      <c r="A41" s="85" t="s">
        <v>150</v>
      </c>
      <c r="B41" s="58"/>
      <c r="C41" s="78" t="s">
        <v>1024</v>
      </c>
      <c r="D41" s="81" t="s">
        <v>27</v>
      </c>
      <c r="E41" s="146">
        <v>195</v>
      </c>
      <c r="F41" s="92"/>
      <c r="G41" s="26"/>
    </row>
    <row r="42" spans="1:7" s="4" customFormat="1">
      <c r="A42" s="85" t="s">
        <v>151</v>
      </c>
      <c r="B42" s="58"/>
      <c r="C42" s="78" t="s">
        <v>1025</v>
      </c>
      <c r="D42" s="81" t="s">
        <v>27</v>
      </c>
      <c r="E42" s="146">
        <v>150</v>
      </c>
      <c r="F42" s="92"/>
      <c r="G42" s="26"/>
    </row>
    <row r="43" spans="1:7" s="4" customFormat="1">
      <c r="A43" s="85" t="s">
        <v>152</v>
      </c>
      <c r="B43" s="58"/>
      <c r="C43" s="78" t="s">
        <v>1026</v>
      </c>
      <c r="D43" s="81" t="s">
        <v>27</v>
      </c>
      <c r="E43" s="146">
        <v>150</v>
      </c>
      <c r="F43" s="92"/>
      <c r="G43" s="26"/>
    </row>
    <row r="44" spans="1:7" s="4" customFormat="1">
      <c r="A44" s="85" t="s">
        <v>153</v>
      </c>
      <c r="B44" s="58"/>
      <c r="C44" s="78" t="s">
        <v>1027</v>
      </c>
      <c r="D44" s="81" t="s">
        <v>27</v>
      </c>
      <c r="E44" s="146">
        <v>150</v>
      </c>
      <c r="F44" s="92"/>
      <c r="G44" s="26"/>
    </row>
    <row r="45" spans="1:7" s="4" customFormat="1">
      <c r="A45" s="85" t="s">
        <v>173</v>
      </c>
      <c r="B45" s="58"/>
      <c r="C45" s="78" t="s">
        <v>1028</v>
      </c>
      <c r="D45" s="81" t="s">
        <v>792</v>
      </c>
      <c r="E45" s="146">
        <v>3</v>
      </c>
      <c r="F45" s="92"/>
      <c r="G45" s="26"/>
    </row>
    <row r="46" spans="1:7" s="4" customFormat="1">
      <c r="A46" s="85"/>
      <c r="B46" s="58"/>
      <c r="C46" s="79" t="s">
        <v>1029</v>
      </c>
      <c r="D46" s="69"/>
      <c r="E46" s="95"/>
      <c r="F46" s="92"/>
      <c r="G46" s="26"/>
    </row>
    <row r="47" spans="1:7">
      <c r="A47" s="4"/>
      <c r="B47" s="4"/>
      <c r="C47" s="4"/>
      <c r="D47" s="4"/>
      <c r="E47" s="4"/>
      <c r="F47" s="4"/>
      <c r="G47" s="4"/>
    </row>
    <row r="48" spans="1:7">
      <c r="A48" s="4"/>
      <c r="B48" s="4"/>
      <c r="C48" s="245" t="s">
        <v>21</v>
      </c>
      <c r="D48" s="245"/>
      <c r="E48" s="245"/>
      <c r="F48" s="245"/>
      <c r="G48" s="245"/>
    </row>
    <row r="49" spans="1:7">
      <c r="A49" s="4"/>
      <c r="B49" s="4"/>
      <c r="C49" s="247" t="s">
        <v>5</v>
      </c>
      <c r="D49" s="247"/>
      <c r="E49" s="247"/>
      <c r="F49" s="247"/>
      <c r="G49" s="247"/>
    </row>
    <row r="50" spans="1:7">
      <c r="A50" s="4"/>
      <c r="B50" s="4"/>
      <c r="C50" s="27"/>
      <c r="D50" s="27"/>
      <c r="E50" s="27"/>
      <c r="F50" s="27"/>
      <c r="G50" s="27"/>
    </row>
    <row r="51" spans="1:7">
      <c r="A51" s="4"/>
      <c r="B51" s="4"/>
      <c r="C51" s="245" t="s">
        <v>22</v>
      </c>
      <c r="D51" s="245"/>
      <c r="E51" s="245"/>
      <c r="F51" s="245"/>
      <c r="G51" s="245"/>
    </row>
    <row r="52" spans="1:7">
      <c r="A52" s="4"/>
      <c r="B52" s="4"/>
      <c r="C52" s="247" t="s">
        <v>5</v>
      </c>
      <c r="D52" s="247"/>
      <c r="E52" s="247"/>
      <c r="F52" s="247"/>
      <c r="G52" s="247"/>
    </row>
    <row r="53" spans="1:7">
      <c r="A53" s="4"/>
      <c r="B53" s="4"/>
      <c r="C53" s="27"/>
      <c r="D53" s="27"/>
      <c r="E53" s="27"/>
      <c r="F53" s="27"/>
      <c r="G53" s="27"/>
    </row>
    <row r="54" spans="1:7">
      <c r="A54" s="4"/>
      <c r="B54" s="4"/>
      <c r="C54" s="50" t="s">
        <v>35</v>
      </c>
      <c r="D54" s="49"/>
      <c r="E54" s="49"/>
      <c r="F54" s="49"/>
      <c r="G54" s="4"/>
    </row>
    <row r="56" spans="1:7">
      <c r="C56" s="1" t="s">
        <v>16</v>
      </c>
    </row>
    <row r="57" spans="1:7" ht="38.25">
      <c r="B57" s="138" t="s">
        <v>765</v>
      </c>
      <c r="C57" s="98" t="s">
        <v>17</v>
      </c>
      <c r="D57" s="98"/>
      <c r="E57" s="98"/>
      <c r="F57" s="98"/>
      <c r="G57" s="98"/>
    </row>
    <row r="58" spans="1:7" ht="38.25">
      <c r="B58" s="138" t="s">
        <v>766</v>
      </c>
      <c r="C58" s="98" t="s">
        <v>767</v>
      </c>
      <c r="D58" s="98"/>
      <c r="E58" s="98"/>
      <c r="F58" s="98"/>
      <c r="G58" s="98"/>
    </row>
    <row r="59" spans="1:7" ht="25.5">
      <c r="B59" s="140" t="s">
        <v>768</v>
      </c>
      <c r="C59" s="141" t="s">
        <v>769</v>
      </c>
      <c r="D59" s="113"/>
      <c r="E59" s="114"/>
      <c r="F59" s="113"/>
      <c r="G59" s="114"/>
    </row>
    <row r="60" spans="1:7">
      <c r="C60" s="7"/>
      <c r="D60" s="9"/>
      <c r="E60" s="10"/>
      <c r="F60" s="10"/>
      <c r="G60" s="10"/>
    </row>
    <row r="61" spans="1:7">
      <c r="C61" s="24"/>
      <c r="D61" s="20"/>
      <c r="E61" s="25"/>
      <c r="F61" s="10"/>
      <c r="G61" s="10"/>
    </row>
    <row r="62" spans="1:7">
      <c r="C62" s="22"/>
      <c r="D62" s="20"/>
      <c r="E62" s="25"/>
      <c r="F62" s="10"/>
      <c r="G62" s="10"/>
    </row>
    <row r="63" spans="1:7">
      <c r="C63" s="8"/>
      <c r="D63" s="9"/>
      <c r="E63" s="10"/>
      <c r="F63" s="10"/>
      <c r="G63" s="10"/>
    </row>
    <row r="64" spans="1:7">
      <c r="C64" s="12"/>
      <c r="D64" s="9"/>
      <c r="E64" s="10"/>
      <c r="F64" s="10"/>
      <c r="G64" s="10"/>
    </row>
    <row r="65" spans="3:7">
      <c r="C65" s="2"/>
      <c r="D65" s="2"/>
      <c r="E65" s="10"/>
      <c r="F65" s="10"/>
      <c r="G65" s="10"/>
    </row>
    <row r="66" spans="3:7">
      <c r="C66" s="2"/>
      <c r="D66" s="2"/>
      <c r="E66" s="20"/>
      <c r="F66" s="10"/>
      <c r="G66" s="10"/>
    </row>
    <row r="67" spans="3:7">
      <c r="C67" s="2"/>
      <c r="D67" s="2"/>
      <c r="E67" s="10"/>
      <c r="F67" s="10"/>
      <c r="G67" s="10"/>
    </row>
    <row r="68" spans="3:7">
      <c r="C68" s="2"/>
      <c r="D68" s="2"/>
      <c r="E68" s="25"/>
      <c r="F68" s="10"/>
      <c r="G68" s="10"/>
    </row>
    <row r="69" spans="3:7">
      <c r="C69" s="2"/>
      <c r="D69" s="2"/>
      <c r="E69" s="5"/>
      <c r="F69" s="6"/>
      <c r="G69" s="5"/>
    </row>
    <row r="70" spans="3:7">
      <c r="C70" s="2"/>
      <c r="D70" s="2"/>
      <c r="E70" s="5"/>
      <c r="F70" s="6"/>
      <c r="G70" s="5"/>
    </row>
    <row r="71" spans="3:7">
      <c r="C71" s="2"/>
      <c r="D71" s="2"/>
      <c r="E71" s="25"/>
      <c r="F71" s="10"/>
      <c r="G71" s="10"/>
    </row>
    <row r="72" spans="3:7">
      <c r="C72" s="2"/>
      <c r="D72" s="2"/>
      <c r="E72" s="25"/>
      <c r="F72" s="10"/>
      <c r="G72" s="10"/>
    </row>
    <row r="73" spans="3:7">
      <c r="C73" s="2"/>
      <c r="D73" s="2"/>
      <c r="E73" s="25"/>
      <c r="F73" s="10"/>
      <c r="G73" s="10"/>
    </row>
    <row r="74" spans="3:7">
      <c r="C74" s="8"/>
      <c r="D74" s="9"/>
      <c r="E74" s="10"/>
      <c r="F74" s="10"/>
      <c r="G74" s="10"/>
    </row>
    <row r="75" spans="3:7">
      <c r="C75" s="12"/>
      <c r="D75" s="9"/>
      <c r="E75" s="10"/>
      <c r="F75" s="10"/>
      <c r="G75" s="10"/>
    </row>
    <row r="76" spans="3:7">
      <c r="C76" s="12"/>
      <c r="D76" s="9"/>
      <c r="E76" s="10"/>
      <c r="F76" s="10"/>
      <c r="G76" s="10"/>
    </row>
    <row r="77" spans="3:7">
      <c r="C77" s="8"/>
      <c r="D77" s="9"/>
      <c r="E77" s="10"/>
      <c r="F77" s="10"/>
      <c r="G77" s="10"/>
    </row>
    <row r="78" spans="3:7">
      <c r="C78" s="12"/>
      <c r="D78" s="9"/>
      <c r="E78" s="10"/>
      <c r="F78" s="10"/>
      <c r="G78" s="10"/>
    </row>
    <row r="79" spans="3:7">
      <c r="C79" s="12"/>
      <c r="D79" s="9"/>
      <c r="E79" s="10"/>
      <c r="F79" s="10"/>
      <c r="G79" s="10"/>
    </row>
    <row r="80" spans="3:7">
      <c r="C80" s="32"/>
      <c r="D80" s="20"/>
      <c r="E80" s="25"/>
      <c r="F80" s="10"/>
      <c r="G80" s="10"/>
    </row>
    <row r="81" spans="3:7">
      <c r="C81" s="24"/>
      <c r="D81" s="20"/>
      <c r="E81" s="25"/>
      <c r="F81" s="10"/>
      <c r="G81" s="10"/>
    </row>
    <row r="82" spans="3:7">
      <c r="C82" s="22"/>
      <c r="D82" s="20"/>
      <c r="E82" s="25"/>
      <c r="F82" s="10"/>
      <c r="G82" s="10"/>
    </row>
    <row r="83" spans="3:7">
      <c r="C83" s="8"/>
      <c r="D83" s="9"/>
      <c r="E83" s="10"/>
      <c r="F83" s="10"/>
      <c r="G83" s="10"/>
    </row>
    <row r="84" spans="3:7">
      <c r="C84" s="12"/>
      <c r="D84" s="9"/>
      <c r="E84" s="10"/>
      <c r="F84" s="10"/>
      <c r="G84" s="10"/>
    </row>
    <row r="85" spans="3:7">
      <c r="C85" s="12"/>
      <c r="D85" s="9"/>
      <c r="E85" s="10"/>
      <c r="F85" s="10"/>
      <c r="G85" s="10"/>
    </row>
    <row r="86" spans="3:7">
      <c r="C86" s="33"/>
      <c r="D86" s="20"/>
      <c r="E86" s="10"/>
      <c r="F86" s="10"/>
      <c r="G86" s="10"/>
    </row>
    <row r="87" spans="3:7">
      <c r="C87" s="23"/>
      <c r="D87" s="20"/>
      <c r="E87" s="10"/>
      <c r="F87" s="10"/>
      <c r="G87" s="10"/>
    </row>
    <row r="88" spans="3:7">
      <c r="C88" s="23"/>
      <c r="D88" s="20"/>
      <c r="E88" s="10"/>
      <c r="F88" s="10"/>
      <c r="G88" s="10"/>
    </row>
    <row r="89" spans="3:7">
      <c r="C89" s="8"/>
      <c r="D89" s="9"/>
      <c r="E89" s="10"/>
      <c r="F89" s="10"/>
      <c r="G89" s="10"/>
    </row>
    <row r="90" spans="3:7">
      <c r="C90" s="12"/>
      <c r="D90" s="9"/>
      <c r="E90" s="10"/>
      <c r="F90" s="10"/>
      <c r="G90" s="10"/>
    </row>
    <row r="91" spans="3:7">
      <c r="C91" s="8"/>
      <c r="D91" s="20"/>
      <c r="E91" s="10"/>
      <c r="F91" s="10"/>
      <c r="G91" s="10"/>
    </row>
    <row r="92" spans="3:7">
      <c r="C92" s="12"/>
      <c r="D92" s="20"/>
      <c r="E92" s="10"/>
      <c r="F92" s="10"/>
      <c r="G92" s="10"/>
    </row>
    <row r="93" spans="3:7">
      <c r="C93" s="34"/>
      <c r="D93" s="20"/>
      <c r="E93" s="10"/>
      <c r="F93" s="10"/>
      <c r="G93" s="10"/>
    </row>
    <row r="94" spans="3:7">
      <c r="C94" s="23"/>
      <c r="D94" s="20"/>
      <c r="E94" s="10"/>
      <c r="F94" s="10"/>
      <c r="G94" s="10"/>
    </row>
    <row r="95" spans="3:7">
      <c r="C95" s="23"/>
      <c r="D95" s="20"/>
      <c r="E95" s="10"/>
      <c r="F95" s="10"/>
      <c r="G95" s="10"/>
    </row>
    <row r="96" spans="3:7">
      <c r="C96" s="23"/>
      <c r="D96" s="20"/>
      <c r="E96" s="10"/>
      <c r="F96" s="10"/>
      <c r="G96" s="10"/>
    </row>
    <row r="97" spans="3:7">
      <c r="C97" s="34"/>
      <c r="D97" s="20"/>
      <c r="E97" s="10"/>
      <c r="F97" s="10"/>
      <c r="G97" s="10"/>
    </row>
    <row r="98" spans="3:7">
      <c r="C98" s="23"/>
      <c r="D98" s="20"/>
      <c r="E98" s="10"/>
      <c r="F98" s="10"/>
      <c r="G98" s="10"/>
    </row>
    <row r="99" spans="3:7">
      <c r="C99" s="23"/>
      <c r="D99" s="20"/>
      <c r="E99" s="10"/>
      <c r="F99" s="10"/>
      <c r="G99" s="10"/>
    </row>
    <row r="100" spans="3:7">
      <c r="C100" s="34"/>
      <c r="D100" s="20"/>
      <c r="E100" s="10"/>
      <c r="F100" s="10"/>
      <c r="G100" s="10"/>
    </row>
    <row r="101" spans="3:7">
      <c r="C101" s="23"/>
      <c r="D101" s="20"/>
      <c r="E101" s="10"/>
      <c r="F101" s="10"/>
      <c r="G101" s="10"/>
    </row>
    <row r="102" spans="3:7">
      <c r="C102" s="23"/>
      <c r="D102" s="20"/>
      <c r="E102" s="10"/>
      <c r="F102" s="10"/>
      <c r="G102" s="10"/>
    </row>
    <row r="103" spans="3:7">
      <c r="C103" s="32"/>
      <c r="D103" s="20"/>
      <c r="E103" s="25"/>
      <c r="F103" s="10"/>
      <c r="G103" s="10"/>
    </row>
    <row r="104" spans="3:7">
      <c r="C104" s="21"/>
      <c r="D104" s="20"/>
      <c r="E104" s="25"/>
      <c r="F104" s="10"/>
      <c r="G104" s="10"/>
    </row>
    <row r="105" spans="3:7">
      <c r="C105" s="22"/>
      <c r="D105" s="20"/>
      <c r="E105" s="25"/>
      <c r="F105" s="10"/>
      <c r="G105" s="10"/>
    </row>
    <row r="106" spans="3:7">
      <c r="C106" s="33"/>
      <c r="D106" s="20"/>
      <c r="E106" s="10"/>
      <c r="F106" s="10"/>
      <c r="G106" s="10"/>
    </row>
    <row r="107" spans="3:7">
      <c r="C107" s="23"/>
      <c r="D107" s="20"/>
      <c r="E107" s="10"/>
      <c r="F107" s="10"/>
      <c r="G107" s="10"/>
    </row>
    <row r="108" spans="3:7">
      <c r="C108" s="23"/>
      <c r="D108" s="20"/>
      <c r="E108" s="10"/>
      <c r="F108" s="10"/>
      <c r="G108" s="10"/>
    </row>
    <row r="109" spans="3:7">
      <c r="C109" s="34"/>
      <c r="D109" s="20"/>
      <c r="E109" s="10"/>
      <c r="F109" s="10"/>
      <c r="G109" s="10"/>
    </row>
    <row r="110" spans="3:7">
      <c r="C110" s="23"/>
      <c r="D110" s="20"/>
      <c r="E110" s="10"/>
      <c r="F110" s="10"/>
      <c r="G110" s="10"/>
    </row>
    <row r="111" spans="3:7">
      <c r="C111" s="23"/>
      <c r="D111" s="20"/>
      <c r="E111" s="10"/>
      <c r="F111" s="10"/>
      <c r="G111" s="10"/>
    </row>
    <row r="112" spans="3:7">
      <c r="C112" s="23"/>
      <c r="D112" s="20"/>
      <c r="E112" s="10"/>
      <c r="F112" s="10"/>
      <c r="G112" s="10"/>
    </row>
    <row r="113" spans="3:7">
      <c r="C113" s="34"/>
      <c r="D113" s="20"/>
      <c r="E113" s="10"/>
      <c r="F113" s="10"/>
      <c r="G113" s="10"/>
    </row>
    <row r="114" spans="3:7">
      <c r="C114" s="23"/>
      <c r="D114" s="20"/>
      <c r="E114" s="10"/>
      <c r="F114" s="10"/>
      <c r="G114" s="10"/>
    </row>
    <row r="115" spans="3:7">
      <c r="C115" s="23"/>
      <c r="D115" s="20"/>
      <c r="E115" s="10"/>
      <c r="F115" s="10"/>
      <c r="G115" s="10"/>
    </row>
    <row r="116" spans="3:7">
      <c r="C116" s="34"/>
      <c r="D116" s="20"/>
      <c r="E116" s="10"/>
      <c r="F116" s="10"/>
      <c r="G116" s="10"/>
    </row>
    <row r="117" spans="3:7">
      <c r="C117" s="23"/>
      <c r="D117" s="20"/>
      <c r="E117" s="10"/>
      <c r="F117" s="10"/>
      <c r="G117" s="10"/>
    </row>
    <row r="118" spans="3:7">
      <c r="C118" s="23"/>
      <c r="D118" s="20"/>
      <c r="E118" s="10"/>
      <c r="F118" s="10"/>
      <c r="G118" s="10"/>
    </row>
    <row r="119" spans="3:7">
      <c r="C119" s="7"/>
      <c r="D119" s="20"/>
      <c r="E119" s="10"/>
      <c r="F119" s="10"/>
      <c r="G119" s="10"/>
    </row>
    <row r="120" spans="3:7">
      <c r="C120" s="21"/>
      <c r="D120" s="20"/>
      <c r="E120" s="25"/>
      <c r="F120" s="10"/>
      <c r="G120" s="10"/>
    </row>
    <row r="121" spans="3:7">
      <c r="C121" s="22"/>
      <c r="D121" s="20"/>
      <c r="E121" s="25"/>
      <c r="F121" s="10"/>
      <c r="G121" s="10"/>
    </row>
    <row r="122" spans="3:7">
      <c r="C122" s="33"/>
      <c r="D122" s="20"/>
      <c r="E122" s="10"/>
      <c r="F122" s="10"/>
      <c r="G122" s="10"/>
    </row>
    <row r="123" spans="3:7">
      <c r="C123" s="23"/>
      <c r="D123" s="20"/>
      <c r="E123" s="10"/>
      <c r="F123" s="10"/>
      <c r="G123" s="10"/>
    </row>
    <row r="124" spans="3:7">
      <c r="C124" s="23"/>
      <c r="D124" s="20"/>
      <c r="E124" s="10"/>
      <c r="F124" s="10"/>
      <c r="G124" s="10"/>
    </row>
    <row r="125" spans="3:7">
      <c r="C125" s="8"/>
      <c r="D125" s="9"/>
      <c r="E125" s="10"/>
      <c r="F125" s="10"/>
      <c r="G125" s="10"/>
    </row>
    <row r="126" spans="3:7">
      <c r="C126" s="22"/>
      <c r="D126" s="20"/>
      <c r="E126" s="25"/>
      <c r="F126" s="10"/>
      <c r="G126" s="10"/>
    </row>
    <row r="127" spans="3:7">
      <c r="C127" s="22"/>
      <c r="D127" s="20"/>
      <c r="E127" s="25"/>
      <c r="F127" s="10"/>
      <c r="G127" s="10"/>
    </row>
    <row r="128" spans="3:7">
      <c r="C128" s="22"/>
      <c r="D128" s="20"/>
      <c r="E128" s="25"/>
      <c r="F128" s="10"/>
      <c r="G128" s="10"/>
    </row>
    <row r="129" spans="3:7">
      <c r="C129" s="22"/>
      <c r="D129" s="20"/>
      <c r="E129" s="25"/>
      <c r="F129" s="10"/>
      <c r="G129" s="10"/>
    </row>
    <row r="130" spans="3:7">
      <c r="C130" s="21"/>
      <c r="D130" s="20"/>
      <c r="E130" s="25"/>
      <c r="F130" s="10"/>
      <c r="G130" s="10"/>
    </row>
    <row r="131" spans="3:7">
      <c r="C131" s="22"/>
      <c r="D131" s="20"/>
      <c r="E131" s="25"/>
      <c r="F131" s="10"/>
      <c r="G131" s="10"/>
    </row>
    <row r="132" spans="3:7">
      <c r="C132" s="22"/>
      <c r="D132" s="20"/>
      <c r="E132" s="25"/>
      <c r="F132" s="10"/>
      <c r="G132" s="10"/>
    </row>
    <row r="133" spans="3:7">
      <c r="C133" s="22"/>
      <c r="D133" s="20"/>
      <c r="E133" s="25"/>
      <c r="F133" s="10"/>
      <c r="G133" s="10"/>
    </row>
    <row r="134" spans="3:7">
      <c r="C134" s="22"/>
      <c r="D134" s="20"/>
      <c r="E134" s="25"/>
      <c r="F134" s="10"/>
      <c r="G134" s="10"/>
    </row>
    <row r="135" spans="3:7">
      <c r="C135" s="7"/>
      <c r="D135" s="20"/>
      <c r="E135" s="10"/>
      <c r="F135" s="10"/>
      <c r="G135" s="10"/>
    </row>
    <row r="136" spans="3:7">
      <c r="C136" s="21"/>
      <c r="D136" s="20"/>
      <c r="E136" s="25"/>
      <c r="F136" s="10"/>
      <c r="G136" s="10"/>
    </row>
    <row r="137" spans="3:7">
      <c r="C137" s="22"/>
      <c r="D137" s="20"/>
      <c r="E137" s="25"/>
      <c r="F137" s="10"/>
      <c r="G137" s="10"/>
    </row>
    <row r="138" spans="3:7">
      <c r="C138" s="33"/>
      <c r="D138" s="20"/>
      <c r="E138" s="10"/>
      <c r="F138" s="10"/>
      <c r="G138" s="10"/>
    </row>
    <row r="139" spans="3:7">
      <c r="C139" s="23"/>
      <c r="D139" s="20"/>
      <c r="E139" s="10"/>
      <c r="F139" s="10"/>
      <c r="G139" s="10"/>
    </row>
    <row r="140" spans="3:7">
      <c r="C140" s="23"/>
      <c r="D140" s="20"/>
      <c r="E140" s="10"/>
      <c r="F140" s="10"/>
      <c r="G140" s="10"/>
    </row>
    <row r="141" spans="3:7">
      <c r="C141" s="8"/>
      <c r="D141" s="9"/>
      <c r="E141" s="10"/>
      <c r="F141" s="10"/>
      <c r="G141" s="10"/>
    </row>
    <row r="142" spans="3:7">
      <c r="C142" s="22"/>
      <c r="D142" s="20"/>
      <c r="E142" s="25"/>
      <c r="F142" s="10"/>
      <c r="G142" s="10"/>
    </row>
    <row r="143" spans="3:7">
      <c r="C143" s="22"/>
      <c r="D143" s="20"/>
      <c r="E143" s="25"/>
      <c r="F143" s="10"/>
      <c r="G143" s="10"/>
    </row>
    <row r="144" spans="3:7">
      <c r="C144" s="22"/>
      <c r="D144" s="20"/>
      <c r="E144" s="25"/>
      <c r="F144" s="10"/>
      <c r="G144" s="10"/>
    </row>
    <row r="145" spans="3:7">
      <c r="C145" s="21"/>
      <c r="D145" s="20"/>
      <c r="E145" s="25"/>
      <c r="F145" s="10"/>
      <c r="G145" s="10"/>
    </row>
    <row r="146" spans="3:7">
      <c r="C146" s="22"/>
      <c r="D146" s="20"/>
      <c r="E146" s="25"/>
      <c r="F146" s="10"/>
      <c r="G146" s="10"/>
    </row>
    <row r="147" spans="3:7">
      <c r="C147" s="22"/>
      <c r="D147" s="20"/>
      <c r="E147" s="25"/>
      <c r="F147" s="10"/>
      <c r="G147" s="10"/>
    </row>
    <row r="148" spans="3:7">
      <c r="C148" s="22"/>
      <c r="D148" s="20"/>
      <c r="E148" s="25"/>
      <c r="F148" s="10"/>
      <c r="G148" s="10"/>
    </row>
    <row r="149" spans="3:7">
      <c r="C149" s="35"/>
      <c r="D149" s="20"/>
      <c r="E149" s="10"/>
      <c r="F149" s="10"/>
      <c r="G149" s="10"/>
    </row>
    <row r="150" spans="3:7">
      <c r="C150" s="21"/>
      <c r="D150" s="20"/>
      <c r="E150" s="25"/>
      <c r="F150" s="10"/>
      <c r="G150" s="10"/>
    </row>
    <row r="151" spans="3:7">
      <c r="C151" s="22"/>
      <c r="D151" s="20"/>
      <c r="E151" s="25"/>
      <c r="F151" s="10"/>
      <c r="G151" s="10"/>
    </row>
    <row r="152" spans="3:7">
      <c r="C152" s="33"/>
      <c r="D152" s="20"/>
      <c r="E152" s="10"/>
      <c r="F152" s="10"/>
      <c r="G152" s="10"/>
    </row>
    <row r="153" spans="3:7">
      <c r="C153" s="23"/>
      <c r="D153" s="20"/>
      <c r="E153" s="10"/>
      <c r="F153" s="10"/>
      <c r="G153" s="10"/>
    </row>
    <row r="154" spans="3:7">
      <c r="C154" s="23"/>
      <c r="D154" s="20"/>
      <c r="E154" s="10"/>
      <c r="F154" s="10"/>
      <c r="G154" s="10"/>
    </row>
    <row r="155" spans="3:7">
      <c r="C155" s="34"/>
      <c r="D155" s="20"/>
      <c r="E155" s="10"/>
      <c r="F155" s="10"/>
      <c r="G155" s="10"/>
    </row>
    <row r="156" spans="3:7">
      <c r="C156" s="23"/>
      <c r="D156" s="20"/>
      <c r="E156" s="10"/>
      <c r="F156" s="10"/>
      <c r="G156" s="10"/>
    </row>
    <row r="157" spans="3:7">
      <c r="C157" s="23"/>
      <c r="D157" s="20"/>
      <c r="E157" s="10"/>
      <c r="F157" s="10"/>
      <c r="G157" s="10"/>
    </row>
    <row r="158" spans="3:7">
      <c r="C158" s="34"/>
      <c r="D158" s="20"/>
      <c r="E158" s="10"/>
      <c r="F158" s="10"/>
      <c r="G158" s="10"/>
    </row>
    <row r="159" spans="3:7">
      <c r="C159" s="23"/>
      <c r="D159" s="20"/>
      <c r="E159" s="10"/>
      <c r="F159" s="10"/>
      <c r="G159" s="10"/>
    </row>
    <row r="160" spans="3:7">
      <c r="C160" s="23"/>
      <c r="D160" s="20"/>
      <c r="E160" s="10"/>
      <c r="F160" s="10"/>
      <c r="G160" s="10"/>
    </row>
    <row r="161" spans="3:7">
      <c r="C161" s="7"/>
      <c r="D161" s="20"/>
      <c r="E161" s="10"/>
      <c r="F161" s="10"/>
      <c r="G161" s="10"/>
    </row>
    <row r="162" spans="3:7">
      <c r="C162" s="7"/>
      <c r="D162" s="20"/>
      <c r="E162" s="10"/>
      <c r="F162" s="10"/>
      <c r="G162" s="10"/>
    </row>
    <row r="163" spans="3:7">
      <c r="C163" s="21"/>
      <c r="D163" s="20"/>
      <c r="E163" s="25"/>
      <c r="F163" s="10"/>
      <c r="G163" s="10"/>
    </row>
    <row r="164" spans="3:7">
      <c r="C164" s="22"/>
      <c r="D164" s="20"/>
      <c r="E164" s="25"/>
      <c r="F164" s="10"/>
      <c r="G164" s="10"/>
    </row>
    <row r="165" spans="3:7">
      <c r="C165" s="33"/>
      <c r="D165" s="20"/>
      <c r="E165" s="10"/>
      <c r="F165" s="10"/>
      <c r="G165" s="10"/>
    </row>
    <row r="166" spans="3:7">
      <c r="C166" s="23"/>
      <c r="D166" s="20"/>
      <c r="E166" s="10"/>
      <c r="F166" s="10"/>
      <c r="G166" s="10"/>
    </row>
    <row r="167" spans="3:7">
      <c r="C167" s="23"/>
      <c r="D167" s="20"/>
      <c r="E167" s="10"/>
      <c r="F167" s="10"/>
      <c r="G167" s="10"/>
    </row>
    <row r="168" spans="3:7">
      <c r="C168" s="8"/>
      <c r="D168" s="9"/>
      <c r="E168" s="10"/>
      <c r="F168" s="10"/>
      <c r="G168" s="10"/>
    </row>
    <row r="169" spans="3:7">
      <c r="C169" s="22"/>
      <c r="D169" s="20"/>
      <c r="E169" s="25"/>
      <c r="F169" s="10"/>
      <c r="G169" s="10"/>
    </row>
    <row r="170" spans="3:7">
      <c r="C170" s="22"/>
      <c r="D170" s="20"/>
      <c r="E170" s="25"/>
      <c r="F170" s="10"/>
      <c r="G170" s="10"/>
    </row>
    <row r="171" spans="3:7">
      <c r="C171" s="22"/>
      <c r="D171" s="20"/>
      <c r="E171" s="25"/>
      <c r="F171" s="10"/>
      <c r="G171" s="10"/>
    </row>
    <row r="172" spans="3:7">
      <c r="C172" s="21"/>
      <c r="D172" s="20"/>
      <c r="E172" s="25"/>
      <c r="F172" s="10"/>
      <c r="G172" s="10"/>
    </row>
    <row r="173" spans="3:7">
      <c r="C173" s="22"/>
      <c r="D173" s="20"/>
      <c r="E173" s="25"/>
      <c r="F173" s="10"/>
      <c r="G173" s="10"/>
    </row>
    <row r="174" spans="3:7">
      <c r="C174" s="22"/>
      <c r="D174" s="20"/>
      <c r="E174" s="25"/>
      <c r="F174" s="10"/>
      <c r="G174" s="10"/>
    </row>
    <row r="175" spans="3:7">
      <c r="C175" s="22"/>
      <c r="D175" s="20"/>
      <c r="E175" s="25"/>
      <c r="F175" s="10"/>
      <c r="G175" s="10"/>
    </row>
    <row r="176" spans="3:7">
      <c r="C176" s="35"/>
      <c r="D176" s="20"/>
      <c r="E176" s="10"/>
      <c r="F176" s="10"/>
      <c r="G176" s="10"/>
    </row>
    <row r="177" spans="3:7">
      <c r="C177" s="21"/>
      <c r="D177" s="20"/>
      <c r="E177" s="25"/>
      <c r="F177" s="10"/>
      <c r="G177" s="10"/>
    </row>
    <row r="178" spans="3:7">
      <c r="C178" s="22"/>
      <c r="D178" s="20"/>
      <c r="E178" s="25"/>
      <c r="F178" s="10"/>
      <c r="G178" s="10"/>
    </row>
    <row r="179" spans="3:7">
      <c r="C179" s="33"/>
      <c r="D179" s="20"/>
      <c r="E179" s="10"/>
      <c r="F179" s="10"/>
      <c r="G179" s="10"/>
    </row>
    <row r="180" spans="3:7">
      <c r="C180" s="23"/>
      <c r="D180" s="20"/>
      <c r="E180" s="10"/>
      <c r="F180" s="10"/>
      <c r="G180" s="10"/>
    </row>
    <row r="181" spans="3:7">
      <c r="C181" s="23"/>
      <c r="D181" s="20"/>
      <c r="E181" s="10"/>
      <c r="F181" s="10"/>
      <c r="G181" s="10"/>
    </row>
    <row r="182" spans="3:7">
      <c r="C182" s="34"/>
      <c r="D182" s="20"/>
      <c r="E182" s="10"/>
      <c r="F182" s="10"/>
      <c r="G182" s="10"/>
    </row>
    <row r="183" spans="3:7">
      <c r="C183" s="23"/>
      <c r="D183" s="20"/>
      <c r="E183" s="10"/>
      <c r="F183" s="10"/>
      <c r="G183" s="10"/>
    </row>
    <row r="184" spans="3:7">
      <c r="C184" s="23"/>
      <c r="D184" s="20"/>
      <c r="E184" s="10"/>
      <c r="F184" s="10"/>
      <c r="G184" s="10"/>
    </row>
    <row r="185" spans="3:7">
      <c r="C185" s="34"/>
      <c r="D185" s="20"/>
      <c r="E185" s="10"/>
      <c r="F185" s="10"/>
      <c r="G185" s="10"/>
    </row>
    <row r="186" spans="3:7">
      <c r="C186" s="23"/>
      <c r="D186" s="20"/>
      <c r="E186" s="10"/>
      <c r="F186" s="10"/>
      <c r="G186" s="10"/>
    </row>
    <row r="187" spans="3:7">
      <c r="C187" s="23"/>
      <c r="D187" s="20"/>
      <c r="E187" s="10"/>
      <c r="F187" s="10"/>
      <c r="G187" s="10"/>
    </row>
    <row r="188" spans="3:7">
      <c r="C188" s="7"/>
      <c r="D188" s="20"/>
      <c r="E188" s="10"/>
      <c r="F188" s="10"/>
      <c r="G188" s="10"/>
    </row>
    <row r="189" spans="3:7">
      <c r="C189" s="21"/>
      <c r="D189" s="20"/>
      <c r="E189" s="25"/>
      <c r="F189" s="10"/>
      <c r="G189" s="10"/>
    </row>
    <row r="190" spans="3:7">
      <c r="C190" s="22"/>
      <c r="D190" s="20"/>
      <c r="E190" s="25"/>
      <c r="F190" s="10"/>
      <c r="G190" s="10"/>
    </row>
    <row r="191" spans="3:7">
      <c r="C191" s="33"/>
      <c r="D191" s="20"/>
      <c r="E191" s="10"/>
      <c r="F191" s="10"/>
      <c r="G191" s="10"/>
    </row>
    <row r="192" spans="3:7">
      <c r="C192" s="23"/>
      <c r="D192" s="20"/>
      <c r="E192" s="10"/>
      <c r="F192" s="10"/>
      <c r="G192" s="10"/>
    </row>
    <row r="193" spans="3:7">
      <c r="C193" s="23"/>
      <c r="D193" s="20"/>
      <c r="E193" s="10"/>
      <c r="F193" s="10"/>
      <c r="G193" s="10"/>
    </row>
    <row r="194" spans="3:7">
      <c r="C194" s="21"/>
      <c r="D194" s="20"/>
      <c r="E194" s="25"/>
      <c r="F194" s="10"/>
      <c r="G194" s="10"/>
    </row>
    <row r="195" spans="3:7">
      <c r="C195" s="22"/>
      <c r="D195" s="20"/>
      <c r="E195" s="25"/>
      <c r="F195" s="10"/>
      <c r="G195" s="10"/>
    </row>
    <row r="196" spans="3:7">
      <c r="C196" s="22"/>
      <c r="D196" s="20"/>
      <c r="E196" s="25"/>
      <c r="F196" s="10"/>
      <c r="G196" s="10"/>
    </row>
    <row r="197" spans="3:7">
      <c r="C197" s="22"/>
      <c r="D197" s="20"/>
      <c r="E197" s="25"/>
      <c r="F197" s="10"/>
      <c r="G197" s="10"/>
    </row>
    <row r="198" spans="3:7">
      <c r="C198" s="34"/>
      <c r="D198" s="20"/>
      <c r="E198" s="10"/>
      <c r="F198" s="10"/>
      <c r="G198" s="10"/>
    </row>
    <row r="199" spans="3:7">
      <c r="C199" s="23"/>
      <c r="D199" s="20"/>
      <c r="E199" s="10"/>
      <c r="F199" s="10"/>
      <c r="G199" s="10"/>
    </row>
    <row r="200" spans="3:7">
      <c r="C200" s="23"/>
      <c r="D200" s="20"/>
      <c r="E200" s="10"/>
      <c r="F200" s="10"/>
      <c r="G200" s="10"/>
    </row>
    <row r="201" spans="3:7">
      <c r="C201" s="7"/>
      <c r="D201" s="9"/>
      <c r="E201" s="10"/>
      <c r="F201" s="10"/>
      <c r="G201" s="10"/>
    </row>
    <row r="202" spans="3:7">
      <c r="C202" s="7"/>
      <c r="D202" s="9"/>
      <c r="E202" s="10"/>
      <c r="F202" s="10"/>
      <c r="G202" s="10"/>
    </row>
    <row r="203" spans="3:7">
      <c r="C203" s="8"/>
      <c r="D203" s="9"/>
      <c r="E203" s="10"/>
      <c r="F203" s="10"/>
      <c r="G203" s="10"/>
    </row>
    <row r="204" spans="3:7">
      <c r="C204" s="12"/>
      <c r="D204" s="9"/>
      <c r="E204" s="10"/>
      <c r="F204" s="10"/>
      <c r="G204" s="10"/>
    </row>
    <row r="205" spans="3:7">
      <c r="C205" s="8"/>
      <c r="D205" s="9"/>
      <c r="E205" s="10"/>
      <c r="F205" s="10"/>
      <c r="G205" s="10"/>
    </row>
    <row r="206" spans="3:7">
      <c r="C206" s="23"/>
      <c r="D206" s="20"/>
      <c r="E206" s="10"/>
      <c r="F206" s="20"/>
      <c r="G206" s="10"/>
    </row>
    <row r="207" spans="3:7">
      <c r="C207" s="23"/>
      <c r="D207" s="20"/>
      <c r="E207" s="10"/>
      <c r="F207" s="20"/>
      <c r="G207" s="10"/>
    </row>
    <row r="208" spans="3:7">
      <c r="C208" s="23"/>
      <c r="D208" s="20"/>
      <c r="E208" s="10"/>
      <c r="F208" s="20"/>
      <c r="G208" s="10"/>
    </row>
    <row r="209" spans="3:7">
      <c r="C209" s="18"/>
      <c r="D209" s="9"/>
      <c r="E209" s="14"/>
      <c r="F209" s="5"/>
      <c r="G209" s="5"/>
    </row>
    <row r="210" spans="3:7">
      <c r="C210" s="23"/>
      <c r="D210" s="20"/>
      <c r="E210" s="10"/>
      <c r="F210" s="20"/>
      <c r="G210" s="10"/>
    </row>
    <row r="211" spans="3:7">
      <c r="C211" s="21"/>
      <c r="D211" s="20"/>
      <c r="E211" s="25"/>
      <c r="F211" s="10"/>
      <c r="G211" s="10"/>
    </row>
    <row r="212" spans="3:7">
      <c r="C212" s="22"/>
      <c r="D212" s="20"/>
      <c r="E212" s="25"/>
      <c r="F212" s="10"/>
      <c r="G212" s="10"/>
    </row>
    <row r="213" spans="3:7">
      <c r="C213" s="22"/>
      <c r="D213" s="20"/>
      <c r="E213" s="25"/>
      <c r="F213" s="10"/>
      <c r="G213" s="10"/>
    </row>
    <row r="214" spans="3:7">
      <c r="C214" s="22"/>
      <c r="D214" s="20"/>
      <c r="E214" s="25"/>
      <c r="F214" s="10"/>
      <c r="G214" s="10"/>
    </row>
    <row r="215" spans="3:7">
      <c r="C215" s="21"/>
      <c r="D215" s="20"/>
      <c r="E215" s="25"/>
      <c r="F215" s="10"/>
      <c r="G215" s="10"/>
    </row>
    <row r="216" spans="3:7">
      <c r="C216" s="22"/>
      <c r="D216" s="20"/>
      <c r="E216" s="25"/>
      <c r="F216" s="10"/>
      <c r="G216" s="10"/>
    </row>
    <row r="217" spans="3:7">
      <c r="C217" s="22"/>
      <c r="D217" s="20"/>
      <c r="E217" s="25"/>
      <c r="F217" s="10"/>
      <c r="G217" s="10"/>
    </row>
    <row r="218" spans="3:7">
      <c r="C218" s="36"/>
      <c r="D218" s="20"/>
      <c r="E218" s="25"/>
      <c r="F218" s="10"/>
      <c r="G218" s="10"/>
    </row>
    <row r="219" spans="3:7">
      <c r="C219" s="22"/>
      <c r="D219" s="20"/>
      <c r="E219" s="25"/>
      <c r="F219" s="10"/>
      <c r="G219" s="10"/>
    </row>
    <row r="220" spans="3:7">
      <c r="C220" s="36"/>
      <c r="D220" s="20"/>
      <c r="E220" s="25"/>
      <c r="F220" s="10"/>
      <c r="G220" s="10"/>
    </row>
    <row r="221" spans="3:7">
      <c r="C221" s="22"/>
      <c r="D221" s="20"/>
      <c r="E221" s="25"/>
      <c r="F221" s="10"/>
      <c r="G221" s="10"/>
    </row>
    <row r="222" spans="3:7">
      <c r="C222" s="22"/>
      <c r="D222" s="20"/>
      <c r="E222" s="25"/>
      <c r="F222" s="10"/>
      <c r="G222" s="10"/>
    </row>
    <row r="223" spans="3:7">
      <c r="C223" s="21"/>
      <c r="D223" s="20"/>
      <c r="E223" s="25"/>
      <c r="F223" s="10"/>
      <c r="G223" s="10"/>
    </row>
    <row r="224" spans="3:7">
      <c r="C224" s="23"/>
      <c r="D224" s="20"/>
      <c r="E224" s="10"/>
      <c r="F224" s="10"/>
      <c r="G224" s="10"/>
    </row>
    <row r="225" spans="3:7">
      <c r="C225" s="23"/>
      <c r="D225" s="20"/>
      <c r="E225" s="10"/>
      <c r="F225" s="10"/>
      <c r="G225" s="10"/>
    </row>
    <row r="226" spans="3:7">
      <c r="C226" s="34"/>
      <c r="D226" s="20"/>
      <c r="E226" s="10"/>
      <c r="F226" s="10"/>
      <c r="G226" s="10"/>
    </row>
    <row r="227" spans="3:7">
      <c r="C227" s="22"/>
      <c r="D227" s="20"/>
      <c r="E227" s="25"/>
      <c r="F227" s="10"/>
      <c r="G227" s="10"/>
    </row>
    <row r="228" spans="3:7">
      <c r="C228" s="22"/>
      <c r="D228" s="20"/>
      <c r="E228" s="25"/>
      <c r="F228" s="10"/>
      <c r="G228" s="10"/>
    </row>
    <row r="229" spans="3:7">
      <c r="C229" s="21"/>
      <c r="D229" s="20"/>
      <c r="E229" s="25"/>
      <c r="F229" s="10"/>
      <c r="G229" s="10"/>
    </row>
    <row r="230" spans="3:7">
      <c r="C230" s="22"/>
      <c r="D230" s="20"/>
      <c r="E230" s="25"/>
      <c r="F230" s="10"/>
      <c r="G230" s="10"/>
    </row>
    <row r="231" spans="3:7">
      <c r="C231" s="22"/>
      <c r="D231" s="20"/>
      <c r="E231" s="25"/>
      <c r="F231" s="10"/>
      <c r="G231" s="10"/>
    </row>
    <row r="232" spans="3:7">
      <c r="C232" s="7"/>
      <c r="D232" s="9"/>
      <c r="E232" s="10"/>
      <c r="F232" s="10"/>
      <c r="G232" s="10"/>
    </row>
    <row r="233" spans="3:7">
      <c r="C233" s="8"/>
      <c r="D233" s="9"/>
      <c r="E233" s="10"/>
      <c r="F233" s="10"/>
      <c r="G233" s="10"/>
    </row>
    <row r="234" spans="3:7">
      <c r="C234" s="23"/>
      <c r="D234" s="20"/>
      <c r="E234" s="10"/>
      <c r="F234" s="20"/>
      <c r="G234" s="10"/>
    </row>
    <row r="235" spans="3:7">
      <c r="C235" s="23"/>
      <c r="D235" s="20"/>
      <c r="E235" s="10"/>
      <c r="F235" s="20"/>
      <c r="G235" s="10"/>
    </row>
    <row r="236" spans="3:7">
      <c r="C236" s="23"/>
      <c r="D236" s="20"/>
      <c r="E236" s="10"/>
      <c r="F236" s="20"/>
      <c r="G236" s="10"/>
    </row>
    <row r="237" spans="3:7">
      <c r="C237" s="23"/>
      <c r="D237" s="20"/>
      <c r="E237" s="10"/>
      <c r="F237" s="20"/>
      <c r="G237" s="10"/>
    </row>
    <row r="238" spans="3:7">
      <c r="C238" s="18"/>
      <c r="D238" s="9"/>
      <c r="E238" s="14"/>
      <c r="F238" s="5"/>
      <c r="G238" s="5"/>
    </row>
    <row r="239" spans="3:7">
      <c r="C239" s="23"/>
      <c r="D239" s="20"/>
      <c r="E239" s="10"/>
      <c r="F239" s="20"/>
      <c r="G239" s="10"/>
    </row>
    <row r="240" spans="3:7">
      <c r="C240" s="21"/>
      <c r="D240" s="20"/>
      <c r="E240" s="25"/>
      <c r="F240" s="10"/>
      <c r="G240" s="10"/>
    </row>
    <row r="241" spans="3:7">
      <c r="C241" s="22"/>
      <c r="D241" s="20"/>
      <c r="E241" s="25"/>
      <c r="F241" s="10"/>
      <c r="G241" s="10"/>
    </row>
    <row r="242" spans="3:7">
      <c r="C242" s="22"/>
      <c r="D242" s="20"/>
      <c r="E242" s="25"/>
      <c r="F242" s="10"/>
      <c r="G242" s="10"/>
    </row>
    <row r="243" spans="3:7">
      <c r="C243" s="22"/>
      <c r="D243" s="20"/>
      <c r="E243" s="25"/>
      <c r="F243" s="10"/>
      <c r="G243" s="10"/>
    </row>
    <row r="244" spans="3:7">
      <c r="C244" s="21"/>
      <c r="D244" s="20"/>
      <c r="E244" s="25"/>
      <c r="F244" s="10"/>
      <c r="G244" s="10"/>
    </row>
    <row r="245" spans="3:7">
      <c r="C245" s="22"/>
      <c r="D245" s="20"/>
      <c r="E245" s="25"/>
      <c r="F245" s="10"/>
      <c r="G245" s="10"/>
    </row>
    <row r="246" spans="3:7">
      <c r="C246" s="22"/>
      <c r="D246" s="20"/>
      <c r="E246" s="25"/>
      <c r="F246" s="10"/>
      <c r="G246" s="10"/>
    </row>
    <row r="247" spans="3:7">
      <c r="C247" s="8"/>
      <c r="D247" s="9"/>
      <c r="E247" s="10"/>
      <c r="F247" s="10"/>
      <c r="G247" s="10"/>
    </row>
    <row r="248" spans="3:7">
      <c r="C248" s="12"/>
      <c r="D248" s="9"/>
      <c r="E248" s="10"/>
      <c r="F248" s="10"/>
      <c r="G248" s="10"/>
    </row>
    <row r="249" spans="3:7">
      <c r="C249" s="7"/>
      <c r="D249" s="9"/>
      <c r="E249" s="10"/>
      <c r="F249" s="10"/>
      <c r="G249" s="10"/>
    </row>
    <row r="250" spans="3:7">
      <c r="C250" s="8"/>
      <c r="D250" s="9"/>
      <c r="E250" s="6"/>
      <c r="F250" s="6"/>
      <c r="G250" s="6"/>
    </row>
    <row r="251" spans="3:7">
      <c r="C251" s="7"/>
      <c r="D251" s="9"/>
      <c r="E251" s="10"/>
      <c r="F251" s="10"/>
      <c r="G251" s="10"/>
    </row>
    <row r="252" spans="3:7">
      <c r="C252" s="19"/>
      <c r="D252" s="9"/>
      <c r="E252" s="10"/>
      <c r="F252" s="10"/>
      <c r="G252" s="10"/>
    </row>
    <row r="253" spans="3:7" ht="14.25" customHeight="1">
      <c r="C253" s="12"/>
      <c r="D253" s="9"/>
      <c r="E253" s="10"/>
      <c r="F253" s="10"/>
      <c r="G253" s="10"/>
    </row>
    <row r="254" spans="3:7">
      <c r="C254" s="12"/>
      <c r="D254" s="9"/>
      <c r="E254" s="10"/>
      <c r="F254" s="10"/>
      <c r="G254" s="10"/>
    </row>
    <row r="255" spans="3:7">
      <c r="C255" s="12"/>
      <c r="D255" s="9"/>
      <c r="E255" s="10"/>
      <c r="F255" s="10"/>
      <c r="G255" s="10"/>
    </row>
    <row r="256" spans="3:7" ht="12.75" customHeight="1">
      <c r="C256" s="12"/>
      <c r="D256" s="9"/>
      <c r="E256" s="10"/>
      <c r="F256" s="10"/>
      <c r="G256" s="10"/>
    </row>
    <row r="257" spans="3:7">
      <c r="C257" s="12"/>
      <c r="D257" s="9"/>
      <c r="E257" s="10"/>
      <c r="F257" s="10"/>
      <c r="G257" s="10"/>
    </row>
    <row r="258" spans="3:7">
      <c r="C258" s="12"/>
      <c r="D258" s="9"/>
      <c r="E258" s="10"/>
      <c r="F258" s="10"/>
      <c r="G258" s="10"/>
    </row>
    <row r="259" spans="3:7">
      <c r="C259" s="12"/>
      <c r="D259" s="9"/>
      <c r="E259" s="10"/>
      <c r="F259" s="10"/>
      <c r="G259" s="10"/>
    </row>
    <row r="260" spans="3:7">
      <c r="C260" s="12"/>
      <c r="D260" s="9"/>
      <c r="E260" s="10"/>
      <c r="F260" s="10"/>
      <c r="G260" s="10"/>
    </row>
    <row r="261" spans="3:7">
      <c r="C261" s="12"/>
      <c r="D261" s="9"/>
      <c r="E261" s="10"/>
      <c r="F261" s="10"/>
      <c r="G261" s="10"/>
    </row>
    <row r="262" spans="3:7">
      <c r="C262" s="12"/>
      <c r="D262" s="9"/>
      <c r="E262" s="10"/>
      <c r="F262" s="10"/>
      <c r="G262" s="10"/>
    </row>
    <row r="263" spans="3:7">
      <c r="C263" s="12"/>
      <c r="D263" s="9"/>
      <c r="E263" s="10"/>
      <c r="F263" s="10"/>
      <c r="G263" s="10"/>
    </row>
    <row r="264" spans="3:7" ht="12.75" customHeight="1">
      <c r="C264" s="12"/>
      <c r="D264" s="9"/>
      <c r="E264" s="14"/>
      <c r="F264" s="5"/>
      <c r="G264" s="5"/>
    </row>
    <row r="265" spans="3:7">
      <c r="C265" s="19"/>
      <c r="D265" s="9"/>
      <c r="E265" s="10"/>
      <c r="F265" s="10"/>
      <c r="G265" s="10"/>
    </row>
    <row r="266" spans="3:7">
      <c r="C266" s="12"/>
      <c r="D266" s="9"/>
      <c r="E266" s="10"/>
      <c r="F266" s="10"/>
      <c r="G266" s="10"/>
    </row>
    <row r="267" spans="3:7" ht="12.75" customHeight="1">
      <c r="C267" s="12"/>
      <c r="D267" s="9"/>
      <c r="E267" s="10"/>
      <c r="F267" s="10"/>
      <c r="G267" s="10"/>
    </row>
    <row r="268" spans="3:7">
      <c r="C268" s="12"/>
      <c r="D268" s="9"/>
      <c r="E268" s="10"/>
      <c r="F268" s="10"/>
      <c r="G268" s="10"/>
    </row>
    <row r="269" spans="3:7">
      <c r="C269" s="12"/>
      <c r="D269" s="9"/>
      <c r="E269" s="10"/>
      <c r="F269" s="10"/>
      <c r="G269" s="10"/>
    </row>
    <row r="270" spans="3:7">
      <c r="C270" s="12"/>
      <c r="D270" s="9"/>
      <c r="E270" s="10"/>
      <c r="F270" s="10"/>
      <c r="G270" s="10"/>
    </row>
    <row r="271" spans="3:7" ht="12.75" customHeight="1">
      <c r="C271" s="12"/>
      <c r="D271" s="9"/>
      <c r="E271" s="10"/>
      <c r="F271" s="10"/>
      <c r="G271" s="10"/>
    </row>
    <row r="272" spans="3:7">
      <c r="C272" s="12"/>
      <c r="D272" s="9"/>
      <c r="E272" s="10"/>
      <c r="F272" s="10"/>
      <c r="G272" s="10"/>
    </row>
    <row r="273" spans="3:7">
      <c r="C273" s="12"/>
      <c r="D273" s="9"/>
      <c r="E273" s="10"/>
      <c r="F273" s="10"/>
      <c r="G273" s="10"/>
    </row>
    <row r="274" spans="3:7" ht="12.75" customHeight="1">
      <c r="C274" s="12"/>
      <c r="D274" s="9"/>
      <c r="E274" s="10"/>
      <c r="F274" s="10"/>
      <c r="G274" s="10"/>
    </row>
    <row r="275" spans="3:7">
      <c r="C275" s="12"/>
      <c r="D275" s="9"/>
      <c r="E275" s="14"/>
      <c r="F275" s="5"/>
      <c r="G275" s="5"/>
    </row>
    <row r="276" spans="3:7">
      <c r="C276" s="7"/>
      <c r="D276" s="9"/>
      <c r="E276" s="10"/>
      <c r="F276" s="10"/>
      <c r="G276" s="10"/>
    </row>
    <row r="277" spans="3:7">
      <c r="C277" s="8"/>
      <c r="D277" s="9"/>
      <c r="E277" s="14"/>
      <c r="F277" s="5"/>
      <c r="G277" s="5"/>
    </row>
    <row r="278" spans="3:7">
      <c r="C278" s="12"/>
      <c r="D278" s="9"/>
      <c r="E278" s="14"/>
      <c r="F278" s="5"/>
      <c r="G278" s="5"/>
    </row>
    <row r="279" spans="3:7">
      <c r="C279" s="12"/>
      <c r="D279" s="9"/>
      <c r="E279" s="14"/>
      <c r="F279" s="5"/>
      <c r="G279" s="5"/>
    </row>
    <row r="280" spans="3:7">
      <c r="C280" s="8"/>
      <c r="D280" s="9"/>
      <c r="E280" s="14"/>
      <c r="F280" s="5"/>
      <c r="G280" s="5"/>
    </row>
    <row r="281" spans="3:7">
      <c r="C281" s="12"/>
      <c r="D281" s="9"/>
      <c r="E281" s="14"/>
      <c r="F281" s="5"/>
      <c r="G281" s="5"/>
    </row>
    <row r="282" spans="3:7">
      <c r="C282" s="12"/>
      <c r="D282" s="9"/>
      <c r="E282" s="14"/>
      <c r="F282" s="5"/>
      <c r="G282" s="5"/>
    </row>
    <row r="283" spans="3:7">
      <c r="C283" s="8"/>
      <c r="D283" s="9"/>
      <c r="E283" s="14"/>
      <c r="F283" s="5"/>
      <c r="G283" s="5"/>
    </row>
    <row r="284" spans="3:7">
      <c r="C284" s="12"/>
      <c r="D284" s="9"/>
      <c r="E284" s="14"/>
      <c r="F284" s="5"/>
      <c r="G284" s="5"/>
    </row>
    <row r="285" spans="3:7">
      <c r="C285" s="12"/>
      <c r="D285" s="9"/>
      <c r="E285" s="14"/>
      <c r="F285" s="5"/>
      <c r="G285" s="5"/>
    </row>
    <row r="286" spans="3:7" ht="12.75" customHeight="1">
      <c r="C286" s="7"/>
      <c r="D286" s="9"/>
      <c r="E286" s="10"/>
      <c r="F286" s="10"/>
      <c r="G286" s="10"/>
    </row>
    <row r="287" spans="3:7">
      <c r="C287" s="19"/>
      <c r="D287" s="9"/>
      <c r="E287" s="10"/>
      <c r="F287" s="10"/>
      <c r="G287" s="10"/>
    </row>
    <row r="288" spans="3:7">
      <c r="C288" s="12"/>
      <c r="D288" s="9"/>
      <c r="E288" s="10"/>
      <c r="F288" s="10"/>
      <c r="G288" s="10"/>
    </row>
    <row r="289" spans="3:7" ht="12.75" customHeight="1">
      <c r="C289" s="12"/>
      <c r="D289" s="9"/>
      <c r="E289" s="10"/>
      <c r="F289" s="10"/>
      <c r="G289" s="10"/>
    </row>
    <row r="290" spans="3:7">
      <c r="C290" s="12"/>
      <c r="D290" s="9"/>
      <c r="E290" s="10"/>
      <c r="F290" s="10"/>
      <c r="G290" s="10"/>
    </row>
    <row r="291" spans="3:7" ht="12.75" customHeight="1">
      <c r="C291" s="12"/>
      <c r="D291" s="9"/>
      <c r="E291" s="10"/>
      <c r="F291" s="10"/>
      <c r="G291" s="10"/>
    </row>
    <row r="292" spans="3:7" ht="12.75" customHeight="1">
      <c r="C292" s="12"/>
      <c r="D292" s="9"/>
      <c r="E292" s="10"/>
      <c r="F292" s="10"/>
      <c r="G292" s="10"/>
    </row>
    <row r="293" spans="3:7" ht="12.75" customHeight="1">
      <c r="C293" s="12"/>
      <c r="D293" s="9"/>
      <c r="E293" s="10"/>
      <c r="F293" s="10"/>
      <c r="G293" s="10"/>
    </row>
    <row r="294" spans="3:7" ht="12.75" customHeight="1">
      <c r="C294" s="12"/>
      <c r="D294" s="9"/>
      <c r="E294" s="14"/>
      <c r="F294" s="5"/>
      <c r="G294" s="5"/>
    </row>
    <row r="295" spans="3:7" ht="12.75" customHeight="1">
      <c r="C295" s="8"/>
      <c r="D295" s="9"/>
      <c r="E295" s="10"/>
      <c r="F295" s="10"/>
      <c r="G295" s="10"/>
    </row>
    <row r="296" spans="3:7" ht="12.75" customHeight="1">
      <c r="C296" s="12"/>
      <c r="D296" s="9"/>
      <c r="E296" s="10"/>
      <c r="F296" s="10"/>
      <c r="G296" s="10"/>
    </row>
    <row r="297" spans="3:7" ht="12.75" customHeight="1">
      <c r="C297" s="12"/>
      <c r="D297" s="9"/>
      <c r="E297" s="14"/>
      <c r="F297" s="5"/>
      <c r="G297" s="5"/>
    </row>
    <row r="298" spans="3:7" ht="12.75" customHeight="1">
      <c r="C298" s="19"/>
      <c r="D298" s="9"/>
      <c r="E298" s="10"/>
      <c r="F298" s="10"/>
      <c r="G298" s="10"/>
    </row>
    <row r="299" spans="3:7" ht="12.75" customHeight="1">
      <c r="C299" s="12"/>
      <c r="D299" s="9"/>
      <c r="E299" s="14"/>
      <c r="F299" s="5"/>
      <c r="G299" s="5"/>
    </row>
    <row r="300" spans="3:7" ht="12.75" customHeight="1">
      <c r="C300" s="12"/>
      <c r="D300" s="9"/>
      <c r="E300" s="14"/>
      <c r="F300" s="5"/>
      <c r="G300" s="5"/>
    </row>
    <row r="301" spans="3:7">
      <c r="C301" s="12"/>
      <c r="D301" s="9"/>
      <c r="E301" s="14"/>
      <c r="F301" s="5"/>
      <c r="G301" s="5"/>
    </row>
    <row r="302" spans="3:7">
      <c r="C302" s="12"/>
      <c r="D302" s="9"/>
      <c r="E302" s="14"/>
      <c r="F302" s="5"/>
      <c r="G302" s="5"/>
    </row>
    <row r="303" spans="3:7">
      <c r="C303" s="12"/>
      <c r="D303" s="9"/>
      <c r="E303" s="14"/>
      <c r="F303" s="5"/>
      <c r="G303" s="5"/>
    </row>
    <row r="304" spans="3:7">
      <c r="C304" s="12"/>
      <c r="D304" s="9"/>
      <c r="E304" s="14"/>
      <c r="F304" s="5"/>
      <c r="G304" s="5"/>
    </row>
    <row r="305" spans="3:7">
      <c r="C305" s="12"/>
      <c r="D305" s="9"/>
      <c r="E305" s="14"/>
      <c r="F305" s="5"/>
      <c r="G305" s="5"/>
    </row>
    <row r="306" spans="3:7">
      <c r="C306" s="12"/>
      <c r="D306" s="9"/>
      <c r="E306" s="14"/>
      <c r="F306" s="5"/>
      <c r="G306" s="5"/>
    </row>
    <row r="307" spans="3:7">
      <c r="C307" s="12"/>
      <c r="D307" s="9"/>
      <c r="E307" s="14"/>
      <c r="F307" s="5"/>
      <c r="G307" s="5"/>
    </row>
    <row r="308" spans="3:7">
      <c r="C308" s="7"/>
      <c r="D308" s="9"/>
      <c r="E308" s="14"/>
      <c r="F308" s="5"/>
      <c r="G308" s="5"/>
    </row>
    <row r="309" spans="3:7">
      <c r="C309" s="7"/>
      <c r="D309" s="9"/>
      <c r="E309" s="10"/>
      <c r="F309" s="10"/>
      <c r="G309" s="10"/>
    </row>
    <row r="310" spans="3:7">
      <c r="C310" s="19"/>
      <c r="D310" s="9"/>
      <c r="E310" s="10"/>
      <c r="F310" s="10"/>
      <c r="G310" s="10"/>
    </row>
    <row r="311" spans="3:7">
      <c r="C311" s="19"/>
      <c r="D311" s="9"/>
      <c r="E311" s="10"/>
      <c r="F311" s="10"/>
      <c r="G311" s="10"/>
    </row>
    <row r="312" spans="3:7">
      <c r="C312" s="12"/>
      <c r="D312" s="9"/>
      <c r="E312" s="10"/>
      <c r="F312" s="10"/>
      <c r="G312" s="10"/>
    </row>
    <row r="313" spans="3:7">
      <c r="C313" s="19"/>
      <c r="D313" s="9"/>
      <c r="E313" s="10"/>
      <c r="F313" s="10"/>
      <c r="G313" s="10"/>
    </row>
    <row r="314" spans="3:7">
      <c r="C314" s="19"/>
      <c r="D314" s="9"/>
      <c r="E314" s="10"/>
      <c r="F314" s="10"/>
      <c r="G314" s="10"/>
    </row>
    <row r="315" spans="3:7">
      <c r="C315" s="12"/>
      <c r="D315" s="9"/>
      <c r="E315" s="10"/>
      <c r="F315" s="10"/>
      <c r="G315" s="10"/>
    </row>
    <row r="316" spans="3:7">
      <c r="C316" s="12"/>
      <c r="D316" s="9"/>
      <c r="E316" s="10"/>
      <c r="F316" s="10"/>
      <c r="G316" s="10"/>
    </row>
    <row r="317" spans="3:7">
      <c r="C317" s="12"/>
      <c r="D317" s="9"/>
      <c r="E317" s="10"/>
      <c r="F317" s="10"/>
      <c r="G317" s="10"/>
    </row>
    <row r="318" spans="3:7">
      <c r="C318" s="7"/>
      <c r="D318" s="9"/>
      <c r="E318" s="10"/>
      <c r="F318" s="10"/>
      <c r="G318" s="10"/>
    </row>
    <row r="319" spans="3:7">
      <c r="C319" s="8"/>
      <c r="D319" s="9"/>
      <c r="E319" s="10"/>
      <c r="F319" s="10"/>
      <c r="G319" s="10"/>
    </row>
    <row r="320" spans="3:7">
      <c r="C320" s="7"/>
      <c r="D320" s="9"/>
      <c r="E320" s="10"/>
      <c r="F320" s="10"/>
      <c r="G320" s="10"/>
    </row>
    <row r="321" spans="3:7">
      <c r="C321" s="8"/>
      <c r="D321" s="9"/>
      <c r="E321" s="10"/>
      <c r="F321" s="10"/>
      <c r="G321" s="10"/>
    </row>
    <row r="322" spans="3:7">
      <c r="C322" s="12"/>
      <c r="D322" s="9"/>
      <c r="E322" s="10"/>
      <c r="F322" s="10"/>
      <c r="G322" s="10"/>
    </row>
    <row r="323" spans="3:7">
      <c r="C323" s="19"/>
      <c r="D323" s="9"/>
      <c r="E323" s="10"/>
      <c r="F323" s="10"/>
      <c r="G323" s="10"/>
    </row>
    <row r="324" spans="3:7">
      <c r="C324" s="12"/>
      <c r="D324" s="9"/>
      <c r="E324" s="10"/>
      <c r="F324" s="10"/>
      <c r="G324" s="10"/>
    </row>
    <row r="325" spans="3:7">
      <c r="C325" s="19"/>
      <c r="D325" s="9"/>
      <c r="E325" s="10"/>
      <c r="F325" s="10"/>
      <c r="G325" s="10"/>
    </row>
    <row r="326" spans="3:7">
      <c r="C326" s="12"/>
      <c r="D326" s="9"/>
      <c r="E326" s="10"/>
      <c r="F326" s="10"/>
      <c r="G326" s="10"/>
    </row>
    <row r="327" spans="3:7">
      <c r="C327" s="19"/>
      <c r="D327" s="9"/>
      <c r="E327" s="10"/>
      <c r="F327" s="10"/>
      <c r="G327" s="10"/>
    </row>
    <row r="328" spans="3:7">
      <c r="C328" s="23"/>
      <c r="D328" s="20"/>
      <c r="E328" s="10"/>
      <c r="F328" s="10"/>
      <c r="G328" s="10"/>
    </row>
    <row r="329" spans="3:7">
      <c r="C329" s="23"/>
      <c r="D329" s="20"/>
      <c r="E329" s="10"/>
      <c r="F329" s="10"/>
      <c r="G329" s="10"/>
    </row>
    <row r="330" spans="3:7">
      <c r="C330" s="8"/>
      <c r="D330" s="9"/>
      <c r="E330" s="10"/>
      <c r="F330" s="10"/>
      <c r="G330" s="10"/>
    </row>
    <row r="331" spans="3:7">
      <c r="C331" s="12"/>
      <c r="D331" s="9"/>
      <c r="E331" s="10"/>
      <c r="F331" s="10"/>
      <c r="G331" s="10"/>
    </row>
    <row r="332" spans="3:7">
      <c r="C332" s="12"/>
      <c r="D332" s="9"/>
      <c r="E332" s="10"/>
      <c r="F332" s="10"/>
      <c r="G332" s="10"/>
    </row>
    <row r="333" spans="3:7">
      <c r="C333" s="8"/>
      <c r="D333" s="9"/>
      <c r="E333" s="10"/>
      <c r="F333" s="10"/>
      <c r="G333" s="10"/>
    </row>
    <row r="334" spans="3:7">
      <c r="C334" s="12"/>
      <c r="D334" s="9"/>
      <c r="E334" s="10"/>
      <c r="F334" s="10"/>
      <c r="G334" s="10"/>
    </row>
    <row r="335" spans="3:7">
      <c r="C335" s="7"/>
      <c r="D335" s="9"/>
      <c r="E335" s="10"/>
      <c r="F335" s="10"/>
      <c r="G335" s="10"/>
    </row>
    <row r="336" spans="3:7">
      <c r="C336" s="8"/>
      <c r="D336" s="9"/>
      <c r="E336" s="10"/>
      <c r="F336" s="10"/>
      <c r="G336" s="10"/>
    </row>
    <row r="337" spans="3:7">
      <c r="C337" s="12"/>
      <c r="D337" s="9"/>
      <c r="E337" s="10"/>
      <c r="F337" s="10"/>
      <c r="G337" s="10"/>
    </row>
    <row r="338" spans="3:7">
      <c r="C338" s="8"/>
      <c r="D338" s="9"/>
      <c r="E338" s="10"/>
      <c r="F338" s="10"/>
      <c r="G338" s="10"/>
    </row>
    <row r="339" spans="3:7">
      <c r="C339" s="12"/>
      <c r="D339" s="9"/>
      <c r="E339" s="10"/>
      <c r="F339" s="10"/>
      <c r="G339" s="10"/>
    </row>
    <row r="340" spans="3:7">
      <c r="C340" s="19"/>
      <c r="D340" s="9"/>
      <c r="E340" s="10"/>
      <c r="F340" s="10"/>
      <c r="G340" s="10"/>
    </row>
    <row r="341" spans="3:7">
      <c r="C341" s="12"/>
      <c r="D341" s="9"/>
      <c r="E341" s="10"/>
      <c r="F341" s="10"/>
      <c r="G341" s="10"/>
    </row>
    <row r="342" spans="3:7">
      <c r="C342" s="19"/>
      <c r="D342" s="9"/>
      <c r="E342" s="10"/>
      <c r="F342" s="10"/>
      <c r="G342" s="10"/>
    </row>
    <row r="343" spans="3:7">
      <c r="C343" s="12"/>
      <c r="D343" s="9"/>
      <c r="E343" s="10"/>
      <c r="F343" s="10"/>
      <c r="G343" s="10"/>
    </row>
    <row r="344" spans="3:7">
      <c r="C344" s="19"/>
      <c r="D344" s="9"/>
      <c r="E344" s="10"/>
      <c r="F344" s="10"/>
      <c r="G344" s="10"/>
    </row>
    <row r="345" spans="3:7">
      <c r="C345" s="23"/>
      <c r="D345" s="20"/>
      <c r="E345" s="10"/>
      <c r="F345" s="10"/>
      <c r="G345" s="10"/>
    </row>
    <row r="346" spans="3:7">
      <c r="C346" s="23"/>
      <c r="D346" s="20"/>
      <c r="E346" s="10"/>
      <c r="F346" s="10"/>
      <c r="G346" s="10"/>
    </row>
    <row r="347" spans="3:7">
      <c r="C347" s="8"/>
      <c r="D347" s="9"/>
      <c r="E347" s="10"/>
      <c r="F347" s="10"/>
      <c r="G347" s="10"/>
    </row>
    <row r="348" spans="3:7">
      <c r="C348" s="12"/>
      <c r="D348" s="9"/>
      <c r="E348" s="10"/>
      <c r="F348" s="10"/>
      <c r="G348" s="10"/>
    </row>
    <row r="349" spans="3:7">
      <c r="C349" s="12"/>
      <c r="D349" s="9"/>
      <c r="E349" s="10"/>
      <c r="F349" s="10"/>
      <c r="G349" s="10"/>
    </row>
    <row r="350" spans="3:7">
      <c r="C350" s="8"/>
      <c r="D350" s="9"/>
      <c r="E350" s="10"/>
      <c r="F350" s="10"/>
      <c r="G350" s="10"/>
    </row>
    <row r="351" spans="3:7">
      <c r="C351" s="12"/>
      <c r="D351" s="9"/>
      <c r="E351" s="10"/>
      <c r="F351" s="10"/>
      <c r="G351" s="10"/>
    </row>
    <row r="352" spans="3:7">
      <c r="C352" s="7"/>
      <c r="D352" s="9"/>
      <c r="E352" s="10"/>
      <c r="F352" s="10"/>
      <c r="G352" s="10"/>
    </row>
    <row r="353" spans="3:7">
      <c r="C353" s="8"/>
      <c r="D353" s="9"/>
      <c r="E353" s="10"/>
      <c r="F353" s="10"/>
      <c r="G353" s="10"/>
    </row>
    <row r="354" spans="3:7">
      <c r="C354" s="12"/>
      <c r="D354" s="9"/>
      <c r="E354" s="10"/>
      <c r="F354" s="10"/>
      <c r="G354" s="10"/>
    </row>
    <row r="355" spans="3:7">
      <c r="C355" s="8"/>
      <c r="D355" s="9"/>
      <c r="E355" s="10"/>
      <c r="F355" s="10"/>
      <c r="G355" s="10"/>
    </row>
    <row r="356" spans="3:7">
      <c r="C356" s="12"/>
      <c r="D356" s="9"/>
      <c r="E356" s="10"/>
      <c r="F356" s="10"/>
      <c r="G356" s="10"/>
    </row>
    <row r="357" spans="3:7">
      <c r="C357" s="19"/>
      <c r="D357" s="9"/>
      <c r="E357" s="10"/>
      <c r="F357" s="10"/>
      <c r="G357" s="10"/>
    </row>
    <row r="358" spans="3:7">
      <c r="C358" s="12"/>
      <c r="D358" s="9"/>
      <c r="E358" s="10"/>
      <c r="F358" s="10"/>
      <c r="G358" s="10"/>
    </row>
    <row r="359" spans="3:7">
      <c r="C359" s="19"/>
      <c r="D359" s="9"/>
      <c r="E359" s="10"/>
      <c r="F359" s="10"/>
      <c r="G359" s="10"/>
    </row>
    <row r="360" spans="3:7">
      <c r="C360" s="12"/>
      <c r="D360" s="9"/>
      <c r="E360" s="10"/>
      <c r="F360" s="10"/>
      <c r="G360" s="10"/>
    </row>
    <row r="361" spans="3:7">
      <c r="C361" s="19"/>
      <c r="D361" s="9"/>
      <c r="E361" s="10"/>
      <c r="F361" s="10"/>
      <c r="G361" s="10"/>
    </row>
    <row r="362" spans="3:7">
      <c r="C362" s="23"/>
      <c r="D362" s="20"/>
      <c r="E362" s="10"/>
      <c r="F362" s="10"/>
      <c r="G362" s="10"/>
    </row>
    <row r="363" spans="3:7">
      <c r="C363" s="23"/>
      <c r="D363" s="20"/>
      <c r="E363" s="10"/>
      <c r="F363" s="10"/>
      <c r="G363" s="10"/>
    </row>
    <row r="364" spans="3:7">
      <c r="C364" s="8"/>
      <c r="D364" s="9"/>
      <c r="E364" s="10"/>
      <c r="F364" s="10"/>
      <c r="G364" s="10"/>
    </row>
    <row r="365" spans="3:7">
      <c r="C365" s="12"/>
      <c r="D365" s="9"/>
      <c r="E365" s="10"/>
      <c r="F365" s="10"/>
      <c r="G365" s="10"/>
    </row>
    <row r="366" spans="3:7">
      <c r="C366" s="12"/>
      <c r="D366" s="9"/>
      <c r="E366" s="10"/>
      <c r="F366" s="10"/>
      <c r="G366" s="10"/>
    </row>
    <row r="367" spans="3:7">
      <c r="C367" s="8"/>
      <c r="D367" s="9"/>
      <c r="E367" s="10"/>
      <c r="F367" s="10"/>
      <c r="G367" s="10"/>
    </row>
    <row r="368" spans="3:7">
      <c r="C368" s="12"/>
      <c r="D368" s="9"/>
      <c r="E368" s="10"/>
      <c r="F368" s="10"/>
      <c r="G368" s="10"/>
    </row>
    <row r="369" spans="3:7">
      <c r="C369" s="7"/>
      <c r="D369" s="9"/>
      <c r="E369" s="10"/>
      <c r="F369" s="10"/>
      <c r="G369" s="10"/>
    </row>
    <row r="370" spans="3:7">
      <c r="C370" s="8"/>
      <c r="D370" s="9"/>
      <c r="E370" s="10"/>
      <c r="F370" s="10"/>
      <c r="G370" s="10"/>
    </row>
    <row r="371" spans="3:7">
      <c r="C371" s="12"/>
      <c r="D371" s="9"/>
      <c r="E371" s="10"/>
      <c r="F371" s="10"/>
      <c r="G371" s="10"/>
    </row>
    <row r="372" spans="3:7">
      <c r="C372" s="8"/>
      <c r="D372" s="9"/>
      <c r="E372" s="10"/>
      <c r="F372" s="10"/>
      <c r="G372" s="10"/>
    </row>
    <row r="373" spans="3:7">
      <c r="C373" s="12"/>
      <c r="D373" s="9"/>
      <c r="E373" s="10"/>
      <c r="F373" s="10"/>
      <c r="G373" s="10"/>
    </row>
    <row r="374" spans="3:7">
      <c r="C374" s="12"/>
      <c r="D374" s="9"/>
      <c r="E374" s="10"/>
      <c r="F374" s="10"/>
      <c r="G374" s="10"/>
    </row>
    <row r="375" spans="3:7">
      <c r="C375" s="8"/>
      <c r="D375" s="9"/>
      <c r="E375" s="10"/>
      <c r="F375" s="10"/>
      <c r="G375" s="10"/>
    </row>
    <row r="376" spans="3:7">
      <c r="C376" s="12"/>
      <c r="D376" s="9"/>
      <c r="E376" s="10"/>
      <c r="F376" s="10"/>
      <c r="G376" s="10"/>
    </row>
    <row r="377" spans="3:7">
      <c r="C377" s="8"/>
      <c r="D377" s="9"/>
      <c r="E377" s="10"/>
      <c r="F377" s="10"/>
      <c r="G377" s="10"/>
    </row>
    <row r="378" spans="3:7">
      <c r="C378" s="12"/>
      <c r="D378" s="9"/>
      <c r="E378" s="10"/>
      <c r="F378" s="10"/>
      <c r="G378" s="10"/>
    </row>
    <row r="379" spans="3:7">
      <c r="C379" s="8"/>
      <c r="D379" s="9"/>
      <c r="E379" s="10"/>
      <c r="F379" s="10"/>
      <c r="G379" s="10"/>
    </row>
    <row r="380" spans="3:7">
      <c r="C380" s="18"/>
      <c r="D380" s="9"/>
      <c r="E380" s="10"/>
      <c r="F380" s="10"/>
      <c r="G380" s="10"/>
    </row>
    <row r="381" spans="3:7">
      <c r="C381" s="19"/>
      <c r="D381" s="9"/>
      <c r="E381" s="10"/>
      <c r="F381" s="10"/>
      <c r="G381" s="10"/>
    </row>
    <row r="382" spans="3:7">
      <c r="C382" s="12"/>
      <c r="D382" s="9"/>
      <c r="E382" s="10"/>
      <c r="F382" s="10"/>
      <c r="G382" s="10"/>
    </row>
    <row r="383" spans="3:7">
      <c r="C383" s="12"/>
      <c r="D383" s="9"/>
      <c r="E383" s="10"/>
      <c r="F383" s="10"/>
      <c r="G383" s="10"/>
    </row>
    <row r="384" spans="3:7">
      <c r="C384" s="34"/>
      <c r="D384" s="20"/>
      <c r="E384" s="10"/>
      <c r="F384" s="10"/>
      <c r="G384" s="10"/>
    </row>
    <row r="385" spans="3:7">
      <c r="C385" s="23"/>
      <c r="D385" s="20"/>
      <c r="E385" s="10"/>
      <c r="F385" s="10"/>
      <c r="G385" s="10"/>
    </row>
    <row r="386" spans="3:7">
      <c r="C386" s="23"/>
      <c r="D386" s="20"/>
      <c r="E386" s="10"/>
      <c r="F386" s="10"/>
      <c r="G386" s="10"/>
    </row>
    <row r="387" spans="3:7">
      <c r="C387" s="12"/>
      <c r="D387" s="20"/>
      <c r="E387" s="10"/>
      <c r="F387" s="10"/>
      <c r="G387" s="10"/>
    </row>
    <row r="388" spans="3:7">
      <c r="C388" s="12"/>
      <c r="D388" s="20"/>
      <c r="E388" s="10"/>
      <c r="F388" s="10"/>
      <c r="G388" s="10"/>
    </row>
    <row r="389" spans="3:7">
      <c r="C389" s="12"/>
      <c r="D389" s="20"/>
      <c r="E389" s="10"/>
      <c r="F389" s="10"/>
      <c r="G389" s="10"/>
    </row>
    <row r="390" spans="3:7">
      <c r="C390" s="12"/>
      <c r="D390" s="20"/>
      <c r="E390" s="10"/>
      <c r="F390" s="10"/>
      <c r="G390" s="10"/>
    </row>
    <row r="391" spans="3:7">
      <c r="C391" s="12"/>
      <c r="D391" s="20"/>
      <c r="E391" s="10"/>
      <c r="F391" s="10"/>
      <c r="G391" s="10"/>
    </row>
    <row r="392" spans="3:7">
      <c r="C392" s="12"/>
      <c r="D392" s="20"/>
      <c r="E392" s="10"/>
      <c r="F392" s="10"/>
      <c r="G392" s="10"/>
    </row>
    <row r="393" spans="3:7">
      <c r="C393" s="8"/>
      <c r="D393" s="20"/>
      <c r="E393" s="10"/>
      <c r="F393" s="10"/>
      <c r="G393" s="10"/>
    </row>
    <row r="394" spans="3:7">
      <c r="C394" s="12"/>
      <c r="D394" s="20"/>
      <c r="E394" s="10"/>
      <c r="F394" s="10"/>
      <c r="G394" s="10"/>
    </row>
    <row r="395" spans="3:7">
      <c r="C395" s="12"/>
      <c r="D395" s="20"/>
      <c r="E395" s="10"/>
      <c r="F395" s="10"/>
      <c r="G395" s="10"/>
    </row>
    <row r="396" spans="3:7">
      <c r="C396" s="8"/>
      <c r="D396" s="20"/>
      <c r="E396" s="10"/>
      <c r="F396" s="10"/>
      <c r="G396" s="10"/>
    </row>
    <row r="397" spans="3:7">
      <c r="C397" s="12"/>
      <c r="D397" s="20"/>
      <c r="E397" s="10"/>
      <c r="F397" s="10"/>
      <c r="G397" s="10"/>
    </row>
    <row r="398" spans="3:7">
      <c r="C398" s="12"/>
      <c r="D398" s="20"/>
      <c r="E398" s="10"/>
      <c r="F398" s="10"/>
      <c r="G398" s="10"/>
    </row>
    <row r="399" spans="3:7">
      <c r="C399" s="8"/>
      <c r="D399" s="20"/>
      <c r="E399" s="10"/>
      <c r="F399" s="10"/>
      <c r="G399" s="10"/>
    </row>
    <row r="400" spans="3:7">
      <c r="C400" s="23"/>
      <c r="D400" s="20"/>
      <c r="E400" s="10"/>
      <c r="F400" s="10"/>
      <c r="G400" s="10"/>
    </row>
    <row r="401" spans="3:7">
      <c r="C401" s="23"/>
      <c r="D401" s="20"/>
      <c r="E401" s="10"/>
      <c r="F401" s="10"/>
      <c r="G401" s="10"/>
    </row>
    <row r="402" spans="3:7">
      <c r="C402" s="7"/>
      <c r="D402" s="9"/>
      <c r="E402" s="10"/>
      <c r="F402" s="10"/>
      <c r="G402" s="10"/>
    </row>
    <row r="403" spans="3:7">
      <c r="C403" s="8"/>
      <c r="D403" s="9"/>
      <c r="E403" s="10"/>
      <c r="F403" s="10"/>
      <c r="G403" s="10"/>
    </row>
    <row r="404" spans="3:7">
      <c r="C404" s="12"/>
      <c r="D404" s="9"/>
      <c r="E404" s="10"/>
      <c r="F404" s="10"/>
      <c r="G404" s="10"/>
    </row>
    <row r="405" spans="3:7">
      <c r="C405" s="8"/>
      <c r="D405" s="9"/>
      <c r="E405" s="10"/>
      <c r="F405" s="10"/>
      <c r="G405" s="10"/>
    </row>
    <row r="406" spans="3:7">
      <c r="C406" s="12"/>
      <c r="D406" s="9"/>
      <c r="E406" s="10"/>
      <c r="F406" s="10"/>
      <c r="G406" s="10"/>
    </row>
    <row r="407" spans="3:7">
      <c r="C407" s="12"/>
      <c r="D407" s="9"/>
      <c r="E407" s="10"/>
      <c r="F407" s="10"/>
      <c r="G407" s="10"/>
    </row>
    <row r="408" spans="3:7">
      <c r="C408" s="8"/>
      <c r="D408" s="9"/>
      <c r="E408" s="10"/>
      <c r="F408" s="10"/>
      <c r="G408" s="10"/>
    </row>
    <row r="409" spans="3:7">
      <c r="C409" s="12"/>
      <c r="D409" s="9"/>
      <c r="E409" s="10"/>
      <c r="F409" s="10"/>
      <c r="G409" s="10"/>
    </row>
    <row r="410" spans="3:7">
      <c r="C410" s="8"/>
      <c r="D410" s="9"/>
      <c r="E410" s="10"/>
      <c r="F410" s="10"/>
      <c r="G410" s="10"/>
    </row>
    <row r="411" spans="3:7">
      <c r="C411" s="12"/>
      <c r="D411" s="9"/>
      <c r="E411" s="10"/>
      <c r="F411" s="10"/>
      <c r="G411" s="10"/>
    </row>
    <row r="412" spans="3:7">
      <c r="C412" s="8"/>
      <c r="D412" s="9"/>
      <c r="E412" s="10"/>
      <c r="F412" s="10"/>
      <c r="G412" s="10"/>
    </row>
    <row r="413" spans="3:7">
      <c r="C413" s="18"/>
      <c r="D413" s="9"/>
      <c r="E413" s="10"/>
      <c r="F413" s="10"/>
      <c r="G413" s="10"/>
    </row>
    <row r="414" spans="3:7">
      <c r="C414" s="19"/>
      <c r="D414" s="9"/>
      <c r="E414" s="10"/>
      <c r="F414" s="10"/>
      <c r="G414" s="10"/>
    </row>
    <row r="415" spans="3:7">
      <c r="C415" s="12"/>
      <c r="D415" s="9"/>
      <c r="E415" s="10"/>
      <c r="F415" s="10"/>
      <c r="G415" s="10"/>
    </row>
    <row r="416" spans="3:7">
      <c r="C416" s="12"/>
      <c r="D416" s="9"/>
      <c r="E416" s="10"/>
      <c r="F416" s="10"/>
      <c r="G416" s="10"/>
    </row>
    <row r="417" spans="3:7">
      <c r="C417" s="34"/>
      <c r="D417" s="20"/>
      <c r="E417" s="10"/>
      <c r="F417" s="10"/>
      <c r="G417" s="10"/>
    </row>
    <row r="418" spans="3:7">
      <c r="C418" s="23"/>
      <c r="D418" s="20"/>
      <c r="E418" s="10"/>
      <c r="F418" s="10"/>
      <c r="G418" s="10"/>
    </row>
    <row r="419" spans="3:7">
      <c r="C419" s="23"/>
      <c r="D419" s="20"/>
      <c r="E419" s="10"/>
      <c r="F419" s="10"/>
      <c r="G419" s="10"/>
    </row>
    <row r="420" spans="3:7">
      <c r="C420" s="12"/>
      <c r="D420" s="20"/>
      <c r="E420" s="10"/>
      <c r="F420" s="10"/>
      <c r="G420" s="10"/>
    </row>
    <row r="421" spans="3:7">
      <c r="C421" s="12"/>
      <c r="D421" s="20"/>
      <c r="E421" s="10"/>
      <c r="F421" s="10"/>
      <c r="G421" s="10"/>
    </row>
    <row r="422" spans="3:7">
      <c r="C422" s="12"/>
      <c r="D422" s="20"/>
      <c r="E422" s="10"/>
      <c r="F422" s="10"/>
      <c r="G422" s="10"/>
    </row>
    <row r="423" spans="3:7">
      <c r="C423" s="12"/>
      <c r="D423" s="20"/>
      <c r="E423" s="10"/>
      <c r="F423" s="10"/>
      <c r="G423" s="10"/>
    </row>
    <row r="424" spans="3:7">
      <c r="C424" s="12"/>
      <c r="D424" s="20"/>
      <c r="E424" s="10"/>
      <c r="F424" s="10"/>
      <c r="G424" s="10"/>
    </row>
    <row r="425" spans="3:7">
      <c r="C425" s="12"/>
      <c r="D425" s="20"/>
      <c r="E425" s="10"/>
      <c r="F425" s="10"/>
      <c r="G425" s="10"/>
    </row>
    <row r="426" spans="3:7">
      <c r="C426" s="8"/>
      <c r="D426" s="20"/>
      <c r="E426" s="10"/>
      <c r="F426" s="10"/>
      <c r="G426" s="10"/>
    </row>
    <row r="427" spans="3:7">
      <c r="C427" s="12"/>
      <c r="D427" s="20"/>
      <c r="E427" s="10"/>
      <c r="F427" s="10"/>
      <c r="G427" s="10"/>
    </row>
    <row r="428" spans="3:7">
      <c r="C428" s="12"/>
      <c r="D428" s="20"/>
      <c r="E428" s="10"/>
      <c r="F428" s="10"/>
      <c r="G428" s="10"/>
    </row>
    <row r="429" spans="3:7">
      <c r="C429" s="8"/>
      <c r="D429" s="20"/>
      <c r="E429" s="10"/>
      <c r="F429" s="10"/>
      <c r="G429" s="10"/>
    </row>
    <row r="430" spans="3:7">
      <c r="C430" s="12"/>
      <c r="D430" s="20"/>
      <c r="E430" s="10"/>
      <c r="F430" s="10"/>
      <c r="G430" s="10"/>
    </row>
    <row r="431" spans="3:7">
      <c r="C431" s="12"/>
      <c r="D431" s="20"/>
      <c r="E431" s="10"/>
      <c r="F431" s="10"/>
      <c r="G431" s="10"/>
    </row>
    <row r="432" spans="3:7">
      <c r="C432" s="8"/>
      <c r="D432" s="20"/>
      <c r="E432" s="10"/>
      <c r="F432" s="10"/>
      <c r="G432" s="10"/>
    </row>
    <row r="433" spans="1:7">
      <c r="C433" s="23"/>
      <c r="D433" s="20"/>
      <c r="E433" s="10"/>
      <c r="F433" s="10"/>
      <c r="G433" s="10"/>
    </row>
    <row r="434" spans="1:7">
      <c r="C434" s="23"/>
      <c r="D434" s="20"/>
      <c r="E434" s="10"/>
      <c r="F434" s="10"/>
      <c r="G434" s="10"/>
    </row>
    <row r="435" spans="1:7">
      <c r="C435" s="2"/>
      <c r="D435" s="2"/>
      <c r="E435" s="2"/>
      <c r="F435" s="2"/>
      <c r="G435" s="2"/>
    </row>
    <row r="436" spans="1:7">
      <c r="C436" s="2"/>
      <c r="D436" s="2"/>
      <c r="E436" s="2"/>
      <c r="F436" s="2"/>
      <c r="G436" s="2"/>
    </row>
    <row r="437" spans="1:7">
      <c r="C437" s="2"/>
      <c r="D437" s="2"/>
      <c r="E437" s="2"/>
      <c r="F437" s="2"/>
      <c r="G437" s="2"/>
    </row>
    <row r="438" spans="1:7" s="33" customFormat="1">
      <c r="A438" s="2"/>
      <c r="B438" s="2"/>
      <c r="C438" s="2"/>
      <c r="D438" s="2"/>
      <c r="E438" s="2"/>
      <c r="F438" s="2"/>
      <c r="G438" s="2"/>
    </row>
    <row r="439" spans="1:7" s="33" customFormat="1">
      <c r="A439" s="2"/>
      <c r="B439" s="2"/>
      <c r="C439" s="2"/>
      <c r="D439" s="2"/>
      <c r="E439" s="2"/>
      <c r="F439" s="2"/>
      <c r="G439" s="2"/>
    </row>
    <row r="440" spans="1:7" s="33" customFormat="1">
      <c r="A440" s="2"/>
      <c r="B440" s="2"/>
      <c r="C440" s="2"/>
      <c r="D440" s="2"/>
      <c r="E440" s="2"/>
      <c r="F440" s="2"/>
      <c r="G440" s="2"/>
    </row>
    <row r="441" spans="1:7" s="33" customFormat="1">
      <c r="A441" s="2"/>
      <c r="B441" s="2"/>
      <c r="C441" s="2"/>
      <c r="D441" s="2"/>
      <c r="E441" s="2"/>
      <c r="F441" s="2"/>
      <c r="G441" s="2"/>
    </row>
    <row r="442" spans="1:7" s="33" customFormat="1">
      <c r="A442" s="2"/>
      <c r="B442" s="2"/>
      <c r="C442" s="2"/>
      <c r="D442" s="2"/>
      <c r="E442" s="2"/>
      <c r="F442" s="2"/>
      <c r="G442" s="2"/>
    </row>
    <row r="443" spans="1:7" s="33" customFormat="1">
      <c r="A443" s="2"/>
      <c r="B443" s="2"/>
      <c r="C443" s="2"/>
      <c r="D443" s="2"/>
      <c r="E443" s="2"/>
      <c r="F443" s="2"/>
      <c r="G443" s="2"/>
    </row>
    <row r="444" spans="1:7" s="33" customFormat="1">
      <c r="A444" s="2"/>
      <c r="B444" s="2"/>
      <c r="C444" s="2"/>
      <c r="D444" s="2"/>
      <c r="E444" s="2"/>
      <c r="F444" s="2"/>
      <c r="G444" s="2"/>
    </row>
    <row r="445" spans="1:7">
      <c r="C445" s="2"/>
      <c r="D445" s="2"/>
      <c r="E445" s="2"/>
      <c r="F445" s="2"/>
      <c r="G445" s="2"/>
    </row>
    <row r="446" spans="1:7">
      <c r="A446" s="33"/>
      <c r="B446" s="33"/>
      <c r="C446" s="252"/>
      <c r="D446" s="252"/>
      <c r="E446" s="252"/>
      <c r="F446" s="252"/>
      <c r="G446" s="252"/>
    </row>
    <row r="447" spans="1:7">
      <c r="A447" s="33"/>
      <c r="B447" s="33"/>
      <c r="C447" s="33"/>
      <c r="D447" s="252"/>
      <c r="E447" s="252"/>
      <c r="F447" s="252"/>
      <c r="G447" s="252"/>
    </row>
    <row r="448" spans="1:7">
      <c r="A448" s="33"/>
      <c r="B448" s="33"/>
      <c r="C448" s="33"/>
      <c r="D448" s="20"/>
      <c r="E448" s="20"/>
      <c r="F448" s="20"/>
      <c r="G448" s="20"/>
    </row>
    <row r="449" spans="1:7">
      <c r="A449" s="33"/>
      <c r="B449" s="33"/>
      <c r="C449" s="252"/>
      <c r="D449" s="252"/>
      <c r="E449" s="252"/>
      <c r="F449" s="252"/>
      <c r="G449" s="252"/>
    </row>
    <row r="450" spans="1:7">
      <c r="A450" s="33"/>
      <c r="B450" s="33"/>
      <c r="C450" s="33"/>
      <c r="D450" s="252"/>
      <c r="E450" s="252"/>
      <c r="F450" s="252"/>
      <c r="G450" s="252"/>
    </row>
    <row r="451" spans="1:7">
      <c r="A451" s="33"/>
      <c r="B451" s="33"/>
      <c r="C451" s="33"/>
      <c r="D451" s="20"/>
      <c r="E451" s="20"/>
      <c r="F451" s="20"/>
      <c r="G451" s="20"/>
    </row>
    <row r="452" spans="1:7">
      <c r="A452" s="33"/>
      <c r="B452" s="33"/>
      <c r="C452" s="33"/>
      <c r="D452" s="33"/>
      <c r="E452" s="33"/>
      <c r="F452" s="33"/>
      <c r="G452" s="33"/>
    </row>
    <row r="453" spans="1:7">
      <c r="C453" s="2"/>
      <c r="D453" s="2"/>
      <c r="E453" s="2"/>
      <c r="F453" s="2"/>
      <c r="G453" s="2"/>
    </row>
    <row r="454" spans="1:7">
      <c r="C454" s="2"/>
      <c r="D454" s="2"/>
      <c r="E454" s="2"/>
      <c r="F454" s="2"/>
      <c r="G454" s="2"/>
    </row>
    <row r="455" spans="1:7">
      <c r="C455" s="2"/>
      <c r="D455" s="2"/>
      <c r="E455" s="2"/>
      <c r="F455" s="2"/>
      <c r="G455" s="2"/>
    </row>
    <row r="456" spans="1:7">
      <c r="C456" s="2"/>
      <c r="D456" s="2"/>
      <c r="E456" s="2"/>
      <c r="F456" s="2"/>
      <c r="G456" s="2"/>
    </row>
    <row r="457" spans="1:7">
      <c r="C457" s="2"/>
      <c r="D457" s="2"/>
      <c r="E457" s="2"/>
      <c r="F457" s="2"/>
      <c r="G457" s="2"/>
    </row>
    <row r="458" spans="1:7">
      <c r="C458" s="2"/>
      <c r="D458" s="2"/>
      <c r="E458" s="2"/>
      <c r="F458" s="2"/>
      <c r="G458" s="2"/>
    </row>
    <row r="459" spans="1:7">
      <c r="C459" s="2"/>
      <c r="D459" s="2"/>
      <c r="E459" s="2"/>
      <c r="F459" s="2"/>
      <c r="G459" s="2"/>
    </row>
    <row r="460" spans="1:7">
      <c r="C460" s="2"/>
      <c r="D460" s="2"/>
      <c r="E460" s="2"/>
      <c r="F460" s="2"/>
      <c r="G460" s="2"/>
    </row>
    <row r="461" spans="1:7">
      <c r="C461" s="7"/>
      <c r="D461" s="2"/>
      <c r="E461" s="2"/>
      <c r="F461" s="2"/>
      <c r="G461" s="2"/>
    </row>
    <row r="462" spans="1:7">
      <c r="C462" s="8"/>
      <c r="D462" s="11"/>
      <c r="E462" s="10"/>
      <c r="F462" s="10"/>
      <c r="G462" s="5"/>
    </row>
    <row r="463" spans="1:7">
      <c r="C463" s="8"/>
      <c r="D463" s="11"/>
      <c r="E463" s="10"/>
      <c r="F463" s="10"/>
      <c r="G463" s="10"/>
    </row>
    <row r="464" spans="1:7">
      <c r="C464" s="12"/>
      <c r="D464" s="11"/>
      <c r="E464" s="10"/>
      <c r="F464" s="10"/>
      <c r="G464" s="10"/>
    </row>
    <row r="465" spans="3:7">
      <c r="C465" s="12"/>
      <c r="D465" s="11"/>
      <c r="E465" s="10"/>
      <c r="F465" s="10"/>
      <c r="G465" s="10"/>
    </row>
    <row r="466" spans="3:7">
      <c r="C466" s="8"/>
      <c r="D466" s="11"/>
      <c r="E466" s="10"/>
      <c r="F466" s="10"/>
      <c r="G466" s="10"/>
    </row>
    <row r="467" spans="3:7">
      <c r="C467" s="12"/>
      <c r="D467" s="11"/>
      <c r="E467" s="10"/>
      <c r="F467" s="10"/>
      <c r="G467" s="10"/>
    </row>
    <row r="468" spans="3:7">
      <c r="C468" s="12"/>
      <c r="D468" s="11"/>
      <c r="E468" s="10"/>
      <c r="F468" s="10"/>
      <c r="G468" s="10"/>
    </row>
    <row r="469" spans="3:7">
      <c r="C469" s="12"/>
      <c r="D469" s="11"/>
      <c r="E469" s="10"/>
      <c r="F469" s="10"/>
      <c r="G469" s="10"/>
    </row>
    <row r="470" spans="3:7">
      <c r="C470" s="8"/>
      <c r="D470" s="11"/>
      <c r="E470" s="10"/>
      <c r="F470" s="10"/>
      <c r="G470" s="10"/>
    </row>
    <row r="471" spans="3:7">
      <c r="C471" s="12"/>
      <c r="D471" s="11"/>
      <c r="E471" s="10"/>
      <c r="F471" s="10"/>
      <c r="G471" s="10"/>
    </row>
    <row r="472" spans="3:7">
      <c r="C472" s="12"/>
      <c r="D472" s="11"/>
      <c r="E472" s="10"/>
      <c r="F472" s="10"/>
      <c r="G472" s="10"/>
    </row>
    <row r="473" spans="3:7">
      <c r="C473" s="8"/>
      <c r="D473" s="11"/>
      <c r="E473" s="10"/>
      <c r="F473" s="10"/>
      <c r="G473" s="10"/>
    </row>
    <row r="474" spans="3:7">
      <c r="C474" s="12"/>
      <c r="D474" s="11"/>
      <c r="E474" s="10"/>
      <c r="F474" s="10"/>
      <c r="G474" s="10"/>
    </row>
    <row r="475" spans="3:7">
      <c r="C475" s="12"/>
      <c r="D475" s="11"/>
      <c r="E475" s="10"/>
      <c r="F475" s="10"/>
      <c r="G475" s="10"/>
    </row>
    <row r="476" spans="3:7">
      <c r="C476" s="37"/>
      <c r="D476" s="10"/>
      <c r="E476" s="10"/>
      <c r="F476" s="10"/>
      <c r="G476" s="10"/>
    </row>
    <row r="477" spans="3:7">
      <c r="C477" s="38"/>
      <c r="D477" s="10"/>
      <c r="E477" s="10"/>
      <c r="F477" s="10"/>
      <c r="G477" s="10"/>
    </row>
    <row r="478" spans="3:7">
      <c r="C478" s="13"/>
      <c r="D478" s="14"/>
      <c r="E478" s="14"/>
      <c r="F478" s="14"/>
      <c r="G478" s="14"/>
    </row>
    <row r="479" spans="3:7">
      <c r="C479" s="15"/>
      <c r="D479" s="16"/>
      <c r="E479" s="10"/>
      <c r="F479" s="10"/>
      <c r="G479" s="10"/>
    </row>
    <row r="480" spans="3:7">
      <c r="C480" s="15"/>
      <c r="D480" s="16"/>
      <c r="E480" s="10"/>
      <c r="F480" s="10"/>
      <c r="G480" s="10"/>
    </row>
    <row r="481" spans="3:7">
      <c r="C481" s="15"/>
      <c r="D481" s="16"/>
      <c r="E481" s="10"/>
      <c r="F481" s="10"/>
      <c r="G481" s="10"/>
    </row>
    <row r="482" spans="3:7">
      <c r="C482" s="15"/>
      <c r="D482" s="16"/>
      <c r="E482" s="10"/>
      <c r="F482" s="10"/>
      <c r="G482" s="10"/>
    </row>
    <row r="483" spans="3:7">
      <c r="C483" s="15"/>
      <c r="D483" s="16"/>
      <c r="E483" s="10"/>
      <c r="F483" s="10"/>
      <c r="G483" s="10"/>
    </row>
    <row r="484" spans="3:7">
      <c r="C484" s="15"/>
      <c r="D484" s="16"/>
      <c r="E484" s="10"/>
      <c r="F484" s="10"/>
      <c r="G484" s="10"/>
    </row>
    <row r="485" spans="3:7">
      <c r="C485" s="17"/>
      <c r="D485" s="11"/>
      <c r="E485" s="16"/>
      <c r="F485" s="5"/>
      <c r="G485" s="5"/>
    </row>
    <row r="486" spans="3:7">
      <c r="C486" s="18"/>
      <c r="D486" s="11"/>
      <c r="E486" s="16"/>
      <c r="F486" s="5"/>
      <c r="G486" s="5"/>
    </row>
    <row r="487" spans="3:7">
      <c r="C487" s="18"/>
      <c r="D487" s="11"/>
      <c r="E487" s="16"/>
      <c r="F487" s="5"/>
      <c r="G487" s="5"/>
    </row>
    <row r="488" spans="3:7">
      <c r="C488" s="18"/>
      <c r="D488" s="11"/>
      <c r="E488" s="16"/>
      <c r="F488" s="5"/>
      <c r="G488" s="5"/>
    </row>
    <row r="489" spans="3:7">
      <c r="C489" s="17"/>
      <c r="D489" s="11"/>
      <c r="E489" s="16"/>
      <c r="F489" s="5"/>
      <c r="G489" s="5"/>
    </row>
    <row r="490" spans="3:7">
      <c r="C490" s="18"/>
      <c r="D490" s="11"/>
      <c r="E490" s="16"/>
      <c r="F490" s="5"/>
      <c r="G490" s="5"/>
    </row>
    <row r="491" spans="3:7">
      <c r="C491" s="18"/>
      <c r="D491" s="11"/>
      <c r="E491" s="16"/>
      <c r="F491" s="5"/>
      <c r="G491" s="5"/>
    </row>
    <row r="492" spans="3:7">
      <c r="C492" s="18"/>
      <c r="D492" s="11"/>
      <c r="E492" s="16"/>
      <c r="F492" s="5"/>
      <c r="G492" s="5"/>
    </row>
    <row r="493" spans="3:7">
      <c r="C493" s="18"/>
      <c r="D493" s="11"/>
      <c r="E493" s="16"/>
      <c r="F493" s="5"/>
      <c r="G493" s="5"/>
    </row>
    <row r="494" spans="3:7">
      <c r="C494" s="18"/>
      <c r="D494" s="11"/>
      <c r="E494" s="16"/>
      <c r="F494" s="5"/>
      <c r="G494" s="5"/>
    </row>
    <row r="495" spans="3:7">
      <c r="C495" s="18"/>
      <c r="D495" s="11"/>
      <c r="E495" s="16"/>
      <c r="F495" s="5"/>
      <c r="G495" s="5"/>
    </row>
    <row r="496" spans="3:7">
      <c r="C496" s="18"/>
      <c r="D496" s="11"/>
      <c r="E496" s="16"/>
      <c r="F496" s="5"/>
      <c r="G496" s="5"/>
    </row>
    <row r="497" spans="3:7">
      <c r="C497" s="18"/>
      <c r="D497" s="11"/>
      <c r="E497" s="16"/>
      <c r="F497" s="5"/>
      <c r="G497" s="5"/>
    </row>
    <row r="498" spans="3:7">
      <c r="C498" s="18"/>
      <c r="D498" s="11"/>
      <c r="E498" s="16"/>
      <c r="F498" s="5"/>
      <c r="G498" s="5"/>
    </row>
    <row r="499" spans="3:7">
      <c r="C499" s="2"/>
      <c r="D499" s="2"/>
      <c r="E499" s="2"/>
      <c r="F499" s="2"/>
      <c r="G499" s="2"/>
    </row>
    <row r="500" spans="3:7">
      <c r="C500" s="2"/>
      <c r="D500" s="2"/>
      <c r="E500" s="2"/>
      <c r="F500" s="2"/>
      <c r="G500" s="2"/>
    </row>
    <row r="501" spans="3:7">
      <c r="C501" s="2"/>
      <c r="D501" s="2"/>
      <c r="E501" s="2"/>
      <c r="F501" s="2"/>
      <c r="G501" s="2"/>
    </row>
    <row r="502" spans="3:7">
      <c r="C502" s="2"/>
      <c r="D502" s="2"/>
      <c r="E502" s="2"/>
      <c r="F502" s="2"/>
      <c r="G502" s="2"/>
    </row>
    <row r="503" spans="3:7">
      <c r="C503" s="2"/>
      <c r="D503" s="2"/>
      <c r="E503" s="2"/>
      <c r="F503" s="2"/>
      <c r="G503" s="2"/>
    </row>
    <row r="504" spans="3:7">
      <c r="C504" s="2"/>
      <c r="D504" s="2"/>
      <c r="E504" s="2"/>
      <c r="F504" s="2"/>
      <c r="G504" s="2"/>
    </row>
    <row r="505" spans="3:7">
      <c r="C505" s="2"/>
      <c r="D505" s="2"/>
      <c r="E505" s="2"/>
      <c r="F505" s="2"/>
      <c r="G505" s="2"/>
    </row>
    <row r="506" spans="3:7">
      <c r="C506" s="2"/>
      <c r="D506" s="2"/>
      <c r="E506" s="2"/>
      <c r="F506" s="2"/>
      <c r="G506" s="2"/>
    </row>
    <row r="507" spans="3:7">
      <c r="C507" s="2"/>
      <c r="D507" s="2"/>
      <c r="E507" s="2"/>
      <c r="F507" s="2"/>
      <c r="G507" s="2"/>
    </row>
    <row r="508" spans="3:7">
      <c r="C508" s="2"/>
      <c r="D508" s="2"/>
      <c r="E508" s="2"/>
      <c r="F508" s="2"/>
      <c r="G508" s="2"/>
    </row>
    <row r="509" spans="3:7">
      <c r="C509" s="2"/>
      <c r="D509" s="2"/>
      <c r="E509" s="2"/>
      <c r="F509" s="2"/>
      <c r="G509" s="2"/>
    </row>
    <row r="510" spans="3:7">
      <c r="C510" s="2"/>
      <c r="D510" s="2"/>
      <c r="E510" s="2"/>
      <c r="F510" s="2"/>
      <c r="G510" s="2"/>
    </row>
    <row r="511" spans="3:7">
      <c r="C511" s="2"/>
      <c r="D511" s="2"/>
      <c r="E511" s="2"/>
      <c r="F511" s="2"/>
      <c r="G511" s="2"/>
    </row>
    <row r="512" spans="3:7">
      <c r="C512" s="2"/>
      <c r="D512" s="2"/>
      <c r="E512" s="2"/>
      <c r="F512" s="2"/>
      <c r="G512" s="2"/>
    </row>
    <row r="513" spans="3:7">
      <c r="C513" s="2"/>
      <c r="D513" s="2"/>
      <c r="E513" s="2"/>
      <c r="F513" s="2"/>
      <c r="G513" s="2"/>
    </row>
    <row r="514" spans="3:7">
      <c r="C514" s="2"/>
      <c r="D514" s="2"/>
      <c r="E514" s="2"/>
      <c r="F514" s="2"/>
      <c r="G514" s="2"/>
    </row>
    <row r="515" spans="3:7">
      <c r="C515" s="2"/>
      <c r="D515" s="2"/>
      <c r="E515" s="2"/>
      <c r="F515" s="2"/>
      <c r="G515" s="2"/>
    </row>
    <row r="516" spans="3:7">
      <c r="C516" s="2"/>
      <c r="D516" s="2"/>
      <c r="E516" s="2"/>
      <c r="F516" s="2"/>
      <c r="G516" s="2"/>
    </row>
    <row r="517" spans="3:7">
      <c r="C517" s="2"/>
      <c r="D517" s="2"/>
      <c r="E517" s="2"/>
      <c r="F517" s="2"/>
      <c r="G517" s="2"/>
    </row>
    <row r="518" spans="3:7">
      <c r="C518" s="2"/>
      <c r="D518" s="2"/>
      <c r="E518" s="2"/>
      <c r="F518" s="2"/>
      <c r="G518" s="2"/>
    </row>
    <row r="519" spans="3:7">
      <c r="C519" s="2"/>
      <c r="D519" s="2"/>
      <c r="E519" s="2"/>
      <c r="F519" s="2"/>
      <c r="G519" s="2"/>
    </row>
    <row r="520" spans="3:7">
      <c r="C520" s="2"/>
      <c r="D520" s="2"/>
      <c r="E520" s="2"/>
      <c r="F520" s="2"/>
      <c r="G520" s="2"/>
    </row>
    <row r="521" spans="3:7">
      <c r="C521" s="2"/>
      <c r="D521" s="2"/>
      <c r="E521" s="2"/>
      <c r="F521" s="2"/>
      <c r="G521" s="2"/>
    </row>
    <row r="522" spans="3:7">
      <c r="C522" s="2"/>
      <c r="D522" s="2"/>
      <c r="E522" s="2"/>
      <c r="F522" s="2"/>
      <c r="G522" s="2"/>
    </row>
    <row r="523" spans="3:7">
      <c r="C523" s="2"/>
      <c r="D523" s="2"/>
      <c r="E523" s="2"/>
      <c r="F523" s="2"/>
      <c r="G523" s="2"/>
    </row>
    <row r="524" spans="3:7">
      <c r="C524" s="2"/>
      <c r="D524" s="2"/>
      <c r="E524" s="2"/>
      <c r="F524" s="2"/>
      <c r="G524" s="2"/>
    </row>
    <row r="525" spans="3:7">
      <c r="C525" s="2"/>
      <c r="D525" s="2"/>
      <c r="E525" s="2"/>
      <c r="F525" s="2"/>
      <c r="G525" s="2"/>
    </row>
    <row r="526" spans="3:7">
      <c r="C526" s="2"/>
      <c r="D526" s="2"/>
      <c r="E526" s="2"/>
      <c r="F526" s="2"/>
      <c r="G526" s="2"/>
    </row>
    <row r="527" spans="3:7">
      <c r="C527" s="2"/>
      <c r="D527" s="2"/>
      <c r="E527" s="2"/>
      <c r="F527" s="2"/>
      <c r="G527" s="2"/>
    </row>
    <row r="528" spans="3:7">
      <c r="C528" s="2"/>
      <c r="D528" s="2"/>
      <c r="E528" s="2"/>
      <c r="F528" s="2"/>
      <c r="G528" s="2"/>
    </row>
    <row r="529" spans="3:7">
      <c r="C529" s="2"/>
      <c r="D529" s="2"/>
      <c r="E529" s="2"/>
      <c r="F529" s="2"/>
      <c r="G529" s="2"/>
    </row>
    <row r="530" spans="3:7">
      <c r="C530" s="2"/>
      <c r="D530" s="2"/>
      <c r="E530" s="2"/>
      <c r="F530" s="2"/>
      <c r="G530" s="2"/>
    </row>
    <row r="531" spans="3:7">
      <c r="C531" s="2"/>
      <c r="D531" s="2"/>
      <c r="E531" s="2"/>
      <c r="F531" s="2"/>
      <c r="G531" s="2"/>
    </row>
    <row r="532" spans="3:7">
      <c r="C532" s="2"/>
      <c r="D532" s="2"/>
      <c r="E532" s="2"/>
      <c r="F532" s="2"/>
      <c r="G532" s="2"/>
    </row>
    <row r="533" spans="3:7">
      <c r="C533" s="2"/>
      <c r="D533" s="2"/>
      <c r="E533" s="2"/>
      <c r="F533" s="2"/>
      <c r="G533" s="2"/>
    </row>
    <row r="534" spans="3:7">
      <c r="C534" s="2"/>
      <c r="D534" s="2"/>
      <c r="E534" s="2"/>
      <c r="F534" s="2"/>
      <c r="G534" s="2"/>
    </row>
    <row r="535" spans="3:7">
      <c r="C535" s="2"/>
      <c r="D535" s="2"/>
      <c r="E535" s="2"/>
      <c r="F535" s="2"/>
      <c r="G535" s="2"/>
    </row>
    <row r="536" spans="3:7">
      <c r="C536" s="2"/>
      <c r="D536" s="2"/>
      <c r="E536" s="2"/>
      <c r="F536" s="2"/>
      <c r="G536" s="2"/>
    </row>
    <row r="537" spans="3:7">
      <c r="C537" s="2"/>
      <c r="D537" s="2"/>
      <c r="E537" s="2"/>
      <c r="F537" s="2"/>
      <c r="G537" s="2"/>
    </row>
    <row r="538" spans="3:7">
      <c r="C538" s="2"/>
      <c r="D538" s="2"/>
      <c r="E538" s="2"/>
      <c r="F538" s="2"/>
      <c r="G538" s="2"/>
    </row>
    <row r="539" spans="3:7">
      <c r="C539" s="2"/>
      <c r="D539" s="2"/>
      <c r="E539" s="2"/>
      <c r="F539" s="2"/>
      <c r="G539" s="2"/>
    </row>
    <row r="540" spans="3:7">
      <c r="C540" s="2"/>
      <c r="D540" s="2"/>
      <c r="E540" s="2"/>
      <c r="F540" s="2"/>
      <c r="G540" s="2"/>
    </row>
    <row r="541" spans="3:7">
      <c r="C541" s="2"/>
      <c r="D541" s="2"/>
      <c r="E541" s="2"/>
      <c r="F541" s="2"/>
      <c r="G541" s="2"/>
    </row>
    <row r="542" spans="3:7">
      <c r="C542" s="2"/>
      <c r="D542" s="2"/>
      <c r="E542" s="2"/>
      <c r="F542" s="2"/>
      <c r="G542" s="2"/>
    </row>
    <row r="543" spans="3:7">
      <c r="C543" s="2"/>
      <c r="D543" s="2"/>
      <c r="E543" s="2"/>
      <c r="F543" s="2"/>
      <c r="G543" s="2"/>
    </row>
    <row r="544" spans="3:7">
      <c r="C544" s="2"/>
      <c r="D544" s="2"/>
      <c r="E544" s="2"/>
      <c r="F544" s="2"/>
      <c r="G544" s="2"/>
    </row>
    <row r="545" spans="3:7">
      <c r="C545" s="2"/>
      <c r="D545" s="2"/>
      <c r="E545" s="2"/>
      <c r="F545" s="2"/>
      <c r="G545" s="2"/>
    </row>
    <row r="546" spans="3:7">
      <c r="C546" s="2"/>
      <c r="D546" s="2"/>
      <c r="E546" s="2"/>
      <c r="F546" s="2"/>
      <c r="G546" s="2"/>
    </row>
    <row r="547" spans="3:7">
      <c r="C547" s="2"/>
      <c r="D547" s="2"/>
      <c r="E547" s="2"/>
      <c r="F547" s="2"/>
      <c r="G547" s="2"/>
    </row>
    <row r="548" spans="3:7">
      <c r="C548" s="2"/>
      <c r="D548" s="2"/>
      <c r="E548" s="2"/>
      <c r="F548" s="2"/>
      <c r="G548" s="2"/>
    </row>
    <row r="549" spans="3:7">
      <c r="C549" s="2"/>
      <c r="D549" s="2"/>
      <c r="E549" s="2"/>
      <c r="F549" s="2"/>
      <c r="G549" s="2"/>
    </row>
    <row r="550" spans="3:7">
      <c r="C550" s="2"/>
      <c r="D550" s="2"/>
      <c r="E550" s="2"/>
      <c r="F550" s="2"/>
      <c r="G550" s="2"/>
    </row>
    <row r="551" spans="3:7">
      <c r="C551" s="2"/>
      <c r="D551" s="2"/>
      <c r="E551" s="2"/>
      <c r="F551" s="2"/>
      <c r="G551" s="2"/>
    </row>
    <row r="552" spans="3:7">
      <c r="C552" s="2"/>
      <c r="D552" s="2"/>
      <c r="E552" s="2"/>
      <c r="F552" s="2"/>
      <c r="G552" s="2"/>
    </row>
    <row r="553" spans="3:7">
      <c r="C553" s="2"/>
      <c r="D553" s="2"/>
      <c r="E553" s="2"/>
      <c r="F553" s="2"/>
      <c r="G553" s="2"/>
    </row>
    <row r="554" spans="3:7">
      <c r="C554" s="2"/>
      <c r="D554" s="2"/>
      <c r="E554" s="2"/>
      <c r="F554" s="2"/>
      <c r="G554" s="2"/>
    </row>
    <row r="555" spans="3:7">
      <c r="C555" s="2"/>
      <c r="D555" s="2"/>
      <c r="E555" s="2"/>
      <c r="F555" s="2"/>
      <c r="G555" s="2"/>
    </row>
    <row r="556" spans="3:7">
      <c r="C556" s="2"/>
      <c r="D556" s="2"/>
      <c r="E556" s="2"/>
      <c r="F556" s="2"/>
      <c r="G556" s="2"/>
    </row>
    <row r="557" spans="3:7">
      <c r="C557" s="2"/>
      <c r="D557" s="2"/>
      <c r="E557" s="2"/>
      <c r="F557" s="2"/>
      <c r="G557" s="2"/>
    </row>
    <row r="558" spans="3:7">
      <c r="C558" s="2"/>
      <c r="D558" s="2"/>
      <c r="E558" s="2"/>
      <c r="F558" s="2"/>
      <c r="G558" s="2"/>
    </row>
    <row r="559" spans="3:7">
      <c r="C559" s="2"/>
      <c r="D559" s="2"/>
      <c r="E559" s="2"/>
      <c r="F559" s="2"/>
      <c r="G559" s="2"/>
    </row>
    <row r="560" spans="3:7">
      <c r="C560" s="2"/>
      <c r="D560" s="2"/>
      <c r="E560" s="2"/>
      <c r="F560" s="2"/>
      <c r="G560" s="2"/>
    </row>
    <row r="561" spans="3:7">
      <c r="C561" s="2"/>
      <c r="D561" s="2"/>
      <c r="E561" s="2"/>
      <c r="F561" s="2"/>
      <c r="G561" s="2"/>
    </row>
    <row r="562" spans="3:7">
      <c r="C562" s="2"/>
      <c r="D562" s="2"/>
      <c r="E562" s="2"/>
      <c r="F562" s="2"/>
      <c r="G562" s="2"/>
    </row>
    <row r="563" spans="3:7">
      <c r="C563" s="2"/>
      <c r="D563" s="2"/>
      <c r="E563" s="2"/>
      <c r="F563" s="2"/>
      <c r="G563" s="2"/>
    </row>
    <row r="564" spans="3:7">
      <c r="C564" s="2"/>
      <c r="D564" s="2"/>
      <c r="E564" s="2"/>
      <c r="F564" s="2"/>
      <c r="G564" s="2"/>
    </row>
    <row r="565" spans="3:7">
      <c r="C565" s="2"/>
      <c r="D565" s="2"/>
      <c r="E565" s="2"/>
      <c r="F565" s="2"/>
      <c r="G565" s="2"/>
    </row>
    <row r="566" spans="3:7">
      <c r="C566" s="2"/>
      <c r="D566" s="2"/>
      <c r="E566" s="2"/>
      <c r="F566" s="2"/>
      <c r="G566" s="2"/>
    </row>
    <row r="567" spans="3:7">
      <c r="C567" s="2"/>
      <c r="D567" s="2"/>
      <c r="E567" s="2"/>
      <c r="F567" s="2"/>
      <c r="G567" s="2"/>
    </row>
    <row r="568" spans="3:7">
      <c r="C568" s="2"/>
      <c r="D568" s="2"/>
      <c r="E568" s="2"/>
      <c r="F568" s="2"/>
      <c r="G568" s="2"/>
    </row>
    <row r="569" spans="3:7">
      <c r="C569" s="2"/>
      <c r="D569" s="2"/>
      <c r="E569" s="2"/>
      <c r="F569" s="2"/>
      <c r="G569" s="2"/>
    </row>
    <row r="570" spans="3:7">
      <c r="C570" s="2"/>
      <c r="D570" s="2"/>
      <c r="E570" s="2"/>
      <c r="F570" s="2"/>
      <c r="G570" s="2"/>
    </row>
    <row r="571" spans="3:7">
      <c r="C571" s="2"/>
      <c r="D571" s="2"/>
      <c r="E571" s="2"/>
      <c r="F571" s="2"/>
      <c r="G571" s="2"/>
    </row>
    <row r="572" spans="3:7">
      <c r="C572" s="2"/>
      <c r="D572" s="2"/>
      <c r="E572" s="2"/>
      <c r="F572" s="2"/>
      <c r="G572" s="2"/>
    </row>
    <row r="573" spans="3:7">
      <c r="C573" s="2"/>
      <c r="D573" s="2"/>
      <c r="E573" s="2"/>
      <c r="F573" s="2"/>
      <c r="G573" s="2"/>
    </row>
    <row r="574" spans="3:7">
      <c r="C574" s="2"/>
      <c r="D574" s="2"/>
      <c r="E574" s="2"/>
      <c r="F574" s="2"/>
      <c r="G574" s="2"/>
    </row>
    <row r="575" spans="3:7">
      <c r="C575" s="2"/>
      <c r="D575" s="2"/>
      <c r="E575" s="2"/>
      <c r="F575" s="2"/>
      <c r="G575" s="2"/>
    </row>
    <row r="576" spans="3:7">
      <c r="C576" s="2"/>
      <c r="D576" s="2"/>
      <c r="E576" s="2"/>
      <c r="F576" s="2"/>
      <c r="G576" s="2"/>
    </row>
  </sheetData>
  <mergeCells count="23">
    <mergeCell ref="A10:I10"/>
    <mergeCell ref="A2:G2"/>
    <mergeCell ref="A4:G4"/>
    <mergeCell ref="A5:G5"/>
    <mergeCell ref="A6:G6"/>
    <mergeCell ref="A8:K8"/>
    <mergeCell ref="A9:N9"/>
    <mergeCell ref="A11:G11"/>
    <mergeCell ref="A13:A14"/>
    <mergeCell ref="B13:B14"/>
    <mergeCell ref="C13:C14"/>
    <mergeCell ref="D13:D14"/>
    <mergeCell ref="E13:E14"/>
    <mergeCell ref="F13:F14"/>
    <mergeCell ref="G13:G14"/>
    <mergeCell ref="C446:G446"/>
    <mergeCell ref="D447:G447"/>
    <mergeCell ref="C449:G449"/>
    <mergeCell ref="D450:G450"/>
    <mergeCell ref="C48:G48"/>
    <mergeCell ref="C49:G49"/>
    <mergeCell ref="C51:G51"/>
    <mergeCell ref="C52:G52"/>
  </mergeCells>
  <pageMargins left="1.1023622047244095" right="0.27559055118110237" top="0.43307086614173229" bottom="0.39370078740157483" header="0.31496062992125984" footer="0.31496062992125984"/>
  <pageSetup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3:N576"/>
  <sheetViews>
    <sheetView topLeftCell="A16" workbookViewId="0">
      <selection activeCell="G27" sqref="G27"/>
    </sheetView>
  </sheetViews>
  <sheetFormatPr defaultRowHeight="12.75"/>
  <cols>
    <col min="1" max="1" width="7" style="2" bestFit="1" customWidth="1"/>
    <col min="2" max="2" width="6.42578125" style="2" customWidth="1"/>
    <col min="3" max="3" width="36.85546875" style="1" customWidth="1"/>
    <col min="4" max="4" width="9.7109375" style="1" bestFit="1" customWidth="1"/>
    <col min="5" max="5" width="9.85546875" style="1" bestFit="1" customWidth="1"/>
    <col min="6" max="6" width="9" style="1" customWidth="1"/>
    <col min="7" max="7" width="8.7109375" style="1" customWidth="1"/>
    <col min="8" max="16384" width="9.140625" style="2"/>
  </cols>
  <sheetData>
    <row r="3" spans="1:14" s="4" customFormat="1">
      <c r="A3" s="246" t="s">
        <v>111</v>
      </c>
      <c r="B3" s="246"/>
      <c r="C3" s="246"/>
      <c r="D3" s="246"/>
      <c r="E3" s="246"/>
      <c r="F3" s="246"/>
      <c r="G3" s="246"/>
    </row>
    <row r="4" spans="1:14" s="4" customFormat="1">
      <c r="A4" s="97"/>
      <c r="B4" s="97"/>
      <c r="C4" s="97"/>
      <c r="D4" s="97"/>
      <c r="E4" s="97"/>
      <c r="F4" s="97"/>
      <c r="G4" s="97"/>
    </row>
    <row r="5" spans="1:14" s="4" customFormat="1"/>
    <row r="6" spans="1:14" s="4" customFormat="1">
      <c r="A6" s="256" t="s">
        <v>112</v>
      </c>
      <c r="B6" s="256"/>
      <c r="C6" s="256"/>
      <c r="D6" s="256"/>
      <c r="E6" s="256"/>
      <c r="F6" s="256"/>
      <c r="G6" s="256"/>
    </row>
    <row r="7" spans="1:14" s="4" customFormat="1">
      <c r="A7" s="254" t="s">
        <v>1030</v>
      </c>
      <c r="B7" s="254"/>
      <c r="C7" s="254"/>
      <c r="D7" s="254"/>
      <c r="E7" s="254"/>
      <c r="F7" s="254"/>
      <c r="G7" s="254"/>
    </row>
    <row r="8" spans="1:14" s="4" customFormat="1">
      <c r="A8" s="247" t="s">
        <v>3</v>
      </c>
      <c r="B8" s="247"/>
      <c r="C8" s="247"/>
      <c r="D8" s="247"/>
      <c r="E8" s="247"/>
      <c r="F8" s="247"/>
      <c r="G8" s="247"/>
    </row>
    <row r="9" spans="1:14" s="4" customFormat="1">
      <c r="A9" s="27"/>
      <c r="B9" s="27"/>
      <c r="C9" s="27"/>
      <c r="D9" s="27"/>
      <c r="E9" s="27"/>
      <c r="F9" s="27"/>
      <c r="G9" s="27"/>
    </row>
    <row r="10" spans="1:14" s="4" customFormat="1"/>
    <row r="11" spans="1:14" s="4" customFormat="1" ht="15" customHeight="1">
      <c r="A11" s="243" t="s">
        <v>636</v>
      </c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121"/>
      <c r="M11" s="121"/>
      <c r="N11" s="121"/>
    </row>
    <row r="12" spans="1:14" s="4" customFormat="1" ht="15" customHeight="1">
      <c r="A12" s="243" t="s">
        <v>1031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</row>
    <row r="13" spans="1:14" s="4" customFormat="1" ht="15" customHeight="1">
      <c r="A13" s="243" t="s">
        <v>1032</v>
      </c>
      <c r="B13" s="243"/>
      <c r="C13" s="243"/>
      <c r="D13" s="243"/>
      <c r="E13" s="243"/>
      <c r="F13" s="243"/>
      <c r="G13" s="243"/>
      <c r="H13" s="243"/>
      <c r="I13" s="243"/>
      <c r="J13" s="86"/>
      <c r="K13" s="86"/>
      <c r="L13" s="122"/>
      <c r="M13" s="122"/>
      <c r="N13" s="86"/>
    </row>
    <row r="14" spans="1:14" s="4" customFormat="1" ht="15" customHeight="1">
      <c r="A14" s="245" t="s">
        <v>10</v>
      </c>
      <c r="B14" s="245"/>
      <c r="C14" s="245"/>
      <c r="D14" s="245"/>
      <c r="E14" s="245"/>
      <c r="F14" s="245"/>
      <c r="G14" s="245"/>
    </row>
    <row r="15" spans="1:14" s="4" customFormat="1" ht="15" customHeight="1">
      <c r="A15" s="49"/>
      <c r="B15" s="49"/>
      <c r="C15" s="49"/>
      <c r="D15" s="49"/>
      <c r="E15" s="49"/>
      <c r="F15" s="49"/>
      <c r="G15" s="49"/>
    </row>
    <row r="16" spans="1:14" s="4" customFormat="1"/>
    <row r="17" spans="1:7" s="4" customFormat="1" ht="12.75" customHeight="1">
      <c r="A17" s="248" t="s">
        <v>11</v>
      </c>
      <c r="B17" s="249" t="s">
        <v>34</v>
      </c>
      <c r="C17" s="248" t="s">
        <v>12</v>
      </c>
      <c r="D17" s="248" t="s">
        <v>13</v>
      </c>
      <c r="E17" s="248" t="s">
        <v>14</v>
      </c>
      <c r="F17" s="244" t="s">
        <v>19</v>
      </c>
      <c r="G17" s="244" t="s">
        <v>20</v>
      </c>
    </row>
    <row r="18" spans="1:7" s="4" customFormat="1" ht="35.25" customHeight="1">
      <c r="A18" s="248"/>
      <c r="B18" s="250"/>
      <c r="C18" s="248"/>
      <c r="D18" s="248"/>
      <c r="E18" s="248"/>
      <c r="F18" s="251"/>
      <c r="G18" s="244"/>
    </row>
    <row r="19" spans="1:7" s="4" customFormat="1" ht="15">
      <c r="A19" s="87" t="s">
        <v>58</v>
      </c>
      <c r="B19" s="58"/>
      <c r="C19" s="41" t="s">
        <v>1033</v>
      </c>
      <c r="D19" s="82"/>
      <c r="E19" s="82"/>
      <c r="F19" s="28"/>
      <c r="G19" s="26"/>
    </row>
    <row r="20" spans="1:7" s="4" customFormat="1" ht="15">
      <c r="A20" s="85" t="s">
        <v>114</v>
      </c>
      <c r="B20" s="58"/>
      <c r="C20" s="78" t="s">
        <v>1034</v>
      </c>
      <c r="D20" s="81" t="s">
        <v>1</v>
      </c>
      <c r="E20" s="146">
        <v>175</v>
      </c>
      <c r="F20" s="28"/>
      <c r="G20" s="26"/>
    </row>
    <row r="21" spans="1:7" s="4" customFormat="1" ht="15">
      <c r="A21" s="85" t="s">
        <v>115</v>
      </c>
      <c r="B21" s="58"/>
      <c r="C21" s="78" t="s">
        <v>1035</v>
      </c>
      <c r="D21" s="81" t="s">
        <v>1</v>
      </c>
      <c r="E21" s="146">
        <v>150</v>
      </c>
      <c r="F21" s="28"/>
      <c r="G21" s="26"/>
    </row>
    <row r="22" spans="1:7" s="4" customFormat="1" ht="15">
      <c r="A22" s="85" t="s">
        <v>116</v>
      </c>
      <c r="B22" s="58"/>
      <c r="C22" s="78" t="s">
        <v>1036</v>
      </c>
      <c r="D22" s="81" t="s">
        <v>1</v>
      </c>
      <c r="E22" s="146">
        <v>42</v>
      </c>
      <c r="F22" s="28"/>
      <c r="G22" s="26"/>
    </row>
    <row r="23" spans="1:7" s="4" customFormat="1" ht="15">
      <c r="A23" s="85" t="s">
        <v>117</v>
      </c>
      <c r="B23" s="58"/>
      <c r="C23" s="78" t="s">
        <v>1037</v>
      </c>
      <c r="D23" s="81" t="s">
        <v>1</v>
      </c>
      <c r="E23" s="146">
        <v>12</v>
      </c>
      <c r="F23" s="28"/>
      <c r="G23" s="26"/>
    </row>
    <row r="24" spans="1:7" s="4" customFormat="1" ht="25.5">
      <c r="A24" s="85" t="s">
        <v>118</v>
      </c>
      <c r="B24" s="58"/>
      <c r="C24" s="78" t="s">
        <v>1038</v>
      </c>
      <c r="D24" s="81" t="s">
        <v>1</v>
      </c>
      <c r="E24" s="146">
        <v>6</v>
      </c>
      <c r="F24" s="28"/>
      <c r="G24" s="26"/>
    </row>
    <row r="25" spans="1:7" s="4" customFormat="1" ht="15">
      <c r="A25" s="85" t="s">
        <v>119</v>
      </c>
      <c r="B25" s="58"/>
      <c r="C25" s="78" t="s">
        <v>1039</v>
      </c>
      <c r="D25" s="81" t="s">
        <v>792</v>
      </c>
      <c r="E25" s="146">
        <v>2</v>
      </c>
      <c r="F25" s="28"/>
      <c r="G25" s="26"/>
    </row>
    <row r="26" spans="1:7" s="4" customFormat="1" ht="15">
      <c r="A26" s="85" t="s">
        <v>120</v>
      </c>
      <c r="B26" s="58"/>
      <c r="C26" s="78" t="s">
        <v>1040</v>
      </c>
      <c r="D26" s="81" t="s">
        <v>792</v>
      </c>
      <c r="E26" s="146">
        <v>1</v>
      </c>
      <c r="F26" s="28"/>
      <c r="G26" s="26"/>
    </row>
    <row r="27" spans="1:7" s="4" customFormat="1" ht="25.5">
      <c r="A27" s="85" t="s">
        <v>161</v>
      </c>
      <c r="B27" s="58"/>
      <c r="C27" s="78" t="s">
        <v>1041</v>
      </c>
      <c r="D27" s="81" t="s">
        <v>792</v>
      </c>
      <c r="E27" s="146">
        <v>5</v>
      </c>
      <c r="F27" s="28"/>
      <c r="G27" s="26"/>
    </row>
    <row r="28" spans="1:7" s="4" customFormat="1" ht="25.5">
      <c r="A28" s="85" t="s">
        <v>162</v>
      </c>
      <c r="B28" s="58"/>
      <c r="C28" s="78" t="s">
        <v>1042</v>
      </c>
      <c r="D28" s="81" t="s">
        <v>792</v>
      </c>
      <c r="E28" s="146">
        <v>10</v>
      </c>
      <c r="F28" s="28"/>
      <c r="G28" s="26"/>
    </row>
    <row r="29" spans="1:7" s="4" customFormat="1" ht="25.5">
      <c r="A29" s="85" t="s">
        <v>163</v>
      </c>
      <c r="B29" s="58"/>
      <c r="C29" s="78" t="s">
        <v>1043</v>
      </c>
      <c r="D29" s="81" t="s">
        <v>792</v>
      </c>
      <c r="E29" s="146">
        <v>2</v>
      </c>
      <c r="F29" s="28"/>
      <c r="G29" s="26"/>
    </row>
    <row r="30" spans="1:7" s="4" customFormat="1" ht="15">
      <c r="A30" s="85" t="s">
        <v>164</v>
      </c>
      <c r="B30" s="58"/>
      <c r="C30" s="78" t="s">
        <v>1044</v>
      </c>
      <c r="D30" s="81" t="s">
        <v>792</v>
      </c>
      <c r="E30" s="146">
        <v>20</v>
      </c>
      <c r="F30" s="28"/>
      <c r="G30" s="26"/>
    </row>
    <row r="31" spans="1:7" s="4" customFormat="1" ht="34.5" customHeight="1">
      <c r="A31" s="85" t="s">
        <v>165</v>
      </c>
      <c r="B31" s="58"/>
      <c r="C31" s="78" t="s">
        <v>1003</v>
      </c>
      <c r="D31" s="81" t="s">
        <v>792</v>
      </c>
      <c r="E31" s="146">
        <v>2</v>
      </c>
      <c r="F31" s="28"/>
      <c r="G31" s="26"/>
    </row>
    <row r="32" spans="1:7" s="4" customFormat="1" ht="33.75" customHeight="1">
      <c r="A32" s="85" t="s">
        <v>166</v>
      </c>
      <c r="B32" s="58"/>
      <c r="C32" s="78" t="s">
        <v>1004</v>
      </c>
      <c r="D32" s="81" t="s">
        <v>792</v>
      </c>
      <c r="E32" s="146">
        <v>1</v>
      </c>
      <c r="F32" s="28"/>
      <c r="G32" s="26"/>
    </row>
    <row r="33" spans="1:7" s="4" customFormat="1" ht="15">
      <c r="A33" s="85" t="s">
        <v>167</v>
      </c>
      <c r="B33" s="58"/>
      <c r="C33" s="78" t="s">
        <v>1045</v>
      </c>
      <c r="D33" s="81" t="s">
        <v>792</v>
      </c>
      <c r="E33" s="146">
        <v>2</v>
      </c>
      <c r="F33" s="28"/>
      <c r="G33" s="26"/>
    </row>
    <row r="34" spans="1:7" s="4" customFormat="1" ht="15">
      <c r="A34" s="85" t="s">
        <v>168</v>
      </c>
      <c r="B34" s="58"/>
      <c r="C34" s="78" t="s">
        <v>1046</v>
      </c>
      <c r="D34" s="81" t="s">
        <v>792</v>
      </c>
      <c r="E34" s="146">
        <v>1</v>
      </c>
      <c r="F34" s="28"/>
      <c r="G34" s="26"/>
    </row>
    <row r="35" spans="1:7" s="4" customFormat="1" ht="15">
      <c r="A35" s="85" t="s">
        <v>169</v>
      </c>
      <c r="B35" s="58"/>
      <c r="C35" s="78" t="s">
        <v>1047</v>
      </c>
      <c r="D35" s="81" t="s">
        <v>792</v>
      </c>
      <c r="E35" s="146">
        <v>1</v>
      </c>
      <c r="F35" s="28"/>
      <c r="G35" s="26"/>
    </row>
    <row r="36" spans="1:7" s="4" customFormat="1" ht="15">
      <c r="A36" s="85" t="s">
        <v>1048</v>
      </c>
      <c r="B36" s="58"/>
      <c r="C36" s="78" t="s">
        <v>1049</v>
      </c>
      <c r="D36" s="81" t="s">
        <v>792</v>
      </c>
      <c r="E36" s="146">
        <v>3</v>
      </c>
      <c r="F36" s="28"/>
      <c r="G36" s="26"/>
    </row>
    <row r="37" spans="1:7" s="4" customFormat="1" ht="25.5">
      <c r="A37" s="85" t="s">
        <v>1050</v>
      </c>
      <c r="B37" s="58"/>
      <c r="C37" s="78" t="s">
        <v>1021</v>
      </c>
      <c r="D37" s="81" t="s">
        <v>1</v>
      </c>
      <c r="E37" s="146">
        <v>385</v>
      </c>
      <c r="F37" s="28"/>
      <c r="G37" s="26"/>
    </row>
    <row r="38" spans="1:7" s="4" customFormat="1" ht="15">
      <c r="A38" s="85" t="s">
        <v>1051</v>
      </c>
      <c r="B38" s="58"/>
      <c r="C38" s="78" t="s">
        <v>1023</v>
      </c>
      <c r="D38" s="81" t="s">
        <v>792</v>
      </c>
      <c r="E38" s="146">
        <v>1</v>
      </c>
      <c r="F38" s="28"/>
      <c r="G38" s="26"/>
    </row>
    <row r="39" spans="1:7" s="4" customFormat="1" ht="15">
      <c r="A39" s="85" t="s">
        <v>1052</v>
      </c>
      <c r="B39" s="58"/>
      <c r="C39" s="78" t="s">
        <v>1053</v>
      </c>
      <c r="D39" s="81" t="s">
        <v>27</v>
      </c>
      <c r="E39" s="146">
        <v>670</v>
      </c>
      <c r="F39" s="28"/>
      <c r="G39" s="26"/>
    </row>
    <row r="40" spans="1:7" s="4" customFormat="1" ht="15">
      <c r="A40" s="85" t="s">
        <v>1054</v>
      </c>
      <c r="B40" s="58"/>
      <c r="C40" s="78" t="s">
        <v>1025</v>
      </c>
      <c r="D40" s="81" t="s">
        <v>27</v>
      </c>
      <c r="E40" s="146">
        <v>610</v>
      </c>
      <c r="F40" s="28"/>
      <c r="G40" s="26"/>
    </row>
    <row r="41" spans="1:7" s="4" customFormat="1" ht="15">
      <c r="A41" s="85" t="s">
        <v>1055</v>
      </c>
      <c r="B41" s="58"/>
      <c r="C41" s="78" t="s">
        <v>991</v>
      </c>
      <c r="D41" s="81" t="s">
        <v>27</v>
      </c>
      <c r="E41" s="146">
        <v>610</v>
      </c>
      <c r="F41" s="28"/>
      <c r="G41" s="26"/>
    </row>
    <row r="42" spans="1:7" s="4" customFormat="1" ht="15">
      <c r="A42" s="85" t="s">
        <v>1056</v>
      </c>
      <c r="B42" s="58"/>
      <c r="C42" s="78" t="s">
        <v>1027</v>
      </c>
      <c r="D42" s="81" t="s">
        <v>27</v>
      </c>
      <c r="E42" s="146">
        <v>610</v>
      </c>
      <c r="F42" s="28"/>
      <c r="G42" s="26"/>
    </row>
    <row r="43" spans="1:7" s="4" customFormat="1" ht="15">
      <c r="A43" s="85" t="s">
        <v>1057</v>
      </c>
      <c r="B43" s="58"/>
      <c r="C43" s="78" t="s">
        <v>1028</v>
      </c>
      <c r="D43" s="81" t="s">
        <v>792</v>
      </c>
      <c r="E43" s="146">
        <v>3</v>
      </c>
      <c r="F43" s="28"/>
      <c r="G43" s="26"/>
    </row>
    <row r="44" spans="1:7" s="4" customFormat="1" ht="46.5" customHeight="1">
      <c r="A44" s="85" t="s">
        <v>1058</v>
      </c>
      <c r="B44" s="58"/>
      <c r="C44" s="78" t="s">
        <v>1059</v>
      </c>
      <c r="D44" s="81" t="s">
        <v>1</v>
      </c>
      <c r="E44" s="146">
        <v>10</v>
      </c>
      <c r="F44" s="28"/>
      <c r="G44" s="26"/>
    </row>
    <row r="45" spans="1:7" s="4" customFormat="1" ht="15">
      <c r="A45" s="85"/>
      <c r="B45" s="58"/>
      <c r="C45" s="79" t="s">
        <v>1060</v>
      </c>
      <c r="D45" s="26"/>
      <c r="E45" s="89"/>
      <c r="F45" s="28"/>
      <c r="G45" s="26"/>
    </row>
    <row r="46" spans="1:7" s="4" customFormat="1">
      <c r="A46" s="133"/>
      <c r="B46" s="134"/>
      <c r="C46" s="199"/>
      <c r="D46" s="199"/>
      <c r="E46" s="199"/>
      <c r="F46" s="199"/>
      <c r="G46" s="199"/>
    </row>
    <row r="47" spans="1:7">
      <c r="A47" s="4"/>
      <c r="B47" s="4"/>
      <c r="C47" s="4"/>
      <c r="D47" s="4"/>
      <c r="E47" s="4"/>
      <c r="F47" s="4"/>
      <c r="G47" s="4"/>
    </row>
    <row r="48" spans="1:7">
      <c r="A48" s="4"/>
      <c r="B48" s="4"/>
      <c r="C48" s="245" t="s">
        <v>21</v>
      </c>
      <c r="D48" s="245"/>
      <c r="E48" s="245"/>
      <c r="F48" s="245"/>
      <c r="G48" s="245"/>
    </row>
    <row r="49" spans="1:7">
      <c r="A49" s="4"/>
      <c r="B49" s="4"/>
      <c r="C49" s="247" t="s">
        <v>5</v>
      </c>
      <c r="D49" s="247"/>
      <c r="E49" s="247"/>
      <c r="F49" s="247"/>
      <c r="G49" s="247"/>
    </row>
    <row r="50" spans="1:7">
      <c r="A50" s="4"/>
      <c r="B50" s="4"/>
      <c r="C50" s="27"/>
      <c r="D50" s="27"/>
      <c r="E50" s="27"/>
      <c r="F50" s="27"/>
      <c r="G50" s="27"/>
    </row>
    <row r="51" spans="1:7">
      <c r="A51" s="4"/>
      <c r="B51" s="4"/>
      <c r="C51" s="245" t="s">
        <v>22</v>
      </c>
      <c r="D51" s="245"/>
      <c r="E51" s="245"/>
      <c r="F51" s="245"/>
      <c r="G51" s="245"/>
    </row>
    <row r="52" spans="1:7">
      <c r="A52" s="4"/>
      <c r="B52" s="4"/>
      <c r="C52" s="247" t="s">
        <v>5</v>
      </c>
      <c r="D52" s="247"/>
      <c r="E52" s="247"/>
      <c r="F52" s="247"/>
      <c r="G52" s="247"/>
    </row>
    <row r="53" spans="1:7">
      <c r="A53" s="4"/>
      <c r="B53" s="4"/>
      <c r="C53" s="27"/>
      <c r="D53" s="27"/>
      <c r="E53" s="27"/>
      <c r="F53" s="27"/>
      <c r="G53" s="27"/>
    </row>
    <row r="54" spans="1:7">
      <c r="A54" s="4"/>
      <c r="B54" s="4"/>
      <c r="C54" s="50" t="s">
        <v>35</v>
      </c>
      <c r="D54" s="49"/>
      <c r="E54" s="49"/>
      <c r="F54" s="49"/>
      <c r="G54" s="4"/>
    </row>
    <row r="56" spans="1:7">
      <c r="C56" s="1" t="s">
        <v>16</v>
      </c>
    </row>
    <row r="57" spans="1:7" ht="51">
      <c r="B57" s="138" t="s">
        <v>765</v>
      </c>
      <c r="C57" s="139" t="s">
        <v>17</v>
      </c>
      <c r="D57" s="139"/>
      <c r="E57" s="139"/>
      <c r="F57" s="139"/>
      <c r="G57" s="139"/>
    </row>
    <row r="58" spans="1:7" ht="38.25">
      <c r="B58" s="138" t="s">
        <v>766</v>
      </c>
      <c r="C58" s="139" t="s">
        <v>767</v>
      </c>
      <c r="D58" s="139"/>
      <c r="E58" s="139"/>
      <c r="F58" s="139"/>
      <c r="G58" s="139"/>
    </row>
    <row r="59" spans="1:7" ht="25.5">
      <c r="B59" s="140" t="s">
        <v>768</v>
      </c>
      <c r="C59" s="141" t="s">
        <v>769</v>
      </c>
      <c r="D59" s="141"/>
      <c r="E59" s="141"/>
      <c r="F59" s="141"/>
      <c r="G59" s="239"/>
    </row>
    <row r="60" spans="1:7">
      <c r="C60" s="7"/>
      <c r="D60" s="9"/>
      <c r="E60" s="10"/>
      <c r="F60" s="10"/>
      <c r="G60" s="10"/>
    </row>
    <row r="61" spans="1:7">
      <c r="C61" s="24"/>
      <c r="D61" s="20"/>
      <c r="E61" s="25"/>
      <c r="F61" s="10"/>
      <c r="G61" s="10"/>
    </row>
    <row r="62" spans="1:7">
      <c r="C62" s="22"/>
      <c r="D62" s="20"/>
      <c r="E62" s="25"/>
      <c r="F62" s="10"/>
      <c r="G62" s="10"/>
    </row>
    <row r="63" spans="1:7">
      <c r="C63" s="8"/>
      <c r="D63" s="9"/>
      <c r="E63" s="10"/>
      <c r="F63" s="10"/>
      <c r="G63" s="10"/>
    </row>
    <row r="64" spans="1:7">
      <c r="C64" s="12"/>
      <c r="D64" s="9"/>
      <c r="E64" s="10"/>
      <c r="F64" s="10"/>
      <c r="G64" s="10"/>
    </row>
    <row r="65" spans="3:7">
      <c r="C65" s="2"/>
      <c r="D65" s="2"/>
      <c r="E65" s="10"/>
      <c r="F65" s="10"/>
      <c r="G65" s="10"/>
    </row>
    <row r="66" spans="3:7">
      <c r="C66" s="2"/>
      <c r="D66" s="2"/>
      <c r="E66" s="20"/>
      <c r="F66" s="10"/>
      <c r="G66" s="10"/>
    </row>
    <row r="67" spans="3:7">
      <c r="C67" s="2"/>
      <c r="D67" s="2"/>
      <c r="E67" s="10"/>
      <c r="F67" s="10"/>
      <c r="G67" s="10"/>
    </row>
    <row r="68" spans="3:7">
      <c r="C68" s="2"/>
      <c r="D68" s="2"/>
      <c r="E68" s="25"/>
      <c r="F68" s="10"/>
      <c r="G68" s="10"/>
    </row>
    <row r="69" spans="3:7">
      <c r="C69" s="2"/>
      <c r="D69" s="2"/>
      <c r="E69" s="5"/>
      <c r="F69" s="6"/>
      <c r="G69" s="5"/>
    </row>
    <row r="70" spans="3:7">
      <c r="C70" s="2"/>
      <c r="D70" s="2"/>
      <c r="E70" s="5"/>
      <c r="F70" s="6"/>
      <c r="G70" s="5"/>
    </row>
    <row r="71" spans="3:7">
      <c r="C71" s="2"/>
      <c r="D71" s="2"/>
      <c r="E71" s="25"/>
      <c r="F71" s="10"/>
      <c r="G71" s="10"/>
    </row>
    <row r="72" spans="3:7">
      <c r="C72" s="2"/>
      <c r="D72" s="2"/>
      <c r="E72" s="25"/>
      <c r="F72" s="10"/>
      <c r="G72" s="10"/>
    </row>
    <row r="73" spans="3:7">
      <c r="C73" s="2"/>
      <c r="D73" s="2"/>
      <c r="E73" s="25"/>
      <c r="F73" s="10"/>
      <c r="G73" s="10"/>
    </row>
    <row r="74" spans="3:7">
      <c r="C74" s="8"/>
      <c r="D74" s="9"/>
      <c r="E74" s="10"/>
      <c r="F74" s="10"/>
      <c r="G74" s="10"/>
    </row>
    <row r="75" spans="3:7">
      <c r="C75" s="12"/>
      <c r="D75" s="9"/>
      <c r="E75" s="10"/>
      <c r="F75" s="10"/>
      <c r="G75" s="10"/>
    </row>
    <row r="76" spans="3:7">
      <c r="C76" s="12"/>
      <c r="D76" s="9"/>
      <c r="E76" s="10"/>
      <c r="F76" s="10"/>
      <c r="G76" s="10"/>
    </row>
    <row r="77" spans="3:7">
      <c r="C77" s="8"/>
      <c r="D77" s="9"/>
      <c r="E77" s="10"/>
      <c r="F77" s="10"/>
      <c r="G77" s="10"/>
    </row>
    <row r="78" spans="3:7">
      <c r="C78" s="12"/>
      <c r="D78" s="9"/>
      <c r="E78" s="10"/>
      <c r="F78" s="10"/>
      <c r="G78" s="10"/>
    </row>
    <row r="79" spans="3:7">
      <c r="C79" s="12"/>
      <c r="D79" s="9"/>
      <c r="E79" s="10"/>
      <c r="F79" s="10"/>
      <c r="G79" s="10"/>
    </row>
    <row r="80" spans="3:7">
      <c r="C80" s="32"/>
      <c r="D80" s="20"/>
      <c r="E80" s="25"/>
      <c r="F80" s="10"/>
      <c r="G80" s="10"/>
    </row>
    <row r="81" spans="3:7">
      <c r="C81" s="24"/>
      <c r="D81" s="20"/>
      <c r="E81" s="25"/>
      <c r="F81" s="10"/>
      <c r="G81" s="10"/>
    </row>
    <row r="82" spans="3:7">
      <c r="C82" s="22"/>
      <c r="D82" s="20"/>
      <c r="E82" s="25"/>
      <c r="F82" s="10"/>
      <c r="G82" s="10"/>
    </row>
    <row r="83" spans="3:7">
      <c r="C83" s="8"/>
      <c r="D83" s="9"/>
      <c r="E83" s="10"/>
      <c r="F83" s="10"/>
      <c r="G83" s="10"/>
    </row>
    <row r="84" spans="3:7">
      <c r="C84" s="12"/>
      <c r="D84" s="9"/>
      <c r="E84" s="10"/>
      <c r="F84" s="10"/>
      <c r="G84" s="10"/>
    </row>
    <row r="85" spans="3:7">
      <c r="C85" s="12"/>
      <c r="D85" s="9"/>
      <c r="E85" s="10"/>
      <c r="F85" s="10"/>
      <c r="G85" s="10"/>
    </row>
    <row r="86" spans="3:7">
      <c r="C86" s="33"/>
      <c r="D86" s="20"/>
      <c r="E86" s="10"/>
      <c r="F86" s="10"/>
      <c r="G86" s="10"/>
    </row>
    <row r="87" spans="3:7">
      <c r="C87" s="23"/>
      <c r="D87" s="20"/>
      <c r="E87" s="10"/>
      <c r="F87" s="10"/>
      <c r="G87" s="10"/>
    </row>
    <row r="88" spans="3:7">
      <c r="C88" s="23"/>
      <c r="D88" s="20"/>
      <c r="E88" s="10"/>
      <c r="F88" s="10"/>
      <c r="G88" s="10"/>
    </row>
    <row r="89" spans="3:7">
      <c r="C89" s="8"/>
      <c r="D89" s="9"/>
      <c r="E89" s="10"/>
      <c r="F89" s="10"/>
      <c r="G89" s="10"/>
    </row>
    <row r="90" spans="3:7">
      <c r="C90" s="12"/>
      <c r="D90" s="9"/>
      <c r="E90" s="10"/>
      <c r="F90" s="10"/>
      <c r="G90" s="10"/>
    </row>
    <row r="91" spans="3:7">
      <c r="C91" s="8"/>
      <c r="D91" s="20"/>
      <c r="E91" s="10"/>
      <c r="F91" s="10"/>
      <c r="G91" s="10"/>
    </row>
    <row r="92" spans="3:7">
      <c r="C92" s="12"/>
      <c r="D92" s="20"/>
      <c r="E92" s="10"/>
      <c r="F92" s="10"/>
      <c r="G92" s="10"/>
    </row>
    <row r="93" spans="3:7">
      <c r="C93" s="34"/>
      <c r="D93" s="20"/>
      <c r="E93" s="10"/>
      <c r="F93" s="10"/>
      <c r="G93" s="10"/>
    </row>
    <row r="94" spans="3:7">
      <c r="C94" s="23"/>
      <c r="D94" s="20"/>
      <c r="E94" s="10"/>
      <c r="F94" s="10"/>
      <c r="G94" s="10"/>
    </row>
    <row r="95" spans="3:7">
      <c r="C95" s="23"/>
      <c r="D95" s="20"/>
      <c r="E95" s="10"/>
      <c r="F95" s="10"/>
      <c r="G95" s="10"/>
    </row>
    <row r="96" spans="3:7">
      <c r="C96" s="23"/>
      <c r="D96" s="20"/>
      <c r="E96" s="10"/>
      <c r="F96" s="10"/>
      <c r="G96" s="10"/>
    </row>
    <row r="97" spans="3:7">
      <c r="C97" s="34"/>
      <c r="D97" s="20"/>
      <c r="E97" s="10"/>
      <c r="F97" s="10"/>
      <c r="G97" s="10"/>
    </row>
    <row r="98" spans="3:7">
      <c r="C98" s="23"/>
      <c r="D98" s="20"/>
      <c r="E98" s="10"/>
      <c r="F98" s="10"/>
      <c r="G98" s="10"/>
    </row>
    <row r="99" spans="3:7">
      <c r="C99" s="23"/>
      <c r="D99" s="20"/>
      <c r="E99" s="10"/>
      <c r="F99" s="10"/>
      <c r="G99" s="10"/>
    </row>
    <row r="100" spans="3:7">
      <c r="C100" s="34"/>
      <c r="D100" s="20"/>
      <c r="E100" s="10"/>
      <c r="F100" s="10"/>
      <c r="G100" s="10"/>
    </row>
    <row r="101" spans="3:7">
      <c r="C101" s="23"/>
      <c r="D101" s="20"/>
      <c r="E101" s="10"/>
      <c r="F101" s="10"/>
      <c r="G101" s="10"/>
    </row>
    <row r="102" spans="3:7">
      <c r="C102" s="23"/>
      <c r="D102" s="20"/>
      <c r="E102" s="10"/>
      <c r="F102" s="10"/>
      <c r="G102" s="10"/>
    </row>
    <row r="103" spans="3:7">
      <c r="C103" s="32"/>
      <c r="D103" s="20"/>
      <c r="E103" s="25"/>
      <c r="F103" s="10"/>
      <c r="G103" s="10"/>
    </row>
    <row r="104" spans="3:7">
      <c r="C104" s="21"/>
      <c r="D104" s="20"/>
      <c r="E104" s="25"/>
      <c r="F104" s="10"/>
      <c r="G104" s="10"/>
    </row>
    <row r="105" spans="3:7">
      <c r="C105" s="22"/>
      <c r="D105" s="20"/>
      <c r="E105" s="25"/>
      <c r="F105" s="10"/>
      <c r="G105" s="10"/>
    </row>
    <row r="106" spans="3:7">
      <c r="C106" s="33"/>
      <c r="D106" s="20"/>
      <c r="E106" s="10"/>
      <c r="F106" s="10"/>
      <c r="G106" s="10"/>
    </row>
    <row r="107" spans="3:7">
      <c r="C107" s="23"/>
      <c r="D107" s="20"/>
      <c r="E107" s="10"/>
      <c r="F107" s="10"/>
      <c r="G107" s="10"/>
    </row>
    <row r="108" spans="3:7">
      <c r="C108" s="23"/>
      <c r="D108" s="20"/>
      <c r="E108" s="10"/>
      <c r="F108" s="10"/>
      <c r="G108" s="10"/>
    </row>
    <row r="109" spans="3:7">
      <c r="C109" s="34"/>
      <c r="D109" s="20"/>
      <c r="E109" s="10"/>
      <c r="F109" s="10"/>
      <c r="G109" s="10"/>
    </row>
    <row r="110" spans="3:7">
      <c r="C110" s="23"/>
      <c r="D110" s="20"/>
      <c r="E110" s="10"/>
      <c r="F110" s="10"/>
      <c r="G110" s="10"/>
    </row>
    <row r="111" spans="3:7">
      <c r="C111" s="23"/>
      <c r="D111" s="20"/>
      <c r="E111" s="10"/>
      <c r="F111" s="10"/>
      <c r="G111" s="10"/>
    </row>
    <row r="112" spans="3:7">
      <c r="C112" s="23"/>
      <c r="D112" s="20"/>
      <c r="E112" s="10"/>
      <c r="F112" s="10"/>
      <c r="G112" s="10"/>
    </row>
    <row r="113" spans="3:7">
      <c r="C113" s="34"/>
      <c r="D113" s="20"/>
      <c r="E113" s="10"/>
      <c r="F113" s="10"/>
      <c r="G113" s="10"/>
    </row>
    <row r="114" spans="3:7">
      <c r="C114" s="23"/>
      <c r="D114" s="20"/>
      <c r="E114" s="10"/>
      <c r="F114" s="10"/>
      <c r="G114" s="10"/>
    </row>
    <row r="115" spans="3:7">
      <c r="C115" s="23"/>
      <c r="D115" s="20"/>
      <c r="E115" s="10"/>
      <c r="F115" s="10"/>
      <c r="G115" s="10"/>
    </row>
    <row r="116" spans="3:7">
      <c r="C116" s="34"/>
      <c r="D116" s="20"/>
      <c r="E116" s="10"/>
      <c r="F116" s="10"/>
      <c r="G116" s="10"/>
    </row>
    <row r="117" spans="3:7">
      <c r="C117" s="23"/>
      <c r="D117" s="20"/>
      <c r="E117" s="10"/>
      <c r="F117" s="10"/>
      <c r="G117" s="10"/>
    </row>
    <row r="118" spans="3:7">
      <c r="C118" s="23"/>
      <c r="D118" s="20"/>
      <c r="E118" s="10"/>
      <c r="F118" s="10"/>
      <c r="G118" s="10"/>
    </row>
    <row r="119" spans="3:7">
      <c r="C119" s="7"/>
      <c r="D119" s="20"/>
      <c r="E119" s="10"/>
      <c r="F119" s="10"/>
      <c r="G119" s="10"/>
    </row>
    <row r="120" spans="3:7">
      <c r="C120" s="21"/>
      <c r="D120" s="20"/>
      <c r="E120" s="25"/>
      <c r="F120" s="10"/>
      <c r="G120" s="10"/>
    </row>
    <row r="121" spans="3:7">
      <c r="C121" s="22"/>
      <c r="D121" s="20"/>
      <c r="E121" s="25"/>
      <c r="F121" s="10"/>
      <c r="G121" s="10"/>
    </row>
    <row r="122" spans="3:7">
      <c r="C122" s="33"/>
      <c r="D122" s="20"/>
      <c r="E122" s="10"/>
      <c r="F122" s="10"/>
      <c r="G122" s="10"/>
    </row>
    <row r="123" spans="3:7">
      <c r="C123" s="23"/>
      <c r="D123" s="20"/>
      <c r="E123" s="10"/>
      <c r="F123" s="10"/>
      <c r="G123" s="10"/>
    </row>
    <row r="124" spans="3:7">
      <c r="C124" s="23"/>
      <c r="D124" s="20"/>
      <c r="E124" s="10"/>
      <c r="F124" s="10"/>
      <c r="G124" s="10"/>
    </row>
    <row r="125" spans="3:7">
      <c r="C125" s="8"/>
      <c r="D125" s="9"/>
      <c r="E125" s="10"/>
      <c r="F125" s="10"/>
      <c r="G125" s="10"/>
    </row>
    <row r="126" spans="3:7">
      <c r="C126" s="22"/>
      <c r="D126" s="20"/>
      <c r="E126" s="25"/>
      <c r="F126" s="10"/>
      <c r="G126" s="10"/>
    </row>
    <row r="127" spans="3:7">
      <c r="C127" s="22"/>
      <c r="D127" s="20"/>
      <c r="E127" s="25"/>
      <c r="F127" s="10"/>
      <c r="G127" s="10"/>
    </row>
    <row r="128" spans="3:7">
      <c r="C128" s="22"/>
      <c r="D128" s="20"/>
      <c r="E128" s="25"/>
      <c r="F128" s="10"/>
      <c r="G128" s="10"/>
    </row>
    <row r="129" spans="3:7">
      <c r="C129" s="22"/>
      <c r="D129" s="20"/>
      <c r="E129" s="25"/>
      <c r="F129" s="10"/>
      <c r="G129" s="10"/>
    </row>
    <row r="130" spans="3:7">
      <c r="C130" s="21"/>
      <c r="D130" s="20"/>
      <c r="E130" s="25"/>
      <c r="F130" s="10"/>
      <c r="G130" s="10"/>
    </row>
    <row r="131" spans="3:7">
      <c r="C131" s="22"/>
      <c r="D131" s="20"/>
      <c r="E131" s="25"/>
      <c r="F131" s="10"/>
      <c r="G131" s="10"/>
    </row>
    <row r="132" spans="3:7">
      <c r="C132" s="22"/>
      <c r="D132" s="20"/>
      <c r="E132" s="25"/>
      <c r="F132" s="10"/>
      <c r="G132" s="10"/>
    </row>
    <row r="133" spans="3:7">
      <c r="C133" s="22"/>
      <c r="D133" s="20"/>
      <c r="E133" s="25"/>
      <c r="F133" s="10"/>
      <c r="G133" s="10"/>
    </row>
    <row r="134" spans="3:7">
      <c r="C134" s="22"/>
      <c r="D134" s="20"/>
      <c r="E134" s="25"/>
      <c r="F134" s="10"/>
      <c r="G134" s="10"/>
    </row>
    <row r="135" spans="3:7">
      <c r="C135" s="7"/>
      <c r="D135" s="20"/>
      <c r="E135" s="10"/>
      <c r="F135" s="10"/>
      <c r="G135" s="10"/>
    </row>
    <row r="136" spans="3:7">
      <c r="C136" s="21"/>
      <c r="D136" s="20"/>
      <c r="E136" s="25"/>
      <c r="F136" s="10"/>
      <c r="G136" s="10"/>
    </row>
    <row r="137" spans="3:7">
      <c r="C137" s="22"/>
      <c r="D137" s="20"/>
      <c r="E137" s="25"/>
      <c r="F137" s="10"/>
      <c r="G137" s="10"/>
    </row>
    <row r="138" spans="3:7">
      <c r="C138" s="33"/>
      <c r="D138" s="20"/>
      <c r="E138" s="10"/>
      <c r="F138" s="10"/>
      <c r="G138" s="10"/>
    </row>
    <row r="139" spans="3:7">
      <c r="C139" s="23"/>
      <c r="D139" s="20"/>
      <c r="E139" s="10"/>
      <c r="F139" s="10"/>
      <c r="G139" s="10"/>
    </row>
    <row r="140" spans="3:7">
      <c r="C140" s="23"/>
      <c r="D140" s="20"/>
      <c r="E140" s="10"/>
      <c r="F140" s="10"/>
      <c r="G140" s="10"/>
    </row>
    <row r="141" spans="3:7">
      <c r="C141" s="8"/>
      <c r="D141" s="9"/>
      <c r="E141" s="10"/>
      <c r="F141" s="10"/>
      <c r="G141" s="10"/>
    </row>
    <row r="142" spans="3:7">
      <c r="C142" s="22"/>
      <c r="D142" s="20"/>
      <c r="E142" s="25"/>
      <c r="F142" s="10"/>
      <c r="G142" s="10"/>
    </row>
    <row r="143" spans="3:7">
      <c r="C143" s="22"/>
      <c r="D143" s="20"/>
      <c r="E143" s="25"/>
      <c r="F143" s="10"/>
      <c r="G143" s="10"/>
    </row>
    <row r="144" spans="3:7">
      <c r="C144" s="22"/>
      <c r="D144" s="20"/>
      <c r="E144" s="25"/>
      <c r="F144" s="10"/>
      <c r="G144" s="10"/>
    </row>
    <row r="145" spans="3:7">
      <c r="C145" s="21"/>
      <c r="D145" s="20"/>
      <c r="E145" s="25"/>
      <c r="F145" s="10"/>
      <c r="G145" s="10"/>
    </row>
    <row r="146" spans="3:7">
      <c r="C146" s="22"/>
      <c r="D146" s="20"/>
      <c r="E146" s="25"/>
      <c r="F146" s="10"/>
      <c r="G146" s="10"/>
    </row>
    <row r="147" spans="3:7">
      <c r="C147" s="22"/>
      <c r="D147" s="20"/>
      <c r="E147" s="25"/>
      <c r="F147" s="10"/>
      <c r="G147" s="10"/>
    </row>
    <row r="148" spans="3:7">
      <c r="C148" s="22"/>
      <c r="D148" s="20"/>
      <c r="E148" s="25"/>
      <c r="F148" s="10"/>
      <c r="G148" s="10"/>
    </row>
    <row r="149" spans="3:7">
      <c r="C149" s="35"/>
      <c r="D149" s="20"/>
      <c r="E149" s="10"/>
      <c r="F149" s="10"/>
      <c r="G149" s="10"/>
    </row>
    <row r="150" spans="3:7">
      <c r="C150" s="21"/>
      <c r="D150" s="20"/>
      <c r="E150" s="25"/>
      <c r="F150" s="10"/>
      <c r="G150" s="10"/>
    </row>
    <row r="151" spans="3:7">
      <c r="C151" s="22"/>
      <c r="D151" s="20"/>
      <c r="E151" s="25"/>
      <c r="F151" s="10"/>
      <c r="G151" s="10"/>
    </row>
    <row r="152" spans="3:7">
      <c r="C152" s="33"/>
      <c r="D152" s="20"/>
      <c r="E152" s="10"/>
      <c r="F152" s="10"/>
      <c r="G152" s="10"/>
    </row>
    <row r="153" spans="3:7">
      <c r="C153" s="23"/>
      <c r="D153" s="20"/>
      <c r="E153" s="10"/>
      <c r="F153" s="10"/>
      <c r="G153" s="10"/>
    </row>
    <row r="154" spans="3:7">
      <c r="C154" s="23"/>
      <c r="D154" s="20"/>
      <c r="E154" s="10"/>
      <c r="F154" s="10"/>
      <c r="G154" s="10"/>
    </row>
    <row r="155" spans="3:7">
      <c r="C155" s="34"/>
      <c r="D155" s="20"/>
      <c r="E155" s="10"/>
      <c r="F155" s="10"/>
      <c r="G155" s="10"/>
    </row>
    <row r="156" spans="3:7">
      <c r="C156" s="23"/>
      <c r="D156" s="20"/>
      <c r="E156" s="10"/>
      <c r="F156" s="10"/>
      <c r="G156" s="10"/>
    </row>
    <row r="157" spans="3:7">
      <c r="C157" s="23"/>
      <c r="D157" s="20"/>
      <c r="E157" s="10"/>
      <c r="F157" s="10"/>
      <c r="G157" s="10"/>
    </row>
    <row r="158" spans="3:7">
      <c r="C158" s="34"/>
      <c r="D158" s="20"/>
      <c r="E158" s="10"/>
      <c r="F158" s="10"/>
      <c r="G158" s="10"/>
    </row>
    <row r="159" spans="3:7">
      <c r="C159" s="23"/>
      <c r="D159" s="20"/>
      <c r="E159" s="10"/>
      <c r="F159" s="10"/>
      <c r="G159" s="10"/>
    </row>
    <row r="160" spans="3:7">
      <c r="C160" s="23"/>
      <c r="D160" s="20"/>
      <c r="E160" s="10"/>
      <c r="F160" s="10"/>
      <c r="G160" s="10"/>
    </row>
    <row r="161" spans="3:7">
      <c r="C161" s="7"/>
      <c r="D161" s="20"/>
      <c r="E161" s="10"/>
      <c r="F161" s="10"/>
      <c r="G161" s="10"/>
    </row>
    <row r="162" spans="3:7">
      <c r="C162" s="7"/>
      <c r="D162" s="20"/>
      <c r="E162" s="10"/>
      <c r="F162" s="10"/>
      <c r="G162" s="10"/>
    </row>
    <row r="163" spans="3:7">
      <c r="C163" s="21"/>
      <c r="D163" s="20"/>
      <c r="E163" s="25"/>
      <c r="F163" s="10"/>
      <c r="G163" s="10"/>
    </row>
    <row r="164" spans="3:7">
      <c r="C164" s="22"/>
      <c r="D164" s="20"/>
      <c r="E164" s="25"/>
      <c r="F164" s="10"/>
      <c r="G164" s="10"/>
    </row>
    <row r="165" spans="3:7">
      <c r="C165" s="33"/>
      <c r="D165" s="20"/>
      <c r="E165" s="10"/>
      <c r="F165" s="10"/>
      <c r="G165" s="10"/>
    </row>
    <row r="166" spans="3:7">
      <c r="C166" s="23"/>
      <c r="D166" s="20"/>
      <c r="E166" s="10"/>
      <c r="F166" s="10"/>
      <c r="G166" s="10"/>
    </row>
    <row r="167" spans="3:7">
      <c r="C167" s="23"/>
      <c r="D167" s="20"/>
      <c r="E167" s="10"/>
      <c r="F167" s="10"/>
      <c r="G167" s="10"/>
    </row>
    <row r="168" spans="3:7">
      <c r="C168" s="8"/>
      <c r="D168" s="9"/>
      <c r="E168" s="10"/>
      <c r="F168" s="10"/>
      <c r="G168" s="10"/>
    </row>
    <row r="169" spans="3:7">
      <c r="C169" s="22"/>
      <c r="D169" s="20"/>
      <c r="E169" s="25"/>
      <c r="F169" s="10"/>
      <c r="G169" s="10"/>
    </row>
    <row r="170" spans="3:7">
      <c r="C170" s="22"/>
      <c r="D170" s="20"/>
      <c r="E170" s="25"/>
      <c r="F170" s="10"/>
      <c r="G170" s="10"/>
    </row>
    <row r="171" spans="3:7">
      <c r="C171" s="22"/>
      <c r="D171" s="20"/>
      <c r="E171" s="25"/>
      <c r="F171" s="10"/>
      <c r="G171" s="10"/>
    </row>
    <row r="172" spans="3:7">
      <c r="C172" s="21"/>
      <c r="D172" s="20"/>
      <c r="E172" s="25"/>
      <c r="F172" s="10"/>
      <c r="G172" s="10"/>
    </row>
    <row r="173" spans="3:7">
      <c r="C173" s="22"/>
      <c r="D173" s="20"/>
      <c r="E173" s="25"/>
      <c r="F173" s="10"/>
      <c r="G173" s="10"/>
    </row>
    <row r="174" spans="3:7">
      <c r="C174" s="22"/>
      <c r="D174" s="20"/>
      <c r="E174" s="25"/>
      <c r="F174" s="10"/>
      <c r="G174" s="10"/>
    </row>
    <row r="175" spans="3:7">
      <c r="C175" s="22"/>
      <c r="D175" s="20"/>
      <c r="E175" s="25"/>
      <c r="F175" s="10"/>
      <c r="G175" s="10"/>
    </row>
    <row r="176" spans="3:7">
      <c r="C176" s="35"/>
      <c r="D176" s="20"/>
      <c r="E176" s="10"/>
      <c r="F176" s="10"/>
      <c r="G176" s="10"/>
    </row>
    <row r="177" spans="3:7">
      <c r="C177" s="21"/>
      <c r="D177" s="20"/>
      <c r="E177" s="25"/>
      <c r="F177" s="10"/>
      <c r="G177" s="10"/>
    </row>
    <row r="178" spans="3:7">
      <c r="C178" s="22"/>
      <c r="D178" s="20"/>
      <c r="E178" s="25"/>
      <c r="F178" s="10"/>
      <c r="G178" s="10"/>
    </row>
    <row r="179" spans="3:7">
      <c r="C179" s="33"/>
      <c r="D179" s="20"/>
      <c r="E179" s="10"/>
      <c r="F179" s="10"/>
      <c r="G179" s="10"/>
    </row>
    <row r="180" spans="3:7">
      <c r="C180" s="23"/>
      <c r="D180" s="20"/>
      <c r="E180" s="10"/>
      <c r="F180" s="10"/>
      <c r="G180" s="10"/>
    </row>
    <row r="181" spans="3:7">
      <c r="C181" s="23"/>
      <c r="D181" s="20"/>
      <c r="E181" s="10"/>
      <c r="F181" s="10"/>
      <c r="G181" s="10"/>
    </row>
    <row r="182" spans="3:7">
      <c r="C182" s="34"/>
      <c r="D182" s="20"/>
      <c r="E182" s="10"/>
      <c r="F182" s="10"/>
      <c r="G182" s="10"/>
    </row>
    <row r="183" spans="3:7">
      <c r="C183" s="23"/>
      <c r="D183" s="20"/>
      <c r="E183" s="10"/>
      <c r="F183" s="10"/>
      <c r="G183" s="10"/>
    </row>
    <row r="184" spans="3:7">
      <c r="C184" s="23"/>
      <c r="D184" s="20"/>
      <c r="E184" s="10"/>
      <c r="F184" s="10"/>
      <c r="G184" s="10"/>
    </row>
    <row r="185" spans="3:7">
      <c r="C185" s="34"/>
      <c r="D185" s="20"/>
      <c r="E185" s="10"/>
      <c r="F185" s="10"/>
      <c r="G185" s="10"/>
    </row>
    <row r="186" spans="3:7">
      <c r="C186" s="23"/>
      <c r="D186" s="20"/>
      <c r="E186" s="10"/>
      <c r="F186" s="10"/>
      <c r="G186" s="10"/>
    </row>
    <row r="187" spans="3:7">
      <c r="C187" s="23"/>
      <c r="D187" s="20"/>
      <c r="E187" s="10"/>
      <c r="F187" s="10"/>
      <c r="G187" s="10"/>
    </row>
    <row r="188" spans="3:7">
      <c r="C188" s="7"/>
      <c r="D188" s="20"/>
      <c r="E188" s="10"/>
      <c r="F188" s="10"/>
      <c r="G188" s="10"/>
    </row>
    <row r="189" spans="3:7">
      <c r="C189" s="21"/>
      <c r="D189" s="20"/>
      <c r="E189" s="25"/>
      <c r="F189" s="10"/>
      <c r="G189" s="10"/>
    </row>
    <row r="190" spans="3:7">
      <c r="C190" s="22"/>
      <c r="D190" s="20"/>
      <c r="E190" s="25"/>
      <c r="F190" s="10"/>
      <c r="G190" s="10"/>
    </row>
    <row r="191" spans="3:7">
      <c r="C191" s="33"/>
      <c r="D191" s="20"/>
      <c r="E191" s="10"/>
      <c r="F191" s="10"/>
      <c r="G191" s="10"/>
    </row>
    <row r="192" spans="3:7">
      <c r="C192" s="23"/>
      <c r="D192" s="20"/>
      <c r="E192" s="10"/>
      <c r="F192" s="10"/>
      <c r="G192" s="10"/>
    </row>
    <row r="193" spans="3:7">
      <c r="C193" s="23"/>
      <c r="D193" s="20"/>
      <c r="E193" s="10"/>
      <c r="F193" s="10"/>
      <c r="G193" s="10"/>
    </row>
    <row r="194" spans="3:7">
      <c r="C194" s="21"/>
      <c r="D194" s="20"/>
      <c r="E194" s="25"/>
      <c r="F194" s="10"/>
      <c r="G194" s="10"/>
    </row>
    <row r="195" spans="3:7">
      <c r="C195" s="22"/>
      <c r="D195" s="20"/>
      <c r="E195" s="25"/>
      <c r="F195" s="10"/>
      <c r="G195" s="10"/>
    </row>
    <row r="196" spans="3:7">
      <c r="C196" s="22"/>
      <c r="D196" s="20"/>
      <c r="E196" s="25"/>
      <c r="F196" s="10"/>
      <c r="G196" s="10"/>
    </row>
    <row r="197" spans="3:7">
      <c r="C197" s="22"/>
      <c r="D197" s="20"/>
      <c r="E197" s="25"/>
      <c r="F197" s="10"/>
      <c r="G197" s="10"/>
    </row>
    <row r="198" spans="3:7">
      <c r="C198" s="34"/>
      <c r="D198" s="20"/>
      <c r="E198" s="10"/>
      <c r="F198" s="10"/>
      <c r="G198" s="10"/>
    </row>
    <row r="199" spans="3:7">
      <c r="C199" s="23"/>
      <c r="D199" s="20"/>
      <c r="E199" s="10"/>
      <c r="F199" s="10"/>
      <c r="G199" s="10"/>
    </row>
    <row r="200" spans="3:7">
      <c r="C200" s="23"/>
      <c r="D200" s="20"/>
      <c r="E200" s="10"/>
      <c r="F200" s="10"/>
      <c r="G200" s="10"/>
    </row>
    <row r="201" spans="3:7">
      <c r="C201" s="7"/>
      <c r="D201" s="9"/>
      <c r="E201" s="10"/>
      <c r="F201" s="10"/>
      <c r="G201" s="10"/>
    </row>
    <row r="202" spans="3:7">
      <c r="C202" s="7"/>
      <c r="D202" s="9"/>
      <c r="E202" s="10"/>
      <c r="F202" s="10"/>
      <c r="G202" s="10"/>
    </row>
    <row r="203" spans="3:7">
      <c r="C203" s="8"/>
      <c r="D203" s="9"/>
      <c r="E203" s="10"/>
      <c r="F203" s="10"/>
      <c r="G203" s="10"/>
    </row>
    <row r="204" spans="3:7">
      <c r="C204" s="12"/>
      <c r="D204" s="9"/>
      <c r="E204" s="10"/>
      <c r="F204" s="10"/>
      <c r="G204" s="10"/>
    </row>
    <row r="205" spans="3:7">
      <c r="C205" s="8"/>
      <c r="D205" s="9"/>
      <c r="E205" s="10"/>
      <c r="F205" s="10"/>
      <c r="G205" s="10"/>
    </row>
    <row r="206" spans="3:7">
      <c r="C206" s="23"/>
      <c r="D206" s="20"/>
      <c r="E206" s="10"/>
      <c r="F206" s="20"/>
      <c r="G206" s="10"/>
    </row>
    <row r="207" spans="3:7">
      <c r="C207" s="23"/>
      <c r="D207" s="20"/>
      <c r="E207" s="10"/>
      <c r="F207" s="20"/>
      <c r="G207" s="10"/>
    </row>
    <row r="208" spans="3:7">
      <c r="C208" s="23"/>
      <c r="D208" s="20"/>
      <c r="E208" s="10"/>
      <c r="F208" s="20"/>
      <c r="G208" s="10"/>
    </row>
    <row r="209" spans="3:7">
      <c r="C209" s="18"/>
      <c r="D209" s="9"/>
      <c r="E209" s="14"/>
      <c r="F209" s="5"/>
      <c r="G209" s="5"/>
    </row>
    <row r="210" spans="3:7">
      <c r="C210" s="23"/>
      <c r="D210" s="20"/>
      <c r="E210" s="10"/>
      <c r="F210" s="20"/>
      <c r="G210" s="10"/>
    </row>
    <row r="211" spans="3:7">
      <c r="C211" s="21"/>
      <c r="D211" s="20"/>
      <c r="E211" s="25"/>
      <c r="F211" s="10"/>
      <c r="G211" s="10"/>
    </row>
    <row r="212" spans="3:7">
      <c r="C212" s="22"/>
      <c r="D212" s="20"/>
      <c r="E212" s="25"/>
      <c r="F212" s="10"/>
      <c r="G212" s="10"/>
    </row>
    <row r="213" spans="3:7">
      <c r="C213" s="22"/>
      <c r="D213" s="20"/>
      <c r="E213" s="25"/>
      <c r="F213" s="10"/>
      <c r="G213" s="10"/>
    </row>
    <row r="214" spans="3:7">
      <c r="C214" s="22"/>
      <c r="D214" s="20"/>
      <c r="E214" s="25"/>
      <c r="F214" s="10"/>
      <c r="G214" s="10"/>
    </row>
    <row r="215" spans="3:7">
      <c r="C215" s="21"/>
      <c r="D215" s="20"/>
      <c r="E215" s="25"/>
      <c r="F215" s="10"/>
      <c r="G215" s="10"/>
    </row>
    <row r="216" spans="3:7">
      <c r="C216" s="22"/>
      <c r="D216" s="20"/>
      <c r="E216" s="25"/>
      <c r="F216" s="10"/>
      <c r="G216" s="10"/>
    </row>
    <row r="217" spans="3:7">
      <c r="C217" s="22"/>
      <c r="D217" s="20"/>
      <c r="E217" s="25"/>
      <c r="F217" s="10"/>
      <c r="G217" s="10"/>
    </row>
    <row r="218" spans="3:7">
      <c r="C218" s="36"/>
      <c r="D218" s="20"/>
      <c r="E218" s="25"/>
      <c r="F218" s="10"/>
      <c r="G218" s="10"/>
    </row>
    <row r="219" spans="3:7">
      <c r="C219" s="22"/>
      <c r="D219" s="20"/>
      <c r="E219" s="25"/>
      <c r="F219" s="10"/>
      <c r="G219" s="10"/>
    </row>
    <row r="220" spans="3:7">
      <c r="C220" s="36"/>
      <c r="D220" s="20"/>
      <c r="E220" s="25"/>
      <c r="F220" s="10"/>
      <c r="G220" s="10"/>
    </row>
    <row r="221" spans="3:7">
      <c r="C221" s="22"/>
      <c r="D221" s="20"/>
      <c r="E221" s="25"/>
      <c r="F221" s="10"/>
      <c r="G221" s="10"/>
    </row>
    <row r="222" spans="3:7">
      <c r="C222" s="22"/>
      <c r="D222" s="20"/>
      <c r="E222" s="25"/>
      <c r="F222" s="10"/>
      <c r="G222" s="10"/>
    </row>
    <row r="223" spans="3:7">
      <c r="C223" s="21"/>
      <c r="D223" s="20"/>
      <c r="E223" s="25"/>
      <c r="F223" s="10"/>
      <c r="G223" s="10"/>
    </row>
    <row r="224" spans="3:7">
      <c r="C224" s="23"/>
      <c r="D224" s="20"/>
      <c r="E224" s="10"/>
      <c r="F224" s="10"/>
      <c r="G224" s="10"/>
    </row>
    <row r="225" spans="3:7">
      <c r="C225" s="23"/>
      <c r="D225" s="20"/>
      <c r="E225" s="10"/>
      <c r="F225" s="10"/>
      <c r="G225" s="10"/>
    </row>
    <row r="226" spans="3:7">
      <c r="C226" s="34"/>
      <c r="D226" s="20"/>
      <c r="E226" s="10"/>
      <c r="F226" s="10"/>
      <c r="G226" s="10"/>
    </row>
    <row r="227" spans="3:7">
      <c r="C227" s="22"/>
      <c r="D227" s="20"/>
      <c r="E227" s="25"/>
      <c r="F227" s="10"/>
      <c r="G227" s="10"/>
    </row>
    <row r="228" spans="3:7">
      <c r="C228" s="22"/>
      <c r="D228" s="20"/>
      <c r="E228" s="25"/>
      <c r="F228" s="10"/>
      <c r="G228" s="10"/>
    </row>
    <row r="229" spans="3:7">
      <c r="C229" s="21"/>
      <c r="D229" s="20"/>
      <c r="E229" s="25"/>
      <c r="F229" s="10"/>
      <c r="G229" s="10"/>
    </row>
    <row r="230" spans="3:7">
      <c r="C230" s="22"/>
      <c r="D230" s="20"/>
      <c r="E230" s="25"/>
      <c r="F230" s="10"/>
      <c r="G230" s="10"/>
    </row>
    <row r="231" spans="3:7">
      <c r="C231" s="22"/>
      <c r="D231" s="20"/>
      <c r="E231" s="25"/>
      <c r="F231" s="10"/>
      <c r="G231" s="10"/>
    </row>
    <row r="232" spans="3:7">
      <c r="C232" s="7"/>
      <c r="D232" s="9"/>
      <c r="E232" s="10"/>
      <c r="F232" s="10"/>
      <c r="G232" s="10"/>
    </row>
    <row r="233" spans="3:7">
      <c r="C233" s="8"/>
      <c r="D233" s="9"/>
      <c r="E233" s="10"/>
      <c r="F233" s="10"/>
      <c r="G233" s="10"/>
    </row>
    <row r="234" spans="3:7">
      <c r="C234" s="23"/>
      <c r="D234" s="20"/>
      <c r="E234" s="10"/>
      <c r="F234" s="20"/>
      <c r="G234" s="10"/>
    </row>
    <row r="235" spans="3:7">
      <c r="C235" s="23"/>
      <c r="D235" s="20"/>
      <c r="E235" s="10"/>
      <c r="F235" s="20"/>
      <c r="G235" s="10"/>
    </row>
    <row r="236" spans="3:7">
      <c r="C236" s="23"/>
      <c r="D236" s="20"/>
      <c r="E236" s="10"/>
      <c r="F236" s="20"/>
      <c r="G236" s="10"/>
    </row>
    <row r="237" spans="3:7">
      <c r="C237" s="23"/>
      <c r="D237" s="20"/>
      <c r="E237" s="10"/>
      <c r="F237" s="20"/>
      <c r="G237" s="10"/>
    </row>
    <row r="238" spans="3:7">
      <c r="C238" s="18"/>
      <c r="D238" s="9"/>
      <c r="E238" s="14"/>
      <c r="F238" s="5"/>
      <c r="G238" s="5"/>
    </row>
    <row r="239" spans="3:7">
      <c r="C239" s="23"/>
      <c r="D239" s="20"/>
      <c r="E239" s="10"/>
      <c r="F239" s="20"/>
      <c r="G239" s="10"/>
    </row>
    <row r="240" spans="3:7">
      <c r="C240" s="21"/>
      <c r="D240" s="20"/>
      <c r="E240" s="25"/>
      <c r="F240" s="10"/>
      <c r="G240" s="10"/>
    </row>
    <row r="241" spans="3:7">
      <c r="C241" s="22"/>
      <c r="D241" s="20"/>
      <c r="E241" s="25"/>
      <c r="F241" s="10"/>
      <c r="G241" s="10"/>
    </row>
    <row r="242" spans="3:7">
      <c r="C242" s="22"/>
      <c r="D242" s="20"/>
      <c r="E242" s="25"/>
      <c r="F242" s="10"/>
      <c r="G242" s="10"/>
    </row>
    <row r="243" spans="3:7">
      <c r="C243" s="22"/>
      <c r="D243" s="20"/>
      <c r="E243" s="25"/>
      <c r="F243" s="10"/>
      <c r="G243" s="10"/>
    </row>
    <row r="244" spans="3:7">
      <c r="C244" s="21"/>
      <c r="D244" s="20"/>
      <c r="E244" s="25"/>
      <c r="F244" s="10"/>
      <c r="G244" s="10"/>
    </row>
    <row r="245" spans="3:7">
      <c r="C245" s="22"/>
      <c r="D245" s="20"/>
      <c r="E245" s="25"/>
      <c r="F245" s="10"/>
      <c r="G245" s="10"/>
    </row>
    <row r="246" spans="3:7">
      <c r="C246" s="22"/>
      <c r="D246" s="20"/>
      <c r="E246" s="25"/>
      <c r="F246" s="10"/>
      <c r="G246" s="10"/>
    </row>
    <row r="247" spans="3:7">
      <c r="C247" s="8"/>
      <c r="D247" s="9"/>
      <c r="E247" s="10"/>
      <c r="F247" s="10"/>
      <c r="G247" s="10"/>
    </row>
    <row r="248" spans="3:7">
      <c r="C248" s="12"/>
      <c r="D248" s="9"/>
      <c r="E248" s="10"/>
      <c r="F248" s="10"/>
      <c r="G248" s="10"/>
    </row>
    <row r="249" spans="3:7">
      <c r="C249" s="7"/>
      <c r="D249" s="9"/>
      <c r="E249" s="10"/>
      <c r="F249" s="10"/>
      <c r="G249" s="10"/>
    </row>
    <row r="250" spans="3:7">
      <c r="C250" s="8"/>
      <c r="D250" s="9"/>
      <c r="E250" s="6"/>
      <c r="F250" s="6"/>
      <c r="G250" s="6"/>
    </row>
    <row r="251" spans="3:7">
      <c r="C251" s="7"/>
      <c r="D251" s="9"/>
      <c r="E251" s="10"/>
      <c r="F251" s="10"/>
      <c r="G251" s="10"/>
    </row>
    <row r="252" spans="3:7">
      <c r="C252" s="19"/>
      <c r="D252" s="9"/>
      <c r="E252" s="10"/>
      <c r="F252" s="10"/>
      <c r="G252" s="10"/>
    </row>
    <row r="253" spans="3:7" ht="14.25" customHeight="1">
      <c r="C253" s="12"/>
      <c r="D253" s="9"/>
      <c r="E253" s="10"/>
      <c r="F253" s="10"/>
      <c r="G253" s="10"/>
    </row>
    <row r="254" spans="3:7">
      <c r="C254" s="12"/>
      <c r="D254" s="9"/>
      <c r="E254" s="10"/>
      <c r="F254" s="10"/>
      <c r="G254" s="10"/>
    </row>
    <row r="255" spans="3:7">
      <c r="C255" s="12"/>
      <c r="D255" s="9"/>
      <c r="E255" s="10"/>
      <c r="F255" s="10"/>
      <c r="G255" s="10"/>
    </row>
    <row r="256" spans="3:7" ht="12.75" customHeight="1">
      <c r="C256" s="12"/>
      <c r="D256" s="9"/>
      <c r="E256" s="10"/>
      <c r="F256" s="10"/>
      <c r="G256" s="10"/>
    </row>
    <row r="257" spans="3:7">
      <c r="C257" s="12"/>
      <c r="D257" s="9"/>
      <c r="E257" s="10"/>
      <c r="F257" s="10"/>
      <c r="G257" s="10"/>
    </row>
    <row r="258" spans="3:7">
      <c r="C258" s="12"/>
      <c r="D258" s="9"/>
      <c r="E258" s="10"/>
      <c r="F258" s="10"/>
      <c r="G258" s="10"/>
    </row>
    <row r="259" spans="3:7">
      <c r="C259" s="12"/>
      <c r="D259" s="9"/>
      <c r="E259" s="10"/>
      <c r="F259" s="10"/>
      <c r="G259" s="10"/>
    </row>
    <row r="260" spans="3:7">
      <c r="C260" s="12"/>
      <c r="D260" s="9"/>
      <c r="E260" s="10"/>
      <c r="F260" s="10"/>
      <c r="G260" s="10"/>
    </row>
    <row r="261" spans="3:7">
      <c r="C261" s="12"/>
      <c r="D261" s="9"/>
      <c r="E261" s="10"/>
      <c r="F261" s="10"/>
      <c r="G261" s="10"/>
    </row>
    <row r="262" spans="3:7">
      <c r="C262" s="12"/>
      <c r="D262" s="9"/>
      <c r="E262" s="10"/>
      <c r="F262" s="10"/>
      <c r="G262" s="10"/>
    </row>
    <row r="263" spans="3:7">
      <c r="C263" s="12"/>
      <c r="D263" s="9"/>
      <c r="E263" s="10"/>
      <c r="F263" s="10"/>
      <c r="G263" s="10"/>
    </row>
    <row r="264" spans="3:7" ht="12.75" customHeight="1">
      <c r="C264" s="12"/>
      <c r="D264" s="9"/>
      <c r="E264" s="14"/>
      <c r="F264" s="5"/>
      <c r="G264" s="5"/>
    </row>
    <row r="265" spans="3:7">
      <c r="C265" s="19"/>
      <c r="D265" s="9"/>
      <c r="E265" s="10"/>
      <c r="F265" s="10"/>
      <c r="G265" s="10"/>
    </row>
    <row r="266" spans="3:7">
      <c r="C266" s="12"/>
      <c r="D266" s="9"/>
      <c r="E266" s="10"/>
      <c r="F266" s="10"/>
      <c r="G266" s="10"/>
    </row>
    <row r="267" spans="3:7" ht="12.75" customHeight="1">
      <c r="C267" s="12"/>
      <c r="D267" s="9"/>
      <c r="E267" s="10"/>
      <c r="F267" s="10"/>
      <c r="G267" s="10"/>
    </row>
    <row r="268" spans="3:7">
      <c r="C268" s="12"/>
      <c r="D268" s="9"/>
      <c r="E268" s="10"/>
      <c r="F268" s="10"/>
      <c r="G268" s="10"/>
    </row>
    <row r="269" spans="3:7">
      <c r="C269" s="12"/>
      <c r="D269" s="9"/>
      <c r="E269" s="10"/>
      <c r="F269" s="10"/>
      <c r="G269" s="10"/>
    </row>
    <row r="270" spans="3:7">
      <c r="C270" s="12"/>
      <c r="D270" s="9"/>
      <c r="E270" s="10"/>
      <c r="F270" s="10"/>
      <c r="G270" s="10"/>
    </row>
    <row r="271" spans="3:7" ht="12.75" customHeight="1">
      <c r="C271" s="12"/>
      <c r="D271" s="9"/>
      <c r="E271" s="10"/>
      <c r="F271" s="10"/>
      <c r="G271" s="10"/>
    </row>
    <row r="272" spans="3:7">
      <c r="C272" s="12"/>
      <c r="D272" s="9"/>
      <c r="E272" s="10"/>
      <c r="F272" s="10"/>
      <c r="G272" s="10"/>
    </row>
    <row r="273" spans="3:7">
      <c r="C273" s="12"/>
      <c r="D273" s="9"/>
      <c r="E273" s="10"/>
      <c r="F273" s="10"/>
      <c r="G273" s="10"/>
    </row>
    <row r="274" spans="3:7" ht="12.75" customHeight="1">
      <c r="C274" s="12"/>
      <c r="D274" s="9"/>
      <c r="E274" s="10"/>
      <c r="F274" s="10"/>
      <c r="G274" s="10"/>
    </row>
    <row r="275" spans="3:7">
      <c r="C275" s="12"/>
      <c r="D275" s="9"/>
      <c r="E275" s="14"/>
      <c r="F275" s="5"/>
      <c r="G275" s="5"/>
    </row>
    <row r="276" spans="3:7">
      <c r="C276" s="7"/>
      <c r="D276" s="9"/>
      <c r="E276" s="10"/>
      <c r="F276" s="10"/>
      <c r="G276" s="10"/>
    </row>
    <row r="277" spans="3:7">
      <c r="C277" s="8"/>
      <c r="D277" s="9"/>
      <c r="E277" s="14"/>
      <c r="F277" s="5"/>
      <c r="G277" s="5"/>
    </row>
    <row r="278" spans="3:7">
      <c r="C278" s="12"/>
      <c r="D278" s="9"/>
      <c r="E278" s="14"/>
      <c r="F278" s="5"/>
      <c r="G278" s="5"/>
    </row>
    <row r="279" spans="3:7">
      <c r="C279" s="12"/>
      <c r="D279" s="9"/>
      <c r="E279" s="14"/>
      <c r="F279" s="5"/>
      <c r="G279" s="5"/>
    </row>
    <row r="280" spans="3:7">
      <c r="C280" s="8"/>
      <c r="D280" s="9"/>
      <c r="E280" s="14"/>
      <c r="F280" s="5"/>
      <c r="G280" s="5"/>
    </row>
    <row r="281" spans="3:7">
      <c r="C281" s="12"/>
      <c r="D281" s="9"/>
      <c r="E281" s="14"/>
      <c r="F281" s="5"/>
      <c r="G281" s="5"/>
    </row>
    <row r="282" spans="3:7">
      <c r="C282" s="12"/>
      <c r="D282" s="9"/>
      <c r="E282" s="14"/>
      <c r="F282" s="5"/>
      <c r="G282" s="5"/>
    </row>
    <row r="283" spans="3:7">
      <c r="C283" s="8"/>
      <c r="D283" s="9"/>
      <c r="E283" s="14"/>
      <c r="F283" s="5"/>
      <c r="G283" s="5"/>
    </row>
    <row r="284" spans="3:7">
      <c r="C284" s="12"/>
      <c r="D284" s="9"/>
      <c r="E284" s="14"/>
      <c r="F284" s="5"/>
      <c r="G284" s="5"/>
    </row>
    <row r="285" spans="3:7">
      <c r="C285" s="12"/>
      <c r="D285" s="9"/>
      <c r="E285" s="14"/>
      <c r="F285" s="5"/>
      <c r="G285" s="5"/>
    </row>
    <row r="286" spans="3:7" ht="12.75" customHeight="1">
      <c r="C286" s="7"/>
      <c r="D286" s="9"/>
      <c r="E286" s="10"/>
      <c r="F286" s="10"/>
      <c r="G286" s="10"/>
    </row>
    <row r="287" spans="3:7">
      <c r="C287" s="19"/>
      <c r="D287" s="9"/>
      <c r="E287" s="10"/>
      <c r="F287" s="10"/>
      <c r="G287" s="10"/>
    </row>
    <row r="288" spans="3:7">
      <c r="C288" s="12"/>
      <c r="D288" s="9"/>
      <c r="E288" s="10"/>
      <c r="F288" s="10"/>
      <c r="G288" s="10"/>
    </row>
    <row r="289" spans="3:7" ht="12.75" customHeight="1">
      <c r="C289" s="12"/>
      <c r="D289" s="9"/>
      <c r="E289" s="10"/>
      <c r="F289" s="10"/>
      <c r="G289" s="10"/>
    </row>
    <row r="290" spans="3:7">
      <c r="C290" s="12"/>
      <c r="D290" s="9"/>
      <c r="E290" s="10"/>
      <c r="F290" s="10"/>
      <c r="G290" s="10"/>
    </row>
    <row r="291" spans="3:7" ht="12.75" customHeight="1">
      <c r="C291" s="12"/>
      <c r="D291" s="9"/>
      <c r="E291" s="10"/>
      <c r="F291" s="10"/>
      <c r="G291" s="10"/>
    </row>
    <row r="292" spans="3:7" ht="12.75" customHeight="1">
      <c r="C292" s="12"/>
      <c r="D292" s="9"/>
      <c r="E292" s="10"/>
      <c r="F292" s="10"/>
      <c r="G292" s="10"/>
    </row>
    <row r="293" spans="3:7" ht="12.75" customHeight="1">
      <c r="C293" s="12"/>
      <c r="D293" s="9"/>
      <c r="E293" s="10"/>
      <c r="F293" s="10"/>
      <c r="G293" s="10"/>
    </row>
    <row r="294" spans="3:7" ht="12.75" customHeight="1">
      <c r="C294" s="12"/>
      <c r="D294" s="9"/>
      <c r="E294" s="14"/>
      <c r="F294" s="5"/>
      <c r="G294" s="5"/>
    </row>
    <row r="295" spans="3:7" ht="12.75" customHeight="1">
      <c r="C295" s="8"/>
      <c r="D295" s="9"/>
      <c r="E295" s="10"/>
      <c r="F295" s="10"/>
      <c r="G295" s="10"/>
    </row>
    <row r="296" spans="3:7" ht="12.75" customHeight="1">
      <c r="C296" s="12"/>
      <c r="D296" s="9"/>
      <c r="E296" s="10"/>
      <c r="F296" s="10"/>
      <c r="G296" s="10"/>
    </row>
    <row r="297" spans="3:7" ht="12.75" customHeight="1">
      <c r="C297" s="12"/>
      <c r="D297" s="9"/>
      <c r="E297" s="14"/>
      <c r="F297" s="5"/>
      <c r="G297" s="5"/>
    </row>
    <row r="298" spans="3:7" ht="12.75" customHeight="1">
      <c r="C298" s="19"/>
      <c r="D298" s="9"/>
      <c r="E298" s="10"/>
      <c r="F298" s="10"/>
      <c r="G298" s="10"/>
    </row>
    <row r="299" spans="3:7" ht="12.75" customHeight="1">
      <c r="C299" s="12"/>
      <c r="D299" s="9"/>
      <c r="E299" s="14"/>
      <c r="F299" s="5"/>
      <c r="G299" s="5"/>
    </row>
    <row r="300" spans="3:7" ht="12.75" customHeight="1">
      <c r="C300" s="12"/>
      <c r="D300" s="9"/>
      <c r="E300" s="14"/>
      <c r="F300" s="5"/>
      <c r="G300" s="5"/>
    </row>
    <row r="301" spans="3:7">
      <c r="C301" s="12"/>
      <c r="D301" s="9"/>
      <c r="E301" s="14"/>
      <c r="F301" s="5"/>
      <c r="G301" s="5"/>
    </row>
    <row r="302" spans="3:7">
      <c r="C302" s="12"/>
      <c r="D302" s="9"/>
      <c r="E302" s="14"/>
      <c r="F302" s="5"/>
      <c r="G302" s="5"/>
    </row>
    <row r="303" spans="3:7">
      <c r="C303" s="12"/>
      <c r="D303" s="9"/>
      <c r="E303" s="14"/>
      <c r="F303" s="5"/>
      <c r="G303" s="5"/>
    </row>
    <row r="304" spans="3:7">
      <c r="C304" s="12"/>
      <c r="D304" s="9"/>
      <c r="E304" s="14"/>
      <c r="F304" s="5"/>
      <c r="G304" s="5"/>
    </row>
    <row r="305" spans="3:7">
      <c r="C305" s="12"/>
      <c r="D305" s="9"/>
      <c r="E305" s="14"/>
      <c r="F305" s="5"/>
      <c r="G305" s="5"/>
    </row>
    <row r="306" spans="3:7">
      <c r="C306" s="12"/>
      <c r="D306" s="9"/>
      <c r="E306" s="14"/>
      <c r="F306" s="5"/>
      <c r="G306" s="5"/>
    </row>
    <row r="307" spans="3:7">
      <c r="C307" s="12"/>
      <c r="D307" s="9"/>
      <c r="E307" s="14"/>
      <c r="F307" s="5"/>
      <c r="G307" s="5"/>
    </row>
    <row r="308" spans="3:7">
      <c r="C308" s="7"/>
      <c r="D308" s="9"/>
      <c r="E308" s="14"/>
      <c r="F308" s="5"/>
      <c r="G308" s="5"/>
    </row>
    <row r="309" spans="3:7">
      <c r="C309" s="7"/>
      <c r="D309" s="9"/>
      <c r="E309" s="10"/>
      <c r="F309" s="10"/>
      <c r="G309" s="10"/>
    </row>
    <row r="310" spans="3:7">
      <c r="C310" s="19"/>
      <c r="D310" s="9"/>
      <c r="E310" s="10"/>
      <c r="F310" s="10"/>
      <c r="G310" s="10"/>
    </row>
    <row r="311" spans="3:7">
      <c r="C311" s="19"/>
      <c r="D311" s="9"/>
      <c r="E311" s="10"/>
      <c r="F311" s="10"/>
      <c r="G311" s="10"/>
    </row>
    <row r="312" spans="3:7">
      <c r="C312" s="12"/>
      <c r="D312" s="9"/>
      <c r="E312" s="10"/>
      <c r="F312" s="10"/>
      <c r="G312" s="10"/>
    </row>
    <row r="313" spans="3:7">
      <c r="C313" s="19"/>
      <c r="D313" s="9"/>
      <c r="E313" s="10"/>
      <c r="F313" s="10"/>
      <c r="G313" s="10"/>
    </row>
    <row r="314" spans="3:7">
      <c r="C314" s="19"/>
      <c r="D314" s="9"/>
      <c r="E314" s="10"/>
      <c r="F314" s="10"/>
      <c r="G314" s="10"/>
    </row>
    <row r="315" spans="3:7">
      <c r="C315" s="12"/>
      <c r="D315" s="9"/>
      <c r="E315" s="10"/>
      <c r="F315" s="10"/>
      <c r="G315" s="10"/>
    </row>
    <row r="316" spans="3:7">
      <c r="C316" s="12"/>
      <c r="D316" s="9"/>
      <c r="E316" s="10"/>
      <c r="F316" s="10"/>
      <c r="G316" s="10"/>
    </row>
    <row r="317" spans="3:7">
      <c r="C317" s="12"/>
      <c r="D317" s="9"/>
      <c r="E317" s="10"/>
      <c r="F317" s="10"/>
      <c r="G317" s="10"/>
    </row>
    <row r="318" spans="3:7">
      <c r="C318" s="7"/>
      <c r="D318" s="9"/>
      <c r="E318" s="10"/>
      <c r="F318" s="10"/>
      <c r="G318" s="10"/>
    </row>
    <row r="319" spans="3:7">
      <c r="C319" s="8"/>
      <c r="D319" s="9"/>
      <c r="E319" s="10"/>
      <c r="F319" s="10"/>
      <c r="G319" s="10"/>
    </row>
    <row r="320" spans="3:7">
      <c r="C320" s="7"/>
      <c r="D320" s="9"/>
      <c r="E320" s="10"/>
      <c r="F320" s="10"/>
      <c r="G320" s="10"/>
    </row>
    <row r="321" spans="3:7">
      <c r="C321" s="8"/>
      <c r="D321" s="9"/>
      <c r="E321" s="10"/>
      <c r="F321" s="10"/>
      <c r="G321" s="10"/>
    </row>
    <row r="322" spans="3:7">
      <c r="C322" s="12"/>
      <c r="D322" s="9"/>
      <c r="E322" s="10"/>
      <c r="F322" s="10"/>
      <c r="G322" s="10"/>
    </row>
    <row r="323" spans="3:7">
      <c r="C323" s="19"/>
      <c r="D323" s="9"/>
      <c r="E323" s="10"/>
      <c r="F323" s="10"/>
      <c r="G323" s="10"/>
    </row>
    <row r="324" spans="3:7">
      <c r="C324" s="12"/>
      <c r="D324" s="9"/>
      <c r="E324" s="10"/>
      <c r="F324" s="10"/>
      <c r="G324" s="10"/>
    </row>
    <row r="325" spans="3:7">
      <c r="C325" s="19"/>
      <c r="D325" s="9"/>
      <c r="E325" s="10"/>
      <c r="F325" s="10"/>
      <c r="G325" s="10"/>
    </row>
    <row r="326" spans="3:7">
      <c r="C326" s="12"/>
      <c r="D326" s="9"/>
      <c r="E326" s="10"/>
      <c r="F326" s="10"/>
      <c r="G326" s="10"/>
    </row>
    <row r="327" spans="3:7">
      <c r="C327" s="19"/>
      <c r="D327" s="9"/>
      <c r="E327" s="10"/>
      <c r="F327" s="10"/>
      <c r="G327" s="10"/>
    </row>
    <row r="328" spans="3:7">
      <c r="C328" s="23"/>
      <c r="D328" s="20"/>
      <c r="E328" s="10"/>
      <c r="F328" s="10"/>
      <c r="G328" s="10"/>
    </row>
    <row r="329" spans="3:7">
      <c r="C329" s="23"/>
      <c r="D329" s="20"/>
      <c r="E329" s="10"/>
      <c r="F329" s="10"/>
      <c r="G329" s="10"/>
    </row>
    <row r="330" spans="3:7">
      <c r="C330" s="8"/>
      <c r="D330" s="9"/>
      <c r="E330" s="10"/>
      <c r="F330" s="10"/>
      <c r="G330" s="10"/>
    </row>
    <row r="331" spans="3:7">
      <c r="C331" s="12"/>
      <c r="D331" s="9"/>
      <c r="E331" s="10"/>
      <c r="F331" s="10"/>
      <c r="G331" s="10"/>
    </row>
    <row r="332" spans="3:7">
      <c r="C332" s="12"/>
      <c r="D332" s="9"/>
      <c r="E332" s="10"/>
      <c r="F332" s="10"/>
      <c r="G332" s="10"/>
    </row>
    <row r="333" spans="3:7">
      <c r="C333" s="8"/>
      <c r="D333" s="9"/>
      <c r="E333" s="10"/>
      <c r="F333" s="10"/>
      <c r="G333" s="10"/>
    </row>
    <row r="334" spans="3:7">
      <c r="C334" s="12"/>
      <c r="D334" s="9"/>
      <c r="E334" s="10"/>
      <c r="F334" s="10"/>
      <c r="G334" s="10"/>
    </row>
    <row r="335" spans="3:7">
      <c r="C335" s="7"/>
      <c r="D335" s="9"/>
      <c r="E335" s="10"/>
      <c r="F335" s="10"/>
      <c r="G335" s="10"/>
    </row>
    <row r="336" spans="3:7">
      <c r="C336" s="8"/>
      <c r="D336" s="9"/>
      <c r="E336" s="10"/>
      <c r="F336" s="10"/>
      <c r="G336" s="10"/>
    </row>
    <row r="337" spans="3:7">
      <c r="C337" s="12"/>
      <c r="D337" s="9"/>
      <c r="E337" s="10"/>
      <c r="F337" s="10"/>
      <c r="G337" s="10"/>
    </row>
    <row r="338" spans="3:7">
      <c r="C338" s="8"/>
      <c r="D338" s="9"/>
      <c r="E338" s="10"/>
      <c r="F338" s="10"/>
      <c r="G338" s="10"/>
    </row>
    <row r="339" spans="3:7">
      <c r="C339" s="12"/>
      <c r="D339" s="9"/>
      <c r="E339" s="10"/>
      <c r="F339" s="10"/>
      <c r="G339" s="10"/>
    </row>
    <row r="340" spans="3:7">
      <c r="C340" s="19"/>
      <c r="D340" s="9"/>
      <c r="E340" s="10"/>
      <c r="F340" s="10"/>
      <c r="G340" s="10"/>
    </row>
    <row r="341" spans="3:7">
      <c r="C341" s="12"/>
      <c r="D341" s="9"/>
      <c r="E341" s="10"/>
      <c r="F341" s="10"/>
      <c r="G341" s="10"/>
    </row>
    <row r="342" spans="3:7">
      <c r="C342" s="19"/>
      <c r="D342" s="9"/>
      <c r="E342" s="10"/>
      <c r="F342" s="10"/>
      <c r="G342" s="10"/>
    </row>
    <row r="343" spans="3:7">
      <c r="C343" s="12"/>
      <c r="D343" s="9"/>
      <c r="E343" s="10"/>
      <c r="F343" s="10"/>
      <c r="G343" s="10"/>
    </row>
    <row r="344" spans="3:7">
      <c r="C344" s="19"/>
      <c r="D344" s="9"/>
      <c r="E344" s="10"/>
      <c r="F344" s="10"/>
      <c r="G344" s="10"/>
    </row>
    <row r="345" spans="3:7">
      <c r="C345" s="23"/>
      <c r="D345" s="20"/>
      <c r="E345" s="10"/>
      <c r="F345" s="10"/>
      <c r="G345" s="10"/>
    </row>
    <row r="346" spans="3:7">
      <c r="C346" s="23"/>
      <c r="D346" s="20"/>
      <c r="E346" s="10"/>
      <c r="F346" s="10"/>
      <c r="G346" s="10"/>
    </row>
    <row r="347" spans="3:7">
      <c r="C347" s="8"/>
      <c r="D347" s="9"/>
      <c r="E347" s="10"/>
      <c r="F347" s="10"/>
      <c r="G347" s="10"/>
    </row>
    <row r="348" spans="3:7">
      <c r="C348" s="12"/>
      <c r="D348" s="9"/>
      <c r="E348" s="10"/>
      <c r="F348" s="10"/>
      <c r="G348" s="10"/>
    </row>
    <row r="349" spans="3:7">
      <c r="C349" s="12"/>
      <c r="D349" s="9"/>
      <c r="E349" s="10"/>
      <c r="F349" s="10"/>
      <c r="G349" s="10"/>
    </row>
    <row r="350" spans="3:7">
      <c r="C350" s="8"/>
      <c r="D350" s="9"/>
      <c r="E350" s="10"/>
      <c r="F350" s="10"/>
      <c r="G350" s="10"/>
    </row>
    <row r="351" spans="3:7">
      <c r="C351" s="12"/>
      <c r="D351" s="9"/>
      <c r="E351" s="10"/>
      <c r="F351" s="10"/>
      <c r="G351" s="10"/>
    </row>
    <row r="352" spans="3:7">
      <c r="C352" s="7"/>
      <c r="D352" s="9"/>
      <c r="E352" s="10"/>
      <c r="F352" s="10"/>
      <c r="G352" s="10"/>
    </row>
    <row r="353" spans="3:7">
      <c r="C353" s="8"/>
      <c r="D353" s="9"/>
      <c r="E353" s="10"/>
      <c r="F353" s="10"/>
      <c r="G353" s="10"/>
    </row>
    <row r="354" spans="3:7">
      <c r="C354" s="12"/>
      <c r="D354" s="9"/>
      <c r="E354" s="10"/>
      <c r="F354" s="10"/>
      <c r="G354" s="10"/>
    </row>
    <row r="355" spans="3:7">
      <c r="C355" s="8"/>
      <c r="D355" s="9"/>
      <c r="E355" s="10"/>
      <c r="F355" s="10"/>
      <c r="G355" s="10"/>
    </row>
    <row r="356" spans="3:7">
      <c r="C356" s="12"/>
      <c r="D356" s="9"/>
      <c r="E356" s="10"/>
      <c r="F356" s="10"/>
      <c r="G356" s="10"/>
    </row>
    <row r="357" spans="3:7">
      <c r="C357" s="19"/>
      <c r="D357" s="9"/>
      <c r="E357" s="10"/>
      <c r="F357" s="10"/>
      <c r="G357" s="10"/>
    </row>
    <row r="358" spans="3:7">
      <c r="C358" s="12"/>
      <c r="D358" s="9"/>
      <c r="E358" s="10"/>
      <c r="F358" s="10"/>
      <c r="G358" s="10"/>
    </row>
    <row r="359" spans="3:7">
      <c r="C359" s="19"/>
      <c r="D359" s="9"/>
      <c r="E359" s="10"/>
      <c r="F359" s="10"/>
      <c r="G359" s="10"/>
    </row>
    <row r="360" spans="3:7">
      <c r="C360" s="12"/>
      <c r="D360" s="9"/>
      <c r="E360" s="10"/>
      <c r="F360" s="10"/>
      <c r="G360" s="10"/>
    </row>
    <row r="361" spans="3:7">
      <c r="C361" s="19"/>
      <c r="D361" s="9"/>
      <c r="E361" s="10"/>
      <c r="F361" s="10"/>
      <c r="G361" s="10"/>
    </row>
    <row r="362" spans="3:7">
      <c r="C362" s="23"/>
      <c r="D362" s="20"/>
      <c r="E362" s="10"/>
      <c r="F362" s="10"/>
      <c r="G362" s="10"/>
    </row>
    <row r="363" spans="3:7">
      <c r="C363" s="23"/>
      <c r="D363" s="20"/>
      <c r="E363" s="10"/>
      <c r="F363" s="10"/>
      <c r="G363" s="10"/>
    </row>
    <row r="364" spans="3:7">
      <c r="C364" s="8"/>
      <c r="D364" s="9"/>
      <c r="E364" s="10"/>
      <c r="F364" s="10"/>
      <c r="G364" s="10"/>
    </row>
    <row r="365" spans="3:7">
      <c r="C365" s="12"/>
      <c r="D365" s="9"/>
      <c r="E365" s="10"/>
      <c r="F365" s="10"/>
      <c r="G365" s="10"/>
    </row>
    <row r="366" spans="3:7">
      <c r="C366" s="12"/>
      <c r="D366" s="9"/>
      <c r="E366" s="10"/>
      <c r="F366" s="10"/>
      <c r="G366" s="10"/>
    </row>
    <row r="367" spans="3:7">
      <c r="C367" s="8"/>
      <c r="D367" s="9"/>
      <c r="E367" s="10"/>
      <c r="F367" s="10"/>
      <c r="G367" s="10"/>
    </row>
    <row r="368" spans="3:7">
      <c r="C368" s="12"/>
      <c r="D368" s="9"/>
      <c r="E368" s="10"/>
      <c r="F368" s="10"/>
      <c r="G368" s="10"/>
    </row>
    <row r="369" spans="3:7">
      <c r="C369" s="7"/>
      <c r="D369" s="9"/>
      <c r="E369" s="10"/>
      <c r="F369" s="10"/>
      <c r="G369" s="10"/>
    </row>
    <row r="370" spans="3:7">
      <c r="C370" s="8"/>
      <c r="D370" s="9"/>
      <c r="E370" s="10"/>
      <c r="F370" s="10"/>
      <c r="G370" s="10"/>
    </row>
    <row r="371" spans="3:7">
      <c r="C371" s="12"/>
      <c r="D371" s="9"/>
      <c r="E371" s="10"/>
      <c r="F371" s="10"/>
      <c r="G371" s="10"/>
    </row>
    <row r="372" spans="3:7">
      <c r="C372" s="8"/>
      <c r="D372" s="9"/>
      <c r="E372" s="10"/>
      <c r="F372" s="10"/>
      <c r="G372" s="10"/>
    </row>
    <row r="373" spans="3:7">
      <c r="C373" s="12"/>
      <c r="D373" s="9"/>
      <c r="E373" s="10"/>
      <c r="F373" s="10"/>
      <c r="G373" s="10"/>
    </row>
    <row r="374" spans="3:7">
      <c r="C374" s="12"/>
      <c r="D374" s="9"/>
      <c r="E374" s="10"/>
      <c r="F374" s="10"/>
      <c r="G374" s="10"/>
    </row>
    <row r="375" spans="3:7">
      <c r="C375" s="8"/>
      <c r="D375" s="9"/>
      <c r="E375" s="10"/>
      <c r="F375" s="10"/>
      <c r="G375" s="10"/>
    </row>
    <row r="376" spans="3:7">
      <c r="C376" s="12"/>
      <c r="D376" s="9"/>
      <c r="E376" s="10"/>
      <c r="F376" s="10"/>
      <c r="G376" s="10"/>
    </row>
    <row r="377" spans="3:7">
      <c r="C377" s="8"/>
      <c r="D377" s="9"/>
      <c r="E377" s="10"/>
      <c r="F377" s="10"/>
      <c r="G377" s="10"/>
    </row>
    <row r="378" spans="3:7">
      <c r="C378" s="12"/>
      <c r="D378" s="9"/>
      <c r="E378" s="10"/>
      <c r="F378" s="10"/>
      <c r="G378" s="10"/>
    </row>
    <row r="379" spans="3:7">
      <c r="C379" s="8"/>
      <c r="D379" s="9"/>
      <c r="E379" s="10"/>
      <c r="F379" s="10"/>
      <c r="G379" s="10"/>
    </row>
    <row r="380" spans="3:7">
      <c r="C380" s="18"/>
      <c r="D380" s="9"/>
      <c r="E380" s="10"/>
      <c r="F380" s="10"/>
      <c r="G380" s="10"/>
    </row>
    <row r="381" spans="3:7">
      <c r="C381" s="19"/>
      <c r="D381" s="9"/>
      <c r="E381" s="10"/>
      <c r="F381" s="10"/>
      <c r="G381" s="10"/>
    </row>
    <row r="382" spans="3:7">
      <c r="C382" s="12"/>
      <c r="D382" s="9"/>
      <c r="E382" s="10"/>
      <c r="F382" s="10"/>
      <c r="G382" s="10"/>
    </row>
    <row r="383" spans="3:7">
      <c r="C383" s="12"/>
      <c r="D383" s="9"/>
      <c r="E383" s="10"/>
      <c r="F383" s="10"/>
      <c r="G383" s="10"/>
    </row>
    <row r="384" spans="3:7">
      <c r="C384" s="34"/>
      <c r="D384" s="20"/>
      <c r="E384" s="10"/>
      <c r="F384" s="10"/>
      <c r="G384" s="10"/>
    </row>
    <row r="385" spans="3:7">
      <c r="C385" s="23"/>
      <c r="D385" s="20"/>
      <c r="E385" s="10"/>
      <c r="F385" s="10"/>
      <c r="G385" s="10"/>
    </row>
    <row r="386" spans="3:7">
      <c r="C386" s="23"/>
      <c r="D386" s="20"/>
      <c r="E386" s="10"/>
      <c r="F386" s="10"/>
      <c r="G386" s="10"/>
    </row>
    <row r="387" spans="3:7">
      <c r="C387" s="12"/>
      <c r="D387" s="20"/>
      <c r="E387" s="10"/>
      <c r="F387" s="10"/>
      <c r="G387" s="10"/>
    </row>
    <row r="388" spans="3:7">
      <c r="C388" s="12"/>
      <c r="D388" s="20"/>
      <c r="E388" s="10"/>
      <c r="F388" s="10"/>
      <c r="G388" s="10"/>
    </row>
    <row r="389" spans="3:7">
      <c r="C389" s="12"/>
      <c r="D389" s="20"/>
      <c r="E389" s="10"/>
      <c r="F389" s="10"/>
      <c r="G389" s="10"/>
    </row>
    <row r="390" spans="3:7">
      <c r="C390" s="12"/>
      <c r="D390" s="20"/>
      <c r="E390" s="10"/>
      <c r="F390" s="10"/>
      <c r="G390" s="10"/>
    </row>
    <row r="391" spans="3:7">
      <c r="C391" s="12"/>
      <c r="D391" s="20"/>
      <c r="E391" s="10"/>
      <c r="F391" s="10"/>
      <c r="G391" s="10"/>
    </row>
    <row r="392" spans="3:7">
      <c r="C392" s="12"/>
      <c r="D392" s="20"/>
      <c r="E392" s="10"/>
      <c r="F392" s="10"/>
      <c r="G392" s="10"/>
    </row>
    <row r="393" spans="3:7">
      <c r="C393" s="8"/>
      <c r="D393" s="20"/>
      <c r="E393" s="10"/>
      <c r="F393" s="10"/>
      <c r="G393" s="10"/>
    </row>
    <row r="394" spans="3:7">
      <c r="C394" s="12"/>
      <c r="D394" s="20"/>
      <c r="E394" s="10"/>
      <c r="F394" s="10"/>
      <c r="G394" s="10"/>
    </row>
    <row r="395" spans="3:7">
      <c r="C395" s="12"/>
      <c r="D395" s="20"/>
      <c r="E395" s="10"/>
      <c r="F395" s="10"/>
      <c r="G395" s="10"/>
    </row>
    <row r="396" spans="3:7">
      <c r="C396" s="8"/>
      <c r="D396" s="20"/>
      <c r="E396" s="10"/>
      <c r="F396" s="10"/>
      <c r="G396" s="10"/>
    </row>
    <row r="397" spans="3:7">
      <c r="C397" s="12"/>
      <c r="D397" s="20"/>
      <c r="E397" s="10"/>
      <c r="F397" s="10"/>
      <c r="G397" s="10"/>
    </row>
    <row r="398" spans="3:7">
      <c r="C398" s="12"/>
      <c r="D398" s="20"/>
      <c r="E398" s="10"/>
      <c r="F398" s="10"/>
      <c r="G398" s="10"/>
    </row>
    <row r="399" spans="3:7">
      <c r="C399" s="8"/>
      <c r="D399" s="20"/>
      <c r="E399" s="10"/>
      <c r="F399" s="10"/>
      <c r="G399" s="10"/>
    </row>
    <row r="400" spans="3:7">
      <c r="C400" s="23"/>
      <c r="D400" s="20"/>
      <c r="E400" s="10"/>
      <c r="F400" s="10"/>
      <c r="G400" s="10"/>
    </row>
    <row r="401" spans="3:7">
      <c r="C401" s="23"/>
      <c r="D401" s="20"/>
      <c r="E401" s="10"/>
      <c r="F401" s="10"/>
      <c r="G401" s="10"/>
    </row>
    <row r="402" spans="3:7">
      <c r="C402" s="7"/>
      <c r="D402" s="9"/>
      <c r="E402" s="10"/>
      <c r="F402" s="10"/>
      <c r="G402" s="10"/>
    </row>
    <row r="403" spans="3:7">
      <c r="C403" s="8"/>
      <c r="D403" s="9"/>
      <c r="E403" s="10"/>
      <c r="F403" s="10"/>
      <c r="G403" s="10"/>
    </row>
    <row r="404" spans="3:7">
      <c r="C404" s="12"/>
      <c r="D404" s="9"/>
      <c r="E404" s="10"/>
      <c r="F404" s="10"/>
      <c r="G404" s="10"/>
    </row>
    <row r="405" spans="3:7">
      <c r="C405" s="8"/>
      <c r="D405" s="9"/>
      <c r="E405" s="10"/>
      <c r="F405" s="10"/>
      <c r="G405" s="10"/>
    </row>
    <row r="406" spans="3:7">
      <c r="C406" s="12"/>
      <c r="D406" s="9"/>
      <c r="E406" s="10"/>
      <c r="F406" s="10"/>
      <c r="G406" s="10"/>
    </row>
    <row r="407" spans="3:7">
      <c r="C407" s="12"/>
      <c r="D407" s="9"/>
      <c r="E407" s="10"/>
      <c r="F407" s="10"/>
      <c r="G407" s="10"/>
    </row>
    <row r="408" spans="3:7">
      <c r="C408" s="8"/>
      <c r="D408" s="9"/>
      <c r="E408" s="10"/>
      <c r="F408" s="10"/>
      <c r="G408" s="10"/>
    </row>
    <row r="409" spans="3:7">
      <c r="C409" s="12"/>
      <c r="D409" s="9"/>
      <c r="E409" s="10"/>
      <c r="F409" s="10"/>
      <c r="G409" s="10"/>
    </row>
    <row r="410" spans="3:7">
      <c r="C410" s="8"/>
      <c r="D410" s="9"/>
      <c r="E410" s="10"/>
      <c r="F410" s="10"/>
      <c r="G410" s="10"/>
    </row>
    <row r="411" spans="3:7">
      <c r="C411" s="12"/>
      <c r="D411" s="9"/>
      <c r="E411" s="10"/>
      <c r="F411" s="10"/>
      <c r="G411" s="10"/>
    </row>
    <row r="412" spans="3:7">
      <c r="C412" s="8"/>
      <c r="D412" s="9"/>
      <c r="E412" s="10"/>
      <c r="F412" s="10"/>
      <c r="G412" s="10"/>
    </row>
    <row r="413" spans="3:7">
      <c r="C413" s="18"/>
      <c r="D413" s="9"/>
      <c r="E413" s="10"/>
      <c r="F413" s="10"/>
      <c r="G413" s="10"/>
    </row>
    <row r="414" spans="3:7">
      <c r="C414" s="19"/>
      <c r="D414" s="9"/>
      <c r="E414" s="10"/>
      <c r="F414" s="10"/>
      <c r="G414" s="10"/>
    </row>
    <row r="415" spans="3:7">
      <c r="C415" s="12"/>
      <c r="D415" s="9"/>
      <c r="E415" s="10"/>
      <c r="F415" s="10"/>
      <c r="G415" s="10"/>
    </row>
    <row r="416" spans="3:7">
      <c r="C416" s="12"/>
      <c r="D416" s="9"/>
      <c r="E416" s="10"/>
      <c r="F416" s="10"/>
      <c r="G416" s="10"/>
    </row>
    <row r="417" spans="3:7">
      <c r="C417" s="34"/>
      <c r="D417" s="20"/>
      <c r="E417" s="10"/>
      <c r="F417" s="10"/>
      <c r="G417" s="10"/>
    </row>
    <row r="418" spans="3:7">
      <c r="C418" s="23"/>
      <c r="D418" s="20"/>
      <c r="E418" s="10"/>
      <c r="F418" s="10"/>
      <c r="G418" s="10"/>
    </row>
    <row r="419" spans="3:7">
      <c r="C419" s="23"/>
      <c r="D419" s="20"/>
      <c r="E419" s="10"/>
      <c r="F419" s="10"/>
      <c r="G419" s="10"/>
    </row>
    <row r="420" spans="3:7">
      <c r="C420" s="12"/>
      <c r="D420" s="20"/>
      <c r="E420" s="10"/>
      <c r="F420" s="10"/>
      <c r="G420" s="10"/>
    </row>
    <row r="421" spans="3:7">
      <c r="C421" s="12"/>
      <c r="D421" s="20"/>
      <c r="E421" s="10"/>
      <c r="F421" s="10"/>
      <c r="G421" s="10"/>
    </row>
    <row r="422" spans="3:7">
      <c r="C422" s="12"/>
      <c r="D422" s="20"/>
      <c r="E422" s="10"/>
      <c r="F422" s="10"/>
      <c r="G422" s="10"/>
    </row>
    <row r="423" spans="3:7">
      <c r="C423" s="12"/>
      <c r="D423" s="20"/>
      <c r="E423" s="10"/>
      <c r="F423" s="10"/>
      <c r="G423" s="10"/>
    </row>
    <row r="424" spans="3:7">
      <c r="C424" s="12"/>
      <c r="D424" s="20"/>
      <c r="E424" s="10"/>
      <c r="F424" s="10"/>
      <c r="G424" s="10"/>
    </row>
    <row r="425" spans="3:7">
      <c r="C425" s="12"/>
      <c r="D425" s="20"/>
      <c r="E425" s="10"/>
      <c r="F425" s="10"/>
      <c r="G425" s="10"/>
    </row>
    <row r="426" spans="3:7">
      <c r="C426" s="8"/>
      <c r="D426" s="20"/>
      <c r="E426" s="10"/>
      <c r="F426" s="10"/>
      <c r="G426" s="10"/>
    </row>
    <row r="427" spans="3:7">
      <c r="C427" s="12"/>
      <c r="D427" s="20"/>
      <c r="E427" s="10"/>
      <c r="F427" s="10"/>
      <c r="G427" s="10"/>
    </row>
    <row r="428" spans="3:7">
      <c r="C428" s="12"/>
      <c r="D428" s="20"/>
      <c r="E428" s="10"/>
      <c r="F428" s="10"/>
      <c r="G428" s="10"/>
    </row>
    <row r="429" spans="3:7">
      <c r="C429" s="8"/>
      <c r="D429" s="20"/>
      <c r="E429" s="10"/>
      <c r="F429" s="10"/>
      <c r="G429" s="10"/>
    </row>
    <row r="430" spans="3:7">
      <c r="C430" s="12"/>
      <c r="D430" s="20"/>
      <c r="E430" s="10"/>
      <c r="F430" s="10"/>
      <c r="G430" s="10"/>
    </row>
    <row r="431" spans="3:7">
      <c r="C431" s="12"/>
      <c r="D431" s="20"/>
      <c r="E431" s="10"/>
      <c r="F431" s="10"/>
      <c r="G431" s="10"/>
    </row>
    <row r="432" spans="3:7">
      <c r="C432" s="8"/>
      <c r="D432" s="20"/>
      <c r="E432" s="10"/>
      <c r="F432" s="10"/>
      <c r="G432" s="10"/>
    </row>
    <row r="433" spans="1:7">
      <c r="C433" s="23"/>
      <c r="D433" s="20"/>
      <c r="E433" s="10"/>
      <c r="F433" s="10"/>
      <c r="G433" s="10"/>
    </row>
    <row r="434" spans="1:7">
      <c r="C434" s="23"/>
      <c r="D434" s="20"/>
      <c r="E434" s="10"/>
      <c r="F434" s="10"/>
      <c r="G434" s="10"/>
    </row>
    <row r="435" spans="1:7">
      <c r="C435" s="2"/>
      <c r="D435" s="2"/>
      <c r="E435" s="2"/>
      <c r="F435" s="2"/>
      <c r="G435" s="2"/>
    </row>
    <row r="436" spans="1:7">
      <c r="C436" s="2"/>
      <c r="D436" s="2"/>
      <c r="E436" s="2"/>
      <c r="F436" s="2"/>
      <c r="G436" s="2"/>
    </row>
    <row r="437" spans="1:7">
      <c r="C437" s="2"/>
      <c r="D437" s="2"/>
      <c r="E437" s="2"/>
      <c r="F437" s="2"/>
      <c r="G437" s="2"/>
    </row>
    <row r="438" spans="1:7" s="33" customFormat="1">
      <c r="A438" s="2"/>
      <c r="B438" s="2"/>
      <c r="C438" s="2"/>
      <c r="D438" s="2"/>
      <c r="E438" s="2"/>
      <c r="F438" s="2"/>
      <c r="G438" s="2"/>
    </row>
    <row r="439" spans="1:7" s="33" customFormat="1">
      <c r="A439" s="2"/>
      <c r="B439" s="2"/>
      <c r="C439" s="2"/>
      <c r="D439" s="2"/>
      <c r="E439" s="2"/>
      <c r="F439" s="2"/>
      <c r="G439" s="2"/>
    </row>
    <row r="440" spans="1:7" s="33" customFormat="1">
      <c r="A440" s="2"/>
      <c r="B440" s="2"/>
      <c r="C440" s="2"/>
      <c r="D440" s="2"/>
      <c r="E440" s="2"/>
      <c r="F440" s="2"/>
      <c r="G440" s="2"/>
    </row>
    <row r="441" spans="1:7" s="33" customFormat="1">
      <c r="A441" s="2"/>
      <c r="B441" s="2"/>
      <c r="C441" s="2"/>
      <c r="D441" s="2"/>
      <c r="E441" s="2"/>
      <c r="F441" s="2"/>
      <c r="G441" s="2"/>
    </row>
    <row r="442" spans="1:7" s="33" customFormat="1">
      <c r="A442" s="2"/>
      <c r="B442" s="2"/>
      <c r="C442" s="2"/>
      <c r="D442" s="2"/>
      <c r="E442" s="2"/>
      <c r="F442" s="2"/>
      <c r="G442" s="2"/>
    </row>
    <row r="443" spans="1:7" s="33" customFormat="1">
      <c r="A443" s="2"/>
      <c r="B443" s="2"/>
      <c r="C443" s="2"/>
      <c r="D443" s="2"/>
      <c r="E443" s="2"/>
      <c r="F443" s="2"/>
      <c r="G443" s="2"/>
    </row>
    <row r="444" spans="1:7" s="33" customFormat="1">
      <c r="A444" s="2"/>
      <c r="B444" s="2"/>
      <c r="C444" s="2"/>
      <c r="D444" s="2"/>
      <c r="E444" s="2"/>
      <c r="F444" s="2"/>
      <c r="G444" s="2"/>
    </row>
    <row r="445" spans="1:7">
      <c r="C445" s="2"/>
      <c r="D445" s="2"/>
      <c r="E445" s="2"/>
      <c r="F445" s="2"/>
      <c r="G445" s="2"/>
    </row>
    <row r="446" spans="1:7">
      <c r="A446" s="33"/>
      <c r="B446" s="33"/>
      <c r="C446" s="252"/>
      <c r="D446" s="252"/>
      <c r="E446" s="252"/>
      <c r="F446" s="252"/>
      <c r="G446" s="252"/>
    </row>
    <row r="447" spans="1:7">
      <c r="A447" s="33"/>
      <c r="B447" s="33"/>
      <c r="C447" s="33"/>
      <c r="D447" s="252"/>
      <c r="E447" s="252"/>
      <c r="F447" s="252"/>
      <c r="G447" s="252"/>
    </row>
    <row r="448" spans="1:7">
      <c r="A448" s="33"/>
      <c r="B448" s="33"/>
      <c r="C448" s="33"/>
      <c r="D448" s="20"/>
      <c r="E448" s="20"/>
      <c r="F448" s="20"/>
      <c r="G448" s="20"/>
    </row>
    <row r="449" spans="1:7">
      <c r="A449" s="33"/>
      <c r="B449" s="33"/>
      <c r="C449" s="252"/>
      <c r="D449" s="252"/>
      <c r="E449" s="252"/>
      <c r="F449" s="252"/>
      <c r="G449" s="252"/>
    </row>
    <row r="450" spans="1:7">
      <c r="A450" s="33"/>
      <c r="B450" s="33"/>
      <c r="C450" s="33"/>
      <c r="D450" s="252"/>
      <c r="E450" s="252"/>
      <c r="F450" s="252"/>
      <c r="G450" s="252"/>
    </row>
    <row r="451" spans="1:7">
      <c r="A451" s="33"/>
      <c r="B451" s="33"/>
      <c r="C451" s="33"/>
      <c r="D451" s="20"/>
      <c r="E451" s="20"/>
      <c r="F451" s="20"/>
      <c r="G451" s="20"/>
    </row>
    <row r="452" spans="1:7">
      <c r="A452" s="33"/>
      <c r="B452" s="33"/>
      <c r="C452" s="33"/>
      <c r="D452" s="33"/>
      <c r="E452" s="33"/>
      <c r="F452" s="33"/>
      <c r="G452" s="33"/>
    </row>
    <row r="453" spans="1:7">
      <c r="C453" s="2"/>
      <c r="D453" s="2"/>
      <c r="E453" s="2"/>
      <c r="F453" s="2"/>
      <c r="G453" s="2"/>
    </row>
    <row r="454" spans="1:7">
      <c r="C454" s="2"/>
      <c r="D454" s="2"/>
      <c r="E454" s="2"/>
      <c r="F454" s="2"/>
      <c r="G454" s="2"/>
    </row>
    <row r="455" spans="1:7">
      <c r="C455" s="2"/>
      <c r="D455" s="2"/>
      <c r="E455" s="2"/>
      <c r="F455" s="2"/>
      <c r="G455" s="2"/>
    </row>
    <row r="456" spans="1:7">
      <c r="C456" s="2"/>
      <c r="D456" s="2"/>
      <c r="E456" s="2"/>
      <c r="F456" s="2"/>
      <c r="G456" s="2"/>
    </row>
    <row r="457" spans="1:7">
      <c r="C457" s="2"/>
      <c r="D457" s="2"/>
      <c r="E457" s="2"/>
      <c r="F457" s="2"/>
      <c r="G457" s="2"/>
    </row>
    <row r="458" spans="1:7">
      <c r="C458" s="2"/>
      <c r="D458" s="2"/>
      <c r="E458" s="2"/>
      <c r="F458" s="2"/>
      <c r="G458" s="2"/>
    </row>
    <row r="459" spans="1:7">
      <c r="C459" s="2"/>
      <c r="D459" s="2"/>
      <c r="E459" s="2"/>
      <c r="F459" s="2"/>
      <c r="G459" s="2"/>
    </row>
    <row r="460" spans="1:7">
      <c r="C460" s="2"/>
      <c r="D460" s="2"/>
      <c r="E460" s="2"/>
      <c r="F460" s="2"/>
      <c r="G460" s="2"/>
    </row>
    <row r="461" spans="1:7">
      <c r="C461" s="7"/>
      <c r="D461" s="2"/>
      <c r="E461" s="2"/>
      <c r="F461" s="2"/>
      <c r="G461" s="2"/>
    </row>
    <row r="462" spans="1:7">
      <c r="C462" s="8"/>
      <c r="D462" s="11"/>
      <c r="E462" s="10"/>
      <c r="F462" s="10"/>
      <c r="G462" s="5"/>
    </row>
    <row r="463" spans="1:7">
      <c r="C463" s="8"/>
      <c r="D463" s="11"/>
      <c r="E463" s="10"/>
      <c r="F463" s="10"/>
      <c r="G463" s="10"/>
    </row>
    <row r="464" spans="1:7">
      <c r="C464" s="12"/>
      <c r="D464" s="11"/>
      <c r="E464" s="10"/>
      <c r="F464" s="10"/>
      <c r="G464" s="10"/>
    </row>
    <row r="465" spans="3:7">
      <c r="C465" s="12"/>
      <c r="D465" s="11"/>
      <c r="E465" s="10"/>
      <c r="F465" s="10"/>
      <c r="G465" s="10"/>
    </row>
    <row r="466" spans="3:7">
      <c r="C466" s="8"/>
      <c r="D466" s="11"/>
      <c r="E466" s="10"/>
      <c r="F466" s="10"/>
      <c r="G466" s="10"/>
    </row>
    <row r="467" spans="3:7">
      <c r="C467" s="12"/>
      <c r="D467" s="11"/>
      <c r="E467" s="10"/>
      <c r="F467" s="10"/>
      <c r="G467" s="10"/>
    </row>
    <row r="468" spans="3:7">
      <c r="C468" s="12"/>
      <c r="D468" s="11"/>
      <c r="E468" s="10"/>
      <c r="F468" s="10"/>
      <c r="G468" s="10"/>
    </row>
    <row r="469" spans="3:7">
      <c r="C469" s="12"/>
      <c r="D469" s="11"/>
      <c r="E469" s="10"/>
      <c r="F469" s="10"/>
      <c r="G469" s="10"/>
    </row>
    <row r="470" spans="3:7">
      <c r="C470" s="8"/>
      <c r="D470" s="11"/>
      <c r="E470" s="10"/>
      <c r="F470" s="10"/>
      <c r="G470" s="10"/>
    </row>
    <row r="471" spans="3:7">
      <c r="C471" s="12"/>
      <c r="D471" s="11"/>
      <c r="E471" s="10"/>
      <c r="F471" s="10"/>
      <c r="G471" s="10"/>
    </row>
    <row r="472" spans="3:7">
      <c r="C472" s="12"/>
      <c r="D472" s="11"/>
      <c r="E472" s="10"/>
      <c r="F472" s="10"/>
      <c r="G472" s="10"/>
    </row>
    <row r="473" spans="3:7">
      <c r="C473" s="8"/>
      <c r="D473" s="11"/>
      <c r="E473" s="10"/>
      <c r="F473" s="10"/>
      <c r="G473" s="10"/>
    </row>
    <row r="474" spans="3:7">
      <c r="C474" s="12"/>
      <c r="D474" s="11"/>
      <c r="E474" s="10"/>
      <c r="F474" s="10"/>
      <c r="G474" s="10"/>
    </row>
    <row r="475" spans="3:7">
      <c r="C475" s="12"/>
      <c r="D475" s="11"/>
      <c r="E475" s="10"/>
      <c r="F475" s="10"/>
      <c r="G475" s="10"/>
    </row>
    <row r="476" spans="3:7">
      <c r="C476" s="37"/>
      <c r="D476" s="10"/>
      <c r="E476" s="10"/>
      <c r="F476" s="10"/>
      <c r="G476" s="10"/>
    </row>
    <row r="477" spans="3:7">
      <c r="C477" s="38"/>
      <c r="D477" s="10"/>
      <c r="E477" s="10"/>
      <c r="F477" s="10"/>
      <c r="G477" s="10"/>
    </row>
    <row r="478" spans="3:7">
      <c r="C478" s="13"/>
      <c r="D478" s="14"/>
      <c r="E478" s="14"/>
      <c r="F478" s="14"/>
      <c r="G478" s="14"/>
    </row>
    <row r="479" spans="3:7">
      <c r="C479" s="15"/>
      <c r="D479" s="16"/>
      <c r="E479" s="10"/>
      <c r="F479" s="10"/>
      <c r="G479" s="10"/>
    </row>
    <row r="480" spans="3:7">
      <c r="C480" s="15"/>
      <c r="D480" s="16"/>
      <c r="E480" s="10"/>
      <c r="F480" s="10"/>
      <c r="G480" s="10"/>
    </row>
    <row r="481" spans="3:7">
      <c r="C481" s="15"/>
      <c r="D481" s="16"/>
      <c r="E481" s="10"/>
      <c r="F481" s="10"/>
      <c r="G481" s="10"/>
    </row>
    <row r="482" spans="3:7">
      <c r="C482" s="15"/>
      <c r="D482" s="16"/>
      <c r="E482" s="10"/>
      <c r="F482" s="10"/>
      <c r="G482" s="10"/>
    </row>
    <row r="483" spans="3:7">
      <c r="C483" s="15"/>
      <c r="D483" s="16"/>
      <c r="E483" s="10"/>
      <c r="F483" s="10"/>
      <c r="G483" s="10"/>
    </row>
    <row r="484" spans="3:7">
      <c r="C484" s="15"/>
      <c r="D484" s="16"/>
      <c r="E484" s="10"/>
      <c r="F484" s="10"/>
      <c r="G484" s="10"/>
    </row>
    <row r="485" spans="3:7">
      <c r="C485" s="17"/>
      <c r="D485" s="11"/>
      <c r="E485" s="16"/>
      <c r="F485" s="5"/>
      <c r="G485" s="5"/>
    </row>
    <row r="486" spans="3:7">
      <c r="C486" s="18"/>
      <c r="D486" s="11"/>
      <c r="E486" s="16"/>
      <c r="F486" s="5"/>
      <c r="G486" s="5"/>
    </row>
    <row r="487" spans="3:7">
      <c r="C487" s="18"/>
      <c r="D487" s="11"/>
      <c r="E487" s="16"/>
      <c r="F487" s="5"/>
      <c r="G487" s="5"/>
    </row>
    <row r="488" spans="3:7">
      <c r="C488" s="18"/>
      <c r="D488" s="11"/>
      <c r="E488" s="16"/>
      <c r="F488" s="5"/>
      <c r="G488" s="5"/>
    </row>
    <row r="489" spans="3:7">
      <c r="C489" s="17"/>
      <c r="D489" s="11"/>
      <c r="E489" s="16"/>
      <c r="F489" s="5"/>
      <c r="G489" s="5"/>
    </row>
    <row r="490" spans="3:7">
      <c r="C490" s="18"/>
      <c r="D490" s="11"/>
      <c r="E490" s="16"/>
      <c r="F490" s="5"/>
      <c r="G490" s="5"/>
    </row>
    <row r="491" spans="3:7">
      <c r="C491" s="18"/>
      <c r="D491" s="11"/>
      <c r="E491" s="16"/>
      <c r="F491" s="5"/>
      <c r="G491" s="5"/>
    </row>
    <row r="492" spans="3:7">
      <c r="C492" s="18"/>
      <c r="D492" s="11"/>
      <c r="E492" s="16"/>
      <c r="F492" s="5"/>
      <c r="G492" s="5"/>
    </row>
    <row r="493" spans="3:7">
      <c r="C493" s="18"/>
      <c r="D493" s="11"/>
      <c r="E493" s="16"/>
      <c r="F493" s="5"/>
      <c r="G493" s="5"/>
    </row>
    <row r="494" spans="3:7">
      <c r="C494" s="18"/>
      <c r="D494" s="11"/>
      <c r="E494" s="16"/>
      <c r="F494" s="5"/>
      <c r="G494" s="5"/>
    </row>
    <row r="495" spans="3:7">
      <c r="C495" s="18"/>
      <c r="D495" s="11"/>
      <c r="E495" s="16"/>
      <c r="F495" s="5"/>
      <c r="G495" s="5"/>
    </row>
    <row r="496" spans="3:7">
      <c r="C496" s="18"/>
      <c r="D496" s="11"/>
      <c r="E496" s="16"/>
      <c r="F496" s="5"/>
      <c r="G496" s="5"/>
    </row>
    <row r="497" spans="3:7">
      <c r="C497" s="18"/>
      <c r="D497" s="11"/>
      <c r="E497" s="16"/>
      <c r="F497" s="5"/>
      <c r="G497" s="5"/>
    </row>
    <row r="498" spans="3:7">
      <c r="C498" s="18"/>
      <c r="D498" s="11"/>
      <c r="E498" s="16"/>
      <c r="F498" s="5"/>
      <c r="G498" s="5"/>
    </row>
    <row r="499" spans="3:7">
      <c r="C499" s="2"/>
      <c r="D499" s="2"/>
      <c r="E499" s="2"/>
      <c r="F499" s="2"/>
      <c r="G499" s="2"/>
    </row>
    <row r="500" spans="3:7">
      <c r="C500" s="2"/>
      <c r="D500" s="2"/>
      <c r="E500" s="2"/>
      <c r="F500" s="2"/>
      <c r="G500" s="2"/>
    </row>
    <row r="501" spans="3:7">
      <c r="C501" s="2"/>
      <c r="D501" s="2"/>
      <c r="E501" s="2"/>
      <c r="F501" s="2"/>
      <c r="G501" s="2"/>
    </row>
    <row r="502" spans="3:7">
      <c r="C502" s="2"/>
      <c r="D502" s="2"/>
      <c r="E502" s="2"/>
      <c r="F502" s="2"/>
      <c r="G502" s="2"/>
    </row>
    <row r="503" spans="3:7">
      <c r="C503" s="2"/>
      <c r="D503" s="2"/>
      <c r="E503" s="2"/>
      <c r="F503" s="2"/>
      <c r="G503" s="2"/>
    </row>
    <row r="504" spans="3:7">
      <c r="C504" s="2"/>
      <c r="D504" s="2"/>
      <c r="E504" s="2"/>
      <c r="F504" s="2"/>
      <c r="G504" s="2"/>
    </row>
    <row r="505" spans="3:7">
      <c r="C505" s="2"/>
      <c r="D505" s="2"/>
      <c r="E505" s="2"/>
      <c r="F505" s="2"/>
      <c r="G505" s="2"/>
    </row>
    <row r="506" spans="3:7">
      <c r="C506" s="2"/>
      <c r="D506" s="2"/>
      <c r="E506" s="2"/>
      <c r="F506" s="2"/>
      <c r="G506" s="2"/>
    </row>
    <row r="507" spans="3:7">
      <c r="C507" s="2"/>
      <c r="D507" s="2"/>
      <c r="E507" s="2"/>
      <c r="F507" s="2"/>
      <c r="G507" s="2"/>
    </row>
    <row r="508" spans="3:7">
      <c r="C508" s="2"/>
      <c r="D508" s="2"/>
      <c r="E508" s="2"/>
      <c r="F508" s="2"/>
      <c r="G508" s="2"/>
    </row>
    <row r="509" spans="3:7">
      <c r="C509" s="2"/>
      <c r="D509" s="2"/>
      <c r="E509" s="2"/>
      <c r="F509" s="2"/>
      <c r="G509" s="2"/>
    </row>
    <row r="510" spans="3:7">
      <c r="C510" s="2"/>
      <c r="D510" s="2"/>
      <c r="E510" s="2"/>
      <c r="F510" s="2"/>
      <c r="G510" s="2"/>
    </row>
    <row r="511" spans="3:7">
      <c r="C511" s="2"/>
      <c r="D511" s="2"/>
      <c r="E511" s="2"/>
      <c r="F511" s="2"/>
      <c r="G511" s="2"/>
    </row>
    <row r="512" spans="3:7">
      <c r="C512" s="2"/>
      <c r="D512" s="2"/>
      <c r="E512" s="2"/>
      <c r="F512" s="2"/>
      <c r="G512" s="2"/>
    </row>
    <row r="513" spans="3:7">
      <c r="C513" s="2"/>
      <c r="D513" s="2"/>
      <c r="E513" s="2"/>
      <c r="F513" s="2"/>
      <c r="G513" s="2"/>
    </row>
    <row r="514" spans="3:7">
      <c r="C514" s="2"/>
      <c r="D514" s="2"/>
      <c r="E514" s="2"/>
      <c r="F514" s="2"/>
      <c r="G514" s="2"/>
    </row>
    <row r="515" spans="3:7">
      <c r="C515" s="2"/>
      <c r="D515" s="2"/>
      <c r="E515" s="2"/>
      <c r="F515" s="2"/>
      <c r="G515" s="2"/>
    </row>
    <row r="516" spans="3:7">
      <c r="C516" s="2"/>
      <c r="D516" s="2"/>
      <c r="E516" s="2"/>
      <c r="F516" s="2"/>
      <c r="G516" s="2"/>
    </row>
    <row r="517" spans="3:7">
      <c r="C517" s="2"/>
      <c r="D517" s="2"/>
      <c r="E517" s="2"/>
      <c r="F517" s="2"/>
      <c r="G517" s="2"/>
    </row>
    <row r="518" spans="3:7">
      <c r="C518" s="2"/>
      <c r="D518" s="2"/>
      <c r="E518" s="2"/>
      <c r="F518" s="2"/>
      <c r="G518" s="2"/>
    </row>
    <row r="519" spans="3:7">
      <c r="C519" s="2"/>
      <c r="D519" s="2"/>
      <c r="E519" s="2"/>
      <c r="F519" s="2"/>
      <c r="G519" s="2"/>
    </row>
    <row r="520" spans="3:7">
      <c r="C520" s="2"/>
      <c r="D520" s="2"/>
      <c r="E520" s="2"/>
      <c r="F520" s="2"/>
      <c r="G520" s="2"/>
    </row>
    <row r="521" spans="3:7">
      <c r="C521" s="2"/>
      <c r="D521" s="2"/>
      <c r="E521" s="2"/>
      <c r="F521" s="2"/>
      <c r="G521" s="2"/>
    </row>
    <row r="522" spans="3:7">
      <c r="C522" s="2"/>
      <c r="D522" s="2"/>
      <c r="E522" s="2"/>
      <c r="F522" s="2"/>
      <c r="G522" s="2"/>
    </row>
    <row r="523" spans="3:7">
      <c r="C523" s="2"/>
      <c r="D523" s="2"/>
      <c r="E523" s="2"/>
      <c r="F523" s="2"/>
      <c r="G523" s="2"/>
    </row>
    <row r="524" spans="3:7">
      <c r="C524" s="2"/>
      <c r="D524" s="2"/>
      <c r="E524" s="2"/>
      <c r="F524" s="2"/>
      <c r="G524" s="2"/>
    </row>
    <row r="525" spans="3:7">
      <c r="C525" s="2"/>
      <c r="D525" s="2"/>
      <c r="E525" s="2"/>
      <c r="F525" s="2"/>
      <c r="G525" s="2"/>
    </row>
    <row r="526" spans="3:7">
      <c r="C526" s="2"/>
      <c r="D526" s="2"/>
      <c r="E526" s="2"/>
      <c r="F526" s="2"/>
      <c r="G526" s="2"/>
    </row>
    <row r="527" spans="3:7">
      <c r="C527" s="2"/>
      <c r="D527" s="2"/>
      <c r="E527" s="2"/>
      <c r="F527" s="2"/>
      <c r="G527" s="2"/>
    </row>
    <row r="528" spans="3:7">
      <c r="C528" s="2"/>
      <c r="D528" s="2"/>
      <c r="E528" s="2"/>
      <c r="F528" s="2"/>
      <c r="G528" s="2"/>
    </row>
    <row r="529" spans="3:7">
      <c r="C529" s="2"/>
      <c r="D529" s="2"/>
      <c r="E529" s="2"/>
      <c r="F529" s="2"/>
      <c r="G529" s="2"/>
    </row>
    <row r="530" spans="3:7">
      <c r="C530" s="2"/>
      <c r="D530" s="2"/>
      <c r="E530" s="2"/>
      <c r="F530" s="2"/>
      <c r="G530" s="2"/>
    </row>
    <row r="531" spans="3:7">
      <c r="C531" s="2"/>
      <c r="D531" s="2"/>
      <c r="E531" s="2"/>
      <c r="F531" s="2"/>
      <c r="G531" s="2"/>
    </row>
    <row r="532" spans="3:7">
      <c r="C532" s="2"/>
      <c r="D532" s="2"/>
      <c r="E532" s="2"/>
      <c r="F532" s="2"/>
      <c r="G532" s="2"/>
    </row>
    <row r="533" spans="3:7">
      <c r="C533" s="2"/>
      <c r="D533" s="2"/>
      <c r="E533" s="2"/>
      <c r="F533" s="2"/>
      <c r="G533" s="2"/>
    </row>
    <row r="534" spans="3:7">
      <c r="C534" s="2"/>
      <c r="D534" s="2"/>
      <c r="E534" s="2"/>
      <c r="F534" s="2"/>
      <c r="G534" s="2"/>
    </row>
    <row r="535" spans="3:7">
      <c r="C535" s="2"/>
      <c r="D535" s="2"/>
      <c r="E535" s="2"/>
      <c r="F535" s="2"/>
      <c r="G535" s="2"/>
    </row>
    <row r="536" spans="3:7">
      <c r="C536" s="2"/>
      <c r="D536" s="2"/>
      <c r="E536" s="2"/>
      <c r="F536" s="2"/>
      <c r="G536" s="2"/>
    </row>
    <row r="537" spans="3:7">
      <c r="C537" s="2"/>
      <c r="D537" s="2"/>
      <c r="E537" s="2"/>
      <c r="F537" s="2"/>
      <c r="G537" s="2"/>
    </row>
    <row r="538" spans="3:7">
      <c r="C538" s="2"/>
      <c r="D538" s="2"/>
      <c r="E538" s="2"/>
      <c r="F538" s="2"/>
      <c r="G538" s="2"/>
    </row>
    <row r="539" spans="3:7">
      <c r="C539" s="2"/>
      <c r="D539" s="2"/>
      <c r="E539" s="2"/>
      <c r="F539" s="2"/>
      <c r="G539" s="2"/>
    </row>
    <row r="540" spans="3:7">
      <c r="C540" s="2"/>
      <c r="D540" s="2"/>
      <c r="E540" s="2"/>
      <c r="F540" s="2"/>
      <c r="G540" s="2"/>
    </row>
    <row r="541" spans="3:7">
      <c r="C541" s="2"/>
      <c r="D541" s="2"/>
      <c r="E541" s="2"/>
      <c r="F541" s="2"/>
      <c r="G541" s="2"/>
    </row>
    <row r="542" spans="3:7">
      <c r="C542" s="2"/>
      <c r="D542" s="2"/>
      <c r="E542" s="2"/>
      <c r="F542" s="2"/>
      <c r="G542" s="2"/>
    </row>
    <row r="543" spans="3:7">
      <c r="C543" s="2"/>
      <c r="D543" s="2"/>
      <c r="E543" s="2"/>
      <c r="F543" s="2"/>
      <c r="G543" s="2"/>
    </row>
    <row r="544" spans="3:7">
      <c r="C544" s="2"/>
      <c r="D544" s="2"/>
      <c r="E544" s="2"/>
      <c r="F544" s="2"/>
      <c r="G544" s="2"/>
    </row>
    <row r="545" spans="3:7">
      <c r="C545" s="2"/>
      <c r="D545" s="2"/>
      <c r="E545" s="2"/>
      <c r="F545" s="2"/>
      <c r="G545" s="2"/>
    </row>
    <row r="546" spans="3:7">
      <c r="C546" s="2"/>
      <c r="D546" s="2"/>
      <c r="E546" s="2"/>
      <c r="F546" s="2"/>
      <c r="G546" s="2"/>
    </row>
    <row r="547" spans="3:7">
      <c r="C547" s="2"/>
      <c r="D547" s="2"/>
      <c r="E547" s="2"/>
      <c r="F547" s="2"/>
      <c r="G547" s="2"/>
    </row>
    <row r="548" spans="3:7">
      <c r="C548" s="2"/>
      <c r="D548" s="2"/>
      <c r="E548" s="2"/>
      <c r="F548" s="2"/>
      <c r="G548" s="2"/>
    </row>
    <row r="549" spans="3:7">
      <c r="C549" s="2"/>
      <c r="D549" s="2"/>
      <c r="E549" s="2"/>
      <c r="F549" s="2"/>
      <c r="G549" s="2"/>
    </row>
    <row r="550" spans="3:7">
      <c r="C550" s="2"/>
      <c r="D550" s="2"/>
      <c r="E550" s="2"/>
      <c r="F550" s="2"/>
      <c r="G550" s="2"/>
    </row>
    <row r="551" spans="3:7">
      <c r="C551" s="2"/>
      <c r="D551" s="2"/>
      <c r="E551" s="2"/>
      <c r="F551" s="2"/>
      <c r="G551" s="2"/>
    </row>
    <row r="552" spans="3:7">
      <c r="C552" s="2"/>
      <c r="D552" s="2"/>
      <c r="E552" s="2"/>
      <c r="F552" s="2"/>
      <c r="G552" s="2"/>
    </row>
    <row r="553" spans="3:7">
      <c r="C553" s="2"/>
      <c r="D553" s="2"/>
      <c r="E553" s="2"/>
      <c r="F553" s="2"/>
      <c r="G553" s="2"/>
    </row>
    <row r="554" spans="3:7">
      <c r="C554" s="2"/>
      <c r="D554" s="2"/>
      <c r="E554" s="2"/>
      <c r="F554" s="2"/>
      <c r="G554" s="2"/>
    </row>
    <row r="555" spans="3:7">
      <c r="C555" s="2"/>
      <c r="D555" s="2"/>
      <c r="E555" s="2"/>
      <c r="F555" s="2"/>
      <c r="G555" s="2"/>
    </row>
    <row r="556" spans="3:7">
      <c r="C556" s="2"/>
      <c r="D556" s="2"/>
      <c r="E556" s="2"/>
      <c r="F556" s="2"/>
      <c r="G556" s="2"/>
    </row>
    <row r="557" spans="3:7">
      <c r="C557" s="2"/>
      <c r="D557" s="2"/>
      <c r="E557" s="2"/>
      <c r="F557" s="2"/>
      <c r="G557" s="2"/>
    </row>
    <row r="558" spans="3:7">
      <c r="C558" s="2"/>
      <c r="D558" s="2"/>
      <c r="E558" s="2"/>
      <c r="F558" s="2"/>
      <c r="G558" s="2"/>
    </row>
    <row r="559" spans="3:7">
      <c r="C559" s="2"/>
      <c r="D559" s="2"/>
      <c r="E559" s="2"/>
      <c r="F559" s="2"/>
      <c r="G559" s="2"/>
    </row>
    <row r="560" spans="3:7">
      <c r="C560" s="2"/>
      <c r="D560" s="2"/>
      <c r="E560" s="2"/>
      <c r="F560" s="2"/>
      <c r="G560" s="2"/>
    </row>
    <row r="561" spans="3:7">
      <c r="C561" s="2"/>
      <c r="D561" s="2"/>
      <c r="E561" s="2"/>
      <c r="F561" s="2"/>
      <c r="G561" s="2"/>
    </row>
    <row r="562" spans="3:7">
      <c r="C562" s="2"/>
      <c r="D562" s="2"/>
      <c r="E562" s="2"/>
      <c r="F562" s="2"/>
      <c r="G562" s="2"/>
    </row>
    <row r="563" spans="3:7">
      <c r="C563" s="2"/>
      <c r="D563" s="2"/>
      <c r="E563" s="2"/>
      <c r="F563" s="2"/>
      <c r="G563" s="2"/>
    </row>
    <row r="564" spans="3:7">
      <c r="C564" s="2"/>
      <c r="D564" s="2"/>
      <c r="E564" s="2"/>
      <c r="F564" s="2"/>
      <c r="G564" s="2"/>
    </row>
    <row r="565" spans="3:7">
      <c r="C565" s="2"/>
      <c r="D565" s="2"/>
      <c r="E565" s="2"/>
      <c r="F565" s="2"/>
      <c r="G565" s="2"/>
    </row>
    <row r="566" spans="3:7">
      <c r="C566" s="2"/>
      <c r="D566" s="2"/>
      <c r="E566" s="2"/>
      <c r="F566" s="2"/>
      <c r="G566" s="2"/>
    </row>
    <row r="567" spans="3:7">
      <c r="C567" s="2"/>
      <c r="D567" s="2"/>
      <c r="E567" s="2"/>
      <c r="F567" s="2"/>
      <c r="G567" s="2"/>
    </row>
    <row r="568" spans="3:7">
      <c r="C568" s="2"/>
      <c r="D568" s="2"/>
      <c r="E568" s="2"/>
      <c r="F568" s="2"/>
      <c r="G568" s="2"/>
    </row>
    <row r="569" spans="3:7">
      <c r="C569" s="2"/>
      <c r="D569" s="2"/>
      <c r="E569" s="2"/>
      <c r="F569" s="2"/>
      <c r="G569" s="2"/>
    </row>
    <row r="570" spans="3:7">
      <c r="C570" s="2"/>
      <c r="D570" s="2"/>
      <c r="E570" s="2"/>
      <c r="F570" s="2"/>
      <c r="G570" s="2"/>
    </row>
    <row r="571" spans="3:7">
      <c r="C571" s="2"/>
      <c r="D571" s="2"/>
      <c r="E571" s="2"/>
      <c r="F571" s="2"/>
      <c r="G571" s="2"/>
    </row>
    <row r="572" spans="3:7">
      <c r="C572" s="2"/>
      <c r="D572" s="2"/>
      <c r="E572" s="2"/>
      <c r="F572" s="2"/>
      <c r="G572" s="2"/>
    </row>
    <row r="573" spans="3:7">
      <c r="C573" s="2"/>
      <c r="D573" s="2"/>
      <c r="E573" s="2"/>
      <c r="F573" s="2"/>
      <c r="G573" s="2"/>
    </row>
    <row r="574" spans="3:7">
      <c r="C574" s="2"/>
      <c r="D574" s="2"/>
      <c r="E574" s="2"/>
      <c r="F574" s="2"/>
      <c r="G574" s="2"/>
    </row>
    <row r="575" spans="3:7">
      <c r="C575" s="2"/>
      <c r="D575" s="2"/>
      <c r="E575" s="2"/>
      <c r="F575" s="2"/>
      <c r="G575" s="2"/>
    </row>
    <row r="576" spans="3:7">
      <c r="C576" s="2"/>
      <c r="D576" s="2"/>
      <c r="E576" s="2"/>
      <c r="F576" s="2"/>
      <c r="G576" s="2"/>
    </row>
  </sheetData>
  <mergeCells count="23">
    <mergeCell ref="G17:G18"/>
    <mergeCell ref="A17:A18"/>
    <mergeCell ref="B17:B18"/>
    <mergeCell ref="C17:C18"/>
    <mergeCell ref="D17:D18"/>
    <mergeCell ref="E17:E18"/>
    <mergeCell ref="F17:F18"/>
    <mergeCell ref="A13:I13"/>
    <mergeCell ref="C446:G446"/>
    <mergeCell ref="D447:G447"/>
    <mergeCell ref="C449:G449"/>
    <mergeCell ref="D450:G450"/>
    <mergeCell ref="C48:G48"/>
    <mergeCell ref="C49:G49"/>
    <mergeCell ref="C51:G51"/>
    <mergeCell ref="C52:G52"/>
    <mergeCell ref="A14:G14"/>
    <mergeCell ref="A3:G3"/>
    <mergeCell ref="A6:G6"/>
    <mergeCell ref="A7:G7"/>
    <mergeCell ref="A8:G8"/>
    <mergeCell ref="A11:K11"/>
    <mergeCell ref="A12:N12"/>
  </mergeCells>
  <pageMargins left="1.1023622047244095" right="0.31496062992125984" top="0.74803149606299213" bottom="1.56" header="0.31496062992125984" footer="0.31496062992125984"/>
  <pageSetup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2:N557"/>
  <sheetViews>
    <sheetView workbookViewId="0">
      <selection activeCell="F52" sqref="F52"/>
    </sheetView>
  </sheetViews>
  <sheetFormatPr defaultRowHeight="12.75"/>
  <cols>
    <col min="1" max="1" width="7" style="2" bestFit="1" customWidth="1"/>
    <col min="2" max="2" width="6.42578125" style="2" customWidth="1"/>
    <col min="3" max="3" width="36.85546875" style="1" customWidth="1"/>
    <col min="4" max="4" width="9.7109375" style="1" bestFit="1" customWidth="1"/>
    <col min="5" max="5" width="9.85546875" style="1" bestFit="1" customWidth="1"/>
    <col min="6" max="6" width="9" style="1" customWidth="1"/>
    <col min="7" max="7" width="8.7109375" style="1" customWidth="1"/>
    <col min="8" max="8" width="9.140625" style="2"/>
    <col min="9" max="9" width="13.140625" style="2" customWidth="1"/>
    <col min="10" max="16384" width="9.140625" style="2"/>
  </cols>
  <sheetData>
    <row r="2" spans="1:14" s="4" customFormat="1">
      <c r="A2" s="246" t="s">
        <v>154</v>
      </c>
      <c r="B2" s="246"/>
      <c r="C2" s="246"/>
      <c r="D2" s="246"/>
      <c r="E2" s="246"/>
      <c r="F2" s="246"/>
      <c r="G2" s="246"/>
    </row>
    <row r="3" spans="1:14" s="4" customFormat="1"/>
    <row r="4" spans="1:14" s="4" customFormat="1">
      <c r="A4" s="256" t="s">
        <v>112</v>
      </c>
      <c r="B4" s="256"/>
      <c r="C4" s="256"/>
      <c r="D4" s="256"/>
      <c r="E4" s="256"/>
      <c r="F4" s="256"/>
      <c r="G4" s="256"/>
    </row>
    <row r="5" spans="1:14" s="4" customFormat="1">
      <c r="A5" s="254" t="s">
        <v>1061</v>
      </c>
      <c r="B5" s="254"/>
      <c r="C5" s="254"/>
      <c r="D5" s="254"/>
      <c r="E5" s="254"/>
      <c r="F5" s="254"/>
      <c r="G5" s="254"/>
    </row>
    <row r="6" spans="1:14" s="4" customFormat="1">
      <c r="A6" s="144"/>
      <c r="B6" s="245" t="s">
        <v>1062</v>
      </c>
      <c r="C6" s="245"/>
      <c r="D6" s="245"/>
      <c r="E6" s="245"/>
      <c r="F6" s="245"/>
      <c r="G6" s="245"/>
      <c r="H6" s="245"/>
    </row>
    <row r="7" spans="1:14" s="4" customFormat="1"/>
    <row r="8" spans="1:14" s="4" customFormat="1" ht="15" customHeight="1">
      <c r="A8" s="243" t="s">
        <v>636</v>
      </c>
      <c r="B8" s="243"/>
      <c r="C8" s="243"/>
      <c r="D8" s="243"/>
      <c r="E8" s="243"/>
      <c r="F8" s="243"/>
      <c r="G8" s="243"/>
      <c r="H8" s="243"/>
      <c r="I8" s="243"/>
      <c r="J8" s="243"/>
      <c r="K8" s="243"/>
      <c r="L8" s="121"/>
      <c r="M8" s="121"/>
      <c r="N8" s="121"/>
    </row>
    <row r="9" spans="1:14" s="4" customFormat="1" ht="15" customHeight="1">
      <c r="A9" s="243" t="s">
        <v>1031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</row>
    <row r="10" spans="1:14" s="4" customFormat="1" ht="15" customHeight="1">
      <c r="A10" s="243" t="s">
        <v>1032</v>
      </c>
      <c r="B10" s="243"/>
      <c r="C10" s="243"/>
      <c r="D10" s="243"/>
      <c r="E10" s="243"/>
      <c r="F10" s="243"/>
      <c r="G10" s="243"/>
      <c r="H10" s="243"/>
      <c r="I10" s="243"/>
      <c r="J10" s="86"/>
      <c r="K10" s="86"/>
      <c r="L10" s="122"/>
      <c r="M10" s="122"/>
      <c r="N10" s="86"/>
    </row>
    <row r="11" spans="1:14" s="4" customFormat="1" ht="15" customHeight="1">
      <c r="A11" s="245" t="s">
        <v>10</v>
      </c>
      <c r="B11" s="245"/>
      <c r="C11" s="245"/>
      <c r="D11" s="245"/>
      <c r="E11" s="245"/>
      <c r="F11" s="245"/>
      <c r="G11" s="245"/>
    </row>
    <row r="12" spans="1:14" s="4" customFormat="1"/>
    <row r="13" spans="1:14" s="4" customFormat="1" ht="12.75" customHeight="1">
      <c r="A13" s="248" t="s">
        <v>11</v>
      </c>
      <c r="B13" s="249" t="s">
        <v>34</v>
      </c>
      <c r="C13" s="248" t="s">
        <v>12</v>
      </c>
      <c r="D13" s="248" t="s">
        <v>13</v>
      </c>
      <c r="E13" s="248" t="s">
        <v>14</v>
      </c>
      <c r="F13" s="244" t="s">
        <v>19</v>
      </c>
      <c r="G13" s="244" t="s">
        <v>20</v>
      </c>
    </row>
    <row r="14" spans="1:14" s="4" customFormat="1" ht="35.25" customHeight="1">
      <c r="A14" s="248"/>
      <c r="B14" s="250"/>
      <c r="C14" s="248"/>
      <c r="D14" s="248"/>
      <c r="E14" s="248"/>
      <c r="F14" s="251"/>
      <c r="G14" s="244"/>
    </row>
    <row r="15" spans="1:14" s="4" customFormat="1" ht="15">
      <c r="A15" s="87" t="s">
        <v>59</v>
      </c>
      <c r="B15" s="58"/>
      <c r="C15" s="41" t="s">
        <v>1063</v>
      </c>
      <c r="D15" s="82"/>
      <c r="E15" s="82"/>
      <c r="F15" s="28"/>
      <c r="G15" s="26"/>
    </row>
    <row r="16" spans="1:14" s="4" customFormat="1" ht="15">
      <c r="A16" s="85" t="s">
        <v>155</v>
      </c>
      <c r="B16" s="58"/>
      <c r="C16" s="78" t="s">
        <v>1064</v>
      </c>
      <c r="D16" s="81" t="s">
        <v>1</v>
      </c>
      <c r="E16" s="146">
        <v>105</v>
      </c>
      <c r="F16" s="83"/>
      <c r="G16" s="84"/>
    </row>
    <row r="17" spans="1:7" s="4" customFormat="1" ht="15">
      <c r="A17" s="85" t="s">
        <v>156</v>
      </c>
      <c r="B17" s="58"/>
      <c r="C17" s="78" t="s">
        <v>1065</v>
      </c>
      <c r="D17" s="81" t="s">
        <v>792</v>
      </c>
      <c r="E17" s="146">
        <v>5</v>
      </c>
      <c r="F17" s="83"/>
      <c r="G17" s="84"/>
    </row>
    <row r="18" spans="1:7" s="4" customFormat="1" ht="15">
      <c r="A18" s="85" t="s">
        <v>157</v>
      </c>
      <c r="B18" s="58"/>
      <c r="C18" s="78" t="s">
        <v>1066</v>
      </c>
      <c r="D18" s="81" t="s">
        <v>792</v>
      </c>
      <c r="E18" s="146">
        <v>1</v>
      </c>
      <c r="F18" s="83"/>
      <c r="G18" s="84"/>
    </row>
    <row r="19" spans="1:7" s="4" customFormat="1" ht="15">
      <c r="A19" s="85" t="s">
        <v>159</v>
      </c>
      <c r="B19" s="58"/>
      <c r="C19" s="78" t="s">
        <v>1067</v>
      </c>
      <c r="D19" s="81" t="s">
        <v>792</v>
      </c>
      <c r="E19" s="146">
        <v>1</v>
      </c>
      <c r="F19" s="83"/>
      <c r="G19" s="84"/>
    </row>
    <row r="20" spans="1:7" s="86" customFormat="1" ht="15">
      <c r="A20" s="85" t="s">
        <v>1068</v>
      </c>
      <c r="B20" s="58"/>
      <c r="C20" s="78" t="s">
        <v>1053</v>
      </c>
      <c r="D20" s="81" t="s">
        <v>27</v>
      </c>
      <c r="E20" s="146">
        <v>185</v>
      </c>
      <c r="F20" s="83"/>
      <c r="G20" s="84"/>
    </row>
    <row r="21" spans="1:7" s="86" customFormat="1" ht="15">
      <c r="A21" s="85" t="s">
        <v>1069</v>
      </c>
      <c r="B21" s="58"/>
      <c r="C21" s="78" t="s">
        <v>1025</v>
      </c>
      <c r="D21" s="81" t="s">
        <v>27</v>
      </c>
      <c r="E21" s="146">
        <v>185</v>
      </c>
      <c r="F21" s="83"/>
      <c r="G21" s="84"/>
    </row>
    <row r="22" spans="1:7" s="86" customFormat="1" ht="15">
      <c r="A22" s="85" t="s">
        <v>1070</v>
      </c>
      <c r="B22" s="58"/>
      <c r="C22" s="78" t="s">
        <v>991</v>
      </c>
      <c r="D22" s="81" t="s">
        <v>27</v>
      </c>
      <c r="E22" s="146">
        <v>135</v>
      </c>
      <c r="F22" s="83"/>
      <c r="G22" s="84"/>
    </row>
    <row r="23" spans="1:7" s="86" customFormat="1" ht="15">
      <c r="A23" s="85" t="s">
        <v>1071</v>
      </c>
      <c r="B23" s="58"/>
      <c r="C23" s="78" t="s">
        <v>1027</v>
      </c>
      <c r="D23" s="81" t="s">
        <v>27</v>
      </c>
      <c r="E23" s="146">
        <v>135</v>
      </c>
      <c r="F23" s="83"/>
      <c r="G23" s="84"/>
    </row>
    <row r="24" spans="1:7" s="86" customFormat="1" ht="15">
      <c r="A24" s="85" t="s">
        <v>1072</v>
      </c>
      <c r="B24" s="58"/>
      <c r="C24" s="78" t="s">
        <v>1028</v>
      </c>
      <c r="D24" s="81" t="s">
        <v>792</v>
      </c>
      <c r="E24" s="146">
        <v>2</v>
      </c>
      <c r="F24" s="83"/>
      <c r="G24" s="84"/>
    </row>
    <row r="25" spans="1:7" s="86" customFormat="1" ht="63.75">
      <c r="A25" s="85" t="s">
        <v>2126</v>
      </c>
      <c r="B25" s="58"/>
      <c r="C25" s="235" t="s">
        <v>2127</v>
      </c>
      <c r="D25" s="236" t="s">
        <v>32</v>
      </c>
      <c r="E25" s="237">
        <v>1</v>
      </c>
      <c r="F25" s="83"/>
      <c r="G25" s="84"/>
    </row>
    <row r="26" spans="1:7" s="86" customFormat="1" ht="15">
      <c r="A26" s="85"/>
      <c r="B26" s="58"/>
      <c r="C26" s="79" t="s">
        <v>1073</v>
      </c>
      <c r="D26" s="69"/>
      <c r="E26" s="95"/>
      <c r="F26" s="83"/>
      <c r="G26" s="84"/>
    </row>
    <row r="27" spans="1:7" s="4" customFormat="1">
      <c r="E27" s="253"/>
      <c r="F27" s="253"/>
      <c r="G27" s="253"/>
    </row>
    <row r="28" spans="1:7">
      <c r="A28" s="4"/>
      <c r="B28" s="4"/>
      <c r="C28" s="4"/>
      <c r="D28" s="4"/>
      <c r="E28" s="4"/>
      <c r="F28" s="4"/>
      <c r="G28" s="4"/>
    </row>
    <row r="29" spans="1:7">
      <c r="A29" s="4"/>
      <c r="B29" s="4"/>
      <c r="C29" s="245" t="s">
        <v>21</v>
      </c>
      <c r="D29" s="245"/>
      <c r="E29" s="245"/>
      <c r="F29" s="245"/>
      <c r="G29" s="245"/>
    </row>
    <row r="30" spans="1:7">
      <c r="A30" s="4"/>
      <c r="B30" s="4"/>
      <c r="C30" s="247" t="s">
        <v>5</v>
      </c>
      <c r="D30" s="247"/>
      <c r="E30" s="247"/>
      <c r="F30" s="247"/>
      <c r="G30" s="247"/>
    </row>
    <row r="31" spans="1:7">
      <c r="A31" s="4"/>
      <c r="B31" s="4"/>
      <c r="C31" s="27"/>
      <c r="D31" s="27"/>
      <c r="E31" s="27"/>
      <c r="F31" s="27"/>
      <c r="G31" s="27"/>
    </row>
    <row r="32" spans="1:7">
      <c r="A32" s="4"/>
      <c r="B32" s="4"/>
      <c r="C32" s="245" t="s">
        <v>22</v>
      </c>
      <c r="D32" s="245"/>
      <c r="E32" s="245"/>
      <c r="F32" s="245"/>
      <c r="G32" s="245"/>
    </row>
    <row r="33" spans="1:7">
      <c r="A33" s="4"/>
      <c r="B33" s="4"/>
      <c r="C33" s="247" t="s">
        <v>5</v>
      </c>
      <c r="D33" s="247"/>
      <c r="E33" s="247"/>
      <c r="F33" s="247"/>
      <c r="G33" s="247"/>
    </row>
    <row r="34" spans="1:7">
      <c r="A34" s="4"/>
      <c r="B34" s="4"/>
      <c r="C34" s="27"/>
      <c r="D34" s="27"/>
      <c r="E34" s="27"/>
      <c r="F34" s="27"/>
      <c r="G34" s="27"/>
    </row>
    <row r="35" spans="1:7">
      <c r="A35" s="4"/>
      <c r="B35" s="4"/>
      <c r="C35" s="50" t="s">
        <v>35</v>
      </c>
      <c r="D35" s="49"/>
      <c r="E35" s="49"/>
      <c r="F35" s="49"/>
      <c r="G35" s="4"/>
    </row>
    <row r="37" spans="1:7">
      <c r="C37" s="1" t="s">
        <v>16</v>
      </c>
    </row>
    <row r="38" spans="1:7" ht="51">
      <c r="B38" s="238" t="s">
        <v>765</v>
      </c>
      <c r="C38" s="98" t="s">
        <v>17</v>
      </c>
      <c r="D38" s="98"/>
      <c r="E38" s="98"/>
      <c r="F38" s="98"/>
      <c r="G38" s="98"/>
    </row>
    <row r="39" spans="1:7" ht="38.25">
      <c r="B39" s="238" t="s">
        <v>766</v>
      </c>
      <c r="C39" s="98" t="s">
        <v>767</v>
      </c>
      <c r="D39" s="98"/>
      <c r="E39" s="98"/>
      <c r="F39" s="98"/>
      <c r="G39" s="98"/>
    </row>
    <row r="40" spans="1:7" ht="25.5">
      <c r="B40" s="113" t="s">
        <v>768</v>
      </c>
      <c r="C40" s="205" t="s">
        <v>769</v>
      </c>
      <c r="D40" s="113"/>
      <c r="E40" s="113"/>
      <c r="F40" s="113"/>
      <c r="G40" s="114"/>
    </row>
    <row r="41" spans="1:7">
      <c r="C41" s="7"/>
      <c r="D41" s="9"/>
      <c r="E41" s="10"/>
      <c r="F41" s="10"/>
      <c r="G41" s="10"/>
    </row>
    <row r="42" spans="1:7">
      <c r="C42" s="24"/>
      <c r="D42" s="20"/>
      <c r="E42" s="25"/>
      <c r="F42" s="10"/>
      <c r="G42" s="10"/>
    </row>
    <row r="43" spans="1:7">
      <c r="C43" s="22"/>
      <c r="D43" s="20"/>
      <c r="E43" s="25"/>
      <c r="F43" s="10"/>
      <c r="G43" s="10"/>
    </row>
    <row r="44" spans="1:7">
      <c r="C44" s="8"/>
      <c r="D44" s="9"/>
      <c r="E44" s="10"/>
      <c r="F44" s="10"/>
      <c r="G44" s="10"/>
    </row>
    <row r="45" spans="1:7">
      <c r="C45" s="12"/>
      <c r="D45" s="9"/>
      <c r="E45" s="10"/>
      <c r="F45" s="10"/>
      <c r="G45" s="10"/>
    </row>
    <row r="46" spans="1:7">
      <c r="C46" s="2"/>
      <c r="D46" s="2"/>
      <c r="E46" s="10"/>
      <c r="F46" s="10"/>
      <c r="G46" s="10"/>
    </row>
    <row r="47" spans="1:7">
      <c r="C47" s="2"/>
      <c r="D47" s="2"/>
      <c r="E47" s="20"/>
      <c r="F47" s="10"/>
      <c r="G47" s="10"/>
    </row>
    <row r="48" spans="1:7">
      <c r="C48" s="2"/>
      <c r="D48" s="2"/>
      <c r="E48" s="10"/>
      <c r="F48" s="10"/>
      <c r="G48" s="10"/>
    </row>
    <row r="49" spans="3:7">
      <c r="C49" s="2"/>
      <c r="D49" s="2"/>
      <c r="E49" s="25"/>
      <c r="F49" s="10"/>
      <c r="G49" s="10"/>
    </row>
    <row r="50" spans="3:7">
      <c r="C50" s="2"/>
      <c r="D50" s="2"/>
      <c r="E50" s="5"/>
      <c r="F50" s="6"/>
      <c r="G50" s="5"/>
    </row>
    <row r="51" spans="3:7">
      <c r="C51" s="2"/>
      <c r="D51" s="2"/>
      <c r="E51" s="5"/>
      <c r="F51" s="6"/>
      <c r="G51" s="5"/>
    </row>
    <row r="52" spans="3:7">
      <c r="C52" s="2"/>
      <c r="D52" s="2"/>
      <c r="E52" s="25"/>
      <c r="F52" s="10"/>
      <c r="G52" s="10"/>
    </row>
    <row r="53" spans="3:7">
      <c r="C53" s="2"/>
      <c r="D53" s="2"/>
      <c r="E53" s="25"/>
      <c r="F53" s="10"/>
      <c r="G53" s="10"/>
    </row>
    <row r="54" spans="3:7">
      <c r="C54" s="2"/>
      <c r="D54" s="2"/>
      <c r="E54" s="25"/>
      <c r="F54" s="10"/>
      <c r="G54" s="10"/>
    </row>
    <row r="55" spans="3:7">
      <c r="C55" s="8"/>
      <c r="D55" s="9"/>
      <c r="E55" s="10"/>
      <c r="F55" s="10"/>
      <c r="G55" s="10"/>
    </row>
    <row r="56" spans="3:7">
      <c r="C56" s="12"/>
      <c r="D56" s="9"/>
      <c r="E56" s="10"/>
      <c r="F56" s="10"/>
      <c r="G56" s="10"/>
    </row>
    <row r="57" spans="3:7">
      <c r="C57" s="12"/>
      <c r="D57" s="9"/>
      <c r="E57" s="10"/>
      <c r="F57" s="10"/>
      <c r="G57" s="10"/>
    </row>
    <row r="58" spans="3:7">
      <c r="C58" s="8"/>
      <c r="D58" s="9"/>
      <c r="E58" s="10"/>
      <c r="F58" s="10"/>
      <c r="G58" s="10"/>
    </row>
    <row r="59" spans="3:7">
      <c r="C59" s="12"/>
      <c r="D59" s="9"/>
      <c r="E59" s="10"/>
      <c r="F59" s="10"/>
      <c r="G59" s="10"/>
    </row>
    <row r="60" spans="3:7">
      <c r="C60" s="12"/>
      <c r="D60" s="9"/>
      <c r="E60" s="10"/>
      <c r="F60" s="10"/>
      <c r="G60" s="10"/>
    </row>
    <row r="61" spans="3:7">
      <c r="C61" s="32"/>
      <c r="D61" s="20"/>
      <c r="E61" s="25"/>
      <c r="F61" s="10"/>
      <c r="G61" s="10"/>
    </row>
    <row r="62" spans="3:7">
      <c r="C62" s="24"/>
      <c r="D62" s="20"/>
      <c r="E62" s="25"/>
      <c r="F62" s="10"/>
      <c r="G62" s="10"/>
    </row>
    <row r="63" spans="3:7">
      <c r="C63" s="22"/>
      <c r="D63" s="20"/>
      <c r="E63" s="25"/>
      <c r="F63" s="10"/>
      <c r="G63" s="10"/>
    </row>
    <row r="64" spans="3:7">
      <c r="C64" s="8"/>
      <c r="D64" s="9"/>
      <c r="E64" s="10"/>
      <c r="F64" s="10"/>
      <c r="G64" s="10"/>
    </row>
    <row r="65" spans="3:7">
      <c r="C65" s="12"/>
      <c r="D65" s="9"/>
      <c r="E65" s="10"/>
      <c r="F65" s="10"/>
      <c r="G65" s="10"/>
    </row>
    <row r="66" spans="3:7">
      <c r="C66" s="12"/>
      <c r="D66" s="9"/>
      <c r="E66" s="10"/>
      <c r="F66" s="10"/>
      <c r="G66" s="10"/>
    </row>
    <row r="67" spans="3:7">
      <c r="C67" s="33"/>
      <c r="D67" s="20"/>
      <c r="E67" s="10"/>
      <c r="F67" s="10"/>
      <c r="G67" s="10"/>
    </row>
    <row r="68" spans="3:7">
      <c r="C68" s="23"/>
      <c r="D68" s="20"/>
      <c r="E68" s="10"/>
      <c r="F68" s="10"/>
      <c r="G68" s="10"/>
    </row>
    <row r="69" spans="3:7">
      <c r="C69" s="23"/>
      <c r="D69" s="20"/>
      <c r="E69" s="10"/>
      <c r="F69" s="10"/>
      <c r="G69" s="10"/>
    </row>
    <row r="70" spans="3:7">
      <c r="C70" s="8"/>
      <c r="D70" s="9"/>
      <c r="E70" s="10"/>
      <c r="F70" s="10"/>
      <c r="G70" s="10"/>
    </row>
    <row r="71" spans="3:7">
      <c r="C71" s="12"/>
      <c r="D71" s="9"/>
      <c r="E71" s="10"/>
      <c r="F71" s="10"/>
      <c r="G71" s="10"/>
    </row>
    <row r="72" spans="3:7">
      <c r="C72" s="8"/>
      <c r="D72" s="20"/>
      <c r="E72" s="10"/>
      <c r="F72" s="10"/>
      <c r="G72" s="10"/>
    </row>
    <row r="73" spans="3:7">
      <c r="C73" s="12"/>
      <c r="D73" s="20"/>
      <c r="E73" s="10"/>
      <c r="F73" s="10"/>
      <c r="G73" s="10"/>
    </row>
    <row r="74" spans="3:7">
      <c r="C74" s="34"/>
      <c r="D74" s="20"/>
      <c r="E74" s="10"/>
      <c r="F74" s="10"/>
      <c r="G74" s="10"/>
    </row>
    <row r="75" spans="3:7">
      <c r="C75" s="23"/>
      <c r="D75" s="20"/>
      <c r="E75" s="10"/>
      <c r="F75" s="10"/>
      <c r="G75" s="10"/>
    </row>
    <row r="76" spans="3:7">
      <c r="C76" s="23"/>
      <c r="D76" s="20"/>
      <c r="E76" s="10"/>
      <c r="F76" s="10"/>
      <c r="G76" s="10"/>
    </row>
    <row r="77" spans="3:7">
      <c r="C77" s="23"/>
      <c r="D77" s="20"/>
      <c r="E77" s="10"/>
      <c r="F77" s="10"/>
      <c r="G77" s="10"/>
    </row>
    <row r="78" spans="3:7">
      <c r="C78" s="34"/>
      <c r="D78" s="20"/>
      <c r="E78" s="10"/>
      <c r="F78" s="10"/>
      <c r="G78" s="10"/>
    </row>
    <row r="79" spans="3:7">
      <c r="C79" s="23"/>
      <c r="D79" s="20"/>
      <c r="E79" s="10"/>
      <c r="F79" s="10"/>
      <c r="G79" s="10"/>
    </row>
    <row r="80" spans="3:7">
      <c r="C80" s="23"/>
      <c r="D80" s="20"/>
      <c r="E80" s="10"/>
      <c r="F80" s="10"/>
      <c r="G80" s="10"/>
    </row>
    <row r="81" spans="3:7">
      <c r="C81" s="34"/>
      <c r="D81" s="20"/>
      <c r="E81" s="10"/>
      <c r="F81" s="10"/>
      <c r="G81" s="10"/>
    </row>
    <row r="82" spans="3:7">
      <c r="C82" s="23"/>
      <c r="D82" s="20"/>
      <c r="E82" s="10"/>
      <c r="F82" s="10"/>
      <c r="G82" s="10"/>
    </row>
    <row r="83" spans="3:7">
      <c r="C83" s="23"/>
      <c r="D83" s="20"/>
      <c r="E83" s="10"/>
      <c r="F83" s="10"/>
      <c r="G83" s="10"/>
    </row>
    <row r="84" spans="3:7">
      <c r="C84" s="32"/>
      <c r="D84" s="20"/>
      <c r="E84" s="25"/>
      <c r="F84" s="10"/>
      <c r="G84" s="10"/>
    </row>
    <row r="85" spans="3:7">
      <c r="C85" s="21"/>
      <c r="D85" s="20"/>
      <c r="E85" s="25"/>
      <c r="F85" s="10"/>
      <c r="G85" s="10"/>
    </row>
    <row r="86" spans="3:7">
      <c r="C86" s="22"/>
      <c r="D86" s="20"/>
      <c r="E86" s="25"/>
      <c r="F86" s="10"/>
      <c r="G86" s="10"/>
    </row>
    <row r="87" spans="3:7">
      <c r="C87" s="33"/>
      <c r="D87" s="20"/>
      <c r="E87" s="10"/>
      <c r="F87" s="10"/>
      <c r="G87" s="10"/>
    </row>
    <row r="88" spans="3:7">
      <c r="C88" s="23"/>
      <c r="D88" s="20"/>
      <c r="E88" s="10"/>
      <c r="F88" s="10"/>
      <c r="G88" s="10"/>
    </row>
    <row r="89" spans="3:7">
      <c r="C89" s="23"/>
      <c r="D89" s="20"/>
      <c r="E89" s="10"/>
      <c r="F89" s="10"/>
      <c r="G89" s="10"/>
    </row>
    <row r="90" spans="3:7">
      <c r="C90" s="34"/>
      <c r="D90" s="20"/>
      <c r="E90" s="10"/>
      <c r="F90" s="10"/>
      <c r="G90" s="10"/>
    </row>
    <row r="91" spans="3:7">
      <c r="C91" s="23"/>
      <c r="D91" s="20"/>
      <c r="E91" s="10"/>
      <c r="F91" s="10"/>
      <c r="G91" s="10"/>
    </row>
    <row r="92" spans="3:7">
      <c r="C92" s="23"/>
      <c r="D92" s="20"/>
      <c r="E92" s="10"/>
      <c r="F92" s="10"/>
      <c r="G92" s="10"/>
    </row>
    <row r="93" spans="3:7">
      <c r="C93" s="23"/>
      <c r="D93" s="20"/>
      <c r="E93" s="10"/>
      <c r="F93" s="10"/>
      <c r="G93" s="10"/>
    </row>
    <row r="94" spans="3:7">
      <c r="C94" s="34"/>
      <c r="D94" s="20"/>
      <c r="E94" s="10"/>
      <c r="F94" s="10"/>
      <c r="G94" s="10"/>
    </row>
    <row r="95" spans="3:7">
      <c r="C95" s="23"/>
      <c r="D95" s="20"/>
      <c r="E95" s="10"/>
      <c r="F95" s="10"/>
      <c r="G95" s="10"/>
    </row>
    <row r="96" spans="3:7">
      <c r="C96" s="23"/>
      <c r="D96" s="20"/>
      <c r="E96" s="10"/>
      <c r="F96" s="10"/>
      <c r="G96" s="10"/>
    </row>
    <row r="97" spans="3:7">
      <c r="C97" s="34"/>
      <c r="D97" s="20"/>
      <c r="E97" s="10"/>
      <c r="F97" s="10"/>
      <c r="G97" s="10"/>
    </row>
    <row r="98" spans="3:7">
      <c r="C98" s="23"/>
      <c r="D98" s="20"/>
      <c r="E98" s="10"/>
      <c r="F98" s="10"/>
      <c r="G98" s="10"/>
    </row>
    <row r="99" spans="3:7">
      <c r="C99" s="23"/>
      <c r="D99" s="20"/>
      <c r="E99" s="10"/>
      <c r="F99" s="10"/>
      <c r="G99" s="10"/>
    </row>
    <row r="100" spans="3:7">
      <c r="C100" s="7"/>
      <c r="D100" s="20"/>
      <c r="E100" s="10"/>
      <c r="F100" s="10"/>
      <c r="G100" s="10"/>
    </row>
    <row r="101" spans="3:7">
      <c r="C101" s="21"/>
      <c r="D101" s="20"/>
      <c r="E101" s="25"/>
      <c r="F101" s="10"/>
      <c r="G101" s="10"/>
    </row>
    <row r="102" spans="3:7">
      <c r="C102" s="22"/>
      <c r="D102" s="20"/>
      <c r="E102" s="25"/>
      <c r="F102" s="10"/>
      <c r="G102" s="10"/>
    </row>
    <row r="103" spans="3:7">
      <c r="C103" s="33"/>
      <c r="D103" s="20"/>
      <c r="E103" s="10"/>
      <c r="F103" s="10"/>
      <c r="G103" s="10"/>
    </row>
    <row r="104" spans="3:7">
      <c r="C104" s="23"/>
      <c r="D104" s="20"/>
      <c r="E104" s="10"/>
      <c r="F104" s="10"/>
      <c r="G104" s="10"/>
    </row>
    <row r="105" spans="3:7">
      <c r="C105" s="23"/>
      <c r="D105" s="20"/>
      <c r="E105" s="10"/>
      <c r="F105" s="10"/>
      <c r="G105" s="10"/>
    </row>
    <row r="106" spans="3:7">
      <c r="C106" s="8"/>
      <c r="D106" s="9"/>
      <c r="E106" s="10"/>
      <c r="F106" s="10"/>
      <c r="G106" s="10"/>
    </row>
    <row r="107" spans="3:7">
      <c r="C107" s="22"/>
      <c r="D107" s="20"/>
      <c r="E107" s="25"/>
      <c r="F107" s="10"/>
      <c r="G107" s="10"/>
    </row>
    <row r="108" spans="3:7">
      <c r="C108" s="22"/>
      <c r="D108" s="20"/>
      <c r="E108" s="25"/>
      <c r="F108" s="10"/>
      <c r="G108" s="10"/>
    </row>
    <row r="109" spans="3:7">
      <c r="C109" s="22"/>
      <c r="D109" s="20"/>
      <c r="E109" s="25"/>
      <c r="F109" s="10"/>
      <c r="G109" s="10"/>
    </row>
    <row r="110" spans="3:7">
      <c r="C110" s="22"/>
      <c r="D110" s="20"/>
      <c r="E110" s="25"/>
      <c r="F110" s="10"/>
      <c r="G110" s="10"/>
    </row>
    <row r="111" spans="3:7">
      <c r="C111" s="21"/>
      <c r="D111" s="20"/>
      <c r="E111" s="25"/>
      <c r="F111" s="10"/>
      <c r="G111" s="10"/>
    </row>
    <row r="112" spans="3:7">
      <c r="C112" s="22"/>
      <c r="D112" s="20"/>
      <c r="E112" s="25"/>
      <c r="F112" s="10"/>
      <c r="G112" s="10"/>
    </row>
    <row r="113" spans="3:7">
      <c r="C113" s="22"/>
      <c r="D113" s="20"/>
      <c r="E113" s="25"/>
      <c r="F113" s="10"/>
      <c r="G113" s="10"/>
    </row>
    <row r="114" spans="3:7">
      <c r="C114" s="22"/>
      <c r="D114" s="20"/>
      <c r="E114" s="25"/>
      <c r="F114" s="10"/>
      <c r="G114" s="10"/>
    </row>
    <row r="115" spans="3:7">
      <c r="C115" s="22"/>
      <c r="D115" s="20"/>
      <c r="E115" s="25"/>
      <c r="F115" s="10"/>
      <c r="G115" s="10"/>
    </row>
    <row r="116" spans="3:7">
      <c r="C116" s="7"/>
      <c r="D116" s="20"/>
      <c r="E116" s="10"/>
      <c r="F116" s="10"/>
      <c r="G116" s="10"/>
    </row>
    <row r="117" spans="3:7">
      <c r="C117" s="21"/>
      <c r="D117" s="20"/>
      <c r="E117" s="25"/>
      <c r="F117" s="10"/>
      <c r="G117" s="10"/>
    </row>
    <row r="118" spans="3:7">
      <c r="C118" s="22"/>
      <c r="D118" s="20"/>
      <c r="E118" s="25"/>
      <c r="F118" s="10"/>
      <c r="G118" s="10"/>
    </row>
    <row r="119" spans="3:7">
      <c r="C119" s="33"/>
      <c r="D119" s="20"/>
      <c r="E119" s="10"/>
      <c r="F119" s="10"/>
      <c r="G119" s="10"/>
    </row>
    <row r="120" spans="3:7">
      <c r="C120" s="23"/>
      <c r="D120" s="20"/>
      <c r="E120" s="10"/>
      <c r="F120" s="10"/>
      <c r="G120" s="10"/>
    </row>
    <row r="121" spans="3:7">
      <c r="C121" s="23"/>
      <c r="D121" s="20"/>
      <c r="E121" s="10"/>
      <c r="F121" s="10"/>
      <c r="G121" s="10"/>
    </row>
    <row r="122" spans="3:7">
      <c r="C122" s="8"/>
      <c r="D122" s="9"/>
      <c r="E122" s="10"/>
      <c r="F122" s="10"/>
      <c r="G122" s="10"/>
    </row>
    <row r="123" spans="3:7">
      <c r="C123" s="22"/>
      <c r="D123" s="20"/>
      <c r="E123" s="25"/>
      <c r="F123" s="10"/>
      <c r="G123" s="10"/>
    </row>
    <row r="124" spans="3:7">
      <c r="C124" s="22"/>
      <c r="D124" s="20"/>
      <c r="E124" s="25"/>
      <c r="F124" s="10"/>
      <c r="G124" s="10"/>
    </row>
    <row r="125" spans="3:7">
      <c r="C125" s="22"/>
      <c r="D125" s="20"/>
      <c r="E125" s="25"/>
      <c r="F125" s="10"/>
      <c r="G125" s="10"/>
    </row>
    <row r="126" spans="3:7">
      <c r="C126" s="21"/>
      <c r="D126" s="20"/>
      <c r="E126" s="25"/>
      <c r="F126" s="10"/>
      <c r="G126" s="10"/>
    </row>
    <row r="127" spans="3:7">
      <c r="C127" s="22"/>
      <c r="D127" s="20"/>
      <c r="E127" s="25"/>
      <c r="F127" s="10"/>
      <c r="G127" s="10"/>
    </row>
    <row r="128" spans="3:7">
      <c r="C128" s="22"/>
      <c r="D128" s="20"/>
      <c r="E128" s="25"/>
      <c r="F128" s="10"/>
      <c r="G128" s="10"/>
    </row>
    <row r="129" spans="3:7">
      <c r="C129" s="22"/>
      <c r="D129" s="20"/>
      <c r="E129" s="25"/>
      <c r="F129" s="10"/>
      <c r="G129" s="10"/>
    </row>
    <row r="130" spans="3:7">
      <c r="C130" s="35"/>
      <c r="D130" s="20"/>
      <c r="E130" s="10"/>
      <c r="F130" s="10"/>
      <c r="G130" s="10"/>
    </row>
    <row r="131" spans="3:7">
      <c r="C131" s="21"/>
      <c r="D131" s="20"/>
      <c r="E131" s="25"/>
      <c r="F131" s="10"/>
      <c r="G131" s="10"/>
    </row>
    <row r="132" spans="3:7">
      <c r="C132" s="22"/>
      <c r="D132" s="20"/>
      <c r="E132" s="25"/>
      <c r="F132" s="10"/>
      <c r="G132" s="10"/>
    </row>
    <row r="133" spans="3:7">
      <c r="C133" s="33"/>
      <c r="D133" s="20"/>
      <c r="E133" s="10"/>
      <c r="F133" s="10"/>
      <c r="G133" s="10"/>
    </row>
    <row r="134" spans="3:7">
      <c r="C134" s="23"/>
      <c r="D134" s="20"/>
      <c r="E134" s="10"/>
      <c r="F134" s="10"/>
      <c r="G134" s="10"/>
    </row>
    <row r="135" spans="3:7">
      <c r="C135" s="23"/>
      <c r="D135" s="20"/>
      <c r="E135" s="10"/>
      <c r="F135" s="10"/>
      <c r="G135" s="10"/>
    </row>
    <row r="136" spans="3:7">
      <c r="C136" s="34"/>
      <c r="D136" s="20"/>
      <c r="E136" s="10"/>
      <c r="F136" s="10"/>
      <c r="G136" s="10"/>
    </row>
    <row r="137" spans="3:7">
      <c r="C137" s="23"/>
      <c r="D137" s="20"/>
      <c r="E137" s="10"/>
      <c r="F137" s="10"/>
      <c r="G137" s="10"/>
    </row>
    <row r="138" spans="3:7">
      <c r="C138" s="23"/>
      <c r="D138" s="20"/>
      <c r="E138" s="10"/>
      <c r="F138" s="10"/>
      <c r="G138" s="10"/>
    </row>
    <row r="139" spans="3:7">
      <c r="C139" s="34"/>
      <c r="D139" s="20"/>
      <c r="E139" s="10"/>
      <c r="F139" s="10"/>
      <c r="G139" s="10"/>
    </row>
    <row r="140" spans="3:7">
      <c r="C140" s="23"/>
      <c r="D140" s="20"/>
      <c r="E140" s="10"/>
      <c r="F140" s="10"/>
      <c r="G140" s="10"/>
    </row>
    <row r="141" spans="3:7">
      <c r="C141" s="23"/>
      <c r="D141" s="20"/>
      <c r="E141" s="10"/>
      <c r="F141" s="10"/>
      <c r="G141" s="10"/>
    </row>
    <row r="142" spans="3:7">
      <c r="C142" s="7"/>
      <c r="D142" s="20"/>
      <c r="E142" s="10"/>
      <c r="F142" s="10"/>
      <c r="G142" s="10"/>
    </row>
    <row r="143" spans="3:7">
      <c r="C143" s="7"/>
      <c r="D143" s="20"/>
      <c r="E143" s="10"/>
      <c r="F143" s="10"/>
      <c r="G143" s="10"/>
    </row>
    <row r="144" spans="3:7">
      <c r="C144" s="21"/>
      <c r="D144" s="20"/>
      <c r="E144" s="25"/>
      <c r="F144" s="10"/>
      <c r="G144" s="10"/>
    </row>
    <row r="145" spans="3:7">
      <c r="C145" s="22"/>
      <c r="D145" s="20"/>
      <c r="E145" s="25"/>
      <c r="F145" s="10"/>
      <c r="G145" s="10"/>
    </row>
    <row r="146" spans="3:7">
      <c r="C146" s="33"/>
      <c r="D146" s="20"/>
      <c r="E146" s="10"/>
      <c r="F146" s="10"/>
      <c r="G146" s="10"/>
    </row>
    <row r="147" spans="3:7">
      <c r="C147" s="23"/>
      <c r="D147" s="20"/>
      <c r="E147" s="10"/>
      <c r="F147" s="10"/>
      <c r="G147" s="10"/>
    </row>
    <row r="148" spans="3:7">
      <c r="C148" s="23"/>
      <c r="D148" s="20"/>
      <c r="E148" s="10"/>
      <c r="F148" s="10"/>
      <c r="G148" s="10"/>
    </row>
    <row r="149" spans="3:7">
      <c r="C149" s="8"/>
      <c r="D149" s="9"/>
      <c r="E149" s="10"/>
      <c r="F149" s="10"/>
      <c r="G149" s="10"/>
    </row>
    <row r="150" spans="3:7">
      <c r="C150" s="22"/>
      <c r="D150" s="20"/>
      <c r="E150" s="25"/>
      <c r="F150" s="10"/>
      <c r="G150" s="10"/>
    </row>
    <row r="151" spans="3:7">
      <c r="C151" s="22"/>
      <c r="D151" s="20"/>
      <c r="E151" s="25"/>
      <c r="F151" s="10"/>
      <c r="G151" s="10"/>
    </row>
    <row r="152" spans="3:7">
      <c r="C152" s="22"/>
      <c r="D152" s="20"/>
      <c r="E152" s="25"/>
      <c r="F152" s="10"/>
      <c r="G152" s="10"/>
    </row>
    <row r="153" spans="3:7">
      <c r="C153" s="21"/>
      <c r="D153" s="20"/>
      <c r="E153" s="25"/>
      <c r="F153" s="10"/>
      <c r="G153" s="10"/>
    </row>
    <row r="154" spans="3:7">
      <c r="C154" s="22"/>
      <c r="D154" s="20"/>
      <c r="E154" s="25"/>
      <c r="F154" s="10"/>
      <c r="G154" s="10"/>
    </row>
    <row r="155" spans="3:7">
      <c r="C155" s="22"/>
      <c r="D155" s="20"/>
      <c r="E155" s="25"/>
      <c r="F155" s="10"/>
      <c r="G155" s="10"/>
    </row>
    <row r="156" spans="3:7">
      <c r="C156" s="22"/>
      <c r="D156" s="20"/>
      <c r="E156" s="25"/>
      <c r="F156" s="10"/>
      <c r="G156" s="10"/>
    </row>
    <row r="157" spans="3:7">
      <c r="C157" s="35"/>
      <c r="D157" s="20"/>
      <c r="E157" s="10"/>
      <c r="F157" s="10"/>
      <c r="G157" s="10"/>
    </row>
    <row r="158" spans="3:7">
      <c r="C158" s="21"/>
      <c r="D158" s="20"/>
      <c r="E158" s="25"/>
      <c r="F158" s="10"/>
      <c r="G158" s="10"/>
    </row>
    <row r="159" spans="3:7">
      <c r="C159" s="22"/>
      <c r="D159" s="20"/>
      <c r="E159" s="25"/>
      <c r="F159" s="10"/>
      <c r="G159" s="10"/>
    </row>
    <row r="160" spans="3:7">
      <c r="C160" s="33"/>
      <c r="D160" s="20"/>
      <c r="E160" s="10"/>
      <c r="F160" s="10"/>
      <c r="G160" s="10"/>
    </row>
    <row r="161" spans="3:7">
      <c r="C161" s="23"/>
      <c r="D161" s="20"/>
      <c r="E161" s="10"/>
      <c r="F161" s="10"/>
      <c r="G161" s="10"/>
    </row>
    <row r="162" spans="3:7">
      <c r="C162" s="23"/>
      <c r="D162" s="20"/>
      <c r="E162" s="10"/>
      <c r="F162" s="10"/>
      <c r="G162" s="10"/>
    </row>
    <row r="163" spans="3:7">
      <c r="C163" s="34"/>
      <c r="D163" s="20"/>
      <c r="E163" s="10"/>
      <c r="F163" s="10"/>
      <c r="G163" s="10"/>
    </row>
    <row r="164" spans="3:7">
      <c r="C164" s="23"/>
      <c r="D164" s="20"/>
      <c r="E164" s="10"/>
      <c r="F164" s="10"/>
      <c r="G164" s="10"/>
    </row>
    <row r="165" spans="3:7">
      <c r="C165" s="23"/>
      <c r="D165" s="20"/>
      <c r="E165" s="10"/>
      <c r="F165" s="10"/>
      <c r="G165" s="10"/>
    </row>
    <row r="166" spans="3:7">
      <c r="C166" s="34"/>
      <c r="D166" s="20"/>
      <c r="E166" s="10"/>
      <c r="F166" s="10"/>
      <c r="G166" s="10"/>
    </row>
    <row r="167" spans="3:7">
      <c r="C167" s="23"/>
      <c r="D167" s="20"/>
      <c r="E167" s="10"/>
      <c r="F167" s="10"/>
      <c r="G167" s="10"/>
    </row>
    <row r="168" spans="3:7">
      <c r="C168" s="23"/>
      <c r="D168" s="20"/>
      <c r="E168" s="10"/>
      <c r="F168" s="10"/>
      <c r="G168" s="10"/>
    </row>
    <row r="169" spans="3:7">
      <c r="C169" s="7"/>
      <c r="D169" s="20"/>
      <c r="E169" s="10"/>
      <c r="F169" s="10"/>
      <c r="G169" s="10"/>
    </row>
    <row r="170" spans="3:7">
      <c r="C170" s="21"/>
      <c r="D170" s="20"/>
      <c r="E170" s="25"/>
      <c r="F170" s="10"/>
      <c r="G170" s="10"/>
    </row>
    <row r="171" spans="3:7">
      <c r="C171" s="22"/>
      <c r="D171" s="20"/>
      <c r="E171" s="25"/>
      <c r="F171" s="10"/>
      <c r="G171" s="10"/>
    </row>
    <row r="172" spans="3:7">
      <c r="C172" s="33"/>
      <c r="D172" s="20"/>
      <c r="E172" s="10"/>
      <c r="F172" s="10"/>
      <c r="G172" s="10"/>
    </row>
    <row r="173" spans="3:7">
      <c r="C173" s="23"/>
      <c r="D173" s="20"/>
      <c r="E173" s="10"/>
      <c r="F173" s="10"/>
      <c r="G173" s="10"/>
    </row>
    <row r="174" spans="3:7">
      <c r="C174" s="23"/>
      <c r="D174" s="20"/>
      <c r="E174" s="10"/>
      <c r="F174" s="10"/>
      <c r="G174" s="10"/>
    </row>
    <row r="175" spans="3:7">
      <c r="C175" s="21"/>
      <c r="D175" s="20"/>
      <c r="E175" s="25"/>
      <c r="F175" s="10"/>
      <c r="G175" s="10"/>
    </row>
    <row r="176" spans="3:7">
      <c r="C176" s="22"/>
      <c r="D176" s="20"/>
      <c r="E176" s="25"/>
      <c r="F176" s="10"/>
      <c r="G176" s="10"/>
    </row>
    <row r="177" spans="3:7">
      <c r="C177" s="22"/>
      <c r="D177" s="20"/>
      <c r="E177" s="25"/>
      <c r="F177" s="10"/>
      <c r="G177" s="10"/>
    </row>
    <row r="178" spans="3:7">
      <c r="C178" s="22"/>
      <c r="D178" s="20"/>
      <c r="E178" s="25"/>
      <c r="F178" s="10"/>
      <c r="G178" s="10"/>
    </row>
    <row r="179" spans="3:7">
      <c r="C179" s="34"/>
      <c r="D179" s="20"/>
      <c r="E179" s="10"/>
      <c r="F179" s="10"/>
      <c r="G179" s="10"/>
    </row>
    <row r="180" spans="3:7">
      <c r="C180" s="23"/>
      <c r="D180" s="20"/>
      <c r="E180" s="10"/>
      <c r="F180" s="10"/>
      <c r="G180" s="10"/>
    </row>
    <row r="181" spans="3:7">
      <c r="C181" s="23"/>
      <c r="D181" s="20"/>
      <c r="E181" s="10"/>
      <c r="F181" s="10"/>
      <c r="G181" s="10"/>
    </row>
    <row r="182" spans="3:7">
      <c r="C182" s="7"/>
      <c r="D182" s="9"/>
      <c r="E182" s="10"/>
      <c r="F182" s="10"/>
      <c r="G182" s="10"/>
    </row>
    <row r="183" spans="3:7">
      <c r="C183" s="7"/>
      <c r="D183" s="9"/>
      <c r="E183" s="10"/>
      <c r="F183" s="10"/>
      <c r="G183" s="10"/>
    </row>
    <row r="184" spans="3:7">
      <c r="C184" s="8"/>
      <c r="D184" s="9"/>
      <c r="E184" s="10"/>
      <c r="F184" s="10"/>
      <c r="G184" s="10"/>
    </row>
    <row r="185" spans="3:7">
      <c r="C185" s="12"/>
      <c r="D185" s="9"/>
      <c r="E185" s="10"/>
      <c r="F185" s="10"/>
      <c r="G185" s="10"/>
    </row>
    <row r="186" spans="3:7">
      <c r="C186" s="8"/>
      <c r="D186" s="9"/>
      <c r="E186" s="10"/>
      <c r="F186" s="10"/>
      <c r="G186" s="10"/>
    </row>
    <row r="187" spans="3:7">
      <c r="C187" s="23"/>
      <c r="D187" s="20"/>
      <c r="E187" s="10"/>
      <c r="F187" s="20"/>
      <c r="G187" s="10"/>
    </row>
    <row r="188" spans="3:7">
      <c r="C188" s="23"/>
      <c r="D188" s="20"/>
      <c r="E188" s="10"/>
      <c r="F188" s="20"/>
      <c r="G188" s="10"/>
    </row>
    <row r="189" spans="3:7">
      <c r="C189" s="23"/>
      <c r="D189" s="20"/>
      <c r="E189" s="10"/>
      <c r="F189" s="20"/>
      <c r="G189" s="10"/>
    </row>
    <row r="190" spans="3:7">
      <c r="C190" s="18"/>
      <c r="D190" s="9"/>
      <c r="E190" s="14"/>
      <c r="F190" s="5"/>
      <c r="G190" s="5"/>
    </row>
    <row r="191" spans="3:7">
      <c r="C191" s="23"/>
      <c r="D191" s="20"/>
      <c r="E191" s="10"/>
      <c r="F191" s="20"/>
      <c r="G191" s="10"/>
    </row>
    <row r="192" spans="3:7">
      <c r="C192" s="21"/>
      <c r="D192" s="20"/>
      <c r="E192" s="25"/>
      <c r="F192" s="10"/>
      <c r="G192" s="10"/>
    </row>
    <row r="193" spans="3:7">
      <c r="C193" s="22"/>
      <c r="D193" s="20"/>
      <c r="E193" s="25"/>
      <c r="F193" s="10"/>
      <c r="G193" s="10"/>
    </row>
    <row r="194" spans="3:7">
      <c r="C194" s="22"/>
      <c r="D194" s="20"/>
      <c r="E194" s="25"/>
      <c r="F194" s="10"/>
      <c r="G194" s="10"/>
    </row>
    <row r="195" spans="3:7">
      <c r="C195" s="22"/>
      <c r="D195" s="20"/>
      <c r="E195" s="25"/>
      <c r="F195" s="10"/>
      <c r="G195" s="10"/>
    </row>
    <row r="196" spans="3:7">
      <c r="C196" s="21"/>
      <c r="D196" s="20"/>
      <c r="E196" s="25"/>
      <c r="F196" s="10"/>
      <c r="G196" s="10"/>
    </row>
    <row r="197" spans="3:7">
      <c r="C197" s="22"/>
      <c r="D197" s="20"/>
      <c r="E197" s="25"/>
      <c r="F197" s="10"/>
      <c r="G197" s="10"/>
    </row>
    <row r="198" spans="3:7">
      <c r="C198" s="22"/>
      <c r="D198" s="20"/>
      <c r="E198" s="25"/>
      <c r="F198" s="10"/>
      <c r="G198" s="10"/>
    </row>
    <row r="199" spans="3:7">
      <c r="C199" s="36"/>
      <c r="D199" s="20"/>
      <c r="E199" s="25"/>
      <c r="F199" s="10"/>
      <c r="G199" s="10"/>
    </row>
    <row r="200" spans="3:7">
      <c r="C200" s="22"/>
      <c r="D200" s="20"/>
      <c r="E200" s="25"/>
      <c r="F200" s="10"/>
      <c r="G200" s="10"/>
    </row>
    <row r="201" spans="3:7">
      <c r="C201" s="36"/>
      <c r="D201" s="20"/>
      <c r="E201" s="25"/>
      <c r="F201" s="10"/>
      <c r="G201" s="10"/>
    </row>
    <row r="202" spans="3:7">
      <c r="C202" s="22"/>
      <c r="D202" s="20"/>
      <c r="E202" s="25"/>
      <c r="F202" s="10"/>
      <c r="G202" s="10"/>
    </row>
    <row r="203" spans="3:7">
      <c r="C203" s="22"/>
      <c r="D203" s="20"/>
      <c r="E203" s="25"/>
      <c r="F203" s="10"/>
      <c r="G203" s="10"/>
    </row>
    <row r="204" spans="3:7">
      <c r="C204" s="21"/>
      <c r="D204" s="20"/>
      <c r="E204" s="25"/>
      <c r="F204" s="10"/>
      <c r="G204" s="10"/>
    </row>
    <row r="205" spans="3:7">
      <c r="C205" s="23"/>
      <c r="D205" s="20"/>
      <c r="E205" s="10"/>
      <c r="F205" s="10"/>
      <c r="G205" s="10"/>
    </row>
    <row r="206" spans="3:7">
      <c r="C206" s="23"/>
      <c r="D206" s="20"/>
      <c r="E206" s="10"/>
      <c r="F206" s="10"/>
      <c r="G206" s="10"/>
    </row>
    <row r="207" spans="3:7">
      <c r="C207" s="34"/>
      <c r="D207" s="20"/>
      <c r="E207" s="10"/>
      <c r="F207" s="10"/>
      <c r="G207" s="10"/>
    </row>
    <row r="208" spans="3:7">
      <c r="C208" s="22"/>
      <c r="D208" s="20"/>
      <c r="E208" s="25"/>
      <c r="F208" s="10"/>
      <c r="G208" s="10"/>
    </row>
    <row r="209" spans="3:7">
      <c r="C209" s="22"/>
      <c r="D209" s="20"/>
      <c r="E209" s="25"/>
      <c r="F209" s="10"/>
      <c r="G209" s="10"/>
    </row>
    <row r="210" spans="3:7">
      <c r="C210" s="21"/>
      <c r="D210" s="20"/>
      <c r="E210" s="25"/>
      <c r="F210" s="10"/>
      <c r="G210" s="10"/>
    </row>
    <row r="211" spans="3:7">
      <c r="C211" s="22"/>
      <c r="D211" s="20"/>
      <c r="E211" s="25"/>
      <c r="F211" s="10"/>
      <c r="G211" s="10"/>
    </row>
    <row r="212" spans="3:7">
      <c r="C212" s="22"/>
      <c r="D212" s="20"/>
      <c r="E212" s="25"/>
      <c r="F212" s="10"/>
      <c r="G212" s="10"/>
    </row>
    <row r="213" spans="3:7">
      <c r="C213" s="7"/>
      <c r="D213" s="9"/>
      <c r="E213" s="10"/>
      <c r="F213" s="10"/>
      <c r="G213" s="10"/>
    </row>
    <row r="214" spans="3:7">
      <c r="C214" s="8"/>
      <c r="D214" s="9"/>
      <c r="E214" s="10"/>
      <c r="F214" s="10"/>
      <c r="G214" s="10"/>
    </row>
    <row r="215" spans="3:7">
      <c r="C215" s="23"/>
      <c r="D215" s="20"/>
      <c r="E215" s="10"/>
      <c r="F215" s="20"/>
      <c r="G215" s="10"/>
    </row>
    <row r="216" spans="3:7">
      <c r="C216" s="23"/>
      <c r="D216" s="20"/>
      <c r="E216" s="10"/>
      <c r="F216" s="20"/>
      <c r="G216" s="10"/>
    </row>
    <row r="217" spans="3:7">
      <c r="C217" s="23"/>
      <c r="D217" s="20"/>
      <c r="E217" s="10"/>
      <c r="F217" s="20"/>
      <c r="G217" s="10"/>
    </row>
    <row r="218" spans="3:7">
      <c r="C218" s="23"/>
      <c r="D218" s="20"/>
      <c r="E218" s="10"/>
      <c r="F218" s="20"/>
      <c r="G218" s="10"/>
    </row>
    <row r="219" spans="3:7">
      <c r="C219" s="18"/>
      <c r="D219" s="9"/>
      <c r="E219" s="14"/>
      <c r="F219" s="5"/>
      <c r="G219" s="5"/>
    </row>
    <row r="220" spans="3:7">
      <c r="C220" s="23"/>
      <c r="D220" s="20"/>
      <c r="E220" s="10"/>
      <c r="F220" s="20"/>
      <c r="G220" s="10"/>
    </row>
    <row r="221" spans="3:7">
      <c r="C221" s="21"/>
      <c r="D221" s="20"/>
      <c r="E221" s="25"/>
      <c r="F221" s="10"/>
      <c r="G221" s="10"/>
    </row>
    <row r="222" spans="3:7">
      <c r="C222" s="22"/>
      <c r="D222" s="20"/>
      <c r="E222" s="25"/>
      <c r="F222" s="10"/>
      <c r="G222" s="10"/>
    </row>
    <row r="223" spans="3:7">
      <c r="C223" s="22"/>
      <c r="D223" s="20"/>
      <c r="E223" s="25"/>
      <c r="F223" s="10"/>
      <c r="G223" s="10"/>
    </row>
    <row r="224" spans="3:7">
      <c r="C224" s="22"/>
      <c r="D224" s="20"/>
      <c r="E224" s="25"/>
      <c r="F224" s="10"/>
      <c r="G224" s="10"/>
    </row>
    <row r="225" spans="3:7">
      <c r="C225" s="21"/>
      <c r="D225" s="20"/>
      <c r="E225" s="25"/>
      <c r="F225" s="10"/>
      <c r="G225" s="10"/>
    </row>
    <row r="226" spans="3:7">
      <c r="C226" s="22"/>
      <c r="D226" s="20"/>
      <c r="E226" s="25"/>
      <c r="F226" s="10"/>
      <c r="G226" s="10"/>
    </row>
    <row r="227" spans="3:7">
      <c r="C227" s="22"/>
      <c r="D227" s="20"/>
      <c r="E227" s="25"/>
      <c r="F227" s="10"/>
      <c r="G227" s="10"/>
    </row>
    <row r="228" spans="3:7">
      <c r="C228" s="8"/>
      <c r="D228" s="9"/>
      <c r="E228" s="10"/>
      <c r="F228" s="10"/>
      <c r="G228" s="10"/>
    </row>
    <row r="229" spans="3:7">
      <c r="C229" s="12"/>
      <c r="D229" s="9"/>
      <c r="E229" s="10"/>
      <c r="F229" s="10"/>
      <c r="G229" s="10"/>
    </row>
    <row r="230" spans="3:7">
      <c r="C230" s="7"/>
      <c r="D230" s="9"/>
      <c r="E230" s="10"/>
      <c r="F230" s="10"/>
      <c r="G230" s="10"/>
    </row>
    <row r="231" spans="3:7">
      <c r="C231" s="8"/>
      <c r="D231" s="9"/>
      <c r="E231" s="6"/>
      <c r="F231" s="6"/>
      <c r="G231" s="6"/>
    </row>
    <row r="232" spans="3:7">
      <c r="C232" s="7"/>
      <c r="D232" s="9"/>
      <c r="E232" s="10"/>
      <c r="F232" s="10"/>
      <c r="G232" s="10"/>
    </row>
    <row r="233" spans="3:7">
      <c r="C233" s="19"/>
      <c r="D233" s="9"/>
      <c r="E233" s="10"/>
      <c r="F233" s="10"/>
      <c r="G233" s="10"/>
    </row>
    <row r="234" spans="3:7" ht="14.25" customHeight="1">
      <c r="C234" s="12"/>
      <c r="D234" s="9"/>
      <c r="E234" s="10"/>
      <c r="F234" s="10"/>
      <c r="G234" s="10"/>
    </row>
    <row r="235" spans="3:7">
      <c r="C235" s="12"/>
      <c r="D235" s="9"/>
      <c r="E235" s="10"/>
      <c r="F235" s="10"/>
      <c r="G235" s="10"/>
    </row>
    <row r="236" spans="3:7">
      <c r="C236" s="12"/>
      <c r="D236" s="9"/>
      <c r="E236" s="10"/>
      <c r="F236" s="10"/>
      <c r="G236" s="10"/>
    </row>
    <row r="237" spans="3:7" ht="12.75" customHeight="1">
      <c r="C237" s="12"/>
      <c r="D237" s="9"/>
      <c r="E237" s="10"/>
      <c r="F237" s="10"/>
      <c r="G237" s="10"/>
    </row>
    <row r="238" spans="3:7">
      <c r="C238" s="12"/>
      <c r="D238" s="9"/>
      <c r="E238" s="10"/>
      <c r="F238" s="10"/>
      <c r="G238" s="10"/>
    </row>
    <row r="239" spans="3:7">
      <c r="C239" s="12"/>
      <c r="D239" s="9"/>
      <c r="E239" s="10"/>
      <c r="F239" s="10"/>
      <c r="G239" s="10"/>
    </row>
    <row r="240" spans="3:7">
      <c r="C240" s="12"/>
      <c r="D240" s="9"/>
      <c r="E240" s="10"/>
      <c r="F240" s="10"/>
      <c r="G240" s="10"/>
    </row>
    <row r="241" spans="3:7">
      <c r="C241" s="12"/>
      <c r="D241" s="9"/>
      <c r="E241" s="10"/>
      <c r="F241" s="10"/>
      <c r="G241" s="10"/>
    </row>
    <row r="242" spans="3:7">
      <c r="C242" s="12"/>
      <c r="D242" s="9"/>
      <c r="E242" s="10"/>
      <c r="F242" s="10"/>
      <c r="G242" s="10"/>
    </row>
    <row r="243" spans="3:7">
      <c r="C243" s="12"/>
      <c r="D243" s="9"/>
      <c r="E243" s="10"/>
      <c r="F243" s="10"/>
      <c r="G243" s="10"/>
    </row>
    <row r="244" spans="3:7">
      <c r="C244" s="12"/>
      <c r="D244" s="9"/>
      <c r="E244" s="10"/>
      <c r="F244" s="10"/>
      <c r="G244" s="10"/>
    </row>
    <row r="245" spans="3:7" ht="12.75" customHeight="1">
      <c r="C245" s="12"/>
      <c r="D245" s="9"/>
      <c r="E245" s="14"/>
      <c r="F245" s="5"/>
      <c r="G245" s="5"/>
    </row>
    <row r="246" spans="3:7">
      <c r="C246" s="19"/>
      <c r="D246" s="9"/>
      <c r="E246" s="10"/>
      <c r="F246" s="10"/>
      <c r="G246" s="10"/>
    </row>
    <row r="247" spans="3:7">
      <c r="C247" s="12"/>
      <c r="D247" s="9"/>
      <c r="E247" s="10"/>
      <c r="F247" s="10"/>
      <c r="G247" s="10"/>
    </row>
    <row r="248" spans="3:7" ht="12.75" customHeight="1">
      <c r="C248" s="12"/>
      <c r="D248" s="9"/>
      <c r="E248" s="10"/>
      <c r="F248" s="10"/>
      <c r="G248" s="10"/>
    </row>
    <row r="249" spans="3:7">
      <c r="C249" s="12"/>
      <c r="D249" s="9"/>
      <c r="E249" s="10"/>
      <c r="F249" s="10"/>
      <c r="G249" s="10"/>
    </row>
    <row r="250" spans="3:7">
      <c r="C250" s="12"/>
      <c r="D250" s="9"/>
      <c r="E250" s="10"/>
      <c r="F250" s="10"/>
      <c r="G250" s="10"/>
    </row>
    <row r="251" spans="3:7">
      <c r="C251" s="12"/>
      <c r="D251" s="9"/>
      <c r="E251" s="10"/>
      <c r="F251" s="10"/>
      <c r="G251" s="10"/>
    </row>
    <row r="252" spans="3:7" ht="12.75" customHeight="1">
      <c r="C252" s="12"/>
      <c r="D252" s="9"/>
      <c r="E252" s="10"/>
      <c r="F252" s="10"/>
      <c r="G252" s="10"/>
    </row>
    <row r="253" spans="3:7">
      <c r="C253" s="12"/>
      <c r="D253" s="9"/>
      <c r="E253" s="10"/>
      <c r="F253" s="10"/>
      <c r="G253" s="10"/>
    </row>
    <row r="254" spans="3:7">
      <c r="C254" s="12"/>
      <c r="D254" s="9"/>
      <c r="E254" s="10"/>
      <c r="F254" s="10"/>
      <c r="G254" s="10"/>
    </row>
    <row r="255" spans="3:7" ht="12.75" customHeight="1">
      <c r="C255" s="12"/>
      <c r="D255" s="9"/>
      <c r="E255" s="10"/>
      <c r="F255" s="10"/>
      <c r="G255" s="10"/>
    </row>
    <row r="256" spans="3:7">
      <c r="C256" s="12"/>
      <c r="D256" s="9"/>
      <c r="E256" s="14"/>
      <c r="F256" s="5"/>
      <c r="G256" s="5"/>
    </row>
    <row r="257" spans="3:7">
      <c r="C257" s="7"/>
      <c r="D257" s="9"/>
      <c r="E257" s="10"/>
      <c r="F257" s="10"/>
      <c r="G257" s="10"/>
    </row>
    <row r="258" spans="3:7">
      <c r="C258" s="8"/>
      <c r="D258" s="9"/>
      <c r="E258" s="14"/>
      <c r="F258" s="5"/>
      <c r="G258" s="5"/>
    </row>
    <row r="259" spans="3:7">
      <c r="C259" s="12"/>
      <c r="D259" s="9"/>
      <c r="E259" s="14"/>
      <c r="F259" s="5"/>
      <c r="G259" s="5"/>
    </row>
    <row r="260" spans="3:7">
      <c r="C260" s="12"/>
      <c r="D260" s="9"/>
      <c r="E260" s="14"/>
      <c r="F260" s="5"/>
      <c r="G260" s="5"/>
    </row>
    <row r="261" spans="3:7">
      <c r="C261" s="8"/>
      <c r="D261" s="9"/>
      <c r="E261" s="14"/>
      <c r="F261" s="5"/>
      <c r="G261" s="5"/>
    </row>
    <row r="262" spans="3:7">
      <c r="C262" s="12"/>
      <c r="D262" s="9"/>
      <c r="E262" s="14"/>
      <c r="F262" s="5"/>
      <c r="G262" s="5"/>
    </row>
    <row r="263" spans="3:7">
      <c r="C263" s="12"/>
      <c r="D263" s="9"/>
      <c r="E263" s="14"/>
      <c r="F263" s="5"/>
      <c r="G263" s="5"/>
    </row>
    <row r="264" spans="3:7">
      <c r="C264" s="8"/>
      <c r="D264" s="9"/>
      <c r="E264" s="14"/>
      <c r="F264" s="5"/>
      <c r="G264" s="5"/>
    </row>
    <row r="265" spans="3:7">
      <c r="C265" s="12"/>
      <c r="D265" s="9"/>
      <c r="E265" s="14"/>
      <c r="F265" s="5"/>
      <c r="G265" s="5"/>
    </row>
    <row r="266" spans="3:7">
      <c r="C266" s="12"/>
      <c r="D266" s="9"/>
      <c r="E266" s="14"/>
      <c r="F266" s="5"/>
      <c r="G266" s="5"/>
    </row>
    <row r="267" spans="3:7" ht="12.75" customHeight="1">
      <c r="C267" s="7"/>
      <c r="D267" s="9"/>
      <c r="E267" s="10"/>
      <c r="F267" s="10"/>
      <c r="G267" s="10"/>
    </row>
    <row r="268" spans="3:7">
      <c r="C268" s="19"/>
      <c r="D268" s="9"/>
      <c r="E268" s="10"/>
      <c r="F268" s="10"/>
      <c r="G268" s="10"/>
    </row>
    <row r="269" spans="3:7">
      <c r="C269" s="12"/>
      <c r="D269" s="9"/>
      <c r="E269" s="10"/>
      <c r="F269" s="10"/>
      <c r="G269" s="10"/>
    </row>
    <row r="270" spans="3:7" ht="12.75" customHeight="1">
      <c r="C270" s="12"/>
      <c r="D270" s="9"/>
      <c r="E270" s="10"/>
      <c r="F270" s="10"/>
      <c r="G270" s="10"/>
    </row>
    <row r="271" spans="3:7">
      <c r="C271" s="12"/>
      <c r="D271" s="9"/>
      <c r="E271" s="10"/>
      <c r="F271" s="10"/>
      <c r="G271" s="10"/>
    </row>
    <row r="272" spans="3:7" ht="12.75" customHeight="1">
      <c r="C272" s="12"/>
      <c r="D272" s="9"/>
      <c r="E272" s="10"/>
      <c r="F272" s="10"/>
      <c r="G272" s="10"/>
    </row>
    <row r="273" spans="3:7" ht="12.75" customHeight="1">
      <c r="C273" s="12"/>
      <c r="D273" s="9"/>
      <c r="E273" s="10"/>
      <c r="F273" s="10"/>
      <c r="G273" s="10"/>
    </row>
    <row r="274" spans="3:7" ht="12.75" customHeight="1">
      <c r="C274" s="12"/>
      <c r="D274" s="9"/>
      <c r="E274" s="10"/>
      <c r="F274" s="10"/>
      <c r="G274" s="10"/>
    </row>
    <row r="275" spans="3:7" ht="12.75" customHeight="1">
      <c r="C275" s="12"/>
      <c r="D275" s="9"/>
      <c r="E275" s="14"/>
      <c r="F275" s="5"/>
      <c r="G275" s="5"/>
    </row>
    <row r="276" spans="3:7" ht="12.75" customHeight="1">
      <c r="C276" s="8"/>
      <c r="D276" s="9"/>
      <c r="E276" s="10"/>
      <c r="F276" s="10"/>
      <c r="G276" s="10"/>
    </row>
    <row r="277" spans="3:7" ht="12.75" customHeight="1">
      <c r="C277" s="12"/>
      <c r="D277" s="9"/>
      <c r="E277" s="10"/>
      <c r="F277" s="10"/>
      <c r="G277" s="10"/>
    </row>
    <row r="278" spans="3:7" ht="12.75" customHeight="1">
      <c r="C278" s="12"/>
      <c r="D278" s="9"/>
      <c r="E278" s="14"/>
      <c r="F278" s="5"/>
      <c r="G278" s="5"/>
    </row>
    <row r="279" spans="3:7" ht="12.75" customHeight="1">
      <c r="C279" s="19"/>
      <c r="D279" s="9"/>
      <c r="E279" s="10"/>
      <c r="F279" s="10"/>
      <c r="G279" s="10"/>
    </row>
    <row r="280" spans="3:7" ht="12.75" customHeight="1">
      <c r="C280" s="12"/>
      <c r="D280" s="9"/>
      <c r="E280" s="14"/>
      <c r="F280" s="5"/>
      <c r="G280" s="5"/>
    </row>
    <row r="281" spans="3:7" ht="12.75" customHeight="1">
      <c r="C281" s="12"/>
      <c r="D281" s="9"/>
      <c r="E281" s="14"/>
      <c r="F281" s="5"/>
      <c r="G281" s="5"/>
    </row>
    <row r="282" spans="3:7">
      <c r="C282" s="12"/>
      <c r="D282" s="9"/>
      <c r="E282" s="14"/>
      <c r="F282" s="5"/>
      <c r="G282" s="5"/>
    </row>
    <row r="283" spans="3:7">
      <c r="C283" s="12"/>
      <c r="D283" s="9"/>
      <c r="E283" s="14"/>
      <c r="F283" s="5"/>
      <c r="G283" s="5"/>
    </row>
    <row r="284" spans="3:7">
      <c r="C284" s="12"/>
      <c r="D284" s="9"/>
      <c r="E284" s="14"/>
      <c r="F284" s="5"/>
      <c r="G284" s="5"/>
    </row>
    <row r="285" spans="3:7">
      <c r="C285" s="12"/>
      <c r="D285" s="9"/>
      <c r="E285" s="14"/>
      <c r="F285" s="5"/>
      <c r="G285" s="5"/>
    </row>
    <row r="286" spans="3:7">
      <c r="C286" s="12"/>
      <c r="D286" s="9"/>
      <c r="E286" s="14"/>
      <c r="F286" s="5"/>
      <c r="G286" s="5"/>
    </row>
    <row r="287" spans="3:7">
      <c r="C287" s="12"/>
      <c r="D287" s="9"/>
      <c r="E287" s="14"/>
      <c r="F287" s="5"/>
      <c r="G287" s="5"/>
    </row>
    <row r="288" spans="3:7">
      <c r="C288" s="12"/>
      <c r="D288" s="9"/>
      <c r="E288" s="14"/>
      <c r="F288" s="5"/>
      <c r="G288" s="5"/>
    </row>
    <row r="289" spans="3:7">
      <c r="C289" s="7"/>
      <c r="D289" s="9"/>
      <c r="E289" s="14"/>
      <c r="F289" s="5"/>
      <c r="G289" s="5"/>
    </row>
    <row r="290" spans="3:7">
      <c r="C290" s="7"/>
      <c r="D290" s="9"/>
      <c r="E290" s="10"/>
      <c r="F290" s="10"/>
      <c r="G290" s="10"/>
    </row>
    <row r="291" spans="3:7">
      <c r="C291" s="19"/>
      <c r="D291" s="9"/>
      <c r="E291" s="10"/>
      <c r="F291" s="10"/>
      <c r="G291" s="10"/>
    </row>
    <row r="292" spans="3:7">
      <c r="C292" s="19"/>
      <c r="D292" s="9"/>
      <c r="E292" s="10"/>
      <c r="F292" s="10"/>
      <c r="G292" s="10"/>
    </row>
    <row r="293" spans="3:7">
      <c r="C293" s="12"/>
      <c r="D293" s="9"/>
      <c r="E293" s="10"/>
      <c r="F293" s="10"/>
      <c r="G293" s="10"/>
    </row>
    <row r="294" spans="3:7">
      <c r="C294" s="19"/>
      <c r="D294" s="9"/>
      <c r="E294" s="10"/>
      <c r="F294" s="10"/>
      <c r="G294" s="10"/>
    </row>
    <row r="295" spans="3:7">
      <c r="C295" s="19"/>
      <c r="D295" s="9"/>
      <c r="E295" s="10"/>
      <c r="F295" s="10"/>
      <c r="G295" s="10"/>
    </row>
    <row r="296" spans="3:7">
      <c r="C296" s="12"/>
      <c r="D296" s="9"/>
      <c r="E296" s="10"/>
      <c r="F296" s="10"/>
      <c r="G296" s="10"/>
    </row>
    <row r="297" spans="3:7">
      <c r="C297" s="12"/>
      <c r="D297" s="9"/>
      <c r="E297" s="10"/>
      <c r="F297" s="10"/>
      <c r="G297" s="10"/>
    </row>
    <row r="298" spans="3:7">
      <c r="C298" s="12"/>
      <c r="D298" s="9"/>
      <c r="E298" s="10"/>
      <c r="F298" s="10"/>
      <c r="G298" s="10"/>
    </row>
    <row r="299" spans="3:7">
      <c r="C299" s="7"/>
      <c r="D299" s="9"/>
      <c r="E299" s="10"/>
      <c r="F299" s="10"/>
      <c r="G299" s="10"/>
    </row>
    <row r="300" spans="3:7">
      <c r="C300" s="8"/>
      <c r="D300" s="9"/>
      <c r="E300" s="10"/>
      <c r="F300" s="10"/>
      <c r="G300" s="10"/>
    </row>
    <row r="301" spans="3:7">
      <c r="C301" s="7"/>
      <c r="D301" s="9"/>
      <c r="E301" s="10"/>
      <c r="F301" s="10"/>
      <c r="G301" s="10"/>
    </row>
    <row r="302" spans="3:7">
      <c r="C302" s="8"/>
      <c r="D302" s="9"/>
      <c r="E302" s="10"/>
      <c r="F302" s="10"/>
      <c r="G302" s="10"/>
    </row>
    <row r="303" spans="3:7">
      <c r="C303" s="12"/>
      <c r="D303" s="9"/>
      <c r="E303" s="10"/>
      <c r="F303" s="10"/>
      <c r="G303" s="10"/>
    </row>
    <row r="304" spans="3:7">
      <c r="C304" s="19"/>
      <c r="D304" s="9"/>
      <c r="E304" s="10"/>
      <c r="F304" s="10"/>
      <c r="G304" s="10"/>
    </row>
    <row r="305" spans="3:7">
      <c r="C305" s="12"/>
      <c r="D305" s="9"/>
      <c r="E305" s="10"/>
      <c r="F305" s="10"/>
      <c r="G305" s="10"/>
    </row>
    <row r="306" spans="3:7">
      <c r="C306" s="19"/>
      <c r="D306" s="9"/>
      <c r="E306" s="10"/>
      <c r="F306" s="10"/>
      <c r="G306" s="10"/>
    </row>
    <row r="307" spans="3:7">
      <c r="C307" s="12"/>
      <c r="D307" s="9"/>
      <c r="E307" s="10"/>
      <c r="F307" s="10"/>
      <c r="G307" s="10"/>
    </row>
    <row r="308" spans="3:7">
      <c r="C308" s="19"/>
      <c r="D308" s="9"/>
      <c r="E308" s="10"/>
      <c r="F308" s="10"/>
      <c r="G308" s="10"/>
    </row>
    <row r="309" spans="3:7">
      <c r="C309" s="23"/>
      <c r="D309" s="20"/>
      <c r="E309" s="10"/>
      <c r="F309" s="10"/>
      <c r="G309" s="10"/>
    </row>
    <row r="310" spans="3:7">
      <c r="C310" s="23"/>
      <c r="D310" s="20"/>
      <c r="E310" s="10"/>
      <c r="F310" s="10"/>
      <c r="G310" s="10"/>
    </row>
    <row r="311" spans="3:7">
      <c r="C311" s="8"/>
      <c r="D311" s="9"/>
      <c r="E311" s="10"/>
      <c r="F311" s="10"/>
      <c r="G311" s="10"/>
    </row>
    <row r="312" spans="3:7">
      <c r="C312" s="12"/>
      <c r="D312" s="9"/>
      <c r="E312" s="10"/>
      <c r="F312" s="10"/>
      <c r="G312" s="10"/>
    </row>
    <row r="313" spans="3:7">
      <c r="C313" s="12"/>
      <c r="D313" s="9"/>
      <c r="E313" s="10"/>
      <c r="F313" s="10"/>
      <c r="G313" s="10"/>
    </row>
    <row r="314" spans="3:7">
      <c r="C314" s="8"/>
      <c r="D314" s="9"/>
      <c r="E314" s="10"/>
      <c r="F314" s="10"/>
      <c r="G314" s="10"/>
    </row>
    <row r="315" spans="3:7">
      <c r="C315" s="12"/>
      <c r="D315" s="9"/>
      <c r="E315" s="10"/>
      <c r="F315" s="10"/>
      <c r="G315" s="10"/>
    </row>
    <row r="316" spans="3:7">
      <c r="C316" s="7"/>
      <c r="D316" s="9"/>
      <c r="E316" s="10"/>
      <c r="F316" s="10"/>
      <c r="G316" s="10"/>
    </row>
    <row r="317" spans="3:7">
      <c r="C317" s="8"/>
      <c r="D317" s="9"/>
      <c r="E317" s="10"/>
      <c r="F317" s="10"/>
      <c r="G317" s="10"/>
    </row>
    <row r="318" spans="3:7">
      <c r="C318" s="12"/>
      <c r="D318" s="9"/>
      <c r="E318" s="10"/>
      <c r="F318" s="10"/>
      <c r="G318" s="10"/>
    </row>
    <row r="319" spans="3:7">
      <c r="C319" s="8"/>
      <c r="D319" s="9"/>
      <c r="E319" s="10"/>
      <c r="F319" s="10"/>
      <c r="G319" s="10"/>
    </row>
    <row r="320" spans="3:7">
      <c r="C320" s="12"/>
      <c r="D320" s="9"/>
      <c r="E320" s="10"/>
      <c r="F320" s="10"/>
      <c r="G320" s="10"/>
    </row>
    <row r="321" spans="3:7">
      <c r="C321" s="19"/>
      <c r="D321" s="9"/>
      <c r="E321" s="10"/>
      <c r="F321" s="10"/>
      <c r="G321" s="10"/>
    </row>
    <row r="322" spans="3:7">
      <c r="C322" s="12"/>
      <c r="D322" s="9"/>
      <c r="E322" s="10"/>
      <c r="F322" s="10"/>
      <c r="G322" s="10"/>
    </row>
    <row r="323" spans="3:7">
      <c r="C323" s="19"/>
      <c r="D323" s="9"/>
      <c r="E323" s="10"/>
      <c r="F323" s="10"/>
      <c r="G323" s="10"/>
    </row>
    <row r="324" spans="3:7">
      <c r="C324" s="12"/>
      <c r="D324" s="9"/>
      <c r="E324" s="10"/>
      <c r="F324" s="10"/>
      <c r="G324" s="10"/>
    </row>
    <row r="325" spans="3:7">
      <c r="C325" s="19"/>
      <c r="D325" s="9"/>
      <c r="E325" s="10"/>
      <c r="F325" s="10"/>
      <c r="G325" s="10"/>
    </row>
    <row r="326" spans="3:7">
      <c r="C326" s="23"/>
      <c r="D326" s="20"/>
      <c r="E326" s="10"/>
      <c r="F326" s="10"/>
      <c r="G326" s="10"/>
    </row>
    <row r="327" spans="3:7">
      <c r="C327" s="23"/>
      <c r="D327" s="20"/>
      <c r="E327" s="10"/>
      <c r="F327" s="10"/>
      <c r="G327" s="10"/>
    </row>
    <row r="328" spans="3:7">
      <c r="C328" s="8"/>
      <c r="D328" s="9"/>
      <c r="E328" s="10"/>
      <c r="F328" s="10"/>
      <c r="G328" s="10"/>
    </row>
    <row r="329" spans="3:7">
      <c r="C329" s="12"/>
      <c r="D329" s="9"/>
      <c r="E329" s="10"/>
      <c r="F329" s="10"/>
      <c r="G329" s="10"/>
    </row>
    <row r="330" spans="3:7">
      <c r="C330" s="12"/>
      <c r="D330" s="9"/>
      <c r="E330" s="10"/>
      <c r="F330" s="10"/>
      <c r="G330" s="10"/>
    </row>
    <row r="331" spans="3:7">
      <c r="C331" s="8"/>
      <c r="D331" s="9"/>
      <c r="E331" s="10"/>
      <c r="F331" s="10"/>
      <c r="G331" s="10"/>
    </row>
    <row r="332" spans="3:7">
      <c r="C332" s="12"/>
      <c r="D332" s="9"/>
      <c r="E332" s="10"/>
      <c r="F332" s="10"/>
      <c r="G332" s="10"/>
    </row>
    <row r="333" spans="3:7">
      <c r="C333" s="7"/>
      <c r="D333" s="9"/>
      <c r="E333" s="10"/>
      <c r="F333" s="10"/>
      <c r="G333" s="10"/>
    </row>
    <row r="334" spans="3:7">
      <c r="C334" s="8"/>
      <c r="D334" s="9"/>
      <c r="E334" s="10"/>
      <c r="F334" s="10"/>
      <c r="G334" s="10"/>
    </row>
    <row r="335" spans="3:7">
      <c r="C335" s="12"/>
      <c r="D335" s="9"/>
      <c r="E335" s="10"/>
      <c r="F335" s="10"/>
      <c r="G335" s="10"/>
    </row>
    <row r="336" spans="3:7">
      <c r="C336" s="8"/>
      <c r="D336" s="9"/>
      <c r="E336" s="10"/>
      <c r="F336" s="10"/>
      <c r="G336" s="10"/>
    </row>
    <row r="337" spans="3:7">
      <c r="C337" s="12"/>
      <c r="D337" s="9"/>
      <c r="E337" s="10"/>
      <c r="F337" s="10"/>
      <c r="G337" s="10"/>
    </row>
    <row r="338" spans="3:7">
      <c r="C338" s="19"/>
      <c r="D338" s="9"/>
      <c r="E338" s="10"/>
      <c r="F338" s="10"/>
      <c r="G338" s="10"/>
    </row>
    <row r="339" spans="3:7">
      <c r="C339" s="12"/>
      <c r="D339" s="9"/>
      <c r="E339" s="10"/>
      <c r="F339" s="10"/>
      <c r="G339" s="10"/>
    </row>
    <row r="340" spans="3:7">
      <c r="C340" s="19"/>
      <c r="D340" s="9"/>
      <c r="E340" s="10"/>
      <c r="F340" s="10"/>
      <c r="G340" s="10"/>
    </row>
    <row r="341" spans="3:7">
      <c r="C341" s="12"/>
      <c r="D341" s="9"/>
      <c r="E341" s="10"/>
      <c r="F341" s="10"/>
      <c r="G341" s="10"/>
    </row>
    <row r="342" spans="3:7">
      <c r="C342" s="19"/>
      <c r="D342" s="9"/>
      <c r="E342" s="10"/>
      <c r="F342" s="10"/>
      <c r="G342" s="10"/>
    </row>
    <row r="343" spans="3:7">
      <c r="C343" s="23"/>
      <c r="D343" s="20"/>
      <c r="E343" s="10"/>
      <c r="F343" s="10"/>
      <c r="G343" s="10"/>
    </row>
    <row r="344" spans="3:7">
      <c r="C344" s="23"/>
      <c r="D344" s="20"/>
      <c r="E344" s="10"/>
      <c r="F344" s="10"/>
      <c r="G344" s="10"/>
    </row>
    <row r="345" spans="3:7">
      <c r="C345" s="8"/>
      <c r="D345" s="9"/>
      <c r="E345" s="10"/>
      <c r="F345" s="10"/>
      <c r="G345" s="10"/>
    </row>
    <row r="346" spans="3:7">
      <c r="C346" s="12"/>
      <c r="D346" s="9"/>
      <c r="E346" s="10"/>
      <c r="F346" s="10"/>
      <c r="G346" s="10"/>
    </row>
    <row r="347" spans="3:7">
      <c r="C347" s="12"/>
      <c r="D347" s="9"/>
      <c r="E347" s="10"/>
      <c r="F347" s="10"/>
      <c r="G347" s="10"/>
    </row>
    <row r="348" spans="3:7">
      <c r="C348" s="8"/>
      <c r="D348" s="9"/>
      <c r="E348" s="10"/>
      <c r="F348" s="10"/>
      <c r="G348" s="10"/>
    </row>
    <row r="349" spans="3:7">
      <c r="C349" s="12"/>
      <c r="D349" s="9"/>
      <c r="E349" s="10"/>
      <c r="F349" s="10"/>
      <c r="G349" s="10"/>
    </row>
    <row r="350" spans="3:7">
      <c r="C350" s="7"/>
      <c r="D350" s="9"/>
      <c r="E350" s="10"/>
      <c r="F350" s="10"/>
      <c r="G350" s="10"/>
    </row>
    <row r="351" spans="3:7">
      <c r="C351" s="8"/>
      <c r="D351" s="9"/>
      <c r="E351" s="10"/>
      <c r="F351" s="10"/>
      <c r="G351" s="10"/>
    </row>
    <row r="352" spans="3:7">
      <c r="C352" s="12"/>
      <c r="D352" s="9"/>
      <c r="E352" s="10"/>
      <c r="F352" s="10"/>
      <c r="G352" s="10"/>
    </row>
    <row r="353" spans="3:7">
      <c r="C353" s="8"/>
      <c r="D353" s="9"/>
      <c r="E353" s="10"/>
      <c r="F353" s="10"/>
      <c r="G353" s="10"/>
    </row>
    <row r="354" spans="3:7">
      <c r="C354" s="12"/>
      <c r="D354" s="9"/>
      <c r="E354" s="10"/>
      <c r="F354" s="10"/>
      <c r="G354" s="10"/>
    </row>
    <row r="355" spans="3:7">
      <c r="C355" s="12"/>
      <c r="D355" s="9"/>
      <c r="E355" s="10"/>
      <c r="F355" s="10"/>
      <c r="G355" s="10"/>
    </row>
    <row r="356" spans="3:7">
      <c r="C356" s="8"/>
      <c r="D356" s="9"/>
      <c r="E356" s="10"/>
      <c r="F356" s="10"/>
      <c r="G356" s="10"/>
    </row>
    <row r="357" spans="3:7">
      <c r="C357" s="12"/>
      <c r="D357" s="9"/>
      <c r="E357" s="10"/>
      <c r="F357" s="10"/>
      <c r="G357" s="10"/>
    </row>
    <row r="358" spans="3:7">
      <c r="C358" s="8"/>
      <c r="D358" s="9"/>
      <c r="E358" s="10"/>
      <c r="F358" s="10"/>
      <c r="G358" s="10"/>
    </row>
    <row r="359" spans="3:7">
      <c r="C359" s="12"/>
      <c r="D359" s="9"/>
      <c r="E359" s="10"/>
      <c r="F359" s="10"/>
      <c r="G359" s="10"/>
    </row>
    <row r="360" spans="3:7">
      <c r="C360" s="8"/>
      <c r="D360" s="9"/>
      <c r="E360" s="10"/>
      <c r="F360" s="10"/>
      <c r="G360" s="10"/>
    </row>
    <row r="361" spans="3:7">
      <c r="C361" s="18"/>
      <c r="D361" s="9"/>
      <c r="E361" s="10"/>
      <c r="F361" s="10"/>
      <c r="G361" s="10"/>
    </row>
    <row r="362" spans="3:7">
      <c r="C362" s="19"/>
      <c r="D362" s="9"/>
      <c r="E362" s="10"/>
      <c r="F362" s="10"/>
      <c r="G362" s="10"/>
    </row>
    <row r="363" spans="3:7">
      <c r="C363" s="12"/>
      <c r="D363" s="9"/>
      <c r="E363" s="10"/>
      <c r="F363" s="10"/>
      <c r="G363" s="10"/>
    </row>
    <row r="364" spans="3:7">
      <c r="C364" s="12"/>
      <c r="D364" s="9"/>
      <c r="E364" s="10"/>
      <c r="F364" s="10"/>
      <c r="G364" s="10"/>
    </row>
    <row r="365" spans="3:7">
      <c r="C365" s="34"/>
      <c r="D365" s="20"/>
      <c r="E365" s="10"/>
      <c r="F365" s="10"/>
      <c r="G365" s="10"/>
    </row>
    <row r="366" spans="3:7">
      <c r="C366" s="23"/>
      <c r="D366" s="20"/>
      <c r="E366" s="10"/>
      <c r="F366" s="10"/>
      <c r="G366" s="10"/>
    </row>
    <row r="367" spans="3:7">
      <c r="C367" s="23"/>
      <c r="D367" s="20"/>
      <c r="E367" s="10"/>
      <c r="F367" s="10"/>
      <c r="G367" s="10"/>
    </row>
    <row r="368" spans="3:7">
      <c r="C368" s="12"/>
      <c r="D368" s="20"/>
      <c r="E368" s="10"/>
      <c r="F368" s="10"/>
      <c r="G368" s="10"/>
    </row>
    <row r="369" spans="3:7">
      <c r="C369" s="12"/>
      <c r="D369" s="20"/>
      <c r="E369" s="10"/>
      <c r="F369" s="10"/>
      <c r="G369" s="10"/>
    </row>
    <row r="370" spans="3:7">
      <c r="C370" s="12"/>
      <c r="D370" s="20"/>
      <c r="E370" s="10"/>
      <c r="F370" s="10"/>
      <c r="G370" s="10"/>
    </row>
    <row r="371" spans="3:7">
      <c r="C371" s="12"/>
      <c r="D371" s="20"/>
      <c r="E371" s="10"/>
      <c r="F371" s="10"/>
      <c r="G371" s="10"/>
    </row>
    <row r="372" spans="3:7">
      <c r="C372" s="12"/>
      <c r="D372" s="20"/>
      <c r="E372" s="10"/>
      <c r="F372" s="10"/>
      <c r="G372" s="10"/>
    </row>
    <row r="373" spans="3:7">
      <c r="C373" s="12"/>
      <c r="D373" s="20"/>
      <c r="E373" s="10"/>
      <c r="F373" s="10"/>
      <c r="G373" s="10"/>
    </row>
    <row r="374" spans="3:7">
      <c r="C374" s="8"/>
      <c r="D374" s="20"/>
      <c r="E374" s="10"/>
      <c r="F374" s="10"/>
      <c r="G374" s="10"/>
    </row>
    <row r="375" spans="3:7">
      <c r="C375" s="12"/>
      <c r="D375" s="20"/>
      <c r="E375" s="10"/>
      <c r="F375" s="10"/>
      <c r="G375" s="10"/>
    </row>
    <row r="376" spans="3:7">
      <c r="C376" s="12"/>
      <c r="D376" s="20"/>
      <c r="E376" s="10"/>
      <c r="F376" s="10"/>
      <c r="G376" s="10"/>
    </row>
    <row r="377" spans="3:7">
      <c r="C377" s="8"/>
      <c r="D377" s="20"/>
      <c r="E377" s="10"/>
      <c r="F377" s="10"/>
      <c r="G377" s="10"/>
    </row>
    <row r="378" spans="3:7">
      <c r="C378" s="12"/>
      <c r="D378" s="20"/>
      <c r="E378" s="10"/>
      <c r="F378" s="10"/>
      <c r="G378" s="10"/>
    </row>
    <row r="379" spans="3:7">
      <c r="C379" s="12"/>
      <c r="D379" s="20"/>
      <c r="E379" s="10"/>
      <c r="F379" s="10"/>
      <c r="G379" s="10"/>
    </row>
    <row r="380" spans="3:7">
      <c r="C380" s="8"/>
      <c r="D380" s="20"/>
      <c r="E380" s="10"/>
      <c r="F380" s="10"/>
      <c r="G380" s="10"/>
    </row>
    <row r="381" spans="3:7">
      <c r="C381" s="23"/>
      <c r="D381" s="20"/>
      <c r="E381" s="10"/>
      <c r="F381" s="10"/>
      <c r="G381" s="10"/>
    </row>
    <row r="382" spans="3:7">
      <c r="C382" s="23"/>
      <c r="D382" s="20"/>
      <c r="E382" s="10"/>
      <c r="F382" s="10"/>
      <c r="G382" s="10"/>
    </row>
    <row r="383" spans="3:7">
      <c r="C383" s="7"/>
      <c r="D383" s="9"/>
      <c r="E383" s="10"/>
      <c r="F383" s="10"/>
      <c r="G383" s="10"/>
    </row>
    <row r="384" spans="3:7">
      <c r="C384" s="8"/>
      <c r="D384" s="9"/>
      <c r="E384" s="10"/>
      <c r="F384" s="10"/>
      <c r="G384" s="10"/>
    </row>
    <row r="385" spans="3:7">
      <c r="C385" s="12"/>
      <c r="D385" s="9"/>
      <c r="E385" s="10"/>
      <c r="F385" s="10"/>
      <c r="G385" s="10"/>
    </row>
    <row r="386" spans="3:7">
      <c r="C386" s="8"/>
      <c r="D386" s="9"/>
      <c r="E386" s="10"/>
      <c r="F386" s="10"/>
      <c r="G386" s="10"/>
    </row>
    <row r="387" spans="3:7">
      <c r="C387" s="12"/>
      <c r="D387" s="9"/>
      <c r="E387" s="10"/>
      <c r="F387" s="10"/>
      <c r="G387" s="10"/>
    </row>
    <row r="388" spans="3:7">
      <c r="C388" s="12"/>
      <c r="D388" s="9"/>
      <c r="E388" s="10"/>
      <c r="F388" s="10"/>
      <c r="G388" s="10"/>
    </row>
    <row r="389" spans="3:7">
      <c r="C389" s="8"/>
      <c r="D389" s="9"/>
      <c r="E389" s="10"/>
      <c r="F389" s="10"/>
      <c r="G389" s="10"/>
    </row>
    <row r="390" spans="3:7">
      <c r="C390" s="12"/>
      <c r="D390" s="9"/>
      <c r="E390" s="10"/>
      <c r="F390" s="10"/>
      <c r="G390" s="10"/>
    </row>
    <row r="391" spans="3:7">
      <c r="C391" s="8"/>
      <c r="D391" s="9"/>
      <c r="E391" s="10"/>
      <c r="F391" s="10"/>
      <c r="G391" s="10"/>
    </row>
    <row r="392" spans="3:7">
      <c r="C392" s="12"/>
      <c r="D392" s="9"/>
      <c r="E392" s="10"/>
      <c r="F392" s="10"/>
      <c r="G392" s="10"/>
    </row>
    <row r="393" spans="3:7">
      <c r="C393" s="8"/>
      <c r="D393" s="9"/>
      <c r="E393" s="10"/>
      <c r="F393" s="10"/>
      <c r="G393" s="10"/>
    </row>
    <row r="394" spans="3:7">
      <c r="C394" s="18"/>
      <c r="D394" s="9"/>
      <c r="E394" s="10"/>
      <c r="F394" s="10"/>
      <c r="G394" s="10"/>
    </row>
    <row r="395" spans="3:7">
      <c r="C395" s="19"/>
      <c r="D395" s="9"/>
      <c r="E395" s="10"/>
      <c r="F395" s="10"/>
      <c r="G395" s="10"/>
    </row>
    <row r="396" spans="3:7">
      <c r="C396" s="12"/>
      <c r="D396" s="9"/>
      <c r="E396" s="10"/>
      <c r="F396" s="10"/>
      <c r="G396" s="10"/>
    </row>
    <row r="397" spans="3:7">
      <c r="C397" s="12"/>
      <c r="D397" s="9"/>
      <c r="E397" s="10"/>
      <c r="F397" s="10"/>
      <c r="G397" s="10"/>
    </row>
    <row r="398" spans="3:7">
      <c r="C398" s="34"/>
      <c r="D398" s="20"/>
      <c r="E398" s="10"/>
      <c r="F398" s="10"/>
      <c r="G398" s="10"/>
    </row>
    <row r="399" spans="3:7">
      <c r="C399" s="23"/>
      <c r="D399" s="20"/>
      <c r="E399" s="10"/>
      <c r="F399" s="10"/>
      <c r="G399" s="10"/>
    </row>
    <row r="400" spans="3:7">
      <c r="C400" s="23"/>
      <c r="D400" s="20"/>
      <c r="E400" s="10"/>
      <c r="F400" s="10"/>
      <c r="G400" s="10"/>
    </row>
    <row r="401" spans="3:7">
      <c r="C401" s="12"/>
      <c r="D401" s="20"/>
      <c r="E401" s="10"/>
      <c r="F401" s="10"/>
      <c r="G401" s="10"/>
    </row>
    <row r="402" spans="3:7">
      <c r="C402" s="12"/>
      <c r="D402" s="20"/>
      <c r="E402" s="10"/>
      <c r="F402" s="10"/>
      <c r="G402" s="10"/>
    </row>
    <row r="403" spans="3:7">
      <c r="C403" s="12"/>
      <c r="D403" s="20"/>
      <c r="E403" s="10"/>
      <c r="F403" s="10"/>
      <c r="G403" s="10"/>
    </row>
    <row r="404" spans="3:7">
      <c r="C404" s="12"/>
      <c r="D404" s="20"/>
      <c r="E404" s="10"/>
      <c r="F404" s="10"/>
      <c r="G404" s="10"/>
    </row>
    <row r="405" spans="3:7">
      <c r="C405" s="12"/>
      <c r="D405" s="20"/>
      <c r="E405" s="10"/>
      <c r="F405" s="10"/>
      <c r="G405" s="10"/>
    </row>
    <row r="406" spans="3:7">
      <c r="C406" s="12"/>
      <c r="D406" s="20"/>
      <c r="E406" s="10"/>
      <c r="F406" s="10"/>
      <c r="G406" s="10"/>
    </row>
    <row r="407" spans="3:7">
      <c r="C407" s="8"/>
      <c r="D407" s="20"/>
      <c r="E407" s="10"/>
      <c r="F407" s="10"/>
      <c r="G407" s="10"/>
    </row>
    <row r="408" spans="3:7">
      <c r="C408" s="12"/>
      <c r="D408" s="20"/>
      <c r="E408" s="10"/>
      <c r="F408" s="10"/>
      <c r="G408" s="10"/>
    </row>
    <row r="409" spans="3:7">
      <c r="C409" s="12"/>
      <c r="D409" s="20"/>
      <c r="E409" s="10"/>
      <c r="F409" s="10"/>
      <c r="G409" s="10"/>
    </row>
    <row r="410" spans="3:7">
      <c r="C410" s="8"/>
      <c r="D410" s="20"/>
      <c r="E410" s="10"/>
      <c r="F410" s="10"/>
      <c r="G410" s="10"/>
    </row>
    <row r="411" spans="3:7">
      <c r="C411" s="12"/>
      <c r="D411" s="20"/>
      <c r="E411" s="10"/>
      <c r="F411" s="10"/>
      <c r="G411" s="10"/>
    </row>
    <row r="412" spans="3:7">
      <c r="C412" s="12"/>
      <c r="D412" s="20"/>
      <c r="E412" s="10"/>
      <c r="F412" s="10"/>
      <c r="G412" s="10"/>
    </row>
    <row r="413" spans="3:7">
      <c r="C413" s="8"/>
      <c r="D413" s="20"/>
      <c r="E413" s="10"/>
      <c r="F413" s="10"/>
      <c r="G413" s="10"/>
    </row>
    <row r="414" spans="3:7">
      <c r="C414" s="23"/>
      <c r="D414" s="20"/>
      <c r="E414" s="10"/>
      <c r="F414" s="10"/>
      <c r="G414" s="10"/>
    </row>
    <row r="415" spans="3:7">
      <c r="C415" s="23"/>
      <c r="D415" s="20"/>
      <c r="E415" s="10"/>
      <c r="F415" s="10"/>
      <c r="G415" s="10"/>
    </row>
    <row r="416" spans="3:7">
      <c r="C416" s="2"/>
      <c r="D416" s="2"/>
      <c r="E416" s="2"/>
      <c r="F416" s="2"/>
      <c r="G416" s="2"/>
    </row>
    <row r="417" spans="1:7">
      <c r="C417" s="2"/>
      <c r="D417" s="2"/>
      <c r="E417" s="2"/>
      <c r="F417" s="2"/>
      <c r="G417" s="2"/>
    </row>
    <row r="418" spans="1:7">
      <c r="C418" s="2"/>
      <c r="D418" s="2"/>
      <c r="E418" s="2"/>
      <c r="F418" s="2"/>
      <c r="G418" s="2"/>
    </row>
    <row r="419" spans="1:7" s="33" customFormat="1">
      <c r="A419" s="2"/>
      <c r="B419" s="2"/>
      <c r="C419" s="2"/>
      <c r="D419" s="2"/>
      <c r="E419" s="2"/>
      <c r="F419" s="2"/>
      <c r="G419" s="2"/>
    </row>
    <row r="420" spans="1:7" s="33" customFormat="1">
      <c r="A420" s="2"/>
      <c r="B420" s="2"/>
      <c r="C420" s="2"/>
      <c r="D420" s="2"/>
      <c r="E420" s="2"/>
      <c r="F420" s="2"/>
      <c r="G420" s="2"/>
    </row>
    <row r="421" spans="1:7" s="33" customFormat="1">
      <c r="A421" s="2"/>
      <c r="B421" s="2"/>
      <c r="C421" s="2"/>
      <c r="D421" s="2"/>
      <c r="E421" s="2"/>
      <c r="F421" s="2"/>
      <c r="G421" s="2"/>
    </row>
    <row r="422" spans="1:7" s="33" customFormat="1">
      <c r="A422" s="2"/>
      <c r="B422" s="2"/>
      <c r="C422" s="2"/>
      <c r="D422" s="2"/>
      <c r="E422" s="2"/>
      <c r="F422" s="2"/>
      <c r="G422" s="2"/>
    </row>
    <row r="423" spans="1:7" s="33" customFormat="1">
      <c r="A423" s="2"/>
      <c r="B423" s="2"/>
      <c r="C423" s="2"/>
      <c r="D423" s="2"/>
      <c r="E423" s="2"/>
      <c r="F423" s="2"/>
      <c r="G423" s="2"/>
    </row>
    <row r="424" spans="1:7" s="33" customFormat="1">
      <c r="A424" s="2"/>
      <c r="B424" s="2"/>
      <c r="C424" s="2"/>
      <c r="D424" s="2"/>
      <c r="E424" s="2"/>
      <c r="F424" s="2"/>
      <c r="G424" s="2"/>
    </row>
    <row r="425" spans="1:7" s="33" customFormat="1">
      <c r="A425" s="2"/>
      <c r="B425" s="2"/>
      <c r="C425" s="2"/>
      <c r="D425" s="2"/>
      <c r="E425" s="2"/>
      <c r="F425" s="2"/>
      <c r="G425" s="2"/>
    </row>
    <row r="426" spans="1:7">
      <c r="C426" s="2"/>
      <c r="D426" s="2"/>
      <c r="E426" s="2"/>
      <c r="F426" s="2"/>
      <c r="G426" s="2"/>
    </row>
    <row r="427" spans="1:7">
      <c r="A427" s="33"/>
      <c r="B427" s="33"/>
      <c r="C427" s="252"/>
      <c r="D427" s="252"/>
      <c r="E427" s="252"/>
      <c r="F427" s="252"/>
      <c r="G427" s="252"/>
    </row>
    <row r="428" spans="1:7">
      <c r="A428" s="33"/>
      <c r="B428" s="33"/>
      <c r="C428" s="33"/>
      <c r="D428" s="252"/>
      <c r="E428" s="252"/>
      <c r="F428" s="252"/>
      <c r="G428" s="252"/>
    </row>
    <row r="429" spans="1:7">
      <c r="A429" s="33"/>
      <c r="B429" s="33"/>
      <c r="C429" s="33"/>
      <c r="D429" s="20"/>
      <c r="E429" s="20"/>
      <c r="F429" s="20"/>
      <c r="G429" s="20"/>
    </row>
    <row r="430" spans="1:7">
      <c r="A430" s="33"/>
      <c r="B430" s="33"/>
      <c r="C430" s="252"/>
      <c r="D430" s="252"/>
      <c r="E430" s="252"/>
      <c r="F430" s="252"/>
      <c r="G430" s="252"/>
    </row>
    <row r="431" spans="1:7">
      <c r="A431" s="33"/>
      <c r="B431" s="33"/>
      <c r="C431" s="33"/>
      <c r="D431" s="252"/>
      <c r="E431" s="252"/>
      <c r="F431" s="252"/>
      <c r="G431" s="252"/>
    </row>
    <row r="432" spans="1:7">
      <c r="A432" s="33"/>
      <c r="B432" s="33"/>
      <c r="C432" s="33"/>
      <c r="D432" s="20"/>
      <c r="E432" s="20"/>
      <c r="F432" s="20"/>
      <c r="G432" s="20"/>
    </row>
    <row r="433" spans="1:7">
      <c r="A433" s="33"/>
      <c r="B433" s="33"/>
      <c r="C433" s="33"/>
      <c r="D433" s="33"/>
      <c r="E433" s="33"/>
      <c r="F433" s="33"/>
      <c r="G433" s="33"/>
    </row>
    <row r="434" spans="1:7">
      <c r="C434" s="2"/>
      <c r="D434" s="2"/>
      <c r="E434" s="2"/>
      <c r="F434" s="2"/>
      <c r="G434" s="2"/>
    </row>
    <row r="435" spans="1:7">
      <c r="C435" s="2"/>
      <c r="D435" s="2"/>
      <c r="E435" s="2"/>
      <c r="F435" s="2"/>
      <c r="G435" s="2"/>
    </row>
    <row r="436" spans="1:7">
      <c r="C436" s="2"/>
      <c r="D436" s="2"/>
      <c r="E436" s="2"/>
      <c r="F436" s="2"/>
      <c r="G436" s="2"/>
    </row>
    <row r="437" spans="1:7">
      <c r="C437" s="2"/>
      <c r="D437" s="2"/>
      <c r="E437" s="2"/>
      <c r="F437" s="2"/>
      <c r="G437" s="2"/>
    </row>
    <row r="438" spans="1:7">
      <c r="C438" s="2"/>
      <c r="D438" s="2"/>
      <c r="E438" s="2"/>
      <c r="F438" s="2"/>
      <c r="G438" s="2"/>
    </row>
    <row r="439" spans="1:7">
      <c r="C439" s="2"/>
      <c r="D439" s="2"/>
      <c r="E439" s="2"/>
      <c r="F439" s="2"/>
      <c r="G439" s="2"/>
    </row>
    <row r="440" spans="1:7">
      <c r="C440" s="2"/>
      <c r="D440" s="2"/>
      <c r="E440" s="2"/>
      <c r="F440" s="2"/>
      <c r="G440" s="2"/>
    </row>
    <row r="441" spans="1:7">
      <c r="C441" s="2"/>
      <c r="D441" s="2"/>
      <c r="E441" s="2"/>
      <c r="F441" s="2"/>
      <c r="G441" s="2"/>
    </row>
    <row r="442" spans="1:7">
      <c r="C442" s="7"/>
      <c r="D442" s="2"/>
      <c r="E442" s="2"/>
      <c r="F442" s="2"/>
      <c r="G442" s="2"/>
    </row>
    <row r="443" spans="1:7">
      <c r="C443" s="8"/>
      <c r="D443" s="11"/>
      <c r="E443" s="10"/>
      <c r="F443" s="10"/>
      <c r="G443" s="5"/>
    </row>
    <row r="444" spans="1:7">
      <c r="C444" s="8"/>
      <c r="D444" s="11"/>
      <c r="E444" s="10"/>
      <c r="F444" s="10"/>
      <c r="G444" s="10"/>
    </row>
    <row r="445" spans="1:7">
      <c r="C445" s="12"/>
      <c r="D445" s="11"/>
      <c r="E445" s="10"/>
      <c r="F445" s="10"/>
      <c r="G445" s="10"/>
    </row>
    <row r="446" spans="1:7">
      <c r="C446" s="12"/>
      <c r="D446" s="11"/>
      <c r="E446" s="10"/>
      <c r="F446" s="10"/>
      <c r="G446" s="10"/>
    </row>
    <row r="447" spans="1:7">
      <c r="C447" s="8"/>
      <c r="D447" s="11"/>
      <c r="E447" s="10"/>
      <c r="F447" s="10"/>
      <c r="G447" s="10"/>
    </row>
    <row r="448" spans="1:7">
      <c r="C448" s="12"/>
      <c r="D448" s="11"/>
      <c r="E448" s="10"/>
      <c r="F448" s="10"/>
      <c r="G448" s="10"/>
    </row>
    <row r="449" spans="3:7">
      <c r="C449" s="12"/>
      <c r="D449" s="11"/>
      <c r="E449" s="10"/>
      <c r="F449" s="10"/>
      <c r="G449" s="10"/>
    </row>
    <row r="450" spans="3:7">
      <c r="C450" s="12"/>
      <c r="D450" s="11"/>
      <c r="E450" s="10"/>
      <c r="F450" s="10"/>
      <c r="G450" s="10"/>
    </row>
    <row r="451" spans="3:7">
      <c r="C451" s="8"/>
      <c r="D451" s="11"/>
      <c r="E451" s="10"/>
      <c r="F451" s="10"/>
      <c r="G451" s="10"/>
    </row>
    <row r="452" spans="3:7">
      <c r="C452" s="12"/>
      <c r="D452" s="11"/>
      <c r="E452" s="10"/>
      <c r="F452" s="10"/>
      <c r="G452" s="10"/>
    </row>
    <row r="453" spans="3:7">
      <c r="C453" s="12"/>
      <c r="D453" s="11"/>
      <c r="E453" s="10"/>
      <c r="F453" s="10"/>
      <c r="G453" s="10"/>
    </row>
    <row r="454" spans="3:7">
      <c r="C454" s="8"/>
      <c r="D454" s="11"/>
      <c r="E454" s="10"/>
      <c r="F454" s="10"/>
      <c r="G454" s="10"/>
    </row>
    <row r="455" spans="3:7">
      <c r="C455" s="12"/>
      <c r="D455" s="11"/>
      <c r="E455" s="10"/>
      <c r="F455" s="10"/>
      <c r="G455" s="10"/>
    </row>
    <row r="456" spans="3:7">
      <c r="C456" s="12"/>
      <c r="D456" s="11"/>
      <c r="E456" s="10"/>
      <c r="F456" s="10"/>
      <c r="G456" s="10"/>
    </row>
    <row r="457" spans="3:7">
      <c r="C457" s="37"/>
      <c r="D457" s="10"/>
      <c r="E457" s="10"/>
      <c r="F457" s="10"/>
      <c r="G457" s="10"/>
    </row>
    <row r="458" spans="3:7">
      <c r="C458" s="38"/>
      <c r="D458" s="10"/>
      <c r="E458" s="10"/>
      <c r="F458" s="10"/>
      <c r="G458" s="10"/>
    </row>
    <row r="459" spans="3:7">
      <c r="C459" s="13"/>
      <c r="D459" s="14"/>
      <c r="E459" s="14"/>
      <c r="F459" s="14"/>
      <c r="G459" s="14"/>
    </row>
    <row r="460" spans="3:7">
      <c r="C460" s="15"/>
      <c r="D460" s="16"/>
      <c r="E460" s="10"/>
      <c r="F460" s="10"/>
      <c r="G460" s="10"/>
    </row>
    <row r="461" spans="3:7">
      <c r="C461" s="15"/>
      <c r="D461" s="16"/>
      <c r="E461" s="10"/>
      <c r="F461" s="10"/>
      <c r="G461" s="10"/>
    </row>
    <row r="462" spans="3:7">
      <c r="C462" s="15"/>
      <c r="D462" s="16"/>
      <c r="E462" s="10"/>
      <c r="F462" s="10"/>
      <c r="G462" s="10"/>
    </row>
    <row r="463" spans="3:7">
      <c r="C463" s="15"/>
      <c r="D463" s="16"/>
      <c r="E463" s="10"/>
      <c r="F463" s="10"/>
      <c r="G463" s="10"/>
    </row>
    <row r="464" spans="3:7">
      <c r="C464" s="15"/>
      <c r="D464" s="16"/>
      <c r="E464" s="10"/>
      <c r="F464" s="10"/>
      <c r="G464" s="10"/>
    </row>
    <row r="465" spans="3:7">
      <c r="C465" s="15"/>
      <c r="D465" s="16"/>
      <c r="E465" s="10"/>
      <c r="F465" s="10"/>
      <c r="G465" s="10"/>
    </row>
    <row r="466" spans="3:7">
      <c r="C466" s="17"/>
      <c r="D466" s="11"/>
      <c r="E466" s="16"/>
      <c r="F466" s="5"/>
      <c r="G466" s="5"/>
    </row>
    <row r="467" spans="3:7">
      <c r="C467" s="18"/>
      <c r="D467" s="11"/>
      <c r="E467" s="16"/>
      <c r="F467" s="5"/>
      <c r="G467" s="5"/>
    </row>
    <row r="468" spans="3:7">
      <c r="C468" s="18"/>
      <c r="D468" s="11"/>
      <c r="E468" s="16"/>
      <c r="F468" s="5"/>
      <c r="G468" s="5"/>
    </row>
    <row r="469" spans="3:7">
      <c r="C469" s="18"/>
      <c r="D469" s="11"/>
      <c r="E469" s="16"/>
      <c r="F469" s="5"/>
      <c r="G469" s="5"/>
    </row>
    <row r="470" spans="3:7">
      <c r="C470" s="17"/>
      <c r="D470" s="11"/>
      <c r="E470" s="16"/>
      <c r="F470" s="5"/>
      <c r="G470" s="5"/>
    </row>
    <row r="471" spans="3:7">
      <c r="C471" s="18"/>
      <c r="D471" s="11"/>
      <c r="E471" s="16"/>
      <c r="F471" s="5"/>
      <c r="G471" s="5"/>
    </row>
    <row r="472" spans="3:7">
      <c r="C472" s="18"/>
      <c r="D472" s="11"/>
      <c r="E472" s="16"/>
      <c r="F472" s="5"/>
      <c r="G472" s="5"/>
    </row>
    <row r="473" spans="3:7">
      <c r="C473" s="18"/>
      <c r="D473" s="11"/>
      <c r="E473" s="16"/>
      <c r="F473" s="5"/>
      <c r="G473" s="5"/>
    </row>
    <row r="474" spans="3:7">
      <c r="C474" s="18"/>
      <c r="D474" s="11"/>
      <c r="E474" s="16"/>
      <c r="F474" s="5"/>
      <c r="G474" s="5"/>
    </row>
    <row r="475" spans="3:7">
      <c r="C475" s="18"/>
      <c r="D475" s="11"/>
      <c r="E475" s="16"/>
      <c r="F475" s="5"/>
      <c r="G475" s="5"/>
    </row>
    <row r="476" spans="3:7">
      <c r="C476" s="18"/>
      <c r="D476" s="11"/>
      <c r="E476" s="16"/>
      <c r="F476" s="5"/>
      <c r="G476" s="5"/>
    </row>
    <row r="477" spans="3:7">
      <c r="C477" s="18"/>
      <c r="D477" s="11"/>
      <c r="E477" s="16"/>
      <c r="F477" s="5"/>
      <c r="G477" s="5"/>
    </row>
    <row r="478" spans="3:7">
      <c r="C478" s="18"/>
      <c r="D478" s="11"/>
      <c r="E478" s="16"/>
      <c r="F478" s="5"/>
      <c r="G478" s="5"/>
    </row>
    <row r="479" spans="3:7">
      <c r="C479" s="18"/>
      <c r="D479" s="11"/>
      <c r="E479" s="16"/>
      <c r="F479" s="5"/>
      <c r="G479" s="5"/>
    </row>
    <row r="480" spans="3:7">
      <c r="C480" s="2"/>
      <c r="D480" s="2"/>
      <c r="E480" s="2"/>
      <c r="F480" s="2"/>
      <c r="G480" s="2"/>
    </row>
    <row r="481" spans="3:7">
      <c r="C481" s="2"/>
      <c r="D481" s="2"/>
      <c r="E481" s="2"/>
      <c r="F481" s="2"/>
      <c r="G481" s="2"/>
    </row>
    <row r="482" spans="3:7">
      <c r="C482" s="2"/>
      <c r="D482" s="2"/>
      <c r="E482" s="2"/>
      <c r="F482" s="2"/>
      <c r="G482" s="2"/>
    </row>
    <row r="483" spans="3:7">
      <c r="C483" s="2"/>
      <c r="D483" s="2"/>
      <c r="E483" s="2"/>
      <c r="F483" s="2"/>
      <c r="G483" s="2"/>
    </row>
    <row r="484" spans="3:7">
      <c r="C484" s="2"/>
      <c r="D484" s="2"/>
      <c r="E484" s="2"/>
      <c r="F484" s="2"/>
      <c r="G484" s="2"/>
    </row>
    <row r="485" spans="3:7">
      <c r="C485" s="2"/>
      <c r="D485" s="2"/>
      <c r="E485" s="2"/>
      <c r="F485" s="2"/>
      <c r="G485" s="2"/>
    </row>
    <row r="486" spans="3:7">
      <c r="C486" s="2"/>
      <c r="D486" s="2"/>
      <c r="E486" s="2"/>
      <c r="F486" s="2"/>
      <c r="G486" s="2"/>
    </row>
    <row r="487" spans="3:7">
      <c r="C487" s="2"/>
      <c r="D487" s="2"/>
      <c r="E487" s="2"/>
      <c r="F487" s="2"/>
      <c r="G487" s="2"/>
    </row>
    <row r="488" spans="3:7">
      <c r="C488" s="2"/>
      <c r="D488" s="2"/>
      <c r="E488" s="2"/>
      <c r="F488" s="2"/>
      <c r="G488" s="2"/>
    </row>
    <row r="489" spans="3:7">
      <c r="C489" s="2"/>
      <c r="D489" s="2"/>
      <c r="E489" s="2"/>
      <c r="F489" s="2"/>
      <c r="G489" s="2"/>
    </row>
    <row r="490" spans="3:7">
      <c r="C490" s="2"/>
      <c r="D490" s="2"/>
      <c r="E490" s="2"/>
      <c r="F490" s="2"/>
      <c r="G490" s="2"/>
    </row>
    <row r="491" spans="3:7">
      <c r="C491" s="2"/>
      <c r="D491" s="2"/>
      <c r="E491" s="2"/>
      <c r="F491" s="2"/>
      <c r="G491" s="2"/>
    </row>
    <row r="492" spans="3:7">
      <c r="C492" s="2"/>
      <c r="D492" s="2"/>
      <c r="E492" s="2"/>
      <c r="F492" s="2"/>
      <c r="G492" s="2"/>
    </row>
    <row r="493" spans="3:7">
      <c r="C493" s="2"/>
      <c r="D493" s="2"/>
      <c r="E493" s="2"/>
      <c r="F493" s="2"/>
      <c r="G493" s="2"/>
    </row>
    <row r="494" spans="3:7">
      <c r="C494" s="2"/>
      <c r="D494" s="2"/>
      <c r="E494" s="2"/>
      <c r="F494" s="2"/>
      <c r="G494" s="2"/>
    </row>
    <row r="495" spans="3:7">
      <c r="C495" s="2"/>
      <c r="D495" s="2"/>
      <c r="E495" s="2"/>
      <c r="F495" s="2"/>
      <c r="G495" s="2"/>
    </row>
    <row r="496" spans="3:7">
      <c r="C496" s="2"/>
      <c r="D496" s="2"/>
      <c r="E496" s="2"/>
      <c r="F496" s="2"/>
      <c r="G496" s="2"/>
    </row>
    <row r="497" spans="3:7">
      <c r="C497" s="2"/>
      <c r="D497" s="2"/>
      <c r="E497" s="2"/>
      <c r="F497" s="2"/>
      <c r="G497" s="2"/>
    </row>
    <row r="498" spans="3:7">
      <c r="C498" s="2"/>
      <c r="D498" s="2"/>
      <c r="E498" s="2"/>
      <c r="F498" s="2"/>
      <c r="G498" s="2"/>
    </row>
    <row r="499" spans="3:7">
      <c r="C499" s="2"/>
      <c r="D499" s="2"/>
      <c r="E499" s="2"/>
      <c r="F499" s="2"/>
      <c r="G499" s="2"/>
    </row>
    <row r="500" spans="3:7">
      <c r="C500" s="2"/>
      <c r="D500" s="2"/>
      <c r="E500" s="2"/>
      <c r="F500" s="2"/>
      <c r="G500" s="2"/>
    </row>
    <row r="501" spans="3:7">
      <c r="C501" s="2"/>
      <c r="D501" s="2"/>
      <c r="E501" s="2"/>
      <c r="F501" s="2"/>
      <c r="G501" s="2"/>
    </row>
    <row r="502" spans="3:7">
      <c r="C502" s="2"/>
      <c r="D502" s="2"/>
      <c r="E502" s="2"/>
      <c r="F502" s="2"/>
      <c r="G502" s="2"/>
    </row>
    <row r="503" spans="3:7">
      <c r="C503" s="2"/>
      <c r="D503" s="2"/>
      <c r="E503" s="2"/>
      <c r="F503" s="2"/>
      <c r="G503" s="2"/>
    </row>
    <row r="504" spans="3:7">
      <c r="C504" s="2"/>
      <c r="D504" s="2"/>
      <c r="E504" s="2"/>
      <c r="F504" s="2"/>
      <c r="G504" s="2"/>
    </row>
    <row r="505" spans="3:7">
      <c r="C505" s="2"/>
      <c r="D505" s="2"/>
      <c r="E505" s="2"/>
      <c r="F505" s="2"/>
      <c r="G505" s="2"/>
    </row>
    <row r="506" spans="3:7">
      <c r="C506" s="2"/>
      <c r="D506" s="2"/>
      <c r="E506" s="2"/>
      <c r="F506" s="2"/>
      <c r="G506" s="2"/>
    </row>
    <row r="507" spans="3:7">
      <c r="C507" s="2"/>
      <c r="D507" s="2"/>
      <c r="E507" s="2"/>
      <c r="F507" s="2"/>
      <c r="G507" s="2"/>
    </row>
    <row r="508" spans="3:7">
      <c r="C508" s="2"/>
      <c r="D508" s="2"/>
      <c r="E508" s="2"/>
      <c r="F508" s="2"/>
      <c r="G508" s="2"/>
    </row>
    <row r="509" spans="3:7">
      <c r="C509" s="2"/>
      <c r="D509" s="2"/>
      <c r="E509" s="2"/>
      <c r="F509" s="2"/>
      <c r="G509" s="2"/>
    </row>
    <row r="510" spans="3:7">
      <c r="C510" s="2"/>
      <c r="D510" s="2"/>
      <c r="E510" s="2"/>
      <c r="F510" s="2"/>
      <c r="G510" s="2"/>
    </row>
    <row r="511" spans="3:7">
      <c r="C511" s="2"/>
      <c r="D511" s="2"/>
      <c r="E511" s="2"/>
      <c r="F511" s="2"/>
      <c r="G511" s="2"/>
    </row>
    <row r="512" spans="3:7">
      <c r="C512" s="2"/>
      <c r="D512" s="2"/>
      <c r="E512" s="2"/>
      <c r="F512" s="2"/>
      <c r="G512" s="2"/>
    </row>
    <row r="513" spans="3:7">
      <c r="C513" s="2"/>
      <c r="D513" s="2"/>
      <c r="E513" s="2"/>
      <c r="F513" s="2"/>
      <c r="G513" s="2"/>
    </row>
    <row r="514" spans="3:7">
      <c r="C514" s="2"/>
      <c r="D514" s="2"/>
      <c r="E514" s="2"/>
      <c r="F514" s="2"/>
      <c r="G514" s="2"/>
    </row>
    <row r="515" spans="3:7">
      <c r="C515" s="2"/>
      <c r="D515" s="2"/>
      <c r="E515" s="2"/>
      <c r="F515" s="2"/>
      <c r="G515" s="2"/>
    </row>
    <row r="516" spans="3:7">
      <c r="C516" s="2"/>
      <c r="D516" s="2"/>
      <c r="E516" s="2"/>
      <c r="F516" s="2"/>
      <c r="G516" s="2"/>
    </row>
    <row r="517" spans="3:7">
      <c r="C517" s="2"/>
      <c r="D517" s="2"/>
      <c r="E517" s="2"/>
      <c r="F517" s="2"/>
      <c r="G517" s="2"/>
    </row>
    <row r="518" spans="3:7">
      <c r="C518" s="2"/>
      <c r="D518" s="2"/>
      <c r="E518" s="2"/>
      <c r="F518" s="2"/>
      <c r="G518" s="2"/>
    </row>
    <row r="519" spans="3:7">
      <c r="C519" s="2"/>
      <c r="D519" s="2"/>
      <c r="E519" s="2"/>
      <c r="F519" s="2"/>
      <c r="G519" s="2"/>
    </row>
    <row r="520" spans="3:7">
      <c r="C520" s="2"/>
      <c r="D520" s="2"/>
      <c r="E520" s="2"/>
      <c r="F520" s="2"/>
      <c r="G520" s="2"/>
    </row>
    <row r="521" spans="3:7">
      <c r="C521" s="2"/>
      <c r="D521" s="2"/>
      <c r="E521" s="2"/>
      <c r="F521" s="2"/>
      <c r="G521" s="2"/>
    </row>
    <row r="522" spans="3:7">
      <c r="C522" s="2"/>
      <c r="D522" s="2"/>
      <c r="E522" s="2"/>
      <c r="F522" s="2"/>
      <c r="G522" s="2"/>
    </row>
    <row r="523" spans="3:7">
      <c r="C523" s="2"/>
      <c r="D523" s="2"/>
      <c r="E523" s="2"/>
      <c r="F523" s="2"/>
      <c r="G523" s="2"/>
    </row>
    <row r="524" spans="3:7">
      <c r="C524" s="2"/>
      <c r="D524" s="2"/>
      <c r="E524" s="2"/>
      <c r="F524" s="2"/>
      <c r="G524" s="2"/>
    </row>
    <row r="525" spans="3:7">
      <c r="C525" s="2"/>
      <c r="D525" s="2"/>
      <c r="E525" s="2"/>
      <c r="F525" s="2"/>
      <c r="G525" s="2"/>
    </row>
    <row r="526" spans="3:7">
      <c r="C526" s="2"/>
      <c r="D526" s="2"/>
      <c r="E526" s="2"/>
      <c r="F526" s="2"/>
      <c r="G526" s="2"/>
    </row>
    <row r="527" spans="3:7">
      <c r="C527" s="2"/>
      <c r="D527" s="2"/>
      <c r="E527" s="2"/>
      <c r="F527" s="2"/>
      <c r="G527" s="2"/>
    </row>
    <row r="528" spans="3:7">
      <c r="C528" s="2"/>
      <c r="D528" s="2"/>
      <c r="E528" s="2"/>
      <c r="F528" s="2"/>
      <c r="G528" s="2"/>
    </row>
    <row r="529" spans="3:7">
      <c r="C529" s="2"/>
      <c r="D529" s="2"/>
      <c r="E529" s="2"/>
      <c r="F529" s="2"/>
      <c r="G529" s="2"/>
    </row>
    <row r="530" spans="3:7">
      <c r="C530" s="2"/>
      <c r="D530" s="2"/>
      <c r="E530" s="2"/>
      <c r="F530" s="2"/>
      <c r="G530" s="2"/>
    </row>
    <row r="531" spans="3:7">
      <c r="C531" s="2"/>
      <c r="D531" s="2"/>
      <c r="E531" s="2"/>
      <c r="F531" s="2"/>
      <c r="G531" s="2"/>
    </row>
    <row r="532" spans="3:7">
      <c r="C532" s="2"/>
      <c r="D532" s="2"/>
      <c r="E532" s="2"/>
      <c r="F532" s="2"/>
      <c r="G532" s="2"/>
    </row>
    <row r="533" spans="3:7">
      <c r="C533" s="2"/>
      <c r="D533" s="2"/>
      <c r="E533" s="2"/>
      <c r="F533" s="2"/>
      <c r="G533" s="2"/>
    </row>
    <row r="534" spans="3:7">
      <c r="C534" s="2"/>
      <c r="D534" s="2"/>
      <c r="E534" s="2"/>
      <c r="F534" s="2"/>
      <c r="G534" s="2"/>
    </row>
    <row r="535" spans="3:7">
      <c r="C535" s="2"/>
      <c r="D535" s="2"/>
      <c r="E535" s="2"/>
      <c r="F535" s="2"/>
      <c r="G535" s="2"/>
    </row>
    <row r="536" spans="3:7">
      <c r="C536" s="2"/>
      <c r="D536" s="2"/>
      <c r="E536" s="2"/>
      <c r="F536" s="2"/>
      <c r="G536" s="2"/>
    </row>
    <row r="537" spans="3:7">
      <c r="C537" s="2"/>
      <c r="D537" s="2"/>
      <c r="E537" s="2"/>
      <c r="F537" s="2"/>
      <c r="G537" s="2"/>
    </row>
    <row r="538" spans="3:7">
      <c r="C538" s="2"/>
      <c r="D538" s="2"/>
      <c r="E538" s="2"/>
      <c r="F538" s="2"/>
      <c r="G538" s="2"/>
    </row>
    <row r="539" spans="3:7">
      <c r="C539" s="2"/>
      <c r="D539" s="2"/>
      <c r="E539" s="2"/>
      <c r="F539" s="2"/>
      <c r="G539" s="2"/>
    </row>
    <row r="540" spans="3:7">
      <c r="C540" s="2"/>
      <c r="D540" s="2"/>
      <c r="E540" s="2"/>
      <c r="F540" s="2"/>
      <c r="G540" s="2"/>
    </row>
    <row r="541" spans="3:7">
      <c r="C541" s="2"/>
      <c r="D541" s="2"/>
      <c r="E541" s="2"/>
      <c r="F541" s="2"/>
      <c r="G541" s="2"/>
    </row>
    <row r="542" spans="3:7">
      <c r="C542" s="2"/>
      <c r="D542" s="2"/>
      <c r="E542" s="2"/>
      <c r="F542" s="2"/>
      <c r="G542" s="2"/>
    </row>
    <row r="543" spans="3:7">
      <c r="C543" s="2"/>
      <c r="D543" s="2"/>
      <c r="E543" s="2"/>
      <c r="F543" s="2"/>
      <c r="G543" s="2"/>
    </row>
    <row r="544" spans="3:7">
      <c r="C544" s="2"/>
      <c r="D544" s="2"/>
      <c r="E544" s="2"/>
      <c r="F544" s="2"/>
      <c r="G544" s="2"/>
    </row>
    <row r="545" spans="3:7">
      <c r="C545" s="2"/>
      <c r="D545" s="2"/>
      <c r="E545" s="2"/>
      <c r="F545" s="2"/>
      <c r="G545" s="2"/>
    </row>
    <row r="546" spans="3:7">
      <c r="C546" s="2"/>
      <c r="D546" s="2"/>
      <c r="E546" s="2"/>
      <c r="F546" s="2"/>
      <c r="G546" s="2"/>
    </row>
    <row r="547" spans="3:7">
      <c r="C547" s="2"/>
      <c r="D547" s="2"/>
      <c r="E547" s="2"/>
      <c r="F547" s="2"/>
      <c r="G547" s="2"/>
    </row>
    <row r="548" spans="3:7">
      <c r="C548" s="2"/>
      <c r="D548" s="2"/>
      <c r="E548" s="2"/>
      <c r="F548" s="2"/>
      <c r="G548" s="2"/>
    </row>
    <row r="549" spans="3:7">
      <c r="C549" s="2"/>
      <c r="D549" s="2"/>
      <c r="E549" s="2"/>
      <c r="F549" s="2"/>
      <c r="G549" s="2"/>
    </row>
    <row r="550" spans="3:7">
      <c r="C550" s="2"/>
      <c r="D550" s="2"/>
      <c r="E550" s="2"/>
      <c r="F550" s="2"/>
      <c r="G550" s="2"/>
    </row>
    <row r="551" spans="3:7">
      <c r="C551" s="2"/>
      <c r="D551" s="2"/>
      <c r="E551" s="2"/>
      <c r="F551" s="2"/>
      <c r="G551" s="2"/>
    </row>
    <row r="552" spans="3:7">
      <c r="C552" s="2"/>
      <c r="D552" s="2"/>
      <c r="E552" s="2"/>
      <c r="F552" s="2"/>
      <c r="G552" s="2"/>
    </row>
    <row r="553" spans="3:7">
      <c r="C553" s="2"/>
      <c r="D553" s="2"/>
      <c r="E553" s="2"/>
      <c r="F553" s="2"/>
      <c r="G553" s="2"/>
    </row>
    <row r="554" spans="3:7">
      <c r="C554" s="2"/>
      <c r="D554" s="2"/>
      <c r="E554" s="2"/>
      <c r="F554" s="2"/>
      <c r="G554" s="2"/>
    </row>
    <row r="555" spans="3:7">
      <c r="C555" s="2"/>
      <c r="D555" s="2"/>
      <c r="E555" s="2"/>
      <c r="F555" s="2"/>
      <c r="G555" s="2"/>
    </row>
    <row r="556" spans="3:7">
      <c r="C556" s="2"/>
      <c r="D556" s="2"/>
      <c r="E556" s="2"/>
      <c r="F556" s="2"/>
      <c r="G556" s="2"/>
    </row>
    <row r="557" spans="3:7">
      <c r="C557" s="2"/>
      <c r="D557" s="2"/>
      <c r="E557" s="2"/>
      <c r="F557" s="2"/>
      <c r="G557" s="2"/>
    </row>
  </sheetData>
  <mergeCells count="24">
    <mergeCell ref="A2:G2"/>
    <mergeCell ref="A4:G4"/>
    <mergeCell ref="A5:G5"/>
    <mergeCell ref="A11:G11"/>
    <mergeCell ref="B6:H6"/>
    <mergeCell ref="A8:K8"/>
    <mergeCell ref="A9:N9"/>
    <mergeCell ref="A10:I10"/>
    <mergeCell ref="C430:G430"/>
    <mergeCell ref="D431:G431"/>
    <mergeCell ref="G13:G14"/>
    <mergeCell ref="E27:G27"/>
    <mergeCell ref="C29:G29"/>
    <mergeCell ref="C30:G30"/>
    <mergeCell ref="C32:G32"/>
    <mergeCell ref="C33:G33"/>
    <mergeCell ref="C13:C14"/>
    <mergeCell ref="F13:F14"/>
    <mergeCell ref="C427:G427"/>
    <mergeCell ref="A13:A14"/>
    <mergeCell ref="B13:B14"/>
    <mergeCell ref="D13:D14"/>
    <mergeCell ref="E13:E14"/>
    <mergeCell ref="D428:G428"/>
  </mergeCells>
  <pageMargins left="1.1136614173228347" right="0.28999999999999998" top="0.74803149606299213" bottom="0.74803149606299213" header="0.31496062992125984" footer="0.31496062992125984"/>
  <pageSetup scale="9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2:N614"/>
  <sheetViews>
    <sheetView topLeftCell="A70" zoomScaleNormal="100" workbookViewId="0">
      <selection activeCell="C91" sqref="C91"/>
    </sheetView>
  </sheetViews>
  <sheetFormatPr defaultRowHeight="12.75"/>
  <cols>
    <col min="1" max="1" width="7" style="2" bestFit="1" customWidth="1"/>
    <col min="2" max="2" width="6.42578125" style="2" customWidth="1"/>
    <col min="3" max="3" width="36.85546875" style="1" customWidth="1"/>
    <col min="4" max="4" width="9.7109375" style="1" bestFit="1" customWidth="1"/>
    <col min="5" max="5" width="9.85546875" style="1" bestFit="1" customWidth="1"/>
    <col min="6" max="6" width="9" style="1" customWidth="1"/>
    <col min="7" max="7" width="8.7109375" style="1" customWidth="1"/>
    <col min="8" max="8" width="9.140625" style="2"/>
    <col min="9" max="9" width="13.140625" style="2" customWidth="1"/>
    <col min="10" max="16384" width="9.140625" style="2"/>
  </cols>
  <sheetData>
    <row r="2" spans="1:14" s="4" customFormat="1">
      <c r="A2" s="246" t="s">
        <v>170</v>
      </c>
      <c r="B2" s="246"/>
      <c r="C2" s="246"/>
      <c r="D2" s="246"/>
      <c r="E2" s="246"/>
      <c r="F2" s="246"/>
      <c r="G2" s="246"/>
    </row>
    <row r="3" spans="1:14" s="4" customFormat="1"/>
    <row r="4" spans="1:14" s="4" customFormat="1">
      <c r="A4" s="246" t="s">
        <v>85</v>
      </c>
      <c r="B4" s="246"/>
      <c r="C4" s="246"/>
      <c r="D4" s="246"/>
      <c r="E4" s="246"/>
      <c r="F4" s="246"/>
      <c r="G4" s="246"/>
      <c r="H4" s="49"/>
      <c r="I4" s="49"/>
      <c r="J4" s="49"/>
      <c r="K4" s="49"/>
      <c r="L4" s="49"/>
    </row>
    <row r="5" spans="1:14" s="4" customFormat="1">
      <c r="A5" s="247" t="s">
        <v>1074</v>
      </c>
      <c r="B5" s="247"/>
      <c r="C5" s="247"/>
      <c r="D5" s="247"/>
      <c r="E5" s="247"/>
      <c r="F5" s="247"/>
      <c r="G5" s="247"/>
    </row>
    <row r="6" spans="1:14" s="4" customFormat="1"/>
    <row r="7" spans="1:14" s="4" customFormat="1" ht="15" customHeight="1">
      <c r="A7" s="243" t="s">
        <v>636</v>
      </c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121"/>
      <c r="M7" s="121"/>
      <c r="N7" s="121"/>
    </row>
    <row r="8" spans="1:14" s="4" customFormat="1" ht="15" customHeight="1">
      <c r="A8" s="243" t="s">
        <v>1031</v>
      </c>
      <c r="B8" s="243"/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</row>
    <row r="9" spans="1:14" s="4" customFormat="1" ht="15" customHeight="1">
      <c r="A9" s="243" t="s">
        <v>1032</v>
      </c>
      <c r="B9" s="243"/>
      <c r="C9" s="243"/>
      <c r="D9" s="243"/>
      <c r="E9" s="243"/>
      <c r="F9" s="243"/>
      <c r="G9" s="243"/>
      <c r="H9" s="243"/>
      <c r="I9" s="243"/>
      <c r="J9" s="86"/>
      <c r="K9" s="86"/>
      <c r="L9" s="122"/>
      <c r="M9" s="122"/>
      <c r="N9" s="86"/>
    </row>
    <row r="10" spans="1:14" s="4" customFormat="1" ht="15" customHeight="1">
      <c r="A10" s="245" t="s">
        <v>10</v>
      </c>
      <c r="B10" s="245"/>
      <c r="C10" s="245"/>
      <c r="D10" s="245"/>
      <c r="E10" s="245"/>
      <c r="F10" s="245"/>
      <c r="G10" s="245"/>
    </row>
    <row r="11" spans="1:14" s="4" customFormat="1"/>
    <row r="12" spans="1:14" s="4" customFormat="1" ht="12.75" customHeight="1">
      <c r="A12" s="248" t="s">
        <v>11</v>
      </c>
      <c r="B12" s="249" t="s">
        <v>34</v>
      </c>
      <c r="C12" s="248" t="s">
        <v>12</v>
      </c>
      <c r="D12" s="248" t="s">
        <v>13</v>
      </c>
      <c r="E12" s="248" t="s">
        <v>14</v>
      </c>
      <c r="F12" s="244" t="s">
        <v>19</v>
      </c>
      <c r="G12" s="244" t="s">
        <v>20</v>
      </c>
    </row>
    <row r="13" spans="1:14" s="4" customFormat="1" ht="35.25" customHeight="1">
      <c r="A13" s="248"/>
      <c r="B13" s="250"/>
      <c r="C13" s="248"/>
      <c r="D13" s="248"/>
      <c r="E13" s="248"/>
      <c r="F13" s="251"/>
      <c r="G13" s="244"/>
    </row>
    <row r="14" spans="1:14" s="4" customFormat="1" ht="15">
      <c r="A14" s="87" t="s">
        <v>60</v>
      </c>
      <c r="B14" s="90"/>
      <c r="C14" s="156" t="s">
        <v>1075</v>
      </c>
      <c r="D14" s="157"/>
      <c r="E14" s="90"/>
      <c r="F14" s="28"/>
      <c r="G14" s="26"/>
    </row>
    <row r="15" spans="1:14" s="4" customFormat="1" ht="15">
      <c r="A15" s="85" t="s">
        <v>171</v>
      </c>
      <c r="B15" s="90"/>
      <c r="C15" s="158" t="s">
        <v>1076</v>
      </c>
      <c r="D15" s="157" t="s">
        <v>42</v>
      </c>
      <c r="E15" s="43">
        <v>1</v>
      </c>
      <c r="F15" s="83"/>
      <c r="G15" s="84"/>
    </row>
    <row r="16" spans="1:14" s="4" customFormat="1" ht="15">
      <c r="A16" s="85" t="s">
        <v>172</v>
      </c>
      <c r="B16" s="90"/>
      <c r="C16" s="61" t="s">
        <v>1077</v>
      </c>
      <c r="D16" s="30" t="s">
        <v>1078</v>
      </c>
      <c r="E16" s="57">
        <v>345</v>
      </c>
      <c r="F16" s="83"/>
      <c r="G16" s="84"/>
    </row>
    <row r="17" spans="1:7" s="4" customFormat="1" ht="15">
      <c r="A17" s="90"/>
      <c r="B17" s="90"/>
      <c r="C17" s="59" t="s">
        <v>36</v>
      </c>
      <c r="D17" s="48"/>
      <c r="E17" s="94"/>
      <c r="F17" s="83"/>
      <c r="G17" s="84"/>
    </row>
    <row r="18" spans="1:7" s="4" customFormat="1" ht="15">
      <c r="A18" s="87" t="s">
        <v>1079</v>
      </c>
      <c r="B18" s="90"/>
      <c r="C18" s="156" t="s">
        <v>1080</v>
      </c>
      <c r="D18" s="100"/>
      <c r="E18" s="57"/>
      <c r="F18" s="83"/>
      <c r="G18" s="84"/>
    </row>
    <row r="19" spans="1:7" s="4" customFormat="1" ht="15">
      <c r="A19" s="85" t="s">
        <v>1081</v>
      </c>
      <c r="B19" s="90"/>
      <c r="C19" s="88" t="s">
        <v>1082</v>
      </c>
      <c r="D19" s="30" t="s">
        <v>160</v>
      </c>
      <c r="E19" s="57">
        <v>2255.1</v>
      </c>
      <c r="F19" s="83"/>
      <c r="G19" s="84"/>
    </row>
    <row r="20" spans="1:7" s="4" customFormat="1" ht="25.5">
      <c r="A20" s="85" t="s">
        <v>1083</v>
      </c>
      <c r="B20" s="90"/>
      <c r="C20" s="88" t="s">
        <v>1084</v>
      </c>
      <c r="D20" s="30" t="s">
        <v>160</v>
      </c>
      <c r="E20" s="57">
        <v>1534</v>
      </c>
      <c r="F20" s="83"/>
      <c r="G20" s="84"/>
    </row>
    <row r="21" spans="1:7" s="4" customFormat="1" ht="25.5">
      <c r="A21" s="85" t="s">
        <v>1085</v>
      </c>
      <c r="B21" s="90"/>
      <c r="C21" s="88" t="s">
        <v>1086</v>
      </c>
      <c r="D21" s="30" t="s">
        <v>160</v>
      </c>
      <c r="E21" s="57">
        <v>5666.5</v>
      </c>
      <c r="F21" s="83"/>
      <c r="G21" s="84"/>
    </row>
    <row r="22" spans="1:7" s="4" customFormat="1" ht="25.5">
      <c r="A22" s="85" t="s">
        <v>1087</v>
      </c>
      <c r="B22" s="90"/>
      <c r="C22" s="88" t="s">
        <v>1088</v>
      </c>
      <c r="D22" s="30" t="s">
        <v>160</v>
      </c>
      <c r="E22" s="57">
        <v>792.7</v>
      </c>
      <c r="F22" s="83"/>
      <c r="G22" s="84"/>
    </row>
    <row r="23" spans="1:7" s="4" customFormat="1" ht="15">
      <c r="A23" s="90"/>
      <c r="B23" s="90"/>
      <c r="C23" s="59" t="s">
        <v>36</v>
      </c>
      <c r="D23" s="48"/>
      <c r="E23" s="94"/>
      <c r="F23" s="83"/>
      <c r="G23" s="84"/>
    </row>
    <row r="24" spans="1:7" s="4" customFormat="1" ht="25.5">
      <c r="A24" s="87" t="s">
        <v>1089</v>
      </c>
      <c r="B24" s="90"/>
      <c r="C24" s="156" t="s">
        <v>1090</v>
      </c>
      <c r="D24" s="159"/>
      <c r="E24" s="57"/>
      <c r="F24" s="83"/>
      <c r="G24" s="84"/>
    </row>
    <row r="25" spans="1:7" s="4" customFormat="1" ht="28.5">
      <c r="A25" s="85" t="s">
        <v>1091</v>
      </c>
      <c r="B25" s="90"/>
      <c r="C25" s="88" t="s">
        <v>1092</v>
      </c>
      <c r="D25" s="30" t="s">
        <v>1078</v>
      </c>
      <c r="E25" s="57">
        <v>1700</v>
      </c>
      <c r="F25" s="83"/>
      <c r="G25" s="84"/>
    </row>
    <row r="26" spans="1:7" s="4" customFormat="1" ht="28.5">
      <c r="A26" s="85" t="s">
        <v>1093</v>
      </c>
      <c r="B26" s="90"/>
      <c r="C26" s="88" t="s">
        <v>1094</v>
      </c>
      <c r="D26" s="30" t="s">
        <v>1078</v>
      </c>
      <c r="E26" s="57">
        <v>1722.8</v>
      </c>
      <c r="F26" s="83"/>
      <c r="G26" s="84"/>
    </row>
    <row r="27" spans="1:7" s="4" customFormat="1" ht="15">
      <c r="A27" s="90"/>
      <c r="B27" s="90"/>
      <c r="C27" s="59" t="s">
        <v>36</v>
      </c>
      <c r="D27" s="48"/>
      <c r="E27" s="94"/>
      <c r="F27" s="83"/>
      <c r="G27" s="84"/>
    </row>
    <row r="28" spans="1:7" s="4" customFormat="1" ht="25.5">
      <c r="A28" s="87" t="s">
        <v>1095</v>
      </c>
      <c r="B28" s="90"/>
      <c r="C28" s="156" t="s">
        <v>1096</v>
      </c>
      <c r="D28" s="159"/>
      <c r="E28" s="57"/>
      <c r="F28" s="83"/>
      <c r="G28" s="84"/>
    </row>
    <row r="29" spans="1:7" s="4" customFormat="1" ht="15">
      <c r="A29" s="85" t="s">
        <v>1097</v>
      </c>
      <c r="B29" s="90"/>
      <c r="C29" s="88" t="s">
        <v>1098</v>
      </c>
      <c r="D29" s="30" t="s">
        <v>160</v>
      </c>
      <c r="E29" s="57">
        <v>4639</v>
      </c>
      <c r="F29" s="83"/>
      <c r="G29" s="84"/>
    </row>
    <row r="30" spans="1:7" s="4" customFormat="1" ht="25.5">
      <c r="A30" s="85" t="s">
        <v>1099</v>
      </c>
      <c r="B30" s="90"/>
      <c r="C30" s="88" t="s">
        <v>1100</v>
      </c>
      <c r="D30" s="30" t="s">
        <v>160</v>
      </c>
      <c r="E30" s="57">
        <v>554</v>
      </c>
      <c r="F30" s="83"/>
      <c r="G30" s="84"/>
    </row>
    <row r="31" spans="1:7" s="4" customFormat="1" ht="28.5">
      <c r="A31" s="85" t="s">
        <v>1101</v>
      </c>
      <c r="B31" s="90"/>
      <c r="C31" s="88" t="s">
        <v>1102</v>
      </c>
      <c r="D31" s="30" t="s">
        <v>1078</v>
      </c>
      <c r="E31" s="57">
        <v>210.4</v>
      </c>
      <c r="F31" s="83"/>
      <c r="G31" s="84"/>
    </row>
    <row r="32" spans="1:7" s="4" customFormat="1" ht="28.5">
      <c r="A32" s="85" t="s">
        <v>1103</v>
      </c>
      <c r="B32" s="90"/>
      <c r="C32" s="88" t="s">
        <v>1104</v>
      </c>
      <c r="D32" s="30" t="s">
        <v>1078</v>
      </c>
      <c r="E32" s="57">
        <v>1332.5</v>
      </c>
      <c r="F32" s="83"/>
      <c r="G32" s="84"/>
    </row>
    <row r="33" spans="1:7" s="4" customFormat="1" ht="41.25">
      <c r="A33" s="85" t="s">
        <v>1105</v>
      </c>
      <c r="B33" s="90"/>
      <c r="C33" s="88" t="s">
        <v>1106</v>
      </c>
      <c r="D33" s="30" t="s">
        <v>160</v>
      </c>
      <c r="E33" s="57">
        <v>40</v>
      </c>
      <c r="F33" s="83"/>
      <c r="G33" s="84"/>
    </row>
    <row r="34" spans="1:7" s="4" customFormat="1" ht="28.5">
      <c r="A34" s="85" t="s">
        <v>1107</v>
      </c>
      <c r="B34" s="90"/>
      <c r="C34" s="88" t="s">
        <v>1108</v>
      </c>
      <c r="D34" s="30" t="s">
        <v>1078</v>
      </c>
      <c r="E34" s="57">
        <v>1944.5</v>
      </c>
      <c r="F34" s="83"/>
      <c r="G34" s="84"/>
    </row>
    <row r="35" spans="1:7" s="4" customFormat="1" ht="28.5">
      <c r="A35" s="85" t="s">
        <v>1109</v>
      </c>
      <c r="B35" s="90"/>
      <c r="C35" s="88" t="s">
        <v>1110</v>
      </c>
      <c r="D35" s="30" t="s">
        <v>1078</v>
      </c>
      <c r="E35" s="57">
        <v>2052.8000000000002</v>
      </c>
      <c r="F35" s="83"/>
      <c r="G35" s="84"/>
    </row>
    <row r="36" spans="1:7" s="4" customFormat="1" ht="28.5">
      <c r="A36" s="85" t="s">
        <v>1111</v>
      </c>
      <c r="B36" s="90"/>
      <c r="C36" s="88" t="s">
        <v>1112</v>
      </c>
      <c r="D36" s="30" t="s">
        <v>1078</v>
      </c>
      <c r="E36" s="57">
        <v>1393.5</v>
      </c>
      <c r="F36" s="83"/>
      <c r="G36" s="84"/>
    </row>
    <row r="37" spans="1:7" s="4" customFormat="1" ht="28.5">
      <c r="A37" s="85" t="s">
        <v>1113</v>
      </c>
      <c r="B37" s="90"/>
      <c r="C37" s="88" t="s">
        <v>1114</v>
      </c>
      <c r="D37" s="30" t="s">
        <v>1078</v>
      </c>
      <c r="E37" s="57">
        <v>4053</v>
      </c>
      <c r="F37" s="83"/>
      <c r="G37" s="84"/>
    </row>
    <row r="38" spans="1:7" s="4" customFormat="1" ht="28.5">
      <c r="A38" s="85" t="s">
        <v>1115</v>
      </c>
      <c r="B38" s="90"/>
      <c r="C38" s="88" t="s">
        <v>1116</v>
      </c>
      <c r="D38" s="30" t="s">
        <v>1078</v>
      </c>
      <c r="E38" s="57">
        <v>98</v>
      </c>
      <c r="F38" s="83"/>
      <c r="G38" s="84"/>
    </row>
    <row r="39" spans="1:7" s="4" customFormat="1" ht="28.5">
      <c r="A39" s="85" t="s">
        <v>1117</v>
      </c>
      <c r="B39" s="90"/>
      <c r="C39" s="88" t="s">
        <v>1118</v>
      </c>
      <c r="D39" s="30" t="s">
        <v>1078</v>
      </c>
      <c r="E39" s="57">
        <v>1554</v>
      </c>
      <c r="F39" s="83"/>
      <c r="G39" s="84"/>
    </row>
    <row r="40" spans="1:7" s="4" customFormat="1" ht="41.25">
      <c r="A40" s="85" t="s">
        <v>1119</v>
      </c>
      <c r="B40" s="90"/>
      <c r="C40" s="88" t="s">
        <v>1120</v>
      </c>
      <c r="D40" s="157" t="s">
        <v>1078</v>
      </c>
      <c r="E40" s="57">
        <v>641.29999999999995</v>
      </c>
      <c r="F40" s="83"/>
      <c r="G40" s="84"/>
    </row>
    <row r="41" spans="1:7" s="4" customFormat="1" ht="41.25">
      <c r="A41" s="85" t="s">
        <v>1121</v>
      </c>
      <c r="B41" s="90"/>
      <c r="C41" s="88" t="s">
        <v>1122</v>
      </c>
      <c r="D41" s="157" t="s">
        <v>1078</v>
      </c>
      <c r="E41" s="57">
        <v>38.700000000000003</v>
      </c>
      <c r="F41" s="83"/>
      <c r="G41" s="84"/>
    </row>
    <row r="42" spans="1:7" s="4" customFormat="1" ht="41.25">
      <c r="A42" s="85" t="s">
        <v>1123</v>
      </c>
      <c r="B42" s="90"/>
      <c r="C42" s="88" t="s">
        <v>1124</v>
      </c>
      <c r="D42" s="157" t="s">
        <v>1078</v>
      </c>
      <c r="E42" s="57">
        <v>201</v>
      </c>
      <c r="F42" s="83"/>
      <c r="G42" s="84"/>
    </row>
    <row r="43" spans="1:7" s="4" customFormat="1" ht="38.25">
      <c r="A43" s="85" t="s">
        <v>1125</v>
      </c>
      <c r="B43" s="90"/>
      <c r="C43" s="88" t="s">
        <v>1126</v>
      </c>
      <c r="D43" s="157" t="s">
        <v>1078</v>
      </c>
      <c r="E43" s="57">
        <v>298.39999999999998</v>
      </c>
      <c r="F43" s="83"/>
      <c r="G43" s="84"/>
    </row>
    <row r="44" spans="1:7" s="4" customFormat="1" ht="15">
      <c r="A44" s="90"/>
      <c r="B44" s="90"/>
      <c r="C44" s="59" t="s">
        <v>36</v>
      </c>
      <c r="D44" s="48"/>
      <c r="E44" s="94"/>
      <c r="F44" s="83"/>
      <c r="G44" s="84"/>
    </row>
    <row r="45" spans="1:7" s="4" customFormat="1" ht="15">
      <c r="A45" s="87" t="s">
        <v>1127</v>
      </c>
      <c r="B45" s="90"/>
      <c r="C45" s="160" t="s">
        <v>1128</v>
      </c>
      <c r="D45" s="30"/>
      <c r="E45" s="43"/>
      <c r="F45" s="83"/>
      <c r="G45" s="84"/>
    </row>
    <row r="46" spans="1:7" s="4" customFormat="1" ht="76.5">
      <c r="A46" s="85" t="s">
        <v>1129</v>
      </c>
      <c r="B46" s="90"/>
      <c r="C46" s="88" t="s">
        <v>1130</v>
      </c>
      <c r="D46" s="157" t="s">
        <v>42</v>
      </c>
      <c r="E46" s="57">
        <v>1</v>
      </c>
      <c r="F46" s="83"/>
      <c r="G46" s="84"/>
    </row>
    <row r="47" spans="1:7" s="4" customFormat="1" ht="76.5">
      <c r="A47" s="85" t="s">
        <v>1131</v>
      </c>
      <c r="B47" s="90"/>
      <c r="C47" s="88" t="s">
        <v>1132</v>
      </c>
      <c r="D47" s="157" t="s">
        <v>42</v>
      </c>
      <c r="E47" s="57">
        <v>1</v>
      </c>
      <c r="F47" s="83"/>
      <c r="G47" s="84"/>
    </row>
    <row r="48" spans="1:7" s="4" customFormat="1" ht="76.5">
      <c r="A48" s="85" t="s">
        <v>1133</v>
      </c>
      <c r="B48" s="90"/>
      <c r="C48" s="88" t="s">
        <v>1134</v>
      </c>
      <c r="D48" s="157" t="s">
        <v>42</v>
      </c>
      <c r="E48" s="57">
        <v>1</v>
      </c>
      <c r="F48" s="83"/>
      <c r="G48" s="84"/>
    </row>
    <row r="49" spans="1:7" s="4" customFormat="1" ht="25.5">
      <c r="A49" s="85" t="s">
        <v>1135</v>
      </c>
      <c r="B49" s="90"/>
      <c r="C49" s="88" t="s">
        <v>1136</v>
      </c>
      <c r="D49" s="157" t="s">
        <v>1</v>
      </c>
      <c r="E49" s="57">
        <v>1047</v>
      </c>
      <c r="F49" s="83"/>
      <c r="G49" s="84"/>
    </row>
    <row r="50" spans="1:7" s="4" customFormat="1" ht="25.5">
      <c r="A50" s="85" t="s">
        <v>1137</v>
      </c>
      <c r="B50" s="90"/>
      <c r="C50" s="88" t="s">
        <v>1138</v>
      </c>
      <c r="D50" s="157" t="s">
        <v>1</v>
      </c>
      <c r="E50" s="57">
        <v>16</v>
      </c>
      <c r="F50" s="83"/>
      <c r="G50" s="84"/>
    </row>
    <row r="51" spans="1:7" s="4" customFormat="1" ht="25.5">
      <c r="A51" s="85" t="s">
        <v>1139</v>
      </c>
      <c r="B51" s="90"/>
      <c r="C51" s="88" t="s">
        <v>1140</v>
      </c>
      <c r="D51" s="157" t="s">
        <v>1</v>
      </c>
      <c r="E51" s="57">
        <v>103</v>
      </c>
      <c r="F51" s="83"/>
      <c r="G51" s="84"/>
    </row>
    <row r="52" spans="1:7" s="4" customFormat="1" ht="25.5">
      <c r="A52" s="85" t="s">
        <v>1141</v>
      </c>
      <c r="B52" s="90"/>
      <c r="C52" s="88" t="s">
        <v>1142</v>
      </c>
      <c r="D52" s="157" t="s">
        <v>1</v>
      </c>
      <c r="E52" s="57">
        <v>418</v>
      </c>
      <c r="F52" s="83"/>
      <c r="G52" s="84"/>
    </row>
    <row r="53" spans="1:7" s="4" customFormat="1" ht="25.5">
      <c r="A53" s="85" t="s">
        <v>1143</v>
      </c>
      <c r="B53" s="90"/>
      <c r="C53" s="88" t="s">
        <v>1144</v>
      </c>
      <c r="D53" s="157" t="s">
        <v>1145</v>
      </c>
      <c r="E53" s="43">
        <v>5607</v>
      </c>
      <c r="F53" s="83"/>
      <c r="G53" s="84"/>
    </row>
    <row r="54" spans="1:7" s="4" customFormat="1" ht="25.5">
      <c r="A54" s="85" t="s">
        <v>1146</v>
      </c>
      <c r="B54" s="90"/>
      <c r="C54" s="88" t="s">
        <v>1147</v>
      </c>
      <c r="D54" s="157" t="s">
        <v>1078</v>
      </c>
      <c r="E54" s="43">
        <v>98</v>
      </c>
      <c r="F54" s="83"/>
      <c r="G54" s="84"/>
    </row>
    <row r="55" spans="1:7" s="4" customFormat="1" ht="15">
      <c r="A55" s="85" t="s">
        <v>1148</v>
      </c>
      <c r="B55" s="90"/>
      <c r="C55" s="88" t="s">
        <v>1149</v>
      </c>
      <c r="D55" s="157" t="s">
        <v>1078</v>
      </c>
      <c r="E55" s="43">
        <v>1554</v>
      </c>
      <c r="F55" s="83"/>
      <c r="G55" s="84"/>
    </row>
    <row r="56" spans="1:7" s="4" customFormat="1" ht="15">
      <c r="A56" s="85" t="s">
        <v>1150</v>
      </c>
      <c r="B56" s="90"/>
      <c r="C56" s="88" t="s">
        <v>1151</v>
      </c>
      <c r="D56" s="157" t="s">
        <v>1078</v>
      </c>
      <c r="E56" s="43">
        <v>4053</v>
      </c>
      <c r="F56" s="83"/>
      <c r="G56" s="84"/>
    </row>
    <row r="57" spans="1:7" s="4" customFormat="1" ht="15">
      <c r="A57" s="90"/>
      <c r="B57" s="90"/>
      <c r="C57" s="59" t="s">
        <v>36</v>
      </c>
      <c r="D57" s="48"/>
      <c r="E57" s="94"/>
      <c r="F57" s="83"/>
      <c r="G57" s="84"/>
    </row>
    <row r="58" spans="1:7" s="4" customFormat="1" ht="15">
      <c r="A58" s="87" t="s">
        <v>1152</v>
      </c>
      <c r="B58" s="90"/>
      <c r="C58" s="156" t="s">
        <v>1153</v>
      </c>
      <c r="D58" s="30"/>
      <c r="E58" s="43"/>
      <c r="F58" s="83"/>
      <c r="G58" s="84"/>
    </row>
    <row r="59" spans="1:7" s="4" customFormat="1" ht="25.5">
      <c r="A59" s="85" t="s">
        <v>1154</v>
      </c>
      <c r="B59" s="90"/>
      <c r="C59" s="88" t="s">
        <v>1155</v>
      </c>
      <c r="D59" s="30" t="s">
        <v>1078</v>
      </c>
      <c r="E59" s="57">
        <v>25.7</v>
      </c>
      <c r="F59" s="83"/>
      <c r="G59" s="84"/>
    </row>
    <row r="60" spans="1:7" s="4" customFormat="1" ht="25.5">
      <c r="A60" s="85" t="s">
        <v>1156</v>
      </c>
      <c r="B60" s="90"/>
      <c r="C60" s="88" t="s">
        <v>1157</v>
      </c>
      <c r="D60" s="30" t="s">
        <v>1078</v>
      </c>
      <c r="E60" s="57">
        <v>1</v>
      </c>
      <c r="F60" s="83"/>
      <c r="G60" s="84"/>
    </row>
    <row r="61" spans="1:7" s="4" customFormat="1" ht="15">
      <c r="A61" s="85" t="s">
        <v>1158</v>
      </c>
      <c r="B61" s="90"/>
      <c r="C61" s="88" t="s">
        <v>1159</v>
      </c>
      <c r="D61" s="30" t="s">
        <v>129</v>
      </c>
      <c r="E61" s="57">
        <v>3</v>
      </c>
      <c r="F61" s="83"/>
      <c r="G61" s="84"/>
    </row>
    <row r="62" spans="1:7" s="4" customFormat="1" ht="15">
      <c r="A62" s="85" t="s">
        <v>1160</v>
      </c>
      <c r="B62" s="90"/>
      <c r="C62" s="88" t="s">
        <v>1161</v>
      </c>
      <c r="D62" s="30" t="s">
        <v>129</v>
      </c>
      <c r="E62" s="57">
        <v>1</v>
      </c>
      <c r="F62" s="83"/>
      <c r="G62" s="84"/>
    </row>
    <row r="63" spans="1:7" s="4" customFormat="1" ht="15">
      <c r="A63" s="85" t="s">
        <v>1162</v>
      </c>
      <c r="B63" s="90"/>
      <c r="C63" s="88" t="s">
        <v>1163</v>
      </c>
      <c r="D63" s="30" t="s">
        <v>129</v>
      </c>
      <c r="E63" s="57">
        <v>1</v>
      </c>
      <c r="F63" s="83"/>
      <c r="G63" s="84"/>
    </row>
    <row r="64" spans="1:7" s="4" customFormat="1" ht="15">
      <c r="A64" s="85" t="s">
        <v>1164</v>
      </c>
      <c r="B64" s="90"/>
      <c r="C64" s="88" t="s">
        <v>1165</v>
      </c>
      <c r="D64" s="30" t="s">
        <v>129</v>
      </c>
      <c r="E64" s="57">
        <v>1</v>
      </c>
      <c r="F64" s="83"/>
      <c r="G64" s="84"/>
    </row>
    <row r="65" spans="1:7" s="4" customFormat="1" ht="15">
      <c r="A65" s="85" t="s">
        <v>1166</v>
      </c>
      <c r="B65" s="90"/>
      <c r="C65" s="88" t="s">
        <v>1167</v>
      </c>
      <c r="D65" s="30" t="s">
        <v>129</v>
      </c>
      <c r="E65" s="57">
        <v>1</v>
      </c>
      <c r="F65" s="83"/>
      <c r="G65" s="84"/>
    </row>
    <row r="66" spans="1:7" s="4" customFormat="1" ht="15">
      <c r="A66" s="85" t="s">
        <v>1168</v>
      </c>
      <c r="B66" s="90"/>
      <c r="C66" s="88" t="s">
        <v>1169</v>
      </c>
      <c r="D66" s="30" t="s">
        <v>129</v>
      </c>
      <c r="E66" s="57">
        <v>2</v>
      </c>
      <c r="F66" s="83"/>
      <c r="G66" s="84"/>
    </row>
    <row r="67" spans="1:7" s="4" customFormat="1" ht="15">
      <c r="A67" s="85" t="s">
        <v>1170</v>
      </c>
      <c r="B67" s="90"/>
      <c r="C67" s="88" t="s">
        <v>1171</v>
      </c>
      <c r="D67" s="30" t="s">
        <v>129</v>
      </c>
      <c r="E67" s="57">
        <v>1</v>
      </c>
      <c r="F67" s="83"/>
      <c r="G67" s="84"/>
    </row>
    <row r="68" spans="1:7" s="4" customFormat="1" ht="15">
      <c r="A68" s="85" t="s">
        <v>1172</v>
      </c>
      <c r="B68" s="90"/>
      <c r="C68" s="88" t="s">
        <v>1173</v>
      </c>
      <c r="D68" s="30" t="s">
        <v>129</v>
      </c>
      <c r="E68" s="57">
        <v>2</v>
      </c>
      <c r="F68" s="83"/>
      <c r="G68" s="84"/>
    </row>
    <row r="69" spans="1:7" s="4" customFormat="1" ht="15">
      <c r="A69" s="85" t="s">
        <v>1174</v>
      </c>
      <c r="B69" s="90"/>
      <c r="C69" s="88" t="s">
        <v>1175</v>
      </c>
      <c r="D69" s="30" t="s">
        <v>129</v>
      </c>
      <c r="E69" s="57">
        <v>1</v>
      </c>
      <c r="F69" s="83"/>
      <c r="G69" s="84"/>
    </row>
    <row r="70" spans="1:7" s="4" customFormat="1" ht="15">
      <c r="A70" s="85" t="s">
        <v>1176</v>
      </c>
      <c r="B70" s="90"/>
      <c r="C70" s="88" t="s">
        <v>1177</v>
      </c>
      <c r="D70" s="30" t="s">
        <v>129</v>
      </c>
      <c r="E70" s="57">
        <v>1</v>
      </c>
      <c r="F70" s="83"/>
      <c r="G70" s="84"/>
    </row>
    <row r="71" spans="1:7" s="4" customFormat="1" ht="15">
      <c r="A71" s="85" t="s">
        <v>1178</v>
      </c>
      <c r="B71" s="90"/>
      <c r="C71" s="88" t="s">
        <v>1179</v>
      </c>
      <c r="D71" s="30" t="s">
        <v>129</v>
      </c>
      <c r="E71" s="57">
        <v>9</v>
      </c>
      <c r="F71" s="83"/>
      <c r="G71" s="84"/>
    </row>
    <row r="72" spans="1:7" s="4" customFormat="1" ht="25.5">
      <c r="A72" s="85" t="s">
        <v>1180</v>
      </c>
      <c r="B72" s="90"/>
      <c r="C72" s="88" t="s">
        <v>1181</v>
      </c>
      <c r="D72" s="157" t="s">
        <v>1145</v>
      </c>
      <c r="E72" s="57">
        <v>5726.5</v>
      </c>
      <c r="F72" s="83"/>
      <c r="G72" s="84"/>
    </row>
    <row r="73" spans="1:7" s="4" customFormat="1" ht="38.25">
      <c r="A73" s="85" t="s">
        <v>1182</v>
      </c>
      <c r="B73" s="90"/>
      <c r="C73" s="55" t="s">
        <v>1183</v>
      </c>
      <c r="D73" s="111" t="s">
        <v>32</v>
      </c>
      <c r="E73" s="112">
        <v>12</v>
      </c>
      <c r="F73" s="83"/>
      <c r="G73" s="84"/>
    </row>
    <row r="74" spans="1:7" s="4" customFormat="1" ht="38.25">
      <c r="A74" s="85" t="s">
        <v>1184</v>
      </c>
      <c r="B74" s="90"/>
      <c r="C74" s="55" t="s">
        <v>1185</v>
      </c>
      <c r="D74" s="111" t="s">
        <v>129</v>
      </c>
      <c r="E74" s="112">
        <v>14</v>
      </c>
      <c r="F74" s="83"/>
      <c r="G74" s="84"/>
    </row>
    <row r="75" spans="1:7" s="4" customFormat="1" ht="25.5">
      <c r="A75" s="85" t="s">
        <v>1186</v>
      </c>
      <c r="B75" s="90"/>
      <c r="C75" s="55" t="s">
        <v>1187</v>
      </c>
      <c r="D75" s="111" t="s">
        <v>32</v>
      </c>
      <c r="E75" s="112">
        <v>1</v>
      </c>
      <c r="F75" s="83"/>
      <c r="G75" s="84"/>
    </row>
    <row r="76" spans="1:7" s="4" customFormat="1" ht="15">
      <c r="A76" s="85" t="s">
        <v>1188</v>
      </c>
      <c r="B76" s="90"/>
      <c r="C76" s="55" t="s">
        <v>1189</v>
      </c>
      <c r="D76" s="111" t="s">
        <v>32</v>
      </c>
      <c r="E76" s="112">
        <v>2</v>
      </c>
      <c r="F76" s="83"/>
      <c r="G76" s="84"/>
    </row>
    <row r="77" spans="1:7" s="4" customFormat="1" ht="76.5">
      <c r="A77" s="85" t="s">
        <v>1190</v>
      </c>
      <c r="B77" s="90"/>
      <c r="C77" s="88" t="s">
        <v>1191</v>
      </c>
      <c r="D77" s="111" t="s">
        <v>32</v>
      </c>
      <c r="E77" s="112">
        <v>4</v>
      </c>
      <c r="F77" s="83"/>
      <c r="G77" s="84"/>
    </row>
    <row r="78" spans="1:7" s="4" customFormat="1" ht="76.5">
      <c r="A78" s="85" t="s">
        <v>1192</v>
      </c>
      <c r="B78" s="90"/>
      <c r="C78" s="62" t="s">
        <v>1193</v>
      </c>
      <c r="D78" s="161" t="s">
        <v>32</v>
      </c>
      <c r="E78" s="3">
        <v>3</v>
      </c>
      <c r="F78" s="83"/>
      <c r="G78" s="84"/>
    </row>
    <row r="79" spans="1:7" s="4" customFormat="1" ht="63.75">
      <c r="A79" s="85" t="s">
        <v>1194</v>
      </c>
      <c r="B79" s="90"/>
      <c r="C79" s="55" t="s">
        <v>1195</v>
      </c>
      <c r="D79" s="111" t="s">
        <v>1</v>
      </c>
      <c r="E79" s="112">
        <v>395</v>
      </c>
      <c r="F79" s="83"/>
      <c r="G79" s="84"/>
    </row>
    <row r="80" spans="1:7" s="4" customFormat="1" ht="25.5">
      <c r="A80" s="85" t="s">
        <v>1196</v>
      </c>
      <c r="B80" s="90"/>
      <c r="C80" s="55" t="s">
        <v>1197</v>
      </c>
      <c r="D80" s="111" t="s">
        <v>129</v>
      </c>
      <c r="E80" s="111">
        <v>14</v>
      </c>
      <c r="F80" s="83"/>
      <c r="G80" s="84"/>
    </row>
    <row r="81" spans="1:7" s="4" customFormat="1" ht="25.5">
      <c r="A81" s="85" t="s">
        <v>1198</v>
      </c>
      <c r="B81" s="90"/>
      <c r="C81" s="55" t="s">
        <v>2130</v>
      </c>
      <c r="D81" s="111" t="s">
        <v>129</v>
      </c>
      <c r="E81" s="111">
        <v>30</v>
      </c>
      <c r="F81" s="83"/>
      <c r="G81" s="84"/>
    </row>
    <row r="82" spans="1:7" s="4" customFormat="1" ht="15">
      <c r="A82" s="85"/>
      <c r="B82" s="58"/>
      <c r="C82" s="59" t="s">
        <v>36</v>
      </c>
      <c r="D82" s="48"/>
      <c r="E82" s="94"/>
      <c r="F82" s="83"/>
      <c r="G82" s="84"/>
    </row>
    <row r="83" spans="1:7" s="4" customFormat="1" ht="15">
      <c r="A83" s="85"/>
      <c r="B83" s="58"/>
      <c r="C83" s="79" t="s">
        <v>158</v>
      </c>
      <c r="D83" s="69"/>
      <c r="E83" s="95"/>
      <c r="F83" s="83"/>
      <c r="G83" s="84"/>
    </row>
    <row r="84" spans="1:7" s="4" customFormat="1">
      <c r="E84" s="253"/>
      <c r="F84" s="253"/>
      <c r="G84" s="253"/>
    </row>
    <row r="85" spans="1:7">
      <c r="A85" s="4"/>
      <c r="B85" s="4"/>
      <c r="C85" s="4"/>
      <c r="D85" s="4"/>
      <c r="E85" s="4"/>
      <c r="F85" s="4"/>
      <c r="G85" s="4"/>
    </row>
    <row r="86" spans="1:7">
      <c r="A86" s="4"/>
      <c r="B86" s="4"/>
      <c r="C86" s="245" t="s">
        <v>21</v>
      </c>
      <c r="D86" s="245"/>
      <c r="E86" s="245"/>
      <c r="F86" s="245"/>
      <c r="G86" s="245"/>
    </row>
    <row r="87" spans="1:7">
      <c r="A87" s="4"/>
      <c r="B87" s="4"/>
      <c r="C87" s="247" t="s">
        <v>5</v>
      </c>
      <c r="D87" s="247"/>
      <c r="E87" s="247"/>
      <c r="F87" s="247"/>
      <c r="G87" s="247"/>
    </row>
    <row r="88" spans="1:7">
      <c r="A88" s="4"/>
      <c r="B88" s="4"/>
      <c r="C88" s="27"/>
      <c r="D88" s="27"/>
      <c r="E88" s="27"/>
      <c r="F88" s="27"/>
      <c r="G88" s="27"/>
    </row>
    <row r="89" spans="1:7">
      <c r="A89" s="4"/>
      <c r="B89" s="4"/>
      <c r="C89" s="245" t="s">
        <v>22</v>
      </c>
      <c r="D89" s="245"/>
      <c r="E89" s="245"/>
      <c r="F89" s="245"/>
      <c r="G89" s="245"/>
    </row>
    <row r="90" spans="1:7">
      <c r="A90" s="4"/>
      <c r="B90" s="4"/>
      <c r="C90" s="247" t="s">
        <v>5</v>
      </c>
      <c r="D90" s="247"/>
      <c r="E90" s="247"/>
      <c r="F90" s="247"/>
      <c r="G90" s="247"/>
    </row>
    <row r="91" spans="1:7">
      <c r="A91" s="4"/>
      <c r="B91" s="4"/>
      <c r="C91" s="27"/>
      <c r="D91" s="27"/>
      <c r="E91" s="27"/>
      <c r="F91" s="27"/>
      <c r="G91" s="27"/>
    </row>
    <row r="92" spans="1:7">
      <c r="A92" s="4"/>
      <c r="B92" s="4"/>
      <c r="C92" s="50" t="s">
        <v>35</v>
      </c>
      <c r="D92" s="49"/>
      <c r="E92" s="49"/>
      <c r="F92" s="49"/>
      <c r="G92" s="4"/>
    </row>
    <row r="94" spans="1:7">
      <c r="C94" s="1" t="s">
        <v>16</v>
      </c>
    </row>
    <row r="95" spans="1:7" s="200" customFormat="1" ht="51">
      <c r="B95" s="201" t="s">
        <v>765</v>
      </c>
      <c r="C95" s="139" t="s">
        <v>17</v>
      </c>
      <c r="D95" s="98"/>
      <c r="E95" s="98"/>
      <c r="F95" s="98"/>
      <c r="G95" s="98"/>
    </row>
    <row r="96" spans="1:7" s="200" customFormat="1" ht="38.25">
      <c r="B96" s="201" t="s">
        <v>766</v>
      </c>
      <c r="C96" s="139" t="s">
        <v>767</v>
      </c>
      <c r="D96" s="98"/>
      <c r="E96" s="98"/>
      <c r="F96" s="98"/>
      <c r="G96" s="98"/>
    </row>
    <row r="97" spans="2:7" s="200" customFormat="1" ht="25.5">
      <c r="B97" s="202" t="s">
        <v>768</v>
      </c>
      <c r="C97" s="141" t="s">
        <v>769</v>
      </c>
      <c r="D97" s="113"/>
      <c r="E97" s="113"/>
      <c r="F97" s="113"/>
      <c r="G97" s="114"/>
    </row>
    <row r="98" spans="2:7">
      <c r="C98" s="7"/>
      <c r="D98" s="9"/>
      <c r="E98" s="10"/>
      <c r="F98" s="10"/>
      <c r="G98" s="10"/>
    </row>
    <row r="99" spans="2:7">
      <c r="C99" s="24"/>
      <c r="D99" s="20"/>
      <c r="E99" s="25"/>
      <c r="F99" s="10"/>
      <c r="G99" s="10"/>
    </row>
    <row r="100" spans="2:7">
      <c r="C100" s="22"/>
      <c r="D100" s="20"/>
      <c r="E100" s="25"/>
      <c r="F100" s="10"/>
      <c r="G100" s="10"/>
    </row>
    <row r="101" spans="2:7">
      <c r="C101" s="8"/>
      <c r="D101" s="9"/>
      <c r="E101" s="10"/>
      <c r="F101" s="10"/>
      <c r="G101" s="10"/>
    </row>
    <row r="102" spans="2:7">
      <c r="C102" s="12"/>
      <c r="D102" s="9"/>
      <c r="E102" s="10"/>
      <c r="F102" s="10"/>
      <c r="G102" s="10"/>
    </row>
    <row r="103" spans="2:7">
      <c r="C103" s="2"/>
      <c r="D103" s="2"/>
      <c r="E103" s="10"/>
      <c r="F103" s="10"/>
      <c r="G103" s="10"/>
    </row>
    <row r="104" spans="2:7">
      <c r="C104" s="2"/>
      <c r="D104" s="2"/>
      <c r="E104" s="20"/>
      <c r="F104" s="10"/>
      <c r="G104" s="10"/>
    </row>
    <row r="105" spans="2:7">
      <c r="C105" s="2"/>
      <c r="D105" s="2"/>
      <c r="E105" s="10"/>
      <c r="F105" s="10"/>
      <c r="G105" s="10"/>
    </row>
    <row r="106" spans="2:7">
      <c r="C106" s="2"/>
      <c r="D106" s="2"/>
      <c r="E106" s="25"/>
      <c r="F106" s="10"/>
      <c r="G106" s="10"/>
    </row>
    <row r="107" spans="2:7">
      <c r="C107" s="2"/>
      <c r="D107" s="2"/>
      <c r="E107" s="5"/>
      <c r="F107" s="6"/>
      <c r="G107" s="5"/>
    </row>
    <row r="108" spans="2:7">
      <c r="C108" s="2"/>
      <c r="D108" s="2"/>
      <c r="E108" s="5"/>
      <c r="F108" s="6"/>
      <c r="G108" s="5"/>
    </row>
    <row r="109" spans="2:7">
      <c r="C109" s="2"/>
      <c r="D109" s="2"/>
      <c r="E109" s="25"/>
      <c r="F109" s="10"/>
      <c r="G109" s="10"/>
    </row>
    <row r="110" spans="2:7">
      <c r="C110" s="2"/>
      <c r="D110" s="2"/>
      <c r="E110" s="25"/>
      <c r="F110" s="10"/>
      <c r="G110" s="10"/>
    </row>
    <row r="111" spans="2:7">
      <c r="C111" s="2"/>
      <c r="D111" s="2"/>
      <c r="E111" s="25"/>
      <c r="F111" s="10"/>
      <c r="G111" s="10"/>
    </row>
    <row r="112" spans="2:7">
      <c r="C112" s="8"/>
      <c r="D112" s="9"/>
      <c r="E112" s="10"/>
      <c r="F112" s="10"/>
      <c r="G112" s="10"/>
    </row>
    <row r="113" spans="3:7">
      <c r="C113" s="12"/>
      <c r="D113" s="9"/>
      <c r="E113" s="10"/>
      <c r="F113" s="10"/>
      <c r="G113" s="10"/>
    </row>
    <row r="114" spans="3:7">
      <c r="C114" s="12"/>
      <c r="D114" s="9"/>
      <c r="E114" s="10"/>
      <c r="F114" s="10"/>
      <c r="G114" s="10"/>
    </row>
    <row r="115" spans="3:7">
      <c r="C115" s="8"/>
      <c r="D115" s="9"/>
      <c r="E115" s="10"/>
      <c r="F115" s="10"/>
      <c r="G115" s="10"/>
    </row>
    <row r="116" spans="3:7">
      <c r="C116" s="12"/>
      <c r="D116" s="9"/>
      <c r="E116" s="10"/>
      <c r="F116" s="10"/>
      <c r="G116" s="10"/>
    </row>
    <row r="117" spans="3:7">
      <c r="C117" s="12"/>
      <c r="D117" s="9"/>
      <c r="E117" s="10"/>
      <c r="F117" s="10"/>
      <c r="G117" s="10"/>
    </row>
    <row r="118" spans="3:7">
      <c r="C118" s="32"/>
      <c r="D118" s="20"/>
      <c r="E118" s="25"/>
      <c r="F118" s="10"/>
      <c r="G118" s="10"/>
    </row>
    <row r="119" spans="3:7">
      <c r="C119" s="24"/>
      <c r="D119" s="20"/>
      <c r="E119" s="25"/>
      <c r="F119" s="10"/>
      <c r="G119" s="10"/>
    </row>
    <row r="120" spans="3:7">
      <c r="C120" s="22"/>
      <c r="D120" s="20"/>
      <c r="E120" s="25"/>
      <c r="F120" s="10"/>
      <c r="G120" s="10"/>
    </row>
    <row r="121" spans="3:7">
      <c r="C121" s="8"/>
      <c r="D121" s="9"/>
      <c r="E121" s="10"/>
      <c r="F121" s="10"/>
      <c r="G121" s="10"/>
    </row>
    <row r="122" spans="3:7">
      <c r="C122" s="12"/>
      <c r="D122" s="9"/>
      <c r="E122" s="10"/>
      <c r="F122" s="10"/>
      <c r="G122" s="10"/>
    </row>
    <row r="123" spans="3:7">
      <c r="C123" s="12"/>
      <c r="D123" s="9"/>
      <c r="E123" s="10"/>
      <c r="F123" s="10"/>
      <c r="G123" s="10"/>
    </row>
    <row r="124" spans="3:7">
      <c r="C124" s="33"/>
      <c r="D124" s="20"/>
      <c r="E124" s="10"/>
      <c r="F124" s="10"/>
      <c r="G124" s="10"/>
    </row>
    <row r="125" spans="3:7">
      <c r="C125" s="23"/>
      <c r="D125" s="20"/>
      <c r="E125" s="10"/>
      <c r="F125" s="10"/>
      <c r="G125" s="10"/>
    </row>
    <row r="126" spans="3:7">
      <c r="C126" s="23"/>
      <c r="D126" s="20"/>
      <c r="E126" s="10"/>
      <c r="F126" s="10"/>
      <c r="G126" s="10"/>
    </row>
    <row r="127" spans="3:7">
      <c r="C127" s="8"/>
      <c r="D127" s="9"/>
      <c r="E127" s="10"/>
      <c r="F127" s="10"/>
      <c r="G127" s="10"/>
    </row>
    <row r="128" spans="3:7">
      <c r="C128" s="12"/>
      <c r="D128" s="9"/>
      <c r="E128" s="10"/>
      <c r="F128" s="10"/>
      <c r="G128" s="10"/>
    </row>
    <row r="129" spans="3:7">
      <c r="C129" s="8"/>
      <c r="D129" s="20"/>
      <c r="E129" s="10"/>
      <c r="F129" s="10"/>
      <c r="G129" s="10"/>
    </row>
    <row r="130" spans="3:7">
      <c r="C130" s="12"/>
      <c r="D130" s="20"/>
      <c r="E130" s="10"/>
      <c r="F130" s="10"/>
      <c r="G130" s="10"/>
    </row>
    <row r="131" spans="3:7">
      <c r="C131" s="34"/>
      <c r="D131" s="20"/>
      <c r="E131" s="10"/>
      <c r="F131" s="10"/>
      <c r="G131" s="10"/>
    </row>
    <row r="132" spans="3:7">
      <c r="C132" s="23"/>
      <c r="D132" s="20"/>
      <c r="E132" s="10"/>
      <c r="F132" s="10"/>
      <c r="G132" s="10"/>
    </row>
    <row r="133" spans="3:7">
      <c r="C133" s="23"/>
      <c r="D133" s="20"/>
      <c r="E133" s="10"/>
      <c r="F133" s="10"/>
      <c r="G133" s="10"/>
    </row>
    <row r="134" spans="3:7">
      <c r="C134" s="23"/>
      <c r="D134" s="20"/>
      <c r="E134" s="10"/>
      <c r="F134" s="10"/>
      <c r="G134" s="10"/>
    </row>
    <row r="135" spans="3:7">
      <c r="C135" s="34"/>
      <c r="D135" s="20"/>
      <c r="E135" s="10"/>
      <c r="F135" s="10"/>
      <c r="G135" s="10"/>
    </row>
    <row r="136" spans="3:7">
      <c r="C136" s="23"/>
      <c r="D136" s="20"/>
      <c r="E136" s="10"/>
      <c r="F136" s="10"/>
      <c r="G136" s="10"/>
    </row>
    <row r="137" spans="3:7">
      <c r="C137" s="23"/>
      <c r="D137" s="20"/>
      <c r="E137" s="10"/>
      <c r="F137" s="10"/>
      <c r="G137" s="10"/>
    </row>
    <row r="138" spans="3:7">
      <c r="C138" s="34"/>
      <c r="D138" s="20"/>
      <c r="E138" s="10"/>
      <c r="F138" s="10"/>
      <c r="G138" s="10"/>
    </row>
    <row r="139" spans="3:7">
      <c r="C139" s="23"/>
      <c r="D139" s="20"/>
      <c r="E139" s="10"/>
      <c r="F139" s="10"/>
      <c r="G139" s="10"/>
    </row>
    <row r="140" spans="3:7">
      <c r="C140" s="23"/>
      <c r="D140" s="20"/>
      <c r="E140" s="10"/>
      <c r="F140" s="10"/>
      <c r="G140" s="10"/>
    </row>
    <row r="141" spans="3:7">
      <c r="C141" s="32"/>
      <c r="D141" s="20"/>
      <c r="E141" s="25"/>
      <c r="F141" s="10"/>
      <c r="G141" s="10"/>
    </row>
    <row r="142" spans="3:7">
      <c r="C142" s="21"/>
      <c r="D142" s="20"/>
      <c r="E142" s="25"/>
      <c r="F142" s="10"/>
      <c r="G142" s="10"/>
    </row>
    <row r="143" spans="3:7">
      <c r="C143" s="22"/>
      <c r="D143" s="20"/>
      <c r="E143" s="25"/>
      <c r="F143" s="10"/>
      <c r="G143" s="10"/>
    </row>
    <row r="144" spans="3:7">
      <c r="C144" s="33"/>
      <c r="D144" s="20"/>
      <c r="E144" s="10"/>
      <c r="F144" s="10"/>
      <c r="G144" s="10"/>
    </row>
    <row r="145" spans="3:7">
      <c r="C145" s="23"/>
      <c r="D145" s="20"/>
      <c r="E145" s="10"/>
      <c r="F145" s="10"/>
      <c r="G145" s="10"/>
    </row>
    <row r="146" spans="3:7">
      <c r="C146" s="23"/>
      <c r="D146" s="20"/>
      <c r="E146" s="10"/>
      <c r="F146" s="10"/>
      <c r="G146" s="10"/>
    </row>
    <row r="147" spans="3:7">
      <c r="C147" s="34"/>
      <c r="D147" s="20"/>
      <c r="E147" s="10"/>
      <c r="F147" s="10"/>
      <c r="G147" s="10"/>
    </row>
    <row r="148" spans="3:7">
      <c r="C148" s="23"/>
      <c r="D148" s="20"/>
      <c r="E148" s="10"/>
      <c r="F148" s="10"/>
      <c r="G148" s="10"/>
    </row>
    <row r="149" spans="3:7">
      <c r="C149" s="23"/>
      <c r="D149" s="20"/>
      <c r="E149" s="10"/>
      <c r="F149" s="10"/>
      <c r="G149" s="10"/>
    </row>
    <row r="150" spans="3:7">
      <c r="C150" s="23"/>
      <c r="D150" s="20"/>
      <c r="E150" s="10"/>
      <c r="F150" s="10"/>
      <c r="G150" s="10"/>
    </row>
    <row r="151" spans="3:7">
      <c r="C151" s="34"/>
      <c r="D151" s="20"/>
      <c r="E151" s="10"/>
      <c r="F151" s="10"/>
      <c r="G151" s="10"/>
    </row>
    <row r="152" spans="3:7">
      <c r="C152" s="23"/>
      <c r="D152" s="20"/>
      <c r="E152" s="10"/>
      <c r="F152" s="10"/>
      <c r="G152" s="10"/>
    </row>
    <row r="153" spans="3:7">
      <c r="C153" s="23"/>
      <c r="D153" s="20"/>
      <c r="E153" s="10"/>
      <c r="F153" s="10"/>
      <c r="G153" s="10"/>
    </row>
    <row r="154" spans="3:7">
      <c r="C154" s="34"/>
      <c r="D154" s="20"/>
      <c r="E154" s="10"/>
      <c r="F154" s="10"/>
      <c r="G154" s="10"/>
    </row>
    <row r="155" spans="3:7">
      <c r="C155" s="23"/>
      <c r="D155" s="20"/>
      <c r="E155" s="10"/>
      <c r="F155" s="10"/>
      <c r="G155" s="10"/>
    </row>
    <row r="156" spans="3:7">
      <c r="C156" s="23"/>
      <c r="D156" s="20"/>
      <c r="E156" s="10"/>
      <c r="F156" s="10"/>
      <c r="G156" s="10"/>
    </row>
    <row r="157" spans="3:7">
      <c r="C157" s="7"/>
      <c r="D157" s="20"/>
      <c r="E157" s="10"/>
      <c r="F157" s="10"/>
      <c r="G157" s="10"/>
    </row>
    <row r="158" spans="3:7">
      <c r="C158" s="21"/>
      <c r="D158" s="20"/>
      <c r="E158" s="25"/>
      <c r="F158" s="10"/>
      <c r="G158" s="10"/>
    </row>
    <row r="159" spans="3:7">
      <c r="C159" s="22"/>
      <c r="D159" s="20"/>
      <c r="E159" s="25"/>
      <c r="F159" s="10"/>
      <c r="G159" s="10"/>
    </row>
    <row r="160" spans="3:7">
      <c r="C160" s="33"/>
      <c r="D160" s="20"/>
      <c r="E160" s="10"/>
      <c r="F160" s="10"/>
      <c r="G160" s="10"/>
    </row>
    <row r="161" spans="3:7">
      <c r="C161" s="23"/>
      <c r="D161" s="20"/>
      <c r="E161" s="10"/>
      <c r="F161" s="10"/>
      <c r="G161" s="10"/>
    </row>
    <row r="162" spans="3:7">
      <c r="C162" s="23"/>
      <c r="D162" s="20"/>
      <c r="E162" s="10"/>
      <c r="F162" s="10"/>
      <c r="G162" s="10"/>
    </row>
    <row r="163" spans="3:7">
      <c r="C163" s="8"/>
      <c r="D163" s="9"/>
      <c r="E163" s="10"/>
      <c r="F163" s="10"/>
      <c r="G163" s="10"/>
    </row>
    <row r="164" spans="3:7">
      <c r="C164" s="22"/>
      <c r="D164" s="20"/>
      <c r="E164" s="25"/>
      <c r="F164" s="10"/>
      <c r="G164" s="10"/>
    </row>
    <row r="165" spans="3:7">
      <c r="C165" s="22"/>
      <c r="D165" s="20"/>
      <c r="E165" s="25"/>
      <c r="F165" s="10"/>
      <c r="G165" s="10"/>
    </row>
    <row r="166" spans="3:7">
      <c r="C166" s="22"/>
      <c r="D166" s="20"/>
      <c r="E166" s="25"/>
      <c r="F166" s="10"/>
      <c r="G166" s="10"/>
    </row>
    <row r="167" spans="3:7">
      <c r="C167" s="22"/>
      <c r="D167" s="20"/>
      <c r="E167" s="25"/>
      <c r="F167" s="10"/>
      <c r="G167" s="10"/>
    </row>
    <row r="168" spans="3:7">
      <c r="C168" s="21"/>
      <c r="D168" s="20"/>
      <c r="E168" s="25"/>
      <c r="F168" s="10"/>
      <c r="G168" s="10"/>
    </row>
    <row r="169" spans="3:7">
      <c r="C169" s="22"/>
      <c r="D169" s="20"/>
      <c r="E169" s="25"/>
      <c r="F169" s="10"/>
      <c r="G169" s="10"/>
    </row>
    <row r="170" spans="3:7">
      <c r="C170" s="22"/>
      <c r="D170" s="20"/>
      <c r="E170" s="25"/>
      <c r="F170" s="10"/>
      <c r="G170" s="10"/>
    </row>
    <row r="171" spans="3:7">
      <c r="C171" s="22"/>
      <c r="D171" s="20"/>
      <c r="E171" s="25"/>
      <c r="F171" s="10"/>
      <c r="G171" s="10"/>
    </row>
    <row r="172" spans="3:7">
      <c r="C172" s="22"/>
      <c r="D172" s="20"/>
      <c r="E172" s="25"/>
      <c r="F172" s="10"/>
      <c r="G172" s="10"/>
    </row>
    <row r="173" spans="3:7">
      <c r="C173" s="7"/>
      <c r="D173" s="20"/>
      <c r="E173" s="10"/>
      <c r="F173" s="10"/>
      <c r="G173" s="10"/>
    </row>
    <row r="174" spans="3:7">
      <c r="C174" s="21"/>
      <c r="D174" s="20"/>
      <c r="E174" s="25"/>
      <c r="F174" s="10"/>
      <c r="G174" s="10"/>
    </row>
    <row r="175" spans="3:7">
      <c r="C175" s="22"/>
      <c r="D175" s="20"/>
      <c r="E175" s="25"/>
      <c r="F175" s="10"/>
      <c r="G175" s="10"/>
    </row>
    <row r="176" spans="3:7">
      <c r="C176" s="33"/>
      <c r="D176" s="20"/>
      <c r="E176" s="10"/>
      <c r="F176" s="10"/>
      <c r="G176" s="10"/>
    </row>
    <row r="177" spans="3:7">
      <c r="C177" s="23"/>
      <c r="D177" s="20"/>
      <c r="E177" s="10"/>
      <c r="F177" s="10"/>
      <c r="G177" s="10"/>
    </row>
    <row r="178" spans="3:7">
      <c r="C178" s="23"/>
      <c r="D178" s="20"/>
      <c r="E178" s="10"/>
      <c r="F178" s="10"/>
      <c r="G178" s="10"/>
    </row>
    <row r="179" spans="3:7">
      <c r="C179" s="8"/>
      <c r="D179" s="9"/>
      <c r="E179" s="10"/>
      <c r="F179" s="10"/>
      <c r="G179" s="10"/>
    </row>
    <row r="180" spans="3:7">
      <c r="C180" s="22"/>
      <c r="D180" s="20"/>
      <c r="E180" s="25"/>
      <c r="F180" s="10"/>
      <c r="G180" s="10"/>
    </row>
    <row r="181" spans="3:7">
      <c r="C181" s="22"/>
      <c r="D181" s="20"/>
      <c r="E181" s="25"/>
      <c r="F181" s="10"/>
      <c r="G181" s="10"/>
    </row>
    <row r="182" spans="3:7">
      <c r="C182" s="22"/>
      <c r="D182" s="20"/>
      <c r="E182" s="25"/>
      <c r="F182" s="10"/>
      <c r="G182" s="10"/>
    </row>
    <row r="183" spans="3:7">
      <c r="C183" s="21"/>
      <c r="D183" s="20"/>
      <c r="E183" s="25"/>
      <c r="F183" s="10"/>
      <c r="G183" s="10"/>
    </row>
    <row r="184" spans="3:7">
      <c r="C184" s="22"/>
      <c r="D184" s="20"/>
      <c r="E184" s="25"/>
      <c r="F184" s="10"/>
      <c r="G184" s="10"/>
    </row>
    <row r="185" spans="3:7">
      <c r="C185" s="22"/>
      <c r="D185" s="20"/>
      <c r="E185" s="25"/>
      <c r="F185" s="10"/>
      <c r="G185" s="10"/>
    </row>
    <row r="186" spans="3:7">
      <c r="C186" s="22"/>
      <c r="D186" s="20"/>
      <c r="E186" s="25"/>
      <c r="F186" s="10"/>
      <c r="G186" s="10"/>
    </row>
    <row r="187" spans="3:7">
      <c r="C187" s="35"/>
      <c r="D187" s="20"/>
      <c r="E187" s="10"/>
      <c r="F187" s="10"/>
      <c r="G187" s="10"/>
    </row>
    <row r="188" spans="3:7">
      <c r="C188" s="21"/>
      <c r="D188" s="20"/>
      <c r="E188" s="25"/>
      <c r="F188" s="10"/>
      <c r="G188" s="10"/>
    </row>
    <row r="189" spans="3:7">
      <c r="C189" s="22"/>
      <c r="D189" s="20"/>
      <c r="E189" s="25"/>
      <c r="F189" s="10"/>
      <c r="G189" s="10"/>
    </row>
    <row r="190" spans="3:7">
      <c r="C190" s="33"/>
      <c r="D190" s="20"/>
      <c r="E190" s="10"/>
      <c r="F190" s="10"/>
      <c r="G190" s="10"/>
    </row>
    <row r="191" spans="3:7">
      <c r="C191" s="23"/>
      <c r="D191" s="20"/>
      <c r="E191" s="10"/>
      <c r="F191" s="10"/>
      <c r="G191" s="10"/>
    </row>
    <row r="192" spans="3:7">
      <c r="C192" s="23"/>
      <c r="D192" s="20"/>
      <c r="E192" s="10"/>
      <c r="F192" s="10"/>
      <c r="G192" s="10"/>
    </row>
    <row r="193" spans="3:7">
      <c r="C193" s="34"/>
      <c r="D193" s="20"/>
      <c r="E193" s="10"/>
      <c r="F193" s="10"/>
      <c r="G193" s="10"/>
    </row>
    <row r="194" spans="3:7">
      <c r="C194" s="23"/>
      <c r="D194" s="20"/>
      <c r="E194" s="10"/>
      <c r="F194" s="10"/>
      <c r="G194" s="10"/>
    </row>
    <row r="195" spans="3:7">
      <c r="C195" s="23"/>
      <c r="D195" s="20"/>
      <c r="E195" s="10"/>
      <c r="F195" s="10"/>
      <c r="G195" s="10"/>
    </row>
    <row r="196" spans="3:7">
      <c r="C196" s="34"/>
      <c r="D196" s="20"/>
      <c r="E196" s="10"/>
      <c r="F196" s="10"/>
      <c r="G196" s="10"/>
    </row>
    <row r="197" spans="3:7">
      <c r="C197" s="23"/>
      <c r="D197" s="20"/>
      <c r="E197" s="10"/>
      <c r="F197" s="10"/>
      <c r="G197" s="10"/>
    </row>
    <row r="198" spans="3:7">
      <c r="C198" s="23"/>
      <c r="D198" s="20"/>
      <c r="E198" s="10"/>
      <c r="F198" s="10"/>
      <c r="G198" s="10"/>
    </row>
    <row r="199" spans="3:7">
      <c r="C199" s="7"/>
      <c r="D199" s="20"/>
      <c r="E199" s="10"/>
      <c r="F199" s="10"/>
      <c r="G199" s="10"/>
    </row>
    <row r="200" spans="3:7">
      <c r="C200" s="7"/>
      <c r="D200" s="20"/>
      <c r="E200" s="10"/>
      <c r="F200" s="10"/>
      <c r="G200" s="10"/>
    </row>
    <row r="201" spans="3:7">
      <c r="C201" s="21"/>
      <c r="D201" s="20"/>
      <c r="E201" s="25"/>
      <c r="F201" s="10"/>
      <c r="G201" s="10"/>
    </row>
    <row r="202" spans="3:7">
      <c r="C202" s="22"/>
      <c r="D202" s="20"/>
      <c r="E202" s="25"/>
      <c r="F202" s="10"/>
      <c r="G202" s="10"/>
    </row>
    <row r="203" spans="3:7">
      <c r="C203" s="33"/>
      <c r="D203" s="20"/>
      <c r="E203" s="10"/>
      <c r="F203" s="10"/>
      <c r="G203" s="10"/>
    </row>
    <row r="204" spans="3:7">
      <c r="C204" s="23"/>
      <c r="D204" s="20"/>
      <c r="E204" s="10"/>
      <c r="F204" s="10"/>
      <c r="G204" s="10"/>
    </row>
    <row r="205" spans="3:7">
      <c r="C205" s="23"/>
      <c r="D205" s="20"/>
      <c r="E205" s="10"/>
      <c r="F205" s="10"/>
      <c r="G205" s="10"/>
    </row>
    <row r="206" spans="3:7">
      <c r="C206" s="8"/>
      <c r="D206" s="9"/>
      <c r="E206" s="10"/>
      <c r="F206" s="10"/>
      <c r="G206" s="10"/>
    </row>
    <row r="207" spans="3:7">
      <c r="C207" s="22"/>
      <c r="D207" s="20"/>
      <c r="E207" s="25"/>
      <c r="F207" s="10"/>
      <c r="G207" s="10"/>
    </row>
    <row r="208" spans="3:7">
      <c r="C208" s="22"/>
      <c r="D208" s="20"/>
      <c r="E208" s="25"/>
      <c r="F208" s="10"/>
      <c r="G208" s="10"/>
    </row>
    <row r="209" spans="3:7">
      <c r="C209" s="22"/>
      <c r="D209" s="20"/>
      <c r="E209" s="25"/>
      <c r="F209" s="10"/>
      <c r="G209" s="10"/>
    </row>
    <row r="210" spans="3:7">
      <c r="C210" s="21"/>
      <c r="D210" s="20"/>
      <c r="E210" s="25"/>
      <c r="F210" s="10"/>
      <c r="G210" s="10"/>
    </row>
    <row r="211" spans="3:7">
      <c r="C211" s="22"/>
      <c r="D211" s="20"/>
      <c r="E211" s="25"/>
      <c r="F211" s="10"/>
      <c r="G211" s="10"/>
    </row>
    <row r="212" spans="3:7">
      <c r="C212" s="22"/>
      <c r="D212" s="20"/>
      <c r="E212" s="25"/>
      <c r="F212" s="10"/>
      <c r="G212" s="10"/>
    </row>
    <row r="213" spans="3:7">
      <c r="C213" s="22"/>
      <c r="D213" s="20"/>
      <c r="E213" s="25"/>
      <c r="F213" s="10"/>
      <c r="G213" s="10"/>
    </row>
    <row r="214" spans="3:7">
      <c r="C214" s="35"/>
      <c r="D214" s="20"/>
      <c r="E214" s="10"/>
      <c r="F214" s="10"/>
      <c r="G214" s="10"/>
    </row>
    <row r="215" spans="3:7">
      <c r="C215" s="21"/>
      <c r="D215" s="20"/>
      <c r="E215" s="25"/>
      <c r="F215" s="10"/>
      <c r="G215" s="10"/>
    </row>
    <row r="216" spans="3:7">
      <c r="C216" s="22"/>
      <c r="D216" s="20"/>
      <c r="E216" s="25"/>
      <c r="F216" s="10"/>
      <c r="G216" s="10"/>
    </row>
    <row r="217" spans="3:7">
      <c r="C217" s="33"/>
      <c r="D217" s="20"/>
      <c r="E217" s="10"/>
      <c r="F217" s="10"/>
      <c r="G217" s="10"/>
    </row>
    <row r="218" spans="3:7">
      <c r="C218" s="23"/>
      <c r="D218" s="20"/>
      <c r="E218" s="10"/>
      <c r="F218" s="10"/>
      <c r="G218" s="10"/>
    </row>
    <row r="219" spans="3:7">
      <c r="C219" s="23"/>
      <c r="D219" s="20"/>
      <c r="E219" s="10"/>
      <c r="F219" s="10"/>
      <c r="G219" s="10"/>
    </row>
    <row r="220" spans="3:7">
      <c r="C220" s="34"/>
      <c r="D220" s="20"/>
      <c r="E220" s="10"/>
      <c r="F220" s="10"/>
      <c r="G220" s="10"/>
    </row>
    <row r="221" spans="3:7">
      <c r="C221" s="23"/>
      <c r="D221" s="20"/>
      <c r="E221" s="10"/>
      <c r="F221" s="10"/>
      <c r="G221" s="10"/>
    </row>
    <row r="222" spans="3:7">
      <c r="C222" s="23"/>
      <c r="D222" s="20"/>
      <c r="E222" s="10"/>
      <c r="F222" s="10"/>
      <c r="G222" s="10"/>
    </row>
    <row r="223" spans="3:7">
      <c r="C223" s="34"/>
      <c r="D223" s="20"/>
      <c r="E223" s="10"/>
      <c r="F223" s="10"/>
      <c r="G223" s="10"/>
    </row>
    <row r="224" spans="3:7">
      <c r="C224" s="23"/>
      <c r="D224" s="20"/>
      <c r="E224" s="10"/>
      <c r="F224" s="10"/>
      <c r="G224" s="10"/>
    </row>
    <row r="225" spans="3:7">
      <c r="C225" s="23"/>
      <c r="D225" s="20"/>
      <c r="E225" s="10"/>
      <c r="F225" s="10"/>
      <c r="G225" s="10"/>
    </row>
    <row r="226" spans="3:7">
      <c r="C226" s="7"/>
      <c r="D226" s="20"/>
      <c r="E226" s="10"/>
      <c r="F226" s="10"/>
      <c r="G226" s="10"/>
    </row>
    <row r="227" spans="3:7">
      <c r="C227" s="21"/>
      <c r="D227" s="20"/>
      <c r="E227" s="25"/>
      <c r="F227" s="10"/>
      <c r="G227" s="10"/>
    </row>
    <row r="228" spans="3:7">
      <c r="C228" s="22"/>
      <c r="D228" s="20"/>
      <c r="E228" s="25"/>
      <c r="F228" s="10"/>
      <c r="G228" s="10"/>
    </row>
    <row r="229" spans="3:7">
      <c r="C229" s="33"/>
      <c r="D229" s="20"/>
      <c r="E229" s="10"/>
      <c r="F229" s="10"/>
      <c r="G229" s="10"/>
    </row>
    <row r="230" spans="3:7">
      <c r="C230" s="23"/>
      <c r="D230" s="20"/>
      <c r="E230" s="10"/>
      <c r="F230" s="10"/>
      <c r="G230" s="10"/>
    </row>
    <row r="231" spans="3:7">
      <c r="C231" s="23"/>
      <c r="D231" s="20"/>
      <c r="E231" s="10"/>
      <c r="F231" s="10"/>
      <c r="G231" s="10"/>
    </row>
    <row r="232" spans="3:7">
      <c r="C232" s="21"/>
      <c r="D232" s="20"/>
      <c r="E232" s="25"/>
      <c r="F232" s="10"/>
      <c r="G232" s="10"/>
    </row>
    <row r="233" spans="3:7">
      <c r="C233" s="22"/>
      <c r="D233" s="20"/>
      <c r="E233" s="25"/>
      <c r="F233" s="10"/>
      <c r="G233" s="10"/>
    </row>
    <row r="234" spans="3:7">
      <c r="C234" s="22"/>
      <c r="D234" s="20"/>
      <c r="E234" s="25"/>
      <c r="F234" s="10"/>
      <c r="G234" s="10"/>
    </row>
    <row r="235" spans="3:7">
      <c r="C235" s="22"/>
      <c r="D235" s="20"/>
      <c r="E235" s="25"/>
      <c r="F235" s="10"/>
      <c r="G235" s="10"/>
    </row>
    <row r="236" spans="3:7">
      <c r="C236" s="34"/>
      <c r="D236" s="20"/>
      <c r="E236" s="10"/>
      <c r="F236" s="10"/>
      <c r="G236" s="10"/>
    </row>
    <row r="237" spans="3:7">
      <c r="C237" s="23"/>
      <c r="D237" s="20"/>
      <c r="E237" s="10"/>
      <c r="F237" s="10"/>
      <c r="G237" s="10"/>
    </row>
    <row r="238" spans="3:7">
      <c r="C238" s="23"/>
      <c r="D238" s="20"/>
      <c r="E238" s="10"/>
      <c r="F238" s="10"/>
      <c r="G238" s="10"/>
    </row>
    <row r="239" spans="3:7">
      <c r="C239" s="7"/>
      <c r="D239" s="9"/>
      <c r="E239" s="10"/>
      <c r="F239" s="10"/>
      <c r="G239" s="10"/>
    </row>
    <row r="240" spans="3:7">
      <c r="C240" s="7"/>
      <c r="D240" s="9"/>
      <c r="E240" s="10"/>
      <c r="F240" s="10"/>
      <c r="G240" s="10"/>
    </row>
    <row r="241" spans="3:7">
      <c r="C241" s="8"/>
      <c r="D241" s="9"/>
      <c r="E241" s="10"/>
      <c r="F241" s="10"/>
      <c r="G241" s="10"/>
    </row>
    <row r="242" spans="3:7">
      <c r="C242" s="12"/>
      <c r="D242" s="9"/>
      <c r="E242" s="10"/>
      <c r="F242" s="10"/>
      <c r="G242" s="10"/>
    </row>
    <row r="243" spans="3:7">
      <c r="C243" s="8"/>
      <c r="D243" s="9"/>
      <c r="E243" s="10"/>
      <c r="F243" s="10"/>
      <c r="G243" s="10"/>
    </row>
    <row r="244" spans="3:7">
      <c r="C244" s="23"/>
      <c r="D244" s="20"/>
      <c r="E244" s="10"/>
      <c r="F244" s="20"/>
      <c r="G244" s="10"/>
    </row>
    <row r="245" spans="3:7">
      <c r="C245" s="23"/>
      <c r="D245" s="20"/>
      <c r="E245" s="10"/>
      <c r="F245" s="20"/>
      <c r="G245" s="10"/>
    </row>
    <row r="246" spans="3:7">
      <c r="C246" s="23"/>
      <c r="D246" s="20"/>
      <c r="E246" s="10"/>
      <c r="F246" s="20"/>
      <c r="G246" s="10"/>
    </row>
    <row r="247" spans="3:7">
      <c r="C247" s="18"/>
      <c r="D247" s="9"/>
      <c r="E247" s="14"/>
      <c r="F247" s="5"/>
      <c r="G247" s="5"/>
    </row>
    <row r="248" spans="3:7">
      <c r="C248" s="23"/>
      <c r="D248" s="20"/>
      <c r="E248" s="10"/>
      <c r="F248" s="20"/>
      <c r="G248" s="10"/>
    </row>
    <row r="249" spans="3:7">
      <c r="C249" s="21"/>
      <c r="D249" s="20"/>
      <c r="E249" s="25"/>
      <c r="F249" s="10"/>
      <c r="G249" s="10"/>
    </row>
    <row r="250" spans="3:7">
      <c r="C250" s="22"/>
      <c r="D250" s="20"/>
      <c r="E250" s="25"/>
      <c r="F250" s="10"/>
      <c r="G250" s="10"/>
    </row>
    <row r="251" spans="3:7">
      <c r="C251" s="22"/>
      <c r="D251" s="20"/>
      <c r="E251" s="25"/>
      <c r="F251" s="10"/>
      <c r="G251" s="10"/>
    </row>
    <row r="252" spans="3:7">
      <c r="C252" s="22"/>
      <c r="D252" s="20"/>
      <c r="E252" s="25"/>
      <c r="F252" s="10"/>
      <c r="G252" s="10"/>
    </row>
    <row r="253" spans="3:7">
      <c r="C253" s="21"/>
      <c r="D253" s="20"/>
      <c r="E253" s="25"/>
      <c r="F253" s="10"/>
      <c r="G253" s="10"/>
    </row>
    <row r="254" spans="3:7">
      <c r="C254" s="22"/>
      <c r="D254" s="20"/>
      <c r="E254" s="25"/>
      <c r="F254" s="10"/>
      <c r="G254" s="10"/>
    </row>
    <row r="255" spans="3:7">
      <c r="C255" s="22"/>
      <c r="D255" s="20"/>
      <c r="E255" s="25"/>
      <c r="F255" s="10"/>
      <c r="G255" s="10"/>
    </row>
    <row r="256" spans="3:7">
      <c r="C256" s="36"/>
      <c r="D256" s="20"/>
      <c r="E256" s="25"/>
      <c r="F256" s="10"/>
      <c r="G256" s="10"/>
    </row>
    <row r="257" spans="3:7">
      <c r="C257" s="22"/>
      <c r="D257" s="20"/>
      <c r="E257" s="25"/>
      <c r="F257" s="10"/>
      <c r="G257" s="10"/>
    </row>
    <row r="258" spans="3:7">
      <c r="C258" s="36"/>
      <c r="D258" s="20"/>
      <c r="E258" s="25"/>
      <c r="F258" s="10"/>
      <c r="G258" s="10"/>
    </row>
    <row r="259" spans="3:7">
      <c r="C259" s="22"/>
      <c r="D259" s="20"/>
      <c r="E259" s="25"/>
      <c r="F259" s="10"/>
      <c r="G259" s="10"/>
    </row>
    <row r="260" spans="3:7">
      <c r="C260" s="22"/>
      <c r="D260" s="20"/>
      <c r="E260" s="25"/>
      <c r="F260" s="10"/>
      <c r="G260" s="10"/>
    </row>
    <row r="261" spans="3:7">
      <c r="C261" s="21"/>
      <c r="D261" s="20"/>
      <c r="E261" s="25"/>
      <c r="F261" s="10"/>
      <c r="G261" s="10"/>
    </row>
    <row r="262" spans="3:7">
      <c r="C262" s="23"/>
      <c r="D262" s="20"/>
      <c r="E262" s="10"/>
      <c r="F262" s="10"/>
      <c r="G262" s="10"/>
    </row>
    <row r="263" spans="3:7">
      <c r="C263" s="23"/>
      <c r="D263" s="20"/>
      <c r="E263" s="10"/>
      <c r="F263" s="10"/>
      <c r="G263" s="10"/>
    </row>
    <row r="264" spans="3:7">
      <c r="C264" s="34"/>
      <c r="D264" s="20"/>
      <c r="E264" s="10"/>
      <c r="F264" s="10"/>
      <c r="G264" s="10"/>
    </row>
    <row r="265" spans="3:7">
      <c r="C265" s="22"/>
      <c r="D265" s="20"/>
      <c r="E265" s="25"/>
      <c r="F265" s="10"/>
      <c r="G265" s="10"/>
    </row>
    <row r="266" spans="3:7">
      <c r="C266" s="22"/>
      <c r="D266" s="20"/>
      <c r="E266" s="25"/>
      <c r="F266" s="10"/>
      <c r="G266" s="10"/>
    </row>
    <row r="267" spans="3:7">
      <c r="C267" s="21"/>
      <c r="D267" s="20"/>
      <c r="E267" s="25"/>
      <c r="F267" s="10"/>
      <c r="G267" s="10"/>
    </row>
    <row r="268" spans="3:7">
      <c r="C268" s="22"/>
      <c r="D268" s="20"/>
      <c r="E268" s="25"/>
      <c r="F268" s="10"/>
      <c r="G268" s="10"/>
    </row>
    <row r="269" spans="3:7">
      <c r="C269" s="22"/>
      <c r="D269" s="20"/>
      <c r="E269" s="25"/>
      <c r="F269" s="10"/>
      <c r="G269" s="10"/>
    </row>
    <row r="270" spans="3:7">
      <c r="C270" s="7"/>
      <c r="D270" s="9"/>
      <c r="E270" s="10"/>
      <c r="F270" s="10"/>
      <c r="G270" s="10"/>
    </row>
    <row r="271" spans="3:7">
      <c r="C271" s="8"/>
      <c r="D271" s="9"/>
      <c r="E271" s="10"/>
      <c r="F271" s="10"/>
      <c r="G271" s="10"/>
    </row>
    <row r="272" spans="3:7">
      <c r="C272" s="23"/>
      <c r="D272" s="20"/>
      <c r="E272" s="10"/>
      <c r="F272" s="20"/>
      <c r="G272" s="10"/>
    </row>
    <row r="273" spans="3:7">
      <c r="C273" s="23"/>
      <c r="D273" s="20"/>
      <c r="E273" s="10"/>
      <c r="F273" s="20"/>
      <c r="G273" s="10"/>
    </row>
    <row r="274" spans="3:7">
      <c r="C274" s="23"/>
      <c r="D274" s="20"/>
      <c r="E274" s="10"/>
      <c r="F274" s="20"/>
      <c r="G274" s="10"/>
    </row>
    <row r="275" spans="3:7">
      <c r="C275" s="23"/>
      <c r="D275" s="20"/>
      <c r="E275" s="10"/>
      <c r="F275" s="20"/>
      <c r="G275" s="10"/>
    </row>
    <row r="276" spans="3:7">
      <c r="C276" s="18"/>
      <c r="D276" s="9"/>
      <c r="E276" s="14"/>
      <c r="F276" s="5"/>
      <c r="G276" s="5"/>
    </row>
    <row r="277" spans="3:7">
      <c r="C277" s="23"/>
      <c r="D277" s="20"/>
      <c r="E277" s="10"/>
      <c r="F277" s="20"/>
      <c r="G277" s="10"/>
    </row>
    <row r="278" spans="3:7">
      <c r="C278" s="21"/>
      <c r="D278" s="20"/>
      <c r="E278" s="25"/>
      <c r="F278" s="10"/>
      <c r="G278" s="10"/>
    </row>
    <row r="279" spans="3:7">
      <c r="C279" s="22"/>
      <c r="D279" s="20"/>
      <c r="E279" s="25"/>
      <c r="F279" s="10"/>
      <c r="G279" s="10"/>
    </row>
    <row r="280" spans="3:7">
      <c r="C280" s="22"/>
      <c r="D280" s="20"/>
      <c r="E280" s="25"/>
      <c r="F280" s="10"/>
      <c r="G280" s="10"/>
    </row>
    <row r="281" spans="3:7">
      <c r="C281" s="22"/>
      <c r="D281" s="20"/>
      <c r="E281" s="25"/>
      <c r="F281" s="10"/>
      <c r="G281" s="10"/>
    </row>
    <row r="282" spans="3:7">
      <c r="C282" s="21"/>
      <c r="D282" s="20"/>
      <c r="E282" s="25"/>
      <c r="F282" s="10"/>
      <c r="G282" s="10"/>
    </row>
    <row r="283" spans="3:7">
      <c r="C283" s="22"/>
      <c r="D283" s="20"/>
      <c r="E283" s="25"/>
      <c r="F283" s="10"/>
      <c r="G283" s="10"/>
    </row>
    <row r="284" spans="3:7">
      <c r="C284" s="22"/>
      <c r="D284" s="20"/>
      <c r="E284" s="25"/>
      <c r="F284" s="10"/>
      <c r="G284" s="10"/>
    </row>
    <row r="285" spans="3:7">
      <c r="C285" s="8"/>
      <c r="D285" s="9"/>
      <c r="E285" s="10"/>
      <c r="F285" s="10"/>
      <c r="G285" s="10"/>
    </row>
    <row r="286" spans="3:7">
      <c r="C286" s="12"/>
      <c r="D286" s="9"/>
      <c r="E286" s="10"/>
      <c r="F286" s="10"/>
      <c r="G286" s="10"/>
    </row>
    <row r="287" spans="3:7">
      <c r="C287" s="7"/>
      <c r="D287" s="9"/>
      <c r="E287" s="10"/>
      <c r="F287" s="10"/>
      <c r="G287" s="10"/>
    </row>
    <row r="288" spans="3:7">
      <c r="C288" s="8"/>
      <c r="D288" s="9"/>
      <c r="E288" s="6"/>
      <c r="F288" s="6"/>
      <c r="G288" s="6"/>
    </row>
    <row r="289" spans="3:7">
      <c r="C289" s="7"/>
      <c r="D289" s="9"/>
      <c r="E289" s="10"/>
      <c r="F289" s="10"/>
      <c r="G289" s="10"/>
    </row>
    <row r="290" spans="3:7">
      <c r="C290" s="19"/>
      <c r="D290" s="9"/>
      <c r="E290" s="10"/>
      <c r="F290" s="10"/>
      <c r="G290" s="10"/>
    </row>
    <row r="291" spans="3:7" ht="14.25" customHeight="1">
      <c r="C291" s="12"/>
      <c r="D291" s="9"/>
      <c r="E291" s="10"/>
      <c r="F291" s="10"/>
      <c r="G291" s="10"/>
    </row>
    <row r="292" spans="3:7">
      <c r="C292" s="12"/>
      <c r="D292" s="9"/>
      <c r="E292" s="10"/>
      <c r="F292" s="10"/>
      <c r="G292" s="10"/>
    </row>
    <row r="293" spans="3:7">
      <c r="C293" s="12"/>
      <c r="D293" s="9"/>
      <c r="E293" s="10"/>
      <c r="F293" s="10"/>
      <c r="G293" s="10"/>
    </row>
    <row r="294" spans="3:7" ht="12.75" customHeight="1">
      <c r="C294" s="12"/>
      <c r="D294" s="9"/>
      <c r="E294" s="10"/>
      <c r="F294" s="10"/>
      <c r="G294" s="10"/>
    </row>
    <row r="295" spans="3:7">
      <c r="C295" s="12"/>
      <c r="D295" s="9"/>
      <c r="E295" s="10"/>
      <c r="F295" s="10"/>
      <c r="G295" s="10"/>
    </row>
    <row r="296" spans="3:7">
      <c r="C296" s="12"/>
      <c r="D296" s="9"/>
      <c r="E296" s="10"/>
      <c r="F296" s="10"/>
      <c r="G296" s="10"/>
    </row>
    <row r="297" spans="3:7">
      <c r="C297" s="12"/>
      <c r="D297" s="9"/>
      <c r="E297" s="10"/>
      <c r="F297" s="10"/>
      <c r="G297" s="10"/>
    </row>
    <row r="298" spans="3:7">
      <c r="C298" s="12"/>
      <c r="D298" s="9"/>
      <c r="E298" s="10"/>
      <c r="F298" s="10"/>
      <c r="G298" s="10"/>
    </row>
    <row r="299" spans="3:7">
      <c r="C299" s="12"/>
      <c r="D299" s="9"/>
      <c r="E299" s="10"/>
      <c r="F299" s="10"/>
      <c r="G299" s="10"/>
    </row>
    <row r="300" spans="3:7">
      <c r="C300" s="12"/>
      <c r="D300" s="9"/>
      <c r="E300" s="10"/>
      <c r="F300" s="10"/>
      <c r="G300" s="10"/>
    </row>
    <row r="301" spans="3:7">
      <c r="C301" s="12"/>
      <c r="D301" s="9"/>
      <c r="E301" s="10"/>
      <c r="F301" s="10"/>
      <c r="G301" s="10"/>
    </row>
    <row r="302" spans="3:7" ht="12.75" customHeight="1">
      <c r="C302" s="12"/>
      <c r="D302" s="9"/>
      <c r="E302" s="14"/>
      <c r="F302" s="5"/>
      <c r="G302" s="5"/>
    </row>
    <row r="303" spans="3:7">
      <c r="C303" s="19"/>
      <c r="D303" s="9"/>
      <c r="E303" s="10"/>
      <c r="F303" s="10"/>
      <c r="G303" s="10"/>
    </row>
    <row r="304" spans="3:7">
      <c r="C304" s="12"/>
      <c r="D304" s="9"/>
      <c r="E304" s="10"/>
      <c r="F304" s="10"/>
      <c r="G304" s="10"/>
    </row>
    <row r="305" spans="3:7" ht="12.75" customHeight="1">
      <c r="C305" s="12"/>
      <c r="D305" s="9"/>
      <c r="E305" s="10"/>
      <c r="F305" s="10"/>
      <c r="G305" s="10"/>
    </row>
    <row r="306" spans="3:7">
      <c r="C306" s="12"/>
      <c r="D306" s="9"/>
      <c r="E306" s="10"/>
      <c r="F306" s="10"/>
      <c r="G306" s="10"/>
    </row>
    <row r="307" spans="3:7">
      <c r="C307" s="12"/>
      <c r="D307" s="9"/>
      <c r="E307" s="10"/>
      <c r="F307" s="10"/>
      <c r="G307" s="10"/>
    </row>
    <row r="308" spans="3:7">
      <c r="C308" s="12"/>
      <c r="D308" s="9"/>
      <c r="E308" s="10"/>
      <c r="F308" s="10"/>
      <c r="G308" s="10"/>
    </row>
    <row r="309" spans="3:7" ht="12.75" customHeight="1">
      <c r="C309" s="12"/>
      <c r="D309" s="9"/>
      <c r="E309" s="10"/>
      <c r="F309" s="10"/>
      <c r="G309" s="10"/>
    </row>
    <row r="310" spans="3:7">
      <c r="C310" s="12"/>
      <c r="D310" s="9"/>
      <c r="E310" s="10"/>
      <c r="F310" s="10"/>
      <c r="G310" s="10"/>
    </row>
    <row r="311" spans="3:7">
      <c r="C311" s="12"/>
      <c r="D311" s="9"/>
      <c r="E311" s="10"/>
      <c r="F311" s="10"/>
      <c r="G311" s="10"/>
    </row>
    <row r="312" spans="3:7" ht="12.75" customHeight="1">
      <c r="C312" s="12"/>
      <c r="D312" s="9"/>
      <c r="E312" s="10"/>
      <c r="F312" s="10"/>
      <c r="G312" s="10"/>
    </row>
    <row r="313" spans="3:7">
      <c r="C313" s="12"/>
      <c r="D313" s="9"/>
      <c r="E313" s="14"/>
      <c r="F313" s="5"/>
      <c r="G313" s="5"/>
    </row>
    <row r="314" spans="3:7">
      <c r="C314" s="7"/>
      <c r="D314" s="9"/>
      <c r="E314" s="10"/>
      <c r="F314" s="10"/>
      <c r="G314" s="10"/>
    </row>
    <row r="315" spans="3:7">
      <c r="C315" s="8"/>
      <c r="D315" s="9"/>
      <c r="E315" s="14"/>
      <c r="F315" s="5"/>
      <c r="G315" s="5"/>
    </row>
    <row r="316" spans="3:7">
      <c r="C316" s="12"/>
      <c r="D316" s="9"/>
      <c r="E316" s="14"/>
      <c r="F316" s="5"/>
      <c r="G316" s="5"/>
    </row>
    <row r="317" spans="3:7">
      <c r="C317" s="12"/>
      <c r="D317" s="9"/>
      <c r="E317" s="14"/>
      <c r="F317" s="5"/>
      <c r="G317" s="5"/>
    </row>
    <row r="318" spans="3:7">
      <c r="C318" s="8"/>
      <c r="D318" s="9"/>
      <c r="E318" s="14"/>
      <c r="F318" s="5"/>
      <c r="G318" s="5"/>
    </row>
    <row r="319" spans="3:7">
      <c r="C319" s="12"/>
      <c r="D319" s="9"/>
      <c r="E319" s="14"/>
      <c r="F319" s="5"/>
      <c r="G319" s="5"/>
    </row>
    <row r="320" spans="3:7">
      <c r="C320" s="12"/>
      <c r="D320" s="9"/>
      <c r="E320" s="14"/>
      <c r="F320" s="5"/>
      <c r="G320" s="5"/>
    </row>
    <row r="321" spans="3:7">
      <c r="C321" s="8"/>
      <c r="D321" s="9"/>
      <c r="E321" s="14"/>
      <c r="F321" s="5"/>
      <c r="G321" s="5"/>
    </row>
    <row r="322" spans="3:7">
      <c r="C322" s="12"/>
      <c r="D322" s="9"/>
      <c r="E322" s="14"/>
      <c r="F322" s="5"/>
      <c r="G322" s="5"/>
    </row>
    <row r="323" spans="3:7">
      <c r="C323" s="12"/>
      <c r="D323" s="9"/>
      <c r="E323" s="14"/>
      <c r="F323" s="5"/>
      <c r="G323" s="5"/>
    </row>
    <row r="324" spans="3:7" ht="12.75" customHeight="1">
      <c r="C324" s="7"/>
      <c r="D324" s="9"/>
      <c r="E324" s="10"/>
      <c r="F324" s="10"/>
      <c r="G324" s="10"/>
    </row>
    <row r="325" spans="3:7">
      <c r="C325" s="19"/>
      <c r="D325" s="9"/>
      <c r="E325" s="10"/>
      <c r="F325" s="10"/>
      <c r="G325" s="10"/>
    </row>
    <row r="326" spans="3:7">
      <c r="C326" s="12"/>
      <c r="D326" s="9"/>
      <c r="E326" s="10"/>
      <c r="F326" s="10"/>
      <c r="G326" s="10"/>
    </row>
    <row r="327" spans="3:7" ht="12.75" customHeight="1">
      <c r="C327" s="12"/>
      <c r="D327" s="9"/>
      <c r="E327" s="10"/>
      <c r="F327" s="10"/>
      <c r="G327" s="10"/>
    </row>
    <row r="328" spans="3:7">
      <c r="C328" s="12"/>
      <c r="D328" s="9"/>
      <c r="E328" s="10"/>
      <c r="F328" s="10"/>
      <c r="G328" s="10"/>
    </row>
    <row r="329" spans="3:7" ht="12.75" customHeight="1">
      <c r="C329" s="12"/>
      <c r="D329" s="9"/>
      <c r="E329" s="10"/>
      <c r="F329" s="10"/>
      <c r="G329" s="10"/>
    </row>
    <row r="330" spans="3:7" ht="12.75" customHeight="1">
      <c r="C330" s="12"/>
      <c r="D330" s="9"/>
      <c r="E330" s="10"/>
      <c r="F330" s="10"/>
      <c r="G330" s="10"/>
    </row>
    <row r="331" spans="3:7" ht="12.75" customHeight="1">
      <c r="C331" s="12"/>
      <c r="D331" s="9"/>
      <c r="E331" s="10"/>
      <c r="F331" s="10"/>
      <c r="G331" s="10"/>
    </row>
    <row r="332" spans="3:7" ht="12.75" customHeight="1">
      <c r="C332" s="12"/>
      <c r="D332" s="9"/>
      <c r="E332" s="14"/>
      <c r="F332" s="5"/>
      <c r="G332" s="5"/>
    </row>
    <row r="333" spans="3:7" ht="12.75" customHeight="1">
      <c r="C333" s="8"/>
      <c r="D333" s="9"/>
      <c r="E333" s="10"/>
      <c r="F333" s="10"/>
      <c r="G333" s="10"/>
    </row>
    <row r="334" spans="3:7" ht="12.75" customHeight="1">
      <c r="C334" s="12"/>
      <c r="D334" s="9"/>
      <c r="E334" s="10"/>
      <c r="F334" s="10"/>
      <c r="G334" s="10"/>
    </row>
    <row r="335" spans="3:7" ht="12.75" customHeight="1">
      <c r="C335" s="12"/>
      <c r="D335" s="9"/>
      <c r="E335" s="14"/>
      <c r="F335" s="5"/>
      <c r="G335" s="5"/>
    </row>
    <row r="336" spans="3:7" ht="12.75" customHeight="1">
      <c r="C336" s="19"/>
      <c r="D336" s="9"/>
      <c r="E336" s="10"/>
      <c r="F336" s="10"/>
      <c r="G336" s="10"/>
    </row>
    <row r="337" spans="3:7" ht="12.75" customHeight="1">
      <c r="C337" s="12"/>
      <c r="D337" s="9"/>
      <c r="E337" s="14"/>
      <c r="F337" s="5"/>
      <c r="G337" s="5"/>
    </row>
    <row r="338" spans="3:7" ht="12.75" customHeight="1">
      <c r="C338" s="12"/>
      <c r="D338" s="9"/>
      <c r="E338" s="14"/>
      <c r="F338" s="5"/>
      <c r="G338" s="5"/>
    </row>
    <row r="339" spans="3:7">
      <c r="C339" s="12"/>
      <c r="D339" s="9"/>
      <c r="E339" s="14"/>
      <c r="F339" s="5"/>
      <c r="G339" s="5"/>
    </row>
    <row r="340" spans="3:7">
      <c r="C340" s="12"/>
      <c r="D340" s="9"/>
      <c r="E340" s="14"/>
      <c r="F340" s="5"/>
      <c r="G340" s="5"/>
    </row>
    <row r="341" spans="3:7">
      <c r="C341" s="12"/>
      <c r="D341" s="9"/>
      <c r="E341" s="14"/>
      <c r="F341" s="5"/>
      <c r="G341" s="5"/>
    </row>
    <row r="342" spans="3:7">
      <c r="C342" s="12"/>
      <c r="D342" s="9"/>
      <c r="E342" s="14"/>
      <c r="F342" s="5"/>
      <c r="G342" s="5"/>
    </row>
    <row r="343" spans="3:7">
      <c r="C343" s="12"/>
      <c r="D343" s="9"/>
      <c r="E343" s="14"/>
      <c r="F343" s="5"/>
      <c r="G343" s="5"/>
    </row>
    <row r="344" spans="3:7">
      <c r="C344" s="12"/>
      <c r="D344" s="9"/>
      <c r="E344" s="14"/>
      <c r="F344" s="5"/>
      <c r="G344" s="5"/>
    </row>
    <row r="345" spans="3:7">
      <c r="C345" s="12"/>
      <c r="D345" s="9"/>
      <c r="E345" s="14"/>
      <c r="F345" s="5"/>
      <c r="G345" s="5"/>
    </row>
    <row r="346" spans="3:7">
      <c r="C346" s="7"/>
      <c r="D346" s="9"/>
      <c r="E346" s="14"/>
      <c r="F346" s="5"/>
      <c r="G346" s="5"/>
    </row>
    <row r="347" spans="3:7">
      <c r="C347" s="7"/>
      <c r="D347" s="9"/>
      <c r="E347" s="10"/>
      <c r="F347" s="10"/>
      <c r="G347" s="10"/>
    </row>
    <row r="348" spans="3:7">
      <c r="C348" s="19"/>
      <c r="D348" s="9"/>
      <c r="E348" s="10"/>
      <c r="F348" s="10"/>
      <c r="G348" s="10"/>
    </row>
    <row r="349" spans="3:7">
      <c r="C349" s="19"/>
      <c r="D349" s="9"/>
      <c r="E349" s="10"/>
      <c r="F349" s="10"/>
      <c r="G349" s="10"/>
    </row>
    <row r="350" spans="3:7">
      <c r="C350" s="12"/>
      <c r="D350" s="9"/>
      <c r="E350" s="10"/>
      <c r="F350" s="10"/>
      <c r="G350" s="10"/>
    </row>
    <row r="351" spans="3:7">
      <c r="C351" s="19"/>
      <c r="D351" s="9"/>
      <c r="E351" s="10"/>
      <c r="F351" s="10"/>
      <c r="G351" s="10"/>
    </row>
    <row r="352" spans="3:7">
      <c r="C352" s="19"/>
      <c r="D352" s="9"/>
      <c r="E352" s="10"/>
      <c r="F352" s="10"/>
      <c r="G352" s="10"/>
    </row>
    <row r="353" spans="3:7">
      <c r="C353" s="12"/>
      <c r="D353" s="9"/>
      <c r="E353" s="10"/>
      <c r="F353" s="10"/>
      <c r="G353" s="10"/>
    </row>
    <row r="354" spans="3:7">
      <c r="C354" s="12"/>
      <c r="D354" s="9"/>
      <c r="E354" s="10"/>
      <c r="F354" s="10"/>
      <c r="G354" s="10"/>
    </row>
    <row r="355" spans="3:7">
      <c r="C355" s="12"/>
      <c r="D355" s="9"/>
      <c r="E355" s="10"/>
      <c r="F355" s="10"/>
      <c r="G355" s="10"/>
    </row>
    <row r="356" spans="3:7">
      <c r="C356" s="7"/>
      <c r="D356" s="9"/>
      <c r="E356" s="10"/>
      <c r="F356" s="10"/>
      <c r="G356" s="10"/>
    </row>
    <row r="357" spans="3:7">
      <c r="C357" s="8"/>
      <c r="D357" s="9"/>
      <c r="E357" s="10"/>
      <c r="F357" s="10"/>
      <c r="G357" s="10"/>
    </row>
    <row r="358" spans="3:7">
      <c r="C358" s="7"/>
      <c r="D358" s="9"/>
      <c r="E358" s="10"/>
      <c r="F358" s="10"/>
      <c r="G358" s="10"/>
    </row>
    <row r="359" spans="3:7">
      <c r="C359" s="8"/>
      <c r="D359" s="9"/>
      <c r="E359" s="10"/>
      <c r="F359" s="10"/>
      <c r="G359" s="10"/>
    </row>
    <row r="360" spans="3:7">
      <c r="C360" s="12"/>
      <c r="D360" s="9"/>
      <c r="E360" s="10"/>
      <c r="F360" s="10"/>
      <c r="G360" s="10"/>
    </row>
    <row r="361" spans="3:7">
      <c r="C361" s="19"/>
      <c r="D361" s="9"/>
      <c r="E361" s="10"/>
      <c r="F361" s="10"/>
      <c r="G361" s="10"/>
    </row>
    <row r="362" spans="3:7">
      <c r="C362" s="12"/>
      <c r="D362" s="9"/>
      <c r="E362" s="10"/>
      <c r="F362" s="10"/>
      <c r="G362" s="10"/>
    </row>
    <row r="363" spans="3:7">
      <c r="C363" s="19"/>
      <c r="D363" s="9"/>
      <c r="E363" s="10"/>
      <c r="F363" s="10"/>
      <c r="G363" s="10"/>
    </row>
    <row r="364" spans="3:7">
      <c r="C364" s="12"/>
      <c r="D364" s="9"/>
      <c r="E364" s="10"/>
      <c r="F364" s="10"/>
      <c r="G364" s="10"/>
    </row>
    <row r="365" spans="3:7">
      <c r="C365" s="19"/>
      <c r="D365" s="9"/>
      <c r="E365" s="10"/>
      <c r="F365" s="10"/>
      <c r="G365" s="10"/>
    </row>
    <row r="366" spans="3:7">
      <c r="C366" s="23"/>
      <c r="D366" s="20"/>
      <c r="E366" s="10"/>
      <c r="F366" s="10"/>
      <c r="G366" s="10"/>
    </row>
    <row r="367" spans="3:7">
      <c r="C367" s="23"/>
      <c r="D367" s="20"/>
      <c r="E367" s="10"/>
      <c r="F367" s="10"/>
      <c r="G367" s="10"/>
    </row>
    <row r="368" spans="3:7">
      <c r="C368" s="8"/>
      <c r="D368" s="9"/>
      <c r="E368" s="10"/>
      <c r="F368" s="10"/>
      <c r="G368" s="10"/>
    </row>
    <row r="369" spans="3:7">
      <c r="C369" s="12"/>
      <c r="D369" s="9"/>
      <c r="E369" s="10"/>
      <c r="F369" s="10"/>
      <c r="G369" s="10"/>
    </row>
    <row r="370" spans="3:7">
      <c r="C370" s="12"/>
      <c r="D370" s="9"/>
      <c r="E370" s="10"/>
      <c r="F370" s="10"/>
      <c r="G370" s="10"/>
    </row>
    <row r="371" spans="3:7">
      <c r="C371" s="8"/>
      <c r="D371" s="9"/>
      <c r="E371" s="10"/>
      <c r="F371" s="10"/>
      <c r="G371" s="10"/>
    </row>
    <row r="372" spans="3:7">
      <c r="C372" s="12"/>
      <c r="D372" s="9"/>
      <c r="E372" s="10"/>
      <c r="F372" s="10"/>
      <c r="G372" s="10"/>
    </row>
    <row r="373" spans="3:7">
      <c r="C373" s="7"/>
      <c r="D373" s="9"/>
      <c r="E373" s="10"/>
      <c r="F373" s="10"/>
      <c r="G373" s="10"/>
    </row>
    <row r="374" spans="3:7">
      <c r="C374" s="8"/>
      <c r="D374" s="9"/>
      <c r="E374" s="10"/>
      <c r="F374" s="10"/>
      <c r="G374" s="10"/>
    </row>
    <row r="375" spans="3:7">
      <c r="C375" s="12"/>
      <c r="D375" s="9"/>
      <c r="E375" s="10"/>
      <c r="F375" s="10"/>
      <c r="G375" s="10"/>
    </row>
    <row r="376" spans="3:7">
      <c r="C376" s="8"/>
      <c r="D376" s="9"/>
      <c r="E376" s="10"/>
      <c r="F376" s="10"/>
      <c r="G376" s="10"/>
    </row>
    <row r="377" spans="3:7">
      <c r="C377" s="12"/>
      <c r="D377" s="9"/>
      <c r="E377" s="10"/>
      <c r="F377" s="10"/>
      <c r="G377" s="10"/>
    </row>
    <row r="378" spans="3:7">
      <c r="C378" s="19"/>
      <c r="D378" s="9"/>
      <c r="E378" s="10"/>
      <c r="F378" s="10"/>
      <c r="G378" s="10"/>
    </row>
    <row r="379" spans="3:7">
      <c r="C379" s="12"/>
      <c r="D379" s="9"/>
      <c r="E379" s="10"/>
      <c r="F379" s="10"/>
      <c r="G379" s="10"/>
    </row>
    <row r="380" spans="3:7">
      <c r="C380" s="19"/>
      <c r="D380" s="9"/>
      <c r="E380" s="10"/>
      <c r="F380" s="10"/>
      <c r="G380" s="10"/>
    </row>
    <row r="381" spans="3:7">
      <c r="C381" s="12"/>
      <c r="D381" s="9"/>
      <c r="E381" s="10"/>
      <c r="F381" s="10"/>
      <c r="G381" s="10"/>
    </row>
    <row r="382" spans="3:7">
      <c r="C382" s="19"/>
      <c r="D382" s="9"/>
      <c r="E382" s="10"/>
      <c r="F382" s="10"/>
      <c r="G382" s="10"/>
    </row>
    <row r="383" spans="3:7">
      <c r="C383" s="23"/>
      <c r="D383" s="20"/>
      <c r="E383" s="10"/>
      <c r="F383" s="10"/>
      <c r="G383" s="10"/>
    </row>
    <row r="384" spans="3:7">
      <c r="C384" s="23"/>
      <c r="D384" s="20"/>
      <c r="E384" s="10"/>
      <c r="F384" s="10"/>
      <c r="G384" s="10"/>
    </row>
    <row r="385" spans="3:7">
      <c r="C385" s="8"/>
      <c r="D385" s="9"/>
      <c r="E385" s="10"/>
      <c r="F385" s="10"/>
      <c r="G385" s="10"/>
    </row>
    <row r="386" spans="3:7">
      <c r="C386" s="12"/>
      <c r="D386" s="9"/>
      <c r="E386" s="10"/>
      <c r="F386" s="10"/>
      <c r="G386" s="10"/>
    </row>
    <row r="387" spans="3:7">
      <c r="C387" s="12"/>
      <c r="D387" s="9"/>
      <c r="E387" s="10"/>
      <c r="F387" s="10"/>
      <c r="G387" s="10"/>
    </row>
    <row r="388" spans="3:7">
      <c r="C388" s="8"/>
      <c r="D388" s="9"/>
      <c r="E388" s="10"/>
      <c r="F388" s="10"/>
      <c r="G388" s="10"/>
    </row>
    <row r="389" spans="3:7">
      <c r="C389" s="12"/>
      <c r="D389" s="9"/>
      <c r="E389" s="10"/>
      <c r="F389" s="10"/>
      <c r="G389" s="10"/>
    </row>
    <row r="390" spans="3:7">
      <c r="C390" s="7"/>
      <c r="D390" s="9"/>
      <c r="E390" s="10"/>
      <c r="F390" s="10"/>
      <c r="G390" s="10"/>
    </row>
    <row r="391" spans="3:7">
      <c r="C391" s="8"/>
      <c r="D391" s="9"/>
      <c r="E391" s="10"/>
      <c r="F391" s="10"/>
      <c r="G391" s="10"/>
    </row>
    <row r="392" spans="3:7">
      <c r="C392" s="12"/>
      <c r="D392" s="9"/>
      <c r="E392" s="10"/>
      <c r="F392" s="10"/>
      <c r="G392" s="10"/>
    </row>
    <row r="393" spans="3:7">
      <c r="C393" s="8"/>
      <c r="D393" s="9"/>
      <c r="E393" s="10"/>
      <c r="F393" s="10"/>
      <c r="G393" s="10"/>
    </row>
    <row r="394" spans="3:7">
      <c r="C394" s="12"/>
      <c r="D394" s="9"/>
      <c r="E394" s="10"/>
      <c r="F394" s="10"/>
      <c r="G394" s="10"/>
    </row>
    <row r="395" spans="3:7">
      <c r="C395" s="19"/>
      <c r="D395" s="9"/>
      <c r="E395" s="10"/>
      <c r="F395" s="10"/>
      <c r="G395" s="10"/>
    </row>
    <row r="396" spans="3:7">
      <c r="C396" s="12"/>
      <c r="D396" s="9"/>
      <c r="E396" s="10"/>
      <c r="F396" s="10"/>
      <c r="G396" s="10"/>
    </row>
    <row r="397" spans="3:7">
      <c r="C397" s="19"/>
      <c r="D397" s="9"/>
      <c r="E397" s="10"/>
      <c r="F397" s="10"/>
      <c r="G397" s="10"/>
    </row>
    <row r="398" spans="3:7">
      <c r="C398" s="12"/>
      <c r="D398" s="9"/>
      <c r="E398" s="10"/>
      <c r="F398" s="10"/>
      <c r="G398" s="10"/>
    </row>
    <row r="399" spans="3:7">
      <c r="C399" s="19"/>
      <c r="D399" s="9"/>
      <c r="E399" s="10"/>
      <c r="F399" s="10"/>
      <c r="G399" s="10"/>
    </row>
    <row r="400" spans="3:7">
      <c r="C400" s="23"/>
      <c r="D400" s="20"/>
      <c r="E400" s="10"/>
      <c r="F400" s="10"/>
      <c r="G400" s="10"/>
    </row>
    <row r="401" spans="3:7">
      <c r="C401" s="23"/>
      <c r="D401" s="20"/>
      <c r="E401" s="10"/>
      <c r="F401" s="10"/>
      <c r="G401" s="10"/>
    </row>
    <row r="402" spans="3:7">
      <c r="C402" s="8"/>
      <c r="D402" s="9"/>
      <c r="E402" s="10"/>
      <c r="F402" s="10"/>
      <c r="G402" s="10"/>
    </row>
    <row r="403" spans="3:7">
      <c r="C403" s="12"/>
      <c r="D403" s="9"/>
      <c r="E403" s="10"/>
      <c r="F403" s="10"/>
      <c r="G403" s="10"/>
    </row>
    <row r="404" spans="3:7">
      <c r="C404" s="12"/>
      <c r="D404" s="9"/>
      <c r="E404" s="10"/>
      <c r="F404" s="10"/>
      <c r="G404" s="10"/>
    </row>
    <row r="405" spans="3:7">
      <c r="C405" s="8"/>
      <c r="D405" s="9"/>
      <c r="E405" s="10"/>
      <c r="F405" s="10"/>
      <c r="G405" s="10"/>
    </row>
    <row r="406" spans="3:7">
      <c r="C406" s="12"/>
      <c r="D406" s="9"/>
      <c r="E406" s="10"/>
      <c r="F406" s="10"/>
      <c r="G406" s="10"/>
    </row>
    <row r="407" spans="3:7">
      <c r="C407" s="7"/>
      <c r="D407" s="9"/>
      <c r="E407" s="10"/>
      <c r="F407" s="10"/>
      <c r="G407" s="10"/>
    </row>
    <row r="408" spans="3:7">
      <c r="C408" s="8"/>
      <c r="D408" s="9"/>
      <c r="E408" s="10"/>
      <c r="F408" s="10"/>
      <c r="G408" s="10"/>
    </row>
    <row r="409" spans="3:7">
      <c r="C409" s="12"/>
      <c r="D409" s="9"/>
      <c r="E409" s="10"/>
      <c r="F409" s="10"/>
      <c r="G409" s="10"/>
    </row>
    <row r="410" spans="3:7">
      <c r="C410" s="8"/>
      <c r="D410" s="9"/>
      <c r="E410" s="10"/>
      <c r="F410" s="10"/>
      <c r="G410" s="10"/>
    </row>
    <row r="411" spans="3:7">
      <c r="C411" s="12"/>
      <c r="D411" s="9"/>
      <c r="E411" s="10"/>
      <c r="F411" s="10"/>
      <c r="G411" s="10"/>
    </row>
    <row r="412" spans="3:7">
      <c r="C412" s="12"/>
      <c r="D412" s="9"/>
      <c r="E412" s="10"/>
      <c r="F412" s="10"/>
      <c r="G412" s="10"/>
    </row>
    <row r="413" spans="3:7">
      <c r="C413" s="8"/>
      <c r="D413" s="9"/>
      <c r="E413" s="10"/>
      <c r="F413" s="10"/>
      <c r="G413" s="10"/>
    </row>
    <row r="414" spans="3:7">
      <c r="C414" s="12"/>
      <c r="D414" s="9"/>
      <c r="E414" s="10"/>
      <c r="F414" s="10"/>
      <c r="G414" s="10"/>
    </row>
    <row r="415" spans="3:7">
      <c r="C415" s="8"/>
      <c r="D415" s="9"/>
      <c r="E415" s="10"/>
      <c r="F415" s="10"/>
      <c r="G415" s="10"/>
    </row>
    <row r="416" spans="3:7">
      <c r="C416" s="12"/>
      <c r="D416" s="9"/>
      <c r="E416" s="10"/>
      <c r="F416" s="10"/>
      <c r="G416" s="10"/>
    </row>
    <row r="417" spans="3:7">
      <c r="C417" s="8"/>
      <c r="D417" s="9"/>
      <c r="E417" s="10"/>
      <c r="F417" s="10"/>
      <c r="G417" s="10"/>
    </row>
    <row r="418" spans="3:7">
      <c r="C418" s="18"/>
      <c r="D418" s="9"/>
      <c r="E418" s="10"/>
      <c r="F418" s="10"/>
      <c r="G418" s="10"/>
    </row>
    <row r="419" spans="3:7">
      <c r="C419" s="19"/>
      <c r="D419" s="9"/>
      <c r="E419" s="10"/>
      <c r="F419" s="10"/>
      <c r="G419" s="10"/>
    </row>
    <row r="420" spans="3:7">
      <c r="C420" s="12"/>
      <c r="D420" s="9"/>
      <c r="E420" s="10"/>
      <c r="F420" s="10"/>
      <c r="G420" s="10"/>
    </row>
    <row r="421" spans="3:7">
      <c r="C421" s="12"/>
      <c r="D421" s="9"/>
      <c r="E421" s="10"/>
      <c r="F421" s="10"/>
      <c r="G421" s="10"/>
    </row>
    <row r="422" spans="3:7">
      <c r="C422" s="34"/>
      <c r="D422" s="20"/>
      <c r="E422" s="10"/>
      <c r="F422" s="10"/>
      <c r="G422" s="10"/>
    </row>
    <row r="423" spans="3:7">
      <c r="C423" s="23"/>
      <c r="D423" s="20"/>
      <c r="E423" s="10"/>
      <c r="F423" s="10"/>
      <c r="G423" s="10"/>
    </row>
    <row r="424" spans="3:7">
      <c r="C424" s="23"/>
      <c r="D424" s="20"/>
      <c r="E424" s="10"/>
      <c r="F424" s="10"/>
      <c r="G424" s="10"/>
    </row>
    <row r="425" spans="3:7">
      <c r="C425" s="12"/>
      <c r="D425" s="20"/>
      <c r="E425" s="10"/>
      <c r="F425" s="10"/>
      <c r="G425" s="10"/>
    </row>
    <row r="426" spans="3:7">
      <c r="C426" s="12"/>
      <c r="D426" s="20"/>
      <c r="E426" s="10"/>
      <c r="F426" s="10"/>
      <c r="G426" s="10"/>
    </row>
    <row r="427" spans="3:7">
      <c r="C427" s="12"/>
      <c r="D427" s="20"/>
      <c r="E427" s="10"/>
      <c r="F427" s="10"/>
      <c r="G427" s="10"/>
    </row>
    <row r="428" spans="3:7">
      <c r="C428" s="12"/>
      <c r="D428" s="20"/>
      <c r="E428" s="10"/>
      <c r="F428" s="10"/>
      <c r="G428" s="10"/>
    </row>
    <row r="429" spans="3:7">
      <c r="C429" s="12"/>
      <c r="D429" s="20"/>
      <c r="E429" s="10"/>
      <c r="F429" s="10"/>
      <c r="G429" s="10"/>
    </row>
    <row r="430" spans="3:7">
      <c r="C430" s="12"/>
      <c r="D430" s="20"/>
      <c r="E430" s="10"/>
      <c r="F430" s="10"/>
      <c r="G430" s="10"/>
    </row>
    <row r="431" spans="3:7">
      <c r="C431" s="8"/>
      <c r="D431" s="20"/>
      <c r="E431" s="10"/>
      <c r="F431" s="10"/>
      <c r="G431" s="10"/>
    </row>
    <row r="432" spans="3:7">
      <c r="C432" s="12"/>
      <c r="D432" s="20"/>
      <c r="E432" s="10"/>
      <c r="F432" s="10"/>
      <c r="G432" s="10"/>
    </row>
    <row r="433" spans="3:7">
      <c r="C433" s="12"/>
      <c r="D433" s="20"/>
      <c r="E433" s="10"/>
      <c r="F433" s="10"/>
      <c r="G433" s="10"/>
    </row>
    <row r="434" spans="3:7">
      <c r="C434" s="8"/>
      <c r="D434" s="20"/>
      <c r="E434" s="10"/>
      <c r="F434" s="10"/>
      <c r="G434" s="10"/>
    </row>
    <row r="435" spans="3:7">
      <c r="C435" s="12"/>
      <c r="D435" s="20"/>
      <c r="E435" s="10"/>
      <c r="F435" s="10"/>
      <c r="G435" s="10"/>
    </row>
    <row r="436" spans="3:7">
      <c r="C436" s="12"/>
      <c r="D436" s="20"/>
      <c r="E436" s="10"/>
      <c r="F436" s="10"/>
      <c r="G436" s="10"/>
    </row>
    <row r="437" spans="3:7">
      <c r="C437" s="8"/>
      <c r="D437" s="20"/>
      <c r="E437" s="10"/>
      <c r="F437" s="10"/>
      <c r="G437" s="10"/>
    </row>
    <row r="438" spans="3:7">
      <c r="C438" s="23"/>
      <c r="D438" s="20"/>
      <c r="E438" s="10"/>
      <c r="F438" s="10"/>
      <c r="G438" s="10"/>
    </row>
    <row r="439" spans="3:7">
      <c r="C439" s="23"/>
      <c r="D439" s="20"/>
      <c r="E439" s="10"/>
      <c r="F439" s="10"/>
      <c r="G439" s="10"/>
    </row>
    <row r="440" spans="3:7">
      <c r="C440" s="7"/>
      <c r="D440" s="9"/>
      <c r="E440" s="10"/>
      <c r="F440" s="10"/>
      <c r="G440" s="10"/>
    </row>
    <row r="441" spans="3:7">
      <c r="C441" s="8"/>
      <c r="D441" s="9"/>
      <c r="E441" s="10"/>
      <c r="F441" s="10"/>
      <c r="G441" s="10"/>
    </row>
    <row r="442" spans="3:7">
      <c r="C442" s="12"/>
      <c r="D442" s="9"/>
      <c r="E442" s="10"/>
      <c r="F442" s="10"/>
      <c r="G442" s="10"/>
    </row>
    <row r="443" spans="3:7">
      <c r="C443" s="8"/>
      <c r="D443" s="9"/>
      <c r="E443" s="10"/>
      <c r="F443" s="10"/>
      <c r="G443" s="10"/>
    </row>
    <row r="444" spans="3:7">
      <c r="C444" s="12"/>
      <c r="D444" s="9"/>
      <c r="E444" s="10"/>
      <c r="F444" s="10"/>
      <c r="G444" s="10"/>
    </row>
    <row r="445" spans="3:7">
      <c r="C445" s="12"/>
      <c r="D445" s="9"/>
      <c r="E445" s="10"/>
      <c r="F445" s="10"/>
      <c r="G445" s="10"/>
    </row>
    <row r="446" spans="3:7">
      <c r="C446" s="8"/>
      <c r="D446" s="9"/>
      <c r="E446" s="10"/>
      <c r="F446" s="10"/>
      <c r="G446" s="10"/>
    </row>
    <row r="447" spans="3:7">
      <c r="C447" s="12"/>
      <c r="D447" s="9"/>
      <c r="E447" s="10"/>
      <c r="F447" s="10"/>
      <c r="G447" s="10"/>
    </row>
    <row r="448" spans="3:7">
      <c r="C448" s="8"/>
      <c r="D448" s="9"/>
      <c r="E448" s="10"/>
      <c r="F448" s="10"/>
      <c r="G448" s="10"/>
    </row>
    <row r="449" spans="3:7">
      <c r="C449" s="12"/>
      <c r="D449" s="9"/>
      <c r="E449" s="10"/>
      <c r="F449" s="10"/>
      <c r="G449" s="10"/>
    </row>
    <row r="450" spans="3:7">
      <c r="C450" s="8"/>
      <c r="D450" s="9"/>
      <c r="E450" s="10"/>
      <c r="F450" s="10"/>
      <c r="G450" s="10"/>
    </row>
    <row r="451" spans="3:7">
      <c r="C451" s="18"/>
      <c r="D451" s="9"/>
      <c r="E451" s="10"/>
      <c r="F451" s="10"/>
      <c r="G451" s="10"/>
    </row>
    <row r="452" spans="3:7">
      <c r="C452" s="19"/>
      <c r="D452" s="9"/>
      <c r="E452" s="10"/>
      <c r="F452" s="10"/>
      <c r="G452" s="10"/>
    </row>
    <row r="453" spans="3:7">
      <c r="C453" s="12"/>
      <c r="D453" s="9"/>
      <c r="E453" s="10"/>
      <c r="F453" s="10"/>
      <c r="G453" s="10"/>
    </row>
    <row r="454" spans="3:7">
      <c r="C454" s="12"/>
      <c r="D454" s="9"/>
      <c r="E454" s="10"/>
      <c r="F454" s="10"/>
      <c r="G454" s="10"/>
    </row>
    <row r="455" spans="3:7">
      <c r="C455" s="34"/>
      <c r="D455" s="20"/>
      <c r="E455" s="10"/>
      <c r="F455" s="10"/>
      <c r="G455" s="10"/>
    </row>
    <row r="456" spans="3:7">
      <c r="C456" s="23"/>
      <c r="D456" s="20"/>
      <c r="E456" s="10"/>
      <c r="F456" s="10"/>
      <c r="G456" s="10"/>
    </row>
    <row r="457" spans="3:7">
      <c r="C457" s="23"/>
      <c r="D457" s="20"/>
      <c r="E457" s="10"/>
      <c r="F457" s="10"/>
      <c r="G457" s="10"/>
    </row>
    <row r="458" spans="3:7">
      <c r="C458" s="12"/>
      <c r="D458" s="20"/>
      <c r="E458" s="10"/>
      <c r="F458" s="10"/>
      <c r="G458" s="10"/>
    </row>
    <row r="459" spans="3:7">
      <c r="C459" s="12"/>
      <c r="D459" s="20"/>
      <c r="E459" s="10"/>
      <c r="F459" s="10"/>
      <c r="G459" s="10"/>
    </row>
    <row r="460" spans="3:7">
      <c r="C460" s="12"/>
      <c r="D460" s="20"/>
      <c r="E460" s="10"/>
      <c r="F460" s="10"/>
      <c r="G460" s="10"/>
    </row>
    <row r="461" spans="3:7">
      <c r="C461" s="12"/>
      <c r="D461" s="20"/>
      <c r="E461" s="10"/>
      <c r="F461" s="10"/>
      <c r="G461" s="10"/>
    </row>
    <row r="462" spans="3:7">
      <c r="C462" s="12"/>
      <c r="D462" s="20"/>
      <c r="E462" s="10"/>
      <c r="F462" s="10"/>
      <c r="G462" s="10"/>
    </row>
    <row r="463" spans="3:7">
      <c r="C463" s="12"/>
      <c r="D463" s="20"/>
      <c r="E463" s="10"/>
      <c r="F463" s="10"/>
      <c r="G463" s="10"/>
    </row>
    <row r="464" spans="3:7">
      <c r="C464" s="8"/>
      <c r="D464" s="20"/>
      <c r="E464" s="10"/>
      <c r="F464" s="10"/>
      <c r="G464" s="10"/>
    </row>
    <row r="465" spans="1:7">
      <c r="C465" s="12"/>
      <c r="D465" s="20"/>
      <c r="E465" s="10"/>
      <c r="F465" s="10"/>
      <c r="G465" s="10"/>
    </row>
    <row r="466" spans="1:7">
      <c r="C466" s="12"/>
      <c r="D466" s="20"/>
      <c r="E466" s="10"/>
      <c r="F466" s="10"/>
      <c r="G466" s="10"/>
    </row>
    <row r="467" spans="1:7">
      <c r="C467" s="8"/>
      <c r="D467" s="20"/>
      <c r="E467" s="10"/>
      <c r="F467" s="10"/>
      <c r="G467" s="10"/>
    </row>
    <row r="468" spans="1:7">
      <c r="C468" s="12"/>
      <c r="D468" s="20"/>
      <c r="E468" s="10"/>
      <c r="F468" s="10"/>
      <c r="G468" s="10"/>
    </row>
    <row r="469" spans="1:7">
      <c r="C469" s="12"/>
      <c r="D469" s="20"/>
      <c r="E469" s="10"/>
      <c r="F469" s="10"/>
      <c r="G469" s="10"/>
    </row>
    <row r="470" spans="1:7">
      <c r="C470" s="8"/>
      <c r="D470" s="20"/>
      <c r="E470" s="10"/>
      <c r="F470" s="10"/>
      <c r="G470" s="10"/>
    </row>
    <row r="471" spans="1:7">
      <c r="C471" s="23"/>
      <c r="D471" s="20"/>
      <c r="E471" s="10"/>
      <c r="F471" s="10"/>
      <c r="G471" s="10"/>
    </row>
    <row r="472" spans="1:7">
      <c r="C472" s="23"/>
      <c r="D472" s="20"/>
      <c r="E472" s="10"/>
      <c r="F472" s="10"/>
      <c r="G472" s="10"/>
    </row>
    <row r="473" spans="1:7">
      <c r="C473" s="2"/>
      <c r="D473" s="2"/>
      <c r="E473" s="2"/>
      <c r="F473" s="2"/>
      <c r="G473" s="2"/>
    </row>
    <row r="474" spans="1:7">
      <c r="C474" s="2"/>
      <c r="D474" s="2"/>
      <c r="E474" s="2"/>
      <c r="F474" s="2"/>
      <c r="G474" s="2"/>
    </row>
    <row r="475" spans="1:7">
      <c r="C475" s="2"/>
      <c r="D475" s="2"/>
      <c r="E475" s="2"/>
      <c r="F475" s="2"/>
      <c r="G475" s="2"/>
    </row>
    <row r="476" spans="1:7" s="33" customFormat="1">
      <c r="A476" s="2"/>
      <c r="B476" s="2"/>
      <c r="C476" s="2"/>
      <c r="D476" s="2"/>
      <c r="E476" s="2"/>
      <c r="F476" s="2"/>
      <c r="G476" s="2"/>
    </row>
    <row r="477" spans="1:7" s="33" customFormat="1">
      <c r="A477" s="2"/>
      <c r="B477" s="2"/>
      <c r="C477" s="2"/>
      <c r="D477" s="2"/>
      <c r="E477" s="2"/>
      <c r="F477" s="2"/>
      <c r="G477" s="2"/>
    </row>
    <row r="478" spans="1:7" s="33" customFormat="1">
      <c r="A478" s="2"/>
      <c r="B478" s="2"/>
      <c r="C478" s="2"/>
      <c r="D478" s="2"/>
      <c r="E478" s="2"/>
      <c r="F478" s="2"/>
      <c r="G478" s="2"/>
    </row>
    <row r="479" spans="1:7" s="33" customFormat="1">
      <c r="A479" s="2"/>
      <c r="B479" s="2"/>
      <c r="C479" s="2"/>
      <c r="D479" s="2"/>
      <c r="E479" s="2"/>
      <c r="F479" s="2"/>
      <c r="G479" s="2"/>
    </row>
    <row r="480" spans="1:7" s="33" customFormat="1">
      <c r="A480" s="2"/>
      <c r="B480" s="2"/>
      <c r="C480" s="2"/>
      <c r="D480" s="2"/>
      <c r="E480" s="2"/>
      <c r="F480" s="2"/>
      <c r="G480" s="2"/>
    </row>
    <row r="481" spans="1:7" s="33" customFormat="1">
      <c r="A481" s="2"/>
      <c r="B481" s="2"/>
      <c r="C481" s="2"/>
      <c r="D481" s="2"/>
      <c r="E481" s="2"/>
      <c r="F481" s="2"/>
      <c r="G481" s="2"/>
    </row>
    <row r="482" spans="1:7" s="33" customFormat="1">
      <c r="A482" s="2"/>
      <c r="B482" s="2"/>
      <c r="C482" s="2"/>
      <c r="D482" s="2"/>
      <c r="E482" s="2"/>
      <c r="F482" s="2"/>
      <c r="G482" s="2"/>
    </row>
    <row r="483" spans="1:7">
      <c r="C483" s="2"/>
      <c r="D483" s="2"/>
      <c r="E483" s="2"/>
      <c r="F483" s="2"/>
      <c r="G483" s="2"/>
    </row>
    <row r="484" spans="1:7">
      <c r="A484" s="33"/>
      <c r="B484" s="33"/>
      <c r="C484" s="252"/>
      <c r="D484" s="252"/>
      <c r="E484" s="252"/>
      <c r="F484" s="252"/>
      <c r="G484" s="252"/>
    </row>
    <row r="485" spans="1:7">
      <c r="A485" s="33"/>
      <c r="B485" s="33"/>
      <c r="C485" s="33"/>
      <c r="D485" s="252"/>
      <c r="E485" s="252"/>
      <c r="F485" s="252"/>
      <c r="G485" s="252"/>
    </row>
    <row r="486" spans="1:7">
      <c r="A486" s="33"/>
      <c r="B486" s="33"/>
      <c r="C486" s="33"/>
      <c r="D486" s="20"/>
      <c r="E486" s="20"/>
      <c r="F486" s="20"/>
      <c r="G486" s="20"/>
    </row>
    <row r="487" spans="1:7">
      <c r="A487" s="33"/>
      <c r="B487" s="33"/>
      <c r="C487" s="252"/>
      <c r="D487" s="252"/>
      <c r="E487" s="252"/>
      <c r="F487" s="252"/>
      <c r="G487" s="252"/>
    </row>
    <row r="488" spans="1:7">
      <c r="A488" s="33"/>
      <c r="B488" s="33"/>
      <c r="C488" s="33"/>
      <c r="D488" s="252"/>
      <c r="E488" s="252"/>
      <c r="F488" s="252"/>
      <c r="G488" s="252"/>
    </row>
    <row r="489" spans="1:7">
      <c r="A489" s="33"/>
      <c r="B489" s="33"/>
      <c r="C489" s="33"/>
      <c r="D489" s="20"/>
      <c r="E489" s="20"/>
      <c r="F489" s="20"/>
      <c r="G489" s="20"/>
    </row>
    <row r="490" spans="1:7">
      <c r="A490" s="33"/>
      <c r="B490" s="33"/>
      <c r="C490" s="33"/>
      <c r="D490" s="33"/>
      <c r="E490" s="33"/>
      <c r="F490" s="33"/>
      <c r="G490" s="33"/>
    </row>
    <row r="491" spans="1:7">
      <c r="C491" s="2"/>
      <c r="D491" s="2"/>
      <c r="E491" s="2"/>
      <c r="F491" s="2"/>
      <c r="G491" s="2"/>
    </row>
    <row r="492" spans="1:7">
      <c r="C492" s="2"/>
      <c r="D492" s="2"/>
      <c r="E492" s="2"/>
      <c r="F492" s="2"/>
      <c r="G492" s="2"/>
    </row>
    <row r="493" spans="1:7">
      <c r="C493" s="2"/>
      <c r="D493" s="2"/>
      <c r="E493" s="2"/>
      <c r="F493" s="2"/>
      <c r="G493" s="2"/>
    </row>
    <row r="494" spans="1:7">
      <c r="C494" s="2"/>
      <c r="D494" s="2"/>
      <c r="E494" s="2"/>
      <c r="F494" s="2"/>
      <c r="G494" s="2"/>
    </row>
    <row r="495" spans="1:7">
      <c r="C495" s="2"/>
      <c r="D495" s="2"/>
      <c r="E495" s="2"/>
      <c r="F495" s="2"/>
      <c r="G495" s="2"/>
    </row>
    <row r="496" spans="1:7">
      <c r="C496" s="2"/>
      <c r="D496" s="2"/>
      <c r="E496" s="2"/>
      <c r="F496" s="2"/>
      <c r="G496" s="2"/>
    </row>
    <row r="497" spans="3:7">
      <c r="C497" s="2"/>
      <c r="D497" s="2"/>
      <c r="E497" s="2"/>
      <c r="F497" s="2"/>
      <c r="G497" s="2"/>
    </row>
    <row r="498" spans="3:7">
      <c r="C498" s="2"/>
      <c r="D498" s="2"/>
      <c r="E498" s="2"/>
      <c r="F498" s="2"/>
      <c r="G498" s="2"/>
    </row>
    <row r="499" spans="3:7">
      <c r="C499" s="7"/>
      <c r="D499" s="2"/>
      <c r="E499" s="2"/>
      <c r="F499" s="2"/>
      <c r="G499" s="2"/>
    </row>
    <row r="500" spans="3:7">
      <c r="C500" s="8"/>
      <c r="D500" s="11"/>
      <c r="E500" s="10"/>
      <c r="F500" s="10"/>
      <c r="G500" s="5"/>
    </row>
    <row r="501" spans="3:7">
      <c r="C501" s="8"/>
      <c r="D501" s="11"/>
      <c r="E501" s="10"/>
      <c r="F501" s="10"/>
      <c r="G501" s="10"/>
    </row>
    <row r="502" spans="3:7">
      <c r="C502" s="12"/>
      <c r="D502" s="11"/>
      <c r="E502" s="10"/>
      <c r="F502" s="10"/>
      <c r="G502" s="10"/>
    </row>
    <row r="503" spans="3:7">
      <c r="C503" s="12"/>
      <c r="D503" s="11"/>
      <c r="E503" s="10"/>
      <c r="F503" s="10"/>
      <c r="G503" s="10"/>
    </row>
    <row r="504" spans="3:7">
      <c r="C504" s="8"/>
      <c r="D504" s="11"/>
      <c r="E504" s="10"/>
      <c r="F504" s="10"/>
      <c r="G504" s="10"/>
    </row>
    <row r="505" spans="3:7">
      <c r="C505" s="12"/>
      <c r="D505" s="11"/>
      <c r="E505" s="10"/>
      <c r="F505" s="10"/>
      <c r="G505" s="10"/>
    </row>
    <row r="506" spans="3:7">
      <c r="C506" s="12"/>
      <c r="D506" s="11"/>
      <c r="E506" s="10"/>
      <c r="F506" s="10"/>
      <c r="G506" s="10"/>
    </row>
    <row r="507" spans="3:7">
      <c r="C507" s="12"/>
      <c r="D507" s="11"/>
      <c r="E507" s="10"/>
      <c r="F507" s="10"/>
      <c r="G507" s="10"/>
    </row>
    <row r="508" spans="3:7">
      <c r="C508" s="8"/>
      <c r="D508" s="11"/>
      <c r="E508" s="10"/>
      <c r="F508" s="10"/>
      <c r="G508" s="10"/>
    </row>
    <row r="509" spans="3:7">
      <c r="C509" s="12"/>
      <c r="D509" s="11"/>
      <c r="E509" s="10"/>
      <c r="F509" s="10"/>
      <c r="G509" s="10"/>
    </row>
    <row r="510" spans="3:7">
      <c r="C510" s="12"/>
      <c r="D510" s="11"/>
      <c r="E510" s="10"/>
      <c r="F510" s="10"/>
      <c r="G510" s="10"/>
    </row>
    <row r="511" spans="3:7">
      <c r="C511" s="8"/>
      <c r="D511" s="11"/>
      <c r="E511" s="10"/>
      <c r="F511" s="10"/>
      <c r="G511" s="10"/>
    </row>
    <row r="512" spans="3:7">
      <c r="C512" s="12"/>
      <c r="D512" s="11"/>
      <c r="E512" s="10"/>
      <c r="F512" s="10"/>
      <c r="G512" s="10"/>
    </row>
    <row r="513" spans="3:7">
      <c r="C513" s="12"/>
      <c r="D513" s="11"/>
      <c r="E513" s="10"/>
      <c r="F513" s="10"/>
      <c r="G513" s="10"/>
    </row>
    <row r="514" spans="3:7">
      <c r="C514" s="37"/>
      <c r="D514" s="10"/>
      <c r="E514" s="10"/>
      <c r="F514" s="10"/>
      <c r="G514" s="10"/>
    </row>
    <row r="515" spans="3:7">
      <c r="C515" s="38"/>
      <c r="D515" s="10"/>
      <c r="E515" s="10"/>
      <c r="F515" s="10"/>
      <c r="G515" s="10"/>
    </row>
    <row r="516" spans="3:7">
      <c r="C516" s="13"/>
      <c r="D516" s="14"/>
      <c r="E516" s="14"/>
      <c r="F516" s="14"/>
      <c r="G516" s="14"/>
    </row>
    <row r="517" spans="3:7">
      <c r="C517" s="15"/>
      <c r="D517" s="16"/>
      <c r="E517" s="10"/>
      <c r="F517" s="10"/>
      <c r="G517" s="10"/>
    </row>
    <row r="518" spans="3:7">
      <c r="C518" s="15"/>
      <c r="D518" s="16"/>
      <c r="E518" s="10"/>
      <c r="F518" s="10"/>
      <c r="G518" s="10"/>
    </row>
    <row r="519" spans="3:7">
      <c r="C519" s="15"/>
      <c r="D519" s="16"/>
      <c r="E519" s="10"/>
      <c r="F519" s="10"/>
      <c r="G519" s="10"/>
    </row>
    <row r="520" spans="3:7">
      <c r="C520" s="15"/>
      <c r="D520" s="16"/>
      <c r="E520" s="10"/>
      <c r="F520" s="10"/>
      <c r="G520" s="10"/>
    </row>
    <row r="521" spans="3:7">
      <c r="C521" s="15"/>
      <c r="D521" s="16"/>
      <c r="E521" s="10"/>
      <c r="F521" s="10"/>
      <c r="G521" s="10"/>
    </row>
    <row r="522" spans="3:7">
      <c r="C522" s="15"/>
      <c r="D522" s="16"/>
      <c r="E522" s="10"/>
      <c r="F522" s="10"/>
      <c r="G522" s="10"/>
    </row>
    <row r="523" spans="3:7">
      <c r="C523" s="17"/>
      <c r="D523" s="11"/>
      <c r="E523" s="16"/>
      <c r="F523" s="5"/>
      <c r="G523" s="5"/>
    </row>
    <row r="524" spans="3:7">
      <c r="C524" s="18"/>
      <c r="D524" s="11"/>
      <c r="E524" s="16"/>
      <c r="F524" s="5"/>
      <c r="G524" s="5"/>
    </row>
    <row r="525" spans="3:7">
      <c r="C525" s="18"/>
      <c r="D525" s="11"/>
      <c r="E525" s="16"/>
      <c r="F525" s="5"/>
      <c r="G525" s="5"/>
    </row>
    <row r="526" spans="3:7">
      <c r="C526" s="18"/>
      <c r="D526" s="11"/>
      <c r="E526" s="16"/>
      <c r="F526" s="5"/>
      <c r="G526" s="5"/>
    </row>
    <row r="527" spans="3:7">
      <c r="C527" s="17"/>
      <c r="D527" s="11"/>
      <c r="E527" s="16"/>
      <c r="F527" s="5"/>
      <c r="G527" s="5"/>
    </row>
    <row r="528" spans="3:7">
      <c r="C528" s="18"/>
      <c r="D528" s="11"/>
      <c r="E528" s="16"/>
      <c r="F528" s="5"/>
      <c r="G528" s="5"/>
    </row>
    <row r="529" spans="3:7">
      <c r="C529" s="18"/>
      <c r="D529" s="11"/>
      <c r="E529" s="16"/>
      <c r="F529" s="5"/>
      <c r="G529" s="5"/>
    </row>
    <row r="530" spans="3:7">
      <c r="C530" s="18"/>
      <c r="D530" s="11"/>
      <c r="E530" s="16"/>
      <c r="F530" s="5"/>
      <c r="G530" s="5"/>
    </row>
    <row r="531" spans="3:7">
      <c r="C531" s="18"/>
      <c r="D531" s="11"/>
      <c r="E531" s="16"/>
      <c r="F531" s="5"/>
      <c r="G531" s="5"/>
    </row>
    <row r="532" spans="3:7">
      <c r="C532" s="18"/>
      <c r="D532" s="11"/>
      <c r="E532" s="16"/>
      <c r="F532" s="5"/>
      <c r="G532" s="5"/>
    </row>
    <row r="533" spans="3:7">
      <c r="C533" s="18"/>
      <c r="D533" s="11"/>
      <c r="E533" s="16"/>
      <c r="F533" s="5"/>
      <c r="G533" s="5"/>
    </row>
    <row r="534" spans="3:7">
      <c r="C534" s="18"/>
      <c r="D534" s="11"/>
      <c r="E534" s="16"/>
      <c r="F534" s="5"/>
      <c r="G534" s="5"/>
    </row>
    <row r="535" spans="3:7">
      <c r="C535" s="18"/>
      <c r="D535" s="11"/>
      <c r="E535" s="16"/>
      <c r="F535" s="5"/>
      <c r="G535" s="5"/>
    </row>
    <row r="536" spans="3:7">
      <c r="C536" s="18"/>
      <c r="D536" s="11"/>
      <c r="E536" s="16"/>
      <c r="F536" s="5"/>
      <c r="G536" s="5"/>
    </row>
    <row r="537" spans="3:7">
      <c r="C537" s="2"/>
      <c r="D537" s="2"/>
      <c r="E537" s="2"/>
      <c r="F537" s="2"/>
      <c r="G537" s="2"/>
    </row>
    <row r="538" spans="3:7">
      <c r="C538" s="2"/>
      <c r="D538" s="2"/>
      <c r="E538" s="2"/>
      <c r="F538" s="2"/>
      <c r="G538" s="2"/>
    </row>
    <row r="539" spans="3:7">
      <c r="C539" s="2"/>
      <c r="D539" s="2"/>
      <c r="E539" s="2"/>
      <c r="F539" s="2"/>
      <c r="G539" s="2"/>
    </row>
    <row r="540" spans="3:7">
      <c r="C540" s="2"/>
      <c r="D540" s="2"/>
      <c r="E540" s="2"/>
      <c r="F540" s="2"/>
      <c r="G540" s="2"/>
    </row>
    <row r="541" spans="3:7">
      <c r="C541" s="2"/>
      <c r="D541" s="2"/>
      <c r="E541" s="2"/>
      <c r="F541" s="2"/>
      <c r="G541" s="2"/>
    </row>
    <row r="542" spans="3:7">
      <c r="C542" s="2"/>
      <c r="D542" s="2"/>
      <c r="E542" s="2"/>
      <c r="F542" s="2"/>
      <c r="G542" s="2"/>
    </row>
    <row r="543" spans="3:7">
      <c r="C543" s="2"/>
      <c r="D543" s="2"/>
      <c r="E543" s="2"/>
      <c r="F543" s="2"/>
      <c r="G543" s="2"/>
    </row>
    <row r="544" spans="3:7">
      <c r="C544" s="2"/>
      <c r="D544" s="2"/>
      <c r="E544" s="2"/>
      <c r="F544" s="2"/>
      <c r="G544" s="2"/>
    </row>
    <row r="545" spans="3:7">
      <c r="C545" s="2"/>
      <c r="D545" s="2"/>
      <c r="E545" s="2"/>
      <c r="F545" s="2"/>
      <c r="G545" s="2"/>
    </row>
    <row r="546" spans="3:7">
      <c r="C546" s="2"/>
      <c r="D546" s="2"/>
      <c r="E546" s="2"/>
      <c r="F546" s="2"/>
      <c r="G546" s="2"/>
    </row>
    <row r="547" spans="3:7">
      <c r="C547" s="2"/>
      <c r="D547" s="2"/>
      <c r="E547" s="2"/>
      <c r="F547" s="2"/>
      <c r="G547" s="2"/>
    </row>
    <row r="548" spans="3:7">
      <c r="C548" s="2"/>
      <c r="D548" s="2"/>
      <c r="E548" s="2"/>
      <c r="F548" s="2"/>
      <c r="G548" s="2"/>
    </row>
    <row r="549" spans="3:7">
      <c r="C549" s="2"/>
      <c r="D549" s="2"/>
      <c r="E549" s="2"/>
      <c r="F549" s="2"/>
      <c r="G549" s="2"/>
    </row>
    <row r="550" spans="3:7">
      <c r="C550" s="2"/>
      <c r="D550" s="2"/>
      <c r="E550" s="2"/>
      <c r="F550" s="2"/>
      <c r="G550" s="2"/>
    </row>
    <row r="551" spans="3:7">
      <c r="C551" s="2"/>
      <c r="D551" s="2"/>
      <c r="E551" s="2"/>
      <c r="F551" s="2"/>
      <c r="G551" s="2"/>
    </row>
    <row r="552" spans="3:7">
      <c r="C552" s="2"/>
      <c r="D552" s="2"/>
      <c r="E552" s="2"/>
      <c r="F552" s="2"/>
      <c r="G552" s="2"/>
    </row>
    <row r="553" spans="3:7">
      <c r="C553" s="2"/>
      <c r="D553" s="2"/>
      <c r="E553" s="2"/>
      <c r="F553" s="2"/>
      <c r="G553" s="2"/>
    </row>
    <row r="554" spans="3:7">
      <c r="C554" s="2"/>
      <c r="D554" s="2"/>
      <c r="E554" s="2"/>
      <c r="F554" s="2"/>
      <c r="G554" s="2"/>
    </row>
    <row r="555" spans="3:7">
      <c r="C555" s="2"/>
      <c r="D555" s="2"/>
      <c r="E555" s="2"/>
      <c r="F555" s="2"/>
      <c r="G555" s="2"/>
    </row>
    <row r="556" spans="3:7">
      <c r="C556" s="2"/>
      <c r="D556" s="2"/>
      <c r="E556" s="2"/>
      <c r="F556" s="2"/>
      <c r="G556" s="2"/>
    </row>
    <row r="557" spans="3:7">
      <c r="C557" s="2"/>
      <c r="D557" s="2"/>
      <c r="E557" s="2"/>
      <c r="F557" s="2"/>
      <c r="G557" s="2"/>
    </row>
    <row r="558" spans="3:7">
      <c r="C558" s="2"/>
      <c r="D558" s="2"/>
      <c r="E558" s="2"/>
      <c r="F558" s="2"/>
      <c r="G558" s="2"/>
    </row>
    <row r="559" spans="3:7">
      <c r="C559" s="2"/>
      <c r="D559" s="2"/>
      <c r="E559" s="2"/>
      <c r="F559" s="2"/>
      <c r="G559" s="2"/>
    </row>
    <row r="560" spans="3:7">
      <c r="C560" s="2"/>
      <c r="D560" s="2"/>
      <c r="E560" s="2"/>
      <c r="F560" s="2"/>
      <c r="G560" s="2"/>
    </row>
    <row r="561" spans="3:7">
      <c r="C561" s="2"/>
      <c r="D561" s="2"/>
      <c r="E561" s="2"/>
      <c r="F561" s="2"/>
      <c r="G561" s="2"/>
    </row>
    <row r="562" spans="3:7">
      <c r="C562" s="2"/>
      <c r="D562" s="2"/>
      <c r="E562" s="2"/>
      <c r="F562" s="2"/>
      <c r="G562" s="2"/>
    </row>
    <row r="563" spans="3:7">
      <c r="C563" s="2"/>
      <c r="D563" s="2"/>
      <c r="E563" s="2"/>
      <c r="F563" s="2"/>
      <c r="G563" s="2"/>
    </row>
    <row r="564" spans="3:7">
      <c r="C564" s="2"/>
      <c r="D564" s="2"/>
      <c r="E564" s="2"/>
      <c r="F564" s="2"/>
      <c r="G564" s="2"/>
    </row>
    <row r="565" spans="3:7">
      <c r="C565" s="2"/>
      <c r="D565" s="2"/>
      <c r="E565" s="2"/>
      <c r="F565" s="2"/>
      <c r="G565" s="2"/>
    </row>
    <row r="566" spans="3:7">
      <c r="C566" s="2"/>
      <c r="D566" s="2"/>
      <c r="E566" s="2"/>
      <c r="F566" s="2"/>
      <c r="G566" s="2"/>
    </row>
    <row r="567" spans="3:7">
      <c r="C567" s="2"/>
      <c r="D567" s="2"/>
      <c r="E567" s="2"/>
      <c r="F567" s="2"/>
      <c r="G567" s="2"/>
    </row>
    <row r="568" spans="3:7">
      <c r="C568" s="2"/>
      <c r="D568" s="2"/>
      <c r="E568" s="2"/>
      <c r="F568" s="2"/>
      <c r="G568" s="2"/>
    </row>
    <row r="569" spans="3:7">
      <c r="C569" s="2"/>
      <c r="D569" s="2"/>
      <c r="E569" s="2"/>
      <c r="F569" s="2"/>
      <c r="G569" s="2"/>
    </row>
    <row r="570" spans="3:7">
      <c r="C570" s="2"/>
      <c r="D570" s="2"/>
      <c r="E570" s="2"/>
      <c r="F570" s="2"/>
      <c r="G570" s="2"/>
    </row>
    <row r="571" spans="3:7">
      <c r="C571" s="2"/>
      <c r="D571" s="2"/>
      <c r="E571" s="2"/>
      <c r="F571" s="2"/>
      <c r="G571" s="2"/>
    </row>
    <row r="572" spans="3:7">
      <c r="C572" s="2"/>
      <c r="D572" s="2"/>
      <c r="E572" s="2"/>
      <c r="F572" s="2"/>
      <c r="G572" s="2"/>
    </row>
    <row r="573" spans="3:7">
      <c r="C573" s="2"/>
      <c r="D573" s="2"/>
      <c r="E573" s="2"/>
      <c r="F573" s="2"/>
      <c r="G573" s="2"/>
    </row>
    <row r="574" spans="3:7">
      <c r="C574" s="2"/>
      <c r="D574" s="2"/>
      <c r="E574" s="2"/>
      <c r="F574" s="2"/>
      <c r="G574" s="2"/>
    </row>
    <row r="575" spans="3:7">
      <c r="C575" s="2"/>
      <c r="D575" s="2"/>
      <c r="E575" s="2"/>
      <c r="F575" s="2"/>
      <c r="G575" s="2"/>
    </row>
    <row r="576" spans="3:7">
      <c r="C576" s="2"/>
      <c r="D576" s="2"/>
      <c r="E576" s="2"/>
      <c r="F576" s="2"/>
      <c r="G576" s="2"/>
    </row>
    <row r="577" spans="3:7">
      <c r="C577" s="2"/>
      <c r="D577" s="2"/>
      <c r="E577" s="2"/>
      <c r="F577" s="2"/>
      <c r="G577" s="2"/>
    </row>
    <row r="578" spans="3:7">
      <c r="C578" s="2"/>
      <c r="D578" s="2"/>
      <c r="E578" s="2"/>
      <c r="F578" s="2"/>
      <c r="G578" s="2"/>
    </row>
    <row r="579" spans="3:7">
      <c r="C579" s="2"/>
      <c r="D579" s="2"/>
      <c r="E579" s="2"/>
      <c r="F579" s="2"/>
      <c r="G579" s="2"/>
    </row>
    <row r="580" spans="3:7">
      <c r="C580" s="2"/>
      <c r="D580" s="2"/>
      <c r="E580" s="2"/>
      <c r="F580" s="2"/>
      <c r="G580" s="2"/>
    </row>
    <row r="581" spans="3:7">
      <c r="C581" s="2"/>
      <c r="D581" s="2"/>
      <c r="E581" s="2"/>
      <c r="F581" s="2"/>
      <c r="G581" s="2"/>
    </row>
    <row r="582" spans="3:7">
      <c r="C582" s="2"/>
      <c r="D582" s="2"/>
      <c r="E582" s="2"/>
      <c r="F582" s="2"/>
      <c r="G582" s="2"/>
    </row>
    <row r="583" spans="3:7">
      <c r="C583" s="2"/>
      <c r="D583" s="2"/>
      <c r="E583" s="2"/>
      <c r="F583" s="2"/>
      <c r="G583" s="2"/>
    </row>
    <row r="584" spans="3:7">
      <c r="C584" s="2"/>
      <c r="D584" s="2"/>
      <c r="E584" s="2"/>
      <c r="F584" s="2"/>
      <c r="G584" s="2"/>
    </row>
    <row r="585" spans="3:7">
      <c r="C585" s="2"/>
      <c r="D585" s="2"/>
      <c r="E585" s="2"/>
      <c r="F585" s="2"/>
      <c r="G585" s="2"/>
    </row>
    <row r="586" spans="3:7">
      <c r="C586" s="2"/>
      <c r="D586" s="2"/>
      <c r="E586" s="2"/>
      <c r="F586" s="2"/>
      <c r="G586" s="2"/>
    </row>
    <row r="587" spans="3:7">
      <c r="C587" s="2"/>
      <c r="D587" s="2"/>
      <c r="E587" s="2"/>
      <c r="F587" s="2"/>
      <c r="G587" s="2"/>
    </row>
    <row r="588" spans="3:7">
      <c r="C588" s="2"/>
      <c r="D588" s="2"/>
      <c r="E588" s="2"/>
      <c r="F588" s="2"/>
      <c r="G588" s="2"/>
    </row>
    <row r="589" spans="3:7">
      <c r="C589" s="2"/>
      <c r="D589" s="2"/>
      <c r="E589" s="2"/>
      <c r="F589" s="2"/>
      <c r="G589" s="2"/>
    </row>
    <row r="590" spans="3:7">
      <c r="C590" s="2"/>
      <c r="D590" s="2"/>
      <c r="E590" s="2"/>
      <c r="F590" s="2"/>
      <c r="G590" s="2"/>
    </row>
    <row r="591" spans="3:7">
      <c r="C591" s="2"/>
      <c r="D591" s="2"/>
      <c r="E591" s="2"/>
      <c r="F591" s="2"/>
      <c r="G591" s="2"/>
    </row>
    <row r="592" spans="3:7">
      <c r="C592" s="2"/>
      <c r="D592" s="2"/>
      <c r="E592" s="2"/>
      <c r="F592" s="2"/>
      <c r="G592" s="2"/>
    </row>
    <row r="593" spans="3:7">
      <c r="C593" s="2"/>
      <c r="D593" s="2"/>
      <c r="E593" s="2"/>
      <c r="F593" s="2"/>
      <c r="G593" s="2"/>
    </row>
    <row r="594" spans="3:7">
      <c r="C594" s="2"/>
      <c r="D594" s="2"/>
      <c r="E594" s="2"/>
      <c r="F594" s="2"/>
      <c r="G594" s="2"/>
    </row>
    <row r="595" spans="3:7">
      <c r="C595" s="2"/>
      <c r="D595" s="2"/>
      <c r="E595" s="2"/>
      <c r="F595" s="2"/>
      <c r="G595" s="2"/>
    </row>
    <row r="596" spans="3:7">
      <c r="C596" s="2"/>
      <c r="D596" s="2"/>
      <c r="E596" s="2"/>
      <c r="F596" s="2"/>
      <c r="G596" s="2"/>
    </row>
    <row r="597" spans="3:7">
      <c r="C597" s="2"/>
      <c r="D597" s="2"/>
      <c r="E597" s="2"/>
      <c r="F597" s="2"/>
      <c r="G597" s="2"/>
    </row>
    <row r="598" spans="3:7">
      <c r="C598" s="2"/>
      <c r="D598" s="2"/>
      <c r="E598" s="2"/>
      <c r="F598" s="2"/>
      <c r="G598" s="2"/>
    </row>
    <row r="599" spans="3:7">
      <c r="C599" s="2"/>
      <c r="D599" s="2"/>
      <c r="E599" s="2"/>
      <c r="F599" s="2"/>
      <c r="G599" s="2"/>
    </row>
    <row r="600" spans="3:7">
      <c r="C600" s="2"/>
      <c r="D600" s="2"/>
      <c r="E600" s="2"/>
      <c r="F600" s="2"/>
      <c r="G600" s="2"/>
    </row>
    <row r="601" spans="3:7">
      <c r="C601" s="2"/>
      <c r="D601" s="2"/>
      <c r="E601" s="2"/>
      <c r="F601" s="2"/>
      <c r="G601" s="2"/>
    </row>
    <row r="602" spans="3:7">
      <c r="C602" s="2"/>
      <c r="D602" s="2"/>
      <c r="E602" s="2"/>
      <c r="F602" s="2"/>
      <c r="G602" s="2"/>
    </row>
    <row r="603" spans="3:7">
      <c r="C603" s="2"/>
      <c r="D603" s="2"/>
      <c r="E603" s="2"/>
      <c r="F603" s="2"/>
      <c r="G603" s="2"/>
    </row>
    <row r="604" spans="3:7">
      <c r="C604" s="2"/>
      <c r="D604" s="2"/>
      <c r="E604" s="2"/>
      <c r="F604" s="2"/>
      <c r="G604" s="2"/>
    </row>
    <row r="605" spans="3:7">
      <c r="C605" s="2"/>
      <c r="D605" s="2"/>
      <c r="E605" s="2"/>
      <c r="F605" s="2"/>
      <c r="G605" s="2"/>
    </row>
    <row r="606" spans="3:7">
      <c r="C606" s="2"/>
      <c r="D606" s="2"/>
      <c r="E606" s="2"/>
      <c r="F606" s="2"/>
      <c r="G606" s="2"/>
    </row>
    <row r="607" spans="3:7">
      <c r="C607" s="2"/>
      <c r="D607" s="2"/>
      <c r="E607" s="2"/>
      <c r="F607" s="2"/>
      <c r="G607" s="2"/>
    </row>
    <row r="608" spans="3:7">
      <c r="C608" s="2"/>
      <c r="D608" s="2"/>
      <c r="E608" s="2"/>
      <c r="F608" s="2"/>
      <c r="G608" s="2"/>
    </row>
    <row r="609" spans="3:7">
      <c r="C609" s="2"/>
      <c r="D609" s="2"/>
      <c r="E609" s="2"/>
      <c r="F609" s="2"/>
      <c r="G609" s="2"/>
    </row>
    <row r="610" spans="3:7">
      <c r="C610" s="2"/>
      <c r="D610" s="2"/>
      <c r="E610" s="2"/>
      <c r="F610" s="2"/>
      <c r="G610" s="2"/>
    </row>
    <row r="611" spans="3:7">
      <c r="C611" s="2"/>
      <c r="D611" s="2"/>
      <c r="E611" s="2"/>
      <c r="F611" s="2"/>
      <c r="G611" s="2"/>
    </row>
    <row r="612" spans="3:7">
      <c r="C612" s="2"/>
      <c r="D612" s="2"/>
      <c r="E612" s="2"/>
      <c r="F612" s="2"/>
      <c r="G612" s="2"/>
    </row>
    <row r="613" spans="3:7">
      <c r="C613" s="2"/>
      <c r="D613" s="2"/>
      <c r="E613" s="2"/>
      <c r="F613" s="2"/>
      <c r="G613" s="2"/>
    </row>
    <row r="614" spans="3:7">
      <c r="C614" s="2"/>
      <c r="D614" s="2"/>
      <c r="E614" s="2"/>
      <c r="F614" s="2"/>
      <c r="G614" s="2"/>
    </row>
  </sheetData>
  <mergeCells count="23">
    <mergeCell ref="C484:G484"/>
    <mergeCell ref="D485:G485"/>
    <mergeCell ref="C487:G487"/>
    <mergeCell ref="D488:G488"/>
    <mergeCell ref="G12:G13"/>
    <mergeCell ref="E84:G84"/>
    <mergeCell ref="C86:G86"/>
    <mergeCell ref="C87:G87"/>
    <mergeCell ref="C89:G89"/>
    <mergeCell ref="C90:G90"/>
    <mergeCell ref="A12:A13"/>
    <mergeCell ref="B12:B13"/>
    <mergeCell ref="C12:C13"/>
    <mergeCell ref="D12:D13"/>
    <mergeCell ref="E12:E13"/>
    <mergeCell ref="F12:F13"/>
    <mergeCell ref="A2:G2"/>
    <mergeCell ref="A4:G4"/>
    <mergeCell ref="A5:G5"/>
    <mergeCell ref="A10:G10"/>
    <mergeCell ref="A7:K7"/>
    <mergeCell ref="A8:N8"/>
    <mergeCell ref="A9:I9"/>
  </mergeCells>
  <pageMargins left="0.70866141732283472" right="0.70866141732283472" top="0.74803149606299213" bottom="0.74803149606299213" header="0.31496062992125984" footer="0.31496062992125984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P376"/>
  <sheetViews>
    <sheetView topLeftCell="A358" workbookViewId="0">
      <selection activeCell="C384" sqref="C384"/>
    </sheetView>
  </sheetViews>
  <sheetFormatPr defaultRowHeight="15"/>
  <cols>
    <col min="1" max="1" width="7.42578125" customWidth="1"/>
    <col min="2" max="2" width="7.85546875" customWidth="1"/>
    <col min="3" max="3" width="41.28515625" customWidth="1"/>
  </cols>
  <sheetData>
    <row r="1" spans="1:16">
      <c r="A1" s="258" t="s">
        <v>1868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162"/>
      <c r="N1" s="162"/>
      <c r="O1" s="162"/>
      <c r="P1" s="162"/>
    </row>
    <row r="2" spans="1:16">
      <c r="A2" s="143"/>
      <c r="B2" s="143"/>
      <c r="C2" s="16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</row>
    <row r="3" spans="1:16">
      <c r="A3" s="243" t="s">
        <v>1864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143"/>
      <c r="N3" s="143"/>
      <c r="O3" s="143"/>
      <c r="P3" s="143"/>
    </row>
    <row r="4" spans="1:16">
      <c r="A4" s="260" t="s">
        <v>1863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143"/>
      <c r="N4" s="143"/>
      <c r="O4" s="143"/>
      <c r="P4" s="143"/>
    </row>
    <row r="5" spans="1:16">
      <c r="A5" s="255" t="s">
        <v>1862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143"/>
      <c r="N5" s="143"/>
      <c r="O5" s="143"/>
      <c r="P5" s="143"/>
    </row>
    <row r="6" spans="1:16">
      <c r="A6" s="143"/>
      <c r="B6" s="143"/>
      <c r="C6" s="16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</row>
    <row r="7" spans="1:16">
      <c r="A7" s="86"/>
      <c r="B7" s="86"/>
      <c r="C7" s="243" t="s">
        <v>636</v>
      </c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121"/>
      <c r="O7" s="121"/>
      <c r="P7" s="121"/>
    </row>
    <row r="8" spans="1:16">
      <c r="A8" s="86"/>
      <c r="B8" s="86"/>
      <c r="C8" s="243" t="s">
        <v>637</v>
      </c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</row>
    <row r="9" spans="1:16">
      <c r="A9" s="86"/>
      <c r="B9" s="86"/>
      <c r="C9" s="243" t="s">
        <v>638</v>
      </c>
      <c r="D9" s="243"/>
      <c r="E9" s="243"/>
      <c r="F9" s="243"/>
      <c r="G9" s="243"/>
      <c r="H9" s="243"/>
      <c r="I9" s="243"/>
      <c r="J9" s="243"/>
      <c r="K9" s="243"/>
      <c r="L9" s="86"/>
      <c r="M9" s="86"/>
      <c r="N9" s="122"/>
      <c r="O9" s="122"/>
      <c r="P9" s="86"/>
    </row>
    <row r="10" spans="1:16" ht="27" customHeight="1">
      <c r="A10" s="86"/>
      <c r="B10" s="86"/>
      <c r="C10" s="123" t="s">
        <v>639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</row>
    <row r="11" spans="1:16">
      <c r="A11" s="248" t="s">
        <v>11</v>
      </c>
      <c r="B11" s="249" t="s">
        <v>34</v>
      </c>
      <c r="C11" s="248" t="s">
        <v>12</v>
      </c>
      <c r="D11" s="248" t="s">
        <v>13</v>
      </c>
      <c r="E11" s="248" t="s">
        <v>14</v>
      </c>
      <c r="F11" s="244" t="s">
        <v>19</v>
      </c>
      <c r="G11" s="244" t="s">
        <v>20</v>
      </c>
    </row>
    <row r="12" spans="1:16" ht="30.75" customHeight="1">
      <c r="A12" s="248"/>
      <c r="B12" s="250"/>
      <c r="C12" s="248"/>
      <c r="D12" s="248"/>
      <c r="E12" s="248"/>
      <c r="F12" s="251"/>
      <c r="G12" s="244"/>
    </row>
    <row r="13" spans="1:16" ht="15" customHeight="1">
      <c r="A13" s="87" t="s">
        <v>61</v>
      </c>
      <c r="B13" s="90"/>
      <c r="C13" s="164" t="s">
        <v>1200</v>
      </c>
      <c r="D13" s="165"/>
      <c r="E13" s="166"/>
      <c r="F13" s="28"/>
      <c r="G13" s="26"/>
    </row>
    <row r="14" spans="1:16" ht="15" customHeight="1">
      <c r="A14" s="85" t="s">
        <v>1201</v>
      </c>
      <c r="B14" s="90"/>
      <c r="C14" s="164" t="s">
        <v>1202</v>
      </c>
      <c r="D14" s="165"/>
      <c r="E14" s="166"/>
      <c r="F14" s="28"/>
      <c r="G14" s="26"/>
    </row>
    <row r="15" spans="1:16" ht="129" customHeight="1">
      <c r="A15" s="85" t="s">
        <v>1203</v>
      </c>
      <c r="B15" s="90"/>
      <c r="C15" s="167" t="s">
        <v>1204</v>
      </c>
      <c r="D15" s="168" t="s">
        <v>1205</v>
      </c>
      <c r="E15" s="169">
        <v>1</v>
      </c>
      <c r="F15" s="28"/>
      <c r="G15" s="26"/>
    </row>
    <row r="16" spans="1:16" ht="27" customHeight="1">
      <c r="A16" s="85" t="s">
        <v>1206</v>
      </c>
      <c r="B16" s="90"/>
      <c r="C16" s="170" t="s">
        <v>1207</v>
      </c>
      <c r="D16" s="168" t="s">
        <v>1205</v>
      </c>
      <c r="E16" s="169">
        <v>1</v>
      </c>
      <c r="F16" s="28"/>
      <c r="G16" s="26"/>
    </row>
    <row r="17" spans="1:7" ht="27.75" customHeight="1">
      <c r="A17" s="85" t="s">
        <v>1208</v>
      </c>
      <c r="B17" s="90"/>
      <c r="C17" s="170" t="s">
        <v>1209</v>
      </c>
      <c r="D17" s="168" t="s">
        <v>1205</v>
      </c>
      <c r="E17" s="169">
        <v>1</v>
      </c>
      <c r="F17" s="28"/>
      <c r="G17" s="26"/>
    </row>
    <row r="18" spans="1:7" ht="17.25" customHeight="1">
      <c r="A18" s="85" t="s">
        <v>1210</v>
      </c>
      <c r="B18" s="90"/>
      <c r="C18" s="101" t="s">
        <v>1211</v>
      </c>
      <c r="D18" s="96" t="s">
        <v>129</v>
      </c>
      <c r="E18" s="171">
        <v>2</v>
      </c>
      <c r="F18" s="28"/>
      <c r="G18" s="26"/>
    </row>
    <row r="19" spans="1:7" ht="15" customHeight="1">
      <c r="A19" s="85" t="s">
        <v>1212</v>
      </c>
      <c r="B19" s="90"/>
      <c r="C19" s="101" t="s">
        <v>1213</v>
      </c>
      <c r="D19" s="96" t="s">
        <v>129</v>
      </c>
      <c r="E19" s="171">
        <v>1</v>
      </c>
      <c r="F19" s="28"/>
      <c r="G19" s="26"/>
    </row>
    <row r="20" spans="1:7" ht="27" customHeight="1">
      <c r="A20" s="85" t="s">
        <v>1214</v>
      </c>
      <c r="B20" s="90"/>
      <c r="C20" s="101" t="s">
        <v>1215</v>
      </c>
      <c r="D20" s="96" t="s">
        <v>129</v>
      </c>
      <c r="E20" s="172">
        <v>8</v>
      </c>
      <c r="F20" s="28"/>
      <c r="G20" s="26"/>
    </row>
    <row r="21" spans="1:7" ht="60" customHeight="1">
      <c r="A21" s="85" t="s">
        <v>1216</v>
      </c>
      <c r="B21" s="90"/>
      <c r="C21" s="101" t="s">
        <v>1217</v>
      </c>
      <c r="D21" s="96" t="s">
        <v>1205</v>
      </c>
      <c r="E21" s="172">
        <v>8</v>
      </c>
      <c r="F21" s="28"/>
      <c r="G21" s="26"/>
    </row>
    <row r="22" spans="1:7" ht="16.5" customHeight="1">
      <c r="A22" s="85" t="s">
        <v>1218</v>
      </c>
      <c r="B22" s="90"/>
      <c r="C22" s="101" t="s">
        <v>1219</v>
      </c>
      <c r="D22" s="96" t="s">
        <v>129</v>
      </c>
      <c r="E22" s="172">
        <v>1</v>
      </c>
      <c r="F22" s="28"/>
      <c r="G22" s="26"/>
    </row>
    <row r="23" spans="1:7" ht="15" customHeight="1">
      <c r="A23" s="85" t="s">
        <v>1220</v>
      </c>
      <c r="B23" s="90"/>
      <c r="C23" s="101" t="s">
        <v>1221</v>
      </c>
      <c r="D23" s="96" t="s">
        <v>1</v>
      </c>
      <c r="E23" s="172">
        <f>(1.7+1.5+0.8+0.8+0.9+0.9+1+1+3.5+0.4*8)*1.03</f>
        <v>15.759</v>
      </c>
      <c r="F23" s="28"/>
      <c r="G23" s="26"/>
    </row>
    <row r="24" spans="1:7" ht="15" customHeight="1">
      <c r="A24" s="85" t="s">
        <v>1222</v>
      </c>
      <c r="B24" s="90"/>
      <c r="C24" s="101" t="s">
        <v>1223</v>
      </c>
      <c r="D24" s="96" t="s">
        <v>1</v>
      </c>
      <c r="E24" s="172">
        <v>4</v>
      </c>
      <c r="F24" s="28"/>
      <c r="G24" s="26"/>
    </row>
    <row r="25" spans="1:7" ht="15" customHeight="1">
      <c r="A25" s="85" t="s">
        <v>1224</v>
      </c>
      <c r="B25" s="90"/>
      <c r="C25" s="101" t="s">
        <v>1225</v>
      </c>
      <c r="D25" s="96" t="s">
        <v>1</v>
      </c>
      <c r="E25" s="172">
        <v>4</v>
      </c>
      <c r="F25" s="28"/>
      <c r="G25" s="26"/>
    </row>
    <row r="26" spans="1:7" ht="30.75" customHeight="1">
      <c r="A26" s="85" t="s">
        <v>1226</v>
      </c>
      <c r="B26" s="90"/>
      <c r="C26" s="53" t="s">
        <v>1227</v>
      </c>
      <c r="D26" s="96" t="s">
        <v>1</v>
      </c>
      <c r="E26" s="172">
        <v>8.1</v>
      </c>
      <c r="F26" s="28"/>
      <c r="G26" s="26"/>
    </row>
    <row r="27" spans="1:7" ht="31.5" customHeight="1">
      <c r="A27" s="85" t="s">
        <v>1228</v>
      </c>
      <c r="B27" s="90"/>
      <c r="C27" s="53" t="s">
        <v>1229</v>
      </c>
      <c r="D27" s="96" t="s">
        <v>1</v>
      </c>
      <c r="E27" s="172">
        <v>4.2</v>
      </c>
      <c r="F27" s="28"/>
      <c r="G27" s="26"/>
    </row>
    <row r="28" spans="1:7" ht="30" customHeight="1">
      <c r="A28" s="85" t="s">
        <v>1230</v>
      </c>
      <c r="B28" s="90"/>
      <c r="C28" s="53" t="s">
        <v>1231</v>
      </c>
      <c r="D28" s="96" t="s">
        <v>1</v>
      </c>
      <c r="E28" s="172">
        <v>0.1</v>
      </c>
      <c r="F28" s="28"/>
      <c r="G28" s="26"/>
    </row>
    <row r="29" spans="1:7" ht="30.75" customHeight="1">
      <c r="A29" s="85" t="s">
        <v>1232</v>
      </c>
      <c r="B29" s="90"/>
      <c r="C29" s="53" t="s">
        <v>1233</v>
      </c>
      <c r="D29" s="96" t="s">
        <v>1</v>
      </c>
      <c r="E29" s="172">
        <v>0.6</v>
      </c>
      <c r="F29" s="28"/>
      <c r="G29" s="26"/>
    </row>
    <row r="30" spans="1:7" ht="15" customHeight="1">
      <c r="A30" s="85" t="s">
        <v>1234</v>
      </c>
      <c r="B30" s="90"/>
      <c r="C30" s="101" t="s">
        <v>1235</v>
      </c>
      <c r="D30" s="96" t="s">
        <v>1205</v>
      </c>
      <c r="E30" s="172">
        <v>1</v>
      </c>
      <c r="F30" s="28"/>
      <c r="G30" s="26"/>
    </row>
    <row r="31" spans="1:7" ht="29.25" customHeight="1">
      <c r="A31" s="85" t="s">
        <v>1236</v>
      </c>
      <c r="B31" s="90"/>
      <c r="C31" s="101" t="s">
        <v>1237</v>
      </c>
      <c r="D31" s="96" t="s">
        <v>129</v>
      </c>
      <c r="E31" s="172">
        <v>1</v>
      </c>
      <c r="F31" s="28"/>
      <c r="G31" s="26"/>
    </row>
    <row r="32" spans="1:7" ht="32.25" customHeight="1">
      <c r="A32" s="85" t="s">
        <v>1238</v>
      </c>
      <c r="B32" s="90"/>
      <c r="C32" s="101" t="s">
        <v>1239</v>
      </c>
      <c r="D32" s="26" t="s">
        <v>129</v>
      </c>
      <c r="E32" s="84">
        <v>4</v>
      </c>
      <c r="F32" s="28"/>
      <c r="G32" s="26"/>
    </row>
    <row r="33" spans="1:7" ht="35.25" customHeight="1">
      <c r="A33" s="85" t="s">
        <v>1240</v>
      </c>
      <c r="B33" s="90"/>
      <c r="C33" s="101" t="s">
        <v>1241</v>
      </c>
      <c r="D33" s="26" t="s">
        <v>129</v>
      </c>
      <c r="E33" s="172">
        <v>2</v>
      </c>
      <c r="F33" s="28"/>
      <c r="G33" s="26"/>
    </row>
    <row r="34" spans="1:7" ht="30.75" customHeight="1">
      <c r="A34" s="85" t="s">
        <v>1242</v>
      </c>
      <c r="B34" s="90"/>
      <c r="C34" s="101" t="s">
        <v>1243</v>
      </c>
      <c r="D34" s="26" t="s">
        <v>129</v>
      </c>
      <c r="E34" s="172">
        <v>2</v>
      </c>
      <c r="F34" s="28"/>
      <c r="G34" s="26"/>
    </row>
    <row r="35" spans="1:7" ht="30" customHeight="1">
      <c r="A35" s="85" t="s">
        <v>1244</v>
      </c>
      <c r="B35" s="90"/>
      <c r="C35" s="101" t="s">
        <v>1245</v>
      </c>
      <c r="D35" s="26" t="s">
        <v>129</v>
      </c>
      <c r="E35" s="172">
        <v>1</v>
      </c>
      <c r="F35" s="28"/>
      <c r="G35" s="26"/>
    </row>
    <row r="36" spans="1:7" ht="30" customHeight="1">
      <c r="A36" s="85" t="s">
        <v>1246</v>
      </c>
      <c r="B36" s="90"/>
      <c r="C36" s="101" t="s">
        <v>1247</v>
      </c>
      <c r="D36" s="26" t="s">
        <v>129</v>
      </c>
      <c r="E36" s="172">
        <v>1</v>
      </c>
      <c r="F36" s="28"/>
      <c r="G36" s="26"/>
    </row>
    <row r="37" spans="1:7" ht="30" customHeight="1">
      <c r="A37" s="85" t="s">
        <v>1248</v>
      </c>
      <c r="B37" s="90"/>
      <c r="C37" s="101" t="s">
        <v>1249</v>
      </c>
      <c r="D37" s="96" t="s">
        <v>129</v>
      </c>
      <c r="E37" s="171">
        <v>1</v>
      </c>
      <c r="F37" s="28"/>
      <c r="G37" s="26"/>
    </row>
    <row r="38" spans="1:7" ht="30.75" customHeight="1">
      <c r="A38" s="85" t="s">
        <v>1250</v>
      </c>
      <c r="B38" s="90"/>
      <c r="C38" s="101" t="s">
        <v>1251</v>
      </c>
      <c r="D38" s="96" t="s">
        <v>129</v>
      </c>
      <c r="E38" s="171">
        <v>1</v>
      </c>
      <c r="F38" s="28"/>
      <c r="G38" s="26"/>
    </row>
    <row r="39" spans="1:7" ht="29.25" customHeight="1">
      <c r="A39" s="85" t="s">
        <v>1252</v>
      </c>
      <c r="B39" s="90"/>
      <c r="C39" s="53" t="s">
        <v>1253</v>
      </c>
      <c r="D39" s="26" t="s">
        <v>129</v>
      </c>
      <c r="E39" s="84">
        <v>1</v>
      </c>
      <c r="F39" s="28"/>
      <c r="G39" s="26"/>
    </row>
    <row r="40" spans="1:7" ht="30" customHeight="1">
      <c r="A40" s="85" t="s">
        <v>1254</v>
      </c>
      <c r="B40" s="90"/>
      <c r="C40" s="101" t="s">
        <v>1255</v>
      </c>
      <c r="D40" s="96" t="s">
        <v>129</v>
      </c>
      <c r="E40" s="171">
        <v>2</v>
      </c>
      <c r="F40" s="28"/>
      <c r="G40" s="26"/>
    </row>
    <row r="41" spans="1:7" ht="30" customHeight="1">
      <c r="A41" s="85" t="s">
        <v>1256</v>
      </c>
      <c r="B41" s="90"/>
      <c r="C41" s="101" t="s">
        <v>1257</v>
      </c>
      <c r="D41" s="96" t="s">
        <v>129</v>
      </c>
      <c r="E41" s="171">
        <v>1</v>
      </c>
      <c r="F41" s="28"/>
      <c r="G41" s="26"/>
    </row>
    <row r="42" spans="1:7" ht="30.75" customHeight="1">
      <c r="A42" s="85" t="s">
        <v>1258</v>
      </c>
      <c r="B42" s="90"/>
      <c r="C42" s="101" t="s">
        <v>1259</v>
      </c>
      <c r="D42" s="96" t="s">
        <v>129</v>
      </c>
      <c r="E42" s="171">
        <v>1</v>
      </c>
      <c r="F42" s="28"/>
      <c r="G42" s="26"/>
    </row>
    <row r="43" spans="1:7" ht="30.75" customHeight="1">
      <c r="A43" s="85" t="s">
        <v>1260</v>
      </c>
      <c r="B43" s="90"/>
      <c r="C43" s="101" t="s">
        <v>1261</v>
      </c>
      <c r="D43" s="96" t="s">
        <v>129</v>
      </c>
      <c r="E43" s="172">
        <v>2</v>
      </c>
      <c r="F43" s="28"/>
      <c r="G43" s="26"/>
    </row>
    <row r="44" spans="1:7" ht="30" customHeight="1">
      <c r="A44" s="85" t="s">
        <v>1262</v>
      </c>
      <c r="B44" s="90"/>
      <c r="C44" s="101" t="s">
        <v>1263</v>
      </c>
      <c r="D44" s="96" t="s">
        <v>129</v>
      </c>
      <c r="E44" s="172">
        <v>2</v>
      </c>
      <c r="F44" s="28"/>
      <c r="G44" s="26"/>
    </row>
    <row r="45" spans="1:7" ht="30" customHeight="1">
      <c r="A45" s="85" t="s">
        <v>1264</v>
      </c>
      <c r="B45" s="90"/>
      <c r="C45" s="101" t="s">
        <v>1265</v>
      </c>
      <c r="D45" s="96" t="s">
        <v>129</v>
      </c>
      <c r="E45" s="172">
        <v>3</v>
      </c>
      <c r="F45" s="28"/>
      <c r="G45" s="26"/>
    </row>
    <row r="46" spans="1:7" ht="30.75" customHeight="1">
      <c r="A46" s="85" t="s">
        <v>1266</v>
      </c>
      <c r="B46" s="90"/>
      <c r="C46" s="101" t="s">
        <v>1267</v>
      </c>
      <c r="D46" s="96" t="s">
        <v>129</v>
      </c>
      <c r="E46" s="172">
        <v>1</v>
      </c>
      <c r="F46" s="28"/>
      <c r="G46" s="26"/>
    </row>
    <row r="47" spans="1:7" ht="29.25" customHeight="1">
      <c r="A47" s="85" t="s">
        <v>1268</v>
      </c>
      <c r="B47" s="90"/>
      <c r="C47" s="101" t="s">
        <v>1269</v>
      </c>
      <c r="D47" s="96" t="s">
        <v>129</v>
      </c>
      <c r="E47" s="171">
        <v>1</v>
      </c>
      <c r="F47" s="28"/>
      <c r="G47" s="26"/>
    </row>
    <row r="48" spans="1:7" ht="14.25" customHeight="1">
      <c r="A48" s="85" t="s">
        <v>1270</v>
      </c>
      <c r="B48" s="90"/>
      <c r="C48" s="53" t="s">
        <v>1271</v>
      </c>
      <c r="D48" s="26" t="s">
        <v>129</v>
      </c>
      <c r="E48" s="84">
        <v>1</v>
      </c>
      <c r="F48" s="28"/>
      <c r="G48" s="26"/>
    </row>
    <row r="49" spans="1:7" ht="15" customHeight="1">
      <c r="A49" s="85" t="s">
        <v>1272</v>
      </c>
      <c r="B49" s="90"/>
      <c r="C49" s="53" t="s">
        <v>1273</v>
      </c>
      <c r="D49" s="26" t="s">
        <v>129</v>
      </c>
      <c r="E49" s="84">
        <v>1</v>
      </c>
      <c r="F49" s="28"/>
      <c r="G49" s="26"/>
    </row>
    <row r="50" spans="1:7" ht="15" customHeight="1">
      <c r="A50" s="85" t="s">
        <v>1274</v>
      </c>
      <c r="B50" s="90"/>
      <c r="C50" s="53" t="s">
        <v>1275</v>
      </c>
      <c r="D50" s="26" t="s">
        <v>129</v>
      </c>
      <c r="E50" s="84">
        <v>1</v>
      </c>
      <c r="F50" s="28"/>
      <c r="G50" s="26"/>
    </row>
    <row r="51" spans="1:7" ht="59.25" customHeight="1">
      <c r="A51" s="85" t="s">
        <v>1276</v>
      </c>
      <c r="B51" s="90"/>
      <c r="C51" s="101" t="s">
        <v>1277</v>
      </c>
      <c r="D51" s="96" t="s">
        <v>1078</v>
      </c>
      <c r="E51" s="171">
        <f>(1.7+1.5+0.8+0.8+0.9+0.9+1+1+3.5+0.4*8)*0.26*3.14*1.3*1.03</f>
        <v>16.725341880000002</v>
      </c>
      <c r="F51" s="28"/>
      <c r="G51" s="26"/>
    </row>
    <row r="52" spans="1:7" ht="71.25" customHeight="1">
      <c r="A52" s="85" t="s">
        <v>1278</v>
      </c>
      <c r="B52" s="90"/>
      <c r="C52" s="101" t="s">
        <v>1279</v>
      </c>
      <c r="D52" s="96" t="s">
        <v>1078</v>
      </c>
      <c r="E52" s="171">
        <f>((4*0.45+3.8*0.515)*3.14+1.1*1.8+3.7*1.9)*1.3*1.03</f>
        <v>27.860546220000003</v>
      </c>
      <c r="F52" s="28"/>
      <c r="G52" s="26"/>
    </row>
    <row r="53" spans="1:7" ht="15" customHeight="1">
      <c r="A53" s="85" t="s">
        <v>1280</v>
      </c>
      <c r="B53" s="90"/>
      <c r="C53" s="101" t="s">
        <v>1281</v>
      </c>
      <c r="D53" s="96" t="s">
        <v>1205</v>
      </c>
      <c r="E53" s="171">
        <v>1</v>
      </c>
      <c r="F53" s="28"/>
      <c r="G53" s="26"/>
    </row>
    <row r="54" spans="1:7" ht="15" customHeight="1">
      <c r="A54" s="85" t="s">
        <v>1282</v>
      </c>
      <c r="B54" s="90"/>
      <c r="C54" s="101" t="s">
        <v>1283</v>
      </c>
      <c r="D54" s="96" t="s">
        <v>1205</v>
      </c>
      <c r="E54" s="171">
        <v>1</v>
      </c>
      <c r="F54" s="28"/>
      <c r="G54" s="26"/>
    </row>
    <row r="55" spans="1:7" ht="15" customHeight="1">
      <c r="A55" s="85" t="s">
        <v>1284</v>
      </c>
      <c r="B55" s="90"/>
      <c r="C55" s="101" t="s">
        <v>1285</v>
      </c>
      <c r="D55" s="96" t="s">
        <v>1205</v>
      </c>
      <c r="E55" s="171">
        <v>1</v>
      </c>
      <c r="F55" s="28"/>
      <c r="G55" s="26"/>
    </row>
    <row r="56" spans="1:7" ht="15" customHeight="1">
      <c r="A56" s="85" t="s">
        <v>1286</v>
      </c>
      <c r="B56" s="90"/>
      <c r="C56" s="101" t="s">
        <v>1287</v>
      </c>
      <c r="D56" s="96" t="s">
        <v>1205</v>
      </c>
      <c r="E56" s="171">
        <v>1</v>
      </c>
      <c r="F56" s="28"/>
      <c r="G56" s="26"/>
    </row>
    <row r="57" spans="1:7" ht="30" customHeight="1">
      <c r="A57" s="85" t="s">
        <v>1288</v>
      </c>
      <c r="B57" s="90"/>
      <c r="C57" s="101" t="s">
        <v>1289</v>
      </c>
      <c r="D57" s="96" t="s">
        <v>1205</v>
      </c>
      <c r="E57" s="171">
        <v>1</v>
      </c>
      <c r="F57" s="28"/>
      <c r="G57" s="26"/>
    </row>
    <row r="58" spans="1:7" ht="30.75" customHeight="1">
      <c r="A58" s="85" t="s">
        <v>1290</v>
      </c>
      <c r="B58" s="90"/>
      <c r="C58" s="101" t="s">
        <v>1291</v>
      </c>
      <c r="D58" s="96" t="s">
        <v>1205</v>
      </c>
      <c r="E58" s="171">
        <v>1</v>
      </c>
      <c r="F58" s="28"/>
      <c r="G58" s="26"/>
    </row>
    <row r="59" spans="1:7" ht="30.75" customHeight="1">
      <c r="A59" s="85" t="s">
        <v>1292</v>
      </c>
      <c r="B59" s="90"/>
      <c r="C59" s="101" t="s">
        <v>1293</v>
      </c>
      <c r="D59" s="96" t="s">
        <v>1205</v>
      </c>
      <c r="E59" s="171">
        <v>1</v>
      </c>
      <c r="F59" s="28"/>
      <c r="G59" s="26"/>
    </row>
    <row r="60" spans="1:7" ht="15" customHeight="1">
      <c r="A60" s="85"/>
      <c r="B60" s="90"/>
      <c r="C60" s="67" t="s">
        <v>18</v>
      </c>
      <c r="D60" s="54"/>
      <c r="E60" s="3"/>
      <c r="F60" s="28"/>
      <c r="G60" s="26"/>
    </row>
    <row r="61" spans="1:7" ht="15" customHeight="1">
      <c r="A61" s="87" t="s">
        <v>1294</v>
      </c>
      <c r="B61" s="90"/>
      <c r="C61" s="164" t="s">
        <v>1295</v>
      </c>
      <c r="D61" s="165"/>
      <c r="E61" s="172"/>
      <c r="F61" s="28"/>
      <c r="G61" s="26"/>
    </row>
    <row r="62" spans="1:7" ht="15" customHeight="1">
      <c r="A62" s="85" t="s">
        <v>1296</v>
      </c>
      <c r="B62" s="90"/>
      <c r="C62" s="101" t="s">
        <v>1297</v>
      </c>
      <c r="D62" s="96" t="s">
        <v>129</v>
      </c>
      <c r="E62" s="171">
        <v>1</v>
      </c>
      <c r="F62" s="28"/>
      <c r="G62" s="26"/>
    </row>
    <row r="63" spans="1:7" ht="15" customHeight="1">
      <c r="A63" s="85" t="s">
        <v>1298</v>
      </c>
      <c r="B63" s="90"/>
      <c r="C63" s="101" t="s">
        <v>1299</v>
      </c>
      <c r="D63" s="96" t="s">
        <v>129</v>
      </c>
      <c r="E63" s="171">
        <v>1</v>
      </c>
      <c r="F63" s="28"/>
      <c r="G63" s="26"/>
    </row>
    <row r="64" spans="1:7" ht="30" customHeight="1">
      <c r="A64" s="85" t="s">
        <v>1300</v>
      </c>
      <c r="B64" s="90"/>
      <c r="C64" s="170" t="s">
        <v>1301</v>
      </c>
      <c r="D64" s="168" t="s">
        <v>1205</v>
      </c>
      <c r="E64" s="169">
        <v>1</v>
      </c>
      <c r="F64" s="28"/>
      <c r="G64" s="26"/>
    </row>
    <row r="65" spans="1:7" ht="30" customHeight="1">
      <c r="A65" s="85" t="s">
        <v>1302</v>
      </c>
      <c r="B65" s="90"/>
      <c r="C65" s="101" t="s">
        <v>1303</v>
      </c>
      <c r="D65" s="96" t="s">
        <v>129</v>
      </c>
      <c r="E65" s="171">
        <v>1</v>
      </c>
      <c r="F65" s="28"/>
      <c r="G65" s="26"/>
    </row>
    <row r="66" spans="1:7" ht="30" customHeight="1">
      <c r="A66" s="85" t="s">
        <v>1304</v>
      </c>
      <c r="B66" s="90"/>
      <c r="C66" s="101" t="s">
        <v>1305</v>
      </c>
      <c r="D66" s="96" t="s">
        <v>129</v>
      </c>
      <c r="E66" s="171">
        <v>1</v>
      </c>
      <c r="F66" s="28"/>
      <c r="G66" s="26"/>
    </row>
    <row r="67" spans="1:7" ht="38.25" customHeight="1">
      <c r="A67" s="85" t="s">
        <v>1306</v>
      </c>
      <c r="B67" s="90"/>
      <c r="C67" s="101" t="s">
        <v>1307</v>
      </c>
      <c r="D67" s="96" t="s">
        <v>1205</v>
      </c>
      <c r="E67" s="172">
        <v>2</v>
      </c>
      <c r="F67" s="28"/>
      <c r="G67" s="26"/>
    </row>
    <row r="68" spans="1:7" ht="45.75" customHeight="1">
      <c r="A68" s="85" t="s">
        <v>1308</v>
      </c>
      <c r="B68" s="90"/>
      <c r="C68" s="101" t="s">
        <v>1309</v>
      </c>
      <c r="D68" s="96" t="s">
        <v>1205</v>
      </c>
      <c r="E68" s="172">
        <v>2</v>
      </c>
      <c r="F68" s="28"/>
      <c r="G68" s="26"/>
    </row>
    <row r="69" spans="1:7" ht="15" customHeight="1">
      <c r="A69" s="85" t="s">
        <v>1310</v>
      </c>
      <c r="B69" s="90"/>
      <c r="C69" s="101" t="s">
        <v>1311</v>
      </c>
      <c r="D69" s="96" t="s">
        <v>129</v>
      </c>
      <c r="E69" s="172">
        <v>1</v>
      </c>
      <c r="F69" s="28"/>
      <c r="G69" s="26"/>
    </row>
    <row r="70" spans="1:7" ht="15" customHeight="1">
      <c r="A70" s="85" t="s">
        <v>1312</v>
      </c>
      <c r="B70" s="90"/>
      <c r="C70" s="53" t="s">
        <v>1313</v>
      </c>
      <c r="D70" s="26" t="s">
        <v>1</v>
      </c>
      <c r="E70" s="173">
        <v>0.3</v>
      </c>
      <c r="F70" s="28"/>
      <c r="G70" s="26"/>
    </row>
    <row r="71" spans="1:7" ht="15" customHeight="1">
      <c r="A71" s="85" t="s">
        <v>1314</v>
      </c>
      <c r="B71" s="90"/>
      <c r="C71" s="53" t="s">
        <v>1315</v>
      </c>
      <c r="D71" s="26" t="s">
        <v>1</v>
      </c>
      <c r="E71" s="173">
        <v>0.1</v>
      </c>
      <c r="F71" s="28"/>
      <c r="G71" s="26"/>
    </row>
    <row r="72" spans="1:7" ht="15" customHeight="1">
      <c r="A72" s="85" t="s">
        <v>1316</v>
      </c>
      <c r="B72" s="90"/>
      <c r="C72" s="53" t="s">
        <v>1223</v>
      </c>
      <c r="D72" s="26" t="s">
        <v>1</v>
      </c>
      <c r="E72" s="173">
        <f>(4.1+0.2+0.3)*1.03</f>
        <v>4.7379999999999995</v>
      </c>
      <c r="F72" s="28"/>
      <c r="G72" s="26"/>
    </row>
    <row r="73" spans="1:7" ht="15" customHeight="1">
      <c r="A73" s="85" t="s">
        <v>1317</v>
      </c>
      <c r="B73" s="90"/>
      <c r="C73" s="101" t="s">
        <v>1225</v>
      </c>
      <c r="D73" s="96" t="s">
        <v>1</v>
      </c>
      <c r="E73" s="172">
        <f>(0.7+0.1+0.1)*1.03</f>
        <v>0.92699999999999994</v>
      </c>
      <c r="F73" s="28"/>
      <c r="G73" s="26"/>
    </row>
    <row r="74" spans="1:7" ht="15" customHeight="1">
      <c r="A74" s="85" t="s">
        <v>1318</v>
      </c>
      <c r="B74" s="90"/>
      <c r="C74" s="101" t="s">
        <v>1235</v>
      </c>
      <c r="D74" s="96" t="s">
        <v>1205</v>
      </c>
      <c r="E74" s="172">
        <v>1</v>
      </c>
      <c r="F74" s="28"/>
      <c r="G74" s="26"/>
    </row>
    <row r="75" spans="1:7" ht="15" customHeight="1">
      <c r="A75" s="85" t="s">
        <v>1319</v>
      </c>
      <c r="B75" s="90"/>
      <c r="C75" s="53" t="s">
        <v>1227</v>
      </c>
      <c r="D75" s="96" t="s">
        <v>1</v>
      </c>
      <c r="E75" s="172">
        <v>1.5</v>
      </c>
      <c r="F75" s="28"/>
      <c r="G75" s="26"/>
    </row>
    <row r="76" spans="1:7" ht="15" customHeight="1">
      <c r="A76" s="85" t="s">
        <v>1320</v>
      </c>
      <c r="B76" s="90"/>
      <c r="C76" s="53" t="s">
        <v>1321</v>
      </c>
      <c r="D76" s="96" t="s">
        <v>1</v>
      </c>
      <c r="E76" s="172">
        <v>0.2</v>
      </c>
      <c r="F76" s="28"/>
      <c r="G76" s="26"/>
    </row>
    <row r="77" spans="1:7" ht="15" customHeight="1">
      <c r="A77" s="85" t="s">
        <v>1322</v>
      </c>
      <c r="B77" s="90"/>
      <c r="C77" s="53" t="s">
        <v>1323</v>
      </c>
      <c r="D77" s="96" t="s">
        <v>1</v>
      </c>
      <c r="E77" s="172">
        <v>0.8</v>
      </c>
      <c r="F77" s="28"/>
      <c r="G77" s="26"/>
    </row>
    <row r="78" spans="1:7" ht="29.25" customHeight="1">
      <c r="A78" s="85" t="s">
        <v>1324</v>
      </c>
      <c r="B78" s="90"/>
      <c r="C78" s="101" t="s">
        <v>1241</v>
      </c>
      <c r="D78" s="96" t="s">
        <v>129</v>
      </c>
      <c r="E78" s="172">
        <v>2</v>
      </c>
      <c r="F78" s="28"/>
      <c r="G78" s="26"/>
    </row>
    <row r="79" spans="1:7" ht="29.25" customHeight="1">
      <c r="A79" s="85" t="s">
        <v>1325</v>
      </c>
      <c r="B79" s="90"/>
      <c r="C79" s="101" t="s">
        <v>1326</v>
      </c>
      <c r="D79" s="96" t="s">
        <v>129</v>
      </c>
      <c r="E79" s="172">
        <v>2</v>
      </c>
      <c r="F79" s="28"/>
      <c r="G79" s="26"/>
    </row>
    <row r="80" spans="1:7" ht="30" customHeight="1">
      <c r="A80" s="85" t="s">
        <v>1327</v>
      </c>
      <c r="B80" s="90"/>
      <c r="C80" s="101" t="s">
        <v>1243</v>
      </c>
      <c r="D80" s="96" t="s">
        <v>129</v>
      </c>
      <c r="E80" s="172">
        <v>1</v>
      </c>
      <c r="F80" s="28"/>
      <c r="G80" s="26"/>
    </row>
    <row r="81" spans="1:7" ht="30" customHeight="1">
      <c r="A81" s="85" t="s">
        <v>1328</v>
      </c>
      <c r="B81" s="90"/>
      <c r="C81" s="101" t="s">
        <v>1329</v>
      </c>
      <c r="D81" s="96" t="s">
        <v>129</v>
      </c>
      <c r="E81" s="172">
        <v>1</v>
      </c>
      <c r="F81" s="28"/>
      <c r="G81" s="26"/>
    </row>
    <row r="82" spans="1:7" ht="30" customHeight="1">
      <c r="A82" s="85" t="s">
        <v>1330</v>
      </c>
      <c r="B82" s="90"/>
      <c r="C82" s="101" t="s">
        <v>1331</v>
      </c>
      <c r="D82" s="96" t="s">
        <v>129</v>
      </c>
      <c r="E82" s="171">
        <v>1</v>
      </c>
      <c r="F82" s="28"/>
      <c r="G82" s="26"/>
    </row>
    <row r="83" spans="1:7" ht="30" customHeight="1">
      <c r="A83" s="85" t="s">
        <v>1332</v>
      </c>
      <c r="B83" s="90"/>
      <c r="C83" s="101" t="s">
        <v>1249</v>
      </c>
      <c r="D83" s="96" t="s">
        <v>129</v>
      </c>
      <c r="E83" s="171">
        <v>1</v>
      </c>
      <c r="F83" s="28"/>
      <c r="G83" s="26"/>
    </row>
    <row r="84" spans="1:7" ht="30" customHeight="1">
      <c r="A84" s="85" t="s">
        <v>1333</v>
      </c>
      <c r="B84" s="90"/>
      <c r="C84" s="101" t="s">
        <v>1251</v>
      </c>
      <c r="D84" s="96" t="s">
        <v>129</v>
      </c>
      <c r="E84" s="171">
        <v>3</v>
      </c>
      <c r="F84" s="28"/>
      <c r="G84" s="26"/>
    </row>
    <row r="85" spans="1:7" ht="30" customHeight="1">
      <c r="A85" s="85" t="s">
        <v>1334</v>
      </c>
      <c r="B85" s="90"/>
      <c r="C85" s="101" t="s">
        <v>1335</v>
      </c>
      <c r="D85" s="96" t="s">
        <v>129</v>
      </c>
      <c r="E85" s="171">
        <v>1</v>
      </c>
      <c r="F85" s="28"/>
      <c r="G85" s="26"/>
    </row>
    <row r="86" spans="1:7" ht="30" customHeight="1">
      <c r="A86" s="85" t="s">
        <v>1336</v>
      </c>
      <c r="B86" s="90"/>
      <c r="C86" s="101" t="s">
        <v>1337</v>
      </c>
      <c r="D86" s="96" t="s">
        <v>129</v>
      </c>
      <c r="E86" s="171">
        <v>1</v>
      </c>
      <c r="F86" s="28"/>
      <c r="G86" s="26"/>
    </row>
    <row r="87" spans="1:7" ht="30.75" customHeight="1">
      <c r="A87" s="85" t="s">
        <v>1338</v>
      </c>
      <c r="B87" s="90"/>
      <c r="C87" s="101" t="s">
        <v>1339</v>
      </c>
      <c r="D87" s="96" t="s">
        <v>129</v>
      </c>
      <c r="E87" s="171">
        <v>1</v>
      </c>
      <c r="F87" s="28"/>
      <c r="G87" s="26"/>
    </row>
    <row r="88" spans="1:7" ht="30" customHeight="1">
      <c r="A88" s="85" t="s">
        <v>1340</v>
      </c>
      <c r="B88" s="90"/>
      <c r="C88" s="101" t="s">
        <v>1341</v>
      </c>
      <c r="D88" s="96" t="s">
        <v>129</v>
      </c>
      <c r="E88" s="172">
        <v>1</v>
      </c>
      <c r="F88" s="28"/>
      <c r="G88" s="26"/>
    </row>
    <row r="89" spans="1:7" ht="30" customHeight="1">
      <c r="A89" s="85" t="s">
        <v>1342</v>
      </c>
      <c r="B89" s="90"/>
      <c r="C89" s="101" t="s">
        <v>1343</v>
      </c>
      <c r="D89" s="96" t="s">
        <v>129</v>
      </c>
      <c r="E89" s="171">
        <v>1</v>
      </c>
      <c r="F89" s="28"/>
      <c r="G89" s="26"/>
    </row>
    <row r="90" spans="1:7" ht="59.25" customHeight="1">
      <c r="A90" s="85" t="s">
        <v>1344</v>
      </c>
      <c r="B90" s="90"/>
      <c r="C90" s="101" t="s">
        <v>1277</v>
      </c>
      <c r="D90" s="96" t="s">
        <v>1078</v>
      </c>
      <c r="E90" s="171">
        <f>((0.3*0.2+0.1*0.26)*3.14*1.03)*1.3</f>
        <v>0.36158356000000008</v>
      </c>
      <c r="F90" s="28"/>
      <c r="G90" s="26"/>
    </row>
    <row r="91" spans="1:7" ht="72" customHeight="1">
      <c r="A91" s="85" t="s">
        <v>1345</v>
      </c>
      <c r="B91" s="90"/>
      <c r="C91" s="101" t="s">
        <v>1279</v>
      </c>
      <c r="D91" s="96" t="s">
        <v>1078</v>
      </c>
      <c r="E91" s="171">
        <f>(((4.1+0.2+0.3)*0.45+(0.7+0.1+0.1)*0.515)*3.14+1.6*1.8+0.8*1.8)*1.3*1.03</f>
        <v>16.43647941</v>
      </c>
      <c r="F91" s="28"/>
      <c r="G91" s="26"/>
    </row>
    <row r="92" spans="1:7" ht="15" customHeight="1">
      <c r="A92" s="85" t="s">
        <v>1346</v>
      </c>
      <c r="B92" s="90"/>
      <c r="C92" s="101" t="s">
        <v>1281</v>
      </c>
      <c r="D92" s="96" t="s">
        <v>1205</v>
      </c>
      <c r="E92" s="171">
        <v>1</v>
      </c>
      <c r="F92" s="28"/>
      <c r="G92" s="26"/>
    </row>
    <row r="93" spans="1:7" ht="15" customHeight="1">
      <c r="A93" s="85" t="s">
        <v>1347</v>
      </c>
      <c r="B93" s="90"/>
      <c r="C93" s="101" t="s">
        <v>1283</v>
      </c>
      <c r="D93" s="96" t="s">
        <v>1205</v>
      </c>
      <c r="E93" s="171">
        <v>1</v>
      </c>
      <c r="F93" s="28"/>
      <c r="G93" s="26"/>
    </row>
    <row r="94" spans="1:7" ht="15" customHeight="1">
      <c r="A94" s="85" t="s">
        <v>1348</v>
      </c>
      <c r="B94" s="90"/>
      <c r="C94" s="101" t="s">
        <v>1285</v>
      </c>
      <c r="D94" s="96" t="s">
        <v>1205</v>
      </c>
      <c r="E94" s="171">
        <v>1</v>
      </c>
      <c r="F94" s="28"/>
      <c r="G94" s="26"/>
    </row>
    <row r="95" spans="1:7" ht="15" customHeight="1">
      <c r="A95" s="85" t="s">
        <v>1349</v>
      </c>
      <c r="B95" s="90"/>
      <c r="C95" s="101" t="s">
        <v>1287</v>
      </c>
      <c r="D95" s="96" t="s">
        <v>1205</v>
      </c>
      <c r="E95" s="171">
        <v>1</v>
      </c>
      <c r="F95" s="28"/>
      <c r="G95" s="26"/>
    </row>
    <row r="96" spans="1:7" ht="29.25" customHeight="1">
      <c r="A96" s="85" t="s">
        <v>1350</v>
      </c>
      <c r="B96" s="90"/>
      <c r="C96" s="101" t="s">
        <v>1289</v>
      </c>
      <c r="D96" s="96" t="s">
        <v>1205</v>
      </c>
      <c r="E96" s="171">
        <v>1</v>
      </c>
      <c r="F96" s="28"/>
      <c r="G96" s="26"/>
    </row>
    <row r="97" spans="1:7" ht="15" customHeight="1">
      <c r="A97" s="85"/>
      <c r="B97" s="90"/>
      <c r="C97" s="67" t="s">
        <v>18</v>
      </c>
      <c r="D97" s="54"/>
      <c r="E97" s="3"/>
      <c r="F97" s="28"/>
      <c r="G97" s="26"/>
    </row>
    <row r="98" spans="1:7" ht="15" customHeight="1">
      <c r="A98" s="87" t="s">
        <v>1351</v>
      </c>
      <c r="B98" s="90"/>
      <c r="C98" s="164" t="s">
        <v>1352</v>
      </c>
      <c r="D98" s="96"/>
      <c r="E98" s="171"/>
      <c r="F98" s="28"/>
      <c r="G98" s="26"/>
    </row>
    <row r="99" spans="1:7" ht="124.5" customHeight="1">
      <c r="A99" s="85" t="s">
        <v>1353</v>
      </c>
      <c r="B99" s="90"/>
      <c r="C99" s="167" t="s">
        <v>1354</v>
      </c>
      <c r="D99" s="168" t="s">
        <v>1205</v>
      </c>
      <c r="E99" s="169">
        <v>1</v>
      </c>
      <c r="F99" s="28"/>
      <c r="G99" s="26"/>
    </row>
    <row r="100" spans="1:7" ht="31.5" customHeight="1">
      <c r="A100" s="85" t="s">
        <v>1355</v>
      </c>
      <c r="B100" s="90"/>
      <c r="C100" s="170" t="s">
        <v>1207</v>
      </c>
      <c r="D100" s="168" t="s">
        <v>1205</v>
      </c>
      <c r="E100" s="169">
        <v>1</v>
      </c>
      <c r="F100" s="28"/>
      <c r="G100" s="26"/>
    </row>
    <row r="101" spans="1:7" ht="30" customHeight="1">
      <c r="A101" s="85" t="s">
        <v>1356</v>
      </c>
      <c r="B101" s="90"/>
      <c r="C101" s="170" t="s">
        <v>1357</v>
      </c>
      <c r="D101" s="168" t="s">
        <v>1205</v>
      </c>
      <c r="E101" s="169">
        <v>1</v>
      </c>
      <c r="F101" s="28"/>
      <c r="G101" s="26"/>
    </row>
    <row r="102" spans="1:7" ht="15" customHeight="1">
      <c r="A102" s="85" t="s">
        <v>1358</v>
      </c>
      <c r="B102" s="90"/>
      <c r="C102" s="101" t="s">
        <v>1359</v>
      </c>
      <c r="D102" s="96" t="s">
        <v>129</v>
      </c>
      <c r="E102" s="171">
        <v>1</v>
      </c>
      <c r="F102" s="28"/>
      <c r="G102" s="26"/>
    </row>
    <row r="103" spans="1:7" ht="15" customHeight="1">
      <c r="A103" s="85" t="s">
        <v>1360</v>
      </c>
      <c r="B103" s="90"/>
      <c r="C103" s="101" t="s">
        <v>1361</v>
      </c>
      <c r="D103" s="96" t="s">
        <v>129</v>
      </c>
      <c r="E103" s="171">
        <v>2</v>
      </c>
      <c r="F103" s="28"/>
      <c r="G103" s="26"/>
    </row>
    <row r="104" spans="1:7" ht="15" customHeight="1">
      <c r="A104" s="85" t="s">
        <v>1362</v>
      </c>
      <c r="B104" s="90"/>
      <c r="C104" s="101" t="s">
        <v>1311</v>
      </c>
      <c r="D104" s="96" t="s">
        <v>129</v>
      </c>
      <c r="E104" s="171">
        <v>5</v>
      </c>
      <c r="F104" s="28"/>
      <c r="G104" s="26"/>
    </row>
    <row r="105" spans="1:7" ht="15" customHeight="1">
      <c r="A105" s="85" t="s">
        <v>1363</v>
      </c>
      <c r="B105" s="90"/>
      <c r="C105" s="101" t="s">
        <v>1364</v>
      </c>
      <c r="D105" s="96" t="s">
        <v>129</v>
      </c>
      <c r="E105" s="171">
        <v>2</v>
      </c>
      <c r="F105" s="28"/>
      <c r="G105" s="26"/>
    </row>
    <row r="106" spans="1:7" ht="15" customHeight="1">
      <c r="A106" s="85" t="s">
        <v>1365</v>
      </c>
      <c r="B106" s="90"/>
      <c r="C106" s="101" t="s">
        <v>1366</v>
      </c>
      <c r="D106" s="96" t="s">
        <v>129</v>
      </c>
      <c r="E106" s="171">
        <v>2</v>
      </c>
      <c r="F106" s="28"/>
      <c r="G106" s="26"/>
    </row>
    <row r="107" spans="1:7" ht="15" customHeight="1">
      <c r="A107" s="85" t="s">
        <v>1367</v>
      </c>
      <c r="B107" s="90"/>
      <c r="C107" s="101" t="s">
        <v>1368</v>
      </c>
      <c r="D107" s="96" t="s">
        <v>129</v>
      </c>
      <c r="E107" s="174">
        <v>1</v>
      </c>
      <c r="F107" s="28"/>
      <c r="G107" s="26"/>
    </row>
    <row r="108" spans="1:7" ht="40.5" customHeight="1">
      <c r="A108" s="85" t="s">
        <v>1369</v>
      </c>
      <c r="B108" s="90"/>
      <c r="C108" s="101" t="s">
        <v>1370</v>
      </c>
      <c r="D108" s="96" t="s">
        <v>1205</v>
      </c>
      <c r="E108" s="172">
        <v>1</v>
      </c>
      <c r="F108" s="28"/>
      <c r="G108" s="26"/>
    </row>
    <row r="109" spans="1:7" ht="30" customHeight="1">
      <c r="A109" s="85" t="s">
        <v>1371</v>
      </c>
      <c r="B109" s="90"/>
      <c r="C109" s="101" t="s">
        <v>1372</v>
      </c>
      <c r="D109" s="96" t="s">
        <v>1205</v>
      </c>
      <c r="E109" s="172">
        <v>6</v>
      </c>
      <c r="F109" s="28"/>
      <c r="G109" s="26"/>
    </row>
    <row r="110" spans="1:7" ht="30" customHeight="1">
      <c r="A110" s="85" t="s">
        <v>1373</v>
      </c>
      <c r="B110" s="90"/>
      <c r="C110" s="101" t="s">
        <v>1374</v>
      </c>
      <c r="D110" s="96" t="s">
        <v>1205</v>
      </c>
      <c r="E110" s="172">
        <v>1</v>
      </c>
      <c r="F110" s="28"/>
      <c r="G110" s="26"/>
    </row>
    <row r="111" spans="1:7" ht="30" customHeight="1">
      <c r="A111" s="85" t="s">
        <v>1375</v>
      </c>
      <c r="B111" s="90"/>
      <c r="C111" s="101" t="s">
        <v>1376</v>
      </c>
      <c r="D111" s="96" t="s">
        <v>1205</v>
      </c>
      <c r="E111" s="172">
        <v>2</v>
      </c>
      <c r="F111" s="28"/>
      <c r="G111" s="26"/>
    </row>
    <row r="112" spans="1:7" ht="29.25" customHeight="1">
      <c r="A112" s="85" t="s">
        <v>1377</v>
      </c>
      <c r="B112" s="90"/>
      <c r="C112" s="101" t="s">
        <v>1378</v>
      </c>
      <c r="D112" s="96" t="s">
        <v>129</v>
      </c>
      <c r="E112" s="171">
        <v>2</v>
      </c>
      <c r="F112" s="28"/>
      <c r="G112" s="26"/>
    </row>
    <row r="113" spans="1:7" ht="29.25" customHeight="1">
      <c r="A113" s="85" t="s">
        <v>1379</v>
      </c>
      <c r="B113" s="90"/>
      <c r="C113" s="101" t="s">
        <v>1380</v>
      </c>
      <c r="D113" s="96" t="s">
        <v>129</v>
      </c>
      <c r="E113" s="171">
        <v>2</v>
      </c>
      <c r="F113" s="28"/>
      <c r="G113" s="26"/>
    </row>
    <row r="114" spans="1:7" ht="15" customHeight="1">
      <c r="A114" s="85" t="s">
        <v>1381</v>
      </c>
      <c r="B114" s="90"/>
      <c r="C114" s="53" t="s">
        <v>1313</v>
      </c>
      <c r="D114" s="26" t="s">
        <v>1</v>
      </c>
      <c r="E114" s="173">
        <f>(0.8+0.4+0.5+0.6+0.2+3.3+3.6+2.2+0.3+0.2+0.3+0.1+0.3+0.2)*1.03</f>
        <v>13.390000000000002</v>
      </c>
      <c r="F114" s="28"/>
      <c r="G114" s="26"/>
    </row>
    <row r="115" spans="1:7" ht="15" customHeight="1">
      <c r="A115" s="85" t="s">
        <v>1382</v>
      </c>
      <c r="B115" s="90"/>
      <c r="C115" s="53" t="s">
        <v>1315</v>
      </c>
      <c r="D115" s="26" t="s">
        <v>1</v>
      </c>
      <c r="E115" s="173">
        <f>(1.7+0.1+0.8+7.5+0.5+3.1)*1.03</f>
        <v>14.110999999999999</v>
      </c>
      <c r="F115" s="28"/>
      <c r="G115" s="26"/>
    </row>
    <row r="116" spans="1:7" ht="15" customHeight="1">
      <c r="A116" s="85" t="s">
        <v>1383</v>
      </c>
      <c r="B116" s="90"/>
      <c r="C116" s="101" t="s">
        <v>1221</v>
      </c>
      <c r="D116" s="96" t="s">
        <v>1</v>
      </c>
      <c r="E116" s="172">
        <f>(1+0.3+0.2+1.6+2.2)*1.03</f>
        <v>5.4590000000000005</v>
      </c>
      <c r="F116" s="28"/>
      <c r="G116" s="26"/>
    </row>
    <row r="117" spans="1:7" ht="15" customHeight="1">
      <c r="A117" s="85" t="s">
        <v>1384</v>
      </c>
      <c r="B117" s="90"/>
      <c r="C117" s="101" t="s">
        <v>1385</v>
      </c>
      <c r="D117" s="96" t="s">
        <v>1</v>
      </c>
      <c r="E117" s="172">
        <v>3.2</v>
      </c>
      <c r="F117" s="28"/>
      <c r="G117" s="26"/>
    </row>
    <row r="118" spans="1:7" ht="15" customHeight="1">
      <c r="A118" s="85" t="s">
        <v>1386</v>
      </c>
      <c r="B118" s="90"/>
      <c r="C118" s="53" t="s">
        <v>1223</v>
      </c>
      <c r="D118" s="26" t="s">
        <v>1</v>
      </c>
      <c r="E118" s="173">
        <f>(5.3+0.5+1.8+0.1+0.1+1.4+7.3+0.6+0.5+0.8+0.8+0.4+0.9+0.5+5)*1.03</f>
        <v>26.78</v>
      </c>
      <c r="F118" s="28"/>
      <c r="G118" s="26"/>
    </row>
    <row r="119" spans="1:7" ht="30.75" customHeight="1">
      <c r="A119" s="85" t="s">
        <v>1387</v>
      </c>
      <c r="B119" s="90"/>
      <c r="C119" s="101" t="s">
        <v>1388</v>
      </c>
      <c r="D119" s="96" t="s">
        <v>1</v>
      </c>
      <c r="E119" s="172">
        <v>0.1</v>
      </c>
      <c r="F119" s="28"/>
      <c r="G119" s="26"/>
    </row>
    <row r="120" spans="1:7" ht="33" customHeight="1">
      <c r="A120" s="85" t="s">
        <v>1389</v>
      </c>
      <c r="B120" s="90"/>
      <c r="C120" s="101" t="s">
        <v>1390</v>
      </c>
      <c r="D120" s="96" t="s">
        <v>1</v>
      </c>
      <c r="E120" s="172">
        <v>0.5</v>
      </c>
      <c r="F120" s="28"/>
      <c r="G120" s="26"/>
    </row>
    <row r="121" spans="1:7" ht="30.75" customHeight="1">
      <c r="A121" s="85" t="s">
        <v>1391</v>
      </c>
      <c r="B121" s="90"/>
      <c r="C121" s="101" t="s">
        <v>1392</v>
      </c>
      <c r="D121" s="96" t="s">
        <v>1</v>
      </c>
      <c r="E121" s="172">
        <v>0.3</v>
      </c>
      <c r="F121" s="28"/>
      <c r="G121" s="26"/>
    </row>
    <row r="122" spans="1:7" ht="15" customHeight="1">
      <c r="A122" s="85" t="s">
        <v>1393</v>
      </c>
      <c r="B122" s="90"/>
      <c r="C122" s="101" t="s">
        <v>1235</v>
      </c>
      <c r="D122" s="96" t="s">
        <v>1205</v>
      </c>
      <c r="E122" s="172">
        <v>1</v>
      </c>
      <c r="F122" s="28"/>
      <c r="G122" s="26"/>
    </row>
    <row r="123" spans="1:7" ht="27" customHeight="1">
      <c r="A123" s="85" t="s">
        <v>1394</v>
      </c>
      <c r="B123" s="90"/>
      <c r="C123" s="101" t="s">
        <v>1395</v>
      </c>
      <c r="D123" s="96" t="s">
        <v>129</v>
      </c>
      <c r="E123" s="172">
        <v>6</v>
      </c>
      <c r="F123" s="28"/>
      <c r="G123" s="26"/>
    </row>
    <row r="124" spans="1:7" ht="28.5" customHeight="1">
      <c r="A124" s="85" t="s">
        <v>1396</v>
      </c>
      <c r="B124" s="90"/>
      <c r="C124" s="101" t="s">
        <v>1397</v>
      </c>
      <c r="D124" s="96" t="s">
        <v>129</v>
      </c>
      <c r="E124" s="172">
        <v>4</v>
      </c>
      <c r="F124" s="28"/>
      <c r="G124" s="26"/>
    </row>
    <row r="125" spans="1:7" ht="30" customHeight="1">
      <c r="A125" s="85" t="s">
        <v>1398</v>
      </c>
      <c r="B125" s="90"/>
      <c r="C125" s="101" t="s">
        <v>1237</v>
      </c>
      <c r="D125" s="96" t="s">
        <v>129</v>
      </c>
      <c r="E125" s="172">
        <v>1</v>
      </c>
      <c r="F125" s="28"/>
      <c r="G125" s="26"/>
    </row>
    <row r="126" spans="1:7" ht="30" customHeight="1">
      <c r="A126" s="85" t="s">
        <v>1399</v>
      </c>
      <c r="B126" s="90"/>
      <c r="C126" s="101" t="s">
        <v>1400</v>
      </c>
      <c r="D126" s="96" t="s">
        <v>129</v>
      </c>
      <c r="E126" s="172">
        <v>1</v>
      </c>
      <c r="F126" s="28"/>
      <c r="G126" s="26"/>
    </row>
    <row r="127" spans="1:7" ht="30" customHeight="1">
      <c r="A127" s="85" t="s">
        <v>1401</v>
      </c>
      <c r="B127" s="90"/>
      <c r="C127" s="101" t="s">
        <v>1402</v>
      </c>
      <c r="D127" s="96" t="s">
        <v>129</v>
      </c>
      <c r="E127" s="172">
        <v>10</v>
      </c>
      <c r="F127" s="28"/>
      <c r="G127" s="26"/>
    </row>
    <row r="128" spans="1:7" ht="30" customHeight="1">
      <c r="A128" s="85" t="s">
        <v>1403</v>
      </c>
      <c r="B128" s="90"/>
      <c r="C128" s="101" t="s">
        <v>1404</v>
      </c>
      <c r="D128" s="96" t="s">
        <v>129</v>
      </c>
      <c r="E128" s="172">
        <v>2</v>
      </c>
      <c r="F128" s="28"/>
      <c r="G128" s="26"/>
    </row>
    <row r="129" spans="1:7" ht="30" customHeight="1">
      <c r="A129" s="85" t="s">
        <v>1405</v>
      </c>
      <c r="B129" s="90"/>
      <c r="C129" s="101" t="s">
        <v>1406</v>
      </c>
      <c r="D129" s="96" t="s">
        <v>129</v>
      </c>
      <c r="E129" s="171">
        <v>1</v>
      </c>
      <c r="F129" s="28"/>
      <c r="G129" s="26"/>
    </row>
    <row r="130" spans="1:7" ht="30" customHeight="1">
      <c r="A130" s="85" t="s">
        <v>1407</v>
      </c>
      <c r="B130" s="90"/>
      <c r="C130" s="101" t="s">
        <v>1331</v>
      </c>
      <c r="D130" s="96" t="s">
        <v>129</v>
      </c>
      <c r="E130" s="171">
        <v>1</v>
      </c>
      <c r="F130" s="28"/>
      <c r="G130" s="26"/>
    </row>
    <row r="131" spans="1:7" ht="29.25" customHeight="1">
      <c r="A131" s="85" t="s">
        <v>1408</v>
      </c>
      <c r="B131" s="90"/>
      <c r="C131" s="101" t="s">
        <v>1409</v>
      </c>
      <c r="D131" s="96" t="s">
        <v>129</v>
      </c>
      <c r="E131" s="172">
        <v>1</v>
      </c>
      <c r="F131" s="28"/>
      <c r="G131" s="26"/>
    </row>
    <row r="132" spans="1:7" ht="30" customHeight="1">
      <c r="A132" s="85" t="s">
        <v>1410</v>
      </c>
      <c r="B132" s="90"/>
      <c r="C132" s="101" t="s">
        <v>1411</v>
      </c>
      <c r="D132" s="96" t="s">
        <v>129</v>
      </c>
      <c r="E132" s="171">
        <v>1</v>
      </c>
      <c r="F132" s="28"/>
      <c r="G132" s="26"/>
    </row>
    <row r="133" spans="1:7" ht="30" customHeight="1">
      <c r="A133" s="85" t="s">
        <v>1412</v>
      </c>
      <c r="B133" s="90"/>
      <c r="C133" s="101" t="s">
        <v>1413</v>
      </c>
      <c r="D133" s="96" t="s">
        <v>129</v>
      </c>
      <c r="E133" s="171">
        <v>1</v>
      </c>
      <c r="F133" s="28"/>
      <c r="G133" s="26"/>
    </row>
    <row r="134" spans="1:7" ht="30" customHeight="1">
      <c r="A134" s="85" t="s">
        <v>1414</v>
      </c>
      <c r="B134" s="90"/>
      <c r="C134" s="101" t="s">
        <v>1415</v>
      </c>
      <c r="D134" s="96" t="s">
        <v>129</v>
      </c>
      <c r="E134" s="171">
        <v>1</v>
      </c>
      <c r="F134" s="28"/>
      <c r="G134" s="26"/>
    </row>
    <row r="135" spans="1:7" ht="30" customHeight="1">
      <c r="A135" s="85" t="s">
        <v>1416</v>
      </c>
      <c r="B135" s="90"/>
      <c r="C135" s="101" t="s">
        <v>1417</v>
      </c>
      <c r="D135" s="96" t="s">
        <v>129</v>
      </c>
      <c r="E135" s="172">
        <v>1</v>
      </c>
      <c r="F135" s="28"/>
      <c r="G135" s="26"/>
    </row>
    <row r="136" spans="1:7" ht="30" customHeight="1">
      <c r="A136" s="85" t="s">
        <v>1418</v>
      </c>
      <c r="B136" s="90"/>
      <c r="C136" s="101" t="s">
        <v>1419</v>
      </c>
      <c r="D136" s="96" t="s">
        <v>129</v>
      </c>
      <c r="E136" s="171">
        <v>2</v>
      </c>
      <c r="F136" s="28"/>
      <c r="G136" s="26"/>
    </row>
    <row r="137" spans="1:7" ht="30" customHeight="1">
      <c r="A137" s="85" t="s">
        <v>1420</v>
      </c>
      <c r="B137" s="90"/>
      <c r="C137" s="101" t="s">
        <v>1421</v>
      </c>
      <c r="D137" s="96" t="s">
        <v>129</v>
      </c>
      <c r="E137" s="172">
        <v>1</v>
      </c>
      <c r="F137" s="28"/>
      <c r="G137" s="26"/>
    </row>
    <row r="138" spans="1:7" ht="30" customHeight="1">
      <c r="A138" s="85" t="s">
        <v>1422</v>
      </c>
      <c r="B138" s="90"/>
      <c r="C138" s="101" t="s">
        <v>1423</v>
      </c>
      <c r="D138" s="96" t="s">
        <v>129</v>
      </c>
      <c r="E138" s="172">
        <v>1</v>
      </c>
      <c r="F138" s="28"/>
      <c r="G138" s="26"/>
    </row>
    <row r="139" spans="1:7" ht="31.5" customHeight="1">
      <c r="A139" s="85" t="s">
        <v>1424</v>
      </c>
      <c r="B139" s="90"/>
      <c r="C139" s="101" t="s">
        <v>1425</v>
      </c>
      <c r="D139" s="96" t="s">
        <v>129</v>
      </c>
      <c r="E139" s="172">
        <v>1</v>
      </c>
      <c r="F139" s="28"/>
      <c r="G139" s="26"/>
    </row>
    <row r="140" spans="1:7" ht="30" customHeight="1">
      <c r="A140" s="85" t="s">
        <v>1426</v>
      </c>
      <c r="B140" s="90"/>
      <c r="C140" s="101" t="s">
        <v>1427</v>
      </c>
      <c r="D140" s="96" t="s">
        <v>129</v>
      </c>
      <c r="E140" s="172">
        <v>1</v>
      </c>
      <c r="F140" s="28"/>
      <c r="G140" s="26"/>
    </row>
    <row r="141" spans="1:7" ht="30" customHeight="1">
      <c r="A141" s="85" t="s">
        <v>1428</v>
      </c>
      <c r="B141" s="90"/>
      <c r="C141" s="101" t="s">
        <v>1429</v>
      </c>
      <c r="D141" s="96" t="s">
        <v>129</v>
      </c>
      <c r="E141" s="172">
        <v>1</v>
      </c>
      <c r="F141" s="28"/>
      <c r="G141" s="26"/>
    </row>
    <row r="142" spans="1:7" ht="30" customHeight="1">
      <c r="A142" s="85" t="s">
        <v>1430</v>
      </c>
      <c r="B142" s="90"/>
      <c r="C142" s="101" t="s">
        <v>1431</v>
      </c>
      <c r="D142" s="96" t="s">
        <v>129</v>
      </c>
      <c r="E142" s="172">
        <v>1</v>
      </c>
      <c r="F142" s="28"/>
      <c r="G142" s="26"/>
    </row>
    <row r="143" spans="1:7" ht="30" customHeight="1">
      <c r="A143" s="85" t="s">
        <v>1432</v>
      </c>
      <c r="B143" s="90"/>
      <c r="C143" s="101" t="s">
        <v>1265</v>
      </c>
      <c r="D143" s="96" t="s">
        <v>129</v>
      </c>
      <c r="E143" s="171">
        <v>1</v>
      </c>
      <c r="F143" s="28"/>
      <c r="G143" s="26"/>
    </row>
    <row r="144" spans="1:7" ht="30" customHeight="1">
      <c r="A144" s="85" t="s">
        <v>1433</v>
      </c>
      <c r="B144" s="90"/>
      <c r="C144" s="101" t="s">
        <v>1434</v>
      </c>
      <c r="D144" s="96" t="s">
        <v>129</v>
      </c>
      <c r="E144" s="171">
        <v>2</v>
      </c>
      <c r="F144" s="28"/>
      <c r="G144" s="26"/>
    </row>
    <row r="145" spans="1:7" ht="30" customHeight="1">
      <c r="A145" s="85" t="s">
        <v>1435</v>
      </c>
      <c r="B145" s="90"/>
      <c r="C145" s="101" t="s">
        <v>1436</v>
      </c>
      <c r="D145" s="96" t="s">
        <v>129</v>
      </c>
      <c r="E145" s="171">
        <v>2</v>
      </c>
      <c r="F145" s="28"/>
      <c r="G145" s="26"/>
    </row>
    <row r="146" spans="1:7" ht="30" customHeight="1">
      <c r="A146" s="85" t="s">
        <v>1437</v>
      </c>
      <c r="B146" s="90"/>
      <c r="C146" s="101" t="s">
        <v>1438</v>
      </c>
      <c r="D146" s="96" t="s">
        <v>129</v>
      </c>
      <c r="E146" s="172">
        <v>1</v>
      </c>
      <c r="F146" s="28"/>
      <c r="G146" s="26"/>
    </row>
    <row r="147" spans="1:7" ht="30" customHeight="1">
      <c r="A147" s="85" t="s">
        <v>1439</v>
      </c>
      <c r="B147" s="90"/>
      <c r="C147" s="101" t="s">
        <v>1273</v>
      </c>
      <c r="D147" s="96" t="s">
        <v>129</v>
      </c>
      <c r="E147" s="172">
        <v>3</v>
      </c>
      <c r="F147" s="28"/>
      <c r="G147" s="26"/>
    </row>
    <row r="148" spans="1:7" ht="60" customHeight="1">
      <c r="A148" s="85" t="s">
        <v>1440</v>
      </c>
      <c r="B148" s="90"/>
      <c r="C148" s="101" t="s">
        <v>1277</v>
      </c>
      <c r="D148" s="96" t="s">
        <v>1078</v>
      </c>
      <c r="E148" s="171">
        <f>8*0.225*3.14*1.3*1.03</f>
        <v>7.5680280000000009</v>
      </c>
      <c r="F148" s="28"/>
      <c r="G148" s="26"/>
    </row>
    <row r="149" spans="1:7" ht="66" customHeight="1">
      <c r="A149" s="85" t="s">
        <v>1441</v>
      </c>
      <c r="B149" s="90"/>
      <c r="C149" s="101" t="s">
        <v>1279</v>
      </c>
      <c r="D149" s="96" t="s">
        <v>1078</v>
      </c>
      <c r="E149" s="171">
        <f>(5.3+0.5+0.8+0.8+0.4)*0.45*3.14*1.3*1.03</f>
        <v>14.757654600000002</v>
      </c>
      <c r="F149" s="28"/>
      <c r="G149" s="26"/>
    </row>
    <row r="150" spans="1:7" ht="15" customHeight="1">
      <c r="A150" s="85" t="s">
        <v>1442</v>
      </c>
      <c r="B150" s="90"/>
      <c r="C150" s="101" t="s">
        <v>1281</v>
      </c>
      <c r="D150" s="96" t="s">
        <v>1205</v>
      </c>
      <c r="E150" s="171">
        <v>1</v>
      </c>
      <c r="F150" s="28"/>
      <c r="G150" s="26"/>
    </row>
    <row r="151" spans="1:7" ht="15" customHeight="1">
      <c r="A151" s="85" t="s">
        <v>1443</v>
      </c>
      <c r="B151" s="90"/>
      <c r="C151" s="101" t="s">
        <v>1283</v>
      </c>
      <c r="D151" s="96" t="s">
        <v>1205</v>
      </c>
      <c r="E151" s="171">
        <v>1</v>
      </c>
      <c r="F151" s="28"/>
      <c r="G151" s="26"/>
    </row>
    <row r="152" spans="1:7" ht="15" customHeight="1">
      <c r="A152" s="85" t="s">
        <v>1444</v>
      </c>
      <c r="B152" s="90"/>
      <c r="C152" s="101" t="s">
        <v>1285</v>
      </c>
      <c r="D152" s="96" t="s">
        <v>1205</v>
      </c>
      <c r="E152" s="171">
        <v>1</v>
      </c>
      <c r="F152" s="28"/>
      <c r="G152" s="26"/>
    </row>
    <row r="153" spans="1:7" ht="15" customHeight="1">
      <c r="A153" s="85" t="s">
        <v>1445</v>
      </c>
      <c r="B153" s="90"/>
      <c r="C153" s="101" t="s">
        <v>1287</v>
      </c>
      <c r="D153" s="96" t="s">
        <v>1205</v>
      </c>
      <c r="E153" s="171">
        <v>1</v>
      </c>
      <c r="F153" s="28"/>
      <c r="G153" s="26"/>
    </row>
    <row r="154" spans="1:7" ht="30" customHeight="1">
      <c r="A154" s="85" t="s">
        <v>1446</v>
      </c>
      <c r="B154" s="90"/>
      <c r="C154" s="101" t="s">
        <v>1293</v>
      </c>
      <c r="D154" s="96" t="s">
        <v>1205</v>
      </c>
      <c r="E154" s="171">
        <v>1</v>
      </c>
      <c r="F154" s="28"/>
      <c r="G154" s="26"/>
    </row>
    <row r="155" spans="1:7" ht="15" customHeight="1">
      <c r="A155" s="85"/>
      <c r="B155" s="90"/>
      <c r="C155" s="67" t="s">
        <v>18</v>
      </c>
      <c r="D155" s="54"/>
      <c r="E155" s="3"/>
      <c r="F155" s="28"/>
      <c r="G155" s="26"/>
    </row>
    <row r="156" spans="1:7" ht="15" customHeight="1">
      <c r="A156" s="87" t="s">
        <v>1447</v>
      </c>
      <c r="B156" s="90"/>
      <c r="C156" s="164" t="s">
        <v>1448</v>
      </c>
      <c r="D156" s="96"/>
      <c r="E156" s="171"/>
      <c r="F156" s="28"/>
      <c r="G156" s="26"/>
    </row>
    <row r="157" spans="1:7" ht="29.25" customHeight="1">
      <c r="A157" s="85" t="s">
        <v>1449</v>
      </c>
      <c r="B157" s="90"/>
      <c r="C157" s="170" t="s">
        <v>1357</v>
      </c>
      <c r="D157" s="168" t="s">
        <v>1205</v>
      </c>
      <c r="E157" s="169">
        <v>1</v>
      </c>
      <c r="F157" s="28"/>
      <c r="G157" s="26"/>
    </row>
    <row r="158" spans="1:7" ht="15" customHeight="1">
      <c r="A158" s="85" t="s">
        <v>1450</v>
      </c>
      <c r="B158" s="90"/>
      <c r="C158" s="101" t="s">
        <v>1359</v>
      </c>
      <c r="D158" s="96" t="s">
        <v>129</v>
      </c>
      <c r="E158" s="171">
        <v>1</v>
      </c>
      <c r="F158" s="28"/>
      <c r="G158" s="26"/>
    </row>
    <row r="159" spans="1:7" ht="15" customHeight="1">
      <c r="A159" s="85" t="s">
        <v>1451</v>
      </c>
      <c r="B159" s="90"/>
      <c r="C159" s="101" t="s">
        <v>1452</v>
      </c>
      <c r="D159" s="96" t="s">
        <v>129</v>
      </c>
      <c r="E159" s="171">
        <v>1</v>
      </c>
      <c r="F159" s="28"/>
      <c r="G159" s="26"/>
    </row>
    <row r="160" spans="1:7" ht="15" customHeight="1">
      <c r="A160" s="85" t="s">
        <v>1453</v>
      </c>
      <c r="B160" s="90"/>
      <c r="C160" s="101" t="s">
        <v>1361</v>
      </c>
      <c r="D160" s="96" t="s">
        <v>129</v>
      </c>
      <c r="E160" s="171">
        <v>1</v>
      </c>
      <c r="F160" s="28"/>
      <c r="G160" s="26"/>
    </row>
    <row r="161" spans="1:7" ht="30" customHeight="1">
      <c r="A161" s="85" t="s">
        <v>1454</v>
      </c>
      <c r="B161" s="90"/>
      <c r="C161" s="101" t="s">
        <v>1455</v>
      </c>
      <c r="D161" s="96" t="s">
        <v>129</v>
      </c>
      <c r="E161" s="171">
        <v>4</v>
      </c>
      <c r="F161" s="28"/>
      <c r="G161" s="26"/>
    </row>
    <row r="162" spans="1:7" ht="30" customHeight="1">
      <c r="A162" s="85" t="s">
        <v>1456</v>
      </c>
      <c r="B162" s="90"/>
      <c r="C162" s="101" t="s">
        <v>1378</v>
      </c>
      <c r="D162" s="96" t="s">
        <v>129</v>
      </c>
      <c r="E162" s="171">
        <v>1</v>
      </c>
      <c r="F162" s="28"/>
      <c r="G162" s="26"/>
    </row>
    <row r="163" spans="1:7" ht="30" customHeight="1">
      <c r="A163" s="85" t="s">
        <v>1457</v>
      </c>
      <c r="B163" s="90"/>
      <c r="C163" s="101" t="s">
        <v>1458</v>
      </c>
      <c r="D163" s="96" t="s">
        <v>129</v>
      </c>
      <c r="E163" s="171">
        <v>1</v>
      </c>
      <c r="F163" s="28"/>
      <c r="G163" s="26"/>
    </row>
    <row r="164" spans="1:7" ht="45.75" customHeight="1">
      <c r="A164" s="85" t="s">
        <v>1459</v>
      </c>
      <c r="B164" s="90"/>
      <c r="C164" s="101" t="s">
        <v>1460</v>
      </c>
      <c r="D164" s="96" t="s">
        <v>1205</v>
      </c>
      <c r="E164" s="172">
        <v>1</v>
      </c>
      <c r="F164" s="28"/>
      <c r="G164" s="26"/>
    </row>
    <row r="165" spans="1:7" ht="15" customHeight="1">
      <c r="A165" s="85" t="s">
        <v>1461</v>
      </c>
      <c r="B165" s="90"/>
      <c r="C165" s="101" t="s">
        <v>1311</v>
      </c>
      <c r="D165" s="96" t="s">
        <v>129</v>
      </c>
      <c r="E165" s="172">
        <v>7</v>
      </c>
      <c r="F165" s="28"/>
      <c r="G165" s="26"/>
    </row>
    <row r="166" spans="1:7" ht="15" customHeight="1">
      <c r="A166" s="85" t="s">
        <v>1462</v>
      </c>
      <c r="B166" s="90"/>
      <c r="C166" s="101" t="s">
        <v>1364</v>
      </c>
      <c r="D166" s="96" t="s">
        <v>129</v>
      </c>
      <c r="E166" s="172">
        <v>2</v>
      </c>
      <c r="F166" s="28"/>
      <c r="G166" s="26"/>
    </row>
    <row r="167" spans="1:7" ht="15" customHeight="1">
      <c r="A167" s="85" t="s">
        <v>1463</v>
      </c>
      <c r="B167" s="90"/>
      <c r="C167" s="101" t="s">
        <v>1368</v>
      </c>
      <c r="D167" s="96" t="s">
        <v>129</v>
      </c>
      <c r="E167" s="172">
        <v>1</v>
      </c>
      <c r="F167" s="28"/>
      <c r="G167" s="26"/>
    </row>
    <row r="168" spans="1:7" ht="30" customHeight="1">
      <c r="A168" s="85" t="s">
        <v>1464</v>
      </c>
      <c r="B168" s="90"/>
      <c r="C168" s="101" t="s">
        <v>1465</v>
      </c>
      <c r="D168" s="96" t="s">
        <v>1205</v>
      </c>
      <c r="E168" s="172">
        <v>7</v>
      </c>
      <c r="F168" s="28"/>
      <c r="G168" s="26"/>
    </row>
    <row r="169" spans="1:7" ht="30" customHeight="1">
      <c r="A169" s="85" t="s">
        <v>1466</v>
      </c>
      <c r="B169" s="90"/>
      <c r="C169" s="101" t="s">
        <v>1467</v>
      </c>
      <c r="D169" s="96" t="s">
        <v>1205</v>
      </c>
      <c r="E169" s="172">
        <v>2</v>
      </c>
      <c r="F169" s="28"/>
      <c r="G169" s="26"/>
    </row>
    <row r="170" spans="1:7" ht="15" customHeight="1">
      <c r="A170" s="85" t="s">
        <v>1468</v>
      </c>
      <c r="B170" s="90"/>
      <c r="C170" s="53" t="s">
        <v>1313</v>
      </c>
      <c r="D170" s="26" t="s">
        <v>1</v>
      </c>
      <c r="E170" s="173">
        <f>(0.2+2.3+0.9+0.2+3.9+6.6+0.6+2+0.3+0.3+0.2+1.2+1.9+3.5+0.1+0.5+0.8+5.8+0.5+2+0.2+0.5+0.3+2.2+0.2)*1.03</f>
        <v>38.316000000000003</v>
      </c>
      <c r="F170" s="28"/>
      <c r="G170" s="26"/>
    </row>
    <row r="171" spans="1:7" ht="15" customHeight="1">
      <c r="A171" s="85" t="s">
        <v>1469</v>
      </c>
      <c r="B171" s="90"/>
      <c r="C171" s="53" t="s">
        <v>1315</v>
      </c>
      <c r="D171" s="26" t="s">
        <v>1</v>
      </c>
      <c r="E171" s="173">
        <f>(1.2+0.4+1.8+0.3+0.5)*1.03</f>
        <v>4.3260000000000005</v>
      </c>
      <c r="F171" s="28"/>
      <c r="G171" s="26"/>
    </row>
    <row r="172" spans="1:7" ht="15" customHeight="1">
      <c r="A172" s="85" t="s">
        <v>1470</v>
      </c>
      <c r="B172" s="90"/>
      <c r="C172" s="53" t="s">
        <v>1221</v>
      </c>
      <c r="D172" s="26" t="s">
        <v>1</v>
      </c>
      <c r="E172" s="173">
        <f>(1+0.2+0.2+0.9)*1.03</f>
        <v>2.3689999999999998</v>
      </c>
      <c r="F172" s="28"/>
      <c r="G172" s="26"/>
    </row>
    <row r="173" spans="1:7" ht="14.25" customHeight="1">
      <c r="A173" s="85" t="s">
        <v>1471</v>
      </c>
      <c r="B173" s="90"/>
      <c r="C173" s="53" t="s">
        <v>1385</v>
      </c>
      <c r="D173" s="26" t="s">
        <v>1</v>
      </c>
      <c r="E173" s="173">
        <f>(0.4+0.6+2.3+0.5+0.2+1.4+0.4)*1.03</f>
        <v>5.9740000000000011</v>
      </c>
      <c r="F173" s="28"/>
      <c r="G173" s="26"/>
    </row>
    <row r="174" spans="1:7" ht="14.25" customHeight="1">
      <c r="A174" s="85" t="s">
        <v>1472</v>
      </c>
      <c r="B174" s="90"/>
      <c r="C174" s="53" t="s">
        <v>1223</v>
      </c>
      <c r="D174" s="26" t="s">
        <v>1</v>
      </c>
      <c r="E174" s="173">
        <f>(1.5+0.6+0.1+0.6+1.1+0.7+0.4+0.5+0.6)*1.03</f>
        <v>6.2830000000000004</v>
      </c>
      <c r="F174" s="28"/>
      <c r="G174" s="26"/>
    </row>
    <row r="175" spans="1:7" ht="30" customHeight="1">
      <c r="A175" s="85" t="s">
        <v>1473</v>
      </c>
      <c r="B175" s="90"/>
      <c r="C175" s="101" t="s">
        <v>1388</v>
      </c>
      <c r="D175" s="96" t="s">
        <v>1</v>
      </c>
      <c r="E175" s="172">
        <v>0.3</v>
      </c>
      <c r="F175" s="28"/>
      <c r="G175" s="26"/>
    </row>
    <row r="176" spans="1:7" ht="30" customHeight="1">
      <c r="A176" s="85" t="s">
        <v>1474</v>
      </c>
      <c r="B176" s="90"/>
      <c r="C176" s="101" t="s">
        <v>1227</v>
      </c>
      <c r="D176" s="96" t="s">
        <v>1</v>
      </c>
      <c r="E176" s="172">
        <v>0.2</v>
      </c>
      <c r="F176" s="28"/>
      <c r="G176" s="26"/>
    </row>
    <row r="177" spans="1:7" ht="14.25" customHeight="1">
      <c r="A177" s="85" t="s">
        <v>1475</v>
      </c>
      <c r="B177" s="90"/>
      <c r="C177" s="101" t="s">
        <v>1235</v>
      </c>
      <c r="D177" s="96" t="s">
        <v>1205</v>
      </c>
      <c r="E177" s="172">
        <v>1</v>
      </c>
      <c r="F177" s="28"/>
      <c r="G177" s="26"/>
    </row>
    <row r="178" spans="1:7" ht="30" customHeight="1">
      <c r="A178" s="85" t="s">
        <v>1476</v>
      </c>
      <c r="B178" s="90"/>
      <c r="C178" s="101" t="s">
        <v>1395</v>
      </c>
      <c r="D178" s="96" t="s">
        <v>129</v>
      </c>
      <c r="E178" s="172">
        <v>21</v>
      </c>
      <c r="F178" s="28"/>
      <c r="G178" s="26"/>
    </row>
    <row r="179" spans="1:7" ht="30" customHeight="1">
      <c r="A179" s="85" t="s">
        <v>1477</v>
      </c>
      <c r="B179" s="90"/>
      <c r="C179" s="101" t="s">
        <v>1478</v>
      </c>
      <c r="D179" s="96" t="s">
        <v>129</v>
      </c>
      <c r="E179" s="172">
        <v>1</v>
      </c>
      <c r="F179" s="28"/>
      <c r="G179" s="26"/>
    </row>
    <row r="180" spans="1:7" ht="30" customHeight="1">
      <c r="A180" s="85" t="s">
        <v>1479</v>
      </c>
      <c r="B180" s="90"/>
      <c r="C180" s="101" t="s">
        <v>1397</v>
      </c>
      <c r="D180" s="96" t="s">
        <v>129</v>
      </c>
      <c r="E180" s="172">
        <v>2</v>
      </c>
      <c r="F180" s="28"/>
      <c r="G180" s="26"/>
    </row>
    <row r="181" spans="1:7" ht="30" customHeight="1">
      <c r="A181" s="85" t="s">
        <v>1480</v>
      </c>
      <c r="B181" s="90"/>
      <c r="C181" s="101" t="s">
        <v>1481</v>
      </c>
      <c r="D181" s="96" t="s">
        <v>129</v>
      </c>
      <c r="E181" s="172">
        <v>1</v>
      </c>
      <c r="F181" s="28"/>
      <c r="G181" s="26"/>
    </row>
    <row r="182" spans="1:7" ht="30" customHeight="1">
      <c r="A182" s="85" t="s">
        <v>1482</v>
      </c>
      <c r="B182" s="90"/>
      <c r="C182" s="101" t="s">
        <v>1483</v>
      </c>
      <c r="D182" s="96" t="s">
        <v>129</v>
      </c>
      <c r="E182" s="172">
        <v>2</v>
      </c>
      <c r="F182" s="28"/>
      <c r="G182" s="26"/>
    </row>
    <row r="183" spans="1:7" ht="30" customHeight="1">
      <c r="A183" s="85" t="s">
        <v>1484</v>
      </c>
      <c r="B183" s="90"/>
      <c r="C183" s="101" t="s">
        <v>1400</v>
      </c>
      <c r="D183" s="96" t="s">
        <v>129</v>
      </c>
      <c r="E183" s="172">
        <v>4</v>
      </c>
      <c r="F183" s="28"/>
      <c r="G183" s="26"/>
    </row>
    <row r="184" spans="1:7" ht="30" customHeight="1">
      <c r="A184" s="85" t="s">
        <v>1485</v>
      </c>
      <c r="B184" s="90"/>
      <c r="C184" s="101" t="s">
        <v>1486</v>
      </c>
      <c r="D184" s="96" t="s">
        <v>129</v>
      </c>
      <c r="E184" s="172">
        <v>2</v>
      </c>
      <c r="F184" s="28"/>
      <c r="G184" s="26"/>
    </row>
    <row r="185" spans="1:7" ht="30" customHeight="1">
      <c r="A185" s="85" t="s">
        <v>1487</v>
      </c>
      <c r="B185" s="90"/>
      <c r="C185" s="101" t="s">
        <v>1402</v>
      </c>
      <c r="D185" s="96" t="s">
        <v>129</v>
      </c>
      <c r="E185" s="172">
        <v>3</v>
      </c>
      <c r="F185" s="28"/>
      <c r="G185" s="26"/>
    </row>
    <row r="186" spans="1:7" ht="30" customHeight="1">
      <c r="A186" s="85" t="s">
        <v>1488</v>
      </c>
      <c r="B186" s="90"/>
      <c r="C186" s="101" t="s">
        <v>1404</v>
      </c>
      <c r="D186" s="96" t="s">
        <v>129</v>
      </c>
      <c r="E186" s="172">
        <v>2</v>
      </c>
      <c r="F186" s="28"/>
      <c r="G186" s="26"/>
    </row>
    <row r="187" spans="1:7" ht="30" customHeight="1">
      <c r="A187" s="85" t="s">
        <v>1489</v>
      </c>
      <c r="B187" s="90"/>
      <c r="C187" s="101" t="s">
        <v>1490</v>
      </c>
      <c r="D187" s="96" t="s">
        <v>129</v>
      </c>
      <c r="E187" s="172">
        <v>1</v>
      </c>
      <c r="F187" s="28"/>
      <c r="G187" s="26"/>
    </row>
    <row r="188" spans="1:7" ht="30" customHeight="1">
      <c r="A188" s="85" t="s">
        <v>1491</v>
      </c>
      <c r="B188" s="90"/>
      <c r="C188" s="101" t="s">
        <v>1406</v>
      </c>
      <c r="D188" s="96" t="s">
        <v>129</v>
      </c>
      <c r="E188" s="171">
        <v>1</v>
      </c>
      <c r="F188" s="83"/>
      <c r="G188" s="84"/>
    </row>
    <row r="189" spans="1:7" ht="30" customHeight="1">
      <c r="A189" s="85" t="s">
        <v>1492</v>
      </c>
      <c r="B189" s="90"/>
      <c r="C189" s="101" t="s">
        <v>1331</v>
      </c>
      <c r="D189" s="96" t="s">
        <v>129</v>
      </c>
      <c r="E189" s="171">
        <v>1</v>
      </c>
      <c r="F189" s="83"/>
      <c r="G189" s="84"/>
    </row>
    <row r="190" spans="1:7" ht="30" customHeight="1">
      <c r="A190" s="85" t="s">
        <v>1493</v>
      </c>
      <c r="B190" s="90"/>
      <c r="C190" s="101" t="s">
        <v>1409</v>
      </c>
      <c r="D190" s="96" t="s">
        <v>129</v>
      </c>
      <c r="E190" s="171">
        <v>1</v>
      </c>
      <c r="F190" s="83"/>
      <c r="G190" s="84"/>
    </row>
    <row r="191" spans="1:7" ht="25.5">
      <c r="A191" s="85" t="s">
        <v>1494</v>
      </c>
      <c r="B191" s="90"/>
      <c r="C191" s="101" t="s">
        <v>1495</v>
      </c>
      <c r="D191" s="96" t="s">
        <v>129</v>
      </c>
      <c r="E191" s="171">
        <v>1</v>
      </c>
      <c r="F191" s="176"/>
      <c r="G191" s="176"/>
    </row>
    <row r="192" spans="1:7" ht="25.5">
      <c r="A192" s="85" t="s">
        <v>1496</v>
      </c>
      <c r="B192" s="90"/>
      <c r="C192" s="101" t="s">
        <v>1497</v>
      </c>
      <c r="D192" s="96" t="s">
        <v>129</v>
      </c>
      <c r="E192" s="171">
        <v>1</v>
      </c>
      <c r="F192" s="176"/>
      <c r="G192" s="176"/>
    </row>
    <row r="193" spans="1:7" ht="25.5">
      <c r="A193" s="85" t="s">
        <v>1498</v>
      </c>
      <c r="B193" s="90"/>
      <c r="C193" s="101" t="s">
        <v>1499</v>
      </c>
      <c r="D193" s="96" t="s">
        <v>129</v>
      </c>
      <c r="E193" s="171">
        <v>2</v>
      </c>
      <c r="F193" s="176"/>
      <c r="G193" s="176"/>
    </row>
    <row r="194" spans="1:7" ht="25.5">
      <c r="A194" s="85" t="s">
        <v>1500</v>
      </c>
      <c r="B194" s="90"/>
      <c r="C194" s="101" t="s">
        <v>1501</v>
      </c>
      <c r="D194" s="96" t="s">
        <v>129</v>
      </c>
      <c r="E194" s="171">
        <v>1</v>
      </c>
      <c r="F194" s="176"/>
      <c r="G194" s="176"/>
    </row>
    <row r="195" spans="1:7" ht="25.5">
      <c r="A195" s="85" t="s">
        <v>1502</v>
      </c>
      <c r="B195" s="90"/>
      <c r="C195" s="101" t="s">
        <v>1423</v>
      </c>
      <c r="D195" s="96" t="s">
        <v>129</v>
      </c>
      <c r="E195" s="171">
        <v>1</v>
      </c>
      <c r="F195" s="176"/>
      <c r="G195" s="176"/>
    </row>
    <row r="196" spans="1:7" ht="25.5">
      <c r="A196" s="85" t="s">
        <v>1503</v>
      </c>
      <c r="B196" s="90"/>
      <c r="C196" s="101" t="s">
        <v>1504</v>
      </c>
      <c r="D196" s="96" t="s">
        <v>129</v>
      </c>
      <c r="E196" s="171">
        <v>1</v>
      </c>
      <c r="F196" s="176"/>
      <c r="G196" s="176"/>
    </row>
    <row r="197" spans="1:7" ht="25.5">
      <c r="A197" s="85" t="s">
        <v>1505</v>
      </c>
      <c r="B197" s="90"/>
      <c r="C197" s="101" t="s">
        <v>1425</v>
      </c>
      <c r="D197" s="96" t="s">
        <v>129</v>
      </c>
      <c r="E197" s="171">
        <v>1</v>
      </c>
      <c r="F197" s="176"/>
      <c r="G197" s="176"/>
    </row>
    <row r="198" spans="1:7" ht="25.5">
      <c r="A198" s="85" t="s">
        <v>1506</v>
      </c>
      <c r="B198" s="90"/>
      <c r="C198" s="101" t="s">
        <v>1507</v>
      </c>
      <c r="D198" s="96" t="s">
        <v>129</v>
      </c>
      <c r="E198" s="171">
        <v>1</v>
      </c>
      <c r="F198" s="176"/>
      <c r="G198" s="176"/>
    </row>
    <row r="199" spans="1:7" ht="25.5">
      <c r="A199" s="85" t="s">
        <v>1508</v>
      </c>
      <c r="B199" s="90"/>
      <c r="C199" s="101" t="s">
        <v>1427</v>
      </c>
      <c r="D199" s="96" t="s">
        <v>129</v>
      </c>
      <c r="E199" s="171">
        <v>1</v>
      </c>
      <c r="F199" s="176"/>
      <c r="G199" s="176"/>
    </row>
    <row r="200" spans="1:7">
      <c r="A200" s="85" t="s">
        <v>1509</v>
      </c>
      <c r="B200" s="90"/>
      <c r="C200" s="101" t="s">
        <v>1434</v>
      </c>
      <c r="D200" s="96" t="s">
        <v>129</v>
      </c>
      <c r="E200" s="171">
        <v>6</v>
      </c>
      <c r="F200" s="176"/>
      <c r="G200" s="176"/>
    </row>
    <row r="201" spans="1:7" ht="51">
      <c r="A201" s="85" t="s">
        <v>1510</v>
      </c>
      <c r="B201" s="90"/>
      <c r="C201" s="101" t="s">
        <v>1277</v>
      </c>
      <c r="D201" s="96" t="s">
        <v>1078</v>
      </c>
      <c r="E201" s="171">
        <f>(8.3*0.2+2.5*0.225+2.8*0.3)*3.14*1.3*1.03</f>
        <v>12.876158750000002</v>
      </c>
      <c r="F201" s="176"/>
      <c r="G201" s="176"/>
    </row>
    <row r="202" spans="1:7" ht="63.75">
      <c r="A202" s="85" t="s">
        <v>1511</v>
      </c>
      <c r="B202" s="90"/>
      <c r="C202" s="101" t="s">
        <v>1279</v>
      </c>
      <c r="D202" s="96" t="s">
        <v>1078</v>
      </c>
      <c r="E202" s="171">
        <f>2.7*0.45*3.14*1.03</f>
        <v>3.9295530000000007</v>
      </c>
      <c r="F202" s="176"/>
      <c r="G202" s="176"/>
    </row>
    <row r="203" spans="1:7" ht="19.5" customHeight="1">
      <c r="A203" s="85" t="s">
        <v>1512</v>
      </c>
      <c r="B203" s="90"/>
      <c r="C203" s="101" t="s">
        <v>1281</v>
      </c>
      <c r="D203" s="96" t="s">
        <v>1205</v>
      </c>
      <c r="E203" s="171">
        <v>1</v>
      </c>
      <c r="F203" s="176"/>
      <c r="G203" s="176"/>
    </row>
    <row r="204" spans="1:7">
      <c r="A204" s="85" t="s">
        <v>1513</v>
      </c>
      <c r="B204" s="90"/>
      <c r="C204" s="101" t="s">
        <v>1283</v>
      </c>
      <c r="D204" s="96" t="s">
        <v>1205</v>
      </c>
      <c r="E204" s="171">
        <v>1</v>
      </c>
      <c r="F204" s="176"/>
      <c r="G204" s="176"/>
    </row>
    <row r="205" spans="1:7">
      <c r="A205" s="85" t="s">
        <v>1514</v>
      </c>
      <c r="B205" s="90"/>
      <c r="C205" s="101" t="s">
        <v>1285</v>
      </c>
      <c r="D205" s="96" t="s">
        <v>1205</v>
      </c>
      <c r="E205" s="171">
        <v>1</v>
      </c>
      <c r="F205" s="176"/>
      <c r="G205" s="176"/>
    </row>
    <row r="206" spans="1:7">
      <c r="A206" s="85" t="s">
        <v>1515</v>
      </c>
      <c r="B206" s="90"/>
      <c r="C206" s="101" t="s">
        <v>1287</v>
      </c>
      <c r="D206" s="96" t="s">
        <v>1205</v>
      </c>
      <c r="E206" s="171">
        <v>1</v>
      </c>
      <c r="F206" s="176"/>
      <c r="G206" s="176"/>
    </row>
    <row r="207" spans="1:7" ht="25.5">
      <c r="A207" s="85" t="s">
        <v>1516</v>
      </c>
      <c r="B207" s="90"/>
      <c r="C207" s="101" t="s">
        <v>1293</v>
      </c>
      <c r="D207" s="96" t="s">
        <v>1205</v>
      </c>
      <c r="E207" s="171">
        <v>1</v>
      </c>
      <c r="F207" s="176"/>
      <c r="G207" s="176"/>
    </row>
    <row r="208" spans="1:7">
      <c r="A208" s="85"/>
      <c r="B208" s="90"/>
      <c r="C208" s="67" t="s">
        <v>18</v>
      </c>
      <c r="D208" s="54"/>
      <c r="E208" s="3"/>
      <c r="F208" s="176"/>
      <c r="G208" s="176"/>
    </row>
    <row r="209" spans="1:7">
      <c r="A209" s="87" t="s">
        <v>1517</v>
      </c>
      <c r="B209" s="90"/>
      <c r="C209" s="164" t="s">
        <v>1518</v>
      </c>
      <c r="D209" s="165"/>
      <c r="E209" s="172"/>
      <c r="F209" s="176"/>
      <c r="G209" s="176"/>
    </row>
    <row r="210" spans="1:7" ht="39.75">
      <c r="A210" s="85" t="s">
        <v>1519</v>
      </c>
      <c r="B210" s="90"/>
      <c r="C210" s="101" t="s">
        <v>1520</v>
      </c>
      <c r="D210" s="96" t="s">
        <v>1205</v>
      </c>
      <c r="E210" s="172">
        <v>1</v>
      </c>
      <c r="F210" s="176"/>
      <c r="G210" s="176"/>
    </row>
    <row r="211" spans="1:7" ht="25.5">
      <c r="A211" s="85" t="s">
        <v>1521</v>
      </c>
      <c r="B211" s="90"/>
      <c r="C211" s="170" t="s">
        <v>1522</v>
      </c>
      <c r="D211" s="168" t="s">
        <v>1205</v>
      </c>
      <c r="E211" s="169">
        <v>1</v>
      </c>
      <c r="F211" s="176"/>
      <c r="G211" s="176"/>
    </row>
    <row r="212" spans="1:7" ht="25.5">
      <c r="A212" s="85" t="s">
        <v>1523</v>
      </c>
      <c r="B212" s="90"/>
      <c r="C212" s="101" t="s">
        <v>1455</v>
      </c>
      <c r="D212" s="96" t="s">
        <v>129</v>
      </c>
      <c r="E212" s="171">
        <v>2</v>
      </c>
      <c r="F212" s="176"/>
      <c r="G212" s="176"/>
    </row>
    <row r="213" spans="1:7">
      <c r="A213" s="85" t="s">
        <v>1524</v>
      </c>
      <c r="B213" s="90"/>
      <c r="C213" s="101" t="s">
        <v>1311</v>
      </c>
      <c r="D213" s="96" t="s">
        <v>129</v>
      </c>
      <c r="E213" s="172">
        <v>1</v>
      </c>
      <c r="F213" s="176"/>
      <c r="G213" s="176"/>
    </row>
    <row r="214" spans="1:7" ht="25.5">
      <c r="A214" s="85" t="s">
        <v>1525</v>
      </c>
      <c r="B214" s="90"/>
      <c r="C214" s="101" t="s">
        <v>1465</v>
      </c>
      <c r="D214" s="96" t="s">
        <v>1205</v>
      </c>
      <c r="E214" s="172">
        <v>3</v>
      </c>
      <c r="F214" s="176"/>
      <c r="G214" s="176"/>
    </row>
    <row r="215" spans="1:7">
      <c r="A215" s="85" t="s">
        <v>1526</v>
      </c>
      <c r="B215" s="90"/>
      <c r="C215" s="101" t="s">
        <v>1313</v>
      </c>
      <c r="D215" s="96" t="s">
        <v>1</v>
      </c>
      <c r="E215" s="172">
        <f>(0.4+0.4+2.5+1.6+0.2+2+1.1+0.6)*1.03</f>
        <v>9.0640000000000018</v>
      </c>
      <c r="F215" s="176"/>
      <c r="G215" s="176"/>
    </row>
    <row r="216" spans="1:7">
      <c r="A216" s="85" t="s">
        <v>1527</v>
      </c>
      <c r="B216" s="90"/>
      <c r="C216" s="101" t="s">
        <v>1235</v>
      </c>
      <c r="D216" s="96" t="s">
        <v>1205</v>
      </c>
      <c r="E216" s="172">
        <v>1</v>
      </c>
      <c r="F216" s="176"/>
      <c r="G216" s="176"/>
    </row>
    <row r="217" spans="1:7" ht="27">
      <c r="A217" s="85" t="s">
        <v>1528</v>
      </c>
      <c r="B217" s="90"/>
      <c r="C217" s="101" t="s">
        <v>1395</v>
      </c>
      <c r="D217" s="96" t="s">
        <v>129</v>
      </c>
      <c r="E217" s="172">
        <v>6</v>
      </c>
      <c r="F217" s="176"/>
      <c r="G217" s="176"/>
    </row>
    <row r="218" spans="1:7" ht="27">
      <c r="A218" s="85" t="s">
        <v>1529</v>
      </c>
      <c r="B218" s="90"/>
      <c r="C218" s="101" t="s">
        <v>1478</v>
      </c>
      <c r="D218" s="96" t="s">
        <v>129</v>
      </c>
      <c r="E218" s="172">
        <v>4</v>
      </c>
      <c r="F218" s="176"/>
      <c r="G218" s="176"/>
    </row>
    <row r="219" spans="1:7" ht="25.5">
      <c r="A219" s="85" t="s">
        <v>1530</v>
      </c>
      <c r="B219" s="90"/>
      <c r="C219" s="101" t="s">
        <v>1419</v>
      </c>
      <c r="D219" s="96" t="s">
        <v>129</v>
      </c>
      <c r="E219" s="171">
        <v>2</v>
      </c>
      <c r="F219" s="176"/>
      <c r="G219" s="176"/>
    </row>
    <row r="220" spans="1:7" ht="51">
      <c r="A220" s="85" t="s">
        <v>1531</v>
      </c>
      <c r="B220" s="90"/>
      <c r="C220" s="101" t="s">
        <v>1277</v>
      </c>
      <c r="D220" s="96" t="s">
        <v>1078</v>
      </c>
      <c r="E220" s="171">
        <f>(0.4+0.4+2.5)*0.2*3.14*1.3*1.03</f>
        <v>2.7749436000000003</v>
      </c>
      <c r="F220" s="176"/>
      <c r="G220" s="176"/>
    </row>
    <row r="221" spans="1:7" ht="25.5">
      <c r="A221" s="85" t="s">
        <v>1532</v>
      </c>
      <c r="B221" s="90"/>
      <c r="C221" s="101" t="s">
        <v>1281</v>
      </c>
      <c r="D221" s="96" t="s">
        <v>1205</v>
      </c>
      <c r="E221" s="171">
        <v>1</v>
      </c>
      <c r="F221" s="176"/>
      <c r="G221" s="176"/>
    </row>
    <row r="222" spans="1:7">
      <c r="A222" s="85" t="s">
        <v>1533</v>
      </c>
      <c r="B222" s="90"/>
      <c r="C222" s="101" t="s">
        <v>1283</v>
      </c>
      <c r="D222" s="96" t="s">
        <v>1205</v>
      </c>
      <c r="E222" s="171">
        <v>1</v>
      </c>
      <c r="F222" s="176"/>
      <c r="G222" s="176"/>
    </row>
    <row r="223" spans="1:7">
      <c r="A223" s="85" t="s">
        <v>1534</v>
      </c>
      <c r="B223" s="90"/>
      <c r="C223" s="101" t="s">
        <v>1285</v>
      </c>
      <c r="D223" s="96" t="s">
        <v>1205</v>
      </c>
      <c r="E223" s="171">
        <v>1</v>
      </c>
      <c r="F223" s="176"/>
      <c r="G223" s="176"/>
    </row>
    <row r="224" spans="1:7">
      <c r="A224" s="85" t="s">
        <v>1535</v>
      </c>
      <c r="B224" s="90"/>
      <c r="C224" s="101" t="s">
        <v>1287</v>
      </c>
      <c r="D224" s="96" t="s">
        <v>1205</v>
      </c>
      <c r="E224" s="171">
        <v>1</v>
      </c>
      <c r="F224" s="176"/>
      <c r="G224" s="176"/>
    </row>
    <row r="225" spans="1:7" ht="25.5">
      <c r="A225" s="85" t="s">
        <v>1536</v>
      </c>
      <c r="B225" s="90"/>
      <c r="C225" s="101" t="s">
        <v>1293</v>
      </c>
      <c r="D225" s="96" t="s">
        <v>1205</v>
      </c>
      <c r="E225" s="171">
        <v>1</v>
      </c>
      <c r="F225" s="176"/>
      <c r="G225" s="176"/>
    </row>
    <row r="226" spans="1:7">
      <c r="A226" s="85" t="s">
        <v>1537</v>
      </c>
      <c r="B226" s="90"/>
      <c r="C226" s="101" t="s">
        <v>1538</v>
      </c>
      <c r="D226" s="96" t="s">
        <v>1205</v>
      </c>
      <c r="E226" s="171">
        <v>1</v>
      </c>
      <c r="F226" s="176"/>
      <c r="G226" s="176"/>
    </row>
    <row r="227" spans="1:7">
      <c r="A227" s="85"/>
      <c r="B227" s="90"/>
      <c r="C227" s="67" t="s">
        <v>18</v>
      </c>
      <c r="D227" s="54"/>
      <c r="E227" s="3"/>
      <c r="F227" s="176"/>
      <c r="G227" s="176"/>
    </row>
    <row r="228" spans="1:7">
      <c r="A228" s="87" t="s">
        <v>1539</v>
      </c>
      <c r="B228" s="90"/>
      <c r="C228" s="164" t="s">
        <v>1540</v>
      </c>
      <c r="D228" s="165"/>
      <c r="E228" s="172"/>
      <c r="F228" s="176"/>
      <c r="G228" s="176"/>
    </row>
    <row r="229" spans="1:7" ht="39.75">
      <c r="A229" s="85" t="s">
        <v>1541</v>
      </c>
      <c r="B229" s="90"/>
      <c r="C229" s="101" t="s">
        <v>1542</v>
      </c>
      <c r="D229" s="96" t="s">
        <v>1205</v>
      </c>
      <c r="E229" s="172">
        <v>1</v>
      </c>
      <c r="F229" s="176"/>
      <c r="G229" s="176"/>
    </row>
    <row r="230" spans="1:7" ht="25.5">
      <c r="A230" s="85" t="s">
        <v>1543</v>
      </c>
      <c r="B230" s="90"/>
      <c r="C230" s="170" t="s">
        <v>1544</v>
      </c>
      <c r="D230" s="168" t="s">
        <v>1205</v>
      </c>
      <c r="E230" s="169">
        <v>1</v>
      </c>
      <c r="F230" s="176"/>
      <c r="G230" s="176"/>
    </row>
    <row r="231" spans="1:7" ht="25.5">
      <c r="A231" s="85" t="s">
        <v>1545</v>
      </c>
      <c r="B231" s="90"/>
      <c r="C231" s="101" t="s">
        <v>1458</v>
      </c>
      <c r="D231" s="96" t="s">
        <v>129</v>
      </c>
      <c r="E231" s="171">
        <v>2</v>
      </c>
      <c r="F231" s="176"/>
      <c r="G231" s="176"/>
    </row>
    <row r="232" spans="1:7">
      <c r="A232" s="85" t="s">
        <v>1546</v>
      </c>
      <c r="B232" s="90"/>
      <c r="C232" s="101" t="s">
        <v>1452</v>
      </c>
      <c r="D232" s="96" t="s">
        <v>129</v>
      </c>
      <c r="E232" s="171">
        <v>1</v>
      </c>
      <c r="F232" s="176"/>
      <c r="G232" s="176"/>
    </row>
    <row r="233" spans="1:7">
      <c r="A233" s="85" t="s">
        <v>1547</v>
      </c>
      <c r="B233" s="90"/>
      <c r="C233" s="101" t="s">
        <v>1311</v>
      </c>
      <c r="D233" s="96" t="s">
        <v>129</v>
      </c>
      <c r="E233" s="172">
        <v>3</v>
      </c>
      <c r="F233" s="176"/>
      <c r="G233" s="176"/>
    </row>
    <row r="234" spans="1:7">
      <c r="A234" s="85" t="s">
        <v>1548</v>
      </c>
      <c r="B234" s="90"/>
      <c r="C234" s="101" t="s">
        <v>1364</v>
      </c>
      <c r="D234" s="96" t="s">
        <v>129</v>
      </c>
      <c r="E234" s="172">
        <v>2</v>
      </c>
      <c r="F234" s="176"/>
      <c r="G234" s="176"/>
    </row>
    <row r="235" spans="1:7" ht="25.5">
      <c r="A235" s="85" t="s">
        <v>1549</v>
      </c>
      <c r="B235" s="90"/>
      <c r="C235" s="101" t="s">
        <v>1465</v>
      </c>
      <c r="D235" s="96" t="s">
        <v>1205</v>
      </c>
      <c r="E235" s="172">
        <v>15</v>
      </c>
      <c r="F235" s="176"/>
      <c r="G235" s="176"/>
    </row>
    <row r="236" spans="1:7" ht="25.5">
      <c r="A236" s="85" t="s">
        <v>1550</v>
      </c>
      <c r="B236" s="90"/>
      <c r="C236" s="101" t="s">
        <v>1467</v>
      </c>
      <c r="D236" s="96" t="s">
        <v>1205</v>
      </c>
      <c r="E236" s="172">
        <v>2</v>
      </c>
      <c r="F236" s="176"/>
      <c r="G236" s="176"/>
    </row>
    <row r="237" spans="1:7">
      <c r="A237" s="85" t="s">
        <v>1551</v>
      </c>
      <c r="B237" s="90"/>
      <c r="C237" s="101" t="s">
        <v>1313</v>
      </c>
      <c r="D237" s="96" t="s">
        <v>1</v>
      </c>
      <c r="E237" s="172">
        <f>(2.1+0.3+0.2+0.5+2.9+0.5+0.5+0.5+2.5+0.4*5+2.5+0.4*5)*1.03</f>
        <v>16.995000000000001</v>
      </c>
      <c r="F237" s="176"/>
      <c r="G237" s="176"/>
    </row>
    <row r="238" spans="1:7">
      <c r="A238" s="85" t="s">
        <v>1552</v>
      </c>
      <c r="B238" s="90"/>
      <c r="C238" s="101" t="s">
        <v>1315</v>
      </c>
      <c r="D238" s="96" t="s">
        <v>1</v>
      </c>
      <c r="E238" s="172">
        <f>(0.8+0.8+1.9+3.7+1.9)*1.03</f>
        <v>9.3729999999999993</v>
      </c>
      <c r="F238" s="176"/>
      <c r="G238" s="176"/>
    </row>
    <row r="239" spans="1:7">
      <c r="A239" s="85" t="s">
        <v>1553</v>
      </c>
      <c r="B239" s="90"/>
      <c r="C239" s="101" t="s">
        <v>1221</v>
      </c>
      <c r="D239" s="96" t="s">
        <v>1</v>
      </c>
      <c r="E239" s="172">
        <f>(4.4+0.7+0.3)*1.03</f>
        <v>5.5620000000000003</v>
      </c>
      <c r="F239" s="176"/>
      <c r="G239" s="176"/>
    </row>
    <row r="240" spans="1:7">
      <c r="A240" s="85" t="s">
        <v>1554</v>
      </c>
      <c r="B240" s="90"/>
      <c r="C240" s="101" t="s">
        <v>1385</v>
      </c>
      <c r="D240" s="96" t="s">
        <v>1</v>
      </c>
      <c r="E240" s="172">
        <f>(3.5+0.9+0.2+0.7+0.1+1.1)*1.03</f>
        <v>6.6950000000000003</v>
      </c>
      <c r="F240" s="176"/>
      <c r="G240" s="176"/>
    </row>
    <row r="241" spans="1:7">
      <c r="A241" s="85" t="s">
        <v>1555</v>
      </c>
      <c r="B241" s="90"/>
      <c r="C241" s="101" t="s">
        <v>1235</v>
      </c>
      <c r="D241" s="96" t="s">
        <v>1205</v>
      </c>
      <c r="E241" s="172">
        <v>1</v>
      </c>
      <c r="F241" s="176"/>
      <c r="G241" s="176"/>
    </row>
    <row r="242" spans="1:7" ht="27">
      <c r="A242" s="85" t="s">
        <v>1556</v>
      </c>
      <c r="B242" s="90"/>
      <c r="C242" s="101" t="s">
        <v>1395</v>
      </c>
      <c r="D242" s="96" t="s">
        <v>129</v>
      </c>
      <c r="E242" s="172">
        <v>19</v>
      </c>
      <c r="F242" s="176"/>
      <c r="G242" s="176"/>
    </row>
    <row r="243" spans="1:7" ht="27">
      <c r="A243" s="85" t="s">
        <v>1557</v>
      </c>
      <c r="B243" s="90"/>
      <c r="C243" s="101" t="s">
        <v>1478</v>
      </c>
      <c r="D243" s="96" t="s">
        <v>129</v>
      </c>
      <c r="E243" s="172">
        <v>1</v>
      </c>
      <c r="F243" s="176"/>
      <c r="G243" s="176"/>
    </row>
    <row r="244" spans="1:7" ht="27">
      <c r="A244" s="85" t="s">
        <v>1558</v>
      </c>
      <c r="B244" s="90"/>
      <c r="C244" s="101" t="s">
        <v>1397</v>
      </c>
      <c r="D244" s="96" t="s">
        <v>129</v>
      </c>
      <c r="E244" s="172">
        <v>2</v>
      </c>
      <c r="F244" s="176"/>
      <c r="G244" s="176"/>
    </row>
    <row r="245" spans="1:7" ht="27">
      <c r="A245" s="85" t="s">
        <v>1559</v>
      </c>
      <c r="B245" s="90"/>
      <c r="C245" s="101" t="s">
        <v>1481</v>
      </c>
      <c r="D245" s="96" t="s">
        <v>129</v>
      </c>
      <c r="E245" s="172">
        <v>3</v>
      </c>
      <c r="F245" s="176"/>
      <c r="G245" s="176"/>
    </row>
    <row r="246" spans="1:7" ht="27">
      <c r="A246" s="85" t="s">
        <v>1560</v>
      </c>
      <c r="B246" s="90"/>
      <c r="C246" s="101" t="s">
        <v>1237</v>
      </c>
      <c r="D246" s="96" t="s">
        <v>129</v>
      </c>
      <c r="E246" s="172">
        <v>2</v>
      </c>
      <c r="F246" s="176"/>
      <c r="G246" s="176"/>
    </row>
    <row r="247" spans="1:7" ht="27">
      <c r="A247" s="85" t="s">
        <v>1561</v>
      </c>
      <c r="B247" s="90"/>
      <c r="C247" s="101" t="s">
        <v>1400</v>
      </c>
      <c r="D247" s="96" t="s">
        <v>129</v>
      </c>
      <c r="E247" s="172">
        <v>2</v>
      </c>
      <c r="F247" s="176"/>
      <c r="G247" s="176"/>
    </row>
    <row r="248" spans="1:7" ht="27">
      <c r="A248" s="85" t="s">
        <v>1562</v>
      </c>
      <c r="B248" s="90"/>
      <c r="C248" s="101" t="s">
        <v>1563</v>
      </c>
      <c r="D248" s="96" t="s">
        <v>129</v>
      </c>
      <c r="E248" s="172">
        <v>1</v>
      </c>
      <c r="F248" s="176"/>
      <c r="G248" s="176"/>
    </row>
    <row r="249" spans="1:7" ht="25.5">
      <c r="A249" s="85" t="s">
        <v>1564</v>
      </c>
      <c r="B249" s="90"/>
      <c r="C249" s="101" t="s">
        <v>1419</v>
      </c>
      <c r="D249" s="96" t="s">
        <v>129</v>
      </c>
      <c r="E249" s="171">
        <v>5</v>
      </c>
      <c r="F249" s="176"/>
      <c r="G249" s="176"/>
    </row>
    <row r="250" spans="1:7" ht="25.5">
      <c r="A250" s="85" t="s">
        <v>1565</v>
      </c>
      <c r="B250" s="90"/>
      <c r="C250" s="101" t="s">
        <v>1501</v>
      </c>
      <c r="D250" s="96" t="s">
        <v>129</v>
      </c>
      <c r="E250" s="171">
        <v>6</v>
      </c>
      <c r="F250" s="176"/>
      <c r="G250" s="176"/>
    </row>
    <row r="251" spans="1:7" ht="25.5">
      <c r="A251" s="85" t="s">
        <v>1566</v>
      </c>
      <c r="B251" s="90"/>
      <c r="C251" s="101" t="s">
        <v>1421</v>
      </c>
      <c r="D251" s="96" t="s">
        <v>129</v>
      </c>
      <c r="E251" s="171">
        <v>1</v>
      </c>
      <c r="F251" s="176"/>
      <c r="G251" s="176"/>
    </row>
    <row r="252" spans="1:7" ht="25.5">
      <c r="A252" s="85" t="s">
        <v>1567</v>
      </c>
      <c r="B252" s="90"/>
      <c r="C252" s="101" t="s">
        <v>1425</v>
      </c>
      <c r="D252" s="96" t="s">
        <v>129</v>
      </c>
      <c r="E252" s="171">
        <v>1</v>
      </c>
      <c r="F252" s="176"/>
      <c r="G252" s="176"/>
    </row>
    <row r="253" spans="1:7" ht="25.5">
      <c r="A253" s="85" t="s">
        <v>1568</v>
      </c>
      <c r="B253" s="90"/>
      <c r="C253" s="101" t="s">
        <v>1569</v>
      </c>
      <c r="D253" s="96" t="s">
        <v>129</v>
      </c>
      <c r="E253" s="171">
        <v>1</v>
      </c>
      <c r="F253" s="176"/>
      <c r="G253" s="176"/>
    </row>
    <row r="254" spans="1:7" ht="25.5">
      <c r="A254" s="85" t="s">
        <v>1570</v>
      </c>
      <c r="B254" s="90"/>
      <c r="C254" s="101" t="s">
        <v>1507</v>
      </c>
      <c r="D254" s="96" t="s">
        <v>129</v>
      </c>
      <c r="E254" s="171">
        <v>1</v>
      </c>
      <c r="F254" s="176"/>
      <c r="G254" s="176"/>
    </row>
    <row r="255" spans="1:7" ht="25.5">
      <c r="A255" s="85" t="s">
        <v>1571</v>
      </c>
      <c r="B255" s="90"/>
      <c r="C255" s="101" t="s">
        <v>1406</v>
      </c>
      <c r="D255" s="96" t="s">
        <v>129</v>
      </c>
      <c r="E255" s="171">
        <v>3</v>
      </c>
      <c r="F255" s="176"/>
      <c r="G255" s="176"/>
    </row>
    <row r="256" spans="1:7" ht="25.5">
      <c r="A256" s="85" t="s">
        <v>1572</v>
      </c>
      <c r="B256" s="90"/>
      <c r="C256" s="101" t="s">
        <v>1573</v>
      </c>
      <c r="D256" s="96" t="s">
        <v>129</v>
      </c>
      <c r="E256" s="171">
        <v>1</v>
      </c>
      <c r="F256" s="176"/>
      <c r="G256" s="176"/>
    </row>
    <row r="257" spans="1:7" ht="25.5">
      <c r="A257" s="85" t="s">
        <v>1574</v>
      </c>
      <c r="B257" s="90"/>
      <c r="C257" s="101" t="s">
        <v>1409</v>
      </c>
      <c r="D257" s="96" t="s">
        <v>129</v>
      </c>
      <c r="E257" s="171">
        <v>1</v>
      </c>
      <c r="F257" s="176"/>
      <c r="G257" s="176"/>
    </row>
    <row r="258" spans="1:7" ht="51">
      <c r="A258" s="85" t="s">
        <v>1575</v>
      </c>
      <c r="B258" s="90"/>
      <c r="C258" s="101" t="s">
        <v>1277</v>
      </c>
      <c r="D258" s="96" t="s">
        <v>1078</v>
      </c>
      <c r="E258" s="171">
        <f>3.5*0.3*3.14*1.3*1.03</f>
        <v>4.4146830000000001</v>
      </c>
      <c r="F258" s="176"/>
      <c r="G258" s="176"/>
    </row>
    <row r="259" spans="1:7" ht="25.5">
      <c r="A259" s="85" t="s">
        <v>1576</v>
      </c>
      <c r="B259" s="90"/>
      <c r="C259" s="101" t="s">
        <v>1281</v>
      </c>
      <c r="D259" s="96" t="s">
        <v>1205</v>
      </c>
      <c r="E259" s="171">
        <v>1</v>
      </c>
      <c r="F259" s="176"/>
      <c r="G259" s="176"/>
    </row>
    <row r="260" spans="1:7">
      <c r="A260" s="85" t="s">
        <v>1577</v>
      </c>
      <c r="B260" s="90"/>
      <c r="C260" s="101" t="s">
        <v>1283</v>
      </c>
      <c r="D260" s="96" t="s">
        <v>1205</v>
      </c>
      <c r="E260" s="171">
        <v>1</v>
      </c>
      <c r="F260" s="176"/>
      <c r="G260" s="176"/>
    </row>
    <row r="261" spans="1:7">
      <c r="A261" s="85" t="s">
        <v>1578</v>
      </c>
      <c r="B261" s="90"/>
      <c r="C261" s="101" t="s">
        <v>1285</v>
      </c>
      <c r="D261" s="96" t="s">
        <v>1205</v>
      </c>
      <c r="E261" s="171">
        <v>1</v>
      </c>
      <c r="F261" s="176"/>
      <c r="G261" s="176"/>
    </row>
    <row r="262" spans="1:7">
      <c r="A262" s="85" t="s">
        <v>1579</v>
      </c>
      <c r="B262" s="90"/>
      <c r="C262" s="101" t="s">
        <v>1287</v>
      </c>
      <c r="D262" s="96" t="s">
        <v>1205</v>
      </c>
      <c r="E262" s="171">
        <v>1</v>
      </c>
      <c r="F262" s="176"/>
      <c r="G262" s="176"/>
    </row>
    <row r="263" spans="1:7" ht="25.5">
      <c r="A263" s="85" t="s">
        <v>1580</v>
      </c>
      <c r="B263" s="90"/>
      <c r="C263" s="101" t="s">
        <v>1293</v>
      </c>
      <c r="D263" s="96" t="s">
        <v>1205</v>
      </c>
      <c r="E263" s="171">
        <v>1</v>
      </c>
      <c r="F263" s="176"/>
      <c r="G263" s="176"/>
    </row>
    <row r="264" spans="1:7">
      <c r="A264" s="85" t="s">
        <v>1581</v>
      </c>
      <c r="B264" s="90"/>
      <c r="C264" s="101" t="s">
        <v>1538</v>
      </c>
      <c r="D264" s="96" t="s">
        <v>1205</v>
      </c>
      <c r="E264" s="171">
        <v>1</v>
      </c>
      <c r="F264" s="176"/>
      <c r="G264" s="176"/>
    </row>
    <row r="265" spans="1:7">
      <c r="A265" s="85"/>
      <c r="B265" s="90"/>
      <c r="C265" s="67" t="s">
        <v>18</v>
      </c>
      <c r="D265" s="54"/>
      <c r="E265" s="3"/>
      <c r="F265" s="176"/>
      <c r="G265" s="176"/>
    </row>
    <row r="266" spans="1:7">
      <c r="A266" s="87" t="s">
        <v>1582</v>
      </c>
      <c r="B266" s="90"/>
      <c r="C266" s="164" t="s">
        <v>1583</v>
      </c>
      <c r="D266" s="96"/>
      <c r="E266" s="171"/>
      <c r="F266" s="176"/>
      <c r="G266" s="176"/>
    </row>
    <row r="267" spans="1:7" ht="52.5">
      <c r="A267" s="85" t="s">
        <v>1584</v>
      </c>
      <c r="B267" s="90"/>
      <c r="C267" s="101" t="s">
        <v>1585</v>
      </c>
      <c r="D267" s="96" t="s">
        <v>1205</v>
      </c>
      <c r="E267" s="172">
        <v>1</v>
      </c>
      <c r="F267" s="176"/>
      <c r="G267" s="176"/>
    </row>
    <row r="268" spans="1:7" ht="25.5">
      <c r="A268" s="85" t="s">
        <v>1586</v>
      </c>
      <c r="B268" s="90"/>
      <c r="C268" s="170" t="s">
        <v>1522</v>
      </c>
      <c r="D268" s="168" t="s">
        <v>1205</v>
      </c>
      <c r="E268" s="169">
        <v>1</v>
      </c>
      <c r="F268" s="176"/>
      <c r="G268" s="176"/>
    </row>
    <row r="269" spans="1:7" ht="25.5">
      <c r="A269" s="85" t="s">
        <v>1587</v>
      </c>
      <c r="B269" s="90"/>
      <c r="C269" s="101" t="s">
        <v>1455</v>
      </c>
      <c r="D269" s="96" t="s">
        <v>129</v>
      </c>
      <c r="E269" s="171">
        <v>2</v>
      </c>
      <c r="F269" s="176"/>
      <c r="G269" s="176"/>
    </row>
    <row r="270" spans="1:7">
      <c r="A270" s="85" t="s">
        <v>1588</v>
      </c>
      <c r="B270" s="90"/>
      <c r="C270" s="101" t="s">
        <v>1313</v>
      </c>
      <c r="D270" s="96" t="s">
        <v>1</v>
      </c>
      <c r="E270" s="172">
        <f>(2.5+0.9+2.5+3)*1.03</f>
        <v>9.1669999999999998</v>
      </c>
      <c r="F270" s="176"/>
      <c r="G270" s="176"/>
    </row>
    <row r="271" spans="1:7">
      <c r="A271" s="85" t="s">
        <v>1589</v>
      </c>
      <c r="B271" s="90"/>
      <c r="C271" s="101" t="s">
        <v>1235</v>
      </c>
      <c r="D271" s="96" t="s">
        <v>1205</v>
      </c>
      <c r="E271" s="172">
        <v>1</v>
      </c>
      <c r="F271" s="176"/>
      <c r="G271" s="176"/>
    </row>
    <row r="272" spans="1:7" ht="27">
      <c r="A272" s="85" t="s">
        <v>1590</v>
      </c>
      <c r="B272" s="90"/>
      <c r="C272" s="101" t="s">
        <v>1395</v>
      </c>
      <c r="D272" s="96" t="s">
        <v>129</v>
      </c>
      <c r="E272" s="172">
        <v>4</v>
      </c>
      <c r="F272" s="176"/>
      <c r="G272" s="176"/>
    </row>
    <row r="273" spans="1:7" ht="27">
      <c r="A273" s="85" t="s">
        <v>1591</v>
      </c>
      <c r="B273" s="90"/>
      <c r="C273" s="101" t="s">
        <v>1478</v>
      </c>
      <c r="D273" s="96" t="s">
        <v>129</v>
      </c>
      <c r="E273" s="172">
        <v>2</v>
      </c>
      <c r="F273" s="176"/>
      <c r="G273" s="176"/>
    </row>
    <row r="274" spans="1:7" ht="51">
      <c r="A274" s="85" t="s">
        <v>1592</v>
      </c>
      <c r="B274" s="90"/>
      <c r="C274" s="101" t="s">
        <v>1277</v>
      </c>
      <c r="D274" s="96" t="s">
        <v>1078</v>
      </c>
      <c r="E274" s="171">
        <f>3*0.2*3.14*1.3*1.03</f>
        <v>2.5226760000000006</v>
      </c>
      <c r="F274" s="176"/>
      <c r="G274" s="176"/>
    </row>
    <row r="275" spans="1:7" ht="25.5">
      <c r="A275" s="85" t="s">
        <v>1593</v>
      </c>
      <c r="B275" s="90"/>
      <c r="C275" s="101" t="s">
        <v>1281</v>
      </c>
      <c r="D275" s="96" t="s">
        <v>1205</v>
      </c>
      <c r="E275" s="171">
        <v>1</v>
      </c>
      <c r="F275" s="176"/>
      <c r="G275" s="176"/>
    </row>
    <row r="276" spans="1:7">
      <c r="A276" s="85" t="s">
        <v>1594</v>
      </c>
      <c r="B276" s="90"/>
      <c r="C276" s="101" t="s">
        <v>1283</v>
      </c>
      <c r="D276" s="96" t="s">
        <v>1205</v>
      </c>
      <c r="E276" s="171">
        <v>1</v>
      </c>
      <c r="F276" s="176"/>
      <c r="G276" s="176"/>
    </row>
    <row r="277" spans="1:7">
      <c r="A277" s="85" t="s">
        <v>1595</v>
      </c>
      <c r="B277" s="90"/>
      <c r="C277" s="101" t="s">
        <v>1285</v>
      </c>
      <c r="D277" s="96" t="s">
        <v>1205</v>
      </c>
      <c r="E277" s="171">
        <v>1</v>
      </c>
      <c r="F277" s="176"/>
      <c r="G277" s="176"/>
    </row>
    <row r="278" spans="1:7">
      <c r="A278" s="85" t="s">
        <v>1596</v>
      </c>
      <c r="B278" s="90"/>
      <c r="C278" s="101" t="s">
        <v>1287</v>
      </c>
      <c r="D278" s="96" t="s">
        <v>1205</v>
      </c>
      <c r="E278" s="171">
        <v>1</v>
      </c>
      <c r="F278" s="176"/>
      <c r="G278" s="176"/>
    </row>
    <row r="279" spans="1:7" ht="25.5">
      <c r="A279" s="85" t="s">
        <v>1597</v>
      </c>
      <c r="B279" s="90"/>
      <c r="C279" s="101" t="s">
        <v>1293</v>
      </c>
      <c r="D279" s="96" t="s">
        <v>1205</v>
      </c>
      <c r="E279" s="171">
        <v>1</v>
      </c>
      <c r="F279" s="176"/>
      <c r="G279" s="176"/>
    </row>
    <row r="280" spans="1:7">
      <c r="A280" s="85" t="s">
        <v>1598</v>
      </c>
      <c r="B280" s="90"/>
      <c r="C280" s="101" t="s">
        <v>1538</v>
      </c>
      <c r="D280" s="96" t="s">
        <v>1205</v>
      </c>
      <c r="E280" s="171">
        <v>1</v>
      </c>
      <c r="F280" s="176"/>
      <c r="G280" s="176"/>
    </row>
    <row r="281" spans="1:7">
      <c r="A281" s="85"/>
      <c r="B281" s="90"/>
      <c r="C281" s="67" t="s">
        <v>18</v>
      </c>
      <c r="D281" s="54"/>
      <c r="E281" s="3"/>
      <c r="F281" s="176"/>
      <c r="G281" s="176"/>
    </row>
    <row r="282" spans="1:7">
      <c r="A282" s="87" t="s">
        <v>1599</v>
      </c>
      <c r="B282" s="90"/>
      <c r="C282" s="164" t="s">
        <v>1600</v>
      </c>
      <c r="D282" s="96"/>
      <c r="E282" s="171"/>
      <c r="F282" s="176"/>
      <c r="G282" s="176"/>
    </row>
    <row r="283" spans="1:7" ht="52.5">
      <c r="A283" s="85" t="s">
        <v>1601</v>
      </c>
      <c r="B283" s="90"/>
      <c r="C283" s="101" t="s">
        <v>1602</v>
      </c>
      <c r="D283" s="96" t="s">
        <v>1205</v>
      </c>
      <c r="E283" s="172">
        <v>1</v>
      </c>
      <c r="F283" s="176"/>
      <c r="G283" s="176"/>
    </row>
    <row r="284" spans="1:7" ht="25.5">
      <c r="A284" s="85" t="s">
        <v>1603</v>
      </c>
      <c r="B284" s="90"/>
      <c r="C284" s="170" t="s">
        <v>1522</v>
      </c>
      <c r="D284" s="168" t="s">
        <v>1205</v>
      </c>
      <c r="E284" s="169">
        <v>1</v>
      </c>
      <c r="F284" s="176"/>
      <c r="G284" s="176"/>
    </row>
    <row r="285" spans="1:7" ht="25.5">
      <c r="A285" s="85" t="s">
        <v>1604</v>
      </c>
      <c r="B285" s="90"/>
      <c r="C285" s="101" t="s">
        <v>1455</v>
      </c>
      <c r="D285" s="96" t="s">
        <v>129</v>
      </c>
      <c r="E285" s="171">
        <v>2</v>
      </c>
      <c r="F285" s="176"/>
      <c r="G285" s="176"/>
    </row>
    <row r="286" spans="1:7">
      <c r="A286" s="85" t="s">
        <v>1605</v>
      </c>
      <c r="B286" s="90"/>
      <c r="C286" s="101" t="s">
        <v>1313</v>
      </c>
      <c r="D286" s="96" t="s">
        <v>1</v>
      </c>
      <c r="E286" s="172">
        <f>(2.5+0.9+2.5+3)*1.03</f>
        <v>9.1669999999999998</v>
      </c>
      <c r="F286" s="176"/>
      <c r="G286" s="176"/>
    </row>
    <row r="287" spans="1:7">
      <c r="A287" s="85" t="s">
        <v>1606</v>
      </c>
      <c r="B287" s="90"/>
      <c r="C287" s="101" t="s">
        <v>1235</v>
      </c>
      <c r="D287" s="96" t="s">
        <v>1205</v>
      </c>
      <c r="E287" s="172">
        <v>1</v>
      </c>
      <c r="F287" s="176"/>
      <c r="G287" s="176"/>
    </row>
    <row r="288" spans="1:7" ht="27">
      <c r="A288" s="85" t="s">
        <v>1607</v>
      </c>
      <c r="B288" s="90"/>
      <c r="C288" s="101" t="s">
        <v>1395</v>
      </c>
      <c r="D288" s="96" t="s">
        <v>129</v>
      </c>
      <c r="E288" s="172">
        <v>4</v>
      </c>
      <c r="F288" s="176"/>
      <c r="G288" s="176"/>
    </row>
    <row r="289" spans="1:7" ht="27">
      <c r="A289" s="85" t="s">
        <v>1608</v>
      </c>
      <c r="B289" s="90"/>
      <c r="C289" s="101" t="s">
        <v>1478</v>
      </c>
      <c r="D289" s="96" t="s">
        <v>129</v>
      </c>
      <c r="E289" s="172">
        <v>2</v>
      </c>
      <c r="F289" s="176"/>
      <c r="G289" s="176"/>
    </row>
    <row r="290" spans="1:7" ht="51">
      <c r="A290" s="85" t="s">
        <v>1609</v>
      </c>
      <c r="B290" s="90"/>
      <c r="C290" s="101" t="s">
        <v>1277</v>
      </c>
      <c r="D290" s="96" t="s">
        <v>1078</v>
      </c>
      <c r="E290" s="171">
        <f>3*0.2*3.14*1.3*1.03</f>
        <v>2.5226760000000006</v>
      </c>
      <c r="F290" s="176"/>
      <c r="G290" s="176"/>
    </row>
    <row r="291" spans="1:7" ht="25.5">
      <c r="A291" s="85" t="s">
        <v>1610</v>
      </c>
      <c r="B291" s="90"/>
      <c r="C291" s="101" t="s">
        <v>1281</v>
      </c>
      <c r="D291" s="96" t="s">
        <v>1205</v>
      </c>
      <c r="E291" s="171">
        <v>1</v>
      </c>
      <c r="F291" s="176"/>
      <c r="G291" s="176"/>
    </row>
    <row r="292" spans="1:7">
      <c r="A292" s="85" t="s">
        <v>1611</v>
      </c>
      <c r="B292" s="90"/>
      <c r="C292" s="101" t="s">
        <v>1283</v>
      </c>
      <c r="D292" s="96" t="s">
        <v>1205</v>
      </c>
      <c r="E292" s="171">
        <v>1</v>
      </c>
      <c r="F292" s="176"/>
      <c r="G292" s="176"/>
    </row>
    <row r="293" spans="1:7">
      <c r="A293" s="85" t="s">
        <v>1612</v>
      </c>
      <c r="B293" s="90"/>
      <c r="C293" s="101" t="s">
        <v>1285</v>
      </c>
      <c r="D293" s="96" t="s">
        <v>1205</v>
      </c>
      <c r="E293" s="171">
        <v>1</v>
      </c>
      <c r="F293" s="176"/>
      <c r="G293" s="176"/>
    </row>
    <row r="294" spans="1:7">
      <c r="A294" s="85" t="s">
        <v>1613</v>
      </c>
      <c r="B294" s="90"/>
      <c r="C294" s="101" t="s">
        <v>1287</v>
      </c>
      <c r="D294" s="96" t="s">
        <v>1205</v>
      </c>
      <c r="E294" s="171">
        <v>1</v>
      </c>
      <c r="F294" s="176"/>
      <c r="G294" s="176"/>
    </row>
    <row r="295" spans="1:7" ht="25.5">
      <c r="A295" s="85" t="s">
        <v>1614</v>
      </c>
      <c r="B295" s="90"/>
      <c r="C295" s="101" t="s">
        <v>1293</v>
      </c>
      <c r="D295" s="96" t="s">
        <v>1205</v>
      </c>
      <c r="E295" s="171">
        <v>1</v>
      </c>
      <c r="F295" s="176"/>
      <c r="G295" s="176"/>
    </row>
    <row r="296" spans="1:7">
      <c r="A296" s="85" t="s">
        <v>1615</v>
      </c>
      <c r="B296" s="90"/>
      <c r="C296" s="101" t="s">
        <v>1538</v>
      </c>
      <c r="D296" s="96" t="s">
        <v>1205</v>
      </c>
      <c r="E296" s="171">
        <v>1</v>
      </c>
      <c r="F296" s="176"/>
      <c r="G296" s="176"/>
    </row>
    <row r="297" spans="1:7">
      <c r="A297" s="85"/>
      <c r="B297" s="90"/>
      <c r="C297" s="67" t="s">
        <v>18</v>
      </c>
      <c r="D297" s="54"/>
      <c r="E297" s="3"/>
      <c r="F297" s="176"/>
      <c r="G297" s="176"/>
    </row>
    <row r="298" spans="1:7">
      <c r="A298" s="87" t="s">
        <v>1616</v>
      </c>
      <c r="B298" s="90"/>
      <c r="C298" s="164" t="s">
        <v>1617</v>
      </c>
      <c r="D298" s="165"/>
      <c r="E298" s="172"/>
      <c r="F298" s="176"/>
      <c r="G298" s="176"/>
    </row>
    <row r="299" spans="1:7" ht="39.75">
      <c r="A299" s="85" t="s">
        <v>1618</v>
      </c>
      <c r="B299" s="90"/>
      <c r="C299" s="101" t="s">
        <v>1520</v>
      </c>
      <c r="D299" s="96" t="s">
        <v>1205</v>
      </c>
      <c r="E299" s="172">
        <v>1</v>
      </c>
      <c r="F299" s="176"/>
      <c r="G299" s="176"/>
    </row>
    <row r="300" spans="1:7" ht="25.5">
      <c r="A300" s="85" t="s">
        <v>1619</v>
      </c>
      <c r="B300" s="90"/>
      <c r="C300" s="170" t="s">
        <v>1522</v>
      </c>
      <c r="D300" s="168" t="s">
        <v>1205</v>
      </c>
      <c r="E300" s="169">
        <v>1</v>
      </c>
      <c r="F300" s="176"/>
      <c r="G300" s="176"/>
    </row>
    <row r="301" spans="1:7" ht="25.5">
      <c r="A301" s="85" t="s">
        <v>1620</v>
      </c>
      <c r="B301" s="90"/>
      <c r="C301" s="101" t="s">
        <v>1455</v>
      </c>
      <c r="D301" s="96" t="s">
        <v>129</v>
      </c>
      <c r="E301" s="171">
        <v>2</v>
      </c>
      <c r="F301" s="176"/>
      <c r="G301" s="176"/>
    </row>
    <row r="302" spans="1:7" ht="25.5">
      <c r="A302" s="85" t="s">
        <v>1621</v>
      </c>
      <c r="B302" s="90"/>
      <c r="C302" s="101" t="s">
        <v>1465</v>
      </c>
      <c r="D302" s="96" t="s">
        <v>1205</v>
      </c>
      <c r="E302" s="172">
        <v>2</v>
      </c>
      <c r="F302" s="176"/>
      <c r="G302" s="176"/>
    </row>
    <row r="303" spans="1:7">
      <c r="A303" s="85" t="s">
        <v>1622</v>
      </c>
      <c r="B303" s="90"/>
      <c r="C303" s="101" t="s">
        <v>1313</v>
      </c>
      <c r="D303" s="96" t="s">
        <v>1</v>
      </c>
      <c r="E303" s="172">
        <f>(2.3+3+1.7+0.7+0.4)*1.03</f>
        <v>8.343</v>
      </c>
      <c r="F303" s="176"/>
      <c r="G303" s="176"/>
    </row>
    <row r="304" spans="1:7">
      <c r="A304" s="85" t="s">
        <v>1623</v>
      </c>
      <c r="B304" s="90"/>
      <c r="C304" s="101" t="s">
        <v>1235</v>
      </c>
      <c r="D304" s="96" t="s">
        <v>1205</v>
      </c>
      <c r="E304" s="172">
        <v>1</v>
      </c>
      <c r="F304" s="176"/>
      <c r="G304" s="176"/>
    </row>
    <row r="305" spans="1:7" ht="27">
      <c r="A305" s="85" t="s">
        <v>1624</v>
      </c>
      <c r="B305" s="90"/>
      <c r="C305" s="101" t="s">
        <v>1395</v>
      </c>
      <c r="D305" s="96" t="s">
        <v>129</v>
      </c>
      <c r="E305" s="172">
        <v>3</v>
      </c>
      <c r="F305" s="176"/>
      <c r="G305" s="176"/>
    </row>
    <row r="306" spans="1:7" ht="27">
      <c r="A306" s="85" t="s">
        <v>1625</v>
      </c>
      <c r="B306" s="90"/>
      <c r="C306" s="101" t="s">
        <v>1478</v>
      </c>
      <c r="D306" s="96" t="s">
        <v>129</v>
      </c>
      <c r="E306" s="172">
        <v>2</v>
      </c>
      <c r="F306" s="176"/>
      <c r="G306" s="176"/>
    </row>
    <row r="307" spans="1:7" ht="51">
      <c r="A307" s="85" t="s">
        <v>1626</v>
      </c>
      <c r="B307" s="90"/>
      <c r="C307" s="101" t="s">
        <v>1277</v>
      </c>
      <c r="D307" s="96" t="s">
        <v>1078</v>
      </c>
      <c r="E307" s="171">
        <f>(0.4+0.4+2.5)*0.2*3.14*1.3*1.03</f>
        <v>2.7749436000000003</v>
      </c>
      <c r="F307" s="176"/>
      <c r="G307" s="176"/>
    </row>
    <row r="308" spans="1:7" ht="25.5">
      <c r="A308" s="85" t="s">
        <v>1627</v>
      </c>
      <c r="B308" s="90"/>
      <c r="C308" s="101" t="s">
        <v>1281</v>
      </c>
      <c r="D308" s="96" t="s">
        <v>1205</v>
      </c>
      <c r="E308" s="171">
        <v>1</v>
      </c>
      <c r="F308" s="176"/>
      <c r="G308" s="176"/>
    </row>
    <row r="309" spans="1:7">
      <c r="A309" s="85" t="s">
        <v>1628</v>
      </c>
      <c r="B309" s="90"/>
      <c r="C309" s="101" t="s">
        <v>1283</v>
      </c>
      <c r="D309" s="96" t="s">
        <v>1205</v>
      </c>
      <c r="E309" s="171">
        <v>1</v>
      </c>
      <c r="F309" s="176"/>
      <c r="G309" s="176"/>
    </row>
    <row r="310" spans="1:7">
      <c r="A310" s="85" t="s">
        <v>1629</v>
      </c>
      <c r="B310" s="90"/>
      <c r="C310" s="101" t="s">
        <v>1285</v>
      </c>
      <c r="D310" s="96" t="s">
        <v>1205</v>
      </c>
      <c r="E310" s="171">
        <v>1</v>
      </c>
      <c r="F310" s="176"/>
      <c r="G310" s="176"/>
    </row>
    <row r="311" spans="1:7">
      <c r="A311" s="85" t="s">
        <v>1630</v>
      </c>
      <c r="B311" s="90"/>
      <c r="C311" s="101" t="s">
        <v>1287</v>
      </c>
      <c r="D311" s="96" t="s">
        <v>1205</v>
      </c>
      <c r="E311" s="171">
        <v>1</v>
      </c>
      <c r="F311" s="176"/>
      <c r="G311" s="176"/>
    </row>
    <row r="312" spans="1:7" ht="25.5">
      <c r="A312" s="85" t="s">
        <v>1631</v>
      </c>
      <c r="B312" s="90"/>
      <c r="C312" s="101" t="s">
        <v>1293</v>
      </c>
      <c r="D312" s="96" t="s">
        <v>1205</v>
      </c>
      <c r="E312" s="171">
        <v>1</v>
      </c>
      <c r="F312" s="176"/>
      <c r="G312" s="176"/>
    </row>
    <row r="313" spans="1:7">
      <c r="A313" s="85" t="s">
        <v>1632</v>
      </c>
      <c r="B313" s="90"/>
      <c r="C313" s="101" t="s">
        <v>1538</v>
      </c>
      <c r="D313" s="96" t="s">
        <v>1205</v>
      </c>
      <c r="E313" s="171">
        <v>1</v>
      </c>
      <c r="F313" s="176"/>
      <c r="G313" s="176"/>
    </row>
    <row r="314" spans="1:7">
      <c r="A314" s="85"/>
      <c r="B314" s="90"/>
      <c r="C314" s="67" t="s">
        <v>18</v>
      </c>
      <c r="D314" s="54"/>
      <c r="E314" s="3"/>
      <c r="F314" s="176"/>
      <c r="G314" s="176"/>
    </row>
    <row r="315" spans="1:7">
      <c r="A315" s="87" t="s">
        <v>1633</v>
      </c>
      <c r="B315" s="90"/>
      <c r="C315" s="164" t="s">
        <v>1634</v>
      </c>
      <c r="D315" s="96"/>
      <c r="E315" s="171"/>
      <c r="F315" s="176"/>
      <c r="G315" s="176"/>
    </row>
    <row r="316" spans="1:7" ht="52.5">
      <c r="A316" s="85" t="s">
        <v>1635</v>
      </c>
      <c r="B316" s="90"/>
      <c r="C316" s="101" t="s">
        <v>1636</v>
      </c>
      <c r="D316" s="96" t="s">
        <v>1205</v>
      </c>
      <c r="E316" s="172">
        <v>1</v>
      </c>
      <c r="F316" s="176"/>
      <c r="G316" s="176"/>
    </row>
    <row r="317" spans="1:7" ht="25.5">
      <c r="A317" s="85" t="s">
        <v>1637</v>
      </c>
      <c r="B317" s="90"/>
      <c r="C317" s="170" t="s">
        <v>1522</v>
      </c>
      <c r="D317" s="168" t="s">
        <v>1205</v>
      </c>
      <c r="E317" s="169">
        <v>1</v>
      </c>
      <c r="F317" s="176"/>
      <c r="G317" s="176"/>
    </row>
    <row r="318" spans="1:7" ht="25.5">
      <c r="A318" s="85" t="s">
        <v>1638</v>
      </c>
      <c r="B318" s="90"/>
      <c r="C318" s="101" t="s">
        <v>1455</v>
      </c>
      <c r="D318" s="96" t="s">
        <v>129</v>
      </c>
      <c r="E318" s="171">
        <v>1</v>
      </c>
      <c r="F318" s="176"/>
      <c r="G318" s="176"/>
    </row>
    <row r="319" spans="1:7">
      <c r="A319" s="85" t="s">
        <v>1639</v>
      </c>
      <c r="B319" s="90"/>
      <c r="C319" s="101" t="s">
        <v>1313</v>
      </c>
      <c r="D319" s="96" t="s">
        <v>1</v>
      </c>
      <c r="E319" s="172">
        <f>(1+0.2+3)*1.03</f>
        <v>4.3260000000000005</v>
      </c>
      <c r="F319" s="176"/>
      <c r="G319" s="176"/>
    </row>
    <row r="320" spans="1:7">
      <c r="A320" s="85" t="s">
        <v>1640</v>
      </c>
      <c r="B320" s="90"/>
      <c r="C320" s="101" t="s">
        <v>1235</v>
      </c>
      <c r="D320" s="96" t="s">
        <v>1205</v>
      </c>
      <c r="E320" s="172">
        <v>1</v>
      </c>
      <c r="F320" s="176"/>
      <c r="G320" s="176"/>
    </row>
    <row r="321" spans="1:7" ht="27">
      <c r="A321" s="85" t="s">
        <v>1641</v>
      </c>
      <c r="B321" s="90"/>
      <c r="C321" s="101" t="s">
        <v>1395</v>
      </c>
      <c r="D321" s="96" t="s">
        <v>129</v>
      </c>
      <c r="E321" s="172">
        <v>3</v>
      </c>
      <c r="F321" s="176"/>
      <c r="G321" s="176"/>
    </row>
    <row r="322" spans="1:7" ht="27">
      <c r="A322" s="85" t="s">
        <v>1642</v>
      </c>
      <c r="B322" s="90"/>
      <c r="C322" s="101" t="s">
        <v>1478</v>
      </c>
      <c r="D322" s="96" t="s">
        <v>129</v>
      </c>
      <c r="E322" s="172">
        <v>2</v>
      </c>
      <c r="F322" s="176"/>
      <c r="G322" s="176"/>
    </row>
    <row r="323" spans="1:7" ht="51">
      <c r="A323" s="85" t="s">
        <v>1643</v>
      </c>
      <c r="B323" s="90"/>
      <c r="C323" s="101" t="s">
        <v>1277</v>
      </c>
      <c r="D323" s="96" t="s">
        <v>1078</v>
      </c>
      <c r="E323" s="171">
        <f>(0.4+0.4+2.5)*0.2*3.14*1.3*1.03</f>
        <v>2.7749436000000003</v>
      </c>
      <c r="F323" s="176"/>
      <c r="G323" s="176"/>
    </row>
    <row r="324" spans="1:7" ht="25.5">
      <c r="A324" s="85" t="s">
        <v>1644</v>
      </c>
      <c r="B324" s="90"/>
      <c r="C324" s="101" t="s">
        <v>1281</v>
      </c>
      <c r="D324" s="96" t="s">
        <v>1205</v>
      </c>
      <c r="E324" s="171">
        <v>1</v>
      </c>
      <c r="F324" s="176"/>
      <c r="G324" s="176"/>
    </row>
    <row r="325" spans="1:7">
      <c r="A325" s="85" t="s">
        <v>1645</v>
      </c>
      <c r="B325" s="90"/>
      <c r="C325" s="101" t="s">
        <v>1283</v>
      </c>
      <c r="D325" s="96" t="s">
        <v>1205</v>
      </c>
      <c r="E325" s="171">
        <v>1</v>
      </c>
      <c r="F325" s="176"/>
      <c r="G325" s="176"/>
    </row>
    <row r="326" spans="1:7">
      <c r="A326" s="85" t="s">
        <v>1646</v>
      </c>
      <c r="B326" s="90"/>
      <c r="C326" s="101" t="s">
        <v>1285</v>
      </c>
      <c r="D326" s="96" t="s">
        <v>1205</v>
      </c>
      <c r="E326" s="171">
        <v>1</v>
      </c>
      <c r="F326" s="176"/>
      <c r="G326" s="176"/>
    </row>
    <row r="327" spans="1:7">
      <c r="A327" s="85" t="s">
        <v>1647</v>
      </c>
      <c r="B327" s="90"/>
      <c r="C327" s="101" t="s">
        <v>1287</v>
      </c>
      <c r="D327" s="96" t="s">
        <v>1205</v>
      </c>
      <c r="E327" s="171">
        <v>1</v>
      </c>
      <c r="F327" s="176"/>
      <c r="G327" s="176"/>
    </row>
    <row r="328" spans="1:7" ht="25.5">
      <c r="A328" s="85" t="s">
        <v>1648</v>
      </c>
      <c r="B328" s="90"/>
      <c r="C328" s="101" t="s">
        <v>1293</v>
      </c>
      <c r="D328" s="96" t="s">
        <v>1205</v>
      </c>
      <c r="E328" s="171">
        <v>1</v>
      </c>
      <c r="F328" s="176"/>
      <c r="G328" s="176"/>
    </row>
    <row r="329" spans="1:7">
      <c r="A329" s="85" t="s">
        <v>1649</v>
      </c>
      <c r="B329" s="90"/>
      <c r="C329" s="101" t="s">
        <v>1538</v>
      </c>
      <c r="D329" s="96" t="s">
        <v>1205</v>
      </c>
      <c r="E329" s="171">
        <v>1</v>
      </c>
      <c r="F329" s="176"/>
      <c r="G329" s="176"/>
    </row>
    <row r="330" spans="1:7">
      <c r="A330" s="85"/>
      <c r="B330" s="90"/>
      <c r="C330" s="67" t="s">
        <v>18</v>
      </c>
      <c r="D330" s="54"/>
      <c r="E330" s="3"/>
      <c r="F330" s="176"/>
      <c r="G330" s="176"/>
    </row>
    <row r="331" spans="1:7">
      <c r="A331" s="87" t="s">
        <v>1650</v>
      </c>
      <c r="B331" s="90"/>
      <c r="C331" s="164" t="s">
        <v>1651</v>
      </c>
      <c r="D331" s="96"/>
      <c r="E331" s="171"/>
      <c r="F331" s="176"/>
      <c r="G331" s="176"/>
    </row>
    <row r="332" spans="1:7" ht="52.5">
      <c r="A332" s="85" t="s">
        <v>1652</v>
      </c>
      <c r="B332" s="90"/>
      <c r="C332" s="101" t="s">
        <v>1653</v>
      </c>
      <c r="D332" s="96" t="s">
        <v>1205</v>
      </c>
      <c r="E332" s="172">
        <v>1</v>
      </c>
      <c r="F332" s="176"/>
      <c r="G332" s="176"/>
    </row>
    <row r="333" spans="1:7" ht="25.5">
      <c r="A333" s="85" t="s">
        <v>1654</v>
      </c>
      <c r="B333" s="90"/>
      <c r="C333" s="170" t="s">
        <v>1522</v>
      </c>
      <c r="D333" s="168" t="s">
        <v>1205</v>
      </c>
      <c r="E333" s="169">
        <v>1</v>
      </c>
      <c r="F333" s="176"/>
      <c r="G333" s="176"/>
    </row>
    <row r="334" spans="1:7">
      <c r="A334" s="85" t="s">
        <v>1655</v>
      </c>
      <c r="B334" s="90"/>
      <c r="C334" s="101" t="s">
        <v>1313</v>
      </c>
      <c r="D334" s="96" t="s">
        <v>1</v>
      </c>
      <c r="E334" s="172">
        <v>1</v>
      </c>
      <c r="F334" s="176"/>
      <c r="G334" s="176"/>
    </row>
    <row r="335" spans="1:7" ht="51">
      <c r="A335" s="85" t="s">
        <v>1656</v>
      </c>
      <c r="B335" s="90"/>
      <c r="C335" s="101" t="s">
        <v>1277</v>
      </c>
      <c r="D335" s="96" t="s">
        <v>1078</v>
      </c>
      <c r="E335" s="171">
        <f>1*0.2*3.14*1.03</f>
        <v>0.64684000000000008</v>
      </c>
      <c r="F335" s="176"/>
      <c r="G335" s="176"/>
    </row>
    <row r="336" spans="1:7" ht="25.5">
      <c r="A336" s="85" t="s">
        <v>1657</v>
      </c>
      <c r="B336" s="90"/>
      <c r="C336" s="101" t="s">
        <v>1281</v>
      </c>
      <c r="D336" s="96" t="s">
        <v>1205</v>
      </c>
      <c r="E336" s="171">
        <v>1</v>
      </c>
      <c r="F336" s="176"/>
      <c r="G336" s="176"/>
    </row>
    <row r="337" spans="1:7">
      <c r="A337" s="85" t="s">
        <v>1658</v>
      </c>
      <c r="B337" s="90"/>
      <c r="C337" s="101" t="s">
        <v>1283</v>
      </c>
      <c r="D337" s="96" t="s">
        <v>1205</v>
      </c>
      <c r="E337" s="171">
        <v>1</v>
      </c>
      <c r="F337" s="176"/>
      <c r="G337" s="176"/>
    </row>
    <row r="338" spans="1:7">
      <c r="A338" s="85" t="s">
        <v>1659</v>
      </c>
      <c r="B338" s="90"/>
      <c r="C338" s="101" t="s">
        <v>1285</v>
      </c>
      <c r="D338" s="96" t="s">
        <v>1205</v>
      </c>
      <c r="E338" s="171">
        <v>1</v>
      </c>
      <c r="F338" s="176"/>
      <c r="G338" s="176"/>
    </row>
    <row r="339" spans="1:7">
      <c r="A339" s="85" t="s">
        <v>1660</v>
      </c>
      <c r="B339" s="90"/>
      <c r="C339" s="101" t="s">
        <v>1287</v>
      </c>
      <c r="D339" s="96" t="s">
        <v>1205</v>
      </c>
      <c r="E339" s="171">
        <v>1</v>
      </c>
      <c r="F339" s="176"/>
      <c r="G339" s="176"/>
    </row>
    <row r="340" spans="1:7" ht="25.5">
      <c r="A340" s="85" t="s">
        <v>1661</v>
      </c>
      <c r="B340" s="90"/>
      <c r="C340" s="101" t="s">
        <v>1293</v>
      </c>
      <c r="D340" s="96" t="s">
        <v>1205</v>
      </c>
      <c r="E340" s="171">
        <v>1</v>
      </c>
      <c r="F340" s="176"/>
      <c r="G340" s="176"/>
    </row>
    <row r="341" spans="1:7">
      <c r="A341" s="85" t="s">
        <v>1662</v>
      </c>
      <c r="B341" s="90"/>
      <c r="C341" s="101" t="s">
        <v>1538</v>
      </c>
      <c r="D341" s="96" t="s">
        <v>1205</v>
      </c>
      <c r="E341" s="171">
        <v>1</v>
      </c>
      <c r="F341" s="176"/>
      <c r="G341" s="176"/>
    </row>
    <row r="342" spans="1:7">
      <c r="A342" s="85"/>
      <c r="B342" s="90"/>
      <c r="C342" s="67" t="s">
        <v>18</v>
      </c>
      <c r="D342" s="54"/>
      <c r="E342" s="3"/>
      <c r="F342" s="176"/>
      <c r="G342" s="176"/>
    </row>
    <row r="343" spans="1:7">
      <c r="A343" s="87" t="s">
        <v>1663</v>
      </c>
      <c r="B343" s="90"/>
      <c r="C343" s="164" t="s">
        <v>1664</v>
      </c>
      <c r="D343" s="165"/>
      <c r="E343" s="172"/>
      <c r="F343" s="176"/>
      <c r="G343" s="176"/>
    </row>
    <row r="344" spans="1:7" ht="52.5">
      <c r="A344" s="85" t="s">
        <v>1665</v>
      </c>
      <c r="B344" s="90"/>
      <c r="C344" s="78" t="s">
        <v>1666</v>
      </c>
      <c r="D344" s="96" t="s">
        <v>1205</v>
      </c>
      <c r="E344" s="172">
        <v>1</v>
      </c>
      <c r="F344" s="176"/>
      <c r="G344" s="176"/>
    </row>
    <row r="345" spans="1:7">
      <c r="A345" s="85" t="s">
        <v>1667</v>
      </c>
      <c r="B345" s="90"/>
      <c r="C345" s="78" t="s">
        <v>1668</v>
      </c>
      <c r="D345" s="96" t="s">
        <v>129</v>
      </c>
      <c r="E345" s="172">
        <v>1</v>
      </c>
      <c r="F345" s="176"/>
      <c r="G345" s="176"/>
    </row>
    <row r="346" spans="1:7">
      <c r="A346" s="85" t="s">
        <v>1669</v>
      </c>
      <c r="B346" s="90"/>
      <c r="C346" s="78" t="s">
        <v>1670</v>
      </c>
      <c r="D346" s="96" t="s">
        <v>1</v>
      </c>
      <c r="E346" s="172">
        <v>1</v>
      </c>
      <c r="F346" s="176"/>
      <c r="G346" s="176"/>
    </row>
    <row r="347" spans="1:7">
      <c r="A347" s="85" t="s">
        <v>1671</v>
      </c>
      <c r="B347" s="90"/>
      <c r="C347" s="78" t="s">
        <v>1672</v>
      </c>
      <c r="D347" s="96" t="s">
        <v>129</v>
      </c>
      <c r="E347" s="172">
        <v>2</v>
      </c>
      <c r="F347" s="176"/>
      <c r="G347" s="176"/>
    </row>
    <row r="348" spans="1:7" ht="25.5">
      <c r="A348" s="85" t="s">
        <v>1673</v>
      </c>
      <c r="B348" s="90"/>
      <c r="C348" s="170" t="s">
        <v>1674</v>
      </c>
      <c r="D348" s="168" t="s">
        <v>1205</v>
      </c>
      <c r="E348" s="169">
        <v>1</v>
      </c>
      <c r="F348" s="176"/>
      <c r="G348" s="176"/>
    </row>
    <row r="349" spans="1:7">
      <c r="A349" s="85" t="s">
        <v>1675</v>
      </c>
      <c r="B349" s="90"/>
      <c r="C349" s="101" t="s">
        <v>1315</v>
      </c>
      <c r="D349" s="96" t="s">
        <v>1</v>
      </c>
      <c r="E349" s="172">
        <v>1</v>
      </c>
      <c r="F349" s="176"/>
      <c r="G349" s="176"/>
    </row>
    <row r="350" spans="1:7" ht="27">
      <c r="A350" s="85" t="s">
        <v>1676</v>
      </c>
      <c r="B350" s="90"/>
      <c r="C350" s="101" t="s">
        <v>1481</v>
      </c>
      <c r="D350" s="96" t="s">
        <v>129</v>
      </c>
      <c r="E350" s="172">
        <v>2</v>
      </c>
      <c r="F350" s="176"/>
      <c r="G350" s="176"/>
    </row>
    <row r="351" spans="1:7" ht="51">
      <c r="A351" s="85" t="s">
        <v>1677</v>
      </c>
      <c r="B351" s="90"/>
      <c r="C351" s="101" t="s">
        <v>1277</v>
      </c>
      <c r="D351" s="96" t="s">
        <v>1078</v>
      </c>
      <c r="E351" s="171">
        <v>0.7</v>
      </c>
      <c r="F351" s="176"/>
      <c r="G351" s="176"/>
    </row>
    <row r="352" spans="1:7" ht="25.5">
      <c r="A352" s="85" t="s">
        <v>1678</v>
      </c>
      <c r="B352" s="90"/>
      <c r="C352" s="101" t="s">
        <v>1281</v>
      </c>
      <c r="D352" s="96" t="s">
        <v>1205</v>
      </c>
      <c r="E352" s="171">
        <v>1</v>
      </c>
      <c r="F352" s="176"/>
      <c r="G352" s="176"/>
    </row>
    <row r="353" spans="1:7">
      <c r="A353" s="85" t="s">
        <v>1679</v>
      </c>
      <c r="B353" s="90"/>
      <c r="C353" s="101" t="s">
        <v>1283</v>
      </c>
      <c r="D353" s="96" t="s">
        <v>1205</v>
      </c>
      <c r="E353" s="171">
        <v>1</v>
      </c>
      <c r="F353" s="176"/>
      <c r="G353" s="176"/>
    </row>
    <row r="354" spans="1:7">
      <c r="A354" s="85" t="s">
        <v>1680</v>
      </c>
      <c r="B354" s="90"/>
      <c r="C354" s="101" t="s">
        <v>1285</v>
      </c>
      <c r="D354" s="96" t="s">
        <v>1205</v>
      </c>
      <c r="E354" s="171">
        <v>1</v>
      </c>
      <c r="F354" s="176"/>
      <c r="G354" s="176"/>
    </row>
    <row r="355" spans="1:7">
      <c r="A355" s="85" t="s">
        <v>1681</v>
      </c>
      <c r="B355" s="90"/>
      <c r="C355" s="101" t="s">
        <v>1287</v>
      </c>
      <c r="D355" s="96" t="s">
        <v>1205</v>
      </c>
      <c r="E355" s="171">
        <v>1</v>
      </c>
      <c r="F355" s="176"/>
      <c r="G355" s="176"/>
    </row>
    <row r="356" spans="1:7">
      <c r="A356" s="85" t="s">
        <v>1682</v>
      </c>
      <c r="B356" s="90"/>
      <c r="C356" s="101" t="s">
        <v>1683</v>
      </c>
      <c r="D356" s="96" t="s">
        <v>1205</v>
      </c>
      <c r="E356" s="171">
        <v>1</v>
      </c>
      <c r="F356" s="176"/>
      <c r="G356" s="176"/>
    </row>
    <row r="357" spans="1:7" ht="25.5">
      <c r="A357" s="85" t="s">
        <v>1684</v>
      </c>
      <c r="B357" s="90"/>
      <c r="C357" s="101" t="s">
        <v>1293</v>
      </c>
      <c r="D357" s="96" t="s">
        <v>1205</v>
      </c>
      <c r="E357" s="171">
        <v>1</v>
      </c>
      <c r="F357" s="176"/>
      <c r="G357" s="176"/>
    </row>
    <row r="358" spans="1:7">
      <c r="A358" s="85"/>
      <c r="B358" s="90"/>
      <c r="C358" s="67" t="s">
        <v>18</v>
      </c>
      <c r="D358" s="54"/>
      <c r="E358" s="3"/>
      <c r="F358" s="176"/>
      <c r="G358" s="176"/>
    </row>
    <row r="359" spans="1:7">
      <c r="A359" s="87" t="s">
        <v>1685</v>
      </c>
      <c r="B359" s="90"/>
      <c r="C359" s="164" t="s">
        <v>1686</v>
      </c>
      <c r="D359" s="81"/>
      <c r="E359" s="172"/>
      <c r="F359" s="176"/>
      <c r="G359" s="176"/>
    </row>
    <row r="360" spans="1:7" ht="25.5">
      <c r="A360" s="85" t="s">
        <v>1687</v>
      </c>
      <c r="B360" s="90"/>
      <c r="C360" s="101" t="s">
        <v>1688</v>
      </c>
      <c r="D360" s="81" t="s">
        <v>129</v>
      </c>
      <c r="E360" s="172">
        <v>9</v>
      </c>
      <c r="F360" s="176"/>
      <c r="G360" s="176"/>
    </row>
    <row r="361" spans="1:7" ht="25.5">
      <c r="A361" s="85" t="s">
        <v>1689</v>
      </c>
      <c r="B361" s="90"/>
      <c r="C361" s="101" t="s">
        <v>1690</v>
      </c>
      <c r="D361" s="96" t="s">
        <v>1691</v>
      </c>
      <c r="E361" s="171">
        <v>9</v>
      </c>
      <c r="F361" s="176"/>
      <c r="G361" s="176"/>
    </row>
    <row r="362" spans="1:7">
      <c r="A362" s="90"/>
      <c r="B362" s="90"/>
      <c r="C362" s="67" t="s">
        <v>18</v>
      </c>
      <c r="D362" s="54"/>
      <c r="E362" s="3"/>
      <c r="F362" s="176"/>
      <c r="G362" s="176"/>
    </row>
    <row r="363" spans="1:7">
      <c r="A363" s="90"/>
      <c r="B363" s="90"/>
      <c r="C363" s="68" t="s">
        <v>1869</v>
      </c>
      <c r="D363" s="69"/>
      <c r="E363" s="70"/>
      <c r="F363" s="176"/>
      <c r="G363" s="176"/>
    </row>
    <row r="364" spans="1:7">
      <c r="A364" s="4"/>
      <c r="B364" s="4"/>
      <c r="C364" s="4"/>
      <c r="D364" s="4"/>
      <c r="E364" s="253"/>
      <c r="F364" s="253"/>
      <c r="G364" s="253"/>
    </row>
    <row r="365" spans="1:7">
      <c r="A365" s="4"/>
      <c r="B365" s="4"/>
      <c r="C365" s="4"/>
      <c r="D365" s="4"/>
      <c r="E365" s="4"/>
      <c r="F365" s="4"/>
      <c r="G365" s="4"/>
    </row>
    <row r="366" spans="1:7">
      <c r="A366" s="4"/>
      <c r="B366" s="4"/>
      <c r="C366" s="245" t="s">
        <v>21</v>
      </c>
      <c r="D366" s="245"/>
      <c r="E366" s="245"/>
      <c r="F366" s="245"/>
      <c r="G366" s="245"/>
    </row>
    <row r="367" spans="1:7">
      <c r="A367" s="4"/>
      <c r="B367" s="4"/>
      <c r="C367" s="247" t="s">
        <v>5</v>
      </c>
      <c r="D367" s="247"/>
      <c r="E367" s="247"/>
      <c r="F367" s="247"/>
      <c r="G367" s="247"/>
    </row>
    <row r="368" spans="1:7">
      <c r="A368" s="4"/>
      <c r="B368" s="4"/>
      <c r="C368" s="27"/>
      <c r="D368" s="27"/>
      <c r="E368" s="27"/>
      <c r="F368" s="27"/>
      <c r="G368" s="27"/>
    </row>
    <row r="369" spans="1:7">
      <c r="A369" s="4"/>
      <c r="B369" s="4"/>
      <c r="C369" s="245" t="s">
        <v>22</v>
      </c>
      <c r="D369" s="245"/>
      <c r="E369" s="245"/>
      <c r="F369" s="245"/>
      <c r="G369" s="245"/>
    </row>
    <row r="370" spans="1:7">
      <c r="A370" s="4"/>
      <c r="B370" s="4"/>
      <c r="C370" s="247" t="s">
        <v>5</v>
      </c>
      <c r="D370" s="247"/>
      <c r="E370" s="247"/>
      <c r="F370" s="247"/>
      <c r="G370" s="247"/>
    </row>
    <row r="371" spans="1:7">
      <c r="A371" s="4"/>
      <c r="B371" s="4"/>
      <c r="C371" s="27"/>
      <c r="D371" s="27"/>
      <c r="E371" s="27"/>
      <c r="F371" s="27"/>
      <c r="G371" s="27"/>
    </row>
    <row r="372" spans="1:7">
      <c r="A372" s="4"/>
      <c r="B372" s="4"/>
      <c r="C372" s="50" t="s">
        <v>35</v>
      </c>
      <c r="D372" s="49"/>
      <c r="E372" s="49"/>
      <c r="F372" s="49"/>
      <c r="G372" s="4"/>
    </row>
    <row r="373" spans="1:7">
      <c r="A373" s="2"/>
      <c r="B373" s="2"/>
      <c r="C373" s="1"/>
      <c r="D373" s="1"/>
      <c r="E373" s="1"/>
      <c r="F373" s="1"/>
      <c r="G373" s="1"/>
    </row>
    <row r="374" spans="1:7">
      <c r="A374" s="2"/>
      <c r="B374" s="2"/>
      <c r="C374" s="1" t="s">
        <v>16</v>
      </c>
      <c r="D374" s="1"/>
      <c r="E374" s="1"/>
      <c r="F374" s="1"/>
      <c r="G374" s="1"/>
    </row>
    <row r="375" spans="1:7" ht="39">
      <c r="A375" s="2"/>
      <c r="B375" s="175" t="s">
        <v>765</v>
      </c>
      <c r="C375" s="98" t="s">
        <v>17</v>
      </c>
      <c r="D375" s="98"/>
      <c r="E375" s="98"/>
      <c r="F375" s="98"/>
      <c r="G375" s="98"/>
    </row>
    <row r="376" spans="1:7" ht="26.25">
      <c r="A376" s="2"/>
      <c r="B376" s="140" t="s">
        <v>768</v>
      </c>
      <c r="C376" s="205" t="s">
        <v>769</v>
      </c>
      <c r="D376" s="205"/>
      <c r="E376" s="205"/>
      <c r="F376" s="113"/>
      <c r="G376" s="114"/>
    </row>
  </sheetData>
  <mergeCells count="19">
    <mergeCell ref="A1:L1"/>
    <mergeCell ref="A3:L3"/>
    <mergeCell ref="A4:L4"/>
    <mergeCell ref="A5:L5"/>
    <mergeCell ref="C7:M7"/>
    <mergeCell ref="C8:P8"/>
    <mergeCell ref="A11:A12"/>
    <mergeCell ref="B11:B12"/>
    <mergeCell ref="C11:C12"/>
    <mergeCell ref="D11:D12"/>
    <mergeCell ref="E11:E12"/>
    <mergeCell ref="F11:F12"/>
    <mergeCell ref="E364:G364"/>
    <mergeCell ref="C366:G366"/>
    <mergeCell ref="C367:G367"/>
    <mergeCell ref="C369:G369"/>
    <mergeCell ref="C370:G370"/>
    <mergeCell ref="C9:K9"/>
    <mergeCell ref="G11:G12"/>
  </mergeCells>
  <pageMargins left="0.70866141732283472" right="0.42" top="0.56000000000000005" bottom="0.55000000000000004" header="0.31496062992125984" footer="0.31496062992125984"/>
  <pageSetup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P244"/>
  <sheetViews>
    <sheetView topLeftCell="A202" workbookViewId="0">
      <selection activeCell="C243" sqref="C243:F243"/>
    </sheetView>
  </sheetViews>
  <sheetFormatPr defaultRowHeight="12.75"/>
  <cols>
    <col min="1" max="1" width="7.7109375" style="218" customWidth="1"/>
    <col min="2" max="2" width="7.28515625" style="218" customWidth="1"/>
    <col min="3" max="3" width="36.7109375" style="218" customWidth="1"/>
    <col min="4" max="16384" width="9.140625" style="218"/>
  </cols>
  <sheetData>
    <row r="1" spans="1:16">
      <c r="A1" s="258" t="s">
        <v>1954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162"/>
      <c r="N1" s="162"/>
      <c r="O1" s="162"/>
      <c r="P1" s="162"/>
    </row>
    <row r="2" spans="1:16">
      <c r="A2" s="143"/>
      <c r="B2" s="143"/>
      <c r="C2" s="16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</row>
    <row r="3" spans="1:16">
      <c r="A3" s="243" t="s">
        <v>1867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143"/>
      <c r="N3" s="143"/>
      <c r="O3" s="143"/>
      <c r="P3" s="143"/>
    </row>
    <row r="4" spans="1:16">
      <c r="A4" s="260" t="s">
        <v>1866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143"/>
      <c r="N4" s="143"/>
      <c r="O4" s="143"/>
      <c r="P4" s="143"/>
    </row>
    <row r="5" spans="1:16">
      <c r="A5" s="255" t="s">
        <v>1865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143"/>
      <c r="N5" s="143"/>
      <c r="O5" s="143"/>
      <c r="P5" s="143"/>
    </row>
    <row r="6" spans="1:16">
      <c r="A6" s="143"/>
      <c r="B6" s="143"/>
      <c r="C6" s="16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</row>
    <row r="7" spans="1:16">
      <c r="A7" s="86"/>
      <c r="B7" s="86"/>
      <c r="C7" s="243" t="s">
        <v>636</v>
      </c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121"/>
      <c r="O7" s="121"/>
      <c r="P7" s="121"/>
    </row>
    <row r="8" spans="1:16">
      <c r="A8" s="86"/>
      <c r="B8" s="86"/>
      <c r="C8" s="243" t="s">
        <v>637</v>
      </c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</row>
    <row r="9" spans="1:16">
      <c r="A9" s="86"/>
      <c r="B9" s="86"/>
      <c r="C9" s="243" t="s">
        <v>638</v>
      </c>
      <c r="D9" s="243"/>
      <c r="E9" s="243"/>
      <c r="F9" s="243"/>
      <c r="G9" s="243"/>
      <c r="H9" s="243"/>
      <c r="I9" s="243"/>
      <c r="J9" s="243"/>
      <c r="K9" s="243"/>
      <c r="L9" s="86"/>
      <c r="M9" s="86"/>
      <c r="N9" s="122"/>
      <c r="O9" s="122"/>
      <c r="P9" s="86"/>
    </row>
    <row r="10" spans="1:16" ht="24.75" customHeight="1">
      <c r="A10" s="86"/>
      <c r="B10" s="86"/>
      <c r="C10" s="123" t="s">
        <v>639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</row>
    <row r="11" spans="1:16" ht="12.75" customHeight="1">
      <c r="A11" s="248" t="s">
        <v>11</v>
      </c>
      <c r="B11" s="249" t="s">
        <v>34</v>
      </c>
      <c r="C11" s="248" t="s">
        <v>12</v>
      </c>
      <c r="D11" s="248" t="s">
        <v>13</v>
      </c>
      <c r="E11" s="248" t="s">
        <v>14</v>
      </c>
      <c r="F11" s="244" t="s">
        <v>19</v>
      </c>
      <c r="G11" s="244" t="s">
        <v>20</v>
      </c>
    </row>
    <row r="12" spans="1:16" ht="28.5" customHeight="1">
      <c r="A12" s="248"/>
      <c r="B12" s="250"/>
      <c r="C12" s="248"/>
      <c r="D12" s="248"/>
      <c r="E12" s="248"/>
      <c r="F12" s="244"/>
      <c r="G12" s="244"/>
    </row>
    <row r="13" spans="1:16" ht="15" customHeight="1">
      <c r="A13" s="87" t="s">
        <v>62</v>
      </c>
      <c r="B13" s="99"/>
      <c r="C13" s="206" t="s">
        <v>1710</v>
      </c>
      <c r="D13" s="93"/>
      <c r="E13" s="93"/>
      <c r="F13" s="96"/>
      <c r="G13" s="96"/>
    </row>
    <row r="14" spans="1:16" ht="38.25">
      <c r="A14" s="85" t="s">
        <v>1711</v>
      </c>
      <c r="B14" s="90"/>
      <c r="C14" s="78" t="s">
        <v>1870</v>
      </c>
      <c r="D14" s="96" t="s">
        <v>1205</v>
      </c>
      <c r="E14" s="187">
        <v>3</v>
      </c>
      <c r="F14" s="26"/>
      <c r="G14" s="26"/>
    </row>
    <row r="15" spans="1:16" ht="38.25">
      <c r="A15" s="85" t="s">
        <v>1712</v>
      </c>
      <c r="B15" s="90"/>
      <c r="C15" s="78" t="s">
        <v>1871</v>
      </c>
      <c r="D15" s="96" t="s">
        <v>1205</v>
      </c>
      <c r="E15" s="187">
        <v>1</v>
      </c>
      <c r="F15" s="26"/>
      <c r="G15" s="26"/>
    </row>
    <row r="16" spans="1:16" ht="38.25">
      <c r="A16" s="85" t="s">
        <v>1713</v>
      </c>
      <c r="B16" s="90"/>
      <c r="C16" s="78" t="s">
        <v>1872</v>
      </c>
      <c r="D16" s="96" t="s">
        <v>1205</v>
      </c>
      <c r="E16" s="182">
        <v>1</v>
      </c>
      <c r="F16" s="26"/>
      <c r="G16" s="26"/>
    </row>
    <row r="17" spans="1:7" ht="38.25">
      <c r="A17" s="85" t="s">
        <v>1714</v>
      </c>
      <c r="B17" s="90"/>
      <c r="C17" s="78" t="s">
        <v>1873</v>
      </c>
      <c r="D17" s="96" t="s">
        <v>1205</v>
      </c>
      <c r="E17" s="182">
        <v>1</v>
      </c>
      <c r="F17" s="26"/>
      <c r="G17" s="26"/>
    </row>
    <row r="18" spans="1:7" ht="38.25">
      <c r="A18" s="85" t="s">
        <v>1715</v>
      </c>
      <c r="B18" s="90"/>
      <c r="C18" s="78" t="s">
        <v>1874</v>
      </c>
      <c r="D18" s="96" t="s">
        <v>1205</v>
      </c>
      <c r="E18" s="182">
        <v>1</v>
      </c>
      <c r="F18" s="26"/>
      <c r="G18" s="26"/>
    </row>
    <row r="19" spans="1:7" ht="38.25">
      <c r="A19" s="85" t="s">
        <v>1716</v>
      </c>
      <c r="B19" s="90"/>
      <c r="C19" s="78" t="s">
        <v>1875</v>
      </c>
      <c r="D19" s="96" t="s">
        <v>1205</v>
      </c>
      <c r="E19" s="187">
        <v>1</v>
      </c>
      <c r="F19" s="26"/>
      <c r="G19" s="26"/>
    </row>
    <row r="20" spans="1:7" ht="38.25">
      <c r="A20" s="85" t="s">
        <v>1717</v>
      </c>
      <c r="B20" s="90"/>
      <c r="C20" s="78" t="s">
        <v>1876</v>
      </c>
      <c r="D20" s="96" t="s">
        <v>1205</v>
      </c>
      <c r="E20" s="93">
        <v>1</v>
      </c>
      <c r="F20" s="26"/>
      <c r="G20" s="26"/>
    </row>
    <row r="21" spans="1:7">
      <c r="A21" s="85" t="s">
        <v>1718</v>
      </c>
      <c r="B21" s="90"/>
      <c r="C21" s="233" t="s">
        <v>1692</v>
      </c>
      <c r="D21" s="182" t="s">
        <v>129</v>
      </c>
      <c r="E21" s="182">
        <v>1</v>
      </c>
      <c r="F21" s="26"/>
      <c r="G21" s="26"/>
    </row>
    <row r="22" spans="1:7">
      <c r="A22" s="85" t="s">
        <v>1719</v>
      </c>
      <c r="B22" s="90"/>
      <c r="C22" s="233" t="s">
        <v>1693</v>
      </c>
      <c r="D22" s="182" t="s">
        <v>129</v>
      </c>
      <c r="E22" s="187">
        <v>8</v>
      </c>
      <c r="F22" s="26"/>
      <c r="G22" s="26"/>
    </row>
    <row r="23" spans="1:7">
      <c r="A23" s="85" t="s">
        <v>1975</v>
      </c>
      <c r="B23" s="90"/>
      <c r="C23" s="101" t="s">
        <v>1694</v>
      </c>
      <c r="D23" s="182" t="s">
        <v>129</v>
      </c>
      <c r="E23" s="182">
        <v>9</v>
      </c>
      <c r="F23" s="26"/>
      <c r="G23" s="26"/>
    </row>
    <row r="24" spans="1:7">
      <c r="A24" s="85" t="s">
        <v>1720</v>
      </c>
      <c r="B24" s="90"/>
      <c r="C24" s="101" t="s">
        <v>1695</v>
      </c>
      <c r="D24" s="182" t="s">
        <v>129</v>
      </c>
      <c r="E24" s="187">
        <v>1</v>
      </c>
      <c r="F24" s="26"/>
      <c r="G24" s="26"/>
    </row>
    <row r="25" spans="1:7">
      <c r="A25" s="85" t="s">
        <v>1721</v>
      </c>
      <c r="B25" s="90"/>
      <c r="C25" s="101" t="s">
        <v>1696</v>
      </c>
      <c r="D25" s="182" t="s">
        <v>129</v>
      </c>
      <c r="E25" s="187">
        <v>8</v>
      </c>
      <c r="F25" s="26"/>
      <c r="G25" s="26"/>
    </row>
    <row r="26" spans="1:7">
      <c r="A26" s="85" t="s">
        <v>1722</v>
      </c>
      <c r="B26" s="90"/>
      <c r="C26" s="181" t="s">
        <v>1698</v>
      </c>
      <c r="D26" s="182" t="s">
        <v>129</v>
      </c>
      <c r="E26" s="219">
        <v>2</v>
      </c>
      <c r="F26" s="26"/>
      <c r="G26" s="26"/>
    </row>
    <row r="27" spans="1:7">
      <c r="A27" s="85" t="s">
        <v>1723</v>
      </c>
      <c r="B27" s="90"/>
      <c r="C27" s="181" t="s">
        <v>1699</v>
      </c>
      <c r="D27" s="182" t="s">
        <v>1</v>
      </c>
      <c r="E27" s="220">
        <v>63</v>
      </c>
      <c r="F27" s="26"/>
      <c r="G27" s="26"/>
    </row>
    <row r="28" spans="1:7">
      <c r="A28" s="85" t="s">
        <v>1724</v>
      </c>
      <c r="B28" s="90"/>
      <c r="C28" s="181" t="s">
        <v>1700</v>
      </c>
      <c r="D28" s="182" t="s">
        <v>1</v>
      </c>
      <c r="E28" s="220">
        <v>63</v>
      </c>
      <c r="F28" s="26"/>
      <c r="G28" s="26"/>
    </row>
    <row r="29" spans="1:7">
      <c r="A29" s="85" t="s">
        <v>1725</v>
      </c>
      <c r="B29" s="90"/>
      <c r="C29" s="181" t="s">
        <v>1701</v>
      </c>
      <c r="D29" s="182" t="s">
        <v>1</v>
      </c>
      <c r="E29" s="220">
        <v>17</v>
      </c>
      <c r="F29" s="26"/>
      <c r="G29" s="26"/>
    </row>
    <row r="30" spans="1:7">
      <c r="A30" s="85" t="s">
        <v>1726</v>
      </c>
      <c r="B30" s="90"/>
      <c r="C30" s="181" t="s">
        <v>1702</v>
      </c>
      <c r="D30" s="182" t="s">
        <v>1205</v>
      </c>
      <c r="E30" s="182">
        <v>1</v>
      </c>
      <c r="F30" s="26"/>
      <c r="G30" s="26"/>
    </row>
    <row r="31" spans="1:7" ht="25.5">
      <c r="A31" s="85" t="s">
        <v>1727</v>
      </c>
      <c r="B31" s="90"/>
      <c r="C31" s="183" t="s">
        <v>1703</v>
      </c>
      <c r="D31" s="182" t="s">
        <v>1</v>
      </c>
      <c r="E31" s="220">
        <v>45</v>
      </c>
      <c r="F31" s="26"/>
      <c r="G31" s="26"/>
    </row>
    <row r="32" spans="1:7" ht="25.5">
      <c r="A32" s="85" t="s">
        <v>1728</v>
      </c>
      <c r="B32" s="90"/>
      <c r="C32" s="183" t="s">
        <v>1704</v>
      </c>
      <c r="D32" s="182" t="s">
        <v>1</v>
      </c>
      <c r="E32" s="220">
        <v>60</v>
      </c>
      <c r="F32" s="26"/>
      <c r="G32" s="26"/>
    </row>
    <row r="33" spans="1:7" ht="25.5">
      <c r="A33" s="85" t="s">
        <v>1729</v>
      </c>
      <c r="B33" s="90"/>
      <c r="C33" s="183" t="s">
        <v>1705</v>
      </c>
      <c r="D33" s="182" t="s">
        <v>1</v>
      </c>
      <c r="E33" s="197">
        <v>17</v>
      </c>
      <c r="F33" s="26"/>
      <c r="G33" s="26"/>
    </row>
    <row r="34" spans="1:7">
      <c r="A34" s="85" t="s">
        <v>1730</v>
      </c>
      <c r="B34" s="90"/>
      <c r="C34" s="181" t="s">
        <v>1706</v>
      </c>
      <c r="D34" s="182" t="s">
        <v>1205</v>
      </c>
      <c r="E34" s="182">
        <v>1</v>
      </c>
      <c r="F34" s="26"/>
      <c r="G34" s="26"/>
    </row>
    <row r="35" spans="1:7">
      <c r="A35" s="85" t="s">
        <v>1731</v>
      </c>
      <c r="B35" s="90"/>
      <c r="C35" s="183" t="s">
        <v>1707</v>
      </c>
      <c r="D35" s="182" t="s">
        <v>1205</v>
      </c>
      <c r="E35" s="182">
        <v>1</v>
      </c>
      <c r="F35" s="26"/>
      <c r="G35" s="26"/>
    </row>
    <row r="36" spans="1:7">
      <c r="A36" s="85" t="s">
        <v>1732</v>
      </c>
      <c r="B36" s="90"/>
      <c r="C36" s="183" t="s">
        <v>1708</v>
      </c>
      <c r="D36" s="182" t="s">
        <v>1205</v>
      </c>
      <c r="E36" s="187">
        <v>1</v>
      </c>
      <c r="F36" s="26"/>
      <c r="G36" s="26"/>
    </row>
    <row r="37" spans="1:7">
      <c r="A37" s="85" t="s">
        <v>1733</v>
      </c>
      <c r="B37" s="90"/>
      <c r="C37" s="183" t="s">
        <v>1709</v>
      </c>
      <c r="D37" s="182" t="s">
        <v>1205</v>
      </c>
      <c r="E37" s="187">
        <v>1</v>
      </c>
      <c r="F37" s="26"/>
      <c r="G37" s="26"/>
    </row>
    <row r="38" spans="1:7">
      <c r="A38" s="90"/>
      <c r="B38" s="90"/>
      <c r="C38" s="67" t="s">
        <v>18</v>
      </c>
      <c r="D38" s="3"/>
      <c r="E38" s="80"/>
      <c r="F38" s="80"/>
      <c r="G38" s="26"/>
    </row>
    <row r="39" spans="1:7">
      <c r="A39" s="87" t="s">
        <v>63</v>
      </c>
      <c r="B39" s="99"/>
      <c r="C39" s="165" t="s">
        <v>1734</v>
      </c>
      <c r="D39" s="3"/>
      <c r="E39" s="80"/>
      <c r="F39" s="80"/>
      <c r="G39" s="26"/>
    </row>
    <row r="40" spans="1:7" ht="25.5">
      <c r="A40" s="85" t="s">
        <v>1976</v>
      </c>
      <c r="B40" s="90"/>
      <c r="C40" s="78" t="s">
        <v>1877</v>
      </c>
      <c r="D40" s="96" t="s">
        <v>1</v>
      </c>
      <c r="E40" s="214">
        <v>780</v>
      </c>
      <c r="F40" s="80"/>
      <c r="G40" s="26"/>
    </row>
    <row r="41" spans="1:7">
      <c r="A41" s="85" t="s">
        <v>1977</v>
      </c>
      <c r="B41" s="90"/>
      <c r="C41" s="101" t="s">
        <v>1701</v>
      </c>
      <c r="D41" s="182" t="s">
        <v>1</v>
      </c>
      <c r="E41" s="221">
        <v>49</v>
      </c>
      <c r="F41" s="80"/>
      <c r="G41" s="26"/>
    </row>
    <row r="42" spans="1:7" ht="25.5">
      <c r="A42" s="85" t="s">
        <v>1978</v>
      </c>
      <c r="B42" s="90"/>
      <c r="C42" s="78" t="s">
        <v>1735</v>
      </c>
      <c r="D42" s="96" t="s">
        <v>1078</v>
      </c>
      <c r="E42" s="215">
        <v>205</v>
      </c>
      <c r="F42" s="80"/>
      <c r="G42" s="26"/>
    </row>
    <row r="43" spans="1:7">
      <c r="A43" s="85" t="s">
        <v>1979</v>
      </c>
      <c r="B43" s="90"/>
      <c r="C43" s="78" t="s">
        <v>1736</v>
      </c>
      <c r="D43" s="96" t="s">
        <v>1</v>
      </c>
      <c r="E43" s="215">
        <v>265</v>
      </c>
      <c r="F43" s="80"/>
      <c r="G43" s="26"/>
    </row>
    <row r="44" spans="1:7" ht="25.5">
      <c r="A44" s="85" t="s">
        <v>1980</v>
      </c>
      <c r="B44" s="90"/>
      <c r="C44" s="183" t="s">
        <v>1737</v>
      </c>
      <c r="D44" s="182" t="s">
        <v>1205</v>
      </c>
      <c r="E44" s="222">
        <v>1</v>
      </c>
      <c r="F44" s="80"/>
      <c r="G44" s="26"/>
    </row>
    <row r="45" spans="1:7" ht="25.5">
      <c r="A45" s="85" t="s">
        <v>1981</v>
      </c>
      <c r="B45" s="90"/>
      <c r="C45" s="183" t="s">
        <v>1878</v>
      </c>
      <c r="D45" s="182" t="s">
        <v>1</v>
      </c>
      <c r="E45" s="221">
        <v>270</v>
      </c>
      <c r="F45" s="80"/>
      <c r="G45" s="26"/>
    </row>
    <row r="46" spans="1:7" ht="25.5">
      <c r="A46" s="85" t="s">
        <v>1982</v>
      </c>
      <c r="B46" s="90"/>
      <c r="C46" s="183" t="s">
        <v>1738</v>
      </c>
      <c r="D46" s="182" t="s">
        <v>1205</v>
      </c>
      <c r="E46" s="223">
        <v>1</v>
      </c>
      <c r="F46" s="80"/>
      <c r="G46" s="26"/>
    </row>
    <row r="47" spans="1:7">
      <c r="A47" s="85" t="s">
        <v>1983</v>
      </c>
      <c r="B47" s="90"/>
      <c r="C47" s="183" t="s">
        <v>1739</v>
      </c>
      <c r="D47" s="182" t="s">
        <v>1205</v>
      </c>
      <c r="E47" s="223">
        <v>1</v>
      </c>
      <c r="F47" s="80"/>
      <c r="G47" s="26"/>
    </row>
    <row r="48" spans="1:7">
      <c r="A48" s="85"/>
      <c r="B48" s="90"/>
      <c r="C48" s="213" t="s">
        <v>36</v>
      </c>
      <c r="D48" s="226"/>
      <c r="E48" s="225"/>
      <c r="F48" s="80"/>
      <c r="G48" s="26"/>
    </row>
    <row r="49" spans="1:7" ht="25.5">
      <c r="A49" s="87" t="s">
        <v>64</v>
      </c>
      <c r="B49" s="99"/>
      <c r="C49" s="206" t="s">
        <v>1743</v>
      </c>
      <c r="D49" s="3"/>
      <c r="E49" s="80"/>
      <c r="F49" s="80"/>
      <c r="G49" s="26"/>
    </row>
    <row r="50" spans="1:7">
      <c r="A50" s="85"/>
      <c r="B50" s="90"/>
      <c r="C50" s="179" t="s">
        <v>1744</v>
      </c>
      <c r="D50" s="180"/>
      <c r="E50" s="209"/>
      <c r="F50" s="80"/>
      <c r="G50" s="26"/>
    </row>
    <row r="51" spans="1:7">
      <c r="A51" s="85" t="s">
        <v>1766</v>
      </c>
      <c r="B51" s="90"/>
      <c r="C51" s="181" t="s">
        <v>1698</v>
      </c>
      <c r="D51" s="182" t="s">
        <v>129</v>
      </c>
      <c r="E51" s="168">
        <v>6</v>
      </c>
      <c r="F51" s="80"/>
      <c r="G51" s="26"/>
    </row>
    <row r="52" spans="1:7">
      <c r="A52" s="85" t="s">
        <v>1767</v>
      </c>
      <c r="B52" s="90"/>
      <c r="C52" s="181" t="s">
        <v>1699</v>
      </c>
      <c r="D52" s="182" t="s">
        <v>1</v>
      </c>
      <c r="E52" s="216">
        <v>2</v>
      </c>
      <c r="F52" s="80"/>
      <c r="G52" s="26"/>
    </row>
    <row r="53" spans="1:7">
      <c r="A53" s="85" t="s">
        <v>1768</v>
      </c>
      <c r="B53" s="90"/>
      <c r="C53" s="181" t="s">
        <v>1701</v>
      </c>
      <c r="D53" s="182" t="s">
        <v>1</v>
      </c>
      <c r="E53" s="216">
        <f>(5.3+1.5+1.5)*1.03</f>
        <v>8.5490000000000013</v>
      </c>
      <c r="F53" s="80"/>
      <c r="G53" s="26"/>
    </row>
    <row r="54" spans="1:7">
      <c r="A54" s="85" t="s">
        <v>1769</v>
      </c>
      <c r="B54" s="90"/>
      <c r="C54" s="181" t="s">
        <v>1745</v>
      </c>
      <c r="D54" s="182" t="s">
        <v>1</v>
      </c>
      <c r="E54" s="216">
        <f>(0.7+0.3+0.2+0.3+0.7+0.5+2.8+1.3+2.6)*1.03</f>
        <v>9.6820000000000004</v>
      </c>
      <c r="F54" s="80"/>
      <c r="G54" s="26"/>
    </row>
    <row r="55" spans="1:7">
      <c r="A55" s="85" t="s">
        <v>1770</v>
      </c>
      <c r="B55" s="90"/>
      <c r="C55" s="181" t="s">
        <v>1746</v>
      </c>
      <c r="D55" s="182" t="s">
        <v>1</v>
      </c>
      <c r="E55" s="216">
        <f>(1.5+1.8+1.8+1+5.9+5.9+1+4.2)*1.03</f>
        <v>23.792999999999999</v>
      </c>
      <c r="F55" s="80"/>
      <c r="G55" s="26"/>
    </row>
    <row r="56" spans="1:7">
      <c r="A56" s="85" t="s">
        <v>1771</v>
      </c>
      <c r="B56" s="90"/>
      <c r="C56" s="181" t="s">
        <v>1702</v>
      </c>
      <c r="D56" s="182" t="s">
        <v>1205</v>
      </c>
      <c r="E56" s="168">
        <v>1</v>
      </c>
      <c r="F56" s="80"/>
      <c r="G56" s="26"/>
    </row>
    <row r="57" spans="1:7" ht="25.5">
      <c r="A57" s="85" t="s">
        <v>1772</v>
      </c>
      <c r="B57" s="90"/>
      <c r="C57" s="183" t="s">
        <v>1881</v>
      </c>
      <c r="D57" s="182" t="s">
        <v>1</v>
      </c>
      <c r="E57" s="184">
        <v>8.5</v>
      </c>
      <c r="F57" s="80"/>
      <c r="G57" s="26"/>
    </row>
    <row r="58" spans="1:7" ht="25.5">
      <c r="A58" s="85" t="s">
        <v>1773</v>
      </c>
      <c r="B58" s="90"/>
      <c r="C58" s="183" t="s">
        <v>1882</v>
      </c>
      <c r="D58" s="182" t="s">
        <v>1</v>
      </c>
      <c r="E58" s="184">
        <v>9.6999999999999993</v>
      </c>
      <c r="F58" s="80"/>
      <c r="G58" s="26"/>
    </row>
    <row r="59" spans="1:7" ht="25.5">
      <c r="A59" s="85" t="s">
        <v>1764</v>
      </c>
      <c r="B59" s="90"/>
      <c r="C59" s="183" t="s">
        <v>1748</v>
      </c>
      <c r="D59" s="182" t="s">
        <v>1</v>
      </c>
      <c r="E59" s="216">
        <v>23.8</v>
      </c>
      <c r="F59" s="80"/>
      <c r="G59" s="26"/>
    </row>
    <row r="60" spans="1:7">
      <c r="A60" s="85" t="s">
        <v>1774</v>
      </c>
      <c r="B60" s="90"/>
      <c r="C60" s="181" t="s">
        <v>1706</v>
      </c>
      <c r="D60" s="182" t="s">
        <v>1205</v>
      </c>
      <c r="E60" s="168">
        <v>1</v>
      </c>
      <c r="F60" s="80"/>
      <c r="G60" s="26"/>
    </row>
    <row r="61" spans="1:7">
      <c r="A61" s="85" t="s">
        <v>1775</v>
      </c>
      <c r="B61" s="90"/>
      <c r="C61" s="183" t="s">
        <v>1707</v>
      </c>
      <c r="D61" s="182" t="s">
        <v>1205</v>
      </c>
      <c r="E61" s="168">
        <v>1</v>
      </c>
      <c r="F61" s="80"/>
      <c r="G61" s="26"/>
    </row>
    <row r="62" spans="1:7" ht="25.5">
      <c r="A62" s="85" t="s">
        <v>1776</v>
      </c>
      <c r="B62" s="90"/>
      <c r="C62" s="183" t="s">
        <v>1749</v>
      </c>
      <c r="D62" s="182" t="s">
        <v>1205</v>
      </c>
      <c r="E62" s="168">
        <v>1</v>
      </c>
      <c r="F62" s="80"/>
      <c r="G62" s="26"/>
    </row>
    <row r="63" spans="1:7" ht="25.5">
      <c r="A63" s="85" t="s">
        <v>1777</v>
      </c>
      <c r="B63" s="90"/>
      <c r="C63" s="183" t="s">
        <v>1750</v>
      </c>
      <c r="D63" s="182" t="s">
        <v>1205</v>
      </c>
      <c r="E63" s="168">
        <v>1</v>
      </c>
      <c r="F63" s="80"/>
      <c r="G63" s="26"/>
    </row>
    <row r="64" spans="1:7">
      <c r="A64" s="90"/>
      <c r="B64" s="90"/>
      <c r="C64" s="212" t="s">
        <v>36</v>
      </c>
      <c r="D64" s="182"/>
      <c r="E64" s="168"/>
      <c r="F64" s="80"/>
      <c r="G64" s="26"/>
    </row>
    <row r="65" spans="1:7">
      <c r="A65" s="90"/>
      <c r="B65" s="90"/>
      <c r="C65" s="164" t="s">
        <v>1751</v>
      </c>
      <c r="D65" s="96"/>
      <c r="E65" s="168"/>
      <c r="F65" s="80"/>
      <c r="G65" s="26"/>
    </row>
    <row r="66" spans="1:7">
      <c r="A66" s="90"/>
      <c r="B66" s="90"/>
      <c r="C66" s="164" t="s">
        <v>1752</v>
      </c>
      <c r="D66" s="96"/>
      <c r="E66" s="168"/>
      <c r="F66" s="80"/>
      <c r="G66" s="26"/>
    </row>
    <row r="67" spans="1:7" ht="52.5">
      <c r="A67" s="85" t="s">
        <v>1778</v>
      </c>
      <c r="B67" s="90"/>
      <c r="C67" s="178" t="s">
        <v>1883</v>
      </c>
      <c r="D67" s="182" t="s">
        <v>1205</v>
      </c>
      <c r="E67" s="168">
        <v>1</v>
      </c>
      <c r="F67" s="80"/>
      <c r="G67" s="26"/>
    </row>
    <row r="68" spans="1:7" ht="25.5">
      <c r="A68" s="85" t="s">
        <v>1779</v>
      </c>
      <c r="B68" s="90"/>
      <c r="C68" s="78" t="s">
        <v>1884</v>
      </c>
      <c r="D68" s="96" t="s">
        <v>129</v>
      </c>
      <c r="E68" s="168">
        <v>1</v>
      </c>
      <c r="F68" s="80"/>
      <c r="G68" s="26"/>
    </row>
    <row r="69" spans="1:7" ht="25.5">
      <c r="A69" s="85" t="s">
        <v>1780</v>
      </c>
      <c r="B69" s="90"/>
      <c r="C69" s="78" t="s">
        <v>1885</v>
      </c>
      <c r="D69" s="96" t="s">
        <v>1205</v>
      </c>
      <c r="E69" s="168">
        <v>1</v>
      </c>
      <c r="F69" s="80"/>
      <c r="G69" s="26"/>
    </row>
    <row r="70" spans="1:7">
      <c r="A70" s="85" t="s">
        <v>1781</v>
      </c>
      <c r="B70" s="90"/>
      <c r="C70" s="101" t="s">
        <v>1747</v>
      </c>
      <c r="D70" s="182" t="s">
        <v>129</v>
      </c>
      <c r="E70" s="184">
        <v>2</v>
      </c>
      <c r="F70" s="80"/>
      <c r="G70" s="26"/>
    </row>
    <row r="71" spans="1:7">
      <c r="A71" s="85" t="s">
        <v>1782</v>
      </c>
      <c r="B71" s="90"/>
      <c r="C71" s="101" t="s">
        <v>1753</v>
      </c>
      <c r="D71" s="182" t="s">
        <v>129</v>
      </c>
      <c r="E71" s="184">
        <v>1</v>
      </c>
      <c r="F71" s="80"/>
      <c r="G71" s="26"/>
    </row>
    <row r="72" spans="1:7">
      <c r="A72" s="85" t="s">
        <v>1765</v>
      </c>
      <c r="B72" s="90"/>
      <c r="C72" s="101" t="s">
        <v>1754</v>
      </c>
      <c r="D72" s="182" t="s">
        <v>129</v>
      </c>
      <c r="E72" s="184">
        <v>1</v>
      </c>
      <c r="F72" s="80"/>
      <c r="G72" s="26"/>
    </row>
    <row r="73" spans="1:7">
      <c r="A73" s="85" t="s">
        <v>1783</v>
      </c>
      <c r="B73" s="90"/>
      <c r="C73" s="101" t="s">
        <v>1755</v>
      </c>
      <c r="D73" s="182" t="s">
        <v>129</v>
      </c>
      <c r="E73" s="184">
        <v>1</v>
      </c>
      <c r="F73" s="80"/>
      <c r="G73" s="26"/>
    </row>
    <row r="74" spans="1:7">
      <c r="A74" s="85" t="s">
        <v>1784</v>
      </c>
      <c r="B74" s="90"/>
      <c r="C74" s="181" t="s">
        <v>1698</v>
      </c>
      <c r="D74" s="182" t="s">
        <v>129</v>
      </c>
      <c r="E74" s="168">
        <v>2</v>
      </c>
      <c r="F74" s="80"/>
      <c r="G74" s="26"/>
    </row>
    <row r="75" spans="1:7">
      <c r="A75" s="85" t="s">
        <v>1785</v>
      </c>
      <c r="B75" s="90"/>
      <c r="C75" s="181" t="s">
        <v>1756</v>
      </c>
      <c r="D75" s="182" t="s">
        <v>129</v>
      </c>
      <c r="E75" s="184">
        <v>1</v>
      </c>
      <c r="F75" s="80"/>
      <c r="G75" s="26"/>
    </row>
    <row r="76" spans="1:7">
      <c r="A76" s="85" t="s">
        <v>1984</v>
      </c>
      <c r="B76" s="90"/>
      <c r="C76" s="181" t="s">
        <v>1886</v>
      </c>
      <c r="D76" s="182" t="s">
        <v>129</v>
      </c>
      <c r="E76" s="184">
        <v>1</v>
      </c>
      <c r="F76" s="80"/>
      <c r="G76" s="26"/>
    </row>
    <row r="77" spans="1:7">
      <c r="A77" s="85" t="s">
        <v>1985</v>
      </c>
      <c r="B77" s="90"/>
      <c r="C77" s="185" t="s">
        <v>1887</v>
      </c>
      <c r="D77" s="186" t="s">
        <v>0</v>
      </c>
      <c r="E77" s="187">
        <v>3</v>
      </c>
      <c r="F77" s="80"/>
      <c r="G77" s="26"/>
    </row>
    <row r="78" spans="1:7">
      <c r="A78" s="85" t="s">
        <v>1986</v>
      </c>
      <c r="B78" s="90"/>
      <c r="C78" s="185" t="s">
        <v>1888</v>
      </c>
      <c r="D78" s="186" t="s">
        <v>0</v>
      </c>
      <c r="E78" s="187">
        <v>3</v>
      </c>
      <c r="F78" s="80"/>
      <c r="G78" s="26"/>
    </row>
    <row r="79" spans="1:7" ht="25.5">
      <c r="A79" s="85" t="s">
        <v>1987</v>
      </c>
      <c r="B79" s="90"/>
      <c r="C79" s="185" t="s">
        <v>1757</v>
      </c>
      <c r="D79" s="186" t="s">
        <v>0</v>
      </c>
      <c r="E79" s="187">
        <v>4</v>
      </c>
      <c r="F79" s="80"/>
      <c r="G79" s="26"/>
    </row>
    <row r="80" spans="1:7">
      <c r="A80" s="85" t="s">
        <v>1988</v>
      </c>
      <c r="B80" s="90"/>
      <c r="C80" s="181" t="s">
        <v>1699</v>
      </c>
      <c r="D80" s="182" t="s">
        <v>1758</v>
      </c>
      <c r="E80" s="220">
        <v>0.7</v>
      </c>
      <c r="F80" s="80"/>
      <c r="G80" s="26"/>
    </row>
    <row r="81" spans="1:7">
      <c r="A81" s="85" t="s">
        <v>1989</v>
      </c>
      <c r="B81" s="90"/>
      <c r="C81" s="181" t="s">
        <v>1700</v>
      </c>
      <c r="D81" s="182" t="s">
        <v>1</v>
      </c>
      <c r="E81" s="220">
        <v>0.5</v>
      </c>
      <c r="F81" s="80"/>
      <c r="G81" s="26"/>
    </row>
    <row r="82" spans="1:7">
      <c r="A82" s="85" t="s">
        <v>1990</v>
      </c>
      <c r="B82" s="90"/>
      <c r="C82" s="181" t="s">
        <v>1745</v>
      </c>
      <c r="D82" s="182" t="s">
        <v>1</v>
      </c>
      <c r="E82" s="220">
        <v>0</v>
      </c>
      <c r="F82" s="80"/>
      <c r="G82" s="26"/>
    </row>
    <row r="83" spans="1:7" ht="25.5">
      <c r="A83" s="85" t="s">
        <v>1991</v>
      </c>
      <c r="B83" s="90"/>
      <c r="C83" s="101" t="s">
        <v>1759</v>
      </c>
      <c r="D83" s="182" t="s">
        <v>129</v>
      </c>
      <c r="E83" s="227">
        <v>2</v>
      </c>
      <c r="F83" s="80"/>
      <c r="G83" s="26"/>
    </row>
    <row r="84" spans="1:7">
      <c r="A84" s="85" t="s">
        <v>1992</v>
      </c>
      <c r="B84" s="90"/>
      <c r="C84" s="181" t="s">
        <v>1702</v>
      </c>
      <c r="D84" s="182" t="s">
        <v>1205</v>
      </c>
      <c r="E84" s="182">
        <v>1</v>
      </c>
      <c r="F84" s="80"/>
      <c r="G84" s="26"/>
    </row>
    <row r="85" spans="1:7">
      <c r="A85" s="85" t="s">
        <v>1993</v>
      </c>
      <c r="B85" s="90"/>
      <c r="C85" s="183" t="s">
        <v>1707</v>
      </c>
      <c r="D85" s="182" t="s">
        <v>1205</v>
      </c>
      <c r="E85" s="182">
        <v>1</v>
      </c>
      <c r="F85" s="80"/>
      <c r="G85" s="26"/>
    </row>
    <row r="86" spans="1:7">
      <c r="A86" s="85" t="s">
        <v>1994</v>
      </c>
      <c r="B86" s="90"/>
      <c r="C86" s="181" t="s">
        <v>1706</v>
      </c>
      <c r="D86" s="182" t="s">
        <v>1205</v>
      </c>
      <c r="E86" s="187">
        <v>1</v>
      </c>
      <c r="F86" s="80"/>
      <c r="G86" s="26"/>
    </row>
    <row r="87" spans="1:7">
      <c r="A87" s="90"/>
      <c r="B87" s="90"/>
      <c r="C87" s="213" t="s">
        <v>36</v>
      </c>
      <c r="D87" s="187"/>
      <c r="E87" s="187"/>
      <c r="F87" s="80"/>
      <c r="G87" s="26"/>
    </row>
    <row r="88" spans="1:7">
      <c r="A88" s="90"/>
      <c r="B88" s="90"/>
      <c r="C88" s="164" t="s">
        <v>1760</v>
      </c>
      <c r="D88" s="187"/>
      <c r="E88" s="187"/>
      <c r="F88" s="80"/>
      <c r="G88" s="26"/>
    </row>
    <row r="89" spans="1:7" ht="52.5">
      <c r="A89" s="85" t="s">
        <v>1995</v>
      </c>
      <c r="B89" s="90"/>
      <c r="C89" s="178" t="s">
        <v>1889</v>
      </c>
      <c r="D89" s="182" t="s">
        <v>1205</v>
      </c>
      <c r="E89" s="168">
        <v>1</v>
      </c>
      <c r="F89" s="80"/>
      <c r="G89" s="26"/>
    </row>
    <row r="90" spans="1:7" ht="25.5">
      <c r="A90" s="85" t="s">
        <v>1996</v>
      </c>
      <c r="B90" s="90"/>
      <c r="C90" s="78" t="s">
        <v>1890</v>
      </c>
      <c r="D90" s="96" t="s">
        <v>129</v>
      </c>
      <c r="E90" s="168">
        <v>1</v>
      </c>
      <c r="F90" s="80"/>
      <c r="G90" s="26"/>
    </row>
    <row r="91" spans="1:7" ht="25.5">
      <c r="A91" s="85" t="s">
        <v>1997</v>
      </c>
      <c r="B91" s="90"/>
      <c r="C91" s="78" t="s">
        <v>1885</v>
      </c>
      <c r="D91" s="96" t="s">
        <v>1205</v>
      </c>
      <c r="E91" s="168">
        <v>1</v>
      </c>
      <c r="F91" s="80"/>
      <c r="G91" s="26"/>
    </row>
    <row r="92" spans="1:7">
      <c r="A92" s="85" t="s">
        <v>1998</v>
      </c>
      <c r="B92" s="90"/>
      <c r="C92" s="101" t="s">
        <v>1697</v>
      </c>
      <c r="D92" s="182" t="s">
        <v>129</v>
      </c>
      <c r="E92" s="217">
        <v>2</v>
      </c>
      <c r="F92" s="80"/>
      <c r="G92" s="26"/>
    </row>
    <row r="93" spans="1:7">
      <c r="A93" s="85" t="s">
        <v>1999</v>
      </c>
      <c r="B93" s="90"/>
      <c r="C93" s="101" t="s">
        <v>1761</v>
      </c>
      <c r="D93" s="182" t="s">
        <v>129</v>
      </c>
      <c r="E93" s="184">
        <v>1</v>
      </c>
      <c r="F93" s="80"/>
      <c r="G93" s="26"/>
    </row>
    <row r="94" spans="1:7">
      <c r="A94" s="85" t="s">
        <v>2000</v>
      </c>
      <c r="B94" s="90"/>
      <c r="C94" s="101" t="s">
        <v>1762</v>
      </c>
      <c r="D94" s="182" t="s">
        <v>129</v>
      </c>
      <c r="E94" s="184">
        <v>1</v>
      </c>
      <c r="F94" s="80"/>
      <c r="G94" s="26"/>
    </row>
    <row r="95" spans="1:7">
      <c r="A95" s="85" t="s">
        <v>2001</v>
      </c>
      <c r="B95" s="90"/>
      <c r="C95" s="101" t="s">
        <v>1755</v>
      </c>
      <c r="D95" s="182" t="s">
        <v>129</v>
      </c>
      <c r="E95" s="184">
        <v>1</v>
      </c>
      <c r="F95" s="80"/>
      <c r="G95" s="26"/>
    </row>
    <row r="96" spans="1:7">
      <c r="A96" s="85" t="s">
        <v>2002</v>
      </c>
      <c r="B96" s="90"/>
      <c r="C96" s="181" t="s">
        <v>1698</v>
      </c>
      <c r="D96" s="182" t="s">
        <v>129</v>
      </c>
      <c r="E96" s="168">
        <v>2</v>
      </c>
      <c r="F96" s="80"/>
      <c r="G96" s="26"/>
    </row>
    <row r="97" spans="1:7">
      <c r="A97" s="85" t="s">
        <v>2003</v>
      </c>
      <c r="B97" s="90"/>
      <c r="C97" s="181" t="s">
        <v>1756</v>
      </c>
      <c r="D97" s="182" t="s">
        <v>129</v>
      </c>
      <c r="E97" s="184">
        <v>1</v>
      </c>
      <c r="F97" s="80"/>
      <c r="G97" s="26"/>
    </row>
    <row r="98" spans="1:7">
      <c r="A98" s="85" t="s">
        <v>2004</v>
      </c>
      <c r="B98" s="90"/>
      <c r="C98" s="181" t="s">
        <v>1886</v>
      </c>
      <c r="D98" s="182" t="s">
        <v>129</v>
      </c>
      <c r="E98" s="184">
        <v>1</v>
      </c>
      <c r="F98" s="80"/>
      <c r="G98" s="26"/>
    </row>
    <row r="99" spans="1:7">
      <c r="A99" s="85" t="s">
        <v>2005</v>
      </c>
      <c r="B99" s="90"/>
      <c r="C99" s="185" t="s">
        <v>1891</v>
      </c>
      <c r="D99" s="186" t="s">
        <v>0</v>
      </c>
      <c r="E99" s="187">
        <v>3</v>
      </c>
      <c r="F99" s="80"/>
      <c r="G99" s="26"/>
    </row>
    <row r="100" spans="1:7">
      <c r="A100" s="85" t="s">
        <v>2006</v>
      </c>
      <c r="B100" s="90"/>
      <c r="C100" s="185" t="s">
        <v>1888</v>
      </c>
      <c r="D100" s="186" t="s">
        <v>0</v>
      </c>
      <c r="E100" s="187">
        <v>3</v>
      </c>
      <c r="F100" s="80"/>
      <c r="G100" s="26"/>
    </row>
    <row r="101" spans="1:7" ht="25.5">
      <c r="A101" s="85" t="s">
        <v>2007</v>
      </c>
      <c r="B101" s="90"/>
      <c r="C101" s="185" t="s">
        <v>1757</v>
      </c>
      <c r="D101" s="186" t="s">
        <v>0</v>
      </c>
      <c r="E101" s="187">
        <v>4</v>
      </c>
      <c r="F101" s="80"/>
      <c r="G101" s="26"/>
    </row>
    <row r="102" spans="1:7">
      <c r="A102" s="85" t="s">
        <v>2008</v>
      </c>
      <c r="B102" s="90"/>
      <c r="C102" s="181" t="s">
        <v>1699</v>
      </c>
      <c r="D102" s="182" t="s">
        <v>1758</v>
      </c>
      <c r="E102" s="220">
        <v>1.2</v>
      </c>
      <c r="F102" s="80"/>
      <c r="G102" s="26"/>
    </row>
    <row r="103" spans="1:7" ht="25.5">
      <c r="A103" s="85" t="s">
        <v>2009</v>
      </c>
      <c r="B103" s="90"/>
      <c r="C103" s="101" t="s">
        <v>1763</v>
      </c>
      <c r="D103" s="182" t="s">
        <v>129</v>
      </c>
      <c r="E103" s="227">
        <v>2</v>
      </c>
      <c r="F103" s="80"/>
      <c r="G103" s="26"/>
    </row>
    <row r="104" spans="1:7">
      <c r="A104" s="85" t="s">
        <v>2010</v>
      </c>
      <c r="B104" s="90"/>
      <c r="C104" s="181" t="s">
        <v>1702</v>
      </c>
      <c r="D104" s="182" t="s">
        <v>1205</v>
      </c>
      <c r="E104" s="182">
        <v>1</v>
      </c>
      <c r="F104" s="80"/>
      <c r="G104" s="26"/>
    </row>
    <row r="105" spans="1:7">
      <c r="A105" s="85" t="s">
        <v>2011</v>
      </c>
      <c r="B105" s="90"/>
      <c r="C105" s="183" t="s">
        <v>1707</v>
      </c>
      <c r="D105" s="182" t="s">
        <v>1205</v>
      </c>
      <c r="E105" s="182">
        <v>1</v>
      </c>
      <c r="F105" s="80"/>
      <c r="G105" s="26"/>
    </row>
    <row r="106" spans="1:7">
      <c r="A106" s="85" t="s">
        <v>2012</v>
      </c>
      <c r="B106" s="90"/>
      <c r="C106" s="181" t="s">
        <v>1706</v>
      </c>
      <c r="D106" s="182" t="s">
        <v>1205</v>
      </c>
      <c r="E106" s="187">
        <v>1</v>
      </c>
      <c r="F106" s="80"/>
      <c r="G106" s="26"/>
    </row>
    <row r="107" spans="1:7">
      <c r="A107" s="85"/>
      <c r="B107" s="116"/>
      <c r="C107" s="211" t="s">
        <v>36</v>
      </c>
      <c r="D107" s="182"/>
      <c r="E107" s="187"/>
      <c r="F107" s="80"/>
      <c r="G107" s="26"/>
    </row>
    <row r="108" spans="1:7" ht="25.5">
      <c r="A108" s="87" t="s">
        <v>65</v>
      </c>
      <c r="B108" s="99"/>
      <c r="C108" s="206" t="s">
        <v>1786</v>
      </c>
      <c r="D108" s="3"/>
      <c r="E108" s="80"/>
      <c r="F108" s="80"/>
      <c r="G108" s="26"/>
    </row>
    <row r="109" spans="1:7">
      <c r="A109" s="90"/>
      <c r="B109" s="90"/>
      <c r="C109" s="188" t="s">
        <v>1787</v>
      </c>
      <c r="D109" s="177"/>
      <c r="E109" s="189"/>
      <c r="F109" s="80"/>
      <c r="G109" s="26"/>
    </row>
    <row r="110" spans="1:7" ht="66.75">
      <c r="A110" s="85" t="s">
        <v>2013</v>
      </c>
      <c r="B110" s="90"/>
      <c r="C110" s="101" t="s">
        <v>1892</v>
      </c>
      <c r="D110" s="96" t="s">
        <v>1205</v>
      </c>
      <c r="E110" s="96">
        <v>1</v>
      </c>
      <c r="F110" s="80"/>
      <c r="G110" s="26"/>
    </row>
    <row r="111" spans="1:7" ht="44.25">
      <c r="A111" s="85" t="s">
        <v>2014</v>
      </c>
      <c r="B111" s="90"/>
      <c r="C111" s="178" t="s">
        <v>1893</v>
      </c>
      <c r="D111" s="96" t="s">
        <v>1205</v>
      </c>
      <c r="E111" s="96">
        <v>1</v>
      </c>
      <c r="F111" s="80"/>
      <c r="G111" s="26"/>
    </row>
    <row r="112" spans="1:7">
      <c r="A112" s="85" t="s">
        <v>2015</v>
      </c>
      <c r="B112" s="90"/>
      <c r="C112" s="178" t="s">
        <v>1788</v>
      </c>
      <c r="D112" s="96" t="s">
        <v>1205</v>
      </c>
      <c r="E112" s="96">
        <v>1</v>
      </c>
      <c r="F112" s="80"/>
      <c r="G112" s="26"/>
    </row>
    <row r="113" spans="1:7" ht="25.5">
      <c r="A113" s="85" t="s">
        <v>2016</v>
      </c>
      <c r="B113" s="90"/>
      <c r="C113" s="178" t="s">
        <v>1789</v>
      </c>
      <c r="D113" s="96" t="s">
        <v>1</v>
      </c>
      <c r="E113" s="190">
        <v>7</v>
      </c>
      <c r="F113" s="80"/>
      <c r="G113" s="26"/>
    </row>
    <row r="114" spans="1:7" ht="25.5">
      <c r="A114" s="85" t="s">
        <v>2017</v>
      </c>
      <c r="B114" s="90"/>
      <c r="C114" s="178" t="s">
        <v>1790</v>
      </c>
      <c r="D114" s="96" t="s">
        <v>1</v>
      </c>
      <c r="E114" s="190">
        <v>7</v>
      </c>
      <c r="F114" s="80"/>
      <c r="G114" s="26"/>
    </row>
    <row r="115" spans="1:7">
      <c r="A115" s="85" t="s">
        <v>2018</v>
      </c>
      <c r="B115" s="90"/>
      <c r="C115" s="178" t="s">
        <v>1894</v>
      </c>
      <c r="D115" s="96" t="s">
        <v>1791</v>
      </c>
      <c r="E115" s="190">
        <v>0.5</v>
      </c>
      <c r="F115" s="80"/>
      <c r="G115" s="26"/>
    </row>
    <row r="116" spans="1:7" ht="25.5">
      <c r="A116" s="85" t="s">
        <v>2019</v>
      </c>
      <c r="B116" s="90"/>
      <c r="C116" s="178" t="s">
        <v>1792</v>
      </c>
      <c r="D116" s="96" t="s">
        <v>1205</v>
      </c>
      <c r="E116" s="96">
        <v>1</v>
      </c>
      <c r="F116" s="80"/>
      <c r="G116" s="26"/>
    </row>
    <row r="117" spans="1:7" ht="25.5">
      <c r="A117" s="85" t="s">
        <v>2020</v>
      </c>
      <c r="B117" s="90"/>
      <c r="C117" s="178" t="s">
        <v>1793</v>
      </c>
      <c r="D117" s="96" t="s">
        <v>1205</v>
      </c>
      <c r="E117" s="96">
        <v>1</v>
      </c>
      <c r="F117" s="80"/>
      <c r="G117" s="26"/>
    </row>
    <row r="118" spans="1:7">
      <c r="A118" s="90"/>
      <c r="B118" s="90"/>
      <c r="C118" s="213" t="s">
        <v>36</v>
      </c>
      <c r="D118" s="80"/>
      <c r="E118" s="80"/>
      <c r="F118" s="80"/>
      <c r="G118" s="26"/>
    </row>
    <row r="119" spans="1:7">
      <c r="A119" s="90"/>
      <c r="B119" s="90"/>
      <c r="C119" s="164" t="s">
        <v>1794</v>
      </c>
      <c r="D119" s="80"/>
      <c r="E119" s="80"/>
      <c r="F119" s="80"/>
      <c r="G119" s="26"/>
    </row>
    <row r="120" spans="1:7" ht="25.5">
      <c r="A120" s="85" t="s">
        <v>2021</v>
      </c>
      <c r="B120" s="90"/>
      <c r="C120" s="191" t="s">
        <v>1895</v>
      </c>
      <c r="D120" s="96" t="s">
        <v>1</v>
      </c>
      <c r="E120" s="190">
        <v>6</v>
      </c>
      <c r="F120" s="80"/>
      <c r="G120" s="26"/>
    </row>
    <row r="121" spans="1:7">
      <c r="A121" s="85" t="s">
        <v>2022</v>
      </c>
      <c r="B121" s="90"/>
      <c r="C121" s="191" t="s">
        <v>1795</v>
      </c>
      <c r="D121" s="96" t="s">
        <v>0</v>
      </c>
      <c r="E121" s="192">
        <v>4</v>
      </c>
      <c r="F121" s="80"/>
      <c r="G121" s="26"/>
    </row>
    <row r="122" spans="1:7" ht="27">
      <c r="A122" s="85" t="s">
        <v>2023</v>
      </c>
      <c r="B122" s="90"/>
      <c r="C122" s="191" t="s">
        <v>1896</v>
      </c>
      <c r="D122" s="193" t="s">
        <v>0</v>
      </c>
      <c r="E122" s="187">
        <v>2</v>
      </c>
      <c r="F122" s="80"/>
      <c r="G122" s="26"/>
    </row>
    <row r="123" spans="1:7" ht="27">
      <c r="A123" s="85" t="s">
        <v>2024</v>
      </c>
      <c r="B123" s="90"/>
      <c r="C123" s="191" t="s">
        <v>1897</v>
      </c>
      <c r="D123" s="193" t="s">
        <v>0</v>
      </c>
      <c r="E123" s="187">
        <v>1</v>
      </c>
      <c r="F123" s="80"/>
      <c r="G123" s="26"/>
    </row>
    <row r="124" spans="1:7" ht="27">
      <c r="A124" s="85" t="s">
        <v>2025</v>
      </c>
      <c r="B124" s="90"/>
      <c r="C124" s="191" t="s">
        <v>1898</v>
      </c>
      <c r="D124" s="193" t="s">
        <v>0</v>
      </c>
      <c r="E124" s="187">
        <v>3</v>
      </c>
      <c r="F124" s="80"/>
      <c r="G124" s="26"/>
    </row>
    <row r="125" spans="1:7" ht="27">
      <c r="A125" s="85" t="s">
        <v>2026</v>
      </c>
      <c r="B125" s="90"/>
      <c r="C125" s="191" t="s">
        <v>1899</v>
      </c>
      <c r="D125" s="193" t="s">
        <v>0</v>
      </c>
      <c r="E125" s="187">
        <v>1</v>
      </c>
      <c r="F125" s="80"/>
      <c r="G125" s="26"/>
    </row>
    <row r="126" spans="1:7">
      <c r="A126" s="85" t="s">
        <v>2027</v>
      </c>
      <c r="B126" s="90"/>
      <c r="C126" s="191" t="s">
        <v>1900</v>
      </c>
      <c r="D126" s="193" t="s">
        <v>0</v>
      </c>
      <c r="E126" s="187">
        <v>1</v>
      </c>
      <c r="F126" s="80"/>
      <c r="G126" s="26"/>
    </row>
    <row r="127" spans="1:7" ht="25.5">
      <c r="A127" s="85" t="s">
        <v>2028</v>
      </c>
      <c r="B127" s="90"/>
      <c r="C127" s="194" t="s">
        <v>1901</v>
      </c>
      <c r="D127" s="187" t="s">
        <v>1</v>
      </c>
      <c r="E127" s="190">
        <v>6</v>
      </c>
      <c r="F127" s="80"/>
      <c r="G127" s="26"/>
    </row>
    <row r="128" spans="1:7">
      <c r="A128" s="85"/>
      <c r="B128" s="116"/>
      <c r="C128" s="210" t="s">
        <v>36</v>
      </c>
      <c r="D128" s="187"/>
      <c r="E128" s="190"/>
      <c r="F128" s="80"/>
      <c r="G128" s="26"/>
    </row>
    <row r="129" spans="1:7">
      <c r="A129" s="87" t="s">
        <v>66</v>
      </c>
      <c r="B129" s="99"/>
      <c r="C129" s="165" t="s">
        <v>1796</v>
      </c>
      <c r="D129" s="3"/>
      <c r="E129" s="80"/>
      <c r="F129" s="80"/>
      <c r="G129" s="26"/>
    </row>
    <row r="130" spans="1:7" ht="51">
      <c r="A130" s="85" t="s">
        <v>2029</v>
      </c>
      <c r="B130" s="90"/>
      <c r="C130" s="178" t="s">
        <v>1902</v>
      </c>
      <c r="D130" s="182" t="s">
        <v>1205</v>
      </c>
      <c r="E130" s="222">
        <v>1</v>
      </c>
      <c r="F130" s="80"/>
      <c r="G130" s="26"/>
    </row>
    <row r="131" spans="1:7">
      <c r="A131" s="85" t="s">
        <v>2030</v>
      </c>
      <c r="B131" s="90"/>
      <c r="C131" s="178" t="s">
        <v>1797</v>
      </c>
      <c r="D131" s="96" t="s">
        <v>1205</v>
      </c>
      <c r="E131" s="222">
        <v>1</v>
      </c>
      <c r="F131" s="80"/>
      <c r="G131" s="26"/>
    </row>
    <row r="132" spans="1:7" ht="25.5">
      <c r="A132" s="85" t="s">
        <v>2031</v>
      </c>
      <c r="B132" s="90"/>
      <c r="C132" s="178" t="s">
        <v>1903</v>
      </c>
      <c r="D132" s="96" t="s">
        <v>1205</v>
      </c>
      <c r="E132" s="222">
        <v>1</v>
      </c>
      <c r="F132" s="80"/>
      <c r="G132" s="26"/>
    </row>
    <row r="133" spans="1:7" ht="38.25">
      <c r="A133" s="85" t="s">
        <v>2032</v>
      </c>
      <c r="B133" s="90"/>
      <c r="C133" s="178" t="s">
        <v>1904</v>
      </c>
      <c r="D133" s="96" t="s">
        <v>1205</v>
      </c>
      <c r="E133" s="222">
        <v>1</v>
      </c>
      <c r="F133" s="80"/>
      <c r="G133" s="26"/>
    </row>
    <row r="134" spans="1:7">
      <c r="A134" s="85" t="s">
        <v>2033</v>
      </c>
      <c r="B134" s="90"/>
      <c r="C134" s="178" t="s">
        <v>1798</v>
      </c>
      <c r="D134" s="96" t="s">
        <v>1205</v>
      </c>
      <c r="E134" s="222">
        <v>1</v>
      </c>
      <c r="F134" s="80"/>
      <c r="G134" s="26"/>
    </row>
    <row r="135" spans="1:7" ht="78">
      <c r="A135" s="85" t="s">
        <v>2034</v>
      </c>
      <c r="B135" s="90"/>
      <c r="C135" s="178" t="s">
        <v>1905</v>
      </c>
      <c r="D135" s="182" t="s">
        <v>1205</v>
      </c>
      <c r="E135" s="222">
        <v>1</v>
      </c>
      <c r="F135" s="80"/>
      <c r="G135" s="26"/>
    </row>
    <row r="136" spans="1:7" ht="39.75">
      <c r="A136" s="85" t="s">
        <v>2035</v>
      </c>
      <c r="B136" s="90"/>
      <c r="C136" s="178" t="s">
        <v>1906</v>
      </c>
      <c r="D136" s="182" t="s">
        <v>1205</v>
      </c>
      <c r="E136" s="222">
        <v>1</v>
      </c>
      <c r="F136" s="80"/>
      <c r="G136" s="26"/>
    </row>
    <row r="137" spans="1:7" ht="39.75">
      <c r="A137" s="85" t="s">
        <v>2036</v>
      </c>
      <c r="B137" s="90"/>
      <c r="C137" s="178" t="s">
        <v>1879</v>
      </c>
      <c r="D137" s="182" t="s">
        <v>1205</v>
      </c>
      <c r="E137" s="222">
        <v>1</v>
      </c>
      <c r="F137" s="80"/>
      <c r="G137" s="26"/>
    </row>
    <row r="138" spans="1:7" ht="51">
      <c r="A138" s="85" t="s">
        <v>2037</v>
      </c>
      <c r="B138" s="90"/>
      <c r="C138" s="178" t="s">
        <v>1907</v>
      </c>
      <c r="D138" s="182" t="s">
        <v>1205</v>
      </c>
      <c r="E138" s="222">
        <v>1</v>
      </c>
      <c r="F138" s="80"/>
      <c r="G138" s="26"/>
    </row>
    <row r="139" spans="1:7" ht="25.5">
      <c r="A139" s="85" t="s">
        <v>2038</v>
      </c>
      <c r="B139" s="90"/>
      <c r="C139" s="178" t="s">
        <v>1908</v>
      </c>
      <c r="D139" s="182" t="s">
        <v>129</v>
      </c>
      <c r="E139" s="222">
        <v>1</v>
      </c>
      <c r="F139" s="80"/>
      <c r="G139" s="26"/>
    </row>
    <row r="140" spans="1:7" ht="25.5">
      <c r="A140" s="85" t="s">
        <v>2039</v>
      </c>
      <c r="B140" s="90"/>
      <c r="C140" s="178" t="s">
        <v>1909</v>
      </c>
      <c r="D140" s="182" t="s">
        <v>129</v>
      </c>
      <c r="E140" s="222">
        <v>1</v>
      </c>
      <c r="F140" s="80"/>
      <c r="G140" s="26"/>
    </row>
    <row r="141" spans="1:7" ht="39.75">
      <c r="A141" s="85" t="s">
        <v>2040</v>
      </c>
      <c r="B141" s="90"/>
      <c r="C141" s="178" t="s">
        <v>1910</v>
      </c>
      <c r="D141" s="182" t="s">
        <v>129</v>
      </c>
      <c r="E141" s="222">
        <v>1</v>
      </c>
      <c r="F141" s="80"/>
      <c r="G141" s="26"/>
    </row>
    <row r="142" spans="1:7" ht="76.5">
      <c r="A142" s="85" t="s">
        <v>2041</v>
      </c>
      <c r="B142" s="90"/>
      <c r="C142" s="178" t="s">
        <v>1880</v>
      </c>
      <c r="D142" s="182" t="s">
        <v>1205</v>
      </c>
      <c r="E142" s="222">
        <v>2</v>
      </c>
      <c r="F142" s="80"/>
      <c r="G142" s="26"/>
    </row>
    <row r="143" spans="1:7" ht="51">
      <c r="A143" s="85" t="s">
        <v>2042</v>
      </c>
      <c r="B143" s="90"/>
      <c r="C143" s="178" t="s">
        <v>1911</v>
      </c>
      <c r="D143" s="182" t="s">
        <v>1205</v>
      </c>
      <c r="E143" s="222">
        <v>1</v>
      </c>
      <c r="F143" s="80"/>
      <c r="G143" s="26"/>
    </row>
    <row r="144" spans="1:7">
      <c r="A144" s="85" t="s">
        <v>1825</v>
      </c>
      <c r="B144" s="90"/>
      <c r="C144" s="178" t="s">
        <v>1912</v>
      </c>
      <c r="D144" s="182" t="s">
        <v>129</v>
      </c>
      <c r="E144" s="222">
        <v>2</v>
      </c>
      <c r="F144" s="80"/>
      <c r="G144" s="26"/>
    </row>
    <row r="145" spans="1:7" ht="25.5">
      <c r="A145" s="85" t="s">
        <v>2043</v>
      </c>
      <c r="B145" s="90"/>
      <c r="C145" s="178" t="s">
        <v>1913</v>
      </c>
      <c r="D145" s="96" t="s">
        <v>1205</v>
      </c>
      <c r="E145" s="222">
        <v>1</v>
      </c>
      <c r="F145" s="80"/>
      <c r="G145" s="26"/>
    </row>
    <row r="146" spans="1:7" ht="51">
      <c r="A146" s="85" t="s">
        <v>2044</v>
      </c>
      <c r="B146" s="90"/>
      <c r="C146" s="178" t="s">
        <v>1799</v>
      </c>
      <c r="D146" s="96" t="s">
        <v>1205</v>
      </c>
      <c r="E146" s="222">
        <v>1</v>
      </c>
      <c r="F146" s="80"/>
      <c r="G146" s="26"/>
    </row>
    <row r="147" spans="1:7" ht="51">
      <c r="A147" s="85" t="s">
        <v>2045</v>
      </c>
      <c r="B147" s="90"/>
      <c r="C147" s="178" t="s">
        <v>1800</v>
      </c>
      <c r="D147" s="96" t="s">
        <v>1205</v>
      </c>
      <c r="E147" s="222">
        <v>1</v>
      </c>
      <c r="F147" s="80"/>
      <c r="G147" s="26"/>
    </row>
    <row r="148" spans="1:7" ht="38.25">
      <c r="A148" s="85" t="s">
        <v>2046</v>
      </c>
      <c r="B148" s="90"/>
      <c r="C148" s="178" t="s">
        <v>1801</v>
      </c>
      <c r="D148" s="96" t="s">
        <v>1205</v>
      </c>
      <c r="E148" s="222">
        <v>13</v>
      </c>
      <c r="F148" s="80"/>
      <c r="G148" s="26"/>
    </row>
    <row r="149" spans="1:7" ht="25.5">
      <c r="A149" s="85" t="s">
        <v>2047</v>
      </c>
      <c r="B149" s="90"/>
      <c r="C149" s="178" t="s">
        <v>1802</v>
      </c>
      <c r="D149" s="96" t="s">
        <v>129</v>
      </c>
      <c r="E149" s="222">
        <v>13</v>
      </c>
      <c r="F149" s="80"/>
      <c r="G149" s="26"/>
    </row>
    <row r="150" spans="1:7" ht="25.5">
      <c r="A150" s="85" t="s">
        <v>2048</v>
      </c>
      <c r="B150" s="90"/>
      <c r="C150" s="178" t="s">
        <v>1914</v>
      </c>
      <c r="D150" s="96" t="s">
        <v>129</v>
      </c>
      <c r="E150" s="222">
        <v>13</v>
      </c>
      <c r="F150" s="80"/>
      <c r="G150" s="26"/>
    </row>
    <row r="151" spans="1:7" ht="25.5">
      <c r="A151" s="85" t="s">
        <v>2049</v>
      </c>
      <c r="B151" s="90"/>
      <c r="C151" s="178" t="s">
        <v>1740</v>
      </c>
      <c r="D151" s="182" t="s">
        <v>1205</v>
      </c>
      <c r="E151" s="182">
        <v>1</v>
      </c>
      <c r="F151" s="80"/>
      <c r="G151" s="26"/>
    </row>
    <row r="152" spans="1:7" ht="25.5">
      <c r="A152" s="85" t="s">
        <v>2050</v>
      </c>
      <c r="B152" s="90"/>
      <c r="C152" s="178" t="s">
        <v>1740</v>
      </c>
      <c r="D152" s="182" t="s">
        <v>1205</v>
      </c>
      <c r="E152" s="182">
        <v>1</v>
      </c>
      <c r="F152" s="80"/>
      <c r="G152" s="26"/>
    </row>
    <row r="153" spans="1:7" ht="25.5">
      <c r="A153" s="85" t="s">
        <v>2051</v>
      </c>
      <c r="B153" s="90"/>
      <c r="C153" s="78" t="s">
        <v>1741</v>
      </c>
      <c r="D153" s="96" t="s">
        <v>1205</v>
      </c>
      <c r="E153" s="182">
        <v>1</v>
      </c>
      <c r="F153" s="80"/>
      <c r="G153" s="26"/>
    </row>
    <row r="154" spans="1:7" ht="25.5">
      <c r="A154" s="85" t="s">
        <v>2052</v>
      </c>
      <c r="B154" s="90"/>
      <c r="C154" s="78" t="s">
        <v>1742</v>
      </c>
      <c r="D154" s="96" t="s">
        <v>1205</v>
      </c>
      <c r="E154" s="182">
        <v>1</v>
      </c>
      <c r="F154" s="80"/>
      <c r="G154" s="26"/>
    </row>
    <row r="155" spans="1:7" ht="25.5">
      <c r="A155" s="85" t="s">
        <v>2053</v>
      </c>
      <c r="B155" s="90"/>
      <c r="C155" s="78" t="s">
        <v>1803</v>
      </c>
      <c r="D155" s="96" t="s">
        <v>1205</v>
      </c>
      <c r="E155" s="182">
        <v>2</v>
      </c>
      <c r="F155" s="80"/>
      <c r="G155" s="26"/>
    </row>
    <row r="156" spans="1:7" ht="38.25">
      <c r="A156" s="85" t="s">
        <v>2054</v>
      </c>
      <c r="B156" s="90"/>
      <c r="C156" s="78" t="s">
        <v>1915</v>
      </c>
      <c r="D156" s="96" t="s">
        <v>1205</v>
      </c>
      <c r="E156" s="182">
        <v>2</v>
      </c>
      <c r="F156" s="80"/>
      <c r="G156" s="26"/>
    </row>
    <row r="157" spans="1:7" ht="25.5">
      <c r="A157" s="85" t="s">
        <v>2055</v>
      </c>
      <c r="B157" s="90"/>
      <c r="C157" s="78" t="s">
        <v>1916</v>
      </c>
      <c r="D157" s="96" t="s">
        <v>129</v>
      </c>
      <c r="E157" s="182">
        <v>1</v>
      </c>
      <c r="F157" s="80"/>
      <c r="G157" s="26"/>
    </row>
    <row r="158" spans="1:7">
      <c r="A158" s="85" t="s">
        <v>2056</v>
      </c>
      <c r="B158" s="90"/>
      <c r="C158" s="224" t="s">
        <v>1917</v>
      </c>
      <c r="D158" s="182" t="s">
        <v>129</v>
      </c>
      <c r="E158" s="222">
        <v>9</v>
      </c>
      <c r="F158" s="80"/>
      <c r="G158" s="26"/>
    </row>
    <row r="159" spans="1:7">
      <c r="A159" s="85" t="s">
        <v>2057</v>
      </c>
      <c r="B159" s="90"/>
      <c r="C159" s="178" t="s">
        <v>1804</v>
      </c>
      <c r="D159" s="182" t="s">
        <v>129</v>
      </c>
      <c r="E159" s="222">
        <v>2</v>
      </c>
      <c r="F159" s="80"/>
      <c r="G159" s="26"/>
    </row>
    <row r="160" spans="1:7">
      <c r="A160" s="85" t="s">
        <v>2058</v>
      </c>
      <c r="B160" s="90"/>
      <c r="C160" s="178" t="s">
        <v>1918</v>
      </c>
      <c r="D160" s="182" t="s">
        <v>129</v>
      </c>
      <c r="E160" s="222">
        <v>1</v>
      </c>
      <c r="F160" s="80"/>
      <c r="G160" s="26"/>
    </row>
    <row r="161" spans="1:7">
      <c r="A161" s="85" t="s">
        <v>2059</v>
      </c>
      <c r="B161" s="90"/>
      <c r="C161" s="178" t="s">
        <v>1919</v>
      </c>
      <c r="D161" s="182" t="s">
        <v>129</v>
      </c>
      <c r="E161" s="222">
        <v>1</v>
      </c>
      <c r="F161" s="80"/>
      <c r="G161" s="26"/>
    </row>
    <row r="162" spans="1:7" ht="25.5">
      <c r="A162" s="85" t="s">
        <v>2060</v>
      </c>
      <c r="B162" s="90"/>
      <c r="C162" s="178" t="s">
        <v>1920</v>
      </c>
      <c r="D162" s="182" t="s">
        <v>129</v>
      </c>
      <c r="E162" s="222">
        <v>1</v>
      </c>
      <c r="F162" s="80"/>
      <c r="G162" s="26"/>
    </row>
    <row r="163" spans="1:7" ht="25.5">
      <c r="A163" s="85" t="s">
        <v>2061</v>
      </c>
      <c r="B163" s="90"/>
      <c r="C163" s="178" t="s">
        <v>1921</v>
      </c>
      <c r="D163" s="182" t="s">
        <v>129</v>
      </c>
      <c r="E163" s="222">
        <v>2</v>
      </c>
      <c r="F163" s="80"/>
      <c r="G163" s="26"/>
    </row>
    <row r="164" spans="1:7">
      <c r="A164" s="85" t="s">
        <v>2062</v>
      </c>
      <c r="B164" s="90"/>
      <c r="C164" s="178" t="s">
        <v>1805</v>
      </c>
      <c r="D164" s="182" t="s">
        <v>129</v>
      </c>
      <c r="E164" s="222">
        <v>2</v>
      </c>
      <c r="F164" s="80"/>
      <c r="G164" s="26"/>
    </row>
    <row r="165" spans="1:7">
      <c r="A165" s="85" t="s">
        <v>2063</v>
      </c>
      <c r="B165" s="90"/>
      <c r="C165" s="178" t="s">
        <v>1806</v>
      </c>
      <c r="D165" s="182" t="s">
        <v>129</v>
      </c>
      <c r="E165" s="222">
        <v>1</v>
      </c>
      <c r="F165" s="80"/>
      <c r="G165" s="26"/>
    </row>
    <row r="166" spans="1:7">
      <c r="A166" s="85" t="s">
        <v>2064</v>
      </c>
      <c r="B166" s="90"/>
      <c r="C166" s="178" t="s">
        <v>1807</v>
      </c>
      <c r="D166" s="182" t="s">
        <v>129</v>
      </c>
      <c r="E166" s="222">
        <v>1</v>
      </c>
      <c r="F166" s="80"/>
      <c r="G166" s="26"/>
    </row>
    <row r="167" spans="1:7">
      <c r="A167" s="85" t="s">
        <v>2065</v>
      </c>
      <c r="B167" s="90"/>
      <c r="C167" s="178" t="s">
        <v>1922</v>
      </c>
      <c r="D167" s="182" t="s">
        <v>129</v>
      </c>
      <c r="E167" s="222">
        <v>1</v>
      </c>
      <c r="F167" s="80"/>
      <c r="G167" s="26"/>
    </row>
    <row r="168" spans="1:7">
      <c r="A168" s="85" t="s">
        <v>2066</v>
      </c>
      <c r="B168" s="90"/>
      <c r="C168" s="178" t="s">
        <v>1923</v>
      </c>
      <c r="D168" s="182" t="s">
        <v>129</v>
      </c>
      <c r="E168" s="222">
        <v>1</v>
      </c>
      <c r="F168" s="80"/>
      <c r="G168" s="26"/>
    </row>
    <row r="169" spans="1:7">
      <c r="A169" s="85" t="s">
        <v>2067</v>
      </c>
      <c r="B169" s="90"/>
      <c r="C169" s="178" t="s">
        <v>1924</v>
      </c>
      <c r="D169" s="182" t="s">
        <v>129</v>
      </c>
      <c r="E169" s="166">
        <v>3</v>
      </c>
      <c r="F169" s="80"/>
      <c r="G169" s="26"/>
    </row>
    <row r="170" spans="1:7" ht="25.5">
      <c r="A170" s="85" t="s">
        <v>2068</v>
      </c>
      <c r="B170" s="90"/>
      <c r="C170" s="78" t="s">
        <v>1808</v>
      </c>
      <c r="D170" s="182" t="s">
        <v>1205</v>
      </c>
      <c r="E170" s="222">
        <v>18</v>
      </c>
      <c r="F170" s="80"/>
      <c r="G170" s="26"/>
    </row>
    <row r="171" spans="1:7">
      <c r="A171" s="85" t="s">
        <v>2069</v>
      </c>
      <c r="B171" s="90"/>
      <c r="C171" s="78" t="s">
        <v>1809</v>
      </c>
      <c r="D171" s="96" t="s">
        <v>129</v>
      </c>
      <c r="E171" s="222">
        <v>5</v>
      </c>
      <c r="F171" s="80"/>
      <c r="G171" s="26"/>
    </row>
    <row r="172" spans="1:7" ht="27">
      <c r="A172" s="85" t="s">
        <v>2070</v>
      </c>
      <c r="B172" s="90"/>
      <c r="C172" s="178" t="s">
        <v>1953</v>
      </c>
      <c r="D172" s="182" t="s">
        <v>1205</v>
      </c>
      <c r="E172" s="222">
        <v>17</v>
      </c>
      <c r="F172" s="80"/>
      <c r="G172" s="26"/>
    </row>
    <row r="173" spans="1:7">
      <c r="A173" s="85" t="s">
        <v>2071</v>
      </c>
      <c r="B173" s="90"/>
      <c r="C173" s="101" t="s">
        <v>1925</v>
      </c>
      <c r="D173" s="182" t="s">
        <v>129</v>
      </c>
      <c r="E173" s="222">
        <v>10</v>
      </c>
      <c r="F173" s="80"/>
      <c r="G173" s="26"/>
    </row>
    <row r="174" spans="1:7">
      <c r="A174" s="85" t="s">
        <v>2072</v>
      </c>
      <c r="B174" s="90"/>
      <c r="C174" s="101" t="s">
        <v>1926</v>
      </c>
      <c r="D174" s="182" t="s">
        <v>129</v>
      </c>
      <c r="E174" s="222">
        <v>10</v>
      </c>
      <c r="F174" s="80"/>
      <c r="G174" s="26"/>
    </row>
    <row r="175" spans="1:7">
      <c r="A175" s="85" t="s">
        <v>2073</v>
      </c>
      <c r="B175" s="90"/>
      <c r="C175" s="101" t="s">
        <v>1927</v>
      </c>
      <c r="D175" s="182" t="s">
        <v>129</v>
      </c>
      <c r="E175" s="222">
        <v>12</v>
      </c>
      <c r="F175" s="80"/>
      <c r="G175" s="26"/>
    </row>
    <row r="176" spans="1:7">
      <c r="A176" s="85" t="s">
        <v>2074</v>
      </c>
      <c r="B176" s="90"/>
      <c r="C176" s="101" t="s">
        <v>1928</v>
      </c>
      <c r="D176" s="182" t="s">
        <v>129</v>
      </c>
      <c r="E176" s="222">
        <v>1</v>
      </c>
      <c r="F176" s="80"/>
      <c r="G176" s="26"/>
    </row>
    <row r="177" spans="1:7">
      <c r="A177" s="85" t="s">
        <v>2075</v>
      </c>
      <c r="B177" s="90"/>
      <c r="C177" s="101" t="s">
        <v>1929</v>
      </c>
      <c r="D177" s="182" t="s">
        <v>129</v>
      </c>
      <c r="E177" s="222">
        <v>3</v>
      </c>
      <c r="F177" s="80"/>
      <c r="G177" s="26"/>
    </row>
    <row r="178" spans="1:7" ht="25.5">
      <c r="A178" s="85" t="s">
        <v>2076</v>
      </c>
      <c r="B178" s="90"/>
      <c r="C178" s="78" t="s">
        <v>1930</v>
      </c>
      <c r="D178" s="96" t="s">
        <v>1</v>
      </c>
      <c r="E178" s="197">
        <v>7</v>
      </c>
      <c r="F178" s="80"/>
      <c r="G178" s="26"/>
    </row>
    <row r="179" spans="1:7" ht="25.5">
      <c r="A179" s="85" t="s">
        <v>2077</v>
      </c>
      <c r="B179" s="90"/>
      <c r="C179" s="78" t="s">
        <v>1931</v>
      </c>
      <c r="D179" s="96" t="s">
        <v>1</v>
      </c>
      <c r="E179" s="228">
        <v>38</v>
      </c>
      <c r="F179" s="80"/>
      <c r="G179" s="26"/>
    </row>
    <row r="180" spans="1:7">
      <c r="A180" s="85" t="s">
        <v>2078</v>
      </c>
      <c r="B180" s="90"/>
      <c r="C180" s="101" t="s">
        <v>1810</v>
      </c>
      <c r="D180" s="182" t="s">
        <v>1</v>
      </c>
      <c r="E180" s="229">
        <v>1</v>
      </c>
      <c r="F180" s="80"/>
      <c r="G180" s="26"/>
    </row>
    <row r="181" spans="1:7">
      <c r="A181" s="85" t="s">
        <v>2079</v>
      </c>
      <c r="B181" s="90"/>
      <c r="C181" s="181" t="s">
        <v>1700</v>
      </c>
      <c r="D181" s="182" t="s">
        <v>1</v>
      </c>
      <c r="E181" s="229">
        <v>10</v>
      </c>
      <c r="F181" s="80"/>
      <c r="G181" s="26"/>
    </row>
    <row r="182" spans="1:7">
      <c r="A182" s="85" t="s">
        <v>2080</v>
      </c>
      <c r="B182" s="90"/>
      <c r="C182" s="101" t="s">
        <v>1701</v>
      </c>
      <c r="D182" s="182" t="s">
        <v>1</v>
      </c>
      <c r="E182" s="229">
        <v>13</v>
      </c>
      <c r="F182" s="80"/>
      <c r="G182" s="26"/>
    </row>
    <row r="183" spans="1:7">
      <c r="A183" s="85" t="s">
        <v>2081</v>
      </c>
      <c r="B183" s="90"/>
      <c r="C183" s="101" t="s">
        <v>1746</v>
      </c>
      <c r="D183" s="182" t="s">
        <v>1</v>
      </c>
      <c r="E183" s="229">
        <v>34</v>
      </c>
      <c r="F183" s="80"/>
      <c r="G183" s="26"/>
    </row>
    <row r="184" spans="1:7">
      <c r="A184" s="85" t="s">
        <v>2082</v>
      </c>
      <c r="B184" s="90"/>
      <c r="C184" s="101" t="s">
        <v>1811</v>
      </c>
      <c r="D184" s="182" t="s">
        <v>1205</v>
      </c>
      <c r="E184" s="182">
        <v>1</v>
      </c>
      <c r="F184" s="80"/>
      <c r="G184" s="26"/>
    </row>
    <row r="185" spans="1:7" ht="38.25">
      <c r="A185" s="85" t="s">
        <v>2083</v>
      </c>
      <c r="B185" s="90"/>
      <c r="C185" s="178" t="s">
        <v>1932</v>
      </c>
      <c r="D185" s="96" t="s">
        <v>1758</v>
      </c>
      <c r="E185" s="221">
        <v>34</v>
      </c>
      <c r="F185" s="80"/>
      <c r="G185" s="26"/>
    </row>
    <row r="186" spans="1:7" ht="38.25">
      <c r="A186" s="85" t="s">
        <v>2084</v>
      </c>
      <c r="B186" s="90"/>
      <c r="C186" s="178" t="s">
        <v>1933</v>
      </c>
      <c r="D186" s="96" t="s">
        <v>1758</v>
      </c>
      <c r="E186" s="221">
        <v>7</v>
      </c>
      <c r="F186" s="80"/>
      <c r="G186" s="26"/>
    </row>
    <row r="187" spans="1:7" ht="38.25">
      <c r="A187" s="85" t="s">
        <v>2085</v>
      </c>
      <c r="B187" s="90"/>
      <c r="C187" s="178" t="s">
        <v>1934</v>
      </c>
      <c r="D187" s="96" t="s">
        <v>1758</v>
      </c>
      <c r="E187" s="221">
        <v>5</v>
      </c>
      <c r="F187" s="80"/>
      <c r="G187" s="26"/>
    </row>
    <row r="188" spans="1:7" ht="25.5">
      <c r="A188" s="85" t="s">
        <v>2086</v>
      </c>
      <c r="B188" s="90"/>
      <c r="C188" s="178" t="s">
        <v>1935</v>
      </c>
      <c r="D188" s="96" t="s">
        <v>1758</v>
      </c>
      <c r="E188" s="221">
        <v>46</v>
      </c>
      <c r="F188" s="80"/>
      <c r="G188" s="26"/>
    </row>
    <row r="189" spans="1:7" ht="25.5">
      <c r="A189" s="85" t="s">
        <v>2087</v>
      </c>
      <c r="B189" s="90"/>
      <c r="C189" s="178" t="s">
        <v>1936</v>
      </c>
      <c r="D189" s="96" t="s">
        <v>1758</v>
      </c>
      <c r="E189" s="221">
        <v>10</v>
      </c>
      <c r="F189" s="80"/>
      <c r="G189" s="26"/>
    </row>
    <row r="190" spans="1:7">
      <c r="A190" s="85" t="s">
        <v>2088</v>
      </c>
      <c r="B190" s="90"/>
      <c r="C190" s="78" t="s">
        <v>1812</v>
      </c>
      <c r="D190" s="96" t="s">
        <v>129</v>
      </c>
      <c r="E190" s="182">
        <v>1</v>
      </c>
      <c r="F190" s="80"/>
      <c r="G190" s="26"/>
    </row>
    <row r="191" spans="1:7" ht="25.5">
      <c r="A191" s="85" t="s">
        <v>2089</v>
      </c>
      <c r="B191" s="90"/>
      <c r="C191" s="78" t="s">
        <v>1813</v>
      </c>
      <c r="D191" s="96" t="s">
        <v>129</v>
      </c>
      <c r="E191" s="182">
        <v>1</v>
      </c>
      <c r="F191" s="80"/>
      <c r="G191" s="26"/>
    </row>
    <row r="192" spans="1:7" ht="25.5">
      <c r="A192" s="85" t="s">
        <v>2090</v>
      </c>
      <c r="B192" s="90"/>
      <c r="C192" s="78" t="s">
        <v>1814</v>
      </c>
      <c r="D192" s="96" t="s">
        <v>129</v>
      </c>
      <c r="E192" s="182">
        <v>1</v>
      </c>
      <c r="F192" s="80"/>
      <c r="G192" s="26"/>
    </row>
    <row r="193" spans="1:7">
      <c r="A193" s="85" t="s">
        <v>2091</v>
      </c>
      <c r="B193" s="90"/>
      <c r="C193" s="78" t="s">
        <v>1815</v>
      </c>
      <c r="D193" s="96" t="s">
        <v>129</v>
      </c>
      <c r="E193" s="182">
        <v>1</v>
      </c>
      <c r="F193" s="80"/>
      <c r="G193" s="26"/>
    </row>
    <row r="194" spans="1:7">
      <c r="A194" s="85" t="s">
        <v>2092</v>
      </c>
      <c r="B194" s="90"/>
      <c r="C194" s="224" t="s">
        <v>1816</v>
      </c>
      <c r="D194" s="192" t="s">
        <v>1205</v>
      </c>
      <c r="E194" s="222">
        <v>1</v>
      </c>
      <c r="F194" s="80"/>
      <c r="G194" s="26"/>
    </row>
    <row r="195" spans="1:7">
      <c r="A195" s="85" t="s">
        <v>2093</v>
      </c>
      <c r="B195" s="90"/>
      <c r="C195" s="183" t="s">
        <v>1817</v>
      </c>
      <c r="D195" s="182" t="s">
        <v>1205</v>
      </c>
      <c r="E195" s="230">
        <v>1</v>
      </c>
      <c r="F195" s="80"/>
      <c r="G195" s="26"/>
    </row>
    <row r="196" spans="1:7">
      <c r="A196" s="85" t="s">
        <v>2094</v>
      </c>
      <c r="B196" s="90"/>
      <c r="C196" s="183" t="s">
        <v>1818</v>
      </c>
      <c r="D196" s="182" t="s">
        <v>1205</v>
      </c>
      <c r="E196" s="230">
        <v>1</v>
      </c>
      <c r="F196" s="80"/>
      <c r="G196" s="26"/>
    </row>
    <row r="197" spans="1:7" ht="25.5">
      <c r="A197" s="85" t="s">
        <v>2095</v>
      </c>
      <c r="B197" s="90"/>
      <c r="C197" s="183" t="s">
        <v>1819</v>
      </c>
      <c r="D197" s="182" t="s">
        <v>1205</v>
      </c>
      <c r="E197" s="230">
        <v>1</v>
      </c>
      <c r="F197" s="80"/>
      <c r="G197" s="26"/>
    </row>
    <row r="198" spans="1:7" ht="25.5">
      <c r="A198" s="85" t="s">
        <v>2096</v>
      </c>
      <c r="B198" s="90"/>
      <c r="C198" s="195" t="s">
        <v>1820</v>
      </c>
      <c r="D198" s="182" t="s">
        <v>1205</v>
      </c>
      <c r="E198" s="187">
        <v>1</v>
      </c>
      <c r="F198" s="80"/>
      <c r="G198" s="26"/>
    </row>
    <row r="199" spans="1:7" ht="25.5">
      <c r="A199" s="85" t="s">
        <v>2097</v>
      </c>
      <c r="B199" s="90"/>
      <c r="C199" s="195" t="s">
        <v>1821</v>
      </c>
      <c r="D199" s="182" t="s">
        <v>1205</v>
      </c>
      <c r="E199" s="187">
        <v>1</v>
      </c>
      <c r="F199" s="80"/>
      <c r="G199" s="26"/>
    </row>
    <row r="200" spans="1:7">
      <c r="A200" s="85" t="s">
        <v>2098</v>
      </c>
      <c r="B200" s="90"/>
      <c r="C200" s="196" t="s">
        <v>1822</v>
      </c>
      <c r="D200" s="186" t="s">
        <v>1823</v>
      </c>
      <c r="E200" s="197">
        <v>2400</v>
      </c>
      <c r="F200" s="80"/>
      <c r="G200" s="26"/>
    </row>
    <row r="201" spans="1:7">
      <c r="A201" s="85" t="s">
        <v>2099</v>
      </c>
      <c r="B201" s="90"/>
      <c r="C201" s="198" t="s">
        <v>1824</v>
      </c>
      <c r="D201" s="192" t="s">
        <v>1205</v>
      </c>
      <c r="E201" s="232">
        <v>1</v>
      </c>
      <c r="F201" s="80"/>
      <c r="G201" s="26"/>
    </row>
    <row r="202" spans="1:7">
      <c r="A202" s="85"/>
      <c r="B202" s="116"/>
      <c r="C202" s="208" t="s">
        <v>36</v>
      </c>
      <c r="D202" s="192"/>
      <c r="E202" s="182"/>
      <c r="F202" s="80"/>
      <c r="G202" s="26"/>
    </row>
    <row r="203" spans="1:7" ht="25.5">
      <c r="A203" s="87" t="s">
        <v>1826</v>
      </c>
      <c r="B203" s="93"/>
      <c r="C203" s="206" t="s">
        <v>1827</v>
      </c>
      <c r="D203" s="43"/>
      <c r="E203" s="80"/>
      <c r="F203" s="80"/>
      <c r="G203" s="26"/>
    </row>
    <row r="204" spans="1:7" ht="51">
      <c r="A204" s="85" t="s">
        <v>2100</v>
      </c>
      <c r="B204" s="90"/>
      <c r="C204" s="78" t="s">
        <v>1828</v>
      </c>
      <c r="D204" s="96" t="s">
        <v>1</v>
      </c>
      <c r="E204" s="197">
        <v>2850</v>
      </c>
      <c r="F204" s="80"/>
      <c r="G204" s="26"/>
    </row>
    <row r="205" spans="1:7" ht="25.5">
      <c r="A205" s="85" t="s">
        <v>2101</v>
      </c>
      <c r="B205" s="90"/>
      <c r="C205" s="78" t="s">
        <v>1829</v>
      </c>
      <c r="D205" s="96" t="s">
        <v>1</v>
      </c>
      <c r="E205" s="197">
        <v>2850</v>
      </c>
      <c r="F205" s="80"/>
      <c r="G205" s="26"/>
    </row>
    <row r="206" spans="1:7" ht="25.5">
      <c r="A206" s="85" t="s">
        <v>2102</v>
      </c>
      <c r="B206" s="90"/>
      <c r="C206" s="78" t="s">
        <v>1830</v>
      </c>
      <c r="D206" s="96" t="s">
        <v>1</v>
      </c>
      <c r="E206" s="197">
        <v>2850</v>
      </c>
      <c r="F206" s="80"/>
      <c r="G206" s="26"/>
    </row>
    <row r="207" spans="1:7" ht="14.25">
      <c r="A207" s="85" t="s">
        <v>2103</v>
      </c>
      <c r="B207" s="90"/>
      <c r="C207" s="78" t="s">
        <v>1831</v>
      </c>
      <c r="D207" s="96" t="s">
        <v>1078</v>
      </c>
      <c r="E207" s="197">
        <v>3120</v>
      </c>
      <c r="F207" s="80"/>
      <c r="G207" s="26"/>
    </row>
    <row r="208" spans="1:7" ht="14.25">
      <c r="A208" s="85" t="s">
        <v>2104</v>
      </c>
      <c r="B208" s="90"/>
      <c r="C208" s="78" t="s">
        <v>1832</v>
      </c>
      <c r="D208" s="96" t="s">
        <v>1078</v>
      </c>
      <c r="E208" s="197">
        <v>3120</v>
      </c>
      <c r="F208" s="80"/>
      <c r="G208" s="26"/>
    </row>
    <row r="209" spans="1:7" ht="25.5">
      <c r="A209" s="85" t="s">
        <v>2105</v>
      </c>
      <c r="B209" s="90"/>
      <c r="C209" s="78" t="s">
        <v>1930</v>
      </c>
      <c r="D209" s="96" t="s">
        <v>1</v>
      </c>
      <c r="E209" s="197">
        <v>2850</v>
      </c>
      <c r="F209" s="80"/>
      <c r="G209" s="26"/>
    </row>
    <row r="210" spans="1:7" ht="25.5">
      <c r="A210" s="85" t="s">
        <v>2106</v>
      </c>
      <c r="B210" s="90"/>
      <c r="C210" s="78" t="s">
        <v>1937</v>
      </c>
      <c r="D210" s="96" t="s">
        <v>1</v>
      </c>
      <c r="E210" s="197">
        <v>7</v>
      </c>
      <c r="F210" s="80"/>
      <c r="G210" s="26"/>
    </row>
    <row r="211" spans="1:7" ht="25.5">
      <c r="A211" s="85" t="s">
        <v>2107</v>
      </c>
      <c r="B211" s="90"/>
      <c r="C211" s="78" t="s">
        <v>1938</v>
      </c>
      <c r="D211" s="96" t="s">
        <v>1205</v>
      </c>
      <c r="E211" s="182">
        <v>2.5</v>
      </c>
      <c r="F211" s="80"/>
      <c r="G211" s="26"/>
    </row>
    <row r="212" spans="1:7">
      <c r="A212" s="85" t="s">
        <v>2108</v>
      </c>
      <c r="B212" s="90"/>
      <c r="C212" s="78" t="s">
        <v>1833</v>
      </c>
      <c r="D212" s="96" t="s">
        <v>1205</v>
      </c>
      <c r="E212" s="182">
        <v>1</v>
      </c>
      <c r="F212" s="80"/>
      <c r="G212" s="26"/>
    </row>
    <row r="213" spans="1:7" ht="51">
      <c r="A213" s="85" t="s">
        <v>2109</v>
      </c>
      <c r="B213" s="90"/>
      <c r="C213" s="78" t="s">
        <v>1939</v>
      </c>
      <c r="D213" s="96" t="s">
        <v>1205</v>
      </c>
      <c r="E213" s="182">
        <v>1</v>
      </c>
      <c r="F213" s="80"/>
      <c r="G213" s="26"/>
    </row>
    <row r="214" spans="1:7">
      <c r="A214" s="85" t="s">
        <v>2110</v>
      </c>
      <c r="B214" s="90"/>
      <c r="C214" s="78" t="s">
        <v>1834</v>
      </c>
      <c r="D214" s="96" t="s">
        <v>1205</v>
      </c>
      <c r="E214" s="182">
        <v>1</v>
      </c>
      <c r="F214" s="80"/>
      <c r="G214" s="26"/>
    </row>
    <row r="215" spans="1:7">
      <c r="A215" s="85" t="s">
        <v>2111</v>
      </c>
      <c r="B215" s="90"/>
      <c r="C215" s="78" t="s">
        <v>1835</v>
      </c>
      <c r="D215" s="96" t="s">
        <v>129</v>
      </c>
      <c r="E215" s="230">
        <v>1</v>
      </c>
      <c r="F215" s="80"/>
      <c r="G215" s="26"/>
    </row>
    <row r="216" spans="1:7" ht="38.25">
      <c r="A216" s="85" t="s">
        <v>2112</v>
      </c>
      <c r="B216" s="90"/>
      <c r="C216" s="78" t="s">
        <v>1836</v>
      </c>
      <c r="D216" s="96" t="s">
        <v>1691</v>
      </c>
      <c r="E216" s="187">
        <v>2</v>
      </c>
      <c r="F216" s="80"/>
      <c r="G216" s="26"/>
    </row>
    <row r="217" spans="1:7" ht="76.5">
      <c r="A217" s="85" t="s">
        <v>2113</v>
      </c>
      <c r="B217" s="90"/>
      <c r="C217" s="78" t="s">
        <v>1940</v>
      </c>
      <c r="D217" s="96" t="s">
        <v>1205</v>
      </c>
      <c r="E217" s="93">
        <v>2</v>
      </c>
      <c r="F217" s="80"/>
      <c r="G217" s="26"/>
    </row>
    <row r="218" spans="1:7" ht="25.5">
      <c r="A218" s="85" t="s">
        <v>2114</v>
      </c>
      <c r="B218" s="90"/>
      <c r="C218" s="78" t="s">
        <v>1837</v>
      </c>
      <c r="D218" s="96" t="s">
        <v>1205</v>
      </c>
      <c r="E218" s="93">
        <v>2</v>
      </c>
      <c r="F218" s="80"/>
      <c r="G218" s="26"/>
    </row>
    <row r="219" spans="1:7" ht="41.25">
      <c r="A219" s="85" t="s">
        <v>2115</v>
      </c>
      <c r="B219" s="90"/>
      <c r="C219" s="78" t="s">
        <v>1941</v>
      </c>
      <c r="D219" s="96" t="s">
        <v>1205</v>
      </c>
      <c r="E219" s="168">
        <v>1</v>
      </c>
      <c r="F219" s="80"/>
      <c r="G219" s="26"/>
    </row>
    <row r="220" spans="1:7" ht="41.25">
      <c r="A220" s="85" t="s">
        <v>2116</v>
      </c>
      <c r="B220" s="90"/>
      <c r="C220" s="78" t="s">
        <v>1942</v>
      </c>
      <c r="D220" s="96" t="s">
        <v>1205</v>
      </c>
      <c r="E220" s="168">
        <v>1</v>
      </c>
      <c r="F220" s="80"/>
      <c r="G220" s="26"/>
    </row>
    <row r="221" spans="1:7" ht="25.5">
      <c r="A221" s="85" t="s">
        <v>2117</v>
      </c>
      <c r="B221" s="90"/>
      <c r="C221" s="78" t="s">
        <v>1943</v>
      </c>
      <c r="D221" s="96" t="s">
        <v>129</v>
      </c>
      <c r="E221" s="168">
        <v>5</v>
      </c>
      <c r="F221" s="80"/>
      <c r="G221" s="26"/>
    </row>
    <row r="222" spans="1:7" ht="38.25">
      <c r="A222" s="85" t="s">
        <v>2118</v>
      </c>
      <c r="B222" s="90"/>
      <c r="C222" s="78" t="s">
        <v>1944</v>
      </c>
      <c r="D222" s="96" t="s">
        <v>1205</v>
      </c>
      <c r="E222" s="182">
        <v>2</v>
      </c>
      <c r="F222" s="80"/>
      <c r="G222" s="26"/>
    </row>
    <row r="223" spans="1:7" ht="25.5">
      <c r="A223" s="85" t="s">
        <v>2119</v>
      </c>
      <c r="B223" s="90"/>
      <c r="C223" s="78" t="s">
        <v>1945</v>
      </c>
      <c r="D223" s="182" t="s">
        <v>129</v>
      </c>
      <c r="E223" s="182">
        <v>2</v>
      </c>
      <c r="F223" s="80"/>
      <c r="G223" s="26"/>
    </row>
    <row r="224" spans="1:7">
      <c r="A224" s="85" t="s">
        <v>2120</v>
      </c>
      <c r="B224" s="90"/>
      <c r="C224" s="233" t="s">
        <v>1946</v>
      </c>
      <c r="D224" s="182" t="s">
        <v>129</v>
      </c>
      <c r="E224" s="230">
        <v>9</v>
      </c>
      <c r="F224" s="80"/>
      <c r="G224" s="26"/>
    </row>
    <row r="225" spans="1:7">
      <c r="A225" s="85" t="s">
        <v>2121</v>
      </c>
      <c r="B225" s="90"/>
      <c r="C225" s="233" t="s">
        <v>1947</v>
      </c>
      <c r="D225" s="182" t="s">
        <v>129</v>
      </c>
      <c r="E225" s="182">
        <v>10</v>
      </c>
      <c r="F225" s="80"/>
      <c r="G225" s="26"/>
    </row>
    <row r="226" spans="1:7">
      <c r="A226" s="85" t="s">
        <v>2122</v>
      </c>
      <c r="B226" s="90"/>
      <c r="C226" s="101" t="s">
        <v>1948</v>
      </c>
      <c r="D226" s="182" t="s">
        <v>129</v>
      </c>
      <c r="E226" s="230">
        <v>2</v>
      </c>
      <c r="F226" s="80"/>
      <c r="G226" s="26"/>
    </row>
    <row r="227" spans="1:7">
      <c r="A227" s="85" t="s">
        <v>2123</v>
      </c>
      <c r="B227" s="90"/>
      <c r="C227" s="101" t="s">
        <v>1949</v>
      </c>
      <c r="D227" s="182" t="s">
        <v>129</v>
      </c>
      <c r="E227" s="230">
        <v>2</v>
      </c>
      <c r="F227" s="80"/>
      <c r="G227" s="26"/>
    </row>
    <row r="228" spans="1:7" ht="25.5">
      <c r="A228" s="85" t="s">
        <v>2124</v>
      </c>
      <c r="B228" s="90"/>
      <c r="C228" s="101" t="s">
        <v>1950</v>
      </c>
      <c r="D228" s="182" t="s">
        <v>129</v>
      </c>
      <c r="E228" s="230">
        <v>1</v>
      </c>
      <c r="F228" s="80"/>
      <c r="G228" s="26"/>
    </row>
    <row r="229" spans="1:7">
      <c r="A229" s="85" t="s">
        <v>2125</v>
      </c>
      <c r="B229" s="90"/>
      <c r="C229" s="101" t="s">
        <v>1951</v>
      </c>
      <c r="D229" s="96" t="s">
        <v>1</v>
      </c>
      <c r="E229" s="231">
        <v>25</v>
      </c>
      <c r="F229" s="80"/>
      <c r="G229" s="26"/>
    </row>
    <row r="230" spans="1:7">
      <c r="A230" s="85"/>
      <c r="B230" s="90"/>
      <c r="C230" s="207" t="s">
        <v>36</v>
      </c>
      <c r="D230" s="96"/>
      <c r="E230" s="231"/>
      <c r="F230" s="80"/>
      <c r="G230" s="26"/>
    </row>
    <row r="231" spans="1:7">
      <c r="A231" s="85"/>
      <c r="B231" s="116"/>
      <c r="C231" s="207" t="s">
        <v>1952</v>
      </c>
      <c r="D231" s="96"/>
      <c r="E231" s="231"/>
      <c r="F231" s="80"/>
      <c r="G231" s="26"/>
    </row>
    <row r="232" spans="1:7">
      <c r="A232" s="4"/>
      <c r="B232" s="4"/>
      <c r="C232" s="4"/>
      <c r="D232" s="4"/>
      <c r="E232" s="4"/>
      <c r="F232" s="4"/>
    </row>
    <row r="233" spans="1:7">
      <c r="A233" s="4"/>
      <c r="B233" s="4"/>
      <c r="C233" s="245" t="s">
        <v>21</v>
      </c>
      <c r="D233" s="245"/>
      <c r="E233" s="245"/>
      <c r="F233" s="245"/>
    </row>
    <row r="234" spans="1:7">
      <c r="A234" s="4"/>
      <c r="B234" s="4"/>
      <c r="C234" s="247" t="s">
        <v>5</v>
      </c>
      <c r="D234" s="247"/>
      <c r="E234" s="247"/>
      <c r="F234" s="247"/>
    </row>
    <row r="235" spans="1:7">
      <c r="A235" s="4"/>
      <c r="B235" s="4"/>
      <c r="C235" s="27"/>
      <c r="D235" s="27"/>
      <c r="E235" s="27"/>
      <c r="F235" s="27"/>
    </row>
    <row r="236" spans="1:7">
      <c r="A236" s="4"/>
      <c r="B236" s="4"/>
      <c r="C236" s="245" t="s">
        <v>22</v>
      </c>
      <c r="D236" s="245"/>
      <c r="E236" s="245"/>
      <c r="F236" s="245"/>
    </row>
    <row r="237" spans="1:7">
      <c r="A237" s="4"/>
      <c r="B237" s="4"/>
      <c r="C237" s="247" t="s">
        <v>5</v>
      </c>
      <c r="D237" s="247"/>
      <c r="E237" s="247"/>
      <c r="F237" s="247"/>
    </row>
    <row r="238" spans="1:7">
      <c r="A238" s="4"/>
      <c r="B238" s="4"/>
      <c r="C238" s="27"/>
      <c r="D238" s="27"/>
      <c r="E238" s="27"/>
      <c r="F238" s="27"/>
    </row>
    <row r="239" spans="1:7">
      <c r="A239" s="4"/>
      <c r="B239" s="4"/>
      <c r="C239" s="50" t="s">
        <v>35</v>
      </c>
      <c r="D239" s="49"/>
      <c r="E239" s="49"/>
      <c r="F239" s="4"/>
    </row>
    <row r="240" spans="1:7">
      <c r="A240" s="2"/>
      <c r="B240" s="2"/>
      <c r="C240" s="1"/>
      <c r="D240" s="1"/>
      <c r="E240" s="1"/>
      <c r="F240" s="1"/>
    </row>
    <row r="241" spans="1:6">
      <c r="A241" s="2"/>
      <c r="B241" s="2"/>
      <c r="C241" s="1" t="s">
        <v>16</v>
      </c>
      <c r="D241" s="1"/>
      <c r="E241" s="1"/>
      <c r="F241" s="1"/>
    </row>
    <row r="242" spans="1:6" ht="33.75" customHeight="1">
      <c r="A242" s="2"/>
      <c r="B242" s="203" t="s">
        <v>765</v>
      </c>
      <c r="C242" s="261" t="s">
        <v>17</v>
      </c>
      <c r="D242" s="261"/>
      <c r="E242" s="261"/>
      <c r="F242" s="261"/>
    </row>
    <row r="243" spans="1:6" ht="34.5" customHeight="1">
      <c r="A243" s="2"/>
      <c r="B243" s="203" t="s">
        <v>766</v>
      </c>
      <c r="C243" s="261" t="s">
        <v>767</v>
      </c>
      <c r="D243" s="261"/>
      <c r="E243" s="261"/>
      <c r="F243" s="261"/>
    </row>
    <row r="244" spans="1:6" ht="25.5">
      <c r="B244" s="204" t="s">
        <v>768</v>
      </c>
      <c r="C244" s="141" t="s">
        <v>769</v>
      </c>
      <c r="D244" s="142"/>
      <c r="E244" s="140"/>
      <c r="F244" s="142"/>
    </row>
  </sheetData>
  <mergeCells count="20">
    <mergeCell ref="A1:L1"/>
    <mergeCell ref="A3:L3"/>
    <mergeCell ref="A4:L4"/>
    <mergeCell ref="A5:L5"/>
    <mergeCell ref="C7:M7"/>
    <mergeCell ref="C8:P8"/>
    <mergeCell ref="C9:K9"/>
    <mergeCell ref="A11:A12"/>
    <mergeCell ref="B11:B12"/>
    <mergeCell ref="C11:C12"/>
    <mergeCell ref="D11:D12"/>
    <mergeCell ref="E11:E12"/>
    <mergeCell ref="F11:F12"/>
    <mergeCell ref="G11:G12"/>
    <mergeCell ref="C243:F243"/>
    <mergeCell ref="C233:F233"/>
    <mergeCell ref="C234:F234"/>
    <mergeCell ref="C236:F236"/>
    <mergeCell ref="C237:F237"/>
    <mergeCell ref="C242:F242"/>
  </mergeCells>
  <pageMargins left="0.70866141732283472" right="0.41" top="0.74803149606299213" bottom="0.74803149606299213" header="0.31496062992125984" footer="0.31496062992125984"/>
  <pageSetup scale="90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</sheetPr>
  <dimension ref="A1:P46"/>
  <sheetViews>
    <sheetView workbookViewId="0">
      <selection activeCell="L20" sqref="L20"/>
    </sheetView>
  </sheetViews>
  <sheetFormatPr defaultRowHeight="12.75"/>
  <cols>
    <col min="1" max="1" width="7.7109375" style="218" customWidth="1"/>
    <col min="2" max="2" width="7.140625" style="218" customWidth="1"/>
    <col min="3" max="3" width="31" style="218" customWidth="1"/>
    <col min="4" max="16384" width="9.140625" style="218"/>
  </cols>
  <sheetData>
    <row r="1" spans="1:16">
      <c r="A1" s="254" t="s">
        <v>2128</v>
      </c>
      <c r="B1" s="254"/>
      <c r="C1" s="254"/>
      <c r="D1" s="254"/>
      <c r="E1" s="254"/>
      <c r="F1" s="254"/>
      <c r="G1" s="254"/>
      <c r="H1" s="254"/>
      <c r="I1" s="254"/>
      <c r="J1" s="162"/>
      <c r="K1" s="162"/>
      <c r="L1" s="162"/>
      <c r="M1" s="162"/>
      <c r="N1" s="162"/>
      <c r="O1" s="162"/>
      <c r="P1" s="162"/>
    </row>
    <row r="2" spans="1:16">
      <c r="A2" s="143"/>
      <c r="B2" s="143"/>
      <c r="C2" s="16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</row>
    <row r="3" spans="1:16">
      <c r="A3" s="256" t="s">
        <v>1199</v>
      </c>
      <c r="B3" s="256"/>
      <c r="C3" s="256"/>
      <c r="D3" s="256"/>
      <c r="E3" s="256"/>
      <c r="F3" s="256"/>
      <c r="G3" s="256"/>
      <c r="H3" s="256"/>
      <c r="I3" s="256"/>
      <c r="J3" s="121"/>
      <c r="K3" s="121"/>
      <c r="L3" s="121"/>
      <c r="M3" s="143"/>
      <c r="N3" s="143"/>
      <c r="O3" s="143"/>
      <c r="P3" s="143"/>
    </row>
    <row r="4" spans="1:16">
      <c r="A4" s="262" t="s">
        <v>1974</v>
      </c>
      <c r="B4" s="262"/>
      <c r="C4" s="262"/>
      <c r="D4" s="262"/>
      <c r="E4" s="262"/>
      <c r="F4" s="262"/>
      <c r="G4" s="262"/>
      <c r="H4" s="262"/>
      <c r="I4" s="262"/>
      <c r="J4" s="241"/>
      <c r="K4" s="241"/>
      <c r="L4" s="241"/>
      <c r="M4" s="143"/>
      <c r="N4" s="143"/>
      <c r="O4" s="143"/>
      <c r="P4" s="143"/>
    </row>
    <row r="5" spans="1:16">
      <c r="A5" s="257" t="s">
        <v>3</v>
      </c>
      <c r="B5" s="257"/>
      <c r="C5" s="257"/>
      <c r="D5" s="257"/>
      <c r="E5" s="257"/>
      <c r="F5" s="257"/>
      <c r="G5" s="257"/>
      <c r="H5" s="257"/>
      <c r="I5" s="257"/>
      <c r="J5" s="242"/>
      <c r="K5" s="242"/>
      <c r="L5" s="242"/>
      <c r="M5" s="143"/>
      <c r="N5" s="143"/>
      <c r="O5" s="143"/>
      <c r="P5" s="143"/>
    </row>
    <row r="6" spans="1:16">
      <c r="A6" s="143"/>
      <c r="B6" s="143"/>
      <c r="C6" s="16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</row>
    <row r="7" spans="1:16">
      <c r="A7" s="86"/>
      <c r="B7" s="86"/>
      <c r="C7" s="243" t="s">
        <v>636</v>
      </c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121"/>
      <c r="O7" s="121"/>
      <c r="P7" s="121"/>
    </row>
    <row r="8" spans="1:16">
      <c r="A8" s="86"/>
      <c r="B8" s="86"/>
      <c r="C8" s="243" t="s">
        <v>637</v>
      </c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</row>
    <row r="9" spans="1:16">
      <c r="A9" s="86"/>
      <c r="B9" s="86"/>
      <c r="C9" s="243" t="s">
        <v>638</v>
      </c>
      <c r="D9" s="243"/>
      <c r="E9" s="243"/>
      <c r="F9" s="243"/>
      <c r="G9" s="243"/>
      <c r="H9" s="243"/>
      <c r="I9" s="243"/>
      <c r="J9" s="243"/>
      <c r="K9" s="243"/>
      <c r="L9" s="86"/>
      <c r="M9" s="86"/>
      <c r="N9" s="122"/>
      <c r="O9" s="122"/>
      <c r="P9" s="86"/>
    </row>
    <row r="10" spans="1:16">
      <c r="A10" s="86"/>
      <c r="B10" s="86"/>
      <c r="C10" s="123" t="s">
        <v>639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</row>
    <row r="11" spans="1:16">
      <c r="A11" s="86"/>
      <c r="B11" s="86"/>
      <c r="C11" s="123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</row>
    <row r="12" spans="1:16" ht="12.75" customHeight="1">
      <c r="A12" s="248" t="s">
        <v>11</v>
      </c>
      <c r="B12" s="249" t="s">
        <v>34</v>
      </c>
      <c r="C12" s="248" t="s">
        <v>12</v>
      </c>
      <c r="D12" s="248" t="s">
        <v>13</v>
      </c>
      <c r="E12" s="248" t="s">
        <v>14</v>
      </c>
      <c r="F12" s="244" t="s">
        <v>19</v>
      </c>
      <c r="G12" s="244" t="s">
        <v>20</v>
      </c>
      <c r="H12" s="86"/>
      <c r="I12" s="86"/>
      <c r="J12" s="86"/>
      <c r="K12" s="86"/>
      <c r="L12" s="86"/>
      <c r="M12" s="86"/>
      <c r="N12" s="86"/>
      <c r="O12" s="86"/>
      <c r="P12" s="86"/>
    </row>
    <row r="13" spans="1:16" ht="24.75" customHeight="1">
      <c r="A13" s="248"/>
      <c r="B13" s="250"/>
      <c r="C13" s="248"/>
      <c r="D13" s="248"/>
      <c r="E13" s="248"/>
      <c r="F13" s="244"/>
      <c r="G13" s="244"/>
      <c r="H13" s="86"/>
      <c r="I13" s="86"/>
      <c r="J13" s="86"/>
      <c r="K13" s="86"/>
      <c r="L13" s="86"/>
      <c r="M13" s="86"/>
      <c r="N13" s="86"/>
      <c r="O13" s="86"/>
      <c r="P13" s="86"/>
    </row>
    <row r="14" spans="1:16" ht="25.5">
      <c r="A14" s="87" t="s">
        <v>67</v>
      </c>
      <c r="B14" s="99"/>
      <c r="C14" s="165" t="s">
        <v>1843</v>
      </c>
      <c r="D14" s="93"/>
      <c r="E14" s="93"/>
      <c r="F14" s="80"/>
      <c r="G14" s="80"/>
    </row>
    <row r="15" spans="1:16" ht="25.5">
      <c r="A15" s="85" t="s">
        <v>1840</v>
      </c>
      <c r="B15" s="90"/>
      <c r="C15" s="178" t="s">
        <v>1955</v>
      </c>
      <c r="D15" s="81" t="s">
        <v>129</v>
      </c>
      <c r="E15" s="81">
        <v>1</v>
      </c>
      <c r="F15" s="80"/>
      <c r="G15" s="80"/>
    </row>
    <row r="16" spans="1:16">
      <c r="A16" s="85" t="s">
        <v>1844</v>
      </c>
      <c r="B16" s="90"/>
      <c r="C16" s="178" t="s">
        <v>1956</v>
      </c>
      <c r="D16" s="81" t="s">
        <v>129</v>
      </c>
      <c r="E16" s="81">
        <v>2</v>
      </c>
      <c r="F16" s="80"/>
      <c r="G16" s="80"/>
    </row>
    <row r="17" spans="1:7">
      <c r="A17" s="85" t="s">
        <v>1845</v>
      </c>
      <c r="B17" s="90"/>
      <c r="C17" s="178" t="s">
        <v>1957</v>
      </c>
      <c r="D17" s="81" t="s">
        <v>129</v>
      </c>
      <c r="E17" s="81">
        <v>1</v>
      </c>
      <c r="F17" s="80"/>
      <c r="G17" s="80"/>
    </row>
    <row r="18" spans="1:7">
      <c r="A18" s="85" t="s">
        <v>1846</v>
      </c>
      <c r="B18" s="90"/>
      <c r="C18" s="234" t="s">
        <v>1958</v>
      </c>
      <c r="D18" s="81" t="s">
        <v>129</v>
      </c>
      <c r="E18" s="81">
        <v>0</v>
      </c>
      <c r="F18" s="80"/>
      <c r="G18" s="80"/>
    </row>
    <row r="19" spans="1:7" ht="25.5">
      <c r="A19" s="85" t="s">
        <v>1847</v>
      </c>
      <c r="B19" s="90"/>
      <c r="C19" s="45" t="s">
        <v>1959</v>
      </c>
      <c r="D19" s="81" t="s">
        <v>129</v>
      </c>
      <c r="E19" s="81">
        <v>24</v>
      </c>
      <c r="F19" s="80"/>
      <c r="G19" s="80"/>
    </row>
    <row r="20" spans="1:7">
      <c r="A20" s="85" t="s">
        <v>1848</v>
      </c>
      <c r="B20" s="90"/>
      <c r="C20" s="178" t="s">
        <v>1960</v>
      </c>
      <c r="D20" s="81" t="s">
        <v>129</v>
      </c>
      <c r="E20" s="81">
        <v>6</v>
      </c>
      <c r="F20" s="80"/>
      <c r="G20" s="80"/>
    </row>
    <row r="21" spans="1:7" ht="25.5">
      <c r="A21" s="85" t="s">
        <v>1849</v>
      </c>
      <c r="B21" s="80"/>
      <c r="C21" s="178" t="s">
        <v>1961</v>
      </c>
      <c r="D21" s="81" t="s">
        <v>129</v>
      </c>
      <c r="E21" s="81">
        <v>8</v>
      </c>
      <c r="F21" s="80"/>
      <c r="G21" s="80"/>
    </row>
    <row r="22" spans="1:7" ht="25.5">
      <c r="A22" s="85" t="s">
        <v>1850</v>
      </c>
      <c r="B22" s="80"/>
      <c r="C22" s="178" t="s">
        <v>1962</v>
      </c>
      <c r="D22" s="81" t="s">
        <v>129</v>
      </c>
      <c r="E22" s="81">
        <v>7</v>
      </c>
      <c r="F22" s="80"/>
      <c r="G22" s="80"/>
    </row>
    <row r="23" spans="1:7">
      <c r="A23" s="85" t="s">
        <v>1851</v>
      </c>
      <c r="B23" s="80"/>
      <c r="C23" s="178" t="s">
        <v>1963</v>
      </c>
      <c r="D23" s="81" t="s">
        <v>129</v>
      </c>
      <c r="E23" s="81">
        <v>1</v>
      </c>
      <c r="F23" s="80"/>
      <c r="G23" s="80"/>
    </row>
    <row r="24" spans="1:7" ht="25.5">
      <c r="A24" s="85" t="s">
        <v>1852</v>
      </c>
      <c r="B24" s="80"/>
      <c r="C24" s="178" t="s">
        <v>1964</v>
      </c>
      <c r="D24" s="81" t="s">
        <v>129</v>
      </c>
      <c r="E24" s="81">
        <v>8</v>
      </c>
      <c r="F24" s="80"/>
      <c r="G24" s="80"/>
    </row>
    <row r="25" spans="1:7">
      <c r="A25" s="85" t="s">
        <v>1853</v>
      </c>
      <c r="B25" s="80"/>
      <c r="C25" s="178" t="s">
        <v>1965</v>
      </c>
      <c r="D25" s="81" t="s">
        <v>129</v>
      </c>
      <c r="E25" s="81">
        <v>3</v>
      </c>
      <c r="F25" s="80"/>
      <c r="G25" s="80"/>
    </row>
    <row r="26" spans="1:7">
      <c r="A26" s="85" t="s">
        <v>1854</v>
      </c>
      <c r="B26" s="80"/>
      <c r="C26" s="178" t="s">
        <v>1966</v>
      </c>
      <c r="D26" s="81" t="s">
        <v>129</v>
      </c>
      <c r="E26" s="81">
        <v>5</v>
      </c>
      <c r="F26" s="80"/>
      <c r="G26" s="80"/>
    </row>
    <row r="27" spans="1:7" ht="25.5">
      <c r="A27" s="85" t="s">
        <v>1855</v>
      </c>
      <c r="B27" s="80"/>
      <c r="C27" s="178" t="s">
        <v>1967</v>
      </c>
      <c r="D27" s="81" t="s">
        <v>1841</v>
      </c>
      <c r="E27" s="81">
        <v>120</v>
      </c>
      <c r="F27" s="80"/>
      <c r="G27" s="80"/>
    </row>
    <row r="28" spans="1:7" ht="25.5">
      <c r="A28" s="85" t="s">
        <v>1856</v>
      </c>
      <c r="B28" s="80"/>
      <c r="C28" s="178" t="s">
        <v>1968</v>
      </c>
      <c r="D28" s="81" t="s">
        <v>1841</v>
      </c>
      <c r="E28" s="81">
        <v>420</v>
      </c>
      <c r="F28" s="80"/>
      <c r="G28" s="80"/>
    </row>
    <row r="29" spans="1:7" ht="25.5">
      <c r="A29" s="85" t="s">
        <v>1857</v>
      </c>
      <c r="B29" s="80"/>
      <c r="C29" s="45" t="s">
        <v>1969</v>
      </c>
      <c r="D29" s="42" t="s">
        <v>1841</v>
      </c>
      <c r="E29" s="42">
        <v>15</v>
      </c>
      <c r="F29" s="80"/>
      <c r="G29" s="80"/>
    </row>
    <row r="30" spans="1:7">
      <c r="A30" s="85" t="s">
        <v>1858</v>
      </c>
      <c r="B30" s="80"/>
      <c r="C30" s="45" t="s">
        <v>1970</v>
      </c>
      <c r="D30" s="81" t="s">
        <v>129</v>
      </c>
      <c r="E30" s="42">
        <v>1</v>
      </c>
      <c r="F30" s="80"/>
      <c r="G30" s="80"/>
    </row>
    <row r="31" spans="1:7">
      <c r="A31" s="85" t="s">
        <v>1859</v>
      </c>
      <c r="B31" s="80"/>
      <c r="C31" s="45" t="s">
        <v>1971</v>
      </c>
      <c r="D31" s="81" t="s">
        <v>1841</v>
      </c>
      <c r="E31" s="42">
        <v>50</v>
      </c>
      <c r="F31" s="80"/>
      <c r="G31" s="80"/>
    </row>
    <row r="32" spans="1:7" ht="25.5">
      <c r="A32" s="85" t="s">
        <v>1860</v>
      </c>
      <c r="B32" s="80"/>
      <c r="C32" s="178" t="s">
        <v>1972</v>
      </c>
      <c r="D32" s="81" t="s">
        <v>129</v>
      </c>
      <c r="E32" s="81">
        <v>1</v>
      </c>
      <c r="F32" s="80"/>
      <c r="G32" s="80"/>
    </row>
    <row r="33" spans="1:7">
      <c r="A33" s="85" t="s">
        <v>1861</v>
      </c>
      <c r="B33" s="80"/>
      <c r="C33" s="178" t="s">
        <v>1842</v>
      </c>
      <c r="D33" s="42" t="s">
        <v>129</v>
      </c>
      <c r="E33" s="42">
        <v>1</v>
      </c>
      <c r="F33" s="80"/>
      <c r="G33" s="80"/>
    </row>
    <row r="34" spans="1:7">
      <c r="A34" s="80"/>
      <c r="B34" s="80"/>
      <c r="C34" s="59" t="s">
        <v>1973</v>
      </c>
      <c r="D34" s="80"/>
      <c r="E34" s="80"/>
      <c r="F34" s="80"/>
      <c r="G34" s="80"/>
    </row>
    <row r="35" spans="1:7">
      <c r="A35" s="4"/>
      <c r="B35" s="4"/>
      <c r="C35" s="4"/>
      <c r="D35" s="4"/>
      <c r="E35" s="4"/>
      <c r="F35" s="4"/>
    </row>
    <row r="36" spans="1:7">
      <c r="A36" s="4"/>
      <c r="B36" s="4"/>
      <c r="C36" s="245" t="s">
        <v>21</v>
      </c>
      <c r="D36" s="245"/>
      <c r="E36" s="245"/>
      <c r="F36" s="245"/>
    </row>
    <row r="37" spans="1:7">
      <c r="A37" s="4"/>
      <c r="B37" s="4"/>
      <c r="C37" s="247" t="s">
        <v>5</v>
      </c>
      <c r="D37" s="247"/>
      <c r="E37" s="247"/>
      <c r="F37" s="247"/>
    </row>
    <row r="38" spans="1:7">
      <c r="A38" s="4"/>
      <c r="B38" s="4"/>
      <c r="C38" s="27"/>
      <c r="D38" s="27"/>
      <c r="E38" s="27"/>
      <c r="F38" s="27"/>
    </row>
    <row r="39" spans="1:7">
      <c r="A39" s="4"/>
      <c r="B39" s="4"/>
      <c r="C39" s="245" t="s">
        <v>22</v>
      </c>
      <c r="D39" s="245"/>
      <c r="E39" s="245"/>
      <c r="F39" s="245"/>
    </row>
    <row r="40" spans="1:7">
      <c r="A40" s="4"/>
      <c r="B40" s="4"/>
      <c r="C40" s="247" t="s">
        <v>5</v>
      </c>
      <c r="D40" s="247"/>
      <c r="E40" s="247"/>
      <c r="F40" s="247"/>
    </row>
    <row r="41" spans="1:7">
      <c r="A41" s="4"/>
      <c r="B41" s="4"/>
      <c r="C41" s="27"/>
      <c r="D41" s="27"/>
      <c r="E41" s="27"/>
      <c r="F41" s="27"/>
    </row>
    <row r="42" spans="1:7">
      <c r="A42" s="4"/>
      <c r="B42" s="4"/>
      <c r="C42" s="50" t="s">
        <v>35</v>
      </c>
      <c r="D42" s="49"/>
      <c r="E42" s="49"/>
      <c r="F42" s="4"/>
    </row>
    <row r="43" spans="1:7">
      <c r="A43" s="2"/>
      <c r="B43" s="2"/>
      <c r="C43" s="1"/>
      <c r="D43" s="1"/>
      <c r="E43" s="1"/>
      <c r="F43" s="1"/>
    </row>
    <row r="44" spans="1:7">
      <c r="A44" s="2"/>
      <c r="B44" s="2"/>
      <c r="C44" s="1" t="s">
        <v>16</v>
      </c>
      <c r="D44" s="1"/>
      <c r="E44" s="1"/>
      <c r="F44" s="1"/>
    </row>
    <row r="45" spans="1:7" ht="30" customHeight="1">
      <c r="A45" s="2"/>
      <c r="B45" s="203" t="s">
        <v>765</v>
      </c>
      <c r="C45" s="261" t="s">
        <v>17</v>
      </c>
      <c r="D45" s="261"/>
      <c r="E45" s="261"/>
      <c r="F45" s="261"/>
    </row>
    <row r="46" spans="1:7" ht="30" customHeight="1">
      <c r="B46" s="204" t="s">
        <v>768</v>
      </c>
      <c r="C46" s="141" t="s">
        <v>769</v>
      </c>
      <c r="D46" s="142"/>
      <c r="E46" s="140"/>
      <c r="F46" s="142"/>
    </row>
  </sheetData>
  <mergeCells count="19">
    <mergeCell ref="G12:G13"/>
    <mergeCell ref="C40:F40"/>
    <mergeCell ref="C45:F45"/>
    <mergeCell ref="F12:F13"/>
    <mergeCell ref="A12:A13"/>
    <mergeCell ref="B12:B13"/>
    <mergeCell ref="C36:F36"/>
    <mergeCell ref="C37:F37"/>
    <mergeCell ref="C39:F39"/>
    <mergeCell ref="A4:I4"/>
    <mergeCell ref="A3:I3"/>
    <mergeCell ref="A1:I1"/>
    <mergeCell ref="A5:I5"/>
    <mergeCell ref="C12:C13"/>
    <mergeCell ref="D12:D13"/>
    <mergeCell ref="E12:E13"/>
    <mergeCell ref="C9:K9"/>
    <mergeCell ref="C7:M7"/>
    <mergeCell ref="C8:P8"/>
  </mergeCells>
  <pageMargins left="0.99" right="0.45" top="0.74803149606299213" bottom="0.74803149606299213" header="0.31496062992125984" footer="0.31496062992125984"/>
  <pageSetup scale="9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BA 1</vt:lpstr>
      <vt:lpstr>BA 2</vt:lpstr>
      <vt:lpstr>BA 3</vt:lpstr>
      <vt:lpstr>BA 4</vt:lpstr>
      <vt:lpstr>BA 5</vt:lpstr>
      <vt:lpstr>BA 6</vt:lpstr>
      <vt:lpstr>BA 7</vt:lpstr>
      <vt:lpstr>BA 8</vt:lpstr>
      <vt:lpstr>BA 9</vt:lpstr>
      <vt:lpstr>BA 10</vt:lpstr>
      <vt:lpstr>BA 11</vt:lpstr>
      <vt:lpstr>'BA 1'!Print_Titles</vt:lpstr>
      <vt:lpstr>'BA 2'!Print_Titles</vt:lpstr>
      <vt:lpstr>'BA 3'!Print_Titles</vt:lpstr>
      <vt:lpstr>'BA 4'!Print_Titles</vt:lpstr>
      <vt:lpstr>'BA 6'!Print_Titles</vt:lpstr>
      <vt:lpstr>'BA 7'!Print_Titles</vt:lpstr>
      <vt:lpstr>'BA 8'!Print_Titles</vt:lpstr>
      <vt:lpstr>'BA 9'!Print_Titles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2006-11-28T10:19:26Z</dcterms:created>
  <dcterms:modified xsi:type="dcterms:W3CDTF">2012-06-19T12:23:48Z</dcterms:modified>
</cp:coreProperties>
</file>