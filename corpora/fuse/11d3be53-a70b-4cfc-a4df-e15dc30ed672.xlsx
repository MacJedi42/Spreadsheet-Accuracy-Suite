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15" yWindow="105" windowWidth="20520" windowHeight="4020" tabRatio="500"/>
  </bookViews>
  <sheets>
    <sheet name="PriceList_NL" sheetId="10" r:id="rId1"/>
    <sheet name="PriceList_FR" sheetId="3" state="hidden" r:id="rId2"/>
    <sheet name="SAM" sheetId="9" state="hidden" r:id="rId3"/>
    <sheet name="Voornaamste uitrusting" sheetId="11" state="hidden" r:id="rId4"/>
  </sheets>
  <definedNames>
    <definedName name="_xlnm.Print_Area" localSheetId="1">PriceList_FR!$A$1:$H$245</definedName>
    <definedName name="_xlnm.Print_Area" localSheetId="0">PriceList_NL!$A$1:$H$250</definedName>
  </definedNames>
  <calcPr calcId="145621"/>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G175" i="3" l="1"/>
  <c r="G179" i="10" l="1"/>
  <c r="G174" i="3" l="1"/>
  <c r="G173" i="3"/>
  <c r="G172" i="3"/>
  <c r="G171" i="3"/>
  <c r="G163" i="10" l="1"/>
  <c r="G162" i="10"/>
  <c r="G161" i="10"/>
  <c r="G160" i="10"/>
  <c r="G159" i="10"/>
  <c r="G158" i="10"/>
  <c r="G157" i="10"/>
  <c r="G160" i="3"/>
  <c r="G159" i="3"/>
  <c r="G158" i="3"/>
  <c r="G157" i="3"/>
  <c r="G156" i="3"/>
  <c r="G155" i="3"/>
  <c r="G154" i="3"/>
  <c r="G168" i="3" l="1"/>
  <c r="G167" i="3"/>
  <c r="G166" i="3"/>
  <c r="G165" i="3"/>
  <c r="G164" i="3"/>
  <c r="G163" i="3"/>
  <c r="G162" i="3"/>
  <c r="G161" i="3"/>
  <c r="G153" i="3"/>
  <c r="G152" i="3"/>
  <c r="G249" i="10" l="1"/>
  <c r="G248" i="10"/>
  <c r="G247" i="10"/>
  <c r="G246" i="10"/>
  <c r="G243" i="10"/>
  <c r="G242" i="10"/>
  <c r="G241" i="10"/>
  <c r="G240" i="10"/>
  <c r="G239" i="10"/>
  <c r="G238" i="10"/>
  <c r="G233" i="10"/>
  <c r="G232" i="10"/>
  <c r="G231" i="10"/>
  <c r="G230" i="10"/>
  <c r="G229" i="10"/>
  <c r="G226" i="10"/>
  <c r="G225" i="10"/>
  <c r="G224" i="10"/>
  <c r="G223" i="10"/>
  <c r="G222" i="10"/>
  <c r="G221" i="10"/>
  <c r="G220" i="10"/>
  <c r="G219" i="10"/>
  <c r="G218" i="10"/>
  <c r="G217" i="10"/>
  <c r="G216" i="10"/>
  <c r="G228" i="3" l="1"/>
  <c r="G227" i="3"/>
  <c r="G226" i="3"/>
  <c r="G225" i="3"/>
  <c r="G224" i="3"/>
  <c r="G221" i="3"/>
  <c r="G220" i="3"/>
  <c r="G219" i="3"/>
  <c r="G218" i="3"/>
  <c r="G217" i="3"/>
  <c r="G216" i="3"/>
  <c r="G215" i="3"/>
  <c r="G214" i="3"/>
  <c r="G213" i="3"/>
  <c r="G212" i="3"/>
  <c r="G211" i="3"/>
  <c r="G211" i="10" l="1"/>
  <c r="G210" i="10"/>
  <c r="G209" i="10"/>
  <c r="G208" i="10"/>
  <c r="G207" i="10"/>
  <c r="G203" i="10"/>
  <c r="G202" i="10"/>
  <c r="G201" i="10"/>
  <c r="G200" i="10"/>
  <c r="G199" i="10"/>
  <c r="G198" i="10"/>
  <c r="G193" i="10"/>
  <c r="G192" i="10"/>
  <c r="G191" i="10"/>
  <c r="G188" i="10"/>
  <c r="G187" i="10"/>
  <c r="G186" i="10"/>
  <c r="G185" i="10"/>
  <c r="G178" i="10"/>
  <c r="G177" i="10"/>
  <c r="G176" i="10"/>
  <c r="G175" i="10"/>
  <c r="G171" i="10"/>
  <c r="G170" i="10"/>
  <c r="G169" i="10"/>
  <c r="G168" i="10"/>
  <c r="G167" i="10"/>
  <c r="G166" i="10"/>
  <c r="G165" i="10"/>
  <c r="G164" i="10"/>
  <c r="G156" i="10"/>
  <c r="G155" i="10"/>
  <c r="G147" i="10"/>
  <c r="G146" i="10"/>
  <c r="G145" i="10"/>
  <c r="G142" i="10"/>
  <c r="G141" i="10"/>
  <c r="G140" i="10"/>
  <c r="G139" i="10"/>
  <c r="G138" i="10"/>
  <c r="G137" i="10"/>
  <c r="G136" i="10"/>
  <c r="G135" i="10"/>
  <c r="G134" i="10"/>
  <c r="G133" i="10"/>
  <c r="G132" i="10"/>
  <c r="G131" i="10"/>
  <c r="G130" i="10"/>
  <c r="G129" i="10"/>
  <c r="G128" i="10"/>
  <c r="G127" i="10"/>
  <c r="G126" i="10"/>
  <c r="G125" i="10"/>
  <c r="G124" i="10"/>
  <c r="G123" i="10"/>
  <c r="G122" i="10"/>
  <c r="G121" i="10"/>
  <c r="G120" i="10"/>
  <c r="G119" i="10"/>
  <c r="G118" i="10"/>
  <c r="G117" i="10"/>
  <c r="G116" i="10"/>
  <c r="G115" i="10"/>
  <c r="G114" i="10"/>
  <c r="G113" i="10"/>
  <c r="G112" i="10"/>
  <c r="G111" i="10"/>
  <c r="G110" i="10"/>
  <c r="G109" i="10"/>
  <c r="G108" i="10"/>
  <c r="G107" i="10"/>
  <c r="G100" i="10"/>
  <c r="G99" i="10"/>
  <c r="G98" i="10"/>
  <c r="G95" i="10"/>
  <c r="G94" i="10"/>
  <c r="G93" i="10"/>
  <c r="G92" i="10"/>
  <c r="G91" i="10"/>
  <c r="G90" i="10"/>
  <c r="G89" i="10"/>
  <c r="G88" i="10"/>
  <c r="G87" i="10"/>
  <c r="G86" i="10"/>
  <c r="G85" i="10"/>
  <c r="G84" i="10"/>
  <c r="G83" i="10"/>
  <c r="G78" i="10"/>
  <c r="G77" i="10"/>
  <c r="G74" i="10"/>
  <c r="G73" i="10"/>
  <c r="G72" i="10"/>
  <c r="G71" i="10"/>
  <c r="G70" i="10"/>
  <c r="G69" i="10"/>
  <c r="G68" i="10"/>
  <c r="G67" i="10"/>
  <c r="G66" i="10"/>
  <c r="G61" i="10"/>
  <c r="G60" i="10"/>
  <c r="G59" i="10"/>
  <c r="G58" i="10"/>
  <c r="G54" i="10"/>
  <c r="G53" i="10"/>
  <c r="G52" i="10"/>
  <c r="G51" i="10"/>
  <c r="G50" i="10"/>
  <c r="G49" i="10"/>
  <c r="G48" i="10"/>
  <c r="G47" i="10"/>
  <c r="G46" i="10"/>
  <c r="G45" i="10"/>
  <c r="G44" i="10"/>
  <c r="G43" i="10"/>
  <c r="G42" i="10"/>
  <c r="G41" i="10"/>
  <c r="G40" i="10"/>
  <c r="G39" i="10"/>
  <c r="G38" i="10"/>
  <c r="G37" i="10"/>
  <c r="G36" i="10"/>
  <c r="G35" i="10"/>
  <c r="G34" i="10"/>
  <c r="G33" i="10"/>
  <c r="G32" i="10"/>
  <c r="G27" i="10"/>
  <c r="G26" i="10"/>
  <c r="G25" i="10"/>
  <c r="G22" i="10"/>
  <c r="G21" i="10"/>
  <c r="G20" i="10"/>
  <c r="G19" i="10"/>
  <c r="G18" i="10"/>
  <c r="G17" i="10"/>
  <c r="G16" i="10"/>
  <c r="G15" i="10"/>
  <c r="G14" i="10"/>
  <c r="G13" i="10"/>
  <c r="G12" i="10"/>
  <c r="G11" i="10"/>
  <c r="G242" i="3"/>
  <c r="G241" i="3"/>
  <c r="G238" i="3"/>
  <c r="G237" i="3"/>
  <c r="G236" i="3"/>
  <c r="G235" i="3"/>
  <c r="G234" i="3"/>
  <c r="G233" i="3"/>
  <c r="G206" i="3"/>
  <c r="G205" i="3"/>
  <c r="G204" i="3"/>
  <c r="G203" i="3"/>
  <c r="G202" i="3"/>
  <c r="G199" i="3"/>
  <c r="G198" i="3"/>
  <c r="G197" i="3"/>
  <c r="G196" i="3"/>
  <c r="G195" i="3"/>
  <c r="G194" i="3"/>
  <c r="G189" i="3"/>
  <c r="G188" i="3"/>
  <c r="G187" i="3"/>
  <c r="G184" i="3"/>
  <c r="G183" i="3"/>
  <c r="G182" i="3"/>
  <c r="G181" i="3"/>
  <c r="G146" i="3"/>
  <c r="G145" i="3"/>
  <c r="G144"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0" i="3"/>
  <c r="G99" i="3"/>
  <c r="G98" i="3"/>
  <c r="G93" i="3"/>
  <c r="G92" i="3"/>
  <c r="G91" i="3"/>
  <c r="G90" i="3"/>
  <c r="G89" i="3"/>
  <c r="G88" i="3"/>
  <c r="G87" i="3"/>
  <c r="G86" i="3"/>
  <c r="G85" i="3"/>
  <c r="G84" i="3"/>
  <c r="G83" i="3"/>
  <c r="G82" i="3"/>
  <c r="G81" i="3"/>
  <c r="G76" i="3"/>
  <c r="G75" i="3"/>
  <c r="G72" i="3"/>
  <c r="G71" i="3"/>
  <c r="G70" i="3"/>
  <c r="G69" i="3"/>
  <c r="G68" i="3"/>
  <c r="G67" i="3"/>
  <c r="G66" i="3"/>
  <c r="G65" i="3"/>
  <c r="G64" i="3"/>
  <c r="G59" i="3"/>
  <c r="G58" i="3"/>
  <c r="G57" i="3"/>
  <c r="G56" i="3"/>
  <c r="G53" i="3"/>
  <c r="G52" i="3"/>
  <c r="G51" i="3"/>
  <c r="G50" i="3"/>
  <c r="G49" i="3"/>
  <c r="G48" i="3"/>
  <c r="G47" i="3"/>
  <c r="G46" i="3"/>
  <c r="G45" i="3"/>
  <c r="G44" i="3"/>
  <c r="G43" i="3"/>
  <c r="G42" i="3"/>
  <c r="G41" i="3"/>
  <c r="G40" i="3"/>
  <c r="G39" i="3"/>
  <c r="G38" i="3"/>
  <c r="G37" i="3"/>
  <c r="G36" i="3"/>
  <c r="G35" i="3"/>
  <c r="G34" i="3"/>
  <c r="G33" i="3"/>
  <c r="G32" i="3"/>
  <c r="G31" i="3"/>
  <c r="G26" i="3"/>
  <c r="G25" i="3"/>
  <c r="G24" i="3"/>
  <c r="G21" i="3"/>
  <c r="G20" i="3"/>
  <c r="G19" i="3"/>
  <c r="G18" i="3"/>
  <c r="G17" i="3"/>
  <c r="G16" i="3"/>
  <c r="G15" i="3"/>
  <c r="G14" i="3"/>
  <c r="G13" i="3"/>
  <c r="G12" i="3"/>
  <c r="G11" i="3"/>
  <c r="G10" i="3"/>
</calcChain>
</file>

<file path=xl/comments1.xml><?xml version="1.0" encoding="utf-8"?>
<comments xmlns="http://schemas.openxmlformats.org/spreadsheetml/2006/main">
  <authors>
    <author>De Donder, Michael</author>
  </authors>
  <commentList>
    <comment ref="A150" authorId="0">
      <text>
        <r>
          <rPr>
            <b/>
            <sz val="9"/>
            <color indexed="81"/>
            <rFont val="Tahoma"/>
            <family val="2"/>
          </rPr>
          <t>Delivery delay
 4 months</t>
        </r>
      </text>
    </comment>
  </commentList>
</comments>
</file>

<file path=xl/sharedStrings.xml><?xml version="1.0" encoding="utf-8"?>
<sst xmlns="http://schemas.openxmlformats.org/spreadsheetml/2006/main" count="1599" uniqueCount="336">
  <si>
    <t>Model</t>
  </si>
  <si>
    <t>Picanto 3d</t>
  </si>
  <si>
    <t>Picanto 5d</t>
  </si>
  <si>
    <t>Opties</t>
  </si>
  <si>
    <t>Rio 3d</t>
  </si>
  <si>
    <t>Rio 5d</t>
  </si>
  <si>
    <t>Venga</t>
  </si>
  <si>
    <t>pro Cee'd</t>
  </si>
  <si>
    <t>Cee'd</t>
  </si>
  <si>
    <t>Cee'd SW</t>
  </si>
  <si>
    <t>Sorento</t>
  </si>
  <si>
    <t>2.0 CRDi Lounge 2WD 5pl</t>
  </si>
  <si>
    <t>2.0 CRDi Lounge 2WD 7pl</t>
  </si>
  <si>
    <t>2.0 CRDi Fusion 2WD 7pl</t>
  </si>
  <si>
    <t>2.0 CRDi Fusion AWD 7pl</t>
  </si>
  <si>
    <t>2.2 CRDi Fusion AWD Auto 7pl</t>
  </si>
  <si>
    <t>2.2 CRDi Sense AWD Auto 7pl</t>
  </si>
  <si>
    <t>Carens</t>
  </si>
  <si>
    <t>Sportage</t>
  </si>
  <si>
    <t>Optima</t>
  </si>
  <si>
    <t>Metaalkleur</t>
  </si>
  <si>
    <t>Picanto</t>
  </si>
  <si>
    <t>Rio</t>
  </si>
  <si>
    <t>Bluetooth</t>
  </si>
  <si>
    <t>Options</t>
  </si>
  <si>
    <t>Prix HTVA</t>
  </si>
  <si>
    <t>Prix TVAC</t>
  </si>
  <si>
    <t>Version</t>
  </si>
  <si>
    <t>Modèle</t>
  </si>
  <si>
    <t>Picanto 3p</t>
  </si>
  <si>
    <t>Rio 3p</t>
  </si>
  <si>
    <t>Picanto 5p</t>
  </si>
  <si>
    <t>Rio 5p</t>
  </si>
  <si>
    <t>Jantes en aluminium 17’’</t>
  </si>
  <si>
    <t>ESC (Electronic stability control)</t>
  </si>
  <si>
    <t>6 vitesses</t>
  </si>
  <si>
    <t>Conditionnement d’air manuel</t>
  </si>
  <si>
    <t>Conditionnement d’air automatique</t>
  </si>
  <si>
    <t>Volant et pommeau de levier de vitesse en cuir</t>
  </si>
  <si>
    <t>Essuie-glace avant avec capteur de pluie</t>
  </si>
  <si>
    <t>Verrouillage central avec commande à distance</t>
  </si>
  <si>
    <t>Phares de jour de type LED</t>
  </si>
  <si>
    <t>Vitres athermiques</t>
  </si>
  <si>
    <t>Lounge 1.0</t>
  </si>
  <si>
    <t>Easy 1.0</t>
  </si>
  <si>
    <t>Easy 1.2 Auto</t>
  </si>
  <si>
    <t xml:space="preserve">Fusion 1.2 ISG EcoDynamics </t>
  </si>
  <si>
    <t xml:space="preserve">Sense 1.2 ISG EcoDynamics </t>
  </si>
  <si>
    <t>Fusion 1.2 Auto</t>
  </si>
  <si>
    <t>Sense 1.2 Auto</t>
  </si>
  <si>
    <t xml:space="preserve">3 / 998 </t>
  </si>
  <si>
    <t xml:space="preserve">51 / 6 / 69 </t>
  </si>
  <si>
    <t xml:space="preserve">4 / 1.248 </t>
  </si>
  <si>
    <t xml:space="preserve">63 / 7 / 85 </t>
  </si>
  <si>
    <t>Peinture métallisée</t>
  </si>
  <si>
    <t>Pack Navigation: système de navigation intégrée, caméra de recul (Sense)</t>
  </si>
  <si>
    <t>Toit ouvrant électrique (Sense)</t>
  </si>
  <si>
    <t>ISG (Easy)</t>
  </si>
  <si>
    <t>Pack Business: ISG + airco manuel + radio (Lounge)</t>
  </si>
  <si>
    <t xml:space="preserve">Access 1.2 </t>
  </si>
  <si>
    <t xml:space="preserve">Lounge 1.2 </t>
  </si>
  <si>
    <t>Lounge 1.1 CRDi</t>
  </si>
  <si>
    <t>Easy 1.2</t>
  </si>
  <si>
    <t>Easy 1.1 CRDi</t>
  </si>
  <si>
    <t>Fusion 1.2</t>
  </si>
  <si>
    <t>Fusion 1.1 CRDi</t>
  </si>
  <si>
    <t xml:space="preserve">Mind 1.2  </t>
  </si>
  <si>
    <t xml:space="preserve">Mind 1.1 CRDi </t>
  </si>
  <si>
    <t>Sense 1.4</t>
  </si>
  <si>
    <t>Sense 1.4 CRDi</t>
  </si>
  <si>
    <t>Lounge 1.2</t>
  </si>
  <si>
    <t>Lounge 1.1 CRDi</t>
  </si>
  <si>
    <t>Mind 1.4 Auto</t>
  </si>
  <si>
    <t xml:space="preserve">Mind 1.4 CRDi </t>
  </si>
  <si>
    <t xml:space="preserve">Lounge 1.4 </t>
  </si>
  <si>
    <t>Lounge 1.4 CRDi 90</t>
  </si>
  <si>
    <t>Mind 1.4</t>
  </si>
  <si>
    <t>Mind 1.6 Auto</t>
  </si>
  <si>
    <t>Mind 1.4 CRDi 90</t>
  </si>
  <si>
    <t>Mind 1.6 CRDi 115</t>
  </si>
  <si>
    <t>Sense 1.6 Auto</t>
  </si>
  <si>
    <t>Sense 1.6 CRDi 115</t>
  </si>
  <si>
    <t xml:space="preserve">4 / 1.396 </t>
  </si>
  <si>
    <t xml:space="preserve">74 / 8 / 100 </t>
  </si>
  <si>
    <t xml:space="preserve">4 / 1.582 </t>
  </si>
  <si>
    <t xml:space="preserve">81 / 9 / 110 </t>
  </si>
  <si>
    <t xml:space="preserve">94 / 9 / 128 </t>
  </si>
  <si>
    <t>Pack Navigation: système de navigation intégrée, caméra de recul, toit ouvrant électrique (Mind, Sense)</t>
  </si>
  <si>
    <t>Access 1.4</t>
  </si>
  <si>
    <t>Easy 1.4</t>
  </si>
  <si>
    <t>Easy 1.6 CRDi 110</t>
  </si>
  <si>
    <t>Easy 1.6 CRDi 128</t>
  </si>
  <si>
    <t xml:space="preserve">Fusion 1.4 </t>
  </si>
  <si>
    <t>Fusion 1.6 CRDi 110</t>
  </si>
  <si>
    <t>Mind 1.6 CRDi 110</t>
  </si>
  <si>
    <t xml:space="preserve">Mind 1.6 CRDi 128 </t>
  </si>
  <si>
    <t>Sense 1.6</t>
  </si>
  <si>
    <t>GT Sense 1.6T</t>
  </si>
  <si>
    <t>Sense 1.6 CRDi 128</t>
  </si>
  <si>
    <t>Sense 1.6 CRDi 128 Auto</t>
  </si>
  <si>
    <t>Toit ouvrant panoramique (Mind, Sense 1.4/1.6/1.6 CRDi 128)</t>
  </si>
  <si>
    <t>Pack Luxe (Sense)</t>
  </si>
  <si>
    <t>cuir noir, sièges AV chauffants, volant chauffant, siège passager réglable en hauteur, siège avant avec support lombaire réglable, phares avant au Xénon avec éclairage adaptatif, LDWS</t>
  </si>
  <si>
    <t xml:space="preserve">Access 1.4 </t>
  </si>
  <si>
    <t>Easy 1.4 CRDi</t>
  </si>
  <si>
    <t>Business Line "1" 1.6 CRDi 110</t>
  </si>
  <si>
    <t>Business Line "2" 1.6 CRDi 110</t>
  </si>
  <si>
    <t>Fusion 1.4</t>
  </si>
  <si>
    <t>Mind 1.6 CRDi 128</t>
  </si>
  <si>
    <t>Mind 1.6 CRDi 128 Auto</t>
  </si>
  <si>
    <t>Sense 1.6 DCT</t>
  </si>
  <si>
    <t xml:space="preserve">Business Line "1" 1.4 CRDi </t>
  </si>
  <si>
    <t>Business Line "2" 1.4 CRDi</t>
  </si>
  <si>
    <t>cuir noir, sièges AV chauffants, volant chauffant, siège conducteur réglable électriquement, siège passager réglable en hauteur, siège avant avec support lombaire réglable, phares avant au Xénon avec éclairage adaptatif, LDWS</t>
  </si>
  <si>
    <t>Access 1.6 2WD</t>
  </si>
  <si>
    <t>Access 1.7 CRDi 2WD</t>
  </si>
  <si>
    <t>Fusion 1.6 2WD</t>
  </si>
  <si>
    <t>Fusion 1.7 CRDi 2WD</t>
  </si>
  <si>
    <t>Fusion 1.7 CRDi 136 ISG EcoDynamics  </t>
  </si>
  <si>
    <t>Fusion 1.7 CRDi 136 Auto</t>
  </si>
  <si>
    <t>Executive 1.7 CRDi 136 ISG EcoDynamics</t>
  </si>
  <si>
    <t>Executive 1.7 CRDi 136 Auto</t>
  </si>
  <si>
    <t>Toit ouvrant panoramique (Fusion)</t>
  </si>
  <si>
    <t>Design d'intérieur (noir/beige) (Executive)</t>
  </si>
  <si>
    <t>Toit ouvrant panoramique (Fusion &amp; Sense)</t>
  </si>
  <si>
    <t>Cuir+chauff AV (Fusion - STD Sense) -- noir ou beige</t>
  </si>
  <si>
    <t>Sièges chauffants + sièges en cuir brun (Sense)</t>
  </si>
  <si>
    <t>Sièges chauffants + sièges en cuir noir &amp; blanc (Sense)</t>
  </si>
  <si>
    <t>Lounge 1.6</t>
  </si>
  <si>
    <t xml:space="preserve">Lounge 1.7 CRDi 115 </t>
  </si>
  <si>
    <t>Business Line 1.7 CRDi 115 ISG Ecodynamics</t>
  </si>
  <si>
    <t xml:space="preserve">Fusion 1.6 </t>
  </si>
  <si>
    <t>Fusion 1.7 CRDi 115</t>
  </si>
  <si>
    <t>Fusion 1.7 CRDi 136</t>
  </si>
  <si>
    <t>Sense 2.0 Auto</t>
  </si>
  <si>
    <t>Sense 1.7 CRDi 136</t>
  </si>
  <si>
    <t>Sense 1.7 CRDi 136 Auto</t>
  </si>
  <si>
    <t>Peinture métalisée</t>
  </si>
  <si>
    <t>7 places (Lounge, Business Line, Fusion, Sense)</t>
  </si>
  <si>
    <t>ISG (uniquement Fusion manuelle)</t>
  </si>
  <si>
    <t>Système de navigation intégré et caméra de recul (Fusion, STD Sense)</t>
  </si>
  <si>
    <t>Pack Cuir (Sense)</t>
  </si>
  <si>
    <t>4 / 1.396</t>
  </si>
  <si>
    <t>74 / 8 / 100</t>
  </si>
  <si>
    <t>4 / 1.582</t>
  </si>
  <si>
    <t>81 / 9 / 110</t>
  </si>
  <si>
    <t>94 / 9 / 128</t>
  </si>
  <si>
    <t xml:space="preserve">4 / 1.685 </t>
  </si>
  <si>
    <t xml:space="preserve">100 / 9 / 136 </t>
  </si>
  <si>
    <t>4 / 1.995</t>
  </si>
  <si>
    <t>4 / 2.199</t>
  </si>
  <si>
    <t>145 / 15 / 197</t>
  </si>
  <si>
    <t>110 / 11 / 150</t>
  </si>
  <si>
    <t>4 / 1.248</t>
  </si>
  <si>
    <t>3 / 1.120</t>
  </si>
  <si>
    <t>63 / 7 / 85</t>
  </si>
  <si>
    <t>55 / 6 / 75</t>
  </si>
  <si>
    <t>80 / 8 / 109</t>
  </si>
  <si>
    <t>66 / 8 / 90</t>
  </si>
  <si>
    <t>4 / 1.591</t>
  </si>
  <si>
    <t>92 / 9 / 125</t>
  </si>
  <si>
    <t>85 / 9 / 115</t>
  </si>
  <si>
    <t>4 / 1.685</t>
  </si>
  <si>
    <t>4 / 1.999</t>
  </si>
  <si>
    <t>100 / 9 / 136</t>
  </si>
  <si>
    <t>99 / 9 / 135</t>
  </si>
  <si>
    <t>130 / 11 / 166</t>
  </si>
  <si>
    <t>Emission CO2 (g/km)</t>
  </si>
  <si>
    <t xml:space="preserve">régulateur et limitateur de vitesse Bluetooth </t>
  </si>
  <si>
    <t>Phares antibrouillard à l’avant</t>
  </si>
  <si>
    <t>Vitres électriques à l’avant</t>
  </si>
  <si>
    <t xml:space="preserve">Bluetooth </t>
  </si>
  <si>
    <t xml:space="preserve">Volant et pommeau de levier de vitesse en cuir </t>
  </si>
  <si>
    <t>régulateur et limitateur de vitesse</t>
  </si>
  <si>
    <t>Capteurs de parking arrière</t>
  </si>
  <si>
    <t xml:space="preserve">Jantes en aluminium 16’’ (17’’ sur 1.6 CrDi 128) </t>
  </si>
  <si>
    <t>Verrouillage central avec commande à distance</t>
  </si>
  <si>
    <t xml:space="preserve">Vitres électriques à l’avant et à l’arrière  </t>
  </si>
  <si>
    <t xml:space="preserve">Verrouillage central avec commande à distance </t>
  </si>
  <si>
    <t xml:space="preserve">Tous les principaux équipements de la sportage Easy + </t>
  </si>
  <si>
    <t>Système de navigation intégré et caméra de recul</t>
  </si>
  <si>
    <t xml:space="preserve">Sportage MIND </t>
  </si>
  <si>
    <t>Conditionnement d’air manuel régulateur de vitesse</t>
  </si>
  <si>
    <t>régulateur de vitesse</t>
  </si>
  <si>
    <t>radio-cd rDS mp3 + AUX &amp; USB avec télécommande audio au volant</t>
  </si>
  <si>
    <t xml:space="preserve">rétroviseurs extérieurs électriques et chauffants </t>
  </si>
  <si>
    <t xml:space="preserve">rails de toit </t>
  </si>
  <si>
    <t xml:space="preserve">Essuie-glace avant avec capteur de pluie </t>
  </si>
  <si>
    <t>Vitres électriques à l’avant et à l’arrière</t>
  </si>
  <si>
    <t xml:space="preserve">Siège conducteur réglable en hauteur </t>
  </si>
  <si>
    <t xml:space="preserve">Conditionnement d’air manuel </t>
  </si>
  <si>
    <t>radio-CD MP3</t>
  </si>
  <si>
    <t>Verrouillage central à clé</t>
  </si>
  <si>
    <t xml:space="preserve">Picanto EASY </t>
  </si>
  <si>
    <t xml:space="preserve">ESC (Electronic stability control) </t>
  </si>
  <si>
    <t xml:space="preserve">radio-CD MP3 avec commande audio au volant </t>
  </si>
  <si>
    <t xml:space="preserve">Rio EASY </t>
  </si>
  <si>
    <t xml:space="preserve">régulateur de vitesse </t>
  </si>
  <si>
    <t>rétroviseurs extérieurs électriques et chauffants</t>
  </si>
  <si>
    <t>Jantes en aluminium 15’’</t>
  </si>
  <si>
    <t xml:space="preserve">Vitres latérales arrière et lunette arrière en verre teinté foncé </t>
  </si>
  <si>
    <t xml:space="preserve">ESC (Electronic stability control)  </t>
  </si>
  <si>
    <t xml:space="preserve">Rio MIND </t>
  </si>
  <si>
    <t xml:space="preserve">Venga MIND </t>
  </si>
  <si>
    <t xml:space="preserve">Cee’d (Sportwagon) EASY </t>
  </si>
  <si>
    <t xml:space="preserve">Cee’d (Sportwagon) MIND </t>
  </si>
  <si>
    <t>Liste de prix</t>
  </si>
  <si>
    <t xml:space="preserve">Système de navigation intégré et caméra de recul </t>
  </si>
  <si>
    <t>Vitres latérales arrière et lunette arrière en verre teinté foncé</t>
  </si>
  <si>
    <t>pro_cee'd</t>
  </si>
  <si>
    <t>Cee'd &amp; cee'd Sportwagon</t>
  </si>
  <si>
    <t>150 / 9 / 204</t>
  </si>
  <si>
    <t>Puissance kW/fiscale/ch</t>
  </si>
  <si>
    <t>Conso. moyenne (l/100km)</t>
  </si>
  <si>
    <t>cylindres/cylindrée</t>
  </si>
  <si>
    <t>Versie</t>
  </si>
  <si>
    <t>Prijslijst</t>
  </si>
  <si>
    <t>2.0 CRDi Lounge 2WD 5dl</t>
  </si>
  <si>
    <t>Prijs BTWi</t>
  </si>
  <si>
    <t>Cilinder aantal/inhoud</t>
  </si>
  <si>
    <t>Vermogen kW/fiscaal/pk</t>
  </si>
  <si>
    <t>Gem. verbruik (l/100km)</t>
  </si>
  <si>
    <t>CO2 Emissie (g/km)</t>
  </si>
  <si>
    <t>Prijs exBTW</t>
  </si>
  <si>
    <t>Elektrisch bediend open dak (Sense)</t>
  </si>
  <si>
    <t>Business Pack (ISG + manuele airco + radio) (Lounge)</t>
  </si>
  <si>
    <t>Navigation Pack (geïntegreerd navigatiesysteem, achteruitrijcamera) (Mind, Sense)</t>
  </si>
  <si>
    <t>Navigation Pack (geïntegreerd navigatiesysteem, achteruitrijcamera, elektrisch bediend open dak) (Mind, Sense)</t>
  </si>
  <si>
    <t>Panoramisch open dak (Mind, Sense 1.4/1.6/1.6 CRDi 128)</t>
  </si>
  <si>
    <t>Luxe Pack (Sense)</t>
  </si>
  <si>
    <t>Zwarte lederen zetelbekleding, verwarmbare voorzetels, verwarmbaar stuurwiel, in de hoogte verstelbare passagierszetel, zetels V met verstelbare lendensteunregeling, Xenon koplampen vmet adaptieve verlichting, LDWS</t>
  </si>
  <si>
    <t>Zwarte lederen zetelbekleding, verwarmbare voorzetels, verwarmbaar stuurwiel, elektrisch verstelbare bestuurderszetel, in de hoogte verstelbare passagierszetel, zetels V met verstelbare lendensteunregeling, Xenon koplampen met adaptieve verlichting, LDWS</t>
  </si>
  <si>
    <t>Panoramisch open dak (Fusion)</t>
  </si>
  <si>
    <t>Design interieur (zwart/beige) (Executive)</t>
  </si>
  <si>
    <t>Panoramisch zonnedak (Fusion &amp; Sense)</t>
  </si>
  <si>
    <t>Verwarmbare zetels + leder (Fusion - STD Sense) -- zwart of beige</t>
  </si>
  <si>
    <t>Verwarmbare zetels + bruine lederen zetelbekleding (Sense)</t>
  </si>
  <si>
    <t>Verwarmbare zetels + zwart / witte lederen zetelbekleding (Sense)</t>
  </si>
  <si>
    <t>7 zitplaatsen (Lounge, Business Line, Fusion, Sense)</t>
  </si>
  <si>
    <t>ISG (Fusion manueel)</t>
  </si>
  <si>
    <t>Geïntegreerd navigatiesysteem met achteruitrijcamera (Fusion, STD Sense)</t>
  </si>
  <si>
    <t>Leather Pack (Sense)</t>
  </si>
  <si>
    <t>Cee’d (Sportwagon) Business Line 1</t>
  </si>
  <si>
    <t>Cee’d (Sportwagon) Business Line 2</t>
  </si>
  <si>
    <t>Tous les principaux équipements de la cee'd (SW) Easy</t>
  </si>
  <si>
    <t>ISG</t>
  </si>
  <si>
    <t xml:space="preserve">Vitres électriques à l’arrière  </t>
  </si>
  <si>
    <t>Tous les équipements de la cee'd (SW) Business Line 1</t>
  </si>
  <si>
    <t>Rétroviseurs électriques et chauffants</t>
  </si>
  <si>
    <t>Rétroviseur intérieur électrochromatique</t>
  </si>
  <si>
    <t xml:space="preserve">Rétroviseurs extérieurs électriques et chauffants </t>
  </si>
  <si>
    <t>Carens Business Line</t>
  </si>
  <si>
    <t>Soul</t>
  </si>
  <si>
    <t xml:space="preserve">Soul                 </t>
  </si>
  <si>
    <t>Pour plus d'information détaillé sur une série speciale, merci de vous adresse au département Fleet de chez Kia Motors Belgium ou chez le concessionnaire le plus proche!</t>
  </si>
  <si>
    <t>Fusion 1.6 GDi</t>
  </si>
  <si>
    <t>Sense 1.6 GDi</t>
  </si>
  <si>
    <t>Sense 1.6 GDi Auto</t>
  </si>
  <si>
    <t>97 / 9 / 132</t>
  </si>
  <si>
    <t>Toit ouvrant panoramique (uniquement Sense)</t>
  </si>
  <si>
    <t>Couleur de carrosserie bi-tons (pas disponible avec le toit ouvrant)</t>
  </si>
  <si>
    <t>Panoramisch open dak ( Sense)</t>
  </si>
  <si>
    <t>2-kleurig koetswerkkleur (NIET met panoramisch open dak)</t>
  </si>
  <si>
    <t>Fusion 1.6 CRDi</t>
  </si>
  <si>
    <t>Sense 1.6 CRDi</t>
  </si>
  <si>
    <t>Sense 1.6 CRDi Auto</t>
  </si>
  <si>
    <t>Prix valables au 01.01.2014 et conformes avec la réglementation du SPF Economie, PME, Classes moyennes et Energie. Ces renseignements et prix sont donnés à titre indicatif et sans engagement. KIA Motors Belgium se réserve le droit d’apporter, à tout moment et sans préavis, toutes modifications utiles aux informations présentées ci-dessus. Les valeurs d’émission de C02 et de consommation de carburant ont été officiellement mesurées lors de tests d’homologation européenne menés conformement à la directive européenne 1999/100/EC. Les résultats officiels peuvent être influencés par les pièces et les accessoires montés, l’entretien de la voiture, l’état routier, les conditions climatiques et la façon de conduire.</t>
  </si>
  <si>
    <t>Prijzen geldig op 01.01.2014 en in overeenstemming conformes avec la réglementation du SPF Economie, PME, Classes moyennes et Energie. Ces renseignements et prix sont donnés à titre indicatif et sans engagement. KIA Motors Belgium se réserve le droit d’apporter, à tout moment et sans préavis, toutes modifications utiles aux informations présentées ci-dessus. Les valeurs d’émission de C02 et de consommation de carburant ont été officiellement mesurées lors de tests d’homologation européenne menés conformement à la directive européenne 1999/100/EC. Les résultats officiels peuvent être influencés par les pièces et les accessoires montés, l’entretien de la voiture, l’état routier, les conditions climatiques et la façon de conduire.</t>
  </si>
  <si>
    <t>Business Line 1.7 CRDi ISG EcoDynamics</t>
  </si>
  <si>
    <t>Sense 1.6 2WD</t>
  </si>
  <si>
    <t>Sense 2.0 2WD Auto</t>
  </si>
  <si>
    <t>Sense 1.7 CRDi 2WD</t>
  </si>
  <si>
    <t>Sense 2.0 CRDi AWD</t>
  </si>
  <si>
    <t>Sense 2.0 CRDi AWD Auto</t>
  </si>
  <si>
    <t>Sense 2.0 CRDi 184 AWD Auto</t>
  </si>
  <si>
    <t>Panoramisch open dak (Sense)</t>
  </si>
  <si>
    <t>Toit ouvrant panoramique (Sense)</t>
  </si>
  <si>
    <t>Premium Pack: panoramic S/R + SPAS + Supervison Cluster(Fusion)</t>
  </si>
  <si>
    <t>85/9/115</t>
  </si>
  <si>
    <t>5.3</t>
  </si>
  <si>
    <t>5.2</t>
  </si>
  <si>
    <t>100/11/136</t>
  </si>
  <si>
    <t>135/11/184</t>
  </si>
  <si>
    <t>7.2</t>
  </si>
  <si>
    <t>99/9/135</t>
  </si>
  <si>
    <t>6.8</t>
  </si>
  <si>
    <t>122/11/166</t>
  </si>
  <si>
    <t>8.0</t>
  </si>
  <si>
    <t>4 / 1.998</t>
  </si>
  <si>
    <t>Sportage Business Line</t>
  </si>
  <si>
    <t>Premium Pack: panoramisch open dak + Smart Park Assist + Supervison Cluster (Fusion)</t>
  </si>
  <si>
    <t>ISG (1.7 CRDi FIFA World Cup™ Edition &amp; Sense)</t>
  </si>
  <si>
    <t>FIFA World Cup™ Edition 1.6 2WD</t>
  </si>
  <si>
    <t>FIFA World Cup™ Edition 1.7 CRDi 2WD</t>
  </si>
  <si>
    <t>FIFA World Cup™ Edition 2.0 CRDi AWD</t>
  </si>
  <si>
    <t>FIFA World Cup™ Edition 2.0 CRDi AWD AUTO</t>
  </si>
  <si>
    <t xml:space="preserve">Easy 1.6 2WD </t>
  </si>
  <si>
    <t xml:space="preserve">Easy 1.7 CRDi 2WD </t>
  </si>
  <si>
    <t>+</t>
  </si>
  <si>
    <t>Automatische airconditioning</t>
  </si>
  <si>
    <t>Geïntegreerd navigatiesysteem met achteruitrijcamera</t>
  </si>
  <si>
    <t>Parkeersensoren voor- en achteraan</t>
  </si>
  <si>
    <t>LED-achterlichten</t>
  </si>
  <si>
    <t>Premium audiosysteem met radio-cd-mp3 + AUX</t>
  </si>
  <si>
    <t>&amp; USB met audiobediening op het stuurwiel</t>
  </si>
  <si>
    <t>Flex steer</t>
  </si>
  <si>
    <t>Privacy ruiten achteraan</t>
  </si>
  <si>
    <t>Zesversnellingsbak</t>
  </si>
  <si>
    <t>Manuele airconditioning</t>
  </si>
  <si>
    <t>Cruise control</t>
  </si>
  <si>
    <t>Radio-cd-mp3 + AUX &amp; USB met</t>
  </si>
  <si>
    <t>audiobediening op het stuurwiel</t>
  </si>
  <si>
    <t>17’’ aluminium velgen</t>
  </si>
  <si>
    <t>Mistlampen vooraan</t>
  </si>
  <si>
    <t>Elektrisch regelbare en</t>
  </si>
  <si>
    <t>verwarmbare buitenspiegels</t>
  </si>
  <si>
    <t>Elektrisch bediende ruiten</t>
  </si>
  <si>
    <t>voor- en achteraan</t>
  </si>
  <si>
    <t>Centrale deurvergrendeling</t>
  </si>
  <si>
    <t>met afstandsbediening</t>
  </si>
  <si>
    <t>Dakrails</t>
  </si>
  <si>
    <t>Met leder bekleed stuurwiel</t>
  </si>
  <si>
    <t>en versnellingspook</t>
  </si>
  <si>
    <t>Ruitenwissers vooraan met</t>
  </si>
  <si>
    <t>regensensor</t>
  </si>
  <si>
    <t>Sportage Easy</t>
  </si>
  <si>
    <r>
      <t>Sportage FIFA World Cup</t>
    </r>
    <r>
      <rPr>
        <b/>
        <vertAlign val="superscript"/>
        <sz val="10"/>
        <color theme="0"/>
        <rFont val="Calibri"/>
        <family val="2"/>
        <scheme val="minor"/>
      </rPr>
      <t>TM</t>
    </r>
    <r>
      <rPr>
        <b/>
        <sz val="10"/>
        <color theme="0"/>
        <rFont val="Calibri"/>
        <family val="2"/>
        <scheme val="minor"/>
      </rPr>
      <t xml:space="preserve"> Edition</t>
    </r>
  </si>
  <si>
    <t>Alle voornaamste uitrusting van sportage Easy</t>
  </si>
  <si>
    <r>
      <t>CO</t>
    </r>
    <r>
      <rPr>
        <b/>
        <vertAlign val="subscript"/>
        <sz val="11"/>
        <color theme="0"/>
        <rFont val="Calibri"/>
        <family val="2"/>
        <scheme val="minor"/>
      </rPr>
      <t>2</t>
    </r>
    <r>
      <rPr>
        <b/>
        <sz val="11"/>
        <color theme="0"/>
        <rFont val="Calibri"/>
        <family val="2"/>
        <scheme val="minor"/>
      </rPr>
      <t xml:space="preserve"> Emissie (g/km)</t>
    </r>
  </si>
  <si>
    <t>143 (ISG) - 147</t>
  </si>
  <si>
    <t>5,4 (ISG) - 5,6</t>
  </si>
  <si>
    <t>ISG  (1.7 CRDi FIFA World Cup™ Edition &amp; Sense)</t>
  </si>
  <si>
    <t>Zwart leder + verwarmde zetels V/A (FIFA World Cup™ Edition)</t>
  </si>
  <si>
    <t>Cuir noir + chauff AV/AR (FIFA World Cup™ Edition)</t>
  </si>
  <si>
    <t>Maart 2014</t>
  </si>
  <si>
    <t>Mars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</si>
</sst>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0.00_-;_-* &quot;-&quot;??_-;_-@_-"/>
  </numFmts>
  <fonts count="33">
    <font>
      <sz val="11"/>
      <color theme="1"/>
      <name val="Calibri"/>
      <family val="2"/>
      <scheme val="minor"/>
    </font>
    <font>
      <sz val="11"/>
      <name val="Calibri"/>
      <family val="2"/>
      <scheme val="minor"/>
    </font>
    <font>
      <u/>
      <sz val="11"/>
      <color theme="10"/>
      <name val="Calibri"/>
      <family val="2"/>
      <scheme val="minor"/>
    </font>
    <font>
      <u/>
      <sz val="11"/>
      <color theme="11"/>
      <name val="Calibri"/>
      <family val="2"/>
      <scheme val="minor"/>
    </font>
    <font>
      <b/>
      <sz val="11"/>
      <color theme="0"/>
      <name val="Calibri"/>
      <family val="2"/>
      <scheme val="minor"/>
    </font>
    <font>
      <b/>
      <sz val="11"/>
      <color theme="1"/>
      <name val="Calibri"/>
      <family val="2"/>
      <scheme val="minor"/>
    </font>
    <font>
      <sz val="10"/>
      <color rgb="FF58595B"/>
      <name val="Kia Medium"/>
      <family val="2"/>
    </font>
    <font>
      <sz val="8"/>
      <name val="Calibri"/>
      <family val="2"/>
      <scheme val="minor"/>
    </font>
    <font>
      <sz val="16"/>
      <color rgb="FF58595B"/>
      <name val="Kia Medium"/>
      <family val="2"/>
    </font>
    <font>
      <sz val="9"/>
      <color theme="1"/>
      <name val="Calibri"/>
      <family val="2"/>
      <scheme val="minor"/>
    </font>
    <font>
      <sz val="20"/>
      <color rgb="FFBB162B"/>
      <name val="Kia Medium"/>
      <family val="2"/>
    </font>
    <font>
      <sz val="11"/>
      <color theme="1"/>
      <name val="Calibri"/>
      <family val="2"/>
      <scheme val="minor"/>
    </font>
    <font>
      <sz val="12"/>
      <name val="가는각진제목체"/>
      <family val="1"/>
    </font>
    <font>
      <i/>
      <sz val="11"/>
      <name val="Calibri"/>
      <family val="2"/>
      <scheme val="minor"/>
    </font>
    <font>
      <sz val="11"/>
      <color rgb="FFC1001E"/>
      <name val="KiaOTFB"/>
    </font>
    <font>
      <sz val="9"/>
      <color theme="1"/>
      <name val="KiaOTFM"/>
    </font>
    <font>
      <sz val="8"/>
      <color theme="1"/>
      <name val="KiaOTFL"/>
    </font>
    <font>
      <sz val="11"/>
      <color rgb="FF58595B"/>
      <name val="Kia Medium"/>
      <family val="2"/>
    </font>
    <font>
      <sz val="8"/>
      <color rgb="FF000000"/>
      <name val="KiaOTFL"/>
    </font>
    <font>
      <sz val="10"/>
      <color theme="1"/>
      <name val="KiaOTFM"/>
    </font>
    <font>
      <sz val="11"/>
      <color rgb="FFC00000"/>
      <name val="Calibri"/>
      <family val="2"/>
      <scheme val="minor"/>
    </font>
    <font>
      <u/>
      <sz val="11"/>
      <color rgb="FFC1001E"/>
      <name val="Kia Bold"/>
      <family val="2"/>
    </font>
    <font>
      <u/>
      <sz val="11"/>
      <color rgb="FFC1001E"/>
      <name val="Kia OTFB"/>
    </font>
    <font>
      <i/>
      <sz val="9"/>
      <name val="Calibri"/>
      <family val="2"/>
      <scheme val="minor"/>
    </font>
    <font>
      <b/>
      <sz val="11"/>
      <color rgb="FFC00000"/>
      <name val="Calibri"/>
      <family val="2"/>
      <scheme val="minor"/>
    </font>
    <font>
      <b/>
      <sz val="9"/>
      <color indexed="81"/>
      <name val="Tahoma"/>
      <family val="2"/>
    </font>
    <font>
      <sz val="10"/>
      <color theme="1"/>
      <name val="Calibri"/>
      <family val="2"/>
      <scheme val="minor"/>
    </font>
    <font>
      <b/>
      <vertAlign val="superscript"/>
      <sz val="10"/>
      <color theme="0"/>
      <name val="Calibri"/>
      <family val="2"/>
      <scheme val="minor"/>
    </font>
    <font>
      <b/>
      <sz val="10"/>
      <color theme="0"/>
      <name val="Calibri"/>
      <family val="2"/>
      <scheme val="minor"/>
    </font>
    <font>
      <sz val="10"/>
      <color rgb="FFBB162B"/>
      <name val="Calibri"/>
      <family val="2"/>
      <scheme val="minor"/>
    </font>
    <font>
      <sz val="10"/>
      <color theme="1" tint="0.14999847407452621"/>
      <name val="Calibri"/>
      <family val="2"/>
      <scheme val="minor"/>
    </font>
    <font>
      <b/>
      <sz val="10"/>
      <color rgb="FFBB162B"/>
      <name val="Calibri"/>
      <family val="2"/>
      <scheme val="minor"/>
    </font>
    <font>
      <b/>
      <vertAlign val="subscript"/>
      <sz val="11"/>
      <color theme="0"/>
      <name val="Calibri"/>
      <family val="2"/>
      <scheme val="minor"/>
    </font>
  </fonts>
  <fills count="9">
    <fill>
      <patternFill patternType="none"/>
    </fill>
    <fill>
      <patternFill patternType="gray125"/>
    </fill>
    <fill>
      <patternFill patternType="solid">
        <fgColor rgb="FFBB162B"/>
        <bgColor indexed="64"/>
      </patternFill>
    </fill>
    <fill>
      <patternFill patternType="solid">
        <fgColor rgb="FFC4C6C8"/>
        <bgColor indexed="64"/>
      </patternFill>
    </fill>
    <fill>
      <patternFill patternType="solid">
        <fgColor rgb="FFDEDFE0"/>
        <bgColor indexed="64"/>
      </patternFill>
    </fill>
    <fill>
      <patternFill patternType="solid">
        <fgColor rgb="FFC4C6C8"/>
        <bgColor rgb="FF000000"/>
      </patternFill>
    </fill>
    <fill>
      <patternFill patternType="solid">
        <fgColor rgb="FFDEDFE0"/>
        <bgColor rgb="FF000000"/>
      </patternFill>
    </fill>
    <fill>
      <patternFill patternType="solid">
        <fgColor theme="1" tint="0.34998626667073579"/>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top/>
      <bottom style="thin">
        <color theme="0"/>
      </bottom>
      <diagonal/>
    </border>
    <border>
      <left style="thin">
        <color theme="1" tint="0.14999847407452621"/>
      </left>
      <right style="thin">
        <color theme="1" tint="0.14999847407452621"/>
      </right>
      <top style="thin">
        <color theme="1" tint="0.14999847407452621"/>
      </top>
      <bottom/>
      <diagonal/>
    </border>
    <border>
      <left style="thin">
        <color theme="1" tint="0.14999847407452621"/>
      </left>
      <right style="thin">
        <color theme="1" tint="0.14999847407452621"/>
      </right>
      <top/>
      <bottom/>
      <diagonal/>
    </border>
    <border>
      <left style="thin">
        <color theme="1" tint="0.14999847407452621"/>
      </left>
      <right style="thin">
        <color theme="1" tint="0.14999847407452621"/>
      </right>
      <top/>
      <bottom style="thin">
        <color theme="1" tint="0.14999847407452621"/>
      </bottom>
      <diagonal/>
    </border>
  </borders>
  <cellStyleXfs count="43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Border="0"/>
    <xf numFmtId="164" fontId="11" fillId="0" borderId="0" applyFont="0" applyFill="0" applyBorder="0" applyAlignment="0" applyProtection="0"/>
    <xf numFmtId="0" fontId="12" fillId="0" borderId="0">
      <alignment vertical="center"/>
    </xf>
    <xf numFmtId="0" fontId="11" fillId="0" borderId="0" applyBorder="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88">
    <xf numFmtId="0" fontId="0" fillId="0" borderId="0" xfId="0"/>
    <xf numFmtId="0" fontId="0" fillId="3" borderId="1" xfId="0" applyFont="1" applyFill="1" applyBorder="1"/>
    <xf numFmtId="0" fontId="0" fillId="3" borderId="1" xfId="0" applyFont="1" applyFill="1" applyBorder="1" applyAlignment="1">
      <alignment horizontal="center"/>
    </xf>
    <xf numFmtId="1" fontId="0" fillId="3" borderId="1" xfId="0" applyNumberFormat="1" applyFont="1" applyFill="1" applyBorder="1" applyAlignment="1">
      <alignment horizontal="right"/>
    </xf>
    <xf numFmtId="0" fontId="0" fillId="3" borderId="1" xfId="0" applyFont="1" applyFill="1" applyBorder="1" applyAlignment="1">
      <alignment horizontal="right"/>
    </xf>
    <xf numFmtId="0" fontId="0" fillId="4" borderId="1" xfId="0" applyFont="1" applyFill="1" applyBorder="1"/>
    <xf numFmtId="0" fontId="0" fillId="4" borderId="1" xfId="0" applyFont="1" applyFill="1" applyBorder="1" applyAlignment="1">
      <alignment horizontal="center"/>
    </xf>
    <xf numFmtId="0" fontId="0" fillId="4" borderId="1" xfId="0" applyFont="1" applyFill="1" applyBorder="1" applyAlignment="1">
      <alignment horizontal="right"/>
    </xf>
    <xf numFmtId="1" fontId="1" fillId="4" borderId="1" xfId="0" applyNumberFormat="1" applyFont="1" applyFill="1" applyBorder="1" applyAlignment="1">
      <alignment horizontal="right"/>
    </xf>
    <xf numFmtId="0" fontId="1" fillId="3" borderId="1" xfId="0" applyFont="1" applyFill="1" applyBorder="1" applyAlignment="1">
      <alignment horizontal="left"/>
    </xf>
    <xf numFmtId="0" fontId="1" fillId="3" borderId="1" xfId="0" applyFont="1" applyFill="1" applyBorder="1"/>
    <xf numFmtId="0" fontId="1" fillId="3" borderId="1" xfId="0" applyFont="1" applyFill="1" applyBorder="1" applyAlignment="1">
      <alignment horizontal="center"/>
    </xf>
    <xf numFmtId="0" fontId="1" fillId="3" borderId="1" xfId="0" applyFont="1" applyFill="1" applyBorder="1" applyAlignment="1">
      <alignment horizontal="right"/>
    </xf>
    <xf numFmtId="1" fontId="1" fillId="3" borderId="1" xfId="0" applyNumberFormat="1" applyFont="1" applyFill="1" applyBorder="1" applyAlignment="1">
      <alignment horizontal="right"/>
    </xf>
    <xf numFmtId="0" fontId="1" fillId="4" borderId="1" xfId="0" applyFont="1" applyFill="1" applyBorder="1" applyAlignment="1">
      <alignment horizontal="left"/>
    </xf>
    <xf numFmtId="0" fontId="1" fillId="4" borderId="1" xfId="0" applyFont="1" applyFill="1" applyBorder="1"/>
    <xf numFmtId="0" fontId="1" fillId="4" borderId="1" xfId="0" applyFont="1" applyFill="1" applyBorder="1" applyAlignment="1">
      <alignment horizontal="center"/>
    </xf>
    <xf numFmtId="0" fontId="1" fillId="4" borderId="1" xfId="0" applyFont="1" applyFill="1" applyBorder="1" applyAlignment="1">
      <alignment horizontal="right"/>
    </xf>
    <xf numFmtId="0" fontId="1" fillId="5" borderId="5" xfId="0" applyFont="1" applyFill="1" applyBorder="1" applyAlignment="1">
      <alignment horizontal="right"/>
    </xf>
    <xf numFmtId="0" fontId="1" fillId="6" borderId="6" xfId="0" applyFont="1" applyFill="1" applyBorder="1" applyAlignment="1">
      <alignment horizontal="right"/>
    </xf>
    <xf numFmtId="0" fontId="1" fillId="5" borderId="6" xfId="0" applyFont="1" applyFill="1" applyBorder="1" applyAlignment="1">
      <alignment horizontal="right"/>
    </xf>
    <xf numFmtId="0" fontId="0" fillId="0" borderId="0" xfId="0" applyAlignment="1">
      <alignment horizontal="right"/>
    </xf>
    <xf numFmtId="0" fontId="1" fillId="0" borderId="0" xfId="0" applyFont="1"/>
    <xf numFmtId="0" fontId="4" fillId="2" borderId="1" xfId="0" applyFont="1" applyFill="1" applyBorder="1" applyAlignment="1">
      <alignment horizontal="center"/>
    </xf>
    <xf numFmtId="0" fontId="4" fillId="2" borderId="1" xfId="0" applyFont="1" applyFill="1" applyBorder="1" applyAlignment="1">
      <alignment horizontal="right"/>
    </xf>
    <xf numFmtId="0" fontId="5" fillId="0" borderId="0" xfId="0" applyFont="1"/>
    <xf numFmtId="0" fontId="4" fillId="2" borderId="1" xfId="0" applyFont="1" applyFill="1" applyBorder="1"/>
    <xf numFmtId="0" fontId="4" fillId="7" borderId="4" xfId="0" applyFont="1" applyFill="1" applyBorder="1" applyAlignment="1"/>
    <xf numFmtId="0" fontId="4" fillId="7" borderId="1" xfId="0" applyFont="1" applyFill="1" applyBorder="1" applyAlignment="1">
      <alignment horizontal="right"/>
    </xf>
    <xf numFmtId="0" fontId="9" fillId="0" borderId="0" xfId="0" applyFont="1"/>
    <xf numFmtId="0" fontId="9" fillId="0" borderId="0" xfId="0" applyFont="1" applyAlignment="1"/>
    <xf numFmtId="0" fontId="0" fillId="0" borderId="0" xfId="0" applyFill="1"/>
    <xf numFmtId="0" fontId="1" fillId="3" borderId="2" xfId="0" applyFont="1" applyFill="1" applyBorder="1" applyAlignment="1"/>
    <xf numFmtId="0" fontId="1" fillId="3" borderId="4" xfId="0" applyFont="1" applyFill="1" applyBorder="1" applyAlignment="1"/>
    <xf numFmtId="0" fontId="1" fillId="3" borderId="3" xfId="0" applyFont="1" applyFill="1" applyBorder="1" applyAlignment="1"/>
    <xf numFmtId="0" fontId="1" fillId="4" borderId="2" xfId="0" applyFont="1" applyFill="1" applyBorder="1" applyAlignment="1"/>
    <xf numFmtId="0" fontId="1" fillId="4" borderId="4" xfId="0" applyFont="1" applyFill="1" applyBorder="1" applyAlignment="1"/>
    <xf numFmtId="0" fontId="8" fillId="0" borderId="7" xfId="0" applyFont="1" applyBorder="1" applyAlignment="1">
      <alignment horizontal="left"/>
    </xf>
    <xf numFmtId="0" fontId="1" fillId="3" borderId="4" xfId="0" applyFont="1" applyFill="1" applyBorder="1" applyAlignment="1">
      <alignment horizontal="center"/>
    </xf>
    <xf numFmtId="0" fontId="4" fillId="7" borderId="2" xfId="0" applyFont="1" applyFill="1" applyBorder="1" applyAlignment="1"/>
    <xf numFmtId="0" fontId="4" fillId="7" borderId="4" xfId="0" applyFont="1" applyFill="1" applyBorder="1" applyAlignment="1">
      <alignment horizontal="center"/>
    </xf>
    <xf numFmtId="0" fontId="1" fillId="4" borderId="4" xfId="0" applyFont="1" applyFill="1" applyBorder="1" applyAlignment="1">
      <alignment horizontal="center"/>
    </xf>
    <xf numFmtId="0" fontId="13" fillId="3" borderId="2" xfId="0" applyFont="1" applyFill="1" applyBorder="1" applyAlignment="1"/>
    <xf numFmtId="0" fontId="4" fillId="2" borderId="2" xfId="0" applyFont="1" applyFill="1" applyBorder="1" applyAlignment="1"/>
    <xf numFmtId="0" fontId="0" fillId="0" borderId="0" xfId="0" applyAlignment="1">
      <alignment horizontal="center"/>
    </xf>
    <xf numFmtId="0" fontId="0" fillId="8" borderId="0" xfId="0" applyFill="1"/>
    <xf numFmtId="0" fontId="14" fillId="0" borderId="0" xfId="0" applyFont="1" applyFill="1"/>
    <xf numFmtId="0" fontId="15" fillId="0" borderId="0" xfId="0" applyFont="1" applyFill="1"/>
    <xf numFmtId="0" fontId="0" fillId="8" borderId="0" xfId="0" applyFill="1" applyAlignment="1">
      <alignment horizontal="center"/>
    </xf>
    <xf numFmtId="0" fontId="0" fillId="8" borderId="0" xfId="0" applyFill="1" applyAlignment="1">
      <alignment horizontal="right"/>
    </xf>
    <xf numFmtId="0" fontId="6" fillId="8" borderId="0" xfId="0" applyFont="1" applyFill="1" applyAlignment="1">
      <alignment horizontal="right"/>
    </xf>
    <xf numFmtId="0" fontId="8" fillId="0" borderId="7" xfId="0" applyFont="1" applyBorder="1" applyAlignment="1">
      <alignment horizontal="left"/>
    </xf>
    <xf numFmtId="0" fontId="16" fillId="0" borderId="0" xfId="0" applyFont="1" applyAlignment="1">
      <alignment vertical="top" wrapText="1"/>
    </xf>
    <xf numFmtId="0" fontId="19" fillId="0" borderId="0" xfId="0" applyFont="1" applyFill="1"/>
    <xf numFmtId="0" fontId="20" fillId="0" borderId="0" xfId="0" applyFont="1"/>
    <xf numFmtId="0" fontId="21" fillId="0" borderId="0" xfId="0" applyFont="1" applyFill="1"/>
    <xf numFmtId="0" fontId="22" fillId="0" borderId="0" xfId="0" applyFont="1" applyFill="1"/>
    <xf numFmtId="0" fontId="8" fillId="0" borderId="7" xfId="0" applyFont="1" applyBorder="1" applyAlignment="1"/>
    <xf numFmtId="0" fontId="19" fillId="0" borderId="0" xfId="0" applyFont="1" applyFill="1" applyAlignment="1">
      <alignment wrapText="1"/>
    </xf>
    <xf numFmtId="0" fontId="24" fillId="3" borderId="1" xfId="0" applyFont="1" applyFill="1" applyBorder="1" applyAlignment="1">
      <alignment horizontal="left"/>
    </xf>
    <xf numFmtId="0" fontId="24" fillId="3" borderId="1" xfId="0" applyFont="1" applyFill="1" applyBorder="1"/>
    <xf numFmtId="0" fontId="24" fillId="3" borderId="1" xfId="0" applyFont="1" applyFill="1" applyBorder="1" applyAlignment="1">
      <alignment horizontal="center"/>
    </xf>
    <xf numFmtId="1" fontId="24" fillId="3" borderId="1" xfId="0" applyNumberFormat="1" applyFont="1" applyFill="1" applyBorder="1" applyAlignment="1">
      <alignment horizontal="right"/>
    </xf>
    <xf numFmtId="0" fontId="24" fillId="3" borderId="1" xfId="0" applyFont="1" applyFill="1" applyBorder="1" applyAlignment="1">
      <alignment horizontal="right"/>
    </xf>
    <xf numFmtId="0" fontId="24" fillId="0" borderId="0" xfId="0" applyFont="1"/>
    <xf numFmtId="0" fontId="24" fillId="4" borderId="1" xfId="0" applyFont="1" applyFill="1" applyBorder="1" applyAlignment="1">
      <alignment horizontal="left"/>
    </xf>
    <xf numFmtId="0" fontId="24" fillId="4" borderId="1" xfId="0" applyFont="1" applyFill="1" applyBorder="1"/>
    <xf numFmtId="0" fontId="24" fillId="4" borderId="1" xfId="0" applyFont="1" applyFill="1" applyBorder="1" applyAlignment="1">
      <alignment horizontal="center"/>
    </xf>
    <xf numFmtId="1" fontId="24" fillId="4" borderId="1" xfId="0" applyNumberFormat="1" applyFont="1" applyFill="1" applyBorder="1" applyAlignment="1">
      <alignment horizontal="right"/>
    </xf>
    <xf numFmtId="0" fontId="24" fillId="4" borderId="1" xfId="0" applyFont="1" applyFill="1" applyBorder="1" applyAlignment="1">
      <alignment horizontal="right"/>
    </xf>
    <xf numFmtId="0" fontId="26" fillId="0" borderId="0" xfId="0" applyFont="1"/>
    <xf numFmtId="0" fontId="29" fillId="0" borderId="0" xfId="0" applyFont="1"/>
    <xf numFmtId="0" fontId="30" fillId="0" borderId="0" xfId="0" applyFont="1"/>
    <xf numFmtId="0" fontId="31" fillId="0" borderId="1" xfId="0" applyFont="1" applyFill="1" applyBorder="1"/>
    <xf numFmtId="0" fontId="10" fillId="8" borderId="0" xfId="0" applyFont="1" applyFill="1" applyAlignment="1">
      <alignment horizontal="right"/>
    </xf>
    <xf numFmtId="49" fontId="17" fillId="8" borderId="0" xfId="0" applyNumberFormat="1" applyFont="1" applyFill="1" applyAlignment="1">
      <alignment horizontal="right"/>
    </xf>
    <xf numFmtId="0" fontId="8" fillId="8" borderId="7" xfId="0" applyFont="1" applyFill="1" applyBorder="1" applyAlignment="1">
      <alignment horizontal="left"/>
    </xf>
    <xf numFmtId="0" fontId="4" fillId="7" borderId="2" xfId="0" applyFont="1" applyFill="1" applyBorder="1" applyAlignment="1">
      <alignment horizontal="left"/>
    </xf>
    <xf numFmtId="0" fontId="4" fillId="7" borderId="4" xfId="0" applyFont="1" applyFill="1" applyBorder="1" applyAlignment="1">
      <alignment horizontal="left"/>
    </xf>
    <xf numFmtId="0" fontId="8" fillId="0" borderId="7" xfId="0" applyFont="1" applyBorder="1" applyAlignment="1">
      <alignment horizontal="left"/>
    </xf>
    <xf numFmtId="0" fontId="18" fillId="0" borderId="0" xfId="0" applyFont="1" applyAlignment="1">
      <alignment horizontal="left" vertical="top" wrapText="1"/>
    </xf>
    <xf numFmtId="0" fontId="23" fillId="3" borderId="2" xfId="0" applyFont="1" applyFill="1" applyBorder="1" applyAlignment="1">
      <alignment horizontal="left"/>
    </xf>
    <xf numFmtId="0" fontId="23" fillId="3" borderId="4" xfId="0" applyFont="1" applyFill="1" applyBorder="1" applyAlignment="1">
      <alignment horizontal="left"/>
    </xf>
    <xf numFmtId="0" fontId="13" fillId="3" borderId="2" xfId="0" applyFont="1" applyFill="1" applyBorder="1" applyAlignment="1">
      <alignment horizontal="left"/>
    </xf>
    <xf numFmtId="0" fontId="13" fillId="3" borderId="4" xfId="0" applyFont="1" applyFill="1" applyBorder="1" applyAlignment="1">
      <alignment horizontal="left"/>
    </xf>
    <xf numFmtId="0" fontId="19" fillId="0" borderId="8" xfId="0" applyFont="1" applyFill="1" applyBorder="1" applyAlignment="1">
      <alignment horizontal="left" vertical="center" wrapText="1"/>
    </xf>
    <xf numFmtId="0" fontId="19" fillId="0" borderId="9" xfId="0" applyFont="1" applyFill="1" applyBorder="1" applyAlignment="1">
      <alignment horizontal="left" vertical="center" wrapText="1"/>
    </xf>
    <xf numFmtId="0" fontId="19" fillId="0" borderId="10" xfId="0" applyFont="1" applyFill="1" applyBorder="1" applyAlignment="1">
      <alignment horizontal="left" vertical="center" wrapText="1"/>
    </xf>
  </cellXfs>
  <cellStyles count="435">
    <cellStyle name="Comma 2" xfId="19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Normal" xfId="0" builtinId="0"/>
    <cellStyle name="Normal 2" xfId="191"/>
    <cellStyle name="Normal 3" xfId="194"/>
    <cellStyle name="표준_최종 런다운(0409)" xfId="193"/>
  </cellStyles>
  <dxfs count="0"/>
  <tableStyles count="0" defaultTableStyle="TableStyleMedium9" defaultPivotStyle="PivotStyleMedium4"/>
  <colors>
    <mruColors>
      <color rgb="FFBB162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251</xdr:row>
      <xdr:rowOff>0</xdr:rowOff>
    </xdr:from>
    <xdr:to>
      <xdr:col>1</xdr:col>
      <xdr:colOff>1923</xdr:colOff>
      <xdr:row>254</xdr:row>
      <xdr:rowOff>77735</xdr:rowOff>
    </xdr:to>
    <xdr:pic>
      <xdr:nvPicPr>
        <xdr:cNvPr id="2" name="Afbeelding 1"/>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47793672"/>
          <a:ext cx="775829" cy="643281"/>
        </a:xfrm>
        <a:prstGeom prst="rect">
          <a:avLst/>
        </a:prstGeom>
      </xdr:spPr>
    </xdr:pic>
    <xdr:clientData/>
  </xdr:twoCellAnchor>
  <xdr:twoCellAnchor editAs="oneCell">
    <xdr:from>
      <xdr:col>1</xdr:col>
      <xdr:colOff>0</xdr:colOff>
      <xdr:row>251</xdr:row>
      <xdr:rowOff>0</xdr:rowOff>
    </xdr:from>
    <xdr:to>
      <xdr:col>1</xdr:col>
      <xdr:colOff>826671</xdr:colOff>
      <xdr:row>254</xdr:row>
      <xdr:rowOff>69057</xdr:rowOff>
    </xdr:to>
    <xdr:pic>
      <xdr:nvPicPr>
        <xdr:cNvPr id="3" name="Afbeelding 2"/>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38200" y="46177200"/>
          <a:ext cx="826671" cy="622300"/>
        </a:xfrm>
        <a:prstGeom prst="rect">
          <a:avLst/>
        </a:prstGeom>
      </xdr:spPr>
    </xdr:pic>
    <xdr:clientData/>
  </xdr:twoCellAnchor>
  <xdr:twoCellAnchor editAs="oneCell">
    <xdr:from>
      <xdr:col>0</xdr:col>
      <xdr:colOff>0</xdr:colOff>
      <xdr:row>0</xdr:row>
      <xdr:rowOff>0</xdr:rowOff>
    </xdr:from>
    <xdr:to>
      <xdr:col>1</xdr:col>
      <xdr:colOff>1615685</xdr:colOff>
      <xdr:row>4</xdr:row>
      <xdr:rowOff>0</xdr:rowOff>
    </xdr:to>
    <xdr:pic>
      <xdr:nvPicPr>
        <xdr:cNvPr id="4" name="Afbeelding 3" descr="1.-3D-Symbolmark.png"/>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r="-20971"/>
        <a:stretch/>
      </xdr:blipFill>
      <xdr:spPr>
        <a:xfrm>
          <a:off x="0" y="0"/>
          <a:ext cx="2453885" cy="863600"/>
        </a:xfrm>
        <a:prstGeom prst="rect">
          <a:avLst/>
        </a:prstGeom>
      </xdr:spPr>
    </xdr:pic>
    <xdr:clientData/>
  </xdr:twoCellAnchor>
  <xdr:twoCellAnchor>
    <xdr:from>
      <xdr:col>1</xdr:col>
      <xdr:colOff>883047</xdr:colOff>
      <xdr:row>181</xdr:row>
      <xdr:rowOff>168672</xdr:rowOff>
    </xdr:from>
    <xdr:to>
      <xdr:col>1</xdr:col>
      <xdr:colOff>1743124</xdr:colOff>
      <xdr:row>182</xdr:row>
      <xdr:rowOff>188096</xdr:rowOff>
    </xdr:to>
    <xdr:sp macro="" textlink="">
      <xdr:nvSpPr>
        <xdr:cNvPr id="5" name="Rounded Rectangle 4"/>
        <xdr:cNvSpPr/>
      </xdr:nvSpPr>
      <xdr:spPr>
        <a:xfrm>
          <a:off x="1676797" y="38735000"/>
          <a:ext cx="860077" cy="207940"/>
        </a:xfrm>
        <a:prstGeom prst="roundRect">
          <a:avLst/>
        </a:prstGeom>
        <a:solidFill>
          <a:srgbClr val="BB162B"/>
        </a:solidFill>
        <a:ln>
          <a:solidFill>
            <a:schemeClr val="tx1">
              <a:lumMod val="50000"/>
              <a:lumOff val="50000"/>
            </a:schemeClr>
          </a:solidFill>
        </a:ln>
        <a:effectLst>
          <a:outerShdw blurRad="50800" dist="38100" dir="8100000" algn="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nchorCtr="1"/>
        <a:lstStyle/>
        <a:p>
          <a:pPr algn="l"/>
          <a:r>
            <a:rPr lang="en-US" sz="1100" b="0" cap="none" spc="0">
              <a:ln w="18000">
                <a:noFill/>
                <a:prstDash val="solid"/>
                <a:miter lim="800000"/>
              </a:ln>
              <a:solidFill>
                <a:schemeClr val="bg1"/>
              </a:solidFill>
              <a:effectLst/>
              <a:latin typeface="Kia Bold" panose="020B0600000101010101" pitchFamily="34" charset="-127"/>
              <a:ea typeface="Kia Bold" panose="020B0600000101010101" pitchFamily="34" charset="-127"/>
            </a:rPr>
            <a:t>NIEUW</a:t>
          </a:r>
          <a:endParaRPr lang="en-US" sz="1100" b="1" cap="none" spc="0">
            <a:ln w="18000">
              <a:noFill/>
              <a:prstDash val="solid"/>
              <a:miter lim="800000"/>
            </a:ln>
            <a:solidFill>
              <a:schemeClr val="bg1"/>
            </a:solidFill>
            <a:effectLst>
              <a:outerShdw blurRad="25500" dist="23000" dir="7020000" algn="tl">
                <a:srgbClr val="000000">
                  <a:alpha val="50000"/>
                </a:srgbClr>
              </a:outerShdw>
            </a:effectLst>
            <a:latin typeface="Kia Bold" panose="020B0600000101010101" pitchFamily="34" charset="-127"/>
            <a:ea typeface="Kia Bold" panose="020B0600000101010101" pitchFamily="34" charset="-127"/>
          </a:endParaRPr>
        </a:p>
      </xdr:txBody>
    </xdr:sp>
    <xdr:clientData/>
  </xdr:twoCellAnchor>
  <xdr:twoCellAnchor>
    <xdr:from>
      <xdr:col>1</xdr:col>
      <xdr:colOff>727868</xdr:colOff>
      <xdr:row>234</xdr:row>
      <xdr:rowOff>152401</xdr:rowOff>
    </xdr:from>
    <xdr:to>
      <xdr:col>1</xdr:col>
      <xdr:colOff>1587945</xdr:colOff>
      <xdr:row>235</xdr:row>
      <xdr:rowOff>171825</xdr:rowOff>
    </xdr:to>
    <xdr:sp macro="" textlink="">
      <xdr:nvSpPr>
        <xdr:cNvPr id="6" name="Rounded Rectangle 5"/>
        <xdr:cNvSpPr/>
      </xdr:nvSpPr>
      <xdr:spPr>
        <a:xfrm>
          <a:off x="1521618" y="48888651"/>
          <a:ext cx="860077" cy="207940"/>
        </a:xfrm>
        <a:prstGeom prst="roundRect">
          <a:avLst/>
        </a:prstGeom>
        <a:solidFill>
          <a:srgbClr val="BB162B"/>
        </a:solidFill>
        <a:ln>
          <a:solidFill>
            <a:schemeClr val="tx1">
              <a:lumMod val="50000"/>
              <a:lumOff val="50000"/>
            </a:schemeClr>
          </a:solidFill>
        </a:ln>
        <a:effectLst>
          <a:outerShdw blurRad="50800" dist="38100" dir="8100000" algn="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nchorCtr="1"/>
        <a:lstStyle/>
        <a:p>
          <a:pPr algn="l"/>
          <a:r>
            <a:rPr lang="en-US" sz="1100" b="0" cap="none" spc="0">
              <a:ln w="18000">
                <a:noFill/>
                <a:prstDash val="solid"/>
                <a:miter lim="800000"/>
              </a:ln>
              <a:solidFill>
                <a:schemeClr val="bg1"/>
              </a:solidFill>
              <a:effectLst/>
              <a:latin typeface="Kia Bold" panose="020B0600000101010101" pitchFamily="34" charset="-127"/>
              <a:ea typeface="Kia Bold" panose="020B0600000101010101" pitchFamily="34" charset="-127"/>
            </a:rPr>
            <a:t>NIEUW</a:t>
          </a:r>
          <a:endParaRPr lang="en-US" sz="1100" b="1" cap="none" spc="0">
            <a:ln w="18000">
              <a:noFill/>
              <a:prstDash val="solid"/>
              <a:miter lim="800000"/>
            </a:ln>
            <a:solidFill>
              <a:schemeClr val="bg1"/>
            </a:solidFill>
            <a:effectLst>
              <a:outerShdw blurRad="25500" dist="23000" dir="7020000" algn="tl">
                <a:srgbClr val="000000">
                  <a:alpha val="50000"/>
                </a:srgbClr>
              </a:outerShdw>
            </a:effectLst>
            <a:latin typeface="Kia Bold" panose="020B0600000101010101" pitchFamily="34" charset="-127"/>
            <a:ea typeface="Kia Bold" panose="020B0600000101010101" pitchFamily="34" charset="-127"/>
          </a:endParaRPr>
        </a:p>
      </xdr:txBody>
    </xdr:sp>
    <xdr:clientData/>
  </xdr:twoCellAnchor>
  <xdr:twoCellAnchor>
    <xdr:from>
      <xdr:col>1</xdr:col>
      <xdr:colOff>1150962</xdr:colOff>
      <xdr:row>152</xdr:row>
      <xdr:rowOff>0</xdr:rowOff>
    </xdr:from>
    <xdr:to>
      <xdr:col>1</xdr:col>
      <xdr:colOff>2011039</xdr:colOff>
      <xdr:row>152</xdr:row>
      <xdr:rowOff>207939</xdr:rowOff>
    </xdr:to>
    <xdr:sp macro="" textlink="">
      <xdr:nvSpPr>
        <xdr:cNvPr id="7" name="Rounded Rectangle 6"/>
        <xdr:cNvSpPr/>
      </xdr:nvSpPr>
      <xdr:spPr>
        <a:xfrm>
          <a:off x="1944712" y="29269531"/>
          <a:ext cx="860077" cy="207939"/>
        </a:xfrm>
        <a:prstGeom prst="roundRect">
          <a:avLst/>
        </a:prstGeom>
        <a:solidFill>
          <a:srgbClr val="BB162B"/>
        </a:solidFill>
        <a:ln>
          <a:solidFill>
            <a:schemeClr val="tx1">
              <a:lumMod val="50000"/>
              <a:lumOff val="50000"/>
            </a:schemeClr>
          </a:solidFill>
        </a:ln>
        <a:effectLst>
          <a:outerShdw blurRad="50800" dist="38100" dir="8100000" algn="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nchorCtr="1"/>
        <a:lstStyle/>
        <a:p>
          <a:pPr algn="l"/>
          <a:r>
            <a:rPr lang="en-US" sz="1100" b="0" cap="none" spc="0">
              <a:ln w="18000">
                <a:noFill/>
                <a:prstDash val="solid"/>
                <a:miter lim="800000"/>
              </a:ln>
              <a:solidFill>
                <a:schemeClr val="bg1"/>
              </a:solidFill>
              <a:effectLst/>
              <a:latin typeface="Kia Bold" panose="020B0600000101010101" pitchFamily="34" charset="-127"/>
              <a:ea typeface="Kia Bold" panose="020B0600000101010101" pitchFamily="34" charset="-127"/>
            </a:rPr>
            <a:t>NIEUW</a:t>
          </a:r>
          <a:endParaRPr lang="en-US" sz="1100" b="1" cap="none" spc="0">
            <a:ln w="18000">
              <a:noFill/>
              <a:prstDash val="solid"/>
              <a:miter lim="800000"/>
            </a:ln>
            <a:solidFill>
              <a:schemeClr val="bg1"/>
            </a:solidFill>
            <a:effectLst>
              <a:outerShdw blurRad="25500" dist="23000" dir="7020000" algn="tl">
                <a:srgbClr val="000000">
                  <a:alpha val="50000"/>
                </a:srgbClr>
              </a:outerShdw>
            </a:effectLst>
            <a:latin typeface="Kia Bold" panose="020B0600000101010101" pitchFamily="34" charset="-127"/>
            <a:ea typeface="Kia Bold" panose="020B0600000101010101" pitchFamily="34" charset="-127"/>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246</xdr:row>
      <xdr:rowOff>0</xdr:rowOff>
    </xdr:from>
    <xdr:to>
      <xdr:col>1</xdr:col>
      <xdr:colOff>22151</xdr:colOff>
      <xdr:row>249</xdr:row>
      <xdr:rowOff>75427</xdr:rowOff>
    </xdr:to>
    <xdr:pic>
      <xdr:nvPicPr>
        <xdr:cNvPr id="3" name="Afbeelding 2" descr="1.jpg"/>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0" y="45643800"/>
          <a:ext cx="838200" cy="630978"/>
        </a:xfrm>
        <a:prstGeom prst="rect">
          <a:avLst/>
        </a:prstGeom>
      </xdr:spPr>
    </xdr:pic>
    <xdr:clientData/>
  </xdr:twoCellAnchor>
  <xdr:twoCellAnchor editAs="oneCell">
    <xdr:from>
      <xdr:col>1</xdr:col>
      <xdr:colOff>0</xdr:colOff>
      <xdr:row>246</xdr:row>
      <xdr:rowOff>0</xdr:rowOff>
    </xdr:from>
    <xdr:to>
      <xdr:col>1</xdr:col>
      <xdr:colOff>826672</xdr:colOff>
      <xdr:row>249</xdr:row>
      <xdr:rowOff>66749</xdr:rowOff>
    </xdr:to>
    <xdr:pic>
      <xdr:nvPicPr>
        <xdr:cNvPr id="4" name="Afbeelding 3" descr="2.jpg"/>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838200" y="45643800"/>
          <a:ext cx="826672" cy="622300"/>
        </a:xfrm>
        <a:prstGeom prst="rect">
          <a:avLst/>
        </a:prstGeom>
      </xdr:spPr>
    </xdr:pic>
    <xdr:clientData/>
  </xdr:twoCellAnchor>
  <xdr:twoCellAnchor editAs="oneCell">
    <xdr:from>
      <xdr:col>0</xdr:col>
      <xdr:colOff>0</xdr:colOff>
      <xdr:row>0</xdr:row>
      <xdr:rowOff>0</xdr:rowOff>
    </xdr:from>
    <xdr:to>
      <xdr:col>1</xdr:col>
      <xdr:colOff>1637836</xdr:colOff>
      <xdr:row>4</xdr:row>
      <xdr:rowOff>0</xdr:rowOff>
    </xdr:to>
    <xdr:pic>
      <xdr:nvPicPr>
        <xdr:cNvPr id="5" name="Afbeelding 4" descr="1.-3D-Symbolmark.png"/>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a:ext>
          </a:extLst>
        </a:blip>
        <a:srcRect r="-20971"/>
        <a:stretch/>
      </xdr:blipFill>
      <xdr:spPr>
        <a:xfrm>
          <a:off x="0" y="0"/>
          <a:ext cx="2453885" cy="863600"/>
        </a:xfrm>
        <a:prstGeom prst="rect">
          <a:avLst/>
        </a:prstGeom>
      </xdr:spPr>
    </xdr:pic>
    <xdr:clientData/>
  </xdr:twoCellAnchor>
  <xdr:twoCellAnchor>
    <xdr:from>
      <xdr:col>1</xdr:col>
      <xdr:colOff>392296</xdr:colOff>
      <xdr:row>229</xdr:row>
      <xdr:rowOff>152400</xdr:rowOff>
    </xdr:from>
    <xdr:to>
      <xdr:col>1</xdr:col>
      <xdr:colOff>1252373</xdr:colOff>
      <xdr:row>230</xdr:row>
      <xdr:rowOff>169840</xdr:rowOff>
    </xdr:to>
    <xdr:sp macro="" textlink="">
      <xdr:nvSpPr>
        <xdr:cNvPr id="2" name="Rounded Rectangle 1"/>
        <xdr:cNvSpPr/>
      </xdr:nvSpPr>
      <xdr:spPr>
        <a:xfrm>
          <a:off x="1182871" y="48415575"/>
          <a:ext cx="860077" cy="207940"/>
        </a:xfrm>
        <a:prstGeom prst="roundRect">
          <a:avLst/>
        </a:prstGeom>
        <a:solidFill>
          <a:srgbClr val="BB162B"/>
        </a:solidFill>
        <a:ln>
          <a:solidFill>
            <a:schemeClr val="tx1">
              <a:lumMod val="50000"/>
              <a:lumOff val="50000"/>
            </a:schemeClr>
          </a:solidFill>
        </a:ln>
        <a:effectLst>
          <a:outerShdw blurRad="50800" dist="38100" dir="8100000" algn="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nchorCtr="1"/>
        <a:lstStyle/>
        <a:p>
          <a:pPr algn="l"/>
          <a:r>
            <a:rPr lang="en-US" sz="1100" b="0" cap="none" spc="0">
              <a:ln w="18000">
                <a:noFill/>
                <a:prstDash val="solid"/>
                <a:miter lim="800000"/>
              </a:ln>
              <a:solidFill>
                <a:schemeClr val="bg1"/>
              </a:solidFill>
              <a:effectLst/>
              <a:latin typeface="Kia Bold" panose="020B0600000101010101" pitchFamily="34" charset="-127"/>
              <a:ea typeface="Kia Bold" panose="020B0600000101010101" pitchFamily="34" charset="-127"/>
            </a:rPr>
            <a:t>NOUVEAU</a:t>
          </a:r>
          <a:r>
            <a:rPr lang="en-US" sz="1100" b="1" cap="none" spc="0">
              <a:ln w="18000">
                <a:noFill/>
                <a:prstDash val="solid"/>
                <a:miter lim="800000"/>
              </a:ln>
              <a:solidFill>
                <a:schemeClr val="bg1"/>
              </a:solidFill>
              <a:effectLst>
                <a:outerShdw blurRad="25500" dist="23000" dir="7020000" algn="tl">
                  <a:srgbClr val="000000">
                    <a:alpha val="50000"/>
                  </a:srgbClr>
                </a:outerShdw>
              </a:effectLst>
              <a:latin typeface="Kia Bold" panose="020B0600000101010101" pitchFamily="34" charset="-127"/>
              <a:ea typeface="Kia Bold" panose="020B0600000101010101" pitchFamily="34" charset="-127"/>
            </a:rPr>
            <a:t> </a:t>
          </a:r>
        </a:p>
      </xdr:txBody>
    </xdr:sp>
    <xdr:clientData/>
  </xdr:twoCellAnchor>
  <xdr:twoCellAnchor>
    <xdr:from>
      <xdr:col>1</xdr:col>
      <xdr:colOff>687571</xdr:colOff>
      <xdr:row>177</xdr:row>
      <xdr:rowOff>142875</xdr:rowOff>
    </xdr:from>
    <xdr:to>
      <xdr:col>1</xdr:col>
      <xdr:colOff>1547648</xdr:colOff>
      <xdr:row>178</xdr:row>
      <xdr:rowOff>160315</xdr:rowOff>
    </xdr:to>
    <xdr:sp macro="" textlink="">
      <xdr:nvSpPr>
        <xdr:cNvPr id="8" name="Rounded Rectangle 7"/>
        <xdr:cNvSpPr/>
      </xdr:nvSpPr>
      <xdr:spPr>
        <a:xfrm>
          <a:off x="1478146" y="32994600"/>
          <a:ext cx="860077" cy="207940"/>
        </a:xfrm>
        <a:prstGeom prst="roundRect">
          <a:avLst/>
        </a:prstGeom>
        <a:solidFill>
          <a:srgbClr val="BB162B"/>
        </a:solidFill>
        <a:ln>
          <a:solidFill>
            <a:schemeClr val="tx1">
              <a:lumMod val="50000"/>
              <a:lumOff val="50000"/>
            </a:schemeClr>
          </a:solidFill>
        </a:ln>
        <a:effectLst>
          <a:outerShdw blurRad="50800" dist="38100" dir="8100000" algn="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nchorCtr="1"/>
        <a:lstStyle/>
        <a:p>
          <a:pPr algn="l"/>
          <a:r>
            <a:rPr lang="en-US" sz="1100" b="0" cap="none" spc="0">
              <a:ln w="18000">
                <a:noFill/>
                <a:prstDash val="solid"/>
                <a:miter lim="800000"/>
              </a:ln>
              <a:solidFill>
                <a:schemeClr val="bg1"/>
              </a:solidFill>
              <a:effectLst/>
              <a:latin typeface="Kia Bold" panose="020B0600000101010101" pitchFamily="34" charset="-127"/>
              <a:ea typeface="Kia Bold" panose="020B0600000101010101" pitchFamily="34" charset="-127"/>
            </a:rPr>
            <a:t>NOUVEAU</a:t>
          </a:r>
          <a:r>
            <a:rPr lang="en-US" sz="1100" b="1" cap="none" spc="0">
              <a:ln w="18000">
                <a:noFill/>
                <a:prstDash val="solid"/>
                <a:miter lim="800000"/>
              </a:ln>
              <a:solidFill>
                <a:schemeClr val="bg1"/>
              </a:solidFill>
              <a:effectLst>
                <a:outerShdw blurRad="25500" dist="23000" dir="7020000" algn="tl">
                  <a:srgbClr val="000000">
                    <a:alpha val="50000"/>
                  </a:srgbClr>
                </a:outerShdw>
              </a:effectLst>
              <a:latin typeface="Kia Bold" panose="020B0600000101010101" pitchFamily="34" charset="-127"/>
              <a:ea typeface="Kia Bold" panose="020B0600000101010101" pitchFamily="34" charset="-127"/>
            </a:rPr>
            <a:t> </a:t>
          </a:r>
        </a:p>
      </xdr:txBody>
    </xdr:sp>
    <xdr:clientData/>
  </xdr:twoCellAnchor>
  <xdr:twoCellAnchor>
    <xdr:from>
      <xdr:col>1</xdr:col>
      <xdr:colOff>809625</xdr:colOff>
      <xdr:row>148</xdr:row>
      <xdr:rowOff>142875</xdr:rowOff>
    </xdr:from>
    <xdr:to>
      <xdr:col>1</xdr:col>
      <xdr:colOff>1669702</xdr:colOff>
      <xdr:row>149</xdr:row>
      <xdr:rowOff>160315</xdr:rowOff>
    </xdr:to>
    <xdr:sp macro="" textlink="">
      <xdr:nvSpPr>
        <xdr:cNvPr id="7" name="Rounded Rectangle 6"/>
        <xdr:cNvSpPr/>
      </xdr:nvSpPr>
      <xdr:spPr>
        <a:xfrm>
          <a:off x="1600200" y="28746450"/>
          <a:ext cx="860077" cy="207940"/>
        </a:xfrm>
        <a:prstGeom prst="roundRect">
          <a:avLst/>
        </a:prstGeom>
        <a:solidFill>
          <a:srgbClr val="BB162B"/>
        </a:solidFill>
        <a:ln>
          <a:solidFill>
            <a:schemeClr val="tx1">
              <a:lumMod val="50000"/>
              <a:lumOff val="50000"/>
            </a:schemeClr>
          </a:solidFill>
        </a:ln>
        <a:effectLst>
          <a:outerShdw blurRad="50800" dist="38100" dir="8100000" algn="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nchorCtr="1"/>
        <a:lstStyle/>
        <a:p>
          <a:pPr algn="l"/>
          <a:r>
            <a:rPr lang="en-US" sz="1100" b="0" cap="none" spc="0">
              <a:ln w="18000">
                <a:noFill/>
                <a:prstDash val="solid"/>
                <a:miter lim="800000"/>
              </a:ln>
              <a:solidFill>
                <a:schemeClr val="bg1"/>
              </a:solidFill>
              <a:effectLst/>
              <a:latin typeface="Kia Bold" panose="020B0600000101010101" pitchFamily="34" charset="-127"/>
              <a:ea typeface="Kia Bold" panose="020B0600000101010101" pitchFamily="34" charset="-127"/>
            </a:rPr>
            <a:t>NOUVEAU</a:t>
          </a:r>
          <a:r>
            <a:rPr lang="en-US" sz="1100" b="1" cap="none" spc="0">
              <a:ln w="18000">
                <a:noFill/>
                <a:prstDash val="solid"/>
                <a:miter lim="800000"/>
              </a:ln>
              <a:solidFill>
                <a:schemeClr val="bg1"/>
              </a:solidFill>
              <a:effectLst>
                <a:outerShdw blurRad="25500" dist="23000" dir="7020000" algn="tl">
                  <a:srgbClr val="000000">
                    <a:alpha val="50000"/>
                  </a:srgbClr>
                </a:outerShdw>
              </a:effectLst>
              <a:latin typeface="Kia Bold" panose="020B0600000101010101" pitchFamily="34" charset="-127"/>
              <a:ea typeface="Kia Bold" panose="020B0600000101010101" pitchFamily="34" charset="-127"/>
            </a:rPr>
            <a:t> </a:t>
          </a:r>
        </a:p>
      </xdr:txBody>
    </xdr:sp>
    <xdr:clientData/>
  </xdr:twoCellAnchor>
</xdr:wsDr>
</file>

<file path=xl/theme/theme1.xml><?xml version="1.0" encoding="utf-8"?>
<a:theme xmlns:a="http://schemas.openxmlformats.org/drawingml/2006/main" name="Office-th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0" tint="-0.34998626667073579"/>
    <pageSetUpPr fitToPage="1"/>
  </sheetPr>
  <dimension ref="A1:CA258"/>
  <sheetViews>
    <sheetView tabSelected="1" view="pageLayout" zoomScale="96" zoomScalePageLayoutView="96" workbookViewId="0">
      <selection activeCell="C8" sqref="C8"/>
    </sheetView>
  </sheetViews>
  <sheetFormatPr defaultColWidth="11.42578125" defaultRowHeight="15"/>
  <cols>
    <col min="1" max="1" width="11" bestFit="1" customWidth="1"/>
    <col min="2" max="2" width="38.85546875" customWidth="1"/>
    <col min="3" max="3" width="21.42578125" style="44" bestFit="1" customWidth="1"/>
    <col min="4" max="4" width="23.5703125" style="44" bestFit="1" customWidth="1"/>
    <col min="5" max="5" width="23.140625" style="44" bestFit="1" customWidth="1"/>
    <col min="6" max="6" width="18.42578125" style="44" bestFit="1" customWidth="1"/>
    <col min="7" max="7" width="11.5703125" style="21" bestFit="1" customWidth="1"/>
    <col min="8" max="8" width="11.28515625" style="21" customWidth="1"/>
  </cols>
  <sheetData>
    <row r="1" spans="1:79">
      <c r="A1" s="45"/>
      <c r="B1" s="45"/>
      <c r="C1" s="48"/>
      <c r="D1" s="48"/>
      <c r="E1" s="48"/>
      <c r="F1" s="48"/>
      <c r="G1" s="49"/>
      <c r="H1" s="49"/>
    </row>
    <row r="2" spans="1:79">
      <c r="A2" s="45"/>
      <c r="B2" s="45"/>
      <c r="C2" s="48"/>
      <c r="D2" s="48"/>
      <c r="E2" s="48"/>
      <c r="F2" s="48"/>
      <c r="G2" s="49"/>
      <c r="H2" s="49"/>
    </row>
    <row r="3" spans="1:79" ht="24.75">
      <c r="A3" s="74" t="s">
        <v>216</v>
      </c>
      <c r="B3" s="74"/>
      <c r="C3" s="74"/>
      <c r="D3" s="74"/>
      <c r="E3" s="74"/>
      <c r="F3" s="74"/>
      <c r="G3" s="74"/>
      <c r="H3" s="74"/>
    </row>
    <row r="4" spans="1:79">
      <c r="A4" s="75" t="s">
        <v>334</v>
      </c>
      <c r="B4" s="75"/>
      <c r="C4" s="75"/>
      <c r="D4" s="75"/>
      <c r="E4" s="75"/>
      <c r="F4" s="75"/>
      <c r="G4" s="75"/>
      <c r="H4" s="75"/>
    </row>
    <row r="5" spans="1:79">
      <c r="A5" s="45"/>
      <c r="B5" s="45"/>
      <c r="C5" s="48"/>
      <c r="D5" s="48"/>
      <c r="E5" s="48"/>
      <c r="F5" s="48"/>
      <c r="G5" s="49"/>
      <c r="H5" s="50"/>
    </row>
    <row r="6" spans="1:79">
      <c r="A6" s="45"/>
      <c r="B6" s="45"/>
      <c r="C6" s="48"/>
      <c r="D6" s="48"/>
      <c r="E6" s="48"/>
      <c r="F6" s="48"/>
      <c r="G6" s="49"/>
      <c r="H6" s="50"/>
    </row>
    <row r="7" spans="1:79">
      <c r="A7" s="45"/>
      <c r="B7" s="45"/>
      <c r="C7" s="48"/>
      <c r="D7" s="48"/>
      <c r="E7" s="48"/>
      <c r="F7" s="48"/>
      <c r="G7" s="49"/>
      <c r="H7" s="50"/>
    </row>
    <row r="8" spans="1:79">
      <c r="A8" s="45"/>
      <c r="B8" s="45"/>
      <c r="C8" s="48"/>
      <c r="D8" s="48"/>
      <c r="E8" s="48"/>
      <c r="F8" s="48"/>
      <c r="G8" s="49"/>
      <c r="H8" s="50"/>
    </row>
    <row r="9" spans="1:79" ht="19.5">
      <c r="A9" s="76" t="s">
        <v>21</v>
      </c>
      <c r="B9" s="76"/>
      <c r="C9" s="76"/>
      <c r="D9" s="76"/>
      <c r="E9" s="76"/>
      <c r="F9" s="76"/>
      <c r="G9" s="76"/>
      <c r="H9" s="76"/>
    </row>
    <row r="10" spans="1:79" s="25" customFormat="1">
      <c r="A10" s="26" t="s">
        <v>0</v>
      </c>
      <c r="B10" s="26" t="s">
        <v>215</v>
      </c>
      <c r="C10" s="23" t="s">
        <v>219</v>
      </c>
      <c r="D10" s="23" t="s">
        <v>220</v>
      </c>
      <c r="E10" s="23" t="s">
        <v>221</v>
      </c>
      <c r="F10" s="23" t="s">
        <v>222</v>
      </c>
      <c r="G10" s="24" t="s">
        <v>223</v>
      </c>
      <c r="H10" s="24" t="s">
        <v>218</v>
      </c>
    </row>
    <row r="11" spans="1:79">
      <c r="A11" s="10" t="s">
        <v>1</v>
      </c>
      <c r="B11" s="10" t="s">
        <v>43</v>
      </c>
      <c r="C11" s="11" t="s">
        <v>50</v>
      </c>
      <c r="D11" s="11" t="s">
        <v>51</v>
      </c>
      <c r="E11" s="11">
        <v>4.2</v>
      </c>
      <c r="F11" s="11">
        <v>99</v>
      </c>
      <c r="G11" s="13">
        <f>H11/1.21</f>
        <v>8008.2644628099179</v>
      </c>
      <c r="H11" s="12">
        <v>9690</v>
      </c>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row>
    <row r="12" spans="1:79">
      <c r="A12" s="15" t="s">
        <v>1</v>
      </c>
      <c r="B12" s="15" t="s">
        <v>44</v>
      </c>
      <c r="C12" s="16" t="s">
        <v>50</v>
      </c>
      <c r="D12" s="16" t="s">
        <v>51</v>
      </c>
      <c r="E12" s="16">
        <v>4.2</v>
      </c>
      <c r="F12" s="16">
        <v>99</v>
      </c>
      <c r="G12" s="8">
        <f t="shared" ref="G12:G22" si="0">H12/1.21</f>
        <v>8586.7768595041325</v>
      </c>
      <c r="H12" s="17">
        <v>10390</v>
      </c>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row>
    <row r="13" spans="1:79">
      <c r="A13" s="10" t="s">
        <v>1</v>
      </c>
      <c r="B13" s="10" t="s">
        <v>45</v>
      </c>
      <c r="C13" s="11" t="s">
        <v>52</v>
      </c>
      <c r="D13" s="11" t="s">
        <v>53</v>
      </c>
      <c r="E13" s="11">
        <v>5.3</v>
      </c>
      <c r="F13" s="11">
        <v>125</v>
      </c>
      <c r="G13" s="13">
        <f t="shared" si="0"/>
        <v>9826.446280991735</v>
      </c>
      <c r="H13" s="12">
        <v>11890</v>
      </c>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row>
    <row r="14" spans="1:79">
      <c r="A14" s="15" t="s">
        <v>1</v>
      </c>
      <c r="B14" s="15" t="s">
        <v>46</v>
      </c>
      <c r="C14" s="16" t="s">
        <v>52</v>
      </c>
      <c r="D14" s="16" t="s">
        <v>53</v>
      </c>
      <c r="E14" s="16">
        <v>4.3</v>
      </c>
      <c r="F14" s="16">
        <v>100</v>
      </c>
      <c r="G14" s="8">
        <f t="shared" si="0"/>
        <v>9909.0909090909099</v>
      </c>
      <c r="H14" s="17">
        <v>11990</v>
      </c>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row>
    <row r="15" spans="1:79">
      <c r="A15" s="10" t="s">
        <v>1</v>
      </c>
      <c r="B15" s="10" t="s">
        <v>47</v>
      </c>
      <c r="C15" s="11" t="s">
        <v>52</v>
      </c>
      <c r="D15" s="11" t="s">
        <v>53</v>
      </c>
      <c r="E15" s="11">
        <v>4.3</v>
      </c>
      <c r="F15" s="11">
        <v>100</v>
      </c>
      <c r="G15" s="13">
        <f t="shared" si="0"/>
        <v>10818.181818181818</v>
      </c>
      <c r="H15" s="12">
        <v>13090</v>
      </c>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row>
    <row r="16" spans="1:79">
      <c r="A16" s="15" t="s">
        <v>2</v>
      </c>
      <c r="B16" s="15" t="s">
        <v>43</v>
      </c>
      <c r="C16" s="16" t="s">
        <v>50</v>
      </c>
      <c r="D16" s="16" t="s">
        <v>51</v>
      </c>
      <c r="E16" s="16">
        <v>4.2</v>
      </c>
      <c r="F16" s="16">
        <v>99</v>
      </c>
      <c r="G16" s="8">
        <f t="shared" si="0"/>
        <v>8421.4876033057863</v>
      </c>
      <c r="H16" s="17">
        <v>10190</v>
      </c>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row>
    <row r="17" spans="1:79">
      <c r="A17" s="10" t="s">
        <v>2</v>
      </c>
      <c r="B17" s="10" t="s">
        <v>44</v>
      </c>
      <c r="C17" s="11" t="s">
        <v>50</v>
      </c>
      <c r="D17" s="11" t="s">
        <v>51</v>
      </c>
      <c r="E17" s="11">
        <v>4.2</v>
      </c>
      <c r="F17" s="11">
        <v>99</v>
      </c>
      <c r="G17" s="13">
        <f t="shared" si="0"/>
        <v>9000</v>
      </c>
      <c r="H17" s="12">
        <v>10890</v>
      </c>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row>
    <row r="18" spans="1:79">
      <c r="A18" s="15" t="s">
        <v>2</v>
      </c>
      <c r="B18" s="15" t="s">
        <v>45</v>
      </c>
      <c r="C18" s="16" t="s">
        <v>52</v>
      </c>
      <c r="D18" s="16" t="s">
        <v>53</v>
      </c>
      <c r="E18" s="16">
        <v>5.3</v>
      </c>
      <c r="F18" s="16">
        <v>125</v>
      </c>
      <c r="G18" s="8">
        <f t="shared" si="0"/>
        <v>10239.669421487604</v>
      </c>
      <c r="H18" s="17">
        <v>12390</v>
      </c>
    </row>
    <row r="19" spans="1:79">
      <c r="A19" s="10" t="s">
        <v>2</v>
      </c>
      <c r="B19" s="10" t="s">
        <v>46</v>
      </c>
      <c r="C19" s="11" t="s">
        <v>52</v>
      </c>
      <c r="D19" s="11" t="s">
        <v>53</v>
      </c>
      <c r="E19" s="11">
        <v>4.3</v>
      </c>
      <c r="F19" s="11">
        <v>100</v>
      </c>
      <c r="G19" s="13">
        <f t="shared" si="0"/>
        <v>10322.314049586777</v>
      </c>
      <c r="H19" s="12">
        <v>12490</v>
      </c>
    </row>
    <row r="20" spans="1:79">
      <c r="A20" s="15" t="s">
        <v>2</v>
      </c>
      <c r="B20" s="15" t="s">
        <v>48</v>
      </c>
      <c r="C20" s="16" t="s">
        <v>52</v>
      </c>
      <c r="D20" s="16" t="s">
        <v>53</v>
      </c>
      <c r="E20" s="16">
        <v>5.3</v>
      </c>
      <c r="F20" s="16">
        <v>125</v>
      </c>
      <c r="G20" s="8">
        <f t="shared" si="0"/>
        <v>10900.826446280991</v>
      </c>
      <c r="H20" s="17">
        <v>13190</v>
      </c>
    </row>
    <row r="21" spans="1:79">
      <c r="A21" s="10" t="s">
        <v>2</v>
      </c>
      <c r="B21" s="10" t="s">
        <v>47</v>
      </c>
      <c r="C21" s="11" t="s">
        <v>52</v>
      </c>
      <c r="D21" s="11" t="s">
        <v>53</v>
      </c>
      <c r="E21" s="11">
        <v>4.3</v>
      </c>
      <c r="F21" s="11">
        <v>100</v>
      </c>
      <c r="G21" s="13">
        <f t="shared" si="0"/>
        <v>11231.404958677685</v>
      </c>
      <c r="H21" s="12">
        <v>13590</v>
      </c>
    </row>
    <row r="22" spans="1:79">
      <c r="A22" s="15" t="s">
        <v>2</v>
      </c>
      <c r="B22" s="15" t="s">
        <v>49</v>
      </c>
      <c r="C22" s="16" t="s">
        <v>52</v>
      </c>
      <c r="D22" s="16" t="s">
        <v>53</v>
      </c>
      <c r="E22" s="16">
        <v>5.3</v>
      </c>
      <c r="F22" s="16">
        <v>125</v>
      </c>
      <c r="G22" s="8">
        <f t="shared" si="0"/>
        <v>11809.917355371901</v>
      </c>
      <c r="H22" s="17">
        <v>14290</v>
      </c>
    </row>
    <row r="24" spans="1:79" s="25" customFormat="1">
      <c r="A24" s="77" t="s">
        <v>3</v>
      </c>
      <c r="B24" s="78"/>
      <c r="C24" s="78"/>
      <c r="D24" s="78"/>
      <c r="E24" s="78"/>
      <c r="F24" s="78"/>
      <c r="G24" s="28" t="s">
        <v>223</v>
      </c>
      <c r="H24" s="28" t="s">
        <v>218</v>
      </c>
    </row>
    <row r="25" spans="1:79" s="22" customFormat="1">
      <c r="A25" s="32" t="s">
        <v>20</v>
      </c>
      <c r="B25" s="33"/>
      <c r="C25" s="38"/>
      <c r="D25" s="38"/>
      <c r="E25" s="38"/>
      <c r="F25" s="38"/>
      <c r="G25" s="3">
        <f>H25/1.21</f>
        <v>268.59504132231405</v>
      </c>
      <c r="H25" s="12">
        <v>325</v>
      </c>
    </row>
    <row r="26" spans="1:79" s="22" customFormat="1">
      <c r="A26" s="35" t="s">
        <v>224</v>
      </c>
      <c r="B26" s="36"/>
      <c r="C26" s="41"/>
      <c r="D26" s="41"/>
      <c r="E26" s="41"/>
      <c r="F26" s="41"/>
      <c r="G26" s="8">
        <f t="shared" ref="G26:G27" si="1">H26/1.21</f>
        <v>413.22314049586777</v>
      </c>
      <c r="H26" s="17">
        <v>500</v>
      </c>
    </row>
    <row r="27" spans="1:79" s="22" customFormat="1">
      <c r="A27" s="32" t="s">
        <v>225</v>
      </c>
      <c r="B27" s="33"/>
      <c r="C27" s="38"/>
      <c r="D27" s="38"/>
      <c r="E27" s="38"/>
      <c r="F27" s="38"/>
      <c r="G27" s="13">
        <f t="shared" si="1"/>
        <v>818.18181818181824</v>
      </c>
      <c r="H27" s="12">
        <v>990</v>
      </c>
    </row>
    <row r="30" spans="1:79" ht="19.5">
      <c r="A30" s="79" t="s">
        <v>22</v>
      </c>
      <c r="B30" s="79"/>
      <c r="C30" s="79"/>
      <c r="D30" s="79"/>
      <c r="E30" s="79"/>
      <c r="F30" s="79"/>
      <c r="G30" s="79"/>
      <c r="H30" s="79"/>
    </row>
    <row r="31" spans="1:79" s="25" customFormat="1">
      <c r="A31" s="26" t="s">
        <v>0</v>
      </c>
      <c r="B31" s="26" t="s">
        <v>215</v>
      </c>
      <c r="C31" s="23" t="s">
        <v>219</v>
      </c>
      <c r="D31" s="23" t="s">
        <v>220</v>
      </c>
      <c r="E31" s="23" t="s">
        <v>221</v>
      </c>
      <c r="F31" s="23" t="s">
        <v>222</v>
      </c>
      <c r="G31" s="24" t="s">
        <v>223</v>
      </c>
      <c r="H31" s="24" t="s">
        <v>218</v>
      </c>
    </row>
    <row r="32" spans="1:79" s="22" customFormat="1">
      <c r="A32" s="9" t="s">
        <v>4</v>
      </c>
      <c r="B32" s="10" t="s">
        <v>59</v>
      </c>
      <c r="C32" s="11" t="s">
        <v>153</v>
      </c>
      <c r="D32" s="11" t="s">
        <v>155</v>
      </c>
      <c r="E32" s="11">
        <v>5.0999999999999996</v>
      </c>
      <c r="F32" s="11">
        <v>119</v>
      </c>
      <c r="G32" s="13">
        <f>H32/1.21</f>
        <v>9743.8016528925618</v>
      </c>
      <c r="H32" s="12">
        <v>11790</v>
      </c>
    </row>
    <row r="33" spans="1:8" s="22" customFormat="1">
      <c r="A33" s="14" t="s">
        <v>4</v>
      </c>
      <c r="B33" s="15" t="s">
        <v>60</v>
      </c>
      <c r="C33" s="16" t="s">
        <v>153</v>
      </c>
      <c r="D33" s="16" t="s">
        <v>155</v>
      </c>
      <c r="E33" s="16">
        <v>5.0999999999999996</v>
      </c>
      <c r="F33" s="16">
        <v>119</v>
      </c>
      <c r="G33" s="8">
        <f t="shared" ref="G33:G54" si="2">H33/1.21</f>
        <v>10735.537190082645</v>
      </c>
      <c r="H33" s="17">
        <v>12990</v>
      </c>
    </row>
    <row r="34" spans="1:8" s="22" customFormat="1">
      <c r="A34" s="9" t="s">
        <v>4</v>
      </c>
      <c r="B34" s="10" t="s">
        <v>61</v>
      </c>
      <c r="C34" s="11" t="s">
        <v>154</v>
      </c>
      <c r="D34" s="11" t="s">
        <v>156</v>
      </c>
      <c r="E34" s="11">
        <v>4</v>
      </c>
      <c r="F34" s="11">
        <v>106</v>
      </c>
      <c r="G34" s="13">
        <f t="shared" si="2"/>
        <v>12388.429752066117</v>
      </c>
      <c r="H34" s="12">
        <v>14990</v>
      </c>
    </row>
    <row r="35" spans="1:8" s="22" customFormat="1">
      <c r="A35" s="14" t="s">
        <v>4</v>
      </c>
      <c r="B35" s="15" t="s">
        <v>62</v>
      </c>
      <c r="C35" s="16" t="s">
        <v>153</v>
      </c>
      <c r="D35" s="16" t="s">
        <v>155</v>
      </c>
      <c r="E35" s="16">
        <v>5.0999999999999996</v>
      </c>
      <c r="F35" s="16">
        <v>119</v>
      </c>
      <c r="G35" s="8">
        <f t="shared" si="2"/>
        <v>11396.694214876034</v>
      </c>
      <c r="H35" s="17">
        <v>13790</v>
      </c>
    </row>
    <row r="36" spans="1:8" s="22" customFormat="1">
      <c r="A36" s="9" t="s">
        <v>4</v>
      </c>
      <c r="B36" s="10" t="s">
        <v>63</v>
      </c>
      <c r="C36" s="11" t="s">
        <v>154</v>
      </c>
      <c r="D36" s="11" t="s">
        <v>156</v>
      </c>
      <c r="E36" s="11">
        <v>4</v>
      </c>
      <c r="F36" s="11">
        <v>106</v>
      </c>
      <c r="G36" s="13">
        <f t="shared" si="2"/>
        <v>13049.586776859505</v>
      </c>
      <c r="H36" s="12">
        <v>15790</v>
      </c>
    </row>
    <row r="37" spans="1:8" s="22" customFormat="1">
      <c r="A37" s="14" t="s">
        <v>4</v>
      </c>
      <c r="B37" s="15" t="s">
        <v>64</v>
      </c>
      <c r="C37" s="16" t="s">
        <v>153</v>
      </c>
      <c r="D37" s="16" t="s">
        <v>155</v>
      </c>
      <c r="E37" s="16">
        <v>5.0999999999999996</v>
      </c>
      <c r="F37" s="16">
        <v>119</v>
      </c>
      <c r="G37" s="8">
        <f t="shared" si="2"/>
        <v>12553.719008264463</v>
      </c>
      <c r="H37" s="17">
        <v>15190</v>
      </c>
    </row>
    <row r="38" spans="1:8" s="22" customFormat="1">
      <c r="A38" s="9" t="s">
        <v>4</v>
      </c>
      <c r="B38" s="10" t="s">
        <v>65</v>
      </c>
      <c r="C38" s="11" t="s">
        <v>154</v>
      </c>
      <c r="D38" s="11" t="s">
        <v>156</v>
      </c>
      <c r="E38" s="11">
        <v>4</v>
      </c>
      <c r="F38" s="11">
        <v>106</v>
      </c>
      <c r="G38" s="13">
        <f t="shared" si="2"/>
        <v>14206.611570247935</v>
      </c>
      <c r="H38" s="12">
        <v>17190</v>
      </c>
    </row>
    <row r="39" spans="1:8" s="22" customFormat="1">
      <c r="A39" s="14" t="s">
        <v>4</v>
      </c>
      <c r="B39" s="15" t="s">
        <v>66</v>
      </c>
      <c r="C39" s="16" t="s">
        <v>153</v>
      </c>
      <c r="D39" s="16" t="s">
        <v>155</v>
      </c>
      <c r="E39" s="16">
        <v>5.0999999999999996</v>
      </c>
      <c r="F39" s="16">
        <v>119</v>
      </c>
      <c r="G39" s="8">
        <f t="shared" si="2"/>
        <v>12801.652892561984</v>
      </c>
      <c r="H39" s="17">
        <v>15490</v>
      </c>
    </row>
    <row r="40" spans="1:8" s="22" customFormat="1">
      <c r="A40" s="9" t="s">
        <v>4</v>
      </c>
      <c r="B40" s="10" t="s">
        <v>67</v>
      </c>
      <c r="C40" s="11" t="s">
        <v>154</v>
      </c>
      <c r="D40" s="11" t="s">
        <v>156</v>
      </c>
      <c r="E40" s="11">
        <v>4</v>
      </c>
      <c r="F40" s="11">
        <v>106</v>
      </c>
      <c r="G40" s="13">
        <f t="shared" si="2"/>
        <v>14454.545454545456</v>
      </c>
      <c r="H40" s="12">
        <v>17490</v>
      </c>
    </row>
    <row r="41" spans="1:8" s="22" customFormat="1">
      <c r="A41" s="14" t="s">
        <v>4</v>
      </c>
      <c r="B41" s="15" t="s">
        <v>68</v>
      </c>
      <c r="C41" s="16" t="s">
        <v>142</v>
      </c>
      <c r="D41" s="16" t="s">
        <v>157</v>
      </c>
      <c r="E41" s="16">
        <v>5.7</v>
      </c>
      <c r="F41" s="16">
        <v>130</v>
      </c>
      <c r="G41" s="8">
        <f t="shared" si="2"/>
        <v>15363.636363636364</v>
      </c>
      <c r="H41" s="17">
        <v>18590</v>
      </c>
    </row>
    <row r="42" spans="1:8" s="22" customFormat="1">
      <c r="A42" s="9" t="s">
        <v>4</v>
      </c>
      <c r="B42" s="10" t="s">
        <v>69</v>
      </c>
      <c r="C42" s="11" t="s">
        <v>142</v>
      </c>
      <c r="D42" s="11" t="s">
        <v>158</v>
      </c>
      <c r="E42" s="11">
        <v>4.3</v>
      </c>
      <c r="F42" s="11">
        <v>113</v>
      </c>
      <c r="G42" s="13">
        <f t="shared" si="2"/>
        <v>16851.239669421488</v>
      </c>
      <c r="H42" s="12">
        <v>20390</v>
      </c>
    </row>
    <row r="43" spans="1:8" s="22" customFormat="1">
      <c r="A43" s="14" t="s">
        <v>5</v>
      </c>
      <c r="B43" s="15" t="s">
        <v>70</v>
      </c>
      <c r="C43" s="16" t="s">
        <v>153</v>
      </c>
      <c r="D43" s="16" t="s">
        <v>155</v>
      </c>
      <c r="E43" s="16">
        <v>5.0999999999999996</v>
      </c>
      <c r="F43" s="16">
        <v>119</v>
      </c>
      <c r="G43" s="8">
        <f t="shared" si="2"/>
        <v>11314.04958677686</v>
      </c>
      <c r="H43" s="17">
        <v>13690</v>
      </c>
    </row>
    <row r="44" spans="1:8" s="22" customFormat="1">
      <c r="A44" s="9" t="s">
        <v>5</v>
      </c>
      <c r="B44" s="10" t="s">
        <v>71</v>
      </c>
      <c r="C44" s="11" t="s">
        <v>154</v>
      </c>
      <c r="D44" s="11" t="s">
        <v>156</v>
      </c>
      <c r="E44" s="11">
        <v>4</v>
      </c>
      <c r="F44" s="11">
        <v>106</v>
      </c>
      <c r="G44" s="13">
        <f t="shared" si="2"/>
        <v>12966.94214876033</v>
      </c>
      <c r="H44" s="12">
        <v>15690</v>
      </c>
    </row>
    <row r="45" spans="1:8" s="22" customFormat="1">
      <c r="A45" s="14" t="s">
        <v>5</v>
      </c>
      <c r="B45" s="15" t="s">
        <v>62</v>
      </c>
      <c r="C45" s="16" t="s">
        <v>153</v>
      </c>
      <c r="D45" s="16" t="s">
        <v>155</v>
      </c>
      <c r="E45" s="16">
        <v>5.0999999999999996</v>
      </c>
      <c r="F45" s="16">
        <v>119</v>
      </c>
      <c r="G45" s="8">
        <f t="shared" si="2"/>
        <v>11975.206611570249</v>
      </c>
      <c r="H45" s="17">
        <v>14490</v>
      </c>
    </row>
    <row r="46" spans="1:8" s="22" customFormat="1">
      <c r="A46" s="9" t="s">
        <v>5</v>
      </c>
      <c r="B46" s="10" t="s">
        <v>63</v>
      </c>
      <c r="C46" s="11" t="s">
        <v>154</v>
      </c>
      <c r="D46" s="11" t="s">
        <v>156</v>
      </c>
      <c r="E46" s="11">
        <v>4</v>
      </c>
      <c r="F46" s="11">
        <v>106</v>
      </c>
      <c r="G46" s="13">
        <f t="shared" si="2"/>
        <v>13628.099173553719</v>
      </c>
      <c r="H46" s="12">
        <v>16490</v>
      </c>
    </row>
    <row r="47" spans="1:8" s="22" customFormat="1">
      <c r="A47" s="14" t="s">
        <v>5</v>
      </c>
      <c r="B47" s="15" t="s">
        <v>64</v>
      </c>
      <c r="C47" s="16" t="s">
        <v>153</v>
      </c>
      <c r="D47" s="16" t="s">
        <v>155</v>
      </c>
      <c r="E47" s="16">
        <v>5.0999999999999996</v>
      </c>
      <c r="F47" s="16">
        <v>119</v>
      </c>
      <c r="G47" s="8">
        <f t="shared" si="2"/>
        <v>13132.231404958678</v>
      </c>
      <c r="H47" s="17">
        <v>15890</v>
      </c>
    </row>
    <row r="48" spans="1:8" s="22" customFormat="1">
      <c r="A48" s="9" t="s">
        <v>5</v>
      </c>
      <c r="B48" s="10" t="s">
        <v>65</v>
      </c>
      <c r="C48" s="11" t="s">
        <v>154</v>
      </c>
      <c r="D48" s="11" t="s">
        <v>156</v>
      </c>
      <c r="E48" s="11">
        <v>4</v>
      </c>
      <c r="F48" s="11">
        <v>106</v>
      </c>
      <c r="G48" s="13">
        <f t="shared" si="2"/>
        <v>14785.123966942148</v>
      </c>
      <c r="H48" s="12">
        <v>17890</v>
      </c>
    </row>
    <row r="49" spans="1:8" s="22" customFormat="1">
      <c r="A49" s="14" t="s">
        <v>5</v>
      </c>
      <c r="B49" s="15" t="s">
        <v>66</v>
      </c>
      <c r="C49" s="16" t="s">
        <v>153</v>
      </c>
      <c r="D49" s="16" t="s">
        <v>155</v>
      </c>
      <c r="E49" s="16">
        <v>5.0999999999999996</v>
      </c>
      <c r="F49" s="16">
        <v>119</v>
      </c>
      <c r="G49" s="8">
        <f t="shared" si="2"/>
        <v>13380.165289256198</v>
      </c>
      <c r="H49" s="17">
        <v>16190</v>
      </c>
    </row>
    <row r="50" spans="1:8" s="22" customFormat="1">
      <c r="A50" s="9" t="s">
        <v>5</v>
      </c>
      <c r="B50" s="10" t="s">
        <v>72</v>
      </c>
      <c r="C50" s="11" t="s">
        <v>142</v>
      </c>
      <c r="D50" s="11" t="s">
        <v>157</v>
      </c>
      <c r="E50" s="11">
        <v>6.4</v>
      </c>
      <c r="F50" s="11">
        <v>150</v>
      </c>
      <c r="G50" s="13">
        <f t="shared" si="2"/>
        <v>15033.05785123967</v>
      </c>
      <c r="H50" s="12">
        <v>18190</v>
      </c>
    </row>
    <row r="51" spans="1:8" s="22" customFormat="1">
      <c r="A51" s="14" t="s">
        <v>5</v>
      </c>
      <c r="B51" s="15" t="s">
        <v>67</v>
      </c>
      <c r="C51" s="16" t="s">
        <v>154</v>
      </c>
      <c r="D51" s="16" t="s">
        <v>156</v>
      </c>
      <c r="E51" s="16">
        <v>4</v>
      </c>
      <c r="F51" s="16">
        <v>106</v>
      </c>
      <c r="G51" s="8">
        <f t="shared" si="2"/>
        <v>15033.05785123967</v>
      </c>
      <c r="H51" s="17">
        <v>18190</v>
      </c>
    </row>
    <row r="52" spans="1:8" s="22" customFormat="1">
      <c r="A52" s="9" t="s">
        <v>5</v>
      </c>
      <c r="B52" s="10" t="s">
        <v>73</v>
      </c>
      <c r="C52" s="11" t="s">
        <v>142</v>
      </c>
      <c r="D52" s="11" t="s">
        <v>158</v>
      </c>
      <c r="E52" s="11">
        <v>4.3</v>
      </c>
      <c r="F52" s="11">
        <v>113</v>
      </c>
      <c r="G52" s="13">
        <f t="shared" si="2"/>
        <v>15694.214876033058</v>
      </c>
      <c r="H52" s="12">
        <v>18990</v>
      </c>
    </row>
    <row r="53" spans="1:8" s="22" customFormat="1">
      <c r="A53" s="14" t="s">
        <v>5</v>
      </c>
      <c r="B53" s="15" t="s">
        <v>68</v>
      </c>
      <c r="C53" s="16" t="s">
        <v>142</v>
      </c>
      <c r="D53" s="16" t="s">
        <v>157</v>
      </c>
      <c r="E53" s="16">
        <v>5.7</v>
      </c>
      <c r="F53" s="16">
        <v>130</v>
      </c>
      <c r="G53" s="8">
        <f t="shared" si="2"/>
        <v>15942.14876033058</v>
      </c>
      <c r="H53" s="17">
        <v>19290</v>
      </c>
    </row>
    <row r="54" spans="1:8" s="22" customFormat="1">
      <c r="A54" s="9" t="s">
        <v>5</v>
      </c>
      <c r="B54" s="10" t="s">
        <v>69</v>
      </c>
      <c r="C54" s="11" t="s">
        <v>142</v>
      </c>
      <c r="D54" s="11" t="s">
        <v>158</v>
      </c>
      <c r="E54" s="11">
        <v>4.3</v>
      </c>
      <c r="F54" s="11">
        <v>113</v>
      </c>
      <c r="G54" s="13">
        <f t="shared" si="2"/>
        <v>17429.752066115703</v>
      </c>
      <c r="H54" s="12">
        <v>21090</v>
      </c>
    </row>
    <row r="55" spans="1:8" s="22" customFormat="1">
      <c r="A55"/>
      <c r="B55"/>
      <c r="C55" s="44"/>
      <c r="D55" s="44"/>
      <c r="E55" s="44"/>
      <c r="F55" s="44"/>
      <c r="G55" s="21"/>
      <c r="H55" s="21"/>
    </row>
    <row r="57" spans="1:8" s="25" customFormat="1">
      <c r="A57" s="39" t="s">
        <v>3</v>
      </c>
      <c r="B57" s="27"/>
      <c r="C57" s="40"/>
      <c r="D57" s="40"/>
      <c r="E57" s="40"/>
      <c r="F57" s="40"/>
      <c r="G57" s="28" t="s">
        <v>223</v>
      </c>
      <c r="H57" s="28" t="s">
        <v>218</v>
      </c>
    </row>
    <row r="58" spans="1:8" s="22" customFormat="1">
      <c r="A58" s="32" t="s">
        <v>20</v>
      </c>
      <c r="B58" s="33"/>
      <c r="C58" s="38"/>
      <c r="D58" s="38"/>
      <c r="E58" s="38"/>
      <c r="F58" s="38"/>
      <c r="G58" s="13">
        <f t="shared" ref="G58:G61" si="3">H58/1.21</f>
        <v>289.25619834710744</v>
      </c>
      <c r="H58" s="12">
        <v>350</v>
      </c>
    </row>
    <row r="59" spans="1:8" s="22" customFormat="1">
      <c r="A59" s="35" t="s">
        <v>226</v>
      </c>
      <c r="B59" s="36"/>
      <c r="C59" s="41"/>
      <c r="D59" s="41"/>
      <c r="E59" s="41"/>
      <c r="F59" s="41"/>
      <c r="G59" s="8">
        <f t="shared" si="3"/>
        <v>826.44628099173553</v>
      </c>
      <c r="H59" s="17">
        <v>1000</v>
      </c>
    </row>
    <row r="60" spans="1:8" s="22" customFormat="1">
      <c r="A60" s="32" t="s">
        <v>224</v>
      </c>
      <c r="B60" s="33"/>
      <c r="C60" s="38"/>
      <c r="D60" s="38"/>
      <c r="E60" s="38"/>
      <c r="F60" s="38"/>
      <c r="G60" s="13">
        <f t="shared" si="3"/>
        <v>537.19008264462809</v>
      </c>
      <c r="H60" s="12">
        <v>650</v>
      </c>
    </row>
    <row r="61" spans="1:8" s="22" customFormat="1">
      <c r="A61" s="35" t="s">
        <v>57</v>
      </c>
      <c r="B61" s="36"/>
      <c r="C61" s="41"/>
      <c r="D61" s="41"/>
      <c r="E61" s="41"/>
      <c r="F61" s="41"/>
      <c r="G61" s="8">
        <f t="shared" si="3"/>
        <v>247.93388429752068</v>
      </c>
      <c r="H61" s="17">
        <v>300</v>
      </c>
    </row>
    <row r="62" spans="1:8" s="22" customFormat="1">
      <c r="A62"/>
      <c r="B62"/>
      <c r="C62" s="44"/>
      <c r="D62" s="44"/>
      <c r="E62" s="44"/>
      <c r="F62" s="44"/>
      <c r="G62" s="21"/>
      <c r="H62" s="21"/>
    </row>
    <row r="64" spans="1:8" ht="19.5">
      <c r="A64" s="79" t="s">
        <v>6</v>
      </c>
      <c r="B64" s="79"/>
      <c r="C64" s="79"/>
      <c r="D64" s="79"/>
      <c r="E64" s="79"/>
      <c r="F64" s="79"/>
      <c r="G64" s="79"/>
      <c r="H64" s="79"/>
    </row>
    <row r="65" spans="1:8">
      <c r="A65" s="26" t="s">
        <v>0</v>
      </c>
      <c r="B65" s="26" t="s">
        <v>215</v>
      </c>
      <c r="C65" s="23" t="s">
        <v>219</v>
      </c>
      <c r="D65" s="23" t="s">
        <v>220</v>
      </c>
      <c r="E65" s="23" t="s">
        <v>221</v>
      </c>
      <c r="F65" s="23" t="s">
        <v>222</v>
      </c>
      <c r="G65" s="24" t="s">
        <v>223</v>
      </c>
      <c r="H65" s="24" t="s">
        <v>218</v>
      </c>
    </row>
    <row r="66" spans="1:8" s="22" customFormat="1">
      <c r="A66" s="9" t="s">
        <v>6</v>
      </c>
      <c r="B66" s="10" t="s">
        <v>74</v>
      </c>
      <c r="C66" s="11" t="s">
        <v>142</v>
      </c>
      <c r="D66" s="11" t="s">
        <v>158</v>
      </c>
      <c r="E66" s="11">
        <v>6</v>
      </c>
      <c r="F66" s="11">
        <v>140</v>
      </c>
      <c r="G66" s="13">
        <f t="shared" ref="G66:G74" si="4">H66/1.21</f>
        <v>12388.429752066117</v>
      </c>
      <c r="H66" s="18">
        <v>14990</v>
      </c>
    </row>
    <row r="67" spans="1:8" s="22" customFormat="1">
      <c r="A67" s="14" t="s">
        <v>6</v>
      </c>
      <c r="B67" s="15" t="s">
        <v>75</v>
      </c>
      <c r="C67" s="16" t="s">
        <v>142</v>
      </c>
      <c r="D67" s="16" t="s">
        <v>158</v>
      </c>
      <c r="E67" s="16">
        <v>4.5</v>
      </c>
      <c r="F67" s="16">
        <v>119</v>
      </c>
      <c r="G67" s="8">
        <f t="shared" si="4"/>
        <v>14041.322314049587</v>
      </c>
      <c r="H67" s="19">
        <v>16990</v>
      </c>
    </row>
    <row r="68" spans="1:8" s="22" customFormat="1">
      <c r="A68" s="9" t="s">
        <v>6</v>
      </c>
      <c r="B68" s="10" t="s">
        <v>76</v>
      </c>
      <c r="C68" s="11" t="s">
        <v>142</v>
      </c>
      <c r="D68" s="11" t="s">
        <v>158</v>
      </c>
      <c r="E68" s="11">
        <v>6</v>
      </c>
      <c r="F68" s="11">
        <v>140</v>
      </c>
      <c r="G68" s="13">
        <f t="shared" si="4"/>
        <v>13462.809917355373</v>
      </c>
      <c r="H68" s="20">
        <v>16290</v>
      </c>
    </row>
    <row r="69" spans="1:8" s="22" customFormat="1">
      <c r="A69" s="14" t="s">
        <v>6</v>
      </c>
      <c r="B69" s="15" t="s">
        <v>77</v>
      </c>
      <c r="C69" s="16" t="s">
        <v>159</v>
      </c>
      <c r="D69" s="16" t="s">
        <v>160</v>
      </c>
      <c r="E69" s="16">
        <v>6.5</v>
      </c>
      <c r="F69" s="16">
        <v>154</v>
      </c>
      <c r="G69" s="8">
        <f t="shared" si="4"/>
        <v>14950.413223140496</v>
      </c>
      <c r="H69" s="19">
        <v>18090</v>
      </c>
    </row>
    <row r="70" spans="1:8" s="22" customFormat="1">
      <c r="A70" s="9" t="s">
        <v>6</v>
      </c>
      <c r="B70" s="10" t="s">
        <v>78</v>
      </c>
      <c r="C70" s="11" t="s">
        <v>142</v>
      </c>
      <c r="D70" s="11" t="s">
        <v>158</v>
      </c>
      <c r="E70" s="11">
        <v>4.5</v>
      </c>
      <c r="F70" s="11">
        <v>119</v>
      </c>
      <c r="G70" s="13">
        <f t="shared" si="4"/>
        <v>15115.702479338843</v>
      </c>
      <c r="H70" s="20">
        <v>18290</v>
      </c>
    </row>
    <row r="71" spans="1:8" s="22" customFormat="1">
      <c r="A71" s="14" t="s">
        <v>6</v>
      </c>
      <c r="B71" s="15" t="s">
        <v>79</v>
      </c>
      <c r="C71" s="16" t="s">
        <v>144</v>
      </c>
      <c r="D71" s="16" t="s">
        <v>161</v>
      </c>
      <c r="E71" s="16">
        <v>4.7</v>
      </c>
      <c r="F71" s="16">
        <v>125</v>
      </c>
      <c r="G71" s="8">
        <f t="shared" si="4"/>
        <v>15611.570247933885</v>
      </c>
      <c r="H71" s="19">
        <v>18890</v>
      </c>
    </row>
    <row r="72" spans="1:8" s="22" customFormat="1">
      <c r="A72" s="9" t="s">
        <v>6</v>
      </c>
      <c r="B72" s="10" t="s">
        <v>68</v>
      </c>
      <c r="C72" s="11" t="s">
        <v>142</v>
      </c>
      <c r="D72" s="11" t="s">
        <v>158</v>
      </c>
      <c r="E72" s="11">
        <v>6</v>
      </c>
      <c r="F72" s="11">
        <v>140</v>
      </c>
      <c r="G72" s="13">
        <f t="shared" si="4"/>
        <v>14950.413223140496</v>
      </c>
      <c r="H72" s="20">
        <v>18090</v>
      </c>
    </row>
    <row r="73" spans="1:8" s="22" customFormat="1">
      <c r="A73" s="14" t="s">
        <v>6</v>
      </c>
      <c r="B73" s="15" t="s">
        <v>80</v>
      </c>
      <c r="C73" s="16" t="s">
        <v>159</v>
      </c>
      <c r="D73" s="16" t="s">
        <v>160</v>
      </c>
      <c r="E73" s="16">
        <v>7</v>
      </c>
      <c r="F73" s="16">
        <v>154</v>
      </c>
      <c r="G73" s="8">
        <f t="shared" si="4"/>
        <v>16438.016528925622</v>
      </c>
      <c r="H73" s="19">
        <v>19890</v>
      </c>
    </row>
    <row r="74" spans="1:8" s="22" customFormat="1">
      <c r="A74" s="9" t="s">
        <v>6</v>
      </c>
      <c r="B74" s="10" t="s">
        <v>81</v>
      </c>
      <c r="C74" s="11" t="s">
        <v>144</v>
      </c>
      <c r="D74" s="11" t="s">
        <v>161</v>
      </c>
      <c r="E74" s="11">
        <v>4.5</v>
      </c>
      <c r="F74" s="11">
        <v>125</v>
      </c>
      <c r="G74" s="13">
        <f t="shared" si="4"/>
        <v>17099.173553719007</v>
      </c>
      <c r="H74" s="20">
        <v>20690</v>
      </c>
    </row>
    <row r="75" spans="1:8" s="25" customFormat="1">
      <c r="A75"/>
      <c r="B75"/>
      <c r="C75" s="44"/>
      <c r="D75" s="44"/>
      <c r="E75" s="44"/>
      <c r="F75" s="44"/>
      <c r="G75" s="21"/>
      <c r="H75" s="21"/>
    </row>
    <row r="76" spans="1:8" s="22" customFormat="1">
      <c r="A76" s="39" t="s">
        <v>3</v>
      </c>
      <c r="B76" s="27"/>
      <c r="C76" s="40"/>
      <c r="D76" s="40"/>
      <c r="E76" s="40"/>
      <c r="F76" s="40"/>
      <c r="G76" s="28" t="s">
        <v>223</v>
      </c>
      <c r="H76" s="28" t="s">
        <v>218</v>
      </c>
    </row>
    <row r="77" spans="1:8" s="22" customFormat="1">
      <c r="A77" s="32" t="s">
        <v>20</v>
      </c>
      <c r="B77" s="33"/>
      <c r="C77" s="38"/>
      <c r="D77" s="38"/>
      <c r="E77" s="38"/>
      <c r="F77" s="38"/>
      <c r="G77" s="13">
        <f t="shared" ref="G77:G78" si="5">H77/1.21</f>
        <v>330.57851239669424</v>
      </c>
      <c r="H77" s="12">
        <v>400</v>
      </c>
    </row>
    <row r="78" spans="1:8" s="22" customFormat="1">
      <c r="A78" s="35" t="s">
        <v>227</v>
      </c>
      <c r="B78" s="36"/>
      <c r="C78" s="41"/>
      <c r="D78" s="41"/>
      <c r="E78" s="41"/>
      <c r="F78" s="41"/>
      <c r="G78" s="8">
        <f t="shared" si="5"/>
        <v>826.44628099173553</v>
      </c>
      <c r="H78" s="17">
        <v>1000</v>
      </c>
    </row>
    <row r="81" spans="1:8" s="25" customFormat="1" ht="19.5">
      <c r="A81" s="79" t="s">
        <v>209</v>
      </c>
      <c r="B81" s="79"/>
      <c r="C81" s="79"/>
      <c r="D81" s="79"/>
      <c r="E81" s="79"/>
      <c r="F81" s="79"/>
      <c r="G81" s="79"/>
      <c r="H81" s="79"/>
    </row>
    <row r="82" spans="1:8">
      <c r="A82" s="26" t="s">
        <v>0</v>
      </c>
      <c r="B82" s="26" t="s">
        <v>215</v>
      </c>
      <c r="C82" s="23" t="s">
        <v>219</v>
      </c>
      <c r="D82" s="23" t="s">
        <v>220</v>
      </c>
      <c r="E82" s="23" t="s">
        <v>221</v>
      </c>
      <c r="F82" s="23" t="s">
        <v>222</v>
      </c>
      <c r="G82" s="24" t="s">
        <v>223</v>
      </c>
      <c r="H82" s="24" t="s">
        <v>218</v>
      </c>
    </row>
    <row r="83" spans="1:8" s="22" customFormat="1">
      <c r="A83" s="9" t="s">
        <v>7</v>
      </c>
      <c r="B83" s="10" t="s">
        <v>88</v>
      </c>
      <c r="C83" s="11" t="s">
        <v>82</v>
      </c>
      <c r="D83" s="11" t="s">
        <v>83</v>
      </c>
      <c r="E83" s="11">
        <v>6</v>
      </c>
      <c r="F83" s="11">
        <v>139</v>
      </c>
      <c r="G83" s="13">
        <f t="shared" ref="G83:G95" si="6">H83/1.21</f>
        <v>13793.388429752067</v>
      </c>
      <c r="H83" s="12">
        <v>16690</v>
      </c>
    </row>
    <row r="84" spans="1:8" s="22" customFormat="1">
      <c r="A84" s="14" t="s">
        <v>7</v>
      </c>
      <c r="B84" s="15" t="s">
        <v>89</v>
      </c>
      <c r="C84" s="16" t="s">
        <v>82</v>
      </c>
      <c r="D84" s="16" t="s">
        <v>83</v>
      </c>
      <c r="E84" s="16">
        <v>6</v>
      </c>
      <c r="F84" s="16">
        <v>139</v>
      </c>
      <c r="G84" s="8">
        <f t="shared" si="6"/>
        <v>15033.05785123967</v>
      </c>
      <c r="H84" s="17">
        <v>18190</v>
      </c>
    </row>
    <row r="85" spans="1:8" s="22" customFormat="1">
      <c r="A85" s="9" t="s">
        <v>7</v>
      </c>
      <c r="B85" s="10" t="s">
        <v>90</v>
      </c>
      <c r="C85" s="11" t="s">
        <v>84</v>
      </c>
      <c r="D85" s="11" t="s">
        <v>85</v>
      </c>
      <c r="E85" s="11">
        <v>4</v>
      </c>
      <c r="F85" s="11">
        <v>104</v>
      </c>
      <c r="G85" s="13">
        <f t="shared" si="6"/>
        <v>17181.818181818184</v>
      </c>
      <c r="H85" s="12">
        <v>20790</v>
      </c>
    </row>
    <row r="86" spans="1:8" s="22" customFormat="1">
      <c r="A86" s="14" t="s">
        <v>7</v>
      </c>
      <c r="B86" s="15" t="s">
        <v>91</v>
      </c>
      <c r="C86" s="16" t="s">
        <v>84</v>
      </c>
      <c r="D86" s="16" t="s">
        <v>86</v>
      </c>
      <c r="E86" s="16">
        <v>4.0999999999999996</v>
      </c>
      <c r="F86" s="16">
        <v>109</v>
      </c>
      <c r="G86" s="8">
        <f t="shared" si="6"/>
        <v>17595.041322314049</v>
      </c>
      <c r="H86" s="17">
        <v>21290</v>
      </c>
    </row>
    <row r="87" spans="1:8" s="22" customFormat="1">
      <c r="A87" s="9" t="s">
        <v>7</v>
      </c>
      <c r="B87" s="10" t="s">
        <v>92</v>
      </c>
      <c r="C87" s="11" t="s">
        <v>82</v>
      </c>
      <c r="D87" s="11" t="s">
        <v>83</v>
      </c>
      <c r="E87" s="11">
        <v>6.1</v>
      </c>
      <c r="F87" s="11">
        <v>143</v>
      </c>
      <c r="G87" s="13">
        <f t="shared" si="6"/>
        <v>16520.661157024795</v>
      </c>
      <c r="H87" s="12">
        <v>19990</v>
      </c>
    </row>
    <row r="88" spans="1:8" s="22" customFormat="1">
      <c r="A88" s="14" t="s">
        <v>7</v>
      </c>
      <c r="B88" s="15" t="s">
        <v>93</v>
      </c>
      <c r="C88" s="16" t="s">
        <v>84</v>
      </c>
      <c r="D88" s="16" t="s">
        <v>85</v>
      </c>
      <c r="E88" s="16">
        <v>4.0999999999999996</v>
      </c>
      <c r="F88" s="16">
        <v>108</v>
      </c>
      <c r="G88" s="8">
        <f t="shared" si="6"/>
        <v>18669.421487603307</v>
      </c>
      <c r="H88" s="17">
        <v>22590</v>
      </c>
    </row>
    <row r="89" spans="1:8" s="22" customFormat="1">
      <c r="A89" s="9" t="s">
        <v>7</v>
      </c>
      <c r="B89" s="10" t="s">
        <v>76</v>
      </c>
      <c r="C89" s="11" t="s">
        <v>82</v>
      </c>
      <c r="D89" s="11" t="s">
        <v>83</v>
      </c>
      <c r="E89" s="11">
        <v>6.1</v>
      </c>
      <c r="F89" s="11">
        <v>143</v>
      </c>
      <c r="G89" s="13">
        <f t="shared" si="6"/>
        <v>17512.396694214876</v>
      </c>
      <c r="H89" s="12">
        <v>21190</v>
      </c>
    </row>
    <row r="90" spans="1:8" s="22" customFormat="1">
      <c r="A90" s="14" t="s">
        <v>7</v>
      </c>
      <c r="B90" s="15" t="s">
        <v>94</v>
      </c>
      <c r="C90" s="16" t="s">
        <v>84</v>
      </c>
      <c r="D90" s="16" t="s">
        <v>85</v>
      </c>
      <c r="E90" s="16">
        <v>4.0999999999999996</v>
      </c>
      <c r="F90" s="16">
        <v>108</v>
      </c>
      <c r="G90" s="8">
        <f t="shared" si="6"/>
        <v>19661.157024793389</v>
      </c>
      <c r="H90" s="17">
        <v>23790</v>
      </c>
    </row>
    <row r="91" spans="1:8" s="22" customFormat="1">
      <c r="A91" s="9" t="s">
        <v>7</v>
      </c>
      <c r="B91" s="10" t="s">
        <v>95</v>
      </c>
      <c r="C91" s="11" t="s">
        <v>84</v>
      </c>
      <c r="D91" s="11" t="s">
        <v>86</v>
      </c>
      <c r="E91" s="11">
        <v>4.3</v>
      </c>
      <c r="F91" s="11">
        <v>114</v>
      </c>
      <c r="G91" s="13">
        <f t="shared" si="6"/>
        <v>20157.024793388431</v>
      </c>
      <c r="H91" s="12">
        <v>24390</v>
      </c>
    </row>
    <row r="92" spans="1:8" s="22" customFormat="1">
      <c r="A92" s="14" t="s">
        <v>7</v>
      </c>
      <c r="B92" s="15" t="s">
        <v>96</v>
      </c>
      <c r="C92" s="16" t="s">
        <v>159</v>
      </c>
      <c r="D92" s="16" t="s">
        <v>165</v>
      </c>
      <c r="E92" s="16">
        <v>6.1</v>
      </c>
      <c r="F92" s="16">
        <v>140</v>
      </c>
      <c r="G92" s="8">
        <f t="shared" si="6"/>
        <v>19909.090909090908</v>
      </c>
      <c r="H92" s="17">
        <v>24090</v>
      </c>
    </row>
    <row r="93" spans="1:8" s="22" customFormat="1">
      <c r="A93" s="9" t="s">
        <v>7</v>
      </c>
      <c r="B93" s="10" t="s">
        <v>97</v>
      </c>
      <c r="C93" s="11" t="s">
        <v>159</v>
      </c>
      <c r="D93" s="11" t="s">
        <v>211</v>
      </c>
      <c r="E93" s="11">
        <v>7.7</v>
      </c>
      <c r="F93" s="11">
        <v>171</v>
      </c>
      <c r="G93" s="13">
        <f t="shared" si="6"/>
        <v>24537.190082644629</v>
      </c>
      <c r="H93" s="12">
        <v>29690</v>
      </c>
    </row>
    <row r="94" spans="1:8" s="22" customFormat="1">
      <c r="A94" s="14" t="s">
        <v>7</v>
      </c>
      <c r="B94" s="15" t="s">
        <v>98</v>
      </c>
      <c r="C94" s="16" t="s">
        <v>84</v>
      </c>
      <c r="D94" s="16" t="s">
        <v>86</v>
      </c>
      <c r="E94" s="16">
        <v>4.3</v>
      </c>
      <c r="F94" s="16">
        <v>114</v>
      </c>
      <c r="G94" s="8">
        <f t="shared" si="6"/>
        <v>21561.983471074382</v>
      </c>
      <c r="H94" s="17">
        <v>26090</v>
      </c>
    </row>
    <row r="95" spans="1:8" s="22" customFormat="1">
      <c r="A95" s="9" t="s">
        <v>7</v>
      </c>
      <c r="B95" s="10" t="s">
        <v>99</v>
      </c>
      <c r="C95" s="11" t="s">
        <v>84</v>
      </c>
      <c r="D95" s="11" t="s">
        <v>86</v>
      </c>
      <c r="E95" s="11">
        <v>5.5</v>
      </c>
      <c r="F95" s="11">
        <v>145</v>
      </c>
      <c r="G95" s="13">
        <f t="shared" si="6"/>
        <v>22305.785123966944</v>
      </c>
      <c r="H95" s="12">
        <v>26990</v>
      </c>
    </row>
    <row r="96" spans="1:8" s="25" customFormat="1">
      <c r="A96"/>
      <c r="B96"/>
      <c r="C96" s="44"/>
      <c r="D96" s="44"/>
      <c r="E96" s="44"/>
      <c r="F96" s="44"/>
      <c r="G96" s="21"/>
      <c r="H96" s="21"/>
    </row>
    <row r="97" spans="1:8" s="22" customFormat="1">
      <c r="A97" s="39" t="s">
        <v>3</v>
      </c>
      <c r="B97" s="27"/>
      <c r="C97" s="40"/>
      <c r="D97" s="40"/>
      <c r="E97" s="40"/>
      <c r="F97" s="40"/>
      <c r="G97" s="28" t="s">
        <v>223</v>
      </c>
      <c r="H97" s="28" t="s">
        <v>218</v>
      </c>
    </row>
    <row r="98" spans="1:8" s="22" customFormat="1">
      <c r="A98" s="32" t="s">
        <v>20</v>
      </c>
      <c r="B98" s="33"/>
      <c r="C98" s="38"/>
      <c r="D98" s="38"/>
      <c r="E98" s="38"/>
      <c r="F98" s="38"/>
      <c r="G98" s="13">
        <f t="shared" ref="G98:G100" si="7">H98/1.21</f>
        <v>330.57851239669424</v>
      </c>
      <c r="H98" s="12">
        <v>400</v>
      </c>
    </row>
    <row r="99" spans="1:8" s="22" customFormat="1">
      <c r="A99" s="35" t="s">
        <v>228</v>
      </c>
      <c r="B99" s="36"/>
      <c r="C99" s="41"/>
      <c r="D99" s="41"/>
      <c r="E99" s="41"/>
      <c r="F99" s="41"/>
      <c r="G99" s="8">
        <f t="shared" si="7"/>
        <v>702.47933884297527</v>
      </c>
      <c r="H99" s="17">
        <v>850</v>
      </c>
    </row>
    <row r="100" spans="1:8" s="22" customFormat="1">
      <c r="A100" s="32" t="s">
        <v>229</v>
      </c>
      <c r="B100" s="33"/>
      <c r="C100" s="38"/>
      <c r="D100" s="38"/>
      <c r="E100" s="38"/>
      <c r="F100" s="38"/>
      <c r="G100" s="13">
        <f t="shared" si="7"/>
        <v>1404.9586776859505</v>
      </c>
      <c r="H100" s="12">
        <v>1700</v>
      </c>
    </row>
    <row r="101" spans="1:8" s="22" customFormat="1">
      <c r="A101" s="42" t="s">
        <v>230</v>
      </c>
      <c r="B101" s="33"/>
      <c r="C101" s="38"/>
      <c r="D101" s="38"/>
      <c r="E101" s="38"/>
      <c r="F101" s="38"/>
      <c r="G101" s="33"/>
      <c r="H101" s="34"/>
    </row>
    <row r="102" spans="1:8">
      <c r="A102" s="29"/>
    </row>
    <row r="103" spans="1:8">
      <c r="A103" s="29"/>
    </row>
    <row r="105" spans="1:8" s="25" customFormat="1" ht="19.5">
      <c r="A105" s="79" t="s">
        <v>210</v>
      </c>
      <c r="B105" s="79"/>
      <c r="C105" s="79"/>
      <c r="D105" s="79"/>
      <c r="E105" s="79"/>
      <c r="F105" s="79"/>
      <c r="G105" s="79"/>
      <c r="H105" s="79"/>
    </row>
    <row r="106" spans="1:8">
      <c r="A106" s="26" t="s">
        <v>0</v>
      </c>
      <c r="B106" s="26" t="s">
        <v>215</v>
      </c>
      <c r="C106" s="23" t="s">
        <v>219</v>
      </c>
      <c r="D106" s="23" t="s">
        <v>220</v>
      </c>
      <c r="E106" s="23" t="s">
        <v>221</v>
      </c>
      <c r="F106" s="23" t="s">
        <v>222</v>
      </c>
      <c r="G106" s="24" t="s">
        <v>223</v>
      </c>
      <c r="H106" s="24" t="s">
        <v>218</v>
      </c>
    </row>
    <row r="107" spans="1:8" s="22" customFormat="1">
      <c r="A107" s="9" t="s">
        <v>8</v>
      </c>
      <c r="B107" s="10" t="s">
        <v>103</v>
      </c>
      <c r="C107" s="11" t="s">
        <v>142</v>
      </c>
      <c r="D107" s="11" t="s">
        <v>143</v>
      </c>
      <c r="E107" s="11">
        <v>6</v>
      </c>
      <c r="F107" s="11">
        <v>139</v>
      </c>
      <c r="G107" s="13">
        <f>H107/1.21</f>
        <v>13793.388429752067</v>
      </c>
      <c r="H107" s="12">
        <v>16690</v>
      </c>
    </row>
    <row r="108" spans="1:8" s="22" customFormat="1">
      <c r="A108" s="14" t="s">
        <v>8</v>
      </c>
      <c r="B108" s="15" t="s">
        <v>89</v>
      </c>
      <c r="C108" s="16" t="s">
        <v>142</v>
      </c>
      <c r="D108" s="16" t="s">
        <v>143</v>
      </c>
      <c r="E108" s="16">
        <v>6</v>
      </c>
      <c r="F108" s="16">
        <v>139</v>
      </c>
      <c r="G108" s="8">
        <f t="shared" ref="G108:G142" si="8">H108/1.21</f>
        <v>15033.05785123967</v>
      </c>
      <c r="H108" s="17">
        <v>18190</v>
      </c>
    </row>
    <row r="109" spans="1:8" s="22" customFormat="1">
      <c r="A109" s="9" t="s">
        <v>8</v>
      </c>
      <c r="B109" s="10" t="s">
        <v>104</v>
      </c>
      <c r="C109" s="11" t="s">
        <v>142</v>
      </c>
      <c r="D109" s="11" t="s">
        <v>158</v>
      </c>
      <c r="E109" s="11">
        <v>4.0999999999999996</v>
      </c>
      <c r="F109" s="11">
        <v>109</v>
      </c>
      <c r="G109" s="13">
        <f t="shared" si="8"/>
        <v>16520.661157024795</v>
      </c>
      <c r="H109" s="12">
        <v>19990</v>
      </c>
    </row>
    <row r="110" spans="1:8" s="22" customFormat="1">
      <c r="A110" s="14" t="s">
        <v>8</v>
      </c>
      <c r="B110" s="15" t="s">
        <v>90</v>
      </c>
      <c r="C110" s="16" t="s">
        <v>144</v>
      </c>
      <c r="D110" s="16" t="s">
        <v>145</v>
      </c>
      <c r="E110" s="16">
        <v>4</v>
      </c>
      <c r="F110" s="16">
        <v>104</v>
      </c>
      <c r="G110" s="8">
        <f t="shared" si="8"/>
        <v>17181.818181818184</v>
      </c>
      <c r="H110" s="17">
        <v>20790</v>
      </c>
    </row>
    <row r="111" spans="1:8" s="22" customFormat="1">
      <c r="A111" s="9" t="s">
        <v>8</v>
      </c>
      <c r="B111" s="10" t="s">
        <v>91</v>
      </c>
      <c r="C111" s="11" t="s">
        <v>144</v>
      </c>
      <c r="D111" s="11" t="s">
        <v>146</v>
      </c>
      <c r="E111" s="11">
        <v>4.0999999999999996</v>
      </c>
      <c r="F111" s="11">
        <v>109</v>
      </c>
      <c r="G111" s="13">
        <f t="shared" si="8"/>
        <v>17595.041322314049</v>
      </c>
      <c r="H111" s="12">
        <v>21290</v>
      </c>
    </row>
    <row r="112" spans="1:8" s="64" customFormat="1">
      <c r="A112" s="65" t="s">
        <v>8</v>
      </c>
      <c r="B112" s="66" t="s">
        <v>105</v>
      </c>
      <c r="C112" s="67" t="s">
        <v>144</v>
      </c>
      <c r="D112" s="67" t="s">
        <v>145</v>
      </c>
      <c r="E112" s="67">
        <v>3.7</v>
      </c>
      <c r="F112" s="67">
        <v>97</v>
      </c>
      <c r="G112" s="68">
        <f t="shared" si="8"/>
        <v>18504.132231404958</v>
      </c>
      <c r="H112" s="69">
        <v>22390</v>
      </c>
    </row>
    <row r="113" spans="1:8" s="64" customFormat="1">
      <c r="A113" s="59" t="s">
        <v>8</v>
      </c>
      <c r="B113" s="60" t="s">
        <v>106</v>
      </c>
      <c r="C113" s="61" t="s">
        <v>144</v>
      </c>
      <c r="D113" s="61" t="s">
        <v>145</v>
      </c>
      <c r="E113" s="61">
        <v>3.7</v>
      </c>
      <c r="F113" s="61">
        <v>97</v>
      </c>
      <c r="G113" s="62">
        <f t="shared" si="8"/>
        <v>18834.710743801654</v>
      </c>
      <c r="H113" s="63">
        <v>22790</v>
      </c>
    </row>
    <row r="114" spans="1:8" s="22" customFormat="1">
      <c r="A114" s="14" t="s">
        <v>8</v>
      </c>
      <c r="B114" s="15" t="s">
        <v>107</v>
      </c>
      <c r="C114" s="16" t="s">
        <v>142</v>
      </c>
      <c r="D114" s="16" t="s">
        <v>143</v>
      </c>
      <c r="E114" s="16">
        <v>6.1</v>
      </c>
      <c r="F114" s="16">
        <v>143</v>
      </c>
      <c r="G114" s="8">
        <f t="shared" si="8"/>
        <v>16520.661157024795</v>
      </c>
      <c r="H114" s="17">
        <v>19990</v>
      </c>
    </row>
    <row r="115" spans="1:8" s="22" customFormat="1">
      <c r="A115" s="9" t="s">
        <v>8</v>
      </c>
      <c r="B115" s="10" t="s">
        <v>93</v>
      </c>
      <c r="C115" s="11" t="s">
        <v>144</v>
      </c>
      <c r="D115" s="11" t="s">
        <v>145</v>
      </c>
      <c r="E115" s="11">
        <v>4.0999999999999996</v>
      </c>
      <c r="F115" s="11">
        <v>108</v>
      </c>
      <c r="G115" s="13">
        <f t="shared" si="8"/>
        <v>18669.421487603307</v>
      </c>
      <c r="H115" s="12">
        <v>22590</v>
      </c>
    </row>
    <row r="116" spans="1:8" s="22" customFormat="1">
      <c r="A116" s="14" t="s">
        <v>8</v>
      </c>
      <c r="B116" s="15" t="s">
        <v>76</v>
      </c>
      <c r="C116" s="16" t="s">
        <v>142</v>
      </c>
      <c r="D116" s="16" t="s">
        <v>143</v>
      </c>
      <c r="E116" s="16">
        <v>6.1</v>
      </c>
      <c r="F116" s="16">
        <v>143</v>
      </c>
      <c r="G116" s="8">
        <f t="shared" si="8"/>
        <v>17512.396694214876</v>
      </c>
      <c r="H116" s="17">
        <v>21190</v>
      </c>
    </row>
    <row r="117" spans="1:8" s="22" customFormat="1">
      <c r="A117" s="9" t="s">
        <v>8</v>
      </c>
      <c r="B117" s="10" t="s">
        <v>94</v>
      </c>
      <c r="C117" s="11" t="s">
        <v>144</v>
      </c>
      <c r="D117" s="11" t="s">
        <v>145</v>
      </c>
      <c r="E117" s="11">
        <v>4.0999999999999996</v>
      </c>
      <c r="F117" s="11">
        <v>108</v>
      </c>
      <c r="G117" s="13">
        <f t="shared" si="8"/>
        <v>19661.157024793389</v>
      </c>
      <c r="H117" s="12">
        <v>23790</v>
      </c>
    </row>
    <row r="118" spans="1:8" s="22" customFormat="1">
      <c r="A118" s="14" t="s">
        <v>8</v>
      </c>
      <c r="B118" s="15" t="s">
        <v>108</v>
      </c>
      <c r="C118" s="16" t="s">
        <v>144</v>
      </c>
      <c r="D118" s="16" t="s">
        <v>146</v>
      </c>
      <c r="E118" s="16">
        <v>4.3</v>
      </c>
      <c r="F118" s="16">
        <v>114</v>
      </c>
      <c r="G118" s="8">
        <f t="shared" si="8"/>
        <v>20157.024793388431</v>
      </c>
      <c r="H118" s="17">
        <v>24390</v>
      </c>
    </row>
    <row r="119" spans="1:8" s="22" customFormat="1">
      <c r="A119" s="9" t="s">
        <v>8</v>
      </c>
      <c r="B119" s="10" t="s">
        <v>109</v>
      </c>
      <c r="C119" s="11" t="s">
        <v>144</v>
      </c>
      <c r="D119" s="11" t="s">
        <v>146</v>
      </c>
      <c r="E119" s="11">
        <v>5.5</v>
      </c>
      <c r="F119" s="11">
        <v>145</v>
      </c>
      <c r="G119" s="13">
        <f t="shared" si="8"/>
        <v>20900.826446280993</v>
      </c>
      <c r="H119" s="12">
        <v>25290</v>
      </c>
    </row>
    <row r="120" spans="1:8" s="22" customFormat="1">
      <c r="A120" s="14" t="s">
        <v>8</v>
      </c>
      <c r="B120" s="15" t="s">
        <v>96</v>
      </c>
      <c r="C120" s="16" t="s">
        <v>159</v>
      </c>
      <c r="D120" s="16" t="s">
        <v>165</v>
      </c>
      <c r="E120" s="16">
        <v>6.1</v>
      </c>
      <c r="F120" s="16">
        <v>140</v>
      </c>
      <c r="G120" s="8">
        <f t="shared" si="8"/>
        <v>19909.090909090908</v>
      </c>
      <c r="H120" s="17">
        <v>24090</v>
      </c>
    </row>
    <row r="121" spans="1:8" s="22" customFormat="1">
      <c r="A121" s="9" t="s">
        <v>8</v>
      </c>
      <c r="B121" s="10" t="s">
        <v>110</v>
      </c>
      <c r="C121" s="11" t="s">
        <v>159</v>
      </c>
      <c r="D121" s="11" t="s">
        <v>165</v>
      </c>
      <c r="E121" s="11">
        <v>6.1</v>
      </c>
      <c r="F121" s="11">
        <v>140</v>
      </c>
      <c r="G121" s="13">
        <f t="shared" si="8"/>
        <v>21231.404958677685</v>
      </c>
      <c r="H121" s="12">
        <v>25690</v>
      </c>
    </row>
    <row r="122" spans="1:8" s="22" customFormat="1">
      <c r="A122" s="14" t="s">
        <v>8</v>
      </c>
      <c r="B122" s="15" t="s">
        <v>97</v>
      </c>
      <c r="C122" s="16" t="s">
        <v>159</v>
      </c>
      <c r="D122" s="16" t="s">
        <v>211</v>
      </c>
      <c r="E122" s="16">
        <v>7.7</v>
      </c>
      <c r="F122" s="16">
        <v>171</v>
      </c>
      <c r="G122" s="8">
        <f t="shared" si="8"/>
        <v>24537.190082644629</v>
      </c>
      <c r="H122" s="17">
        <v>29690</v>
      </c>
    </row>
    <row r="123" spans="1:8" s="22" customFormat="1">
      <c r="A123" s="9" t="s">
        <v>8</v>
      </c>
      <c r="B123" s="10" t="s">
        <v>98</v>
      </c>
      <c r="C123" s="11" t="s">
        <v>144</v>
      </c>
      <c r="D123" s="11" t="s">
        <v>146</v>
      </c>
      <c r="E123" s="11">
        <v>4.3</v>
      </c>
      <c r="F123" s="11">
        <v>114</v>
      </c>
      <c r="G123" s="13">
        <f t="shared" si="8"/>
        <v>21561.983471074382</v>
      </c>
      <c r="H123" s="12">
        <v>26090</v>
      </c>
    </row>
    <row r="124" spans="1:8" s="22" customFormat="1">
      <c r="A124" s="14" t="s">
        <v>8</v>
      </c>
      <c r="B124" s="15" t="s">
        <v>99</v>
      </c>
      <c r="C124" s="16" t="s">
        <v>144</v>
      </c>
      <c r="D124" s="16" t="s">
        <v>146</v>
      </c>
      <c r="E124" s="16">
        <v>5.5</v>
      </c>
      <c r="F124" s="16">
        <v>145</v>
      </c>
      <c r="G124" s="8">
        <f t="shared" si="8"/>
        <v>22305.785123966944</v>
      </c>
      <c r="H124" s="17">
        <v>26990</v>
      </c>
    </row>
    <row r="125" spans="1:8" s="22" customFormat="1">
      <c r="A125" s="9" t="s">
        <v>9</v>
      </c>
      <c r="B125" s="10" t="s">
        <v>88</v>
      </c>
      <c r="C125" s="11" t="s">
        <v>142</v>
      </c>
      <c r="D125" s="11" t="s">
        <v>143</v>
      </c>
      <c r="E125" s="11">
        <v>6.5</v>
      </c>
      <c r="F125" s="11">
        <v>145</v>
      </c>
      <c r="G125" s="13">
        <f t="shared" si="8"/>
        <v>14619.834710743802</v>
      </c>
      <c r="H125" s="12">
        <v>17690</v>
      </c>
    </row>
    <row r="126" spans="1:8" s="22" customFormat="1">
      <c r="A126" s="14" t="s">
        <v>9</v>
      </c>
      <c r="B126" s="15" t="s">
        <v>89</v>
      </c>
      <c r="C126" s="16" t="s">
        <v>142</v>
      </c>
      <c r="D126" s="16" t="s">
        <v>143</v>
      </c>
      <c r="E126" s="16">
        <v>6.5</v>
      </c>
      <c r="F126" s="16">
        <v>145</v>
      </c>
      <c r="G126" s="8">
        <f t="shared" si="8"/>
        <v>15859.504132231405</v>
      </c>
      <c r="H126" s="17">
        <v>19190</v>
      </c>
    </row>
    <row r="127" spans="1:8" s="22" customFormat="1">
      <c r="A127" s="9" t="s">
        <v>9</v>
      </c>
      <c r="B127" s="10" t="s">
        <v>90</v>
      </c>
      <c r="C127" s="11" t="s">
        <v>144</v>
      </c>
      <c r="D127" s="11" t="s">
        <v>145</v>
      </c>
      <c r="E127" s="11">
        <v>4.3</v>
      </c>
      <c r="F127" s="11">
        <v>113</v>
      </c>
      <c r="G127" s="13">
        <f t="shared" si="8"/>
        <v>18008.264462809919</v>
      </c>
      <c r="H127" s="12">
        <v>21790</v>
      </c>
    </row>
    <row r="128" spans="1:8" s="22" customFormat="1">
      <c r="A128" s="14" t="s">
        <v>9</v>
      </c>
      <c r="B128" s="15" t="s">
        <v>91</v>
      </c>
      <c r="C128" s="16" t="s">
        <v>144</v>
      </c>
      <c r="D128" s="16" t="s">
        <v>146</v>
      </c>
      <c r="E128" s="16">
        <v>4.3</v>
      </c>
      <c r="F128" s="16">
        <v>113</v>
      </c>
      <c r="G128" s="8">
        <f t="shared" si="8"/>
        <v>18421.487603305784</v>
      </c>
      <c r="H128" s="17">
        <v>22290</v>
      </c>
    </row>
    <row r="129" spans="1:8" s="64" customFormat="1">
      <c r="A129" s="59" t="s">
        <v>9</v>
      </c>
      <c r="B129" s="60" t="s">
        <v>111</v>
      </c>
      <c r="C129" s="61" t="s">
        <v>142</v>
      </c>
      <c r="D129" s="61" t="s">
        <v>158</v>
      </c>
      <c r="E129" s="61">
        <v>4.2</v>
      </c>
      <c r="F129" s="61">
        <v>109</v>
      </c>
      <c r="G129" s="62">
        <f t="shared" si="8"/>
        <v>18669.421487603307</v>
      </c>
      <c r="H129" s="63">
        <v>22590</v>
      </c>
    </row>
    <row r="130" spans="1:8" s="64" customFormat="1">
      <c r="A130" s="65" t="s">
        <v>9</v>
      </c>
      <c r="B130" s="66" t="s">
        <v>105</v>
      </c>
      <c r="C130" s="67" t="s">
        <v>144</v>
      </c>
      <c r="D130" s="67" t="s">
        <v>145</v>
      </c>
      <c r="E130" s="67">
        <v>4.2</v>
      </c>
      <c r="F130" s="67">
        <v>110</v>
      </c>
      <c r="G130" s="68">
        <f t="shared" si="8"/>
        <v>19330.578512396696</v>
      </c>
      <c r="H130" s="69">
        <v>23390</v>
      </c>
    </row>
    <row r="131" spans="1:8" s="64" customFormat="1">
      <c r="A131" s="59" t="s">
        <v>9</v>
      </c>
      <c r="B131" s="60" t="s">
        <v>112</v>
      </c>
      <c r="C131" s="61" t="s">
        <v>142</v>
      </c>
      <c r="D131" s="61" t="s">
        <v>158</v>
      </c>
      <c r="E131" s="61">
        <v>4.2</v>
      </c>
      <c r="F131" s="61">
        <v>109</v>
      </c>
      <c r="G131" s="62">
        <f t="shared" si="8"/>
        <v>19000</v>
      </c>
      <c r="H131" s="63">
        <v>22990</v>
      </c>
    </row>
    <row r="132" spans="1:8" s="64" customFormat="1">
      <c r="A132" s="65" t="s">
        <v>9</v>
      </c>
      <c r="B132" s="66" t="s">
        <v>106</v>
      </c>
      <c r="C132" s="67" t="s">
        <v>144</v>
      </c>
      <c r="D132" s="67" t="s">
        <v>145</v>
      </c>
      <c r="E132" s="67">
        <v>4.2</v>
      </c>
      <c r="F132" s="67">
        <v>110</v>
      </c>
      <c r="G132" s="68">
        <f t="shared" si="8"/>
        <v>19661.157024793389</v>
      </c>
      <c r="H132" s="69">
        <v>23790</v>
      </c>
    </row>
    <row r="133" spans="1:8" s="22" customFormat="1">
      <c r="A133" s="9" t="s">
        <v>9</v>
      </c>
      <c r="B133" s="10" t="s">
        <v>107</v>
      </c>
      <c r="C133" s="11" t="s">
        <v>142</v>
      </c>
      <c r="D133" s="11" t="s">
        <v>143</v>
      </c>
      <c r="E133" s="11">
        <v>6.6</v>
      </c>
      <c r="F133" s="11">
        <v>148</v>
      </c>
      <c r="G133" s="13">
        <f t="shared" si="8"/>
        <v>17347.10743801653</v>
      </c>
      <c r="H133" s="12">
        <v>20990</v>
      </c>
    </row>
    <row r="134" spans="1:8" s="22" customFormat="1">
      <c r="A134" s="14" t="s">
        <v>9</v>
      </c>
      <c r="B134" s="15" t="s">
        <v>93</v>
      </c>
      <c r="C134" s="16" t="s">
        <v>144</v>
      </c>
      <c r="D134" s="16" t="s">
        <v>145</v>
      </c>
      <c r="E134" s="16">
        <v>4.5</v>
      </c>
      <c r="F134" s="16">
        <v>117</v>
      </c>
      <c r="G134" s="8">
        <f t="shared" si="8"/>
        <v>19495.867768595042</v>
      </c>
      <c r="H134" s="17">
        <v>23590</v>
      </c>
    </row>
    <row r="135" spans="1:8" s="22" customFormat="1">
      <c r="A135" s="9" t="s">
        <v>9</v>
      </c>
      <c r="B135" s="10" t="s">
        <v>76</v>
      </c>
      <c r="C135" s="11" t="s">
        <v>142</v>
      </c>
      <c r="D135" s="11" t="s">
        <v>143</v>
      </c>
      <c r="E135" s="11">
        <v>6.6</v>
      </c>
      <c r="F135" s="11">
        <v>148</v>
      </c>
      <c r="G135" s="13">
        <f t="shared" si="8"/>
        <v>18338.842975206611</v>
      </c>
      <c r="H135" s="12">
        <v>22190</v>
      </c>
    </row>
    <row r="136" spans="1:8" s="22" customFormat="1">
      <c r="A136" s="14" t="s">
        <v>9</v>
      </c>
      <c r="B136" s="15" t="s">
        <v>94</v>
      </c>
      <c r="C136" s="16" t="s">
        <v>144</v>
      </c>
      <c r="D136" s="16" t="s">
        <v>145</v>
      </c>
      <c r="E136" s="16">
        <v>4.5</v>
      </c>
      <c r="F136" s="16">
        <v>117</v>
      </c>
      <c r="G136" s="8">
        <f t="shared" si="8"/>
        <v>20487.603305785124</v>
      </c>
      <c r="H136" s="17">
        <v>24790</v>
      </c>
    </row>
    <row r="137" spans="1:8" s="22" customFormat="1">
      <c r="A137" s="9" t="s">
        <v>9</v>
      </c>
      <c r="B137" s="10" t="s">
        <v>108</v>
      </c>
      <c r="C137" s="11" t="s">
        <v>144</v>
      </c>
      <c r="D137" s="11" t="s">
        <v>146</v>
      </c>
      <c r="E137" s="11">
        <v>4.5</v>
      </c>
      <c r="F137" s="11">
        <v>117</v>
      </c>
      <c r="G137" s="13">
        <f t="shared" si="8"/>
        <v>20983.471074380166</v>
      </c>
      <c r="H137" s="12">
        <v>25390</v>
      </c>
    </row>
    <row r="138" spans="1:8" s="22" customFormat="1">
      <c r="A138" s="14" t="s">
        <v>9</v>
      </c>
      <c r="B138" s="15" t="s">
        <v>109</v>
      </c>
      <c r="C138" s="16" t="s">
        <v>144</v>
      </c>
      <c r="D138" s="16" t="s">
        <v>146</v>
      </c>
      <c r="E138" s="16">
        <v>5.6</v>
      </c>
      <c r="F138" s="16">
        <v>149</v>
      </c>
      <c r="G138" s="8">
        <f t="shared" si="8"/>
        <v>21727.272727272728</v>
      </c>
      <c r="H138" s="17">
        <v>26290</v>
      </c>
    </row>
    <row r="139" spans="1:8" s="22" customFormat="1">
      <c r="A139" s="9" t="s">
        <v>9</v>
      </c>
      <c r="B139" s="10" t="s">
        <v>96</v>
      </c>
      <c r="C139" s="11" t="s">
        <v>159</v>
      </c>
      <c r="D139" s="11" t="s">
        <v>165</v>
      </c>
      <c r="E139" s="11">
        <v>6.5</v>
      </c>
      <c r="F139" s="11">
        <v>146</v>
      </c>
      <c r="G139" s="13">
        <f t="shared" si="8"/>
        <v>20735.537190082647</v>
      </c>
      <c r="H139" s="12">
        <v>25090</v>
      </c>
    </row>
    <row r="140" spans="1:8" s="22" customFormat="1">
      <c r="A140" s="14" t="s">
        <v>9</v>
      </c>
      <c r="B140" s="15" t="s">
        <v>110</v>
      </c>
      <c r="C140" s="16" t="s">
        <v>159</v>
      </c>
      <c r="D140" s="16" t="s">
        <v>165</v>
      </c>
      <c r="E140" s="16">
        <v>6.4</v>
      </c>
      <c r="F140" s="16">
        <v>144</v>
      </c>
      <c r="G140" s="8">
        <f t="shared" si="8"/>
        <v>22057.85123966942</v>
      </c>
      <c r="H140" s="17">
        <v>26690</v>
      </c>
    </row>
    <row r="141" spans="1:8" s="22" customFormat="1">
      <c r="A141" s="9" t="s">
        <v>9</v>
      </c>
      <c r="B141" s="10" t="s">
        <v>98</v>
      </c>
      <c r="C141" s="11" t="s">
        <v>144</v>
      </c>
      <c r="D141" s="11" t="s">
        <v>146</v>
      </c>
      <c r="E141" s="11">
        <v>4.5</v>
      </c>
      <c r="F141" s="11">
        <v>117</v>
      </c>
      <c r="G141" s="13">
        <f t="shared" si="8"/>
        <v>22388.429752066117</v>
      </c>
      <c r="H141" s="12">
        <v>27090</v>
      </c>
    </row>
    <row r="142" spans="1:8" s="22" customFormat="1">
      <c r="A142" s="14" t="s">
        <v>9</v>
      </c>
      <c r="B142" s="15" t="s">
        <v>99</v>
      </c>
      <c r="C142" s="16" t="s">
        <v>144</v>
      </c>
      <c r="D142" s="16" t="s">
        <v>146</v>
      </c>
      <c r="E142" s="16">
        <v>5.6</v>
      </c>
      <c r="F142" s="16">
        <v>149</v>
      </c>
      <c r="G142" s="8">
        <f t="shared" si="8"/>
        <v>23132.231404958678</v>
      </c>
      <c r="H142" s="17">
        <v>27990</v>
      </c>
    </row>
    <row r="143" spans="1:8" s="25" customFormat="1">
      <c r="A143"/>
      <c r="B143"/>
      <c r="C143" s="44"/>
      <c r="D143" s="44"/>
      <c r="E143" s="44"/>
      <c r="F143" s="44"/>
      <c r="G143" s="21"/>
      <c r="H143" s="21"/>
    </row>
    <row r="144" spans="1:8">
      <c r="A144" s="39" t="s">
        <v>3</v>
      </c>
      <c r="B144" s="27"/>
      <c r="C144" s="40"/>
      <c r="D144" s="40"/>
      <c r="E144" s="40"/>
      <c r="F144" s="40"/>
      <c r="G144" s="28" t="s">
        <v>223</v>
      </c>
      <c r="H144" s="28" t="s">
        <v>218</v>
      </c>
    </row>
    <row r="145" spans="1:8">
      <c r="A145" s="32" t="s">
        <v>20</v>
      </c>
      <c r="B145" s="33"/>
      <c r="C145" s="38"/>
      <c r="D145" s="38"/>
      <c r="E145" s="38"/>
      <c r="F145" s="38"/>
      <c r="G145" s="13">
        <f t="shared" ref="G145:G147" si="9">H145/1.21</f>
        <v>330.57851239669424</v>
      </c>
      <c r="H145" s="12">
        <v>400</v>
      </c>
    </row>
    <row r="146" spans="1:8">
      <c r="A146" s="35" t="s">
        <v>228</v>
      </c>
      <c r="B146" s="36"/>
      <c r="C146" s="41"/>
      <c r="D146" s="41"/>
      <c r="E146" s="41"/>
      <c r="F146" s="41"/>
      <c r="G146" s="8">
        <f t="shared" si="9"/>
        <v>702.47933884297527</v>
      </c>
      <c r="H146" s="17">
        <v>850</v>
      </c>
    </row>
    <row r="147" spans="1:8">
      <c r="A147" s="32" t="s">
        <v>229</v>
      </c>
      <c r="B147" s="33"/>
      <c r="C147" s="38"/>
      <c r="D147" s="38"/>
      <c r="E147" s="38"/>
      <c r="F147" s="38"/>
      <c r="G147" s="13">
        <f t="shared" si="9"/>
        <v>1652.8925619834711</v>
      </c>
      <c r="H147" s="12">
        <v>2000</v>
      </c>
    </row>
    <row r="148" spans="1:8">
      <c r="A148" s="81" t="s">
        <v>231</v>
      </c>
      <c r="B148" s="82"/>
      <c r="C148" s="82"/>
      <c r="D148" s="82"/>
      <c r="E148" s="82"/>
      <c r="F148" s="82"/>
      <c r="G148" s="82"/>
      <c r="H148" s="82"/>
    </row>
    <row r="149" spans="1:8">
      <c r="A149" s="30"/>
    </row>
    <row r="150" spans="1:8">
      <c r="A150" s="30"/>
    </row>
    <row r="151" spans="1:8">
      <c r="A151" s="30"/>
    </row>
    <row r="152" spans="1:8">
      <c r="A152" s="29"/>
    </row>
    <row r="153" spans="1:8" s="25" customFormat="1" ht="19.5">
      <c r="A153" s="79" t="s">
        <v>18</v>
      </c>
      <c r="B153" s="79"/>
      <c r="C153" s="79"/>
      <c r="D153" s="79"/>
      <c r="E153" s="79"/>
      <c r="F153" s="79"/>
      <c r="G153" s="79"/>
      <c r="H153" s="79"/>
    </row>
    <row r="154" spans="1:8" ht="18">
      <c r="A154" s="26" t="s">
        <v>0</v>
      </c>
      <c r="B154" s="26" t="s">
        <v>215</v>
      </c>
      <c r="C154" s="23" t="s">
        <v>219</v>
      </c>
      <c r="D154" s="23" t="s">
        <v>220</v>
      </c>
      <c r="E154" s="23" t="s">
        <v>221</v>
      </c>
      <c r="F154" s="23" t="s">
        <v>328</v>
      </c>
      <c r="G154" s="24" t="s">
        <v>223</v>
      </c>
      <c r="H154" s="24" t="s">
        <v>218</v>
      </c>
    </row>
    <row r="155" spans="1:8" s="22" customFormat="1">
      <c r="A155" s="9" t="s">
        <v>18</v>
      </c>
      <c r="B155" s="10" t="s">
        <v>114</v>
      </c>
      <c r="C155" s="11" t="s">
        <v>159</v>
      </c>
      <c r="D155" s="11" t="s">
        <v>284</v>
      </c>
      <c r="E155" s="11" t="s">
        <v>285</v>
      </c>
      <c r="F155" s="11">
        <v>158</v>
      </c>
      <c r="G155" s="13">
        <f t="shared" ref="G155:G171" si="10">H155/1.21</f>
        <v>17347.10743801653</v>
      </c>
      <c r="H155" s="12">
        <v>20990</v>
      </c>
    </row>
    <row r="156" spans="1:8" s="22" customFormat="1">
      <c r="A156" s="14" t="s">
        <v>18</v>
      </c>
      <c r="B156" s="15" t="s">
        <v>115</v>
      </c>
      <c r="C156" s="16" t="s">
        <v>162</v>
      </c>
      <c r="D156" s="16" t="s">
        <v>278</v>
      </c>
      <c r="E156" s="16" t="s">
        <v>279</v>
      </c>
      <c r="F156" s="16">
        <v>139</v>
      </c>
      <c r="G156" s="8">
        <f t="shared" si="10"/>
        <v>19413.223140495869</v>
      </c>
      <c r="H156" s="17">
        <v>23490</v>
      </c>
    </row>
    <row r="157" spans="1:8" s="22" customFormat="1">
      <c r="A157" s="9" t="s">
        <v>18</v>
      </c>
      <c r="B157" s="10" t="s">
        <v>296</v>
      </c>
      <c r="C157" s="11" t="s">
        <v>159</v>
      </c>
      <c r="D157" s="11" t="s">
        <v>284</v>
      </c>
      <c r="E157" s="11" t="s">
        <v>285</v>
      </c>
      <c r="F157" s="11">
        <v>158</v>
      </c>
      <c r="G157" s="13">
        <f t="shared" si="10"/>
        <v>18338.842975206611</v>
      </c>
      <c r="H157" s="12">
        <v>22190</v>
      </c>
    </row>
    <row r="158" spans="1:8" s="22" customFormat="1">
      <c r="A158" s="14" t="s">
        <v>18</v>
      </c>
      <c r="B158" s="15" t="s">
        <v>297</v>
      </c>
      <c r="C158" s="16" t="s">
        <v>162</v>
      </c>
      <c r="D158" s="16" t="s">
        <v>278</v>
      </c>
      <c r="E158" s="16" t="s">
        <v>279</v>
      </c>
      <c r="F158" s="16">
        <v>139</v>
      </c>
      <c r="G158" s="8">
        <f t="shared" si="10"/>
        <v>20404.958677685951</v>
      </c>
      <c r="H158" s="17">
        <v>24690</v>
      </c>
    </row>
    <row r="159" spans="1:8" s="25" customFormat="1">
      <c r="A159" s="59" t="s">
        <v>18</v>
      </c>
      <c r="B159" s="60" t="s">
        <v>268</v>
      </c>
      <c r="C159" s="61" t="s">
        <v>162</v>
      </c>
      <c r="D159" s="61" t="s">
        <v>278</v>
      </c>
      <c r="E159" s="61" t="s">
        <v>280</v>
      </c>
      <c r="F159" s="61">
        <v>135</v>
      </c>
      <c r="G159" s="62">
        <f t="shared" si="10"/>
        <v>22223.14049586777</v>
      </c>
      <c r="H159" s="63">
        <v>26890</v>
      </c>
    </row>
    <row r="160" spans="1:8" s="22" customFormat="1">
      <c r="A160" s="14" t="s">
        <v>18</v>
      </c>
      <c r="B160" s="15" t="s">
        <v>292</v>
      </c>
      <c r="C160" s="16" t="s">
        <v>159</v>
      </c>
      <c r="D160" s="16" t="s">
        <v>284</v>
      </c>
      <c r="E160" s="16" t="s">
        <v>285</v>
      </c>
      <c r="F160" s="16">
        <v>158</v>
      </c>
      <c r="G160" s="8">
        <f t="shared" si="10"/>
        <v>21314.049586776859</v>
      </c>
      <c r="H160" s="17">
        <v>25790</v>
      </c>
    </row>
    <row r="161" spans="1:8" s="22" customFormat="1">
      <c r="A161" s="9" t="s">
        <v>18</v>
      </c>
      <c r="B161" s="10" t="s">
        <v>293</v>
      </c>
      <c r="C161" s="11" t="s">
        <v>162</v>
      </c>
      <c r="D161" s="11" t="s">
        <v>278</v>
      </c>
      <c r="E161" s="11" t="s">
        <v>279</v>
      </c>
      <c r="F161" s="11">
        <v>139</v>
      </c>
      <c r="G161" s="13">
        <f t="shared" si="10"/>
        <v>23380.165289256198</v>
      </c>
      <c r="H161" s="12">
        <v>28290</v>
      </c>
    </row>
    <row r="162" spans="1:8" s="22" customFormat="1">
      <c r="A162" s="14" t="s">
        <v>18</v>
      </c>
      <c r="B162" s="15" t="s">
        <v>294</v>
      </c>
      <c r="C162" s="16" t="s">
        <v>149</v>
      </c>
      <c r="D162" s="16" t="s">
        <v>281</v>
      </c>
      <c r="E162" s="16">
        <v>6</v>
      </c>
      <c r="F162" s="16">
        <v>156</v>
      </c>
      <c r="G162" s="8">
        <f t="shared" si="10"/>
        <v>26603.305785123968</v>
      </c>
      <c r="H162" s="17">
        <v>32190</v>
      </c>
    </row>
    <row r="163" spans="1:8" s="22" customFormat="1">
      <c r="A163" s="9" t="s">
        <v>18</v>
      </c>
      <c r="B163" s="10" t="s">
        <v>295</v>
      </c>
      <c r="C163" s="11" t="s">
        <v>149</v>
      </c>
      <c r="D163" s="11" t="s">
        <v>281</v>
      </c>
      <c r="E163" s="11">
        <v>7</v>
      </c>
      <c r="F163" s="11">
        <v>183</v>
      </c>
      <c r="G163" s="13">
        <f t="shared" si="10"/>
        <v>27677.685950413223</v>
      </c>
      <c r="H163" s="12">
        <v>33490</v>
      </c>
    </row>
    <row r="164" spans="1:8" s="22" customFormat="1">
      <c r="A164" s="14" t="s">
        <v>18</v>
      </c>
      <c r="B164" s="15" t="s">
        <v>116</v>
      </c>
      <c r="C164" s="16" t="s">
        <v>159</v>
      </c>
      <c r="D164" s="16" t="s">
        <v>284</v>
      </c>
      <c r="E164" s="16" t="s">
        <v>285</v>
      </c>
      <c r="F164" s="16">
        <v>158</v>
      </c>
      <c r="G164" s="8">
        <f t="shared" si="10"/>
        <v>19743.801652892562</v>
      </c>
      <c r="H164" s="17">
        <v>23890</v>
      </c>
    </row>
    <row r="165" spans="1:8" s="22" customFormat="1">
      <c r="A165" s="9" t="s">
        <v>18</v>
      </c>
      <c r="B165" s="10" t="s">
        <v>117</v>
      </c>
      <c r="C165" s="11" t="s">
        <v>162</v>
      </c>
      <c r="D165" s="11" t="s">
        <v>278</v>
      </c>
      <c r="E165" s="11" t="s">
        <v>279</v>
      </c>
      <c r="F165" s="11">
        <v>135</v>
      </c>
      <c r="G165" s="13">
        <f t="shared" si="10"/>
        <v>21809.917355371901</v>
      </c>
      <c r="H165" s="12">
        <v>26390</v>
      </c>
    </row>
    <row r="166" spans="1:8" s="22" customFormat="1">
      <c r="A166" s="14" t="s">
        <v>18</v>
      </c>
      <c r="B166" s="15" t="s">
        <v>269</v>
      </c>
      <c r="C166" s="16" t="s">
        <v>159</v>
      </c>
      <c r="D166" s="16" t="s">
        <v>284</v>
      </c>
      <c r="E166" s="16" t="s">
        <v>285</v>
      </c>
      <c r="F166" s="16">
        <v>158</v>
      </c>
      <c r="G166" s="8">
        <f t="shared" si="10"/>
        <v>23958.677685950413</v>
      </c>
      <c r="H166" s="17">
        <v>28990</v>
      </c>
    </row>
    <row r="167" spans="1:8" s="22" customFormat="1">
      <c r="A167" s="9" t="s">
        <v>18</v>
      </c>
      <c r="B167" s="10" t="s">
        <v>270</v>
      </c>
      <c r="C167" s="11" t="s">
        <v>288</v>
      </c>
      <c r="D167" s="11" t="s">
        <v>286</v>
      </c>
      <c r="E167" s="11" t="s">
        <v>287</v>
      </c>
      <c r="F167" s="11">
        <v>187</v>
      </c>
      <c r="G167" s="13">
        <f t="shared" si="10"/>
        <v>26685.950413223141</v>
      </c>
      <c r="H167" s="12">
        <v>32290</v>
      </c>
    </row>
    <row r="168" spans="1:8" s="22" customFormat="1">
      <c r="A168" s="14" t="s">
        <v>18</v>
      </c>
      <c r="B168" s="15" t="s">
        <v>271</v>
      </c>
      <c r="C168" s="16" t="s">
        <v>162</v>
      </c>
      <c r="D168" s="16" t="s">
        <v>278</v>
      </c>
      <c r="E168" s="16" t="s">
        <v>330</v>
      </c>
      <c r="F168" s="16" t="s">
        <v>329</v>
      </c>
      <c r="G168" s="8">
        <f t="shared" si="10"/>
        <v>26024.793388429753</v>
      </c>
      <c r="H168" s="17">
        <v>31490</v>
      </c>
    </row>
    <row r="169" spans="1:8" s="22" customFormat="1">
      <c r="A169" s="9" t="s">
        <v>18</v>
      </c>
      <c r="B169" s="10" t="s">
        <v>272</v>
      </c>
      <c r="C169" s="11" t="s">
        <v>149</v>
      </c>
      <c r="D169" s="11" t="s">
        <v>281</v>
      </c>
      <c r="E169" s="11">
        <v>6</v>
      </c>
      <c r="F169" s="11">
        <v>156</v>
      </c>
      <c r="G169" s="13">
        <f t="shared" si="10"/>
        <v>29247.933884297523</v>
      </c>
      <c r="H169" s="12">
        <v>35390</v>
      </c>
    </row>
    <row r="170" spans="1:8" s="22" customFormat="1">
      <c r="A170" s="14" t="s">
        <v>18</v>
      </c>
      <c r="B170" s="15" t="s">
        <v>273</v>
      </c>
      <c r="C170" s="16" t="s">
        <v>149</v>
      </c>
      <c r="D170" s="16" t="s">
        <v>281</v>
      </c>
      <c r="E170" s="16">
        <v>7</v>
      </c>
      <c r="F170" s="16">
        <v>183</v>
      </c>
      <c r="G170" s="8">
        <f t="shared" si="10"/>
        <v>30322.314049586777</v>
      </c>
      <c r="H170" s="17">
        <v>36690</v>
      </c>
    </row>
    <row r="171" spans="1:8" s="22" customFormat="1">
      <c r="A171" s="9" t="s">
        <v>18</v>
      </c>
      <c r="B171" s="10" t="s">
        <v>274</v>
      </c>
      <c r="C171" s="11" t="s">
        <v>149</v>
      </c>
      <c r="D171" s="11" t="s">
        <v>282</v>
      </c>
      <c r="E171" s="11" t="s">
        <v>283</v>
      </c>
      <c r="F171" s="11">
        <v>189</v>
      </c>
      <c r="G171" s="13">
        <f t="shared" si="10"/>
        <v>32388.429752066117</v>
      </c>
      <c r="H171" s="12">
        <v>39190</v>
      </c>
    </row>
    <row r="172" spans="1:8" s="22" customFormat="1">
      <c r="A172"/>
      <c r="B172"/>
      <c r="C172" s="44"/>
      <c r="D172" s="44"/>
      <c r="E172" s="44"/>
      <c r="F172" s="44"/>
      <c r="G172" s="21"/>
      <c r="H172" s="21"/>
    </row>
    <row r="174" spans="1:8">
      <c r="A174" s="39" t="s">
        <v>3</v>
      </c>
      <c r="B174" s="27"/>
      <c r="C174" s="40"/>
      <c r="D174" s="40"/>
      <c r="E174" s="40"/>
      <c r="F174" s="40"/>
      <c r="G174" s="28" t="s">
        <v>223</v>
      </c>
      <c r="H174" s="28" t="s">
        <v>218</v>
      </c>
    </row>
    <row r="175" spans="1:8">
      <c r="A175" s="32" t="s">
        <v>20</v>
      </c>
      <c r="B175" s="33"/>
      <c r="C175" s="38"/>
      <c r="D175" s="38"/>
      <c r="E175" s="38"/>
      <c r="F175" s="38"/>
      <c r="G175" s="13">
        <f t="shared" ref="G175:G179" si="11">H175/1.21</f>
        <v>371.90082644628103</v>
      </c>
      <c r="H175" s="12">
        <v>450</v>
      </c>
    </row>
    <row r="176" spans="1:8">
      <c r="A176" s="35" t="s">
        <v>291</v>
      </c>
      <c r="B176" s="36"/>
      <c r="C176" s="41"/>
      <c r="D176" s="41"/>
      <c r="E176" s="41"/>
      <c r="F176" s="41"/>
      <c r="G176" s="8">
        <f t="shared" si="11"/>
        <v>247.93388429752068</v>
      </c>
      <c r="H176" s="17">
        <v>300</v>
      </c>
    </row>
    <row r="177" spans="1:8">
      <c r="A177" s="32" t="s">
        <v>275</v>
      </c>
      <c r="B177" s="33"/>
      <c r="C177" s="38"/>
      <c r="D177" s="38"/>
      <c r="E177" s="38"/>
      <c r="F177" s="38"/>
      <c r="G177" s="13">
        <f t="shared" si="11"/>
        <v>785.12396694214874</v>
      </c>
      <c r="H177" s="12">
        <v>950</v>
      </c>
    </row>
    <row r="178" spans="1:8">
      <c r="A178" s="35" t="s">
        <v>290</v>
      </c>
      <c r="B178" s="36"/>
      <c r="C178" s="41"/>
      <c r="D178" s="41"/>
      <c r="E178" s="41"/>
      <c r="F178" s="41"/>
      <c r="G178" s="8">
        <f t="shared" si="11"/>
        <v>1157.0247933884298</v>
      </c>
      <c r="H178" s="17">
        <v>1400</v>
      </c>
    </row>
    <row r="179" spans="1:8">
      <c r="A179" s="32" t="s">
        <v>332</v>
      </c>
      <c r="B179" s="33"/>
      <c r="C179" s="38"/>
      <c r="D179" s="38"/>
      <c r="E179" s="38"/>
      <c r="F179" s="38"/>
      <c r="G179" s="13">
        <f t="shared" si="11"/>
        <v>247.93388429752068</v>
      </c>
      <c r="H179" s="12">
        <v>300</v>
      </c>
    </row>
    <row r="180" spans="1:8">
      <c r="A180" s="29"/>
    </row>
    <row r="181" spans="1:8">
      <c r="A181" s="29"/>
    </row>
    <row r="182" spans="1:8">
      <c r="A182" s="29"/>
    </row>
    <row r="183" spans="1:8" s="25" customFormat="1" ht="19.5">
      <c r="A183" s="57" t="s">
        <v>19</v>
      </c>
      <c r="B183" s="57"/>
      <c r="C183" s="57"/>
      <c r="D183" s="57"/>
      <c r="E183" s="57"/>
      <c r="F183" s="57"/>
      <c r="G183" s="57"/>
      <c r="H183" s="57"/>
    </row>
    <row r="184" spans="1:8">
      <c r="A184" s="26" t="s">
        <v>0</v>
      </c>
      <c r="B184" s="26" t="s">
        <v>215</v>
      </c>
      <c r="C184" s="23" t="s">
        <v>219</v>
      </c>
      <c r="D184" s="23" t="s">
        <v>220</v>
      </c>
      <c r="E184" s="23" t="s">
        <v>221</v>
      </c>
      <c r="F184" s="23" t="s">
        <v>222</v>
      </c>
      <c r="G184" s="24" t="s">
        <v>223</v>
      </c>
      <c r="H184" s="24" t="s">
        <v>218</v>
      </c>
    </row>
    <row r="185" spans="1:8">
      <c r="A185" s="9" t="s">
        <v>19</v>
      </c>
      <c r="B185" s="1" t="s">
        <v>118</v>
      </c>
      <c r="C185" s="2" t="s">
        <v>147</v>
      </c>
      <c r="D185" s="2" t="s">
        <v>148</v>
      </c>
      <c r="E185" s="2">
        <v>4.9000000000000004</v>
      </c>
      <c r="F185" s="2">
        <v>128</v>
      </c>
      <c r="G185" s="13">
        <f t="shared" ref="G185:G188" si="12">H185/1.21</f>
        <v>24785.123966942148</v>
      </c>
      <c r="H185" s="4">
        <v>29990</v>
      </c>
    </row>
    <row r="186" spans="1:8">
      <c r="A186" s="14" t="s">
        <v>19</v>
      </c>
      <c r="B186" s="5" t="s">
        <v>119</v>
      </c>
      <c r="C186" s="6" t="s">
        <v>147</v>
      </c>
      <c r="D186" s="6" t="s">
        <v>148</v>
      </c>
      <c r="E186" s="6">
        <v>6</v>
      </c>
      <c r="F186" s="6">
        <v>159</v>
      </c>
      <c r="G186" s="8">
        <f t="shared" si="12"/>
        <v>25611.570247933883</v>
      </c>
      <c r="H186" s="7">
        <v>30990</v>
      </c>
    </row>
    <row r="187" spans="1:8">
      <c r="A187" s="14" t="s">
        <v>19</v>
      </c>
      <c r="B187" s="5" t="s">
        <v>120</v>
      </c>
      <c r="C187" s="6" t="s">
        <v>147</v>
      </c>
      <c r="D187" s="6" t="s">
        <v>148</v>
      </c>
      <c r="E187" s="6">
        <v>4.9000000000000004</v>
      </c>
      <c r="F187" s="6">
        <v>128</v>
      </c>
      <c r="G187" s="8">
        <f t="shared" si="12"/>
        <v>30404.958677685951</v>
      </c>
      <c r="H187" s="7">
        <v>36790</v>
      </c>
    </row>
    <row r="188" spans="1:8">
      <c r="A188" s="9" t="s">
        <v>19</v>
      </c>
      <c r="B188" s="1" t="s">
        <v>121</v>
      </c>
      <c r="C188" s="2" t="s">
        <v>147</v>
      </c>
      <c r="D188" s="2" t="s">
        <v>148</v>
      </c>
      <c r="E188" s="2">
        <v>6</v>
      </c>
      <c r="F188" s="2">
        <v>159</v>
      </c>
      <c r="G188" s="13">
        <f t="shared" si="12"/>
        <v>31396.694214876035</v>
      </c>
      <c r="H188" s="4">
        <v>37990</v>
      </c>
    </row>
    <row r="189" spans="1:8" s="25" customFormat="1">
      <c r="A189"/>
      <c r="B189"/>
      <c r="C189" s="44"/>
      <c r="D189" s="44"/>
      <c r="E189" s="44"/>
      <c r="F189" s="44"/>
      <c r="G189" s="21"/>
      <c r="H189" s="21"/>
    </row>
    <row r="190" spans="1:8">
      <c r="A190" s="39" t="s">
        <v>3</v>
      </c>
      <c r="B190" s="27"/>
      <c r="C190" s="40"/>
      <c r="D190" s="40"/>
      <c r="E190" s="40"/>
      <c r="F190" s="40"/>
      <c r="G190" s="28" t="s">
        <v>223</v>
      </c>
      <c r="H190" s="28" t="s">
        <v>218</v>
      </c>
    </row>
    <row r="191" spans="1:8">
      <c r="A191" s="32" t="s">
        <v>20</v>
      </c>
      <c r="B191" s="33"/>
      <c r="C191" s="38"/>
      <c r="D191" s="38"/>
      <c r="E191" s="38"/>
      <c r="F191" s="38"/>
      <c r="G191" s="13">
        <f t="shared" ref="G191:G193" si="13">H191/1.21</f>
        <v>371.90082644628103</v>
      </c>
      <c r="H191" s="12">
        <v>450</v>
      </c>
    </row>
    <row r="192" spans="1:8">
      <c r="A192" s="35" t="s">
        <v>232</v>
      </c>
      <c r="B192" s="36"/>
      <c r="C192" s="41"/>
      <c r="D192" s="41"/>
      <c r="E192" s="41"/>
      <c r="F192" s="41"/>
      <c r="G192" s="8">
        <f t="shared" si="13"/>
        <v>785.12396694214874</v>
      </c>
      <c r="H192" s="17">
        <v>950</v>
      </c>
    </row>
    <row r="193" spans="1:8">
      <c r="A193" s="32" t="s">
        <v>233</v>
      </c>
      <c r="B193" s="33"/>
      <c r="C193" s="38"/>
      <c r="D193" s="38"/>
      <c r="E193" s="38"/>
      <c r="F193" s="38"/>
      <c r="G193" s="13">
        <f t="shared" si="13"/>
        <v>0</v>
      </c>
      <c r="H193" s="12">
        <v>0</v>
      </c>
    </row>
    <row r="196" spans="1:8" s="25" customFormat="1" ht="19.5">
      <c r="A196" s="51" t="s">
        <v>10</v>
      </c>
      <c r="B196" s="51"/>
      <c r="C196" s="51"/>
      <c r="D196" s="51"/>
      <c r="E196" s="51"/>
      <c r="F196" s="51"/>
      <c r="G196" s="51"/>
      <c r="H196" s="51"/>
    </row>
    <row r="197" spans="1:8">
      <c r="A197" s="26" t="s">
        <v>0</v>
      </c>
      <c r="B197" s="26" t="s">
        <v>215</v>
      </c>
      <c r="C197" s="23" t="s">
        <v>219</v>
      </c>
      <c r="D197" s="23" t="s">
        <v>220</v>
      </c>
      <c r="E197" s="23" t="s">
        <v>221</v>
      </c>
      <c r="F197" s="23" t="s">
        <v>222</v>
      </c>
      <c r="G197" s="24" t="s">
        <v>223</v>
      </c>
      <c r="H197" s="24" t="s">
        <v>218</v>
      </c>
    </row>
    <row r="198" spans="1:8">
      <c r="A198" s="9" t="s">
        <v>10</v>
      </c>
      <c r="B198" s="10" t="s">
        <v>217</v>
      </c>
      <c r="C198" s="11" t="s">
        <v>149</v>
      </c>
      <c r="D198" s="11" t="s">
        <v>152</v>
      </c>
      <c r="E198" s="11">
        <v>6.1</v>
      </c>
      <c r="F198" s="11">
        <v>159</v>
      </c>
      <c r="G198" s="13">
        <f t="shared" ref="G198:G203" si="14">H198/1.21</f>
        <v>27264.462809917357</v>
      </c>
      <c r="H198" s="12">
        <v>32990</v>
      </c>
    </row>
    <row r="199" spans="1:8">
      <c r="A199" s="14" t="s">
        <v>10</v>
      </c>
      <c r="B199" s="15" t="s">
        <v>12</v>
      </c>
      <c r="C199" s="16" t="s">
        <v>149</v>
      </c>
      <c r="D199" s="16" t="s">
        <v>152</v>
      </c>
      <c r="E199" s="16">
        <v>6.1</v>
      </c>
      <c r="F199" s="16">
        <v>159</v>
      </c>
      <c r="G199" s="8">
        <f t="shared" si="14"/>
        <v>27925.619834710746</v>
      </c>
      <c r="H199" s="17">
        <v>33790</v>
      </c>
    </row>
    <row r="200" spans="1:8">
      <c r="A200" s="9" t="s">
        <v>10</v>
      </c>
      <c r="B200" s="10" t="s">
        <v>13</v>
      </c>
      <c r="C200" s="11" t="s">
        <v>149</v>
      </c>
      <c r="D200" s="11" t="s">
        <v>152</v>
      </c>
      <c r="E200" s="11">
        <v>6.3</v>
      </c>
      <c r="F200" s="11">
        <v>165</v>
      </c>
      <c r="G200" s="13">
        <f t="shared" si="14"/>
        <v>29991.735537190085</v>
      </c>
      <c r="H200" s="12">
        <v>36290</v>
      </c>
    </row>
    <row r="201" spans="1:8">
      <c r="A201" s="14" t="s">
        <v>10</v>
      </c>
      <c r="B201" s="15" t="s">
        <v>14</v>
      </c>
      <c r="C201" s="16" t="s">
        <v>149</v>
      </c>
      <c r="D201" s="16" t="s">
        <v>152</v>
      </c>
      <c r="E201" s="16">
        <v>6.4</v>
      </c>
      <c r="F201" s="16">
        <v>168</v>
      </c>
      <c r="G201" s="8">
        <f t="shared" si="14"/>
        <v>31314.049586776859</v>
      </c>
      <c r="H201" s="17">
        <v>37890</v>
      </c>
    </row>
    <row r="202" spans="1:8">
      <c r="A202" s="9" t="s">
        <v>10</v>
      </c>
      <c r="B202" s="10" t="s">
        <v>15</v>
      </c>
      <c r="C202" s="11" t="s">
        <v>150</v>
      </c>
      <c r="D202" s="11" t="s">
        <v>151</v>
      </c>
      <c r="E202" s="11">
        <v>6.8</v>
      </c>
      <c r="F202" s="11">
        <v>178</v>
      </c>
      <c r="G202" s="13">
        <f t="shared" si="14"/>
        <v>33793.388429752064</v>
      </c>
      <c r="H202" s="12">
        <v>40890</v>
      </c>
    </row>
    <row r="203" spans="1:8">
      <c r="A203" s="14" t="s">
        <v>10</v>
      </c>
      <c r="B203" s="15" t="s">
        <v>16</v>
      </c>
      <c r="C203" s="16" t="s">
        <v>150</v>
      </c>
      <c r="D203" s="16" t="s">
        <v>151</v>
      </c>
      <c r="E203" s="16">
        <v>6.8</v>
      </c>
      <c r="F203" s="16">
        <v>178</v>
      </c>
      <c r="G203" s="8">
        <f t="shared" si="14"/>
        <v>36438.016528925618</v>
      </c>
      <c r="H203" s="17">
        <v>44090</v>
      </c>
    </row>
    <row r="204" spans="1:8" s="25" customFormat="1">
      <c r="A204"/>
      <c r="B204"/>
      <c r="C204" s="44"/>
      <c r="D204" s="44"/>
      <c r="E204" s="44"/>
      <c r="F204" s="44"/>
      <c r="G204" s="21"/>
      <c r="H204" s="21"/>
    </row>
    <row r="205" spans="1:8" s="25" customFormat="1">
      <c r="A205"/>
      <c r="B205"/>
      <c r="C205" s="44"/>
      <c r="D205" s="44"/>
      <c r="E205" s="44"/>
      <c r="F205" s="44"/>
      <c r="G205" s="21"/>
      <c r="H205" s="21"/>
    </row>
    <row r="206" spans="1:8">
      <c r="A206" s="39" t="s">
        <v>3</v>
      </c>
      <c r="B206" s="27"/>
      <c r="C206" s="40"/>
      <c r="D206" s="40"/>
      <c r="E206" s="40"/>
      <c r="F206" s="40"/>
      <c r="G206" s="28" t="s">
        <v>223</v>
      </c>
      <c r="H206" s="28" t="s">
        <v>218</v>
      </c>
    </row>
    <row r="207" spans="1:8">
      <c r="A207" s="32" t="s">
        <v>20</v>
      </c>
      <c r="B207" s="33"/>
      <c r="C207" s="38"/>
      <c r="D207" s="38"/>
      <c r="E207" s="38"/>
      <c r="F207" s="38"/>
      <c r="G207" s="13">
        <f>H207/1.21</f>
        <v>371.90082644628103</v>
      </c>
      <c r="H207" s="12">
        <v>450</v>
      </c>
    </row>
    <row r="208" spans="1:8">
      <c r="A208" s="35" t="s">
        <v>234</v>
      </c>
      <c r="B208" s="36"/>
      <c r="C208" s="41"/>
      <c r="D208" s="41"/>
      <c r="E208" s="41"/>
      <c r="F208" s="41"/>
      <c r="G208" s="8">
        <f t="shared" ref="G208:G211" si="15">H208/1.21</f>
        <v>1239.6694214876034</v>
      </c>
      <c r="H208" s="17">
        <v>1500</v>
      </c>
    </row>
    <row r="209" spans="1:8">
      <c r="A209" s="32" t="s">
        <v>235</v>
      </c>
      <c r="B209" s="33"/>
      <c r="C209" s="38"/>
      <c r="D209" s="38"/>
      <c r="E209" s="38"/>
      <c r="F209" s="38"/>
      <c r="G209" s="13">
        <f t="shared" si="15"/>
        <v>1239.6694214876034</v>
      </c>
      <c r="H209" s="12">
        <v>1500</v>
      </c>
    </row>
    <row r="210" spans="1:8">
      <c r="A210" s="35" t="s">
        <v>236</v>
      </c>
      <c r="B210" s="36"/>
      <c r="C210" s="41"/>
      <c r="D210" s="41"/>
      <c r="E210" s="41"/>
      <c r="F210" s="41"/>
      <c r="G210" s="8">
        <f t="shared" si="15"/>
        <v>247.93388429752068</v>
      </c>
      <c r="H210" s="17">
        <v>300</v>
      </c>
    </row>
    <row r="211" spans="1:8">
      <c r="A211" s="32" t="s">
        <v>237</v>
      </c>
      <c r="B211" s="33"/>
      <c r="C211" s="38"/>
      <c r="D211" s="38"/>
      <c r="E211" s="38"/>
      <c r="F211" s="38"/>
      <c r="G211" s="13">
        <f t="shared" si="15"/>
        <v>247.93388429752068</v>
      </c>
      <c r="H211" s="12">
        <v>300</v>
      </c>
    </row>
    <row r="214" spans="1:8" ht="19.5">
      <c r="A214" s="79" t="s">
        <v>17</v>
      </c>
      <c r="B214" s="79"/>
      <c r="C214" s="79"/>
      <c r="D214" s="79"/>
      <c r="E214" s="79"/>
      <c r="F214" s="79"/>
      <c r="G214" s="79"/>
      <c r="H214" s="79"/>
    </row>
    <row r="215" spans="1:8" s="25" customFormat="1">
      <c r="A215" s="26" t="s">
        <v>0</v>
      </c>
      <c r="B215" s="43" t="s">
        <v>215</v>
      </c>
      <c r="C215" s="23" t="s">
        <v>219</v>
      </c>
      <c r="D215" s="23" t="s">
        <v>220</v>
      </c>
      <c r="E215" s="23" t="s">
        <v>221</v>
      </c>
      <c r="F215" s="23" t="s">
        <v>222</v>
      </c>
      <c r="G215" s="24" t="s">
        <v>223</v>
      </c>
      <c r="H215" s="24" t="s">
        <v>218</v>
      </c>
    </row>
    <row r="216" spans="1:8">
      <c r="A216" s="9" t="s">
        <v>17</v>
      </c>
      <c r="B216" s="10" t="s">
        <v>128</v>
      </c>
      <c r="C216" s="11" t="s">
        <v>159</v>
      </c>
      <c r="D216" s="11" t="s">
        <v>165</v>
      </c>
      <c r="E216" s="11">
        <v>6.8</v>
      </c>
      <c r="F216" s="11">
        <v>159</v>
      </c>
      <c r="G216" s="13">
        <f t="shared" ref="G216:G226" si="16">H216/1.21</f>
        <v>17512.396694214876</v>
      </c>
      <c r="H216" s="12">
        <v>21190</v>
      </c>
    </row>
    <row r="217" spans="1:8">
      <c r="A217" s="14" t="s">
        <v>17</v>
      </c>
      <c r="B217" s="15" t="s">
        <v>129</v>
      </c>
      <c r="C217" s="16" t="s">
        <v>162</v>
      </c>
      <c r="D217" s="16" t="s">
        <v>161</v>
      </c>
      <c r="E217" s="16">
        <v>4.9000000000000004</v>
      </c>
      <c r="F217" s="16">
        <v>129</v>
      </c>
      <c r="G217" s="8">
        <f t="shared" si="16"/>
        <v>19165.289256198346</v>
      </c>
      <c r="H217" s="17">
        <v>23190</v>
      </c>
    </row>
    <row r="218" spans="1:8" s="25" customFormat="1">
      <c r="A218" s="59" t="s">
        <v>17</v>
      </c>
      <c r="B218" s="60" t="s">
        <v>130</v>
      </c>
      <c r="C218" s="61" t="s">
        <v>162</v>
      </c>
      <c r="D218" s="61" t="s">
        <v>161</v>
      </c>
      <c r="E218" s="61">
        <v>4.7</v>
      </c>
      <c r="F218" s="61">
        <v>120</v>
      </c>
      <c r="G218" s="62">
        <f t="shared" si="16"/>
        <v>20818.18181818182</v>
      </c>
      <c r="H218" s="63">
        <v>25190</v>
      </c>
    </row>
    <row r="219" spans="1:8" s="54" customFormat="1">
      <c r="A219" s="14" t="s">
        <v>17</v>
      </c>
      <c r="B219" s="15" t="s">
        <v>131</v>
      </c>
      <c r="C219" s="16" t="s">
        <v>159</v>
      </c>
      <c r="D219" s="16" t="s">
        <v>165</v>
      </c>
      <c r="E219" s="16">
        <v>6.8</v>
      </c>
      <c r="F219" s="16">
        <v>159</v>
      </c>
      <c r="G219" s="8">
        <f t="shared" si="16"/>
        <v>19165.289256198346</v>
      </c>
      <c r="H219" s="17">
        <v>23190</v>
      </c>
    </row>
    <row r="220" spans="1:8">
      <c r="A220" s="9" t="s">
        <v>17</v>
      </c>
      <c r="B220" s="10" t="s">
        <v>132</v>
      </c>
      <c r="C220" s="11" t="s">
        <v>162</v>
      </c>
      <c r="D220" s="11" t="s">
        <v>161</v>
      </c>
      <c r="E220" s="11">
        <v>4.9000000000000004</v>
      </c>
      <c r="F220" s="11">
        <v>129</v>
      </c>
      <c r="G220" s="13">
        <f t="shared" si="16"/>
        <v>20818.18181818182</v>
      </c>
      <c r="H220" s="12">
        <v>25190</v>
      </c>
    </row>
    <row r="221" spans="1:8">
      <c r="A221" s="14" t="s">
        <v>17</v>
      </c>
      <c r="B221" s="15" t="s">
        <v>133</v>
      </c>
      <c r="C221" s="16" t="s">
        <v>162</v>
      </c>
      <c r="D221" s="16" t="s">
        <v>164</v>
      </c>
      <c r="E221" s="16">
        <v>5.3</v>
      </c>
      <c r="F221" s="16">
        <v>139</v>
      </c>
      <c r="G221" s="8">
        <f t="shared" si="16"/>
        <v>21727.272727272728</v>
      </c>
      <c r="H221" s="17">
        <v>26290</v>
      </c>
    </row>
    <row r="222" spans="1:8">
      <c r="A222" s="9" t="s">
        <v>17</v>
      </c>
      <c r="B222" s="10" t="s">
        <v>119</v>
      </c>
      <c r="C222" s="11" t="s">
        <v>162</v>
      </c>
      <c r="D222" s="11" t="s">
        <v>164</v>
      </c>
      <c r="E222" s="11">
        <v>6.1</v>
      </c>
      <c r="F222" s="11">
        <v>159</v>
      </c>
      <c r="G222" s="13">
        <f t="shared" si="16"/>
        <v>22719.008264462809</v>
      </c>
      <c r="H222" s="12">
        <v>27490</v>
      </c>
    </row>
    <row r="223" spans="1:8">
      <c r="A223" s="14" t="s">
        <v>17</v>
      </c>
      <c r="B223" s="15" t="s">
        <v>96</v>
      </c>
      <c r="C223" s="16" t="s">
        <v>159</v>
      </c>
      <c r="D223" s="16" t="s">
        <v>165</v>
      </c>
      <c r="E223" s="16">
        <v>7.1</v>
      </c>
      <c r="F223" s="16">
        <v>164</v>
      </c>
      <c r="G223" s="8">
        <f t="shared" si="16"/>
        <v>22471.07438016529</v>
      </c>
      <c r="H223" s="17">
        <v>27190</v>
      </c>
    </row>
    <row r="224" spans="1:8">
      <c r="A224" s="9" t="s">
        <v>17</v>
      </c>
      <c r="B224" s="10" t="s">
        <v>134</v>
      </c>
      <c r="C224" s="11" t="s">
        <v>163</v>
      </c>
      <c r="D224" s="11" t="s">
        <v>166</v>
      </c>
      <c r="E224" s="11">
        <v>7.9</v>
      </c>
      <c r="F224" s="11">
        <v>184</v>
      </c>
      <c r="G224" s="13">
        <f t="shared" si="16"/>
        <v>24289.25619834711</v>
      </c>
      <c r="H224" s="12">
        <v>29390</v>
      </c>
    </row>
    <row r="225" spans="1:8">
      <c r="A225" s="14" t="s">
        <v>17</v>
      </c>
      <c r="B225" s="15" t="s">
        <v>135</v>
      </c>
      <c r="C225" s="16" t="s">
        <v>162</v>
      </c>
      <c r="D225" s="16" t="s">
        <v>164</v>
      </c>
      <c r="E225" s="16">
        <v>5.3</v>
      </c>
      <c r="F225" s="16">
        <v>139</v>
      </c>
      <c r="G225" s="8">
        <f t="shared" si="16"/>
        <v>25033.057851239671</v>
      </c>
      <c r="H225" s="17">
        <v>30290</v>
      </c>
    </row>
    <row r="226" spans="1:8">
      <c r="A226" s="9" t="s">
        <v>17</v>
      </c>
      <c r="B226" s="10" t="s">
        <v>136</v>
      </c>
      <c r="C226" s="11" t="s">
        <v>162</v>
      </c>
      <c r="D226" s="11" t="s">
        <v>164</v>
      </c>
      <c r="E226" s="11">
        <v>6.1</v>
      </c>
      <c r="F226" s="11">
        <v>139</v>
      </c>
      <c r="G226" s="13">
        <f t="shared" si="16"/>
        <v>26024.793388429753</v>
      </c>
      <c r="H226" s="12">
        <v>31490</v>
      </c>
    </row>
    <row r="228" spans="1:8">
      <c r="A228" s="39" t="s">
        <v>3</v>
      </c>
      <c r="B228" s="27"/>
      <c r="C228" s="40"/>
      <c r="D228" s="40"/>
      <c r="E228" s="40"/>
      <c r="F228" s="40"/>
      <c r="G228" s="28" t="s">
        <v>223</v>
      </c>
      <c r="H228" s="28" t="s">
        <v>218</v>
      </c>
    </row>
    <row r="229" spans="1:8">
      <c r="A229" s="32" t="s">
        <v>20</v>
      </c>
      <c r="B229" s="33"/>
      <c r="C229" s="38"/>
      <c r="D229" s="38"/>
      <c r="E229" s="38"/>
      <c r="F229" s="38"/>
      <c r="G229" s="13">
        <f t="shared" ref="G229:G233" si="17">H229/1.21</f>
        <v>371.90082644628103</v>
      </c>
      <c r="H229" s="12">
        <v>450</v>
      </c>
    </row>
    <row r="230" spans="1:8">
      <c r="A230" s="35" t="s">
        <v>238</v>
      </c>
      <c r="B230" s="36"/>
      <c r="C230" s="41"/>
      <c r="D230" s="41"/>
      <c r="E230" s="41"/>
      <c r="F230" s="41"/>
      <c r="G230" s="8">
        <f t="shared" si="17"/>
        <v>413.22314049586777</v>
      </c>
      <c r="H230" s="17">
        <v>500</v>
      </c>
    </row>
    <row r="231" spans="1:8">
      <c r="A231" s="32" t="s">
        <v>239</v>
      </c>
      <c r="B231" s="33"/>
      <c r="C231" s="38"/>
      <c r="D231" s="38"/>
      <c r="E231" s="38"/>
      <c r="F231" s="38"/>
      <c r="G231" s="13">
        <f t="shared" si="17"/>
        <v>247.93388429752068</v>
      </c>
      <c r="H231" s="12">
        <v>300</v>
      </c>
    </row>
    <row r="232" spans="1:8">
      <c r="A232" s="35" t="s">
        <v>240</v>
      </c>
      <c r="B232" s="36"/>
      <c r="C232" s="41"/>
      <c r="D232" s="41"/>
      <c r="E232" s="41"/>
      <c r="F232" s="41"/>
      <c r="G232" s="8">
        <f t="shared" si="17"/>
        <v>1239.6694214876034</v>
      </c>
      <c r="H232" s="17">
        <v>1500</v>
      </c>
    </row>
    <row r="233" spans="1:8">
      <c r="A233" s="32" t="s">
        <v>241</v>
      </c>
      <c r="B233" s="33"/>
      <c r="C233" s="38"/>
      <c r="D233" s="38"/>
      <c r="E233" s="38"/>
      <c r="F233" s="38"/>
      <c r="G233" s="13">
        <f t="shared" si="17"/>
        <v>1404.9586776859505</v>
      </c>
      <c r="H233" s="12">
        <v>1700</v>
      </c>
    </row>
    <row r="236" spans="1:8" ht="19.5">
      <c r="A236" s="79" t="s">
        <v>252</v>
      </c>
      <c r="B236" s="79"/>
      <c r="C236" s="79"/>
      <c r="D236" s="79"/>
      <c r="E236" s="79"/>
      <c r="F236" s="79"/>
      <c r="G236" s="79"/>
      <c r="H236" s="79"/>
    </row>
    <row r="237" spans="1:8">
      <c r="A237" s="26" t="s">
        <v>0</v>
      </c>
      <c r="B237" s="43" t="s">
        <v>215</v>
      </c>
      <c r="C237" s="23" t="s">
        <v>219</v>
      </c>
      <c r="D237" s="23" t="s">
        <v>220</v>
      </c>
      <c r="E237" s="23" t="s">
        <v>221</v>
      </c>
      <c r="F237" s="23" t="s">
        <v>222</v>
      </c>
      <c r="G237" s="24" t="s">
        <v>223</v>
      </c>
      <c r="H237" s="24" t="s">
        <v>218</v>
      </c>
    </row>
    <row r="238" spans="1:8">
      <c r="A238" s="9" t="s">
        <v>252</v>
      </c>
      <c r="B238" s="10" t="s">
        <v>255</v>
      </c>
      <c r="C238" s="11" t="s">
        <v>159</v>
      </c>
      <c r="D238" s="11" t="s">
        <v>258</v>
      </c>
      <c r="E238" s="11">
        <v>6.8</v>
      </c>
      <c r="F238" s="11">
        <v>158</v>
      </c>
      <c r="G238" s="13">
        <f t="shared" ref="G238:G243" si="18">H238/1.21</f>
        <v>16438.016528925622</v>
      </c>
      <c r="H238" s="12">
        <v>19890</v>
      </c>
    </row>
    <row r="239" spans="1:8" ht="14.1" customHeight="1">
      <c r="A239" s="14" t="s">
        <v>252</v>
      </c>
      <c r="B239" s="15" t="s">
        <v>263</v>
      </c>
      <c r="C239" s="16" t="s">
        <v>144</v>
      </c>
      <c r="D239" s="16" t="s">
        <v>146</v>
      </c>
      <c r="E239" s="16">
        <v>5</v>
      </c>
      <c r="F239" s="16">
        <v>132</v>
      </c>
      <c r="G239" s="8">
        <f t="shared" si="18"/>
        <v>18008.264462809919</v>
      </c>
      <c r="H239" s="17">
        <v>21790</v>
      </c>
    </row>
    <row r="240" spans="1:8">
      <c r="A240" s="9" t="s">
        <v>252</v>
      </c>
      <c r="B240" s="10" t="s">
        <v>256</v>
      </c>
      <c r="C240" s="11" t="s">
        <v>159</v>
      </c>
      <c r="D240" s="11" t="s">
        <v>258</v>
      </c>
      <c r="E240" s="11">
        <v>7.3</v>
      </c>
      <c r="F240" s="11">
        <v>170</v>
      </c>
      <c r="G240" s="13">
        <f t="shared" si="18"/>
        <v>18752.066115702481</v>
      </c>
      <c r="H240" s="12">
        <v>22690</v>
      </c>
    </row>
    <row r="241" spans="1:8">
      <c r="A241" s="14" t="s">
        <v>252</v>
      </c>
      <c r="B241" s="15" t="s">
        <v>257</v>
      </c>
      <c r="C241" s="16" t="s">
        <v>159</v>
      </c>
      <c r="D241" s="16" t="s">
        <v>258</v>
      </c>
      <c r="E241" s="16">
        <v>7.6</v>
      </c>
      <c r="F241" s="16">
        <v>176</v>
      </c>
      <c r="G241" s="8">
        <f t="shared" si="18"/>
        <v>19578.512396694216</v>
      </c>
      <c r="H241" s="17">
        <v>23690</v>
      </c>
    </row>
    <row r="242" spans="1:8">
      <c r="A242" s="9" t="s">
        <v>252</v>
      </c>
      <c r="B242" s="10" t="s">
        <v>264</v>
      </c>
      <c r="C242" s="11" t="s">
        <v>144</v>
      </c>
      <c r="D242" s="11" t="s">
        <v>146</v>
      </c>
      <c r="E242" s="11">
        <v>5</v>
      </c>
      <c r="F242" s="11">
        <v>132</v>
      </c>
      <c r="G242" s="13">
        <f t="shared" si="18"/>
        <v>20322.314049586777</v>
      </c>
      <c r="H242" s="12">
        <v>24590</v>
      </c>
    </row>
    <row r="243" spans="1:8">
      <c r="A243" s="14" t="s">
        <v>252</v>
      </c>
      <c r="B243" s="15" t="s">
        <v>265</v>
      </c>
      <c r="C243" s="16" t="s">
        <v>144</v>
      </c>
      <c r="D243" s="16" t="s">
        <v>146</v>
      </c>
      <c r="E243" s="16">
        <v>6</v>
      </c>
      <c r="F243" s="16">
        <v>156</v>
      </c>
      <c r="G243" s="8">
        <f t="shared" si="18"/>
        <v>21148.760330578512</v>
      </c>
      <c r="H243" s="17">
        <v>25590</v>
      </c>
    </row>
    <row r="245" spans="1:8">
      <c r="A245" s="39" t="s">
        <v>3</v>
      </c>
      <c r="B245" s="27"/>
      <c r="C245" s="40"/>
      <c r="D245" s="40"/>
      <c r="E245" s="40"/>
      <c r="F245" s="40"/>
      <c r="G245" s="28" t="s">
        <v>25</v>
      </c>
      <c r="H245" s="28" t="s">
        <v>26</v>
      </c>
    </row>
    <row r="246" spans="1:8">
      <c r="A246" s="32" t="s">
        <v>20</v>
      </c>
      <c r="B246" s="33"/>
      <c r="C246" s="38"/>
      <c r="D246" s="38"/>
      <c r="E246" s="38"/>
      <c r="F246" s="38"/>
      <c r="G246" s="13">
        <f t="shared" ref="G246:G249" si="19">H246/1.21</f>
        <v>330.57851239669424</v>
      </c>
      <c r="H246" s="12">
        <v>400</v>
      </c>
    </row>
    <row r="247" spans="1:8">
      <c r="A247" s="35" t="s">
        <v>262</v>
      </c>
      <c r="B247" s="36"/>
      <c r="C247" s="41"/>
      <c r="D247" s="41"/>
      <c r="E247" s="41"/>
      <c r="F247" s="41"/>
      <c r="G247" s="8">
        <f t="shared" si="19"/>
        <v>619.83471074380168</v>
      </c>
      <c r="H247" s="17">
        <v>750</v>
      </c>
    </row>
    <row r="248" spans="1:8">
      <c r="A248" s="35" t="s">
        <v>261</v>
      </c>
      <c r="B248" s="36"/>
      <c r="C248" s="41"/>
      <c r="D248" s="41"/>
      <c r="E248" s="41"/>
      <c r="F248" s="41"/>
      <c r="G248" s="8">
        <f t="shared" si="19"/>
        <v>702.47933884297527</v>
      </c>
      <c r="H248" s="17">
        <v>850</v>
      </c>
    </row>
    <row r="249" spans="1:8">
      <c r="A249" s="32" t="s">
        <v>241</v>
      </c>
      <c r="B249" s="33"/>
      <c r="C249" s="38"/>
      <c r="D249" s="38"/>
      <c r="E249" s="38"/>
      <c r="F249" s="38"/>
      <c r="G249" s="13">
        <f t="shared" si="19"/>
        <v>1239.6694214876034</v>
      </c>
      <c r="H249" s="12">
        <v>1500</v>
      </c>
    </row>
    <row r="255" spans="1:8">
      <c r="A255" s="52"/>
      <c r="B255" s="52"/>
      <c r="C255" s="52"/>
      <c r="D255" s="52"/>
      <c r="E255" s="52"/>
      <c r="F255" s="52"/>
      <c r="G255" s="52"/>
      <c r="H255" s="52"/>
    </row>
    <row r="256" spans="1:8" ht="15" customHeight="1">
      <c r="A256" s="80" t="s">
        <v>267</v>
      </c>
      <c r="B256" s="80"/>
      <c r="C256" s="80"/>
      <c r="D256" s="80"/>
      <c r="E256" s="80"/>
      <c r="F256" s="80"/>
      <c r="G256" s="80"/>
      <c r="H256" s="80"/>
    </row>
    <row r="257" spans="1:8">
      <c r="A257" s="80"/>
      <c r="B257" s="80"/>
      <c r="C257" s="80"/>
      <c r="D257" s="80"/>
      <c r="E257" s="80"/>
      <c r="F257" s="80"/>
      <c r="G257" s="80"/>
      <c r="H257" s="80"/>
    </row>
    <row r="258" spans="1:8">
      <c r="A258" s="80"/>
      <c r="B258" s="80"/>
      <c r="C258" s="80"/>
      <c r="D258" s="80"/>
      <c r="E258" s="80"/>
      <c r="F258" s="80"/>
      <c r="G258" s="80"/>
      <c r="H258" s="80"/>
    </row>
  </sheetData>
  <sheetProtection formatCells="0" formatColumns="0" formatRows="0" sort="0" autoFilter="0" pivotTables="0"/>
  <mergeCells count="13">
    <mergeCell ref="A256:H258"/>
    <mergeCell ref="A148:H148"/>
    <mergeCell ref="A64:H64"/>
    <mergeCell ref="A81:H81"/>
    <mergeCell ref="A105:H105"/>
    <mergeCell ref="A153:H153"/>
    <mergeCell ref="A236:H236"/>
    <mergeCell ref="A214:H214"/>
    <mergeCell ref="A3:H3"/>
    <mergeCell ref="A4:H4"/>
    <mergeCell ref="A9:H9"/>
    <mergeCell ref="A24:F24"/>
    <mergeCell ref="A30:H30"/>
  </mergeCells>
  <phoneticPr fontId="7" type="noConversion"/>
  <pageMargins left="0.75000000000000011" right="0.75000000000000011" top="0.98" bottom="0.98" header="0" footer="0.51"/>
  <pageSetup paperSize="256" scale="66" fitToHeight="10" orientation="landscape" r:id="rId1"/>
  <drawing r:id="rId2"/>
  <extLst>
    <ext xmlns:mx="http://schemas.microsoft.com/office/mac/excel/2008/main" uri="{64002731-A6B0-56B0-2670-7721B7C09600}">
      <mx:PLV Mode="1"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theme="0" tint="-0.34998626667073579"/>
    <pageSetUpPr fitToPage="1"/>
  </sheetPr>
  <dimension ref="A1:CA253"/>
  <sheetViews>
    <sheetView view="pageLayout" zoomScale="91" zoomScalePageLayoutView="91" workbookViewId="0">
      <selection activeCell="D5" sqref="D5"/>
    </sheetView>
  </sheetViews>
  <sheetFormatPr defaultColWidth="11.42578125" defaultRowHeight="15"/>
  <cols>
    <col min="1" max="1" width="11" bestFit="1" customWidth="1"/>
    <col min="2" max="2" width="38.85546875" customWidth="1"/>
    <col min="3" max="3" width="18.5703125" style="44" bestFit="1" customWidth="1"/>
    <col min="4" max="4" width="23" style="44" bestFit="1" customWidth="1"/>
    <col min="5" max="5" width="26.28515625" style="44" bestFit="1" customWidth="1"/>
    <col min="6" max="6" width="20.28515625" style="44" bestFit="1" customWidth="1"/>
    <col min="7" max="8" width="10" style="21" bestFit="1" customWidth="1"/>
  </cols>
  <sheetData>
    <row r="1" spans="1:79">
      <c r="A1" s="45"/>
      <c r="B1" s="45"/>
      <c r="C1" s="48"/>
      <c r="D1" s="48"/>
      <c r="E1" s="48"/>
      <c r="F1" s="48"/>
      <c r="G1" s="49"/>
      <c r="H1" s="49"/>
    </row>
    <row r="2" spans="1:79">
      <c r="A2" s="45"/>
      <c r="B2" s="45"/>
      <c r="C2" s="48"/>
      <c r="D2" s="48"/>
      <c r="E2" s="48"/>
      <c r="F2" s="48"/>
      <c r="G2" s="49"/>
      <c r="H2" s="49"/>
    </row>
    <row r="3" spans="1:79" ht="24.75">
      <c r="A3" s="74" t="s">
        <v>206</v>
      </c>
      <c r="B3" s="74"/>
      <c r="C3" s="74"/>
      <c r="D3" s="74"/>
      <c r="E3" s="74"/>
      <c r="F3" s="74"/>
      <c r="G3" s="74"/>
      <c r="H3" s="74"/>
    </row>
    <row r="4" spans="1:79">
      <c r="A4" s="75" t="s">
        <v>335</v>
      </c>
      <c r="B4" s="75"/>
      <c r="C4" s="75"/>
      <c r="D4" s="75"/>
      <c r="E4" s="75"/>
      <c r="F4" s="75"/>
      <c r="G4" s="75"/>
      <c r="H4" s="75"/>
    </row>
    <row r="5" spans="1:79">
      <c r="A5" s="45"/>
      <c r="B5" s="45"/>
      <c r="C5" s="48"/>
      <c r="D5" s="48"/>
      <c r="E5" s="48"/>
      <c r="F5" s="48"/>
      <c r="G5" s="49"/>
      <c r="H5" s="50"/>
    </row>
    <row r="6" spans="1:79">
      <c r="A6" s="45"/>
      <c r="B6" s="45"/>
      <c r="C6" s="48"/>
      <c r="D6" s="48"/>
      <c r="E6" s="48"/>
      <c r="F6" s="48"/>
      <c r="G6" s="49"/>
      <c r="H6" s="50"/>
    </row>
    <row r="7" spans="1:79">
      <c r="A7" s="45"/>
      <c r="B7" s="45"/>
      <c r="C7" s="48"/>
      <c r="D7" s="48"/>
      <c r="E7" s="48"/>
      <c r="F7" s="48"/>
      <c r="G7" s="49"/>
      <c r="H7" s="49"/>
    </row>
    <row r="8" spans="1:79" ht="19.5">
      <c r="A8" s="76" t="s">
        <v>21</v>
      </c>
      <c r="B8" s="76"/>
      <c r="C8" s="76"/>
      <c r="D8" s="76"/>
      <c r="E8" s="76"/>
      <c r="F8" s="76"/>
      <c r="G8" s="76"/>
      <c r="H8" s="76"/>
    </row>
    <row r="9" spans="1:79" s="25" customFormat="1">
      <c r="A9" s="26" t="s">
        <v>28</v>
      </c>
      <c r="B9" s="26" t="s">
        <v>27</v>
      </c>
      <c r="C9" s="23" t="s">
        <v>214</v>
      </c>
      <c r="D9" s="23" t="s">
        <v>212</v>
      </c>
      <c r="E9" s="23" t="s">
        <v>213</v>
      </c>
      <c r="F9" s="23" t="s">
        <v>167</v>
      </c>
      <c r="G9" s="24" t="s">
        <v>25</v>
      </c>
      <c r="H9" s="24" t="s">
        <v>26</v>
      </c>
    </row>
    <row r="10" spans="1:79">
      <c r="A10" s="10" t="s">
        <v>29</v>
      </c>
      <c r="B10" s="10" t="s">
        <v>43</v>
      </c>
      <c r="C10" s="11" t="s">
        <v>50</v>
      </c>
      <c r="D10" s="11" t="s">
        <v>51</v>
      </c>
      <c r="E10" s="11">
        <v>4.2</v>
      </c>
      <c r="F10" s="11">
        <v>99</v>
      </c>
      <c r="G10" s="13">
        <f>H10/1.21</f>
        <v>8008.2644628099179</v>
      </c>
      <c r="H10" s="12">
        <v>9690</v>
      </c>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row>
    <row r="11" spans="1:79">
      <c r="A11" s="15" t="s">
        <v>29</v>
      </c>
      <c r="B11" s="15" t="s">
        <v>44</v>
      </c>
      <c r="C11" s="16" t="s">
        <v>50</v>
      </c>
      <c r="D11" s="16" t="s">
        <v>51</v>
      </c>
      <c r="E11" s="16">
        <v>4.2</v>
      </c>
      <c r="F11" s="16">
        <v>99</v>
      </c>
      <c r="G11" s="8">
        <f t="shared" ref="G11:G21" si="0">H11/1.21</f>
        <v>8586.7768595041325</v>
      </c>
      <c r="H11" s="17">
        <v>10390</v>
      </c>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row>
    <row r="12" spans="1:79">
      <c r="A12" s="10" t="s">
        <v>29</v>
      </c>
      <c r="B12" s="10" t="s">
        <v>45</v>
      </c>
      <c r="C12" s="11" t="s">
        <v>52</v>
      </c>
      <c r="D12" s="11" t="s">
        <v>53</v>
      </c>
      <c r="E12" s="11">
        <v>5.3</v>
      </c>
      <c r="F12" s="11">
        <v>125</v>
      </c>
      <c r="G12" s="13">
        <f t="shared" si="0"/>
        <v>9826.446280991735</v>
      </c>
      <c r="H12" s="12">
        <v>11890</v>
      </c>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row>
    <row r="13" spans="1:79">
      <c r="A13" s="15" t="s">
        <v>29</v>
      </c>
      <c r="B13" s="15" t="s">
        <v>46</v>
      </c>
      <c r="C13" s="16" t="s">
        <v>52</v>
      </c>
      <c r="D13" s="16" t="s">
        <v>53</v>
      </c>
      <c r="E13" s="16">
        <v>4.3</v>
      </c>
      <c r="F13" s="16">
        <v>100</v>
      </c>
      <c r="G13" s="8">
        <f t="shared" si="0"/>
        <v>9909.0909090909099</v>
      </c>
      <c r="H13" s="17">
        <v>11990</v>
      </c>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row>
    <row r="14" spans="1:79">
      <c r="A14" s="10" t="s">
        <v>29</v>
      </c>
      <c r="B14" s="10" t="s">
        <v>47</v>
      </c>
      <c r="C14" s="11" t="s">
        <v>52</v>
      </c>
      <c r="D14" s="11" t="s">
        <v>53</v>
      </c>
      <c r="E14" s="11">
        <v>4.3</v>
      </c>
      <c r="F14" s="11">
        <v>100</v>
      </c>
      <c r="G14" s="13">
        <f t="shared" si="0"/>
        <v>10818.181818181818</v>
      </c>
      <c r="H14" s="12">
        <v>13090</v>
      </c>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row>
    <row r="15" spans="1:79">
      <c r="A15" s="15" t="s">
        <v>31</v>
      </c>
      <c r="B15" s="15" t="s">
        <v>43</v>
      </c>
      <c r="C15" s="16" t="s">
        <v>50</v>
      </c>
      <c r="D15" s="16" t="s">
        <v>51</v>
      </c>
      <c r="E15" s="16">
        <v>4.2</v>
      </c>
      <c r="F15" s="16">
        <v>99</v>
      </c>
      <c r="G15" s="8">
        <f t="shared" si="0"/>
        <v>8421.4876033057863</v>
      </c>
      <c r="H15" s="17">
        <v>10190</v>
      </c>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row>
    <row r="16" spans="1:79">
      <c r="A16" s="10" t="s">
        <v>31</v>
      </c>
      <c r="B16" s="10" t="s">
        <v>44</v>
      </c>
      <c r="C16" s="11" t="s">
        <v>50</v>
      </c>
      <c r="D16" s="11" t="s">
        <v>51</v>
      </c>
      <c r="E16" s="11">
        <v>4.2</v>
      </c>
      <c r="F16" s="11">
        <v>99</v>
      </c>
      <c r="G16" s="13">
        <f t="shared" si="0"/>
        <v>9000</v>
      </c>
      <c r="H16" s="12">
        <v>10890</v>
      </c>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row>
    <row r="17" spans="1:8">
      <c r="A17" s="15" t="s">
        <v>31</v>
      </c>
      <c r="B17" s="15" t="s">
        <v>45</v>
      </c>
      <c r="C17" s="16" t="s">
        <v>52</v>
      </c>
      <c r="D17" s="16" t="s">
        <v>53</v>
      </c>
      <c r="E17" s="16">
        <v>5.3</v>
      </c>
      <c r="F17" s="16">
        <v>125</v>
      </c>
      <c r="G17" s="8">
        <f t="shared" si="0"/>
        <v>10239.669421487604</v>
      </c>
      <c r="H17" s="17">
        <v>12390</v>
      </c>
    </row>
    <row r="18" spans="1:8">
      <c r="A18" s="10" t="s">
        <v>31</v>
      </c>
      <c r="B18" s="10" t="s">
        <v>46</v>
      </c>
      <c r="C18" s="11" t="s">
        <v>52</v>
      </c>
      <c r="D18" s="11" t="s">
        <v>53</v>
      </c>
      <c r="E18" s="11">
        <v>4.3</v>
      </c>
      <c r="F18" s="11">
        <v>100</v>
      </c>
      <c r="G18" s="13">
        <f t="shared" si="0"/>
        <v>10322.314049586777</v>
      </c>
      <c r="H18" s="12">
        <v>12490</v>
      </c>
    </row>
    <row r="19" spans="1:8">
      <c r="A19" s="15" t="s">
        <v>31</v>
      </c>
      <c r="B19" s="15" t="s">
        <v>48</v>
      </c>
      <c r="C19" s="16" t="s">
        <v>52</v>
      </c>
      <c r="D19" s="16" t="s">
        <v>53</v>
      </c>
      <c r="E19" s="16">
        <v>5.3</v>
      </c>
      <c r="F19" s="16">
        <v>125</v>
      </c>
      <c r="G19" s="8">
        <f t="shared" si="0"/>
        <v>10900.826446280991</v>
      </c>
      <c r="H19" s="17">
        <v>13190</v>
      </c>
    </row>
    <row r="20" spans="1:8">
      <c r="A20" s="10" t="s">
        <v>31</v>
      </c>
      <c r="B20" s="10" t="s">
        <v>47</v>
      </c>
      <c r="C20" s="11" t="s">
        <v>52</v>
      </c>
      <c r="D20" s="11" t="s">
        <v>53</v>
      </c>
      <c r="E20" s="11">
        <v>4.3</v>
      </c>
      <c r="F20" s="11">
        <v>100</v>
      </c>
      <c r="G20" s="13">
        <f t="shared" si="0"/>
        <v>11231.404958677685</v>
      </c>
      <c r="H20" s="12">
        <v>13590</v>
      </c>
    </row>
    <row r="21" spans="1:8">
      <c r="A21" s="15" t="s">
        <v>31</v>
      </c>
      <c r="B21" s="15" t="s">
        <v>49</v>
      </c>
      <c r="C21" s="16" t="s">
        <v>52</v>
      </c>
      <c r="D21" s="16" t="s">
        <v>53</v>
      </c>
      <c r="E21" s="16">
        <v>5.3</v>
      </c>
      <c r="F21" s="16">
        <v>125</v>
      </c>
      <c r="G21" s="8">
        <f t="shared" si="0"/>
        <v>11809.917355371901</v>
      </c>
      <c r="H21" s="17">
        <v>14290</v>
      </c>
    </row>
    <row r="23" spans="1:8" s="25" customFormat="1">
      <c r="A23" s="77" t="s">
        <v>24</v>
      </c>
      <c r="B23" s="78"/>
      <c r="C23" s="78"/>
      <c r="D23" s="78"/>
      <c r="E23" s="78"/>
      <c r="F23" s="78"/>
      <c r="G23" s="28" t="s">
        <v>25</v>
      </c>
      <c r="H23" s="28" t="s">
        <v>26</v>
      </c>
    </row>
    <row r="24" spans="1:8" s="22" customFormat="1">
      <c r="A24" s="32" t="s">
        <v>54</v>
      </c>
      <c r="B24" s="33"/>
      <c r="C24" s="38"/>
      <c r="D24" s="38"/>
      <c r="E24" s="38"/>
      <c r="F24" s="38"/>
      <c r="G24" s="3">
        <f>H24/1.21</f>
        <v>268.59504132231405</v>
      </c>
      <c r="H24" s="12">
        <v>325</v>
      </c>
    </row>
    <row r="25" spans="1:8" s="22" customFormat="1">
      <c r="A25" s="35" t="s">
        <v>56</v>
      </c>
      <c r="B25" s="36"/>
      <c r="C25" s="41"/>
      <c r="D25" s="41"/>
      <c r="E25" s="41"/>
      <c r="F25" s="41"/>
      <c r="G25" s="8">
        <f t="shared" ref="G25:G26" si="1">H25/1.21</f>
        <v>413.22314049586777</v>
      </c>
      <c r="H25" s="17">
        <v>500</v>
      </c>
    </row>
    <row r="26" spans="1:8" s="22" customFormat="1">
      <c r="A26" s="32" t="s">
        <v>58</v>
      </c>
      <c r="B26" s="33"/>
      <c r="C26" s="38"/>
      <c r="D26" s="38"/>
      <c r="E26" s="38"/>
      <c r="F26" s="38"/>
      <c r="G26" s="13">
        <f t="shared" si="1"/>
        <v>818.18181818181824</v>
      </c>
      <c r="H26" s="12">
        <v>990</v>
      </c>
    </row>
    <row r="29" spans="1:8" ht="19.5">
      <c r="A29" s="79" t="s">
        <v>22</v>
      </c>
      <c r="B29" s="79"/>
      <c r="C29" s="79"/>
      <c r="D29" s="79"/>
      <c r="E29" s="79"/>
      <c r="F29" s="79"/>
      <c r="G29" s="79"/>
      <c r="H29" s="79"/>
    </row>
    <row r="30" spans="1:8" s="25" customFormat="1">
      <c r="A30" s="26" t="s">
        <v>28</v>
      </c>
      <c r="B30" s="26" t="s">
        <v>27</v>
      </c>
      <c r="C30" s="23" t="s">
        <v>214</v>
      </c>
      <c r="D30" s="23" t="s">
        <v>212</v>
      </c>
      <c r="E30" s="23" t="s">
        <v>213</v>
      </c>
      <c r="F30" s="23" t="s">
        <v>167</v>
      </c>
      <c r="G30" s="24" t="s">
        <v>25</v>
      </c>
      <c r="H30" s="24" t="s">
        <v>26</v>
      </c>
    </row>
    <row r="31" spans="1:8" s="22" customFormat="1">
      <c r="A31" s="9" t="s">
        <v>30</v>
      </c>
      <c r="B31" s="10" t="s">
        <v>59</v>
      </c>
      <c r="C31" s="11" t="s">
        <v>153</v>
      </c>
      <c r="D31" s="11" t="s">
        <v>155</v>
      </c>
      <c r="E31" s="11">
        <v>5.0999999999999996</v>
      </c>
      <c r="F31" s="11">
        <v>119</v>
      </c>
      <c r="G31" s="13">
        <f>H31/1.21</f>
        <v>9743.8016528925618</v>
      </c>
      <c r="H31" s="12">
        <v>11790</v>
      </c>
    </row>
    <row r="32" spans="1:8" s="22" customFormat="1">
      <c r="A32" s="14" t="s">
        <v>30</v>
      </c>
      <c r="B32" s="15" t="s">
        <v>60</v>
      </c>
      <c r="C32" s="16" t="s">
        <v>153</v>
      </c>
      <c r="D32" s="16" t="s">
        <v>155</v>
      </c>
      <c r="E32" s="16">
        <v>5.0999999999999996</v>
      </c>
      <c r="F32" s="16">
        <v>119</v>
      </c>
      <c r="G32" s="8">
        <f t="shared" ref="G32:G53" si="2">H32/1.21</f>
        <v>10735.537190082645</v>
      </c>
      <c r="H32" s="17">
        <v>12990</v>
      </c>
    </row>
    <row r="33" spans="1:8" s="22" customFormat="1">
      <c r="A33" s="9" t="s">
        <v>30</v>
      </c>
      <c r="B33" s="10" t="s">
        <v>61</v>
      </c>
      <c r="C33" s="11" t="s">
        <v>154</v>
      </c>
      <c r="D33" s="11" t="s">
        <v>156</v>
      </c>
      <c r="E33" s="11">
        <v>4</v>
      </c>
      <c r="F33" s="11">
        <v>106</v>
      </c>
      <c r="G33" s="13">
        <f t="shared" si="2"/>
        <v>12388.429752066117</v>
      </c>
      <c r="H33" s="12">
        <v>14990</v>
      </c>
    </row>
    <row r="34" spans="1:8" s="22" customFormat="1">
      <c r="A34" s="14" t="s">
        <v>30</v>
      </c>
      <c r="B34" s="15" t="s">
        <v>62</v>
      </c>
      <c r="C34" s="16" t="s">
        <v>153</v>
      </c>
      <c r="D34" s="16" t="s">
        <v>155</v>
      </c>
      <c r="E34" s="16">
        <v>5.0999999999999996</v>
      </c>
      <c r="F34" s="16">
        <v>119</v>
      </c>
      <c r="G34" s="8">
        <f t="shared" si="2"/>
        <v>11396.694214876034</v>
      </c>
      <c r="H34" s="17">
        <v>13790</v>
      </c>
    </row>
    <row r="35" spans="1:8" s="22" customFormat="1">
      <c r="A35" s="9" t="s">
        <v>30</v>
      </c>
      <c r="B35" s="10" t="s">
        <v>63</v>
      </c>
      <c r="C35" s="11" t="s">
        <v>154</v>
      </c>
      <c r="D35" s="11" t="s">
        <v>156</v>
      </c>
      <c r="E35" s="11">
        <v>4</v>
      </c>
      <c r="F35" s="11">
        <v>106</v>
      </c>
      <c r="G35" s="13">
        <f t="shared" si="2"/>
        <v>13049.586776859505</v>
      </c>
      <c r="H35" s="12">
        <v>15790</v>
      </c>
    </row>
    <row r="36" spans="1:8" s="22" customFormat="1">
      <c r="A36" s="14" t="s">
        <v>30</v>
      </c>
      <c r="B36" s="15" t="s">
        <v>64</v>
      </c>
      <c r="C36" s="16" t="s">
        <v>153</v>
      </c>
      <c r="D36" s="16" t="s">
        <v>155</v>
      </c>
      <c r="E36" s="16">
        <v>5.0999999999999996</v>
      </c>
      <c r="F36" s="16">
        <v>119</v>
      </c>
      <c r="G36" s="8">
        <f t="shared" si="2"/>
        <v>12553.719008264463</v>
      </c>
      <c r="H36" s="17">
        <v>15190</v>
      </c>
    </row>
    <row r="37" spans="1:8" s="22" customFormat="1">
      <c r="A37" s="9" t="s">
        <v>30</v>
      </c>
      <c r="B37" s="10" t="s">
        <v>65</v>
      </c>
      <c r="C37" s="11" t="s">
        <v>154</v>
      </c>
      <c r="D37" s="11" t="s">
        <v>156</v>
      </c>
      <c r="E37" s="11">
        <v>4</v>
      </c>
      <c r="F37" s="11">
        <v>106</v>
      </c>
      <c r="G37" s="13">
        <f t="shared" si="2"/>
        <v>14206.611570247935</v>
      </c>
      <c r="H37" s="12">
        <v>17190</v>
      </c>
    </row>
    <row r="38" spans="1:8" s="22" customFormat="1">
      <c r="A38" s="14" t="s">
        <v>30</v>
      </c>
      <c r="B38" s="15" t="s">
        <v>66</v>
      </c>
      <c r="C38" s="16" t="s">
        <v>153</v>
      </c>
      <c r="D38" s="16" t="s">
        <v>155</v>
      </c>
      <c r="E38" s="16">
        <v>5.0999999999999996</v>
      </c>
      <c r="F38" s="16">
        <v>119</v>
      </c>
      <c r="G38" s="8">
        <f t="shared" si="2"/>
        <v>12801.652892561984</v>
      </c>
      <c r="H38" s="17">
        <v>15490</v>
      </c>
    </row>
    <row r="39" spans="1:8" s="22" customFormat="1">
      <c r="A39" s="9" t="s">
        <v>30</v>
      </c>
      <c r="B39" s="10" t="s">
        <v>67</v>
      </c>
      <c r="C39" s="11" t="s">
        <v>154</v>
      </c>
      <c r="D39" s="11" t="s">
        <v>156</v>
      </c>
      <c r="E39" s="11">
        <v>4</v>
      </c>
      <c r="F39" s="11">
        <v>106</v>
      </c>
      <c r="G39" s="13">
        <f t="shared" si="2"/>
        <v>14454.545454545456</v>
      </c>
      <c r="H39" s="12">
        <v>17490</v>
      </c>
    </row>
    <row r="40" spans="1:8" s="22" customFormat="1">
      <c r="A40" s="14" t="s">
        <v>30</v>
      </c>
      <c r="B40" s="15" t="s">
        <v>68</v>
      </c>
      <c r="C40" s="16" t="s">
        <v>142</v>
      </c>
      <c r="D40" s="16" t="s">
        <v>157</v>
      </c>
      <c r="E40" s="16">
        <v>5.7</v>
      </c>
      <c r="F40" s="16">
        <v>130</v>
      </c>
      <c r="G40" s="8">
        <f t="shared" si="2"/>
        <v>15363.636363636364</v>
      </c>
      <c r="H40" s="17">
        <v>18590</v>
      </c>
    </row>
    <row r="41" spans="1:8" s="22" customFormat="1">
      <c r="A41" s="9" t="s">
        <v>30</v>
      </c>
      <c r="B41" s="10" t="s">
        <v>69</v>
      </c>
      <c r="C41" s="11" t="s">
        <v>142</v>
      </c>
      <c r="D41" s="11" t="s">
        <v>158</v>
      </c>
      <c r="E41" s="11">
        <v>4.3</v>
      </c>
      <c r="F41" s="11">
        <v>113</v>
      </c>
      <c r="G41" s="13">
        <f t="shared" si="2"/>
        <v>16851.239669421488</v>
      </c>
      <c r="H41" s="12">
        <v>20390</v>
      </c>
    </row>
    <row r="42" spans="1:8" s="22" customFormat="1">
      <c r="A42" s="14" t="s">
        <v>32</v>
      </c>
      <c r="B42" s="15" t="s">
        <v>70</v>
      </c>
      <c r="C42" s="16" t="s">
        <v>153</v>
      </c>
      <c r="D42" s="16" t="s">
        <v>155</v>
      </c>
      <c r="E42" s="16">
        <v>5.0999999999999996</v>
      </c>
      <c r="F42" s="16">
        <v>119</v>
      </c>
      <c r="G42" s="8">
        <f t="shared" si="2"/>
        <v>11314.04958677686</v>
      </c>
      <c r="H42" s="17">
        <v>13690</v>
      </c>
    </row>
    <row r="43" spans="1:8" s="22" customFormat="1">
      <c r="A43" s="9" t="s">
        <v>32</v>
      </c>
      <c r="B43" s="10" t="s">
        <v>71</v>
      </c>
      <c r="C43" s="11" t="s">
        <v>154</v>
      </c>
      <c r="D43" s="11" t="s">
        <v>156</v>
      </c>
      <c r="E43" s="11">
        <v>4</v>
      </c>
      <c r="F43" s="11">
        <v>106</v>
      </c>
      <c r="G43" s="13">
        <f t="shared" si="2"/>
        <v>12966.94214876033</v>
      </c>
      <c r="H43" s="12">
        <v>15690</v>
      </c>
    </row>
    <row r="44" spans="1:8" s="22" customFormat="1">
      <c r="A44" s="14" t="s">
        <v>32</v>
      </c>
      <c r="B44" s="15" t="s">
        <v>62</v>
      </c>
      <c r="C44" s="16" t="s">
        <v>153</v>
      </c>
      <c r="D44" s="16" t="s">
        <v>155</v>
      </c>
      <c r="E44" s="16">
        <v>5.0999999999999996</v>
      </c>
      <c r="F44" s="16">
        <v>119</v>
      </c>
      <c r="G44" s="8">
        <f t="shared" si="2"/>
        <v>11975.206611570249</v>
      </c>
      <c r="H44" s="17">
        <v>14490</v>
      </c>
    </row>
    <row r="45" spans="1:8" s="22" customFormat="1">
      <c r="A45" s="9" t="s">
        <v>32</v>
      </c>
      <c r="B45" s="10" t="s">
        <v>63</v>
      </c>
      <c r="C45" s="11" t="s">
        <v>154</v>
      </c>
      <c r="D45" s="11" t="s">
        <v>156</v>
      </c>
      <c r="E45" s="11">
        <v>4</v>
      </c>
      <c r="F45" s="11">
        <v>106</v>
      </c>
      <c r="G45" s="13">
        <f t="shared" si="2"/>
        <v>13628.099173553719</v>
      </c>
      <c r="H45" s="12">
        <v>16490</v>
      </c>
    </row>
    <row r="46" spans="1:8" s="22" customFormat="1">
      <c r="A46" s="14" t="s">
        <v>32</v>
      </c>
      <c r="B46" s="15" t="s">
        <v>64</v>
      </c>
      <c r="C46" s="16" t="s">
        <v>153</v>
      </c>
      <c r="D46" s="16" t="s">
        <v>155</v>
      </c>
      <c r="E46" s="16">
        <v>5.0999999999999996</v>
      </c>
      <c r="F46" s="16">
        <v>119</v>
      </c>
      <c r="G46" s="8">
        <f t="shared" si="2"/>
        <v>13132.231404958678</v>
      </c>
      <c r="H46" s="17">
        <v>15890</v>
      </c>
    </row>
    <row r="47" spans="1:8" s="22" customFormat="1">
      <c r="A47" s="9" t="s">
        <v>32</v>
      </c>
      <c r="B47" s="10" t="s">
        <v>65</v>
      </c>
      <c r="C47" s="11" t="s">
        <v>154</v>
      </c>
      <c r="D47" s="11" t="s">
        <v>156</v>
      </c>
      <c r="E47" s="11">
        <v>4</v>
      </c>
      <c r="F47" s="11">
        <v>106</v>
      </c>
      <c r="G47" s="13">
        <f t="shared" si="2"/>
        <v>14785.123966942148</v>
      </c>
      <c r="H47" s="12">
        <v>17890</v>
      </c>
    </row>
    <row r="48" spans="1:8" s="22" customFormat="1">
      <c r="A48" s="14" t="s">
        <v>32</v>
      </c>
      <c r="B48" s="15" t="s">
        <v>66</v>
      </c>
      <c r="C48" s="16" t="s">
        <v>153</v>
      </c>
      <c r="D48" s="16" t="s">
        <v>155</v>
      </c>
      <c r="E48" s="16">
        <v>5.0999999999999996</v>
      </c>
      <c r="F48" s="16">
        <v>119</v>
      </c>
      <c r="G48" s="8">
        <f t="shared" si="2"/>
        <v>13380.165289256198</v>
      </c>
      <c r="H48" s="17">
        <v>16190</v>
      </c>
    </row>
    <row r="49" spans="1:8" s="22" customFormat="1">
      <c r="A49" s="9" t="s">
        <v>32</v>
      </c>
      <c r="B49" s="10" t="s">
        <v>72</v>
      </c>
      <c r="C49" s="11" t="s">
        <v>142</v>
      </c>
      <c r="D49" s="11" t="s">
        <v>157</v>
      </c>
      <c r="E49" s="11">
        <v>6.4</v>
      </c>
      <c r="F49" s="11">
        <v>150</v>
      </c>
      <c r="G49" s="13">
        <f t="shared" si="2"/>
        <v>15033.05785123967</v>
      </c>
      <c r="H49" s="12">
        <v>18190</v>
      </c>
    </row>
    <row r="50" spans="1:8" s="22" customFormat="1">
      <c r="A50" s="14" t="s">
        <v>32</v>
      </c>
      <c r="B50" s="15" t="s">
        <v>67</v>
      </c>
      <c r="C50" s="16" t="s">
        <v>154</v>
      </c>
      <c r="D50" s="16" t="s">
        <v>156</v>
      </c>
      <c r="E50" s="16">
        <v>4</v>
      </c>
      <c r="F50" s="16">
        <v>106</v>
      </c>
      <c r="G50" s="8">
        <f t="shared" si="2"/>
        <v>15033.05785123967</v>
      </c>
      <c r="H50" s="17">
        <v>18190</v>
      </c>
    </row>
    <row r="51" spans="1:8" s="22" customFormat="1">
      <c r="A51" s="9" t="s">
        <v>32</v>
      </c>
      <c r="B51" s="10" t="s">
        <v>73</v>
      </c>
      <c r="C51" s="11" t="s">
        <v>142</v>
      </c>
      <c r="D51" s="11" t="s">
        <v>158</v>
      </c>
      <c r="E51" s="11">
        <v>4.3</v>
      </c>
      <c r="F51" s="11">
        <v>113</v>
      </c>
      <c r="G51" s="13">
        <f t="shared" si="2"/>
        <v>15694.214876033058</v>
      </c>
      <c r="H51" s="12">
        <v>18990</v>
      </c>
    </row>
    <row r="52" spans="1:8" s="22" customFormat="1">
      <c r="A52" s="14" t="s">
        <v>32</v>
      </c>
      <c r="B52" s="15" t="s">
        <v>68</v>
      </c>
      <c r="C52" s="16" t="s">
        <v>142</v>
      </c>
      <c r="D52" s="16" t="s">
        <v>157</v>
      </c>
      <c r="E52" s="16">
        <v>5.7</v>
      </c>
      <c r="F52" s="16">
        <v>130</v>
      </c>
      <c r="G52" s="8">
        <f t="shared" si="2"/>
        <v>15942.14876033058</v>
      </c>
      <c r="H52" s="17">
        <v>19290</v>
      </c>
    </row>
    <row r="53" spans="1:8" s="22" customFormat="1">
      <c r="A53" s="9" t="s">
        <v>32</v>
      </c>
      <c r="B53" s="10" t="s">
        <v>69</v>
      </c>
      <c r="C53" s="11" t="s">
        <v>142</v>
      </c>
      <c r="D53" s="11" t="s">
        <v>158</v>
      </c>
      <c r="E53" s="11">
        <v>4.3</v>
      </c>
      <c r="F53" s="11">
        <v>113</v>
      </c>
      <c r="G53" s="13">
        <f t="shared" si="2"/>
        <v>17429.752066115703</v>
      </c>
      <c r="H53" s="12">
        <v>21090</v>
      </c>
    </row>
    <row r="55" spans="1:8" s="25" customFormat="1">
      <c r="A55" s="39" t="s">
        <v>24</v>
      </c>
      <c r="B55" s="27"/>
      <c r="C55" s="40"/>
      <c r="D55" s="40"/>
      <c r="E55" s="40"/>
      <c r="F55" s="40"/>
      <c r="G55" s="28" t="s">
        <v>25</v>
      </c>
      <c r="H55" s="28" t="s">
        <v>26</v>
      </c>
    </row>
    <row r="56" spans="1:8" s="22" customFormat="1">
      <c r="A56" s="32" t="s">
        <v>54</v>
      </c>
      <c r="B56" s="33"/>
      <c r="C56" s="38"/>
      <c r="D56" s="38"/>
      <c r="E56" s="38"/>
      <c r="F56" s="38"/>
      <c r="G56" s="13">
        <f t="shared" ref="G56:G59" si="3">H56/1.21</f>
        <v>289.25619834710744</v>
      </c>
      <c r="H56" s="12">
        <v>350</v>
      </c>
    </row>
    <row r="57" spans="1:8" s="22" customFormat="1">
      <c r="A57" s="35" t="s">
        <v>55</v>
      </c>
      <c r="B57" s="36"/>
      <c r="C57" s="41"/>
      <c r="D57" s="41"/>
      <c r="E57" s="41"/>
      <c r="F57" s="41"/>
      <c r="G57" s="8">
        <f t="shared" si="3"/>
        <v>826.44628099173553</v>
      </c>
      <c r="H57" s="17">
        <v>1000</v>
      </c>
    </row>
    <row r="58" spans="1:8" s="22" customFormat="1">
      <c r="A58" s="32" t="s">
        <v>56</v>
      </c>
      <c r="B58" s="33"/>
      <c r="C58" s="38"/>
      <c r="D58" s="38"/>
      <c r="E58" s="38"/>
      <c r="F58" s="38"/>
      <c r="G58" s="13">
        <f t="shared" si="3"/>
        <v>537.19008264462809</v>
      </c>
      <c r="H58" s="12">
        <v>650</v>
      </c>
    </row>
    <row r="59" spans="1:8" s="22" customFormat="1">
      <c r="A59" s="35" t="s">
        <v>57</v>
      </c>
      <c r="B59" s="36"/>
      <c r="C59" s="41"/>
      <c r="D59" s="41"/>
      <c r="E59" s="41"/>
      <c r="F59" s="41"/>
      <c r="G59" s="8">
        <f t="shared" si="3"/>
        <v>247.93388429752068</v>
      </c>
      <c r="H59" s="17">
        <v>300</v>
      </c>
    </row>
    <row r="60" spans="1:8" s="22" customFormat="1">
      <c r="A60"/>
      <c r="B60"/>
      <c r="C60" s="44"/>
      <c r="D60" s="44"/>
      <c r="E60" s="44"/>
      <c r="F60" s="44"/>
      <c r="G60" s="21"/>
      <c r="H60" s="21"/>
    </row>
    <row r="62" spans="1:8" ht="19.5">
      <c r="A62" s="79" t="s">
        <v>6</v>
      </c>
      <c r="B62" s="79"/>
      <c r="C62" s="79"/>
      <c r="D62" s="79"/>
      <c r="E62" s="79"/>
      <c r="F62" s="79"/>
      <c r="G62" s="79"/>
      <c r="H62" s="79"/>
    </row>
    <row r="63" spans="1:8">
      <c r="A63" s="26" t="s">
        <v>28</v>
      </c>
      <c r="B63" s="26" t="s">
        <v>27</v>
      </c>
      <c r="C63" s="23" t="s">
        <v>214</v>
      </c>
      <c r="D63" s="23" t="s">
        <v>212</v>
      </c>
      <c r="E63" s="23" t="s">
        <v>213</v>
      </c>
      <c r="F63" s="23" t="s">
        <v>167</v>
      </c>
      <c r="G63" s="24" t="s">
        <v>25</v>
      </c>
      <c r="H63" s="24" t="s">
        <v>26</v>
      </c>
    </row>
    <row r="64" spans="1:8" s="22" customFormat="1">
      <c r="A64" s="9" t="s">
        <v>6</v>
      </c>
      <c r="B64" s="10" t="s">
        <v>74</v>
      </c>
      <c r="C64" s="11" t="s">
        <v>142</v>
      </c>
      <c r="D64" s="11" t="s">
        <v>158</v>
      </c>
      <c r="E64" s="11">
        <v>6</v>
      </c>
      <c r="F64" s="11">
        <v>140</v>
      </c>
      <c r="G64" s="13">
        <f t="shared" ref="G64:G72" si="4">H64/1.21</f>
        <v>12388.429752066117</v>
      </c>
      <c r="H64" s="18">
        <v>14990</v>
      </c>
    </row>
    <row r="65" spans="1:8" s="22" customFormat="1">
      <c r="A65" s="14" t="s">
        <v>6</v>
      </c>
      <c r="B65" s="15" t="s">
        <v>75</v>
      </c>
      <c r="C65" s="16" t="s">
        <v>142</v>
      </c>
      <c r="D65" s="16" t="s">
        <v>158</v>
      </c>
      <c r="E65" s="16">
        <v>4.5</v>
      </c>
      <c r="F65" s="16">
        <v>119</v>
      </c>
      <c r="G65" s="8">
        <f t="shared" si="4"/>
        <v>14041.322314049587</v>
      </c>
      <c r="H65" s="19">
        <v>16990</v>
      </c>
    </row>
    <row r="66" spans="1:8" s="22" customFormat="1">
      <c r="A66" s="9" t="s">
        <v>6</v>
      </c>
      <c r="B66" s="10" t="s">
        <v>76</v>
      </c>
      <c r="C66" s="11" t="s">
        <v>142</v>
      </c>
      <c r="D66" s="11" t="s">
        <v>158</v>
      </c>
      <c r="E66" s="11">
        <v>6</v>
      </c>
      <c r="F66" s="11">
        <v>140</v>
      </c>
      <c r="G66" s="13">
        <f t="shared" si="4"/>
        <v>13462.809917355373</v>
      </c>
      <c r="H66" s="20">
        <v>16290</v>
      </c>
    </row>
    <row r="67" spans="1:8" s="22" customFormat="1">
      <c r="A67" s="14" t="s">
        <v>6</v>
      </c>
      <c r="B67" s="15" t="s">
        <v>77</v>
      </c>
      <c r="C67" s="16" t="s">
        <v>159</v>
      </c>
      <c r="D67" s="16" t="s">
        <v>160</v>
      </c>
      <c r="E67" s="16">
        <v>6.5</v>
      </c>
      <c r="F67" s="16">
        <v>154</v>
      </c>
      <c r="G67" s="8">
        <f t="shared" si="4"/>
        <v>14950.413223140496</v>
      </c>
      <c r="H67" s="19">
        <v>18090</v>
      </c>
    </row>
    <row r="68" spans="1:8" s="22" customFormat="1">
      <c r="A68" s="9" t="s">
        <v>6</v>
      </c>
      <c r="B68" s="10" t="s">
        <v>78</v>
      </c>
      <c r="C68" s="11" t="s">
        <v>142</v>
      </c>
      <c r="D68" s="11" t="s">
        <v>158</v>
      </c>
      <c r="E68" s="11">
        <v>4.5</v>
      </c>
      <c r="F68" s="11">
        <v>119</v>
      </c>
      <c r="G68" s="13">
        <f t="shared" si="4"/>
        <v>15115.702479338843</v>
      </c>
      <c r="H68" s="20">
        <v>18290</v>
      </c>
    </row>
    <row r="69" spans="1:8" s="22" customFormat="1">
      <c r="A69" s="14" t="s">
        <v>6</v>
      </c>
      <c r="B69" s="15" t="s">
        <v>79</v>
      </c>
      <c r="C69" s="16" t="s">
        <v>144</v>
      </c>
      <c r="D69" s="16" t="s">
        <v>161</v>
      </c>
      <c r="E69" s="16">
        <v>4.7</v>
      </c>
      <c r="F69" s="16">
        <v>125</v>
      </c>
      <c r="G69" s="8">
        <f t="shared" si="4"/>
        <v>15611.570247933885</v>
      </c>
      <c r="H69" s="19">
        <v>18890</v>
      </c>
    </row>
    <row r="70" spans="1:8" s="22" customFormat="1">
      <c r="A70" s="9" t="s">
        <v>6</v>
      </c>
      <c r="B70" s="10" t="s">
        <v>68</v>
      </c>
      <c r="C70" s="11" t="s">
        <v>142</v>
      </c>
      <c r="D70" s="11" t="s">
        <v>158</v>
      </c>
      <c r="E70" s="11">
        <v>6</v>
      </c>
      <c r="F70" s="11">
        <v>140</v>
      </c>
      <c r="G70" s="13">
        <f t="shared" si="4"/>
        <v>14950.413223140496</v>
      </c>
      <c r="H70" s="20">
        <v>18090</v>
      </c>
    </row>
    <row r="71" spans="1:8" s="22" customFormat="1">
      <c r="A71" s="14" t="s">
        <v>6</v>
      </c>
      <c r="B71" s="15" t="s">
        <v>80</v>
      </c>
      <c r="C71" s="16" t="s">
        <v>159</v>
      </c>
      <c r="D71" s="16" t="s">
        <v>160</v>
      </c>
      <c r="E71" s="16">
        <v>7</v>
      </c>
      <c r="F71" s="16">
        <v>154</v>
      </c>
      <c r="G71" s="8">
        <f t="shared" si="4"/>
        <v>16438.016528925622</v>
      </c>
      <c r="H71" s="19">
        <v>19890</v>
      </c>
    </row>
    <row r="72" spans="1:8" s="22" customFormat="1">
      <c r="A72" s="9" t="s">
        <v>6</v>
      </c>
      <c r="B72" s="10" t="s">
        <v>81</v>
      </c>
      <c r="C72" s="11" t="s">
        <v>144</v>
      </c>
      <c r="D72" s="11" t="s">
        <v>161</v>
      </c>
      <c r="E72" s="11">
        <v>4.5</v>
      </c>
      <c r="F72" s="11">
        <v>125</v>
      </c>
      <c r="G72" s="13">
        <f t="shared" si="4"/>
        <v>17099.173553719007</v>
      </c>
      <c r="H72" s="20">
        <v>20690</v>
      </c>
    </row>
    <row r="73" spans="1:8" s="25" customFormat="1">
      <c r="A73"/>
      <c r="B73"/>
      <c r="C73" s="44"/>
      <c r="D73" s="44"/>
      <c r="E73" s="44"/>
      <c r="F73" s="44"/>
      <c r="G73" s="21"/>
      <c r="H73" s="21"/>
    </row>
    <row r="74" spans="1:8" s="22" customFormat="1">
      <c r="A74" s="39" t="s">
        <v>24</v>
      </c>
      <c r="B74" s="27"/>
      <c r="C74" s="40"/>
      <c r="D74" s="40"/>
      <c r="E74" s="40"/>
      <c r="F74" s="40"/>
      <c r="G74" s="28" t="s">
        <v>25</v>
      </c>
      <c r="H74" s="28" t="s">
        <v>26</v>
      </c>
    </row>
    <row r="75" spans="1:8" s="22" customFormat="1">
      <c r="A75" s="32" t="s">
        <v>54</v>
      </c>
      <c r="B75" s="33"/>
      <c r="C75" s="38"/>
      <c r="D75" s="38"/>
      <c r="E75" s="38"/>
      <c r="F75" s="38"/>
      <c r="G75" s="13">
        <f t="shared" ref="G75:G76" si="5">H75/1.21</f>
        <v>330.57851239669424</v>
      </c>
      <c r="H75" s="12">
        <v>400</v>
      </c>
    </row>
    <row r="76" spans="1:8" s="22" customFormat="1">
      <c r="A76" s="35" t="s">
        <v>87</v>
      </c>
      <c r="B76" s="36"/>
      <c r="C76" s="41"/>
      <c r="D76" s="41"/>
      <c r="E76" s="41"/>
      <c r="F76" s="41"/>
      <c r="G76" s="8">
        <f t="shared" si="5"/>
        <v>826.44628099173553</v>
      </c>
      <c r="H76" s="17">
        <v>1000</v>
      </c>
    </row>
    <row r="79" spans="1:8" s="25" customFormat="1" ht="19.5">
      <c r="A79" s="79" t="s">
        <v>209</v>
      </c>
      <c r="B79" s="79"/>
      <c r="C79" s="79"/>
      <c r="D79" s="79"/>
      <c r="E79" s="79"/>
      <c r="F79" s="79"/>
      <c r="G79" s="79"/>
      <c r="H79" s="79"/>
    </row>
    <row r="80" spans="1:8">
      <c r="A80" s="26" t="s">
        <v>28</v>
      </c>
      <c r="B80" s="26" t="s">
        <v>27</v>
      </c>
      <c r="C80" s="23" t="s">
        <v>214</v>
      </c>
      <c r="D80" s="23" t="s">
        <v>212</v>
      </c>
      <c r="E80" s="23" t="s">
        <v>213</v>
      </c>
      <c r="F80" s="23" t="s">
        <v>167</v>
      </c>
      <c r="G80" s="24" t="s">
        <v>25</v>
      </c>
      <c r="H80" s="24" t="s">
        <v>26</v>
      </c>
    </row>
    <row r="81" spans="1:8" s="22" customFormat="1">
      <c r="A81" s="9" t="s">
        <v>7</v>
      </c>
      <c r="B81" s="10" t="s">
        <v>88</v>
      </c>
      <c r="C81" s="11" t="s">
        <v>82</v>
      </c>
      <c r="D81" s="11" t="s">
        <v>83</v>
      </c>
      <c r="E81" s="11">
        <v>6</v>
      </c>
      <c r="F81" s="11">
        <v>139</v>
      </c>
      <c r="G81" s="13">
        <f t="shared" ref="G81:G93" si="6">H81/1.21</f>
        <v>13793.388429752067</v>
      </c>
      <c r="H81" s="12">
        <v>16690</v>
      </c>
    </row>
    <row r="82" spans="1:8" s="22" customFormat="1">
      <c r="A82" s="14" t="s">
        <v>7</v>
      </c>
      <c r="B82" s="15" t="s">
        <v>89</v>
      </c>
      <c r="C82" s="16" t="s">
        <v>82</v>
      </c>
      <c r="D82" s="16" t="s">
        <v>83</v>
      </c>
      <c r="E82" s="16">
        <v>6</v>
      </c>
      <c r="F82" s="16">
        <v>139</v>
      </c>
      <c r="G82" s="8">
        <f t="shared" si="6"/>
        <v>15033.05785123967</v>
      </c>
      <c r="H82" s="17">
        <v>18190</v>
      </c>
    </row>
    <row r="83" spans="1:8" s="22" customFormat="1">
      <c r="A83" s="9" t="s">
        <v>7</v>
      </c>
      <c r="B83" s="10" t="s">
        <v>90</v>
      </c>
      <c r="C83" s="11" t="s">
        <v>84</v>
      </c>
      <c r="D83" s="11" t="s">
        <v>85</v>
      </c>
      <c r="E83" s="11">
        <v>4</v>
      </c>
      <c r="F83" s="11">
        <v>104</v>
      </c>
      <c r="G83" s="13">
        <f t="shared" si="6"/>
        <v>17181.818181818184</v>
      </c>
      <c r="H83" s="12">
        <v>20790</v>
      </c>
    </row>
    <row r="84" spans="1:8" s="22" customFormat="1">
      <c r="A84" s="14" t="s">
        <v>7</v>
      </c>
      <c r="B84" s="15" t="s">
        <v>91</v>
      </c>
      <c r="C84" s="16" t="s">
        <v>84</v>
      </c>
      <c r="D84" s="16" t="s">
        <v>86</v>
      </c>
      <c r="E84" s="16">
        <v>4.0999999999999996</v>
      </c>
      <c r="F84" s="16">
        <v>109</v>
      </c>
      <c r="G84" s="8">
        <f t="shared" si="6"/>
        <v>17595.041322314049</v>
      </c>
      <c r="H84" s="17">
        <v>21290</v>
      </c>
    </row>
    <row r="85" spans="1:8" s="22" customFormat="1">
      <c r="A85" s="9" t="s">
        <v>7</v>
      </c>
      <c r="B85" s="10" t="s">
        <v>92</v>
      </c>
      <c r="C85" s="11" t="s">
        <v>82</v>
      </c>
      <c r="D85" s="11" t="s">
        <v>83</v>
      </c>
      <c r="E85" s="11">
        <v>6.1</v>
      </c>
      <c r="F85" s="11">
        <v>143</v>
      </c>
      <c r="G85" s="13">
        <f t="shared" si="6"/>
        <v>16520.661157024795</v>
      </c>
      <c r="H85" s="12">
        <v>19990</v>
      </c>
    </row>
    <row r="86" spans="1:8" s="22" customFormat="1">
      <c r="A86" s="14" t="s">
        <v>7</v>
      </c>
      <c r="B86" s="15" t="s">
        <v>93</v>
      </c>
      <c r="C86" s="16" t="s">
        <v>84</v>
      </c>
      <c r="D86" s="16" t="s">
        <v>85</v>
      </c>
      <c r="E86" s="16">
        <v>4.0999999999999996</v>
      </c>
      <c r="F86" s="16">
        <v>108</v>
      </c>
      <c r="G86" s="8">
        <f t="shared" si="6"/>
        <v>18669.421487603307</v>
      </c>
      <c r="H86" s="17">
        <v>22590</v>
      </c>
    </row>
    <row r="87" spans="1:8" s="22" customFormat="1">
      <c r="A87" s="9" t="s">
        <v>7</v>
      </c>
      <c r="B87" s="10" t="s">
        <v>76</v>
      </c>
      <c r="C87" s="11" t="s">
        <v>82</v>
      </c>
      <c r="D87" s="11" t="s">
        <v>83</v>
      </c>
      <c r="E87" s="11">
        <v>6.1</v>
      </c>
      <c r="F87" s="11">
        <v>143</v>
      </c>
      <c r="G87" s="13">
        <f t="shared" si="6"/>
        <v>17512.396694214876</v>
      </c>
      <c r="H87" s="12">
        <v>21190</v>
      </c>
    </row>
    <row r="88" spans="1:8" s="22" customFormat="1">
      <c r="A88" s="14" t="s">
        <v>7</v>
      </c>
      <c r="B88" s="15" t="s">
        <v>94</v>
      </c>
      <c r="C88" s="16" t="s">
        <v>84</v>
      </c>
      <c r="D88" s="16" t="s">
        <v>85</v>
      </c>
      <c r="E88" s="16">
        <v>4.0999999999999996</v>
      </c>
      <c r="F88" s="16">
        <v>108</v>
      </c>
      <c r="G88" s="8">
        <f t="shared" si="6"/>
        <v>19661.157024793389</v>
      </c>
      <c r="H88" s="17">
        <v>23790</v>
      </c>
    </row>
    <row r="89" spans="1:8" s="22" customFormat="1">
      <c r="A89" s="9" t="s">
        <v>7</v>
      </c>
      <c r="B89" s="10" t="s">
        <v>95</v>
      </c>
      <c r="C89" s="11" t="s">
        <v>84</v>
      </c>
      <c r="D89" s="11" t="s">
        <v>86</v>
      </c>
      <c r="E89" s="11">
        <v>4.3</v>
      </c>
      <c r="F89" s="11">
        <v>114</v>
      </c>
      <c r="G89" s="13">
        <f t="shared" si="6"/>
        <v>20157.024793388431</v>
      </c>
      <c r="H89" s="12">
        <v>24390</v>
      </c>
    </row>
    <row r="90" spans="1:8" s="22" customFormat="1">
      <c r="A90" s="14" t="s">
        <v>7</v>
      </c>
      <c r="B90" s="15" t="s">
        <v>96</v>
      </c>
      <c r="C90" s="16" t="s">
        <v>159</v>
      </c>
      <c r="D90" s="16" t="s">
        <v>165</v>
      </c>
      <c r="E90" s="16">
        <v>6.1</v>
      </c>
      <c r="F90" s="16">
        <v>140</v>
      </c>
      <c r="G90" s="8">
        <f t="shared" si="6"/>
        <v>19909.090909090908</v>
      </c>
      <c r="H90" s="17">
        <v>24090</v>
      </c>
    </row>
    <row r="91" spans="1:8" s="22" customFormat="1">
      <c r="A91" s="9" t="s">
        <v>7</v>
      </c>
      <c r="B91" s="10" t="s">
        <v>97</v>
      </c>
      <c r="C91" s="11" t="s">
        <v>159</v>
      </c>
      <c r="D91" s="11" t="s">
        <v>211</v>
      </c>
      <c r="E91" s="11">
        <v>7.7</v>
      </c>
      <c r="F91" s="11">
        <v>171</v>
      </c>
      <c r="G91" s="13">
        <f t="shared" si="6"/>
        <v>24537.190082644629</v>
      </c>
      <c r="H91" s="12">
        <v>29690</v>
      </c>
    </row>
    <row r="92" spans="1:8" s="22" customFormat="1">
      <c r="A92" s="14" t="s">
        <v>7</v>
      </c>
      <c r="B92" s="15" t="s">
        <v>98</v>
      </c>
      <c r="C92" s="16" t="s">
        <v>84</v>
      </c>
      <c r="D92" s="16" t="s">
        <v>86</v>
      </c>
      <c r="E92" s="16">
        <v>4.3</v>
      </c>
      <c r="F92" s="16">
        <v>114</v>
      </c>
      <c r="G92" s="8">
        <f t="shared" si="6"/>
        <v>21561.983471074382</v>
      </c>
      <c r="H92" s="17">
        <v>26090</v>
      </c>
    </row>
    <row r="93" spans="1:8" s="22" customFormat="1">
      <c r="A93" s="9" t="s">
        <v>7</v>
      </c>
      <c r="B93" s="10" t="s">
        <v>99</v>
      </c>
      <c r="C93" s="11" t="s">
        <v>84</v>
      </c>
      <c r="D93" s="11" t="s">
        <v>86</v>
      </c>
      <c r="E93" s="11">
        <v>5.5</v>
      </c>
      <c r="F93" s="11">
        <v>145</v>
      </c>
      <c r="G93" s="13">
        <f t="shared" si="6"/>
        <v>22305.785123966944</v>
      </c>
      <c r="H93" s="12">
        <v>26990</v>
      </c>
    </row>
    <row r="94" spans="1:8" s="22" customFormat="1">
      <c r="A94"/>
      <c r="B94"/>
      <c r="C94" s="44"/>
      <c r="D94" s="44"/>
      <c r="E94" s="44"/>
      <c r="F94" s="44"/>
      <c r="G94" s="21"/>
      <c r="H94" s="21"/>
    </row>
    <row r="95" spans="1:8" s="25" customFormat="1">
      <c r="A95"/>
      <c r="B95"/>
      <c r="C95" s="44"/>
      <c r="D95" s="44"/>
      <c r="E95" s="44"/>
      <c r="F95" s="44"/>
      <c r="G95" s="21"/>
      <c r="H95" s="21"/>
    </row>
    <row r="96" spans="1:8" s="25" customFormat="1">
      <c r="A96"/>
      <c r="B96"/>
      <c r="C96" s="44"/>
      <c r="D96" s="44"/>
      <c r="E96" s="44"/>
      <c r="F96" s="44"/>
      <c r="G96" s="21"/>
      <c r="H96" s="21"/>
    </row>
    <row r="97" spans="1:8" s="22" customFormat="1">
      <c r="A97" s="39" t="s">
        <v>24</v>
      </c>
      <c r="B97" s="27"/>
      <c r="C97" s="40"/>
      <c r="D97" s="40"/>
      <c r="E97" s="40"/>
      <c r="F97" s="40"/>
      <c r="G97" s="28" t="s">
        <v>25</v>
      </c>
      <c r="H97" s="28" t="s">
        <v>26</v>
      </c>
    </row>
    <row r="98" spans="1:8" s="22" customFormat="1">
      <c r="A98" s="32" t="s">
        <v>54</v>
      </c>
      <c r="B98" s="33"/>
      <c r="C98" s="38"/>
      <c r="D98" s="38"/>
      <c r="E98" s="38"/>
      <c r="F98" s="38"/>
      <c r="G98" s="13">
        <f t="shared" ref="G98:G100" si="7">H98/1.21</f>
        <v>330.57851239669424</v>
      </c>
      <c r="H98" s="12">
        <v>400</v>
      </c>
    </row>
    <row r="99" spans="1:8" s="22" customFormat="1">
      <c r="A99" s="35" t="s">
        <v>100</v>
      </c>
      <c r="B99" s="36"/>
      <c r="C99" s="41"/>
      <c r="D99" s="41"/>
      <c r="E99" s="41"/>
      <c r="F99" s="41"/>
      <c r="G99" s="8">
        <f t="shared" si="7"/>
        <v>702.47933884297527</v>
      </c>
      <c r="H99" s="17">
        <v>850</v>
      </c>
    </row>
    <row r="100" spans="1:8" s="22" customFormat="1">
      <c r="A100" s="32" t="s">
        <v>101</v>
      </c>
      <c r="B100" s="33"/>
      <c r="C100" s="38"/>
      <c r="D100" s="38"/>
      <c r="E100" s="38"/>
      <c r="F100" s="38"/>
      <c r="G100" s="13">
        <f t="shared" si="7"/>
        <v>1404.9586776859505</v>
      </c>
      <c r="H100" s="12">
        <v>1700</v>
      </c>
    </row>
    <row r="101" spans="1:8" s="22" customFormat="1">
      <c r="A101" s="42" t="s">
        <v>102</v>
      </c>
      <c r="B101" s="33"/>
      <c r="C101" s="38"/>
      <c r="D101" s="38"/>
      <c r="E101" s="38"/>
      <c r="F101" s="38"/>
      <c r="G101" s="33"/>
      <c r="H101" s="34"/>
    </row>
    <row r="102" spans="1:8">
      <c r="A102" s="29"/>
    </row>
    <row r="104" spans="1:8" s="25" customFormat="1" ht="19.5">
      <c r="A104" s="79" t="s">
        <v>210</v>
      </c>
      <c r="B104" s="79"/>
      <c r="C104" s="79"/>
      <c r="D104" s="79"/>
      <c r="E104" s="79"/>
      <c r="F104" s="79"/>
      <c r="G104" s="79"/>
      <c r="H104" s="79"/>
    </row>
    <row r="105" spans="1:8">
      <c r="A105" s="26" t="s">
        <v>28</v>
      </c>
      <c r="B105" s="26" t="s">
        <v>27</v>
      </c>
      <c r="C105" s="23" t="s">
        <v>214</v>
      </c>
      <c r="D105" s="23" t="s">
        <v>212</v>
      </c>
      <c r="E105" s="23" t="s">
        <v>213</v>
      </c>
      <c r="F105" s="23" t="s">
        <v>167</v>
      </c>
      <c r="G105" s="24" t="s">
        <v>25</v>
      </c>
      <c r="H105" s="24" t="s">
        <v>26</v>
      </c>
    </row>
    <row r="106" spans="1:8" s="22" customFormat="1">
      <c r="A106" s="9" t="s">
        <v>8</v>
      </c>
      <c r="B106" s="10" t="s">
        <v>103</v>
      </c>
      <c r="C106" s="11" t="s">
        <v>142</v>
      </c>
      <c r="D106" s="11" t="s">
        <v>143</v>
      </c>
      <c r="E106" s="11">
        <v>6</v>
      </c>
      <c r="F106" s="11">
        <v>139</v>
      </c>
      <c r="G106" s="13">
        <f>H106/1.21</f>
        <v>13793.388429752067</v>
      </c>
      <c r="H106" s="12">
        <v>16690</v>
      </c>
    </row>
    <row r="107" spans="1:8" s="22" customFormat="1">
      <c r="A107" s="14" t="s">
        <v>8</v>
      </c>
      <c r="B107" s="15" t="s">
        <v>89</v>
      </c>
      <c r="C107" s="16" t="s">
        <v>142</v>
      </c>
      <c r="D107" s="16" t="s">
        <v>143</v>
      </c>
      <c r="E107" s="16">
        <v>6</v>
      </c>
      <c r="F107" s="16">
        <v>139</v>
      </c>
      <c r="G107" s="8">
        <f t="shared" ref="G107:G141" si="8">H107/1.21</f>
        <v>15033.05785123967</v>
      </c>
      <c r="H107" s="17">
        <v>18190</v>
      </c>
    </row>
    <row r="108" spans="1:8" s="22" customFormat="1">
      <c r="A108" s="9" t="s">
        <v>8</v>
      </c>
      <c r="B108" s="10" t="s">
        <v>104</v>
      </c>
      <c r="C108" s="11" t="s">
        <v>142</v>
      </c>
      <c r="D108" s="11" t="s">
        <v>158</v>
      </c>
      <c r="E108" s="11">
        <v>4.0999999999999996</v>
      </c>
      <c r="F108" s="11">
        <v>109</v>
      </c>
      <c r="G108" s="13">
        <f t="shared" si="8"/>
        <v>16520.661157024795</v>
      </c>
      <c r="H108" s="12">
        <v>19990</v>
      </c>
    </row>
    <row r="109" spans="1:8" s="22" customFormat="1">
      <c r="A109" s="14" t="s">
        <v>8</v>
      </c>
      <c r="B109" s="15" t="s">
        <v>90</v>
      </c>
      <c r="C109" s="16" t="s">
        <v>144</v>
      </c>
      <c r="D109" s="16" t="s">
        <v>145</v>
      </c>
      <c r="E109" s="16">
        <v>4</v>
      </c>
      <c r="F109" s="16">
        <v>104</v>
      </c>
      <c r="G109" s="8">
        <f t="shared" si="8"/>
        <v>17181.818181818184</v>
      </c>
      <c r="H109" s="17">
        <v>20790</v>
      </c>
    </row>
    <row r="110" spans="1:8" s="22" customFormat="1">
      <c r="A110" s="9" t="s">
        <v>8</v>
      </c>
      <c r="B110" s="10" t="s">
        <v>91</v>
      </c>
      <c r="C110" s="11" t="s">
        <v>144</v>
      </c>
      <c r="D110" s="11" t="s">
        <v>146</v>
      </c>
      <c r="E110" s="11">
        <v>4.0999999999999996</v>
      </c>
      <c r="F110" s="11">
        <v>109</v>
      </c>
      <c r="G110" s="13">
        <f t="shared" si="8"/>
        <v>17595.041322314049</v>
      </c>
      <c r="H110" s="12">
        <v>21290</v>
      </c>
    </row>
    <row r="111" spans="1:8" s="64" customFormat="1">
      <c r="A111" s="65" t="s">
        <v>8</v>
      </c>
      <c r="B111" s="66" t="s">
        <v>105</v>
      </c>
      <c r="C111" s="67" t="s">
        <v>144</v>
      </c>
      <c r="D111" s="67" t="s">
        <v>145</v>
      </c>
      <c r="E111" s="67">
        <v>3.7</v>
      </c>
      <c r="F111" s="67">
        <v>97</v>
      </c>
      <c r="G111" s="68">
        <f t="shared" si="8"/>
        <v>18504.132231404958</v>
      </c>
      <c r="H111" s="69">
        <v>22390</v>
      </c>
    </row>
    <row r="112" spans="1:8" s="64" customFormat="1">
      <c r="A112" s="59" t="s">
        <v>8</v>
      </c>
      <c r="B112" s="60" t="s">
        <v>106</v>
      </c>
      <c r="C112" s="61" t="s">
        <v>144</v>
      </c>
      <c r="D112" s="61" t="s">
        <v>145</v>
      </c>
      <c r="E112" s="61">
        <v>3.7</v>
      </c>
      <c r="F112" s="61">
        <v>97</v>
      </c>
      <c r="G112" s="62">
        <f t="shared" si="8"/>
        <v>18834.710743801654</v>
      </c>
      <c r="H112" s="63">
        <v>22790</v>
      </c>
    </row>
    <row r="113" spans="1:8" s="22" customFormat="1">
      <c r="A113" s="14" t="s">
        <v>8</v>
      </c>
      <c r="B113" s="15" t="s">
        <v>107</v>
      </c>
      <c r="C113" s="16" t="s">
        <v>142</v>
      </c>
      <c r="D113" s="16" t="s">
        <v>143</v>
      </c>
      <c r="E113" s="16">
        <v>6.1</v>
      </c>
      <c r="F113" s="16">
        <v>143</v>
      </c>
      <c r="G113" s="8">
        <f t="shared" si="8"/>
        <v>16520.661157024795</v>
      </c>
      <c r="H113" s="17">
        <v>19990</v>
      </c>
    </row>
    <row r="114" spans="1:8" s="22" customFormat="1">
      <c r="A114" s="9" t="s">
        <v>8</v>
      </c>
      <c r="B114" s="10" t="s">
        <v>93</v>
      </c>
      <c r="C114" s="11" t="s">
        <v>144</v>
      </c>
      <c r="D114" s="11" t="s">
        <v>145</v>
      </c>
      <c r="E114" s="11">
        <v>4.0999999999999996</v>
      </c>
      <c r="F114" s="11">
        <v>108</v>
      </c>
      <c r="G114" s="13">
        <f t="shared" si="8"/>
        <v>18669.421487603307</v>
      </c>
      <c r="H114" s="12">
        <v>22590</v>
      </c>
    </row>
    <row r="115" spans="1:8" s="22" customFormat="1">
      <c r="A115" s="14" t="s">
        <v>8</v>
      </c>
      <c r="B115" s="15" t="s">
        <v>76</v>
      </c>
      <c r="C115" s="16" t="s">
        <v>142</v>
      </c>
      <c r="D115" s="16" t="s">
        <v>143</v>
      </c>
      <c r="E115" s="16">
        <v>6.1</v>
      </c>
      <c r="F115" s="16">
        <v>143</v>
      </c>
      <c r="G115" s="8">
        <f t="shared" si="8"/>
        <v>17512.396694214876</v>
      </c>
      <c r="H115" s="17">
        <v>21190</v>
      </c>
    </row>
    <row r="116" spans="1:8" s="22" customFormat="1">
      <c r="A116" s="9" t="s">
        <v>8</v>
      </c>
      <c r="B116" s="10" t="s">
        <v>94</v>
      </c>
      <c r="C116" s="11" t="s">
        <v>144</v>
      </c>
      <c r="D116" s="11" t="s">
        <v>145</v>
      </c>
      <c r="E116" s="11">
        <v>4.0999999999999996</v>
      </c>
      <c r="F116" s="11">
        <v>108</v>
      </c>
      <c r="G116" s="13">
        <f t="shared" si="8"/>
        <v>19661.157024793389</v>
      </c>
      <c r="H116" s="12">
        <v>23790</v>
      </c>
    </row>
    <row r="117" spans="1:8" s="22" customFormat="1">
      <c r="A117" s="14" t="s">
        <v>8</v>
      </c>
      <c r="B117" s="15" t="s">
        <v>108</v>
      </c>
      <c r="C117" s="16" t="s">
        <v>144</v>
      </c>
      <c r="D117" s="16" t="s">
        <v>146</v>
      </c>
      <c r="E117" s="16">
        <v>4.3</v>
      </c>
      <c r="F117" s="16">
        <v>114</v>
      </c>
      <c r="G117" s="8">
        <f t="shared" si="8"/>
        <v>20157.024793388431</v>
      </c>
      <c r="H117" s="17">
        <v>24390</v>
      </c>
    </row>
    <row r="118" spans="1:8" s="22" customFormat="1">
      <c r="A118" s="9" t="s">
        <v>8</v>
      </c>
      <c r="B118" s="10" t="s">
        <v>109</v>
      </c>
      <c r="C118" s="11" t="s">
        <v>144</v>
      </c>
      <c r="D118" s="11" t="s">
        <v>146</v>
      </c>
      <c r="E118" s="11">
        <v>5.5</v>
      </c>
      <c r="F118" s="11">
        <v>145</v>
      </c>
      <c r="G118" s="13">
        <f t="shared" si="8"/>
        <v>20900.826446280993</v>
      </c>
      <c r="H118" s="12">
        <v>25290</v>
      </c>
    </row>
    <row r="119" spans="1:8" s="22" customFormat="1">
      <c r="A119" s="14" t="s">
        <v>8</v>
      </c>
      <c r="B119" s="15" t="s">
        <v>96</v>
      </c>
      <c r="C119" s="16" t="s">
        <v>159</v>
      </c>
      <c r="D119" s="16" t="s">
        <v>165</v>
      </c>
      <c r="E119" s="16">
        <v>6.1</v>
      </c>
      <c r="F119" s="16">
        <v>140</v>
      </c>
      <c r="G119" s="8">
        <f t="shared" si="8"/>
        <v>19909.090909090908</v>
      </c>
      <c r="H119" s="17">
        <v>24090</v>
      </c>
    </row>
    <row r="120" spans="1:8" s="22" customFormat="1">
      <c r="A120" s="9" t="s">
        <v>8</v>
      </c>
      <c r="B120" s="10" t="s">
        <v>110</v>
      </c>
      <c r="C120" s="11" t="s">
        <v>159</v>
      </c>
      <c r="D120" s="11" t="s">
        <v>165</v>
      </c>
      <c r="E120" s="11">
        <v>6.1</v>
      </c>
      <c r="F120" s="11">
        <v>140</v>
      </c>
      <c r="G120" s="13">
        <f t="shared" si="8"/>
        <v>21231.404958677685</v>
      </c>
      <c r="H120" s="12">
        <v>25690</v>
      </c>
    </row>
    <row r="121" spans="1:8" s="22" customFormat="1">
      <c r="A121" s="14" t="s">
        <v>8</v>
      </c>
      <c r="B121" s="15" t="s">
        <v>97</v>
      </c>
      <c r="C121" s="16" t="s">
        <v>159</v>
      </c>
      <c r="D121" s="16" t="s">
        <v>211</v>
      </c>
      <c r="E121" s="16">
        <v>7.7</v>
      </c>
      <c r="F121" s="16">
        <v>171</v>
      </c>
      <c r="G121" s="8">
        <f t="shared" si="8"/>
        <v>24537.190082644629</v>
      </c>
      <c r="H121" s="17">
        <v>29690</v>
      </c>
    </row>
    <row r="122" spans="1:8" s="22" customFormat="1">
      <c r="A122" s="9" t="s">
        <v>8</v>
      </c>
      <c r="B122" s="10" t="s">
        <v>98</v>
      </c>
      <c r="C122" s="11" t="s">
        <v>144</v>
      </c>
      <c r="D122" s="11" t="s">
        <v>146</v>
      </c>
      <c r="E122" s="11">
        <v>4.3</v>
      </c>
      <c r="F122" s="11">
        <v>114</v>
      </c>
      <c r="G122" s="13">
        <f t="shared" si="8"/>
        <v>21561.983471074382</v>
      </c>
      <c r="H122" s="12">
        <v>26090</v>
      </c>
    </row>
    <row r="123" spans="1:8" s="22" customFormat="1">
      <c r="A123" s="14" t="s">
        <v>8</v>
      </c>
      <c r="B123" s="15" t="s">
        <v>99</v>
      </c>
      <c r="C123" s="16" t="s">
        <v>144</v>
      </c>
      <c r="D123" s="16" t="s">
        <v>146</v>
      </c>
      <c r="E123" s="16">
        <v>5.5</v>
      </c>
      <c r="F123" s="16">
        <v>145</v>
      </c>
      <c r="G123" s="8">
        <f t="shared" si="8"/>
        <v>22305.785123966944</v>
      </c>
      <c r="H123" s="17">
        <v>26990</v>
      </c>
    </row>
    <row r="124" spans="1:8" s="22" customFormat="1">
      <c r="A124" s="9" t="s">
        <v>9</v>
      </c>
      <c r="B124" s="10" t="s">
        <v>88</v>
      </c>
      <c r="C124" s="11" t="s">
        <v>142</v>
      </c>
      <c r="D124" s="11" t="s">
        <v>143</v>
      </c>
      <c r="E124" s="11">
        <v>6.5</v>
      </c>
      <c r="F124" s="11">
        <v>145</v>
      </c>
      <c r="G124" s="13">
        <f t="shared" si="8"/>
        <v>14619.834710743802</v>
      </c>
      <c r="H124" s="12">
        <v>17690</v>
      </c>
    </row>
    <row r="125" spans="1:8" s="22" customFormat="1">
      <c r="A125" s="14" t="s">
        <v>9</v>
      </c>
      <c r="B125" s="15" t="s">
        <v>89</v>
      </c>
      <c r="C125" s="16" t="s">
        <v>142</v>
      </c>
      <c r="D125" s="16" t="s">
        <v>143</v>
      </c>
      <c r="E125" s="16">
        <v>6.5</v>
      </c>
      <c r="F125" s="16">
        <v>145</v>
      </c>
      <c r="G125" s="8">
        <f t="shared" si="8"/>
        <v>15859.504132231405</v>
      </c>
      <c r="H125" s="17">
        <v>19190</v>
      </c>
    </row>
    <row r="126" spans="1:8" s="22" customFormat="1">
      <c r="A126" s="9" t="s">
        <v>9</v>
      </c>
      <c r="B126" s="10" t="s">
        <v>90</v>
      </c>
      <c r="C126" s="11" t="s">
        <v>144</v>
      </c>
      <c r="D126" s="11" t="s">
        <v>145</v>
      </c>
      <c r="E126" s="11">
        <v>4.3</v>
      </c>
      <c r="F126" s="11">
        <v>113</v>
      </c>
      <c r="G126" s="13">
        <f t="shared" si="8"/>
        <v>18008.264462809919</v>
      </c>
      <c r="H126" s="12">
        <v>21790</v>
      </c>
    </row>
    <row r="127" spans="1:8" s="22" customFormat="1">
      <c r="A127" s="14" t="s">
        <v>9</v>
      </c>
      <c r="B127" s="15" t="s">
        <v>91</v>
      </c>
      <c r="C127" s="16" t="s">
        <v>144</v>
      </c>
      <c r="D127" s="16" t="s">
        <v>146</v>
      </c>
      <c r="E127" s="16">
        <v>4.3</v>
      </c>
      <c r="F127" s="16">
        <v>113</v>
      </c>
      <c r="G127" s="8">
        <f t="shared" si="8"/>
        <v>18421.487603305784</v>
      </c>
      <c r="H127" s="17">
        <v>22290</v>
      </c>
    </row>
    <row r="128" spans="1:8" s="64" customFormat="1">
      <c r="A128" s="59" t="s">
        <v>9</v>
      </c>
      <c r="B128" s="60" t="s">
        <v>111</v>
      </c>
      <c r="C128" s="61" t="s">
        <v>142</v>
      </c>
      <c r="D128" s="61" t="s">
        <v>158</v>
      </c>
      <c r="E128" s="61">
        <v>4.2</v>
      </c>
      <c r="F128" s="61">
        <v>109</v>
      </c>
      <c r="G128" s="62">
        <f t="shared" si="8"/>
        <v>18669.421487603307</v>
      </c>
      <c r="H128" s="63">
        <v>22590</v>
      </c>
    </row>
    <row r="129" spans="1:8" s="64" customFormat="1">
      <c r="A129" s="65" t="s">
        <v>9</v>
      </c>
      <c r="B129" s="66" t="s">
        <v>105</v>
      </c>
      <c r="C129" s="67" t="s">
        <v>144</v>
      </c>
      <c r="D129" s="67" t="s">
        <v>145</v>
      </c>
      <c r="E129" s="67">
        <v>4.2</v>
      </c>
      <c r="F129" s="67">
        <v>110</v>
      </c>
      <c r="G129" s="68">
        <f t="shared" si="8"/>
        <v>19330.578512396696</v>
      </c>
      <c r="H129" s="69">
        <v>23390</v>
      </c>
    </row>
    <row r="130" spans="1:8" s="64" customFormat="1">
      <c r="A130" s="59" t="s">
        <v>9</v>
      </c>
      <c r="B130" s="60" t="s">
        <v>112</v>
      </c>
      <c r="C130" s="61" t="s">
        <v>142</v>
      </c>
      <c r="D130" s="61" t="s">
        <v>158</v>
      </c>
      <c r="E130" s="61">
        <v>4.2</v>
      </c>
      <c r="F130" s="61">
        <v>109</v>
      </c>
      <c r="G130" s="62">
        <f t="shared" si="8"/>
        <v>19000</v>
      </c>
      <c r="H130" s="63">
        <v>22990</v>
      </c>
    </row>
    <row r="131" spans="1:8" s="64" customFormat="1">
      <c r="A131" s="65" t="s">
        <v>9</v>
      </c>
      <c r="B131" s="66" t="s">
        <v>106</v>
      </c>
      <c r="C131" s="67" t="s">
        <v>144</v>
      </c>
      <c r="D131" s="67" t="s">
        <v>145</v>
      </c>
      <c r="E131" s="67">
        <v>4.2</v>
      </c>
      <c r="F131" s="67">
        <v>110</v>
      </c>
      <c r="G131" s="68">
        <f t="shared" si="8"/>
        <v>19661.157024793389</v>
      </c>
      <c r="H131" s="69">
        <v>23790</v>
      </c>
    </row>
    <row r="132" spans="1:8" s="22" customFormat="1">
      <c r="A132" s="9" t="s">
        <v>9</v>
      </c>
      <c r="B132" s="10" t="s">
        <v>107</v>
      </c>
      <c r="C132" s="11" t="s">
        <v>142</v>
      </c>
      <c r="D132" s="11" t="s">
        <v>143</v>
      </c>
      <c r="E132" s="11">
        <v>6.6</v>
      </c>
      <c r="F132" s="11">
        <v>148</v>
      </c>
      <c r="G132" s="13">
        <f t="shared" si="8"/>
        <v>17347.10743801653</v>
      </c>
      <c r="H132" s="12">
        <v>20990</v>
      </c>
    </row>
    <row r="133" spans="1:8" s="22" customFormat="1">
      <c r="A133" s="14" t="s">
        <v>9</v>
      </c>
      <c r="B133" s="15" t="s">
        <v>93</v>
      </c>
      <c r="C133" s="16" t="s">
        <v>144</v>
      </c>
      <c r="D133" s="16" t="s">
        <v>145</v>
      </c>
      <c r="E133" s="16">
        <v>4.5</v>
      </c>
      <c r="F133" s="16">
        <v>117</v>
      </c>
      <c r="G133" s="8">
        <f t="shared" si="8"/>
        <v>19495.867768595042</v>
      </c>
      <c r="H133" s="17">
        <v>23590</v>
      </c>
    </row>
    <row r="134" spans="1:8" s="22" customFormat="1">
      <c r="A134" s="9" t="s">
        <v>9</v>
      </c>
      <c r="B134" s="10" t="s">
        <v>76</v>
      </c>
      <c r="C134" s="11" t="s">
        <v>142</v>
      </c>
      <c r="D134" s="11" t="s">
        <v>143</v>
      </c>
      <c r="E134" s="11">
        <v>6.6</v>
      </c>
      <c r="F134" s="11">
        <v>148</v>
      </c>
      <c r="G134" s="13">
        <f t="shared" si="8"/>
        <v>18338.842975206611</v>
      </c>
      <c r="H134" s="12">
        <v>22190</v>
      </c>
    </row>
    <row r="135" spans="1:8" s="22" customFormat="1">
      <c r="A135" s="14" t="s">
        <v>9</v>
      </c>
      <c r="B135" s="15" t="s">
        <v>94</v>
      </c>
      <c r="C135" s="16" t="s">
        <v>144</v>
      </c>
      <c r="D135" s="16" t="s">
        <v>145</v>
      </c>
      <c r="E135" s="16">
        <v>4.5</v>
      </c>
      <c r="F135" s="16">
        <v>117</v>
      </c>
      <c r="G135" s="8">
        <f t="shared" si="8"/>
        <v>20487.603305785124</v>
      </c>
      <c r="H135" s="17">
        <v>24790</v>
      </c>
    </row>
    <row r="136" spans="1:8" s="22" customFormat="1">
      <c r="A136" s="9" t="s">
        <v>9</v>
      </c>
      <c r="B136" s="10" t="s">
        <v>108</v>
      </c>
      <c r="C136" s="11" t="s">
        <v>144</v>
      </c>
      <c r="D136" s="11" t="s">
        <v>146</v>
      </c>
      <c r="E136" s="11">
        <v>4.5</v>
      </c>
      <c r="F136" s="11">
        <v>117</v>
      </c>
      <c r="G136" s="13">
        <f t="shared" si="8"/>
        <v>20983.471074380166</v>
      </c>
      <c r="H136" s="12">
        <v>25390</v>
      </c>
    </row>
    <row r="137" spans="1:8" s="22" customFormat="1">
      <c r="A137" s="14" t="s">
        <v>9</v>
      </c>
      <c r="B137" s="15" t="s">
        <v>109</v>
      </c>
      <c r="C137" s="16" t="s">
        <v>144</v>
      </c>
      <c r="D137" s="16" t="s">
        <v>146</v>
      </c>
      <c r="E137" s="16">
        <v>5.6</v>
      </c>
      <c r="F137" s="16">
        <v>149</v>
      </c>
      <c r="G137" s="8">
        <f t="shared" si="8"/>
        <v>21727.272727272728</v>
      </c>
      <c r="H137" s="17">
        <v>26290</v>
      </c>
    </row>
    <row r="138" spans="1:8" s="22" customFormat="1">
      <c r="A138" s="9" t="s">
        <v>9</v>
      </c>
      <c r="B138" s="10" t="s">
        <v>96</v>
      </c>
      <c r="C138" s="11" t="s">
        <v>159</v>
      </c>
      <c r="D138" s="11" t="s">
        <v>165</v>
      </c>
      <c r="E138" s="11">
        <v>6.5</v>
      </c>
      <c r="F138" s="11">
        <v>146</v>
      </c>
      <c r="G138" s="13">
        <f t="shared" si="8"/>
        <v>20735.537190082647</v>
      </c>
      <c r="H138" s="12">
        <v>25090</v>
      </c>
    </row>
    <row r="139" spans="1:8" s="22" customFormat="1">
      <c r="A139" s="14" t="s">
        <v>9</v>
      </c>
      <c r="B139" s="15" t="s">
        <v>110</v>
      </c>
      <c r="C139" s="16" t="s">
        <v>159</v>
      </c>
      <c r="D139" s="16" t="s">
        <v>165</v>
      </c>
      <c r="E139" s="16">
        <v>6.4</v>
      </c>
      <c r="F139" s="16">
        <v>144</v>
      </c>
      <c r="G139" s="8">
        <f t="shared" si="8"/>
        <v>22057.85123966942</v>
      </c>
      <c r="H139" s="17">
        <v>26690</v>
      </c>
    </row>
    <row r="140" spans="1:8" s="22" customFormat="1">
      <c r="A140" s="9" t="s">
        <v>9</v>
      </c>
      <c r="B140" s="10" t="s">
        <v>98</v>
      </c>
      <c r="C140" s="11" t="s">
        <v>144</v>
      </c>
      <c r="D140" s="11" t="s">
        <v>146</v>
      </c>
      <c r="E140" s="11">
        <v>4.5</v>
      </c>
      <c r="F140" s="11">
        <v>117</v>
      </c>
      <c r="G140" s="13">
        <f t="shared" si="8"/>
        <v>22388.429752066117</v>
      </c>
      <c r="H140" s="12">
        <v>27090</v>
      </c>
    </row>
    <row r="141" spans="1:8" s="22" customFormat="1">
      <c r="A141" s="14" t="s">
        <v>9</v>
      </c>
      <c r="B141" s="15" t="s">
        <v>99</v>
      </c>
      <c r="C141" s="16" t="s">
        <v>144</v>
      </c>
      <c r="D141" s="16" t="s">
        <v>146</v>
      </c>
      <c r="E141" s="16">
        <v>5.6</v>
      </c>
      <c r="F141" s="16">
        <v>149</v>
      </c>
      <c r="G141" s="8">
        <f t="shared" si="8"/>
        <v>23132.231404958678</v>
      </c>
      <c r="H141" s="17">
        <v>27990</v>
      </c>
    </row>
    <row r="142" spans="1:8" s="25" customFormat="1">
      <c r="A142"/>
      <c r="B142"/>
      <c r="C142" s="44"/>
      <c r="D142" s="44"/>
      <c r="E142" s="44"/>
      <c r="F142" s="44"/>
      <c r="G142" s="21"/>
      <c r="H142" s="21"/>
    </row>
    <row r="143" spans="1:8">
      <c r="A143" s="39" t="s">
        <v>24</v>
      </c>
      <c r="B143" s="27"/>
      <c r="C143" s="40"/>
      <c r="D143" s="40"/>
      <c r="E143" s="40"/>
      <c r="F143" s="40"/>
      <c r="G143" s="28" t="s">
        <v>25</v>
      </c>
      <c r="H143" s="28" t="s">
        <v>26</v>
      </c>
    </row>
    <row r="144" spans="1:8">
      <c r="A144" s="32" t="s">
        <v>54</v>
      </c>
      <c r="B144" s="33"/>
      <c r="C144" s="38"/>
      <c r="D144" s="38"/>
      <c r="E144" s="38"/>
      <c r="F144" s="38"/>
      <c r="G144" s="13">
        <f t="shared" ref="G144:G146" si="9">H144/1.21</f>
        <v>330.57851239669424</v>
      </c>
      <c r="H144" s="12">
        <v>400</v>
      </c>
    </row>
    <row r="145" spans="1:8">
      <c r="A145" s="35" t="s">
        <v>100</v>
      </c>
      <c r="B145" s="36"/>
      <c r="C145" s="41"/>
      <c r="D145" s="41"/>
      <c r="E145" s="41"/>
      <c r="F145" s="41"/>
      <c r="G145" s="8">
        <f t="shared" si="9"/>
        <v>702.47933884297527</v>
      </c>
      <c r="H145" s="17">
        <v>850</v>
      </c>
    </row>
    <row r="146" spans="1:8">
      <c r="A146" s="32" t="s">
        <v>101</v>
      </c>
      <c r="B146" s="33"/>
      <c r="C146" s="38"/>
      <c r="D146" s="38"/>
      <c r="E146" s="38"/>
      <c r="F146" s="38"/>
      <c r="G146" s="13">
        <f t="shared" si="9"/>
        <v>1652.8925619834711</v>
      </c>
      <c r="H146" s="12">
        <v>2000</v>
      </c>
    </row>
    <row r="147" spans="1:8">
      <c r="A147" s="83" t="s">
        <v>113</v>
      </c>
      <c r="B147" s="84"/>
      <c r="C147" s="84"/>
      <c r="D147" s="84"/>
      <c r="E147" s="84"/>
      <c r="F147" s="84"/>
      <c r="G147" s="84"/>
      <c r="H147" s="84"/>
    </row>
    <row r="148" spans="1:8">
      <c r="A148" s="30"/>
    </row>
    <row r="149" spans="1:8">
      <c r="A149" s="29"/>
    </row>
    <row r="150" spans="1:8" s="25" customFormat="1" ht="19.5">
      <c r="A150" s="79" t="s">
        <v>18</v>
      </c>
      <c r="B150" s="79"/>
      <c r="C150" s="79"/>
      <c r="D150" s="79"/>
      <c r="E150" s="79"/>
      <c r="F150" s="79"/>
      <c r="G150" s="79"/>
      <c r="H150" s="79"/>
    </row>
    <row r="151" spans="1:8">
      <c r="A151" s="26" t="s">
        <v>28</v>
      </c>
      <c r="B151" s="26" t="s">
        <v>27</v>
      </c>
      <c r="C151" s="23" t="s">
        <v>214</v>
      </c>
      <c r="D151" s="23" t="s">
        <v>212</v>
      </c>
      <c r="E151" s="23" t="s">
        <v>213</v>
      </c>
      <c r="F151" s="23" t="s">
        <v>167</v>
      </c>
      <c r="G151" s="24" t="s">
        <v>25</v>
      </c>
      <c r="H151" s="24" t="s">
        <v>26</v>
      </c>
    </row>
    <row r="152" spans="1:8" s="22" customFormat="1">
      <c r="A152" s="9" t="s">
        <v>18</v>
      </c>
      <c r="B152" s="10" t="s">
        <v>114</v>
      </c>
      <c r="C152" s="11" t="s">
        <v>159</v>
      </c>
      <c r="D152" s="11" t="s">
        <v>284</v>
      </c>
      <c r="E152" s="11" t="s">
        <v>285</v>
      </c>
      <c r="F152" s="11">
        <v>158</v>
      </c>
      <c r="G152" s="13">
        <f t="shared" ref="G152:G168" si="10">H152/1.21</f>
        <v>17347.10743801653</v>
      </c>
      <c r="H152" s="12">
        <v>20990</v>
      </c>
    </row>
    <row r="153" spans="1:8" s="22" customFormat="1">
      <c r="A153" s="14" t="s">
        <v>18</v>
      </c>
      <c r="B153" s="15" t="s">
        <v>115</v>
      </c>
      <c r="C153" s="16" t="s">
        <v>162</v>
      </c>
      <c r="D153" s="16" t="s">
        <v>278</v>
      </c>
      <c r="E153" s="16" t="s">
        <v>279</v>
      </c>
      <c r="F153" s="16">
        <v>139</v>
      </c>
      <c r="G153" s="8">
        <f t="shared" si="10"/>
        <v>19413.223140495869</v>
      </c>
      <c r="H153" s="17">
        <v>23490</v>
      </c>
    </row>
    <row r="154" spans="1:8" s="22" customFormat="1">
      <c r="A154" s="9" t="s">
        <v>18</v>
      </c>
      <c r="B154" s="10" t="s">
        <v>296</v>
      </c>
      <c r="C154" s="11" t="s">
        <v>159</v>
      </c>
      <c r="D154" s="11" t="s">
        <v>284</v>
      </c>
      <c r="E154" s="11" t="s">
        <v>285</v>
      </c>
      <c r="F154" s="11">
        <v>158</v>
      </c>
      <c r="G154" s="13">
        <f t="shared" si="10"/>
        <v>18338.842975206611</v>
      </c>
      <c r="H154" s="12">
        <v>22190</v>
      </c>
    </row>
    <row r="155" spans="1:8" s="22" customFormat="1">
      <c r="A155" s="14" t="s">
        <v>18</v>
      </c>
      <c r="B155" s="15" t="s">
        <v>297</v>
      </c>
      <c r="C155" s="16" t="s">
        <v>162</v>
      </c>
      <c r="D155" s="16" t="s">
        <v>278</v>
      </c>
      <c r="E155" s="16" t="s">
        <v>279</v>
      </c>
      <c r="F155" s="16">
        <v>139</v>
      </c>
      <c r="G155" s="8">
        <f t="shared" si="10"/>
        <v>20404.958677685951</v>
      </c>
      <c r="H155" s="17">
        <v>24690</v>
      </c>
    </row>
    <row r="156" spans="1:8" s="25" customFormat="1">
      <c r="A156" s="59" t="s">
        <v>18</v>
      </c>
      <c r="B156" s="60" t="s">
        <v>268</v>
      </c>
      <c r="C156" s="61" t="s">
        <v>162</v>
      </c>
      <c r="D156" s="61" t="s">
        <v>278</v>
      </c>
      <c r="E156" s="61" t="s">
        <v>280</v>
      </c>
      <c r="F156" s="61">
        <v>135</v>
      </c>
      <c r="G156" s="62">
        <f t="shared" si="10"/>
        <v>22223.14049586777</v>
      </c>
      <c r="H156" s="63">
        <v>26890</v>
      </c>
    </row>
    <row r="157" spans="1:8" s="22" customFormat="1">
      <c r="A157" s="14" t="s">
        <v>18</v>
      </c>
      <c r="B157" s="15" t="s">
        <v>292</v>
      </c>
      <c r="C157" s="16" t="s">
        <v>159</v>
      </c>
      <c r="D157" s="16" t="s">
        <v>284</v>
      </c>
      <c r="E157" s="16" t="s">
        <v>285</v>
      </c>
      <c r="F157" s="16">
        <v>158</v>
      </c>
      <c r="G157" s="8">
        <f t="shared" si="10"/>
        <v>21314.049586776859</v>
      </c>
      <c r="H157" s="17">
        <v>25790</v>
      </c>
    </row>
    <row r="158" spans="1:8" s="22" customFormat="1">
      <c r="A158" s="9" t="s">
        <v>18</v>
      </c>
      <c r="B158" s="10" t="s">
        <v>293</v>
      </c>
      <c r="C158" s="11" t="s">
        <v>162</v>
      </c>
      <c r="D158" s="11" t="s">
        <v>278</v>
      </c>
      <c r="E158" s="11" t="s">
        <v>279</v>
      </c>
      <c r="F158" s="11">
        <v>139</v>
      </c>
      <c r="G158" s="13">
        <f t="shared" si="10"/>
        <v>23380.165289256198</v>
      </c>
      <c r="H158" s="12">
        <v>28290</v>
      </c>
    </row>
    <row r="159" spans="1:8" s="22" customFormat="1">
      <c r="A159" s="14" t="s">
        <v>18</v>
      </c>
      <c r="B159" s="15" t="s">
        <v>294</v>
      </c>
      <c r="C159" s="16" t="s">
        <v>149</v>
      </c>
      <c r="D159" s="16" t="s">
        <v>281</v>
      </c>
      <c r="E159" s="16">
        <v>6</v>
      </c>
      <c r="F159" s="16">
        <v>156</v>
      </c>
      <c r="G159" s="8">
        <f t="shared" si="10"/>
        <v>26603.305785123968</v>
      </c>
      <c r="H159" s="17">
        <v>32190</v>
      </c>
    </row>
    <row r="160" spans="1:8" s="22" customFormat="1">
      <c r="A160" s="9" t="s">
        <v>18</v>
      </c>
      <c r="B160" s="10" t="s">
        <v>295</v>
      </c>
      <c r="C160" s="11" t="s">
        <v>149</v>
      </c>
      <c r="D160" s="11" t="s">
        <v>281</v>
      </c>
      <c r="E160" s="11">
        <v>7</v>
      </c>
      <c r="F160" s="11">
        <v>183</v>
      </c>
      <c r="G160" s="13">
        <f t="shared" si="10"/>
        <v>27677.685950413223</v>
      </c>
      <c r="H160" s="12">
        <v>33490</v>
      </c>
    </row>
    <row r="161" spans="1:8" s="22" customFormat="1">
      <c r="A161" s="14" t="s">
        <v>18</v>
      </c>
      <c r="B161" s="15" t="s">
        <v>116</v>
      </c>
      <c r="C161" s="16" t="s">
        <v>159</v>
      </c>
      <c r="D161" s="16" t="s">
        <v>284</v>
      </c>
      <c r="E161" s="16" t="s">
        <v>285</v>
      </c>
      <c r="F161" s="16">
        <v>158</v>
      </c>
      <c r="G161" s="8">
        <f t="shared" si="10"/>
        <v>19743.801652892562</v>
      </c>
      <c r="H161" s="17">
        <v>23890</v>
      </c>
    </row>
    <row r="162" spans="1:8" s="22" customFormat="1">
      <c r="A162" s="9" t="s">
        <v>18</v>
      </c>
      <c r="B162" s="10" t="s">
        <v>117</v>
      </c>
      <c r="C162" s="11" t="s">
        <v>162</v>
      </c>
      <c r="D162" s="11" t="s">
        <v>278</v>
      </c>
      <c r="E162" s="11" t="s">
        <v>279</v>
      </c>
      <c r="F162" s="11">
        <v>135</v>
      </c>
      <c r="G162" s="13">
        <f t="shared" si="10"/>
        <v>21809.917355371901</v>
      </c>
      <c r="H162" s="12">
        <v>26390</v>
      </c>
    </row>
    <row r="163" spans="1:8" s="22" customFormat="1">
      <c r="A163" s="14" t="s">
        <v>18</v>
      </c>
      <c r="B163" s="15" t="s">
        <v>269</v>
      </c>
      <c r="C163" s="16" t="s">
        <v>159</v>
      </c>
      <c r="D163" s="16" t="s">
        <v>284</v>
      </c>
      <c r="E163" s="16" t="s">
        <v>285</v>
      </c>
      <c r="F163" s="16">
        <v>158</v>
      </c>
      <c r="G163" s="8">
        <f t="shared" si="10"/>
        <v>23958.677685950413</v>
      </c>
      <c r="H163" s="17">
        <v>28990</v>
      </c>
    </row>
    <row r="164" spans="1:8" s="22" customFormat="1">
      <c r="A164" s="9" t="s">
        <v>18</v>
      </c>
      <c r="B164" s="10" t="s">
        <v>270</v>
      </c>
      <c r="C164" s="11" t="s">
        <v>288</v>
      </c>
      <c r="D164" s="11" t="s">
        <v>286</v>
      </c>
      <c r="E164" s="11" t="s">
        <v>287</v>
      </c>
      <c r="F164" s="11">
        <v>187</v>
      </c>
      <c r="G164" s="13">
        <f t="shared" si="10"/>
        <v>26685.950413223141</v>
      </c>
      <c r="H164" s="12">
        <v>32290</v>
      </c>
    </row>
    <row r="165" spans="1:8" s="22" customFormat="1">
      <c r="A165" s="14" t="s">
        <v>18</v>
      </c>
      <c r="B165" s="15" t="s">
        <v>271</v>
      </c>
      <c r="C165" s="16" t="s">
        <v>162</v>
      </c>
      <c r="D165" s="16" t="s">
        <v>278</v>
      </c>
      <c r="E165" s="16" t="s">
        <v>330</v>
      </c>
      <c r="F165" s="16" t="s">
        <v>329</v>
      </c>
      <c r="G165" s="8">
        <f t="shared" si="10"/>
        <v>26024.793388429753</v>
      </c>
      <c r="H165" s="17">
        <v>31490</v>
      </c>
    </row>
    <row r="166" spans="1:8" s="22" customFormat="1">
      <c r="A166" s="9" t="s">
        <v>18</v>
      </c>
      <c r="B166" s="10" t="s">
        <v>272</v>
      </c>
      <c r="C166" s="11" t="s">
        <v>149</v>
      </c>
      <c r="D166" s="11" t="s">
        <v>281</v>
      </c>
      <c r="E166" s="11">
        <v>6</v>
      </c>
      <c r="F166" s="11">
        <v>156</v>
      </c>
      <c r="G166" s="13">
        <f t="shared" si="10"/>
        <v>29247.933884297523</v>
      </c>
      <c r="H166" s="12">
        <v>35390</v>
      </c>
    </row>
    <row r="167" spans="1:8" s="22" customFormat="1">
      <c r="A167" s="14" t="s">
        <v>18</v>
      </c>
      <c r="B167" s="15" t="s">
        <v>273</v>
      </c>
      <c r="C167" s="16" t="s">
        <v>149</v>
      </c>
      <c r="D167" s="16" t="s">
        <v>281</v>
      </c>
      <c r="E167" s="16">
        <v>7</v>
      </c>
      <c r="F167" s="16">
        <v>183</v>
      </c>
      <c r="G167" s="8">
        <f t="shared" si="10"/>
        <v>30322.314049586777</v>
      </c>
      <c r="H167" s="17">
        <v>36690</v>
      </c>
    </row>
    <row r="168" spans="1:8" s="22" customFormat="1">
      <c r="A168" s="9" t="s">
        <v>18</v>
      </c>
      <c r="B168" s="10" t="s">
        <v>274</v>
      </c>
      <c r="C168" s="11" t="s">
        <v>149</v>
      </c>
      <c r="D168" s="11" t="s">
        <v>282</v>
      </c>
      <c r="E168" s="11" t="s">
        <v>283</v>
      </c>
      <c r="F168" s="11">
        <v>189</v>
      </c>
      <c r="G168" s="13">
        <f t="shared" si="10"/>
        <v>32388.429752066117</v>
      </c>
      <c r="H168" s="12">
        <v>39190</v>
      </c>
    </row>
    <row r="170" spans="1:8">
      <c r="A170" s="39" t="s">
        <v>24</v>
      </c>
      <c r="B170" s="27"/>
      <c r="C170" s="40"/>
      <c r="D170" s="40"/>
      <c r="E170" s="40"/>
      <c r="F170" s="40"/>
      <c r="G170" s="28" t="s">
        <v>25</v>
      </c>
      <c r="H170" s="28" t="s">
        <v>26</v>
      </c>
    </row>
    <row r="171" spans="1:8">
      <c r="A171" s="32" t="s">
        <v>54</v>
      </c>
      <c r="B171" s="33"/>
      <c r="C171" s="38"/>
      <c r="D171" s="38"/>
      <c r="E171" s="38"/>
      <c r="F171" s="38"/>
      <c r="G171" s="13">
        <f t="shared" ref="G171:G175" si="11">H171/1.21</f>
        <v>371.90082644628103</v>
      </c>
      <c r="H171" s="12">
        <v>450</v>
      </c>
    </row>
    <row r="172" spans="1:8">
      <c r="A172" s="35" t="s">
        <v>331</v>
      </c>
      <c r="B172" s="36"/>
      <c r="C172" s="41"/>
      <c r="D172" s="41"/>
      <c r="E172" s="41"/>
      <c r="F172" s="41"/>
      <c r="G172" s="8">
        <f t="shared" si="11"/>
        <v>247.93388429752068</v>
      </c>
      <c r="H172" s="17">
        <v>300</v>
      </c>
    </row>
    <row r="173" spans="1:8">
      <c r="A173" s="32" t="s">
        <v>276</v>
      </c>
      <c r="B173" s="33"/>
      <c r="C173" s="38"/>
      <c r="D173" s="38"/>
      <c r="E173" s="38"/>
      <c r="F173" s="38"/>
      <c r="G173" s="13">
        <f t="shared" si="11"/>
        <v>785.12396694214874</v>
      </c>
      <c r="H173" s="12">
        <v>950</v>
      </c>
    </row>
    <row r="174" spans="1:8">
      <c r="A174" s="35" t="s">
        <v>277</v>
      </c>
      <c r="B174" s="36"/>
      <c r="C174" s="41"/>
      <c r="D174" s="41"/>
      <c r="E174" s="41"/>
      <c r="F174" s="41"/>
      <c r="G174" s="8">
        <f t="shared" si="11"/>
        <v>1157.0247933884298</v>
      </c>
      <c r="H174" s="17">
        <v>1400</v>
      </c>
    </row>
    <row r="175" spans="1:8">
      <c r="A175" s="32" t="s">
        <v>333</v>
      </c>
      <c r="B175" s="33"/>
      <c r="C175" s="38"/>
      <c r="D175" s="38"/>
      <c r="E175" s="38"/>
      <c r="F175" s="38"/>
      <c r="G175" s="13">
        <f t="shared" si="11"/>
        <v>247.93388429752068</v>
      </c>
      <c r="H175" s="12">
        <v>300</v>
      </c>
    </row>
    <row r="176" spans="1:8">
      <c r="A176" s="29"/>
    </row>
    <row r="177" spans="1:8">
      <c r="A177" s="29"/>
    </row>
    <row r="178" spans="1:8">
      <c r="A178" s="29"/>
    </row>
    <row r="179" spans="1:8" s="25" customFormat="1" ht="19.5">
      <c r="A179" s="79" t="s">
        <v>19</v>
      </c>
      <c r="B179" s="79"/>
      <c r="C179" s="79"/>
      <c r="D179" s="79"/>
      <c r="E179" s="79"/>
      <c r="F179" s="79"/>
      <c r="G179" s="79"/>
      <c r="H179" s="79"/>
    </row>
    <row r="180" spans="1:8">
      <c r="A180" s="26" t="s">
        <v>28</v>
      </c>
      <c r="B180" s="26" t="s">
        <v>27</v>
      </c>
      <c r="C180" s="23" t="s">
        <v>214</v>
      </c>
      <c r="D180" s="23" t="s">
        <v>212</v>
      </c>
      <c r="E180" s="23" t="s">
        <v>213</v>
      </c>
      <c r="F180" s="23" t="s">
        <v>167</v>
      </c>
      <c r="G180" s="24" t="s">
        <v>25</v>
      </c>
      <c r="H180" s="24" t="s">
        <v>26</v>
      </c>
    </row>
    <row r="181" spans="1:8">
      <c r="A181" s="9" t="s">
        <v>19</v>
      </c>
      <c r="B181" s="1" t="s">
        <v>118</v>
      </c>
      <c r="C181" s="2" t="s">
        <v>147</v>
      </c>
      <c r="D181" s="2" t="s">
        <v>148</v>
      </c>
      <c r="E181" s="2">
        <v>4.9000000000000004</v>
      </c>
      <c r="F181" s="2">
        <v>128</v>
      </c>
      <c r="G181" s="13">
        <f t="shared" ref="G181:G184" si="12">H181/1.21</f>
        <v>24785.123966942148</v>
      </c>
      <c r="H181" s="4">
        <v>29990</v>
      </c>
    </row>
    <row r="182" spans="1:8">
      <c r="A182" s="14" t="s">
        <v>19</v>
      </c>
      <c r="B182" s="5" t="s">
        <v>119</v>
      </c>
      <c r="C182" s="6" t="s">
        <v>147</v>
      </c>
      <c r="D182" s="6" t="s">
        <v>148</v>
      </c>
      <c r="E182" s="6">
        <v>6</v>
      </c>
      <c r="F182" s="6">
        <v>159</v>
      </c>
      <c r="G182" s="8">
        <f t="shared" si="12"/>
        <v>25611.570247933883</v>
      </c>
      <c r="H182" s="7">
        <v>30990</v>
      </c>
    </row>
    <row r="183" spans="1:8">
      <c r="A183" s="14" t="s">
        <v>19</v>
      </c>
      <c r="B183" s="5" t="s">
        <v>120</v>
      </c>
      <c r="C183" s="6" t="s">
        <v>147</v>
      </c>
      <c r="D183" s="6" t="s">
        <v>148</v>
      </c>
      <c r="E183" s="6">
        <v>4.9000000000000004</v>
      </c>
      <c r="F183" s="6">
        <v>128</v>
      </c>
      <c r="G183" s="8">
        <f t="shared" si="12"/>
        <v>30404.958677685951</v>
      </c>
      <c r="H183" s="7">
        <v>36790</v>
      </c>
    </row>
    <row r="184" spans="1:8">
      <c r="A184" s="9" t="s">
        <v>19</v>
      </c>
      <c r="B184" s="1" t="s">
        <v>121</v>
      </c>
      <c r="C184" s="2" t="s">
        <v>147</v>
      </c>
      <c r="D184" s="2" t="s">
        <v>148</v>
      </c>
      <c r="E184" s="2">
        <v>6</v>
      </c>
      <c r="F184" s="2">
        <v>159</v>
      </c>
      <c r="G184" s="13">
        <f t="shared" si="12"/>
        <v>31396.694214876035</v>
      </c>
      <c r="H184" s="4">
        <v>37990</v>
      </c>
    </row>
    <row r="185" spans="1:8" s="25" customFormat="1">
      <c r="A185"/>
      <c r="B185"/>
      <c r="C185" s="44"/>
      <c r="D185" s="44"/>
      <c r="E185" s="44"/>
      <c r="F185" s="44"/>
      <c r="G185" s="21"/>
      <c r="H185" s="21"/>
    </row>
    <row r="186" spans="1:8">
      <c r="A186" s="39" t="s">
        <v>24</v>
      </c>
      <c r="B186" s="27"/>
      <c r="C186" s="40"/>
      <c r="D186" s="40"/>
      <c r="E186" s="40"/>
      <c r="F186" s="40"/>
      <c r="G186" s="28" t="s">
        <v>25</v>
      </c>
      <c r="H186" s="28" t="s">
        <v>26</v>
      </c>
    </row>
    <row r="187" spans="1:8">
      <c r="A187" s="32" t="s">
        <v>54</v>
      </c>
      <c r="B187" s="33"/>
      <c r="C187" s="38"/>
      <c r="D187" s="38"/>
      <c r="E187" s="38"/>
      <c r="F187" s="38"/>
      <c r="G187" s="13">
        <f t="shared" ref="G187:G189" si="13">H187/1.21</f>
        <v>371.90082644628103</v>
      </c>
      <c r="H187" s="12">
        <v>450</v>
      </c>
    </row>
    <row r="188" spans="1:8">
      <c r="A188" s="35" t="s">
        <v>122</v>
      </c>
      <c r="B188" s="36"/>
      <c r="C188" s="41"/>
      <c r="D188" s="41"/>
      <c r="E188" s="41"/>
      <c r="F188" s="41"/>
      <c r="G188" s="8">
        <f t="shared" si="13"/>
        <v>785.12396694214874</v>
      </c>
      <c r="H188" s="17">
        <v>950</v>
      </c>
    </row>
    <row r="189" spans="1:8">
      <c r="A189" s="32" t="s">
        <v>123</v>
      </c>
      <c r="B189" s="33"/>
      <c r="C189" s="38"/>
      <c r="D189" s="38"/>
      <c r="E189" s="38"/>
      <c r="F189" s="38"/>
      <c r="G189" s="13">
        <f t="shared" si="13"/>
        <v>0</v>
      </c>
      <c r="H189" s="12">
        <v>0</v>
      </c>
    </row>
    <row r="192" spans="1:8" s="25" customFormat="1" ht="19.5">
      <c r="A192" s="51" t="s">
        <v>10</v>
      </c>
      <c r="B192" s="37"/>
      <c r="C192" s="51"/>
      <c r="D192" s="51"/>
      <c r="E192" s="51"/>
      <c r="F192" s="51"/>
      <c r="G192" s="37"/>
      <c r="H192" s="51"/>
    </row>
    <row r="193" spans="1:8">
      <c r="A193" s="26" t="s">
        <v>28</v>
      </c>
      <c r="B193" s="26" t="s">
        <v>27</v>
      </c>
      <c r="C193" s="23" t="s">
        <v>214</v>
      </c>
      <c r="D193" s="23" t="s">
        <v>212</v>
      </c>
      <c r="E193" s="23" t="s">
        <v>213</v>
      </c>
      <c r="F193" s="23" t="s">
        <v>167</v>
      </c>
      <c r="G193" s="24" t="s">
        <v>25</v>
      </c>
      <c r="H193" s="24" t="s">
        <v>26</v>
      </c>
    </row>
    <row r="194" spans="1:8">
      <c r="A194" s="9" t="s">
        <v>10</v>
      </c>
      <c r="B194" s="10" t="s">
        <v>11</v>
      </c>
      <c r="C194" s="11" t="s">
        <v>149</v>
      </c>
      <c r="D194" s="11" t="s">
        <v>152</v>
      </c>
      <c r="E194" s="11">
        <v>6.1</v>
      </c>
      <c r="F194" s="11">
        <v>159</v>
      </c>
      <c r="G194" s="13">
        <f t="shared" ref="G194:G199" si="14">H194/1.21</f>
        <v>27264.462809917357</v>
      </c>
      <c r="H194" s="12">
        <v>32990</v>
      </c>
    </row>
    <row r="195" spans="1:8">
      <c r="A195" s="14" t="s">
        <v>10</v>
      </c>
      <c r="B195" s="15" t="s">
        <v>12</v>
      </c>
      <c r="C195" s="16" t="s">
        <v>149</v>
      </c>
      <c r="D195" s="16" t="s">
        <v>152</v>
      </c>
      <c r="E195" s="16">
        <v>6.1</v>
      </c>
      <c r="F195" s="16">
        <v>159</v>
      </c>
      <c r="G195" s="8">
        <f t="shared" si="14"/>
        <v>27925.619834710746</v>
      </c>
      <c r="H195" s="17">
        <v>33790</v>
      </c>
    </row>
    <row r="196" spans="1:8">
      <c r="A196" s="9" t="s">
        <v>10</v>
      </c>
      <c r="B196" s="10" t="s">
        <v>13</v>
      </c>
      <c r="C196" s="11" t="s">
        <v>149</v>
      </c>
      <c r="D196" s="11" t="s">
        <v>152</v>
      </c>
      <c r="E196" s="11">
        <v>6.3</v>
      </c>
      <c r="F196" s="11">
        <v>165</v>
      </c>
      <c r="G196" s="13">
        <f t="shared" si="14"/>
        <v>29991.735537190085</v>
      </c>
      <c r="H196" s="12">
        <v>36290</v>
      </c>
    </row>
    <row r="197" spans="1:8">
      <c r="A197" s="14" t="s">
        <v>10</v>
      </c>
      <c r="B197" s="15" t="s">
        <v>14</v>
      </c>
      <c r="C197" s="16" t="s">
        <v>149</v>
      </c>
      <c r="D197" s="16" t="s">
        <v>152</v>
      </c>
      <c r="E197" s="16">
        <v>6.4</v>
      </c>
      <c r="F197" s="16">
        <v>168</v>
      </c>
      <c r="G197" s="8">
        <f t="shared" si="14"/>
        <v>31314.049586776859</v>
      </c>
      <c r="H197" s="17">
        <v>37890</v>
      </c>
    </row>
    <row r="198" spans="1:8">
      <c r="A198" s="9" t="s">
        <v>10</v>
      </c>
      <c r="B198" s="10" t="s">
        <v>15</v>
      </c>
      <c r="C198" s="11" t="s">
        <v>150</v>
      </c>
      <c r="D198" s="11" t="s">
        <v>151</v>
      </c>
      <c r="E198" s="11">
        <v>6.8</v>
      </c>
      <c r="F198" s="11">
        <v>178</v>
      </c>
      <c r="G198" s="13">
        <f t="shared" si="14"/>
        <v>33793.388429752064</v>
      </c>
      <c r="H198" s="12">
        <v>40890</v>
      </c>
    </row>
    <row r="199" spans="1:8">
      <c r="A199" s="14" t="s">
        <v>10</v>
      </c>
      <c r="B199" s="15" t="s">
        <v>16</v>
      </c>
      <c r="C199" s="16" t="s">
        <v>150</v>
      </c>
      <c r="D199" s="16" t="s">
        <v>151</v>
      </c>
      <c r="E199" s="16">
        <v>6.8</v>
      </c>
      <c r="F199" s="16">
        <v>178</v>
      </c>
      <c r="G199" s="8">
        <f t="shared" si="14"/>
        <v>36438.016528925618</v>
      </c>
      <c r="H199" s="17">
        <v>44090</v>
      </c>
    </row>
    <row r="200" spans="1:8" s="25" customFormat="1">
      <c r="A200"/>
      <c r="B200"/>
      <c r="C200" s="44"/>
      <c r="D200" s="44"/>
      <c r="E200" s="44"/>
      <c r="F200" s="44"/>
      <c r="G200" s="21"/>
      <c r="H200" s="21"/>
    </row>
    <row r="201" spans="1:8">
      <c r="A201" s="39" t="s">
        <v>24</v>
      </c>
      <c r="B201" s="27"/>
      <c r="C201" s="40"/>
      <c r="D201" s="40"/>
      <c r="E201" s="40"/>
      <c r="F201" s="40"/>
      <c r="G201" s="28" t="s">
        <v>25</v>
      </c>
      <c r="H201" s="28" t="s">
        <v>26</v>
      </c>
    </row>
    <row r="202" spans="1:8">
      <c r="A202" s="32" t="s">
        <v>54</v>
      </c>
      <c r="B202" s="33"/>
      <c r="C202" s="38"/>
      <c r="D202" s="38"/>
      <c r="E202" s="38"/>
      <c r="F202" s="38"/>
      <c r="G202" s="13">
        <f>H202/1.21</f>
        <v>371.90082644628103</v>
      </c>
      <c r="H202" s="12">
        <v>450</v>
      </c>
    </row>
    <row r="203" spans="1:8">
      <c r="A203" s="35" t="s">
        <v>124</v>
      </c>
      <c r="B203" s="36"/>
      <c r="C203" s="41"/>
      <c r="D203" s="41"/>
      <c r="E203" s="41"/>
      <c r="F203" s="41"/>
      <c r="G203" s="8">
        <f t="shared" ref="G203:G206" si="15">H203/1.21</f>
        <v>1239.6694214876034</v>
      </c>
      <c r="H203" s="17">
        <v>1500</v>
      </c>
    </row>
    <row r="204" spans="1:8">
      <c r="A204" s="32" t="s">
        <v>125</v>
      </c>
      <c r="B204" s="33"/>
      <c r="C204" s="38"/>
      <c r="D204" s="38"/>
      <c r="E204" s="38"/>
      <c r="F204" s="38"/>
      <c r="G204" s="13">
        <f t="shared" si="15"/>
        <v>1239.6694214876034</v>
      </c>
      <c r="H204" s="12">
        <v>1500</v>
      </c>
    </row>
    <row r="205" spans="1:8">
      <c r="A205" s="35" t="s">
        <v>126</v>
      </c>
      <c r="B205" s="36"/>
      <c r="C205" s="41"/>
      <c r="D205" s="41"/>
      <c r="E205" s="41"/>
      <c r="F205" s="41"/>
      <c r="G205" s="8">
        <f t="shared" si="15"/>
        <v>247.93388429752068</v>
      </c>
      <c r="H205" s="17">
        <v>300</v>
      </c>
    </row>
    <row r="206" spans="1:8">
      <c r="A206" s="32" t="s">
        <v>127</v>
      </c>
      <c r="B206" s="33"/>
      <c r="C206" s="38"/>
      <c r="D206" s="38"/>
      <c r="E206" s="38"/>
      <c r="F206" s="38"/>
      <c r="G206" s="13">
        <f t="shared" si="15"/>
        <v>247.93388429752068</v>
      </c>
      <c r="H206" s="12">
        <v>300</v>
      </c>
    </row>
    <row r="209" spans="1:8" ht="19.5">
      <c r="A209" s="79" t="s">
        <v>17</v>
      </c>
      <c r="B209" s="79"/>
      <c r="C209" s="79"/>
      <c r="D209" s="79"/>
      <c r="E209" s="79"/>
      <c r="F209" s="79"/>
      <c r="G209" s="79"/>
      <c r="H209" s="79"/>
    </row>
    <row r="210" spans="1:8" s="25" customFormat="1">
      <c r="A210" s="26" t="s">
        <v>28</v>
      </c>
      <c r="B210" s="43" t="s">
        <v>27</v>
      </c>
      <c r="C210" s="23" t="s">
        <v>214</v>
      </c>
      <c r="D210" s="23" t="s">
        <v>212</v>
      </c>
      <c r="E210" s="23" t="s">
        <v>213</v>
      </c>
      <c r="F210" s="23" t="s">
        <v>167</v>
      </c>
      <c r="G210" s="24" t="s">
        <v>25</v>
      </c>
      <c r="H210" s="24" t="s">
        <v>26</v>
      </c>
    </row>
    <row r="211" spans="1:8">
      <c r="A211" s="9" t="s">
        <v>17</v>
      </c>
      <c r="B211" s="10" t="s">
        <v>128</v>
      </c>
      <c r="C211" s="11" t="s">
        <v>159</v>
      </c>
      <c r="D211" s="11" t="s">
        <v>165</v>
      </c>
      <c r="E211" s="11">
        <v>6.8</v>
      </c>
      <c r="F211" s="11">
        <v>159</v>
      </c>
      <c r="G211" s="13">
        <f t="shared" ref="G211:G221" si="16">H211/1.21</f>
        <v>17512.396694214876</v>
      </c>
      <c r="H211" s="12">
        <v>21190</v>
      </c>
    </row>
    <row r="212" spans="1:8">
      <c r="A212" s="14" t="s">
        <v>17</v>
      </c>
      <c r="B212" s="15" t="s">
        <v>129</v>
      </c>
      <c r="C212" s="16" t="s">
        <v>162</v>
      </c>
      <c r="D212" s="16" t="s">
        <v>161</v>
      </c>
      <c r="E212" s="16">
        <v>4.9000000000000004</v>
      </c>
      <c r="F212" s="16">
        <v>129</v>
      </c>
      <c r="G212" s="8">
        <f t="shared" si="16"/>
        <v>19165.289256198346</v>
      </c>
      <c r="H212" s="17">
        <v>23190</v>
      </c>
    </row>
    <row r="213" spans="1:8" s="25" customFormat="1">
      <c r="A213" s="59" t="s">
        <v>17</v>
      </c>
      <c r="B213" s="60" t="s">
        <v>130</v>
      </c>
      <c r="C213" s="61" t="s">
        <v>162</v>
      </c>
      <c r="D213" s="61" t="s">
        <v>161</v>
      </c>
      <c r="E213" s="61">
        <v>4.7</v>
      </c>
      <c r="F213" s="61">
        <v>120</v>
      </c>
      <c r="G213" s="62">
        <f t="shared" si="16"/>
        <v>20818.18181818182</v>
      </c>
      <c r="H213" s="63">
        <v>25190</v>
      </c>
    </row>
    <row r="214" spans="1:8" s="54" customFormat="1">
      <c r="A214" s="14" t="s">
        <v>17</v>
      </c>
      <c r="B214" s="15" t="s">
        <v>131</v>
      </c>
      <c r="C214" s="16" t="s">
        <v>159</v>
      </c>
      <c r="D214" s="16" t="s">
        <v>165</v>
      </c>
      <c r="E214" s="16">
        <v>6.8</v>
      </c>
      <c r="F214" s="16">
        <v>159</v>
      </c>
      <c r="G214" s="8">
        <f t="shared" si="16"/>
        <v>19165.289256198346</v>
      </c>
      <c r="H214" s="17">
        <v>23190</v>
      </c>
    </row>
    <row r="215" spans="1:8">
      <c r="A215" s="9" t="s">
        <v>17</v>
      </c>
      <c r="B215" s="10" t="s">
        <v>132</v>
      </c>
      <c r="C215" s="11" t="s">
        <v>162</v>
      </c>
      <c r="D215" s="11" t="s">
        <v>161</v>
      </c>
      <c r="E215" s="11">
        <v>4.9000000000000004</v>
      </c>
      <c r="F215" s="11">
        <v>129</v>
      </c>
      <c r="G215" s="13">
        <f t="shared" si="16"/>
        <v>20818.18181818182</v>
      </c>
      <c r="H215" s="12">
        <v>25190</v>
      </c>
    </row>
    <row r="216" spans="1:8">
      <c r="A216" s="14" t="s">
        <v>17</v>
      </c>
      <c r="B216" s="15" t="s">
        <v>133</v>
      </c>
      <c r="C216" s="16" t="s">
        <v>162</v>
      </c>
      <c r="D216" s="16" t="s">
        <v>164</v>
      </c>
      <c r="E216" s="16">
        <v>5.3</v>
      </c>
      <c r="F216" s="16">
        <v>139</v>
      </c>
      <c r="G216" s="8">
        <f t="shared" si="16"/>
        <v>21727.272727272728</v>
      </c>
      <c r="H216" s="17">
        <v>26290</v>
      </c>
    </row>
    <row r="217" spans="1:8">
      <c r="A217" s="9" t="s">
        <v>17</v>
      </c>
      <c r="B217" s="10" t="s">
        <v>119</v>
      </c>
      <c r="C217" s="11" t="s">
        <v>162</v>
      </c>
      <c r="D217" s="11" t="s">
        <v>164</v>
      </c>
      <c r="E217" s="11">
        <v>6.1</v>
      </c>
      <c r="F217" s="11">
        <v>159</v>
      </c>
      <c r="G217" s="13">
        <f t="shared" si="16"/>
        <v>22719.008264462809</v>
      </c>
      <c r="H217" s="12">
        <v>27490</v>
      </c>
    </row>
    <row r="218" spans="1:8">
      <c r="A218" s="14" t="s">
        <v>17</v>
      </c>
      <c r="B218" s="15" t="s">
        <v>96</v>
      </c>
      <c r="C218" s="16" t="s">
        <v>159</v>
      </c>
      <c r="D218" s="16" t="s">
        <v>165</v>
      </c>
      <c r="E218" s="16">
        <v>7.1</v>
      </c>
      <c r="F218" s="16">
        <v>164</v>
      </c>
      <c r="G218" s="8">
        <f t="shared" si="16"/>
        <v>22471.07438016529</v>
      </c>
      <c r="H218" s="17">
        <v>27190</v>
      </c>
    </row>
    <row r="219" spans="1:8">
      <c r="A219" s="9" t="s">
        <v>17</v>
      </c>
      <c r="B219" s="10" t="s">
        <v>134</v>
      </c>
      <c r="C219" s="11" t="s">
        <v>163</v>
      </c>
      <c r="D219" s="11" t="s">
        <v>166</v>
      </c>
      <c r="E219" s="11">
        <v>7.9</v>
      </c>
      <c r="F219" s="11">
        <v>184</v>
      </c>
      <c r="G219" s="13">
        <f t="shared" si="16"/>
        <v>24289.25619834711</v>
      </c>
      <c r="H219" s="12">
        <v>29390</v>
      </c>
    </row>
    <row r="220" spans="1:8">
      <c r="A220" s="14" t="s">
        <v>17</v>
      </c>
      <c r="B220" s="15" t="s">
        <v>135</v>
      </c>
      <c r="C220" s="16" t="s">
        <v>162</v>
      </c>
      <c r="D220" s="16" t="s">
        <v>164</v>
      </c>
      <c r="E220" s="16">
        <v>5.3</v>
      </c>
      <c r="F220" s="16">
        <v>139</v>
      </c>
      <c r="G220" s="8">
        <f t="shared" si="16"/>
        <v>25033.057851239671</v>
      </c>
      <c r="H220" s="17">
        <v>30290</v>
      </c>
    </row>
    <row r="221" spans="1:8">
      <c r="A221" s="9" t="s">
        <v>17</v>
      </c>
      <c r="B221" s="10" t="s">
        <v>136</v>
      </c>
      <c r="C221" s="11" t="s">
        <v>162</v>
      </c>
      <c r="D221" s="11" t="s">
        <v>164</v>
      </c>
      <c r="E221" s="11">
        <v>6.1</v>
      </c>
      <c r="F221" s="11">
        <v>139</v>
      </c>
      <c r="G221" s="13">
        <f t="shared" si="16"/>
        <v>26024.793388429753</v>
      </c>
      <c r="H221" s="12">
        <v>31490</v>
      </c>
    </row>
    <row r="223" spans="1:8">
      <c r="A223" s="39" t="s">
        <v>24</v>
      </c>
      <c r="B223" s="27"/>
      <c r="C223" s="40"/>
      <c r="D223" s="40"/>
      <c r="E223" s="40"/>
      <c r="F223" s="40"/>
      <c r="G223" s="28" t="s">
        <v>25</v>
      </c>
      <c r="H223" s="28" t="s">
        <v>26</v>
      </c>
    </row>
    <row r="224" spans="1:8">
      <c r="A224" s="32" t="s">
        <v>137</v>
      </c>
      <c r="B224" s="33"/>
      <c r="C224" s="38"/>
      <c r="D224" s="38"/>
      <c r="E224" s="38"/>
      <c r="F224" s="38"/>
      <c r="G224" s="13">
        <f t="shared" ref="G224:G228" si="17">H224/1.21</f>
        <v>371.90082644628103</v>
      </c>
      <c r="H224" s="12">
        <v>450</v>
      </c>
    </row>
    <row r="225" spans="1:8">
      <c r="A225" s="35" t="s">
        <v>138</v>
      </c>
      <c r="B225" s="36"/>
      <c r="C225" s="41"/>
      <c r="D225" s="41"/>
      <c r="E225" s="41"/>
      <c r="F225" s="41"/>
      <c r="G225" s="8">
        <f t="shared" si="17"/>
        <v>413.22314049586777</v>
      </c>
      <c r="H225" s="17">
        <v>500</v>
      </c>
    </row>
    <row r="226" spans="1:8">
      <c r="A226" s="32" t="s">
        <v>139</v>
      </c>
      <c r="B226" s="33"/>
      <c r="C226" s="38"/>
      <c r="D226" s="38"/>
      <c r="E226" s="38"/>
      <c r="F226" s="38"/>
      <c r="G226" s="13">
        <f t="shared" si="17"/>
        <v>247.93388429752068</v>
      </c>
      <c r="H226" s="12">
        <v>300</v>
      </c>
    </row>
    <row r="227" spans="1:8">
      <c r="A227" s="35" t="s">
        <v>140</v>
      </c>
      <c r="B227" s="36"/>
      <c r="C227" s="41"/>
      <c r="D227" s="41"/>
      <c r="E227" s="41"/>
      <c r="F227" s="41"/>
      <c r="G227" s="8">
        <f t="shared" si="17"/>
        <v>1239.6694214876034</v>
      </c>
      <c r="H227" s="17">
        <v>1500</v>
      </c>
    </row>
    <row r="228" spans="1:8">
      <c r="A228" s="32" t="s">
        <v>141</v>
      </c>
      <c r="B228" s="33"/>
      <c r="C228" s="38"/>
      <c r="D228" s="38"/>
      <c r="E228" s="38"/>
      <c r="F228" s="38"/>
      <c r="G228" s="13">
        <f t="shared" si="17"/>
        <v>1404.9586776859505</v>
      </c>
      <c r="H228" s="12">
        <v>1700</v>
      </c>
    </row>
    <row r="231" spans="1:8" ht="19.5">
      <c r="A231" s="57" t="s">
        <v>253</v>
      </c>
      <c r="B231" s="57"/>
      <c r="C231" s="57"/>
      <c r="D231" s="57"/>
      <c r="E231" s="57"/>
      <c r="F231" s="57"/>
      <c r="G231" s="57"/>
      <c r="H231" s="57"/>
    </row>
    <row r="232" spans="1:8">
      <c r="A232" s="26" t="s">
        <v>28</v>
      </c>
      <c r="B232" s="43" t="s">
        <v>27</v>
      </c>
      <c r="C232" s="23" t="s">
        <v>214</v>
      </c>
      <c r="D232" s="23" t="s">
        <v>212</v>
      </c>
      <c r="E232" s="23" t="s">
        <v>213</v>
      </c>
      <c r="F232" s="23" t="s">
        <v>167</v>
      </c>
      <c r="G232" s="24" t="s">
        <v>25</v>
      </c>
      <c r="H232" s="24" t="s">
        <v>26</v>
      </c>
    </row>
    <row r="233" spans="1:8">
      <c r="A233" s="9" t="s">
        <v>252</v>
      </c>
      <c r="B233" s="10" t="s">
        <v>255</v>
      </c>
      <c r="C233" s="11" t="s">
        <v>159</v>
      </c>
      <c r="D233" s="11" t="s">
        <v>258</v>
      </c>
      <c r="E233" s="11">
        <v>6.8</v>
      </c>
      <c r="F233" s="11">
        <v>158</v>
      </c>
      <c r="G233" s="13">
        <f t="shared" ref="G233:G238" si="18">H233/1.21</f>
        <v>16438.016528925622</v>
      </c>
      <c r="H233" s="12">
        <v>19890</v>
      </c>
    </row>
    <row r="234" spans="1:8">
      <c r="A234" s="14" t="s">
        <v>252</v>
      </c>
      <c r="B234" s="15" t="s">
        <v>263</v>
      </c>
      <c r="C234" s="16" t="s">
        <v>144</v>
      </c>
      <c r="D234" s="16" t="s">
        <v>146</v>
      </c>
      <c r="E234" s="16">
        <v>5</v>
      </c>
      <c r="F234" s="16">
        <v>132</v>
      </c>
      <c r="G234" s="8">
        <f t="shared" si="18"/>
        <v>18008.264462809919</v>
      </c>
      <c r="H234" s="17">
        <v>21790</v>
      </c>
    </row>
    <row r="235" spans="1:8" ht="14.1" customHeight="1">
      <c r="A235" s="9" t="s">
        <v>252</v>
      </c>
      <c r="B235" s="10" t="s">
        <v>256</v>
      </c>
      <c r="C235" s="11" t="s">
        <v>159</v>
      </c>
      <c r="D235" s="11" t="s">
        <v>258</v>
      </c>
      <c r="E235" s="11">
        <v>7.3</v>
      </c>
      <c r="F235" s="11">
        <v>170</v>
      </c>
      <c r="G235" s="13">
        <f t="shared" si="18"/>
        <v>18752.066115702481</v>
      </c>
      <c r="H235" s="12">
        <v>22690</v>
      </c>
    </row>
    <row r="236" spans="1:8">
      <c r="A236" s="14" t="s">
        <v>252</v>
      </c>
      <c r="B236" s="15" t="s">
        <v>257</v>
      </c>
      <c r="C236" s="16" t="s">
        <v>159</v>
      </c>
      <c r="D236" s="16" t="s">
        <v>258</v>
      </c>
      <c r="E236" s="16">
        <v>7.6</v>
      </c>
      <c r="F236" s="16">
        <v>176</v>
      </c>
      <c r="G236" s="8">
        <f t="shared" si="18"/>
        <v>19578.512396694216</v>
      </c>
      <c r="H236" s="17">
        <v>23690</v>
      </c>
    </row>
    <row r="237" spans="1:8">
      <c r="A237" s="9" t="s">
        <v>252</v>
      </c>
      <c r="B237" s="10" t="s">
        <v>264</v>
      </c>
      <c r="C237" s="11" t="s">
        <v>144</v>
      </c>
      <c r="D237" s="11" t="s">
        <v>146</v>
      </c>
      <c r="E237" s="11">
        <v>5</v>
      </c>
      <c r="F237" s="11">
        <v>132</v>
      </c>
      <c r="G237" s="13">
        <f t="shared" si="18"/>
        <v>20322.314049586777</v>
      </c>
      <c r="H237" s="12">
        <v>24590</v>
      </c>
    </row>
    <row r="238" spans="1:8">
      <c r="A238" s="14" t="s">
        <v>252</v>
      </c>
      <c r="B238" s="15" t="s">
        <v>265</v>
      </c>
      <c r="C238" s="16" t="s">
        <v>144</v>
      </c>
      <c r="D238" s="16" t="s">
        <v>146</v>
      </c>
      <c r="E238" s="16">
        <v>6</v>
      </c>
      <c r="F238" s="16">
        <v>156</v>
      </c>
      <c r="G238" s="8">
        <f t="shared" si="18"/>
        <v>21148.760330578512</v>
      </c>
      <c r="H238" s="17">
        <v>25590</v>
      </c>
    </row>
    <row r="240" spans="1:8">
      <c r="A240" s="39" t="s">
        <v>24</v>
      </c>
      <c r="B240" s="27"/>
      <c r="C240" s="40"/>
      <c r="D240" s="40"/>
      <c r="E240" s="40"/>
      <c r="F240" s="40"/>
      <c r="G240" s="28" t="s">
        <v>25</v>
      </c>
      <c r="H240" s="28" t="s">
        <v>26</v>
      </c>
    </row>
    <row r="241" spans="1:8">
      <c r="A241" s="32" t="s">
        <v>137</v>
      </c>
      <c r="B241" s="33"/>
      <c r="C241" s="38"/>
      <c r="D241" s="38"/>
      <c r="E241" s="38"/>
      <c r="F241" s="38"/>
      <c r="G241" s="13">
        <f t="shared" ref="G241:G242" si="19">H241/1.21</f>
        <v>330.57851239669424</v>
      </c>
      <c r="H241" s="12">
        <v>400</v>
      </c>
    </row>
    <row r="242" spans="1:8">
      <c r="A242" s="35" t="s">
        <v>260</v>
      </c>
      <c r="B242" s="36"/>
      <c r="C242" s="41"/>
      <c r="D242" s="41"/>
      <c r="E242" s="41"/>
      <c r="F242" s="41"/>
      <c r="G242" s="8">
        <f t="shared" si="19"/>
        <v>619.83471074380168</v>
      </c>
      <c r="H242" s="17">
        <v>750</v>
      </c>
    </row>
    <row r="243" spans="1:8">
      <c r="A243" s="32" t="s">
        <v>259</v>
      </c>
      <c r="B243" s="33"/>
      <c r="C243" s="38"/>
      <c r="D243" s="38"/>
      <c r="E243" s="38"/>
      <c r="F243" s="38"/>
      <c r="G243" s="13">
        <v>702.47933884297527</v>
      </c>
      <c r="H243" s="12">
        <v>850</v>
      </c>
    </row>
    <row r="244" spans="1:8">
      <c r="A244" s="35" t="s">
        <v>141</v>
      </c>
      <c r="B244" s="36"/>
      <c r="C244" s="41"/>
      <c r="D244" s="41"/>
      <c r="E244" s="41"/>
      <c r="F244" s="41"/>
      <c r="G244" s="8">
        <v>1239.6694214876034</v>
      </c>
      <c r="H244" s="17">
        <v>1500</v>
      </c>
    </row>
    <row r="250" spans="1:8">
      <c r="A250" s="52"/>
      <c r="B250" s="52"/>
      <c r="C250" s="52"/>
      <c r="D250" s="52"/>
      <c r="E250" s="52"/>
      <c r="F250" s="52"/>
      <c r="G250" s="52"/>
      <c r="H250" s="52"/>
    </row>
    <row r="251" spans="1:8" ht="15" customHeight="1">
      <c r="A251" s="80" t="s">
        <v>266</v>
      </c>
      <c r="B251" s="80"/>
      <c r="C251" s="80"/>
      <c r="D251" s="80"/>
      <c r="E251" s="80"/>
      <c r="F251" s="80"/>
      <c r="G251" s="80"/>
      <c r="H251" s="80"/>
    </row>
    <row r="252" spans="1:8">
      <c r="A252" s="80"/>
      <c r="B252" s="80"/>
      <c r="C252" s="80"/>
      <c r="D252" s="80"/>
      <c r="E252" s="80"/>
      <c r="F252" s="80"/>
      <c r="G252" s="80"/>
      <c r="H252" s="80"/>
    </row>
    <row r="253" spans="1:8">
      <c r="A253" s="80"/>
      <c r="B253" s="80"/>
      <c r="C253" s="80"/>
      <c r="D253" s="80"/>
      <c r="E253" s="80"/>
      <c r="F253" s="80"/>
      <c r="G253" s="80"/>
      <c r="H253" s="80"/>
    </row>
  </sheetData>
  <sheetProtection formatCells="0" formatColumns="0" formatRows="0" insertColumns="0" insertRows="0" sort="0" autoFilter="0" pivotTables="0"/>
  <mergeCells count="13">
    <mergeCell ref="A179:H179"/>
    <mergeCell ref="A209:H209"/>
    <mergeCell ref="A251:H253"/>
    <mergeCell ref="A147:H147"/>
    <mergeCell ref="A3:H3"/>
    <mergeCell ref="A4:H4"/>
    <mergeCell ref="A150:H150"/>
    <mergeCell ref="A104:H104"/>
    <mergeCell ref="A8:H8"/>
    <mergeCell ref="A29:H29"/>
    <mergeCell ref="A62:H62"/>
    <mergeCell ref="A79:H79"/>
    <mergeCell ref="A23:F23"/>
  </mergeCells>
  <phoneticPr fontId="7" type="noConversion"/>
  <pageMargins left="0.75000000000000011" right="0.75000000000000011" top="0.98" bottom="0.98" header="0" footer="0.51"/>
  <pageSetup paperSize="256" scale="76" fitToHeight="10" orientation="landscape" r:id="rId1"/>
  <drawing r:id="rId2"/>
  <legacyDrawing r:id="rId3"/>
  <extLst>
    <ext xmlns:mx="http://schemas.microsoft.com/office/mac/excel/2008/main" uri="{64002731-A6B0-56B0-2670-7721B7C09600}">
      <mx:PLV Mode="1"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9"/>
  <sheetViews>
    <sheetView topLeftCell="A19" zoomScale="86" zoomScaleNormal="86" workbookViewId="0">
      <selection activeCell="C52" sqref="C52:C62"/>
    </sheetView>
  </sheetViews>
  <sheetFormatPr defaultColWidth="10.85546875" defaultRowHeight="15"/>
  <cols>
    <col min="1" max="1" width="56.28515625" style="31" bestFit="1" customWidth="1"/>
    <col min="2" max="2" width="4.85546875" style="31" customWidth="1"/>
    <col min="3" max="3" width="51.85546875" style="31" bestFit="1" customWidth="1"/>
    <col min="4" max="16384" width="10.85546875" style="31"/>
  </cols>
  <sheetData>
    <row r="1" spans="1:3" s="55" customFormat="1" ht="14.25">
      <c r="A1" s="56" t="s">
        <v>203</v>
      </c>
      <c r="C1" s="56" t="s">
        <v>193</v>
      </c>
    </row>
    <row r="2" spans="1:3">
      <c r="A2" s="53" t="s">
        <v>201</v>
      </c>
      <c r="B2" s="47"/>
      <c r="C2" s="53" t="s">
        <v>190</v>
      </c>
    </row>
    <row r="3" spans="1:3">
      <c r="A3" s="53" t="s">
        <v>169</v>
      </c>
      <c r="B3" s="47"/>
      <c r="C3" s="53" t="s">
        <v>170</v>
      </c>
    </row>
    <row r="4" spans="1:3">
      <c r="A4" s="53" t="s">
        <v>248</v>
      </c>
      <c r="B4" s="47"/>
      <c r="C4" s="53" t="s">
        <v>189</v>
      </c>
    </row>
    <row r="5" spans="1:3">
      <c r="A5" s="53" t="s">
        <v>170</v>
      </c>
      <c r="B5" s="47"/>
      <c r="C5" s="53" t="s">
        <v>191</v>
      </c>
    </row>
    <row r="6" spans="1:3">
      <c r="A6" s="53" t="s">
        <v>178</v>
      </c>
      <c r="B6" s="47"/>
      <c r="C6" s="53" t="s">
        <v>192</v>
      </c>
    </row>
    <row r="7" spans="1:3">
      <c r="A7" s="53" t="s">
        <v>37</v>
      </c>
      <c r="B7" s="47"/>
    </row>
    <row r="8" spans="1:3">
      <c r="A8" s="53" t="s">
        <v>173</v>
      </c>
      <c r="B8" s="47"/>
      <c r="C8" s="56" t="s">
        <v>196</v>
      </c>
    </row>
    <row r="9" spans="1:3">
      <c r="B9" s="47"/>
      <c r="C9" s="53" t="s">
        <v>194</v>
      </c>
    </row>
    <row r="10" spans="1:3">
      <c r="A10" s="56" t="s">
        <v>204</v>
      </c>
      <c r="B10" s="47"/>
      <c r="C10" s="53" t="s">
        <v>195</v>
      </c>
    </row>
    <row r="11" spans="1:3">
      <c r="A11" s="53" t="s">
        <v>34</v>
      </c>
      <c r="C11" s="53" t="s">
        <v>185</v>
      </c>
    </row>
    <row r="12" spans="1:3">
      <c r="A12" s="53" t="s">
        <v>35</v>
      </c>
      <c r="B12" s="46"/>
      <c r="C12" s="53" t="s">
        <v>178</v>
      </c>
    </row>
    <row r="13" spans="1:3">
      <c r="A13" s="53" t="s">
        <v>168</v>
      </c>
      <c r="B13" s="47"/>
      <c r="C13" s="53" t="s">
        <v>36</v>
      </c>
    </row>
    <row r="14" spans="1:3">
      <c r="A14" s="53" t="s">
        <v>171</v>
      </c>
      <c r="B14" s="47"/>
      <c r="C14" s="53" t="s">
        <v>170</v>
      </c>
    </row>
    <row r="15" spans="1:3">
      <c r="A15" s="53" t="s">
        <v>169</v>
      </c>
      <c r="B15" s="47"/>
      <c r="C15" s="53" t="s">
        <v>23</v>
      </c>
    </row>
    <row r="16" spans="1:3">
      <c r="A16" s="53" t="s">
        <v>170</v>
      </c>
      <c r="B16" s="47"/>
    </row>
    <row r="17" spans="1:3">
      <c r="A17" s="53" t="s">
        <v>178</v>
      </c>
      <c r="B17" s="47"/>
      <c r="C17" s="56" t="s">
        <v>202</v>
      </c>
    </row>
    <row r="18" spans="1:3">
      <c r="A18" s="53" t="s">
        <v>172</v>
      </c>
      <c r="B18" s="47"/>
      <c r="C18" s="53" t="s">
        <v>201</v>
      </c>
    </row>
    <row r="19" spans="1:3">
      <c r="A19" s="53" t="s">
        <v>36</v>
      </c>
      <c r="B19" s="47"/>
      <c r="C19" s="53" t="s">
        <v>197</v>
      </c>
    </row>
    <row r="20" spans="1:3">
      <c r="B20" s="47"/>
      <c r="C20" s="53" t="s">
        <v>37</v>
      </c>
    </row>
    <row r="21" spans="1:3">
      <c r="A21" s="56" t="s">
        <v>205</v>
      </c>
      <c r="B21" s="47"/>
      <c r="C21" s="53" t="s">
        <v>174</v>
      </c>
    </row>
    <row r="22" spans="1:3">
      <c r="A22" s="53" t="s">
        <v>34</v>
      </c>
      <c r="B22" s="47"/>
      <c r="C22" s="53" t="s">
        <v>198</v>
      </c>
    </row>
    <row r="23" spans="1:3">
      <c r="A23" s="53" t="s">
        <v>35</v>
      </c>
      <c r="B23" s="47"/>
      <c r="C23" s="53" t="s">
        <v>170</v>
      </c>
    </row>
    <row r="24" spans="1:3">
      <c r="A24" s="53" t="s">
        <v>37</v>
      </c>
      <c r="B24" s="47"/>
      <c r="C24" s="53" t="s">
        <v>176</v>
      </c>
    </row>
    <row r="25" spans="1:3">
      <c r="A25" s="53" t="s">
        <v>207</v>
      </c>
      <c r="B25" s="47"/>
      <c r="C25" s="53" t="s">
        <v>38</v>
      </c>
    </row>
    <row r="26" spans="1:3">
      <c r="A26" s="53" t="s">
        <v>171</v>
      </c>
      <c r="B26" s="47"/>
      <c r="C26" s="53" t="s">
        <v>42</v>
      </c>
    </row>
    <row r="27" spans="1:3">
      <c r="A27" s="53" t="s">
        <v>173</v>
      </c>
      <c r="B27" s="47"/>
      <c r="C27" s="53" t="s">
        <v>41</v>
      </c>
    </row>
    <row r="28" spans="1:3">
      <c r="A28" s="53" t="s">
        <v>174</v>
      </c>
      <c r="B28" s="47"/>
      <c r="C28" s="53" t="s">
        <v>199</v>
      </c>
    </row>
    <row r="29" spans="1:3">
      <c r="A29" s="53" t="s">
        <v>175</v>
      </c>
      <c r="B29" s="47"/>
      <c r="C29" s="53" t="s">
        <v>200</v>
      </c>
    </row>
    <row r="30" spans="1:3">
      <c r="A30" s="53" t="s">
        <v>169</v>
      </c>
      <c r="C30" s="53" t="s">
        <v>23</v>
      </c>
    </row>
    <row r="31" spans="1:3">
      <c r="A31" s="53" t="s">
        <v>177</v>
      </c>
      <c r="B31" s="46"/>
    </row>
    <row r="32" spans="1:3">
      <c r="A32" s="53" t="s">
        <v>208</v>
      </c>
      <c r="B32" s="47"/>
      <c r="C32" s="56" t="s">
        <v>289</v>
      </c>
    </row>
    <row r="33" spans="1:3">
      <c r="A33" s="53" t="s">
        <v>39</v>
      </c>
      <c r="B33" s="47"/>
      <c r="C33" s="53" t="s">
        <v>188</v>
      </c>
    </row>
    <row r="34" spans="1:3">
      <c r="A34" s="53" t="s">
        <v>41</v>
      </c>
      <c r="B34" s="47"/>
      <c r="C34" s="53" t="s">
        <v>186</v>
      </c>
    </row>
    <row r="35" spans="1:3">
      <c r="A35" s="53" t="s">
        <v>176</v>
      </c>
      <c r="B35" s="47"/>
      <c r="C35" s="53" t="s">
        <v>40</v>
      </c>
    </row>
    <row r="36" spans="1:3">
      <c r="A36" s="53" t="s">
        <v>38</v>
      </c>
      <c r="B36" s="47"/>
      <c r="C36" s="53" t="s">
        <v>38</v>
      </c>
    </row>
    <row r="37" spans="1:3">
      <c r="A37" s="53" t="s">
        <v>249</v>
      </c>
      <c r="B37" s="47"/>
      <c r="C37" s="53" t="s">
        <v>187</v>
      </c>
    </row>
    <row r="38" spans="1:3">
      <c r="B38" s="47"/>
      <c r="C38" s="53" t="s">
        <v>35</v>
      </c>
    </row>
    <row r="39" spans="1:3">
      <c r="A39" s="56" t="s">
        <v>242</v>
      </c>
      <c r="B39" s="47"/>
      <c r="C39" s="53" t="s">
        <v>182</v>
      </c>
    </row>
    <row r="40" spans="1:3">
      <c r="A40" s="53" t="s">
        <v>244</v>
      </c>
      <c r="B40" s="47"/>
      <c r="C40" s="53" t="s">
        <v>184</v>
      </c>
    </row>
    <row r="41" spans="1:3">
      <c r="A41" s="53" t="s">
        <v>245</v>
      </c>
      <c r="C41" s="53" t="s">
        <v>33</v>
      </c>
    </row>
    <row r="42" spans="1:3">
      <c r="A42" s="53" t="s">
        <v>207</v>
      </c>
      <c r="C42" s="53" t="s">
        <v>169</v>
      </c>
    </row>
    <row r="43" spans="1:3">
      <c r="A43" s="53" t="s">
        <v>171</v>
      </c>
      <c r="C43" s="53" t="s">
        <v>183</v>
      </c>
    </row>
    <row r="44" spans="1:3">
      <c r="A44" s="53" t="s">
        <v>174</v>
      </c>
      <c r="C44" s="53" t="s">
        <v>171</v>
      </c>
    </row>
    <row r="45" spans="1:3">
      <c r="A45" s="53" t="s">
        <v>169</v>
      </c>
      <c r="C45" s="53" t="s">
        <v>250</v>
      </c>
    </row>
    <row r="46" spans="1:3">
      <c r="A46" s="53" t="s">
        <v>246</v>
      </c>
      <c r="C46" s="53" t="s">
        <v>245</v>
      </c>
    </row>
    <row r="47" spans="1:3">
      <c r="A47" s="53"/>
      <c r="B47" s="46"/>
      <c r="C47" s="53" t="s">
        <v>207</v>
      </c>
    </row>
    <row r="48" spans="1:3">
      <c r="A48" s="56" t="s">
        <v>243</v>
      </c>
      <c r="B48" s="47"/>
      <c r="C48" s="53" t="s">
        <v>171</v>
      </c>
    </row>
    <row r="49" spans="1:3">
      <c r="A49" s="53" t="s">
        <v>247</v>
      </c>
      <c r="B49" s="47"/>
      <c r="C49" s="53" t="s">
        <v>174</v>
      </c>
    </row>
    <row r="50" spans="1:3">
      <c r="A50" s="53" t="s">
        <v>200</v>
      </c>
      <c r="B50" s="47"/>
      <c r="C50" s="53" t="s">
        <v>169</v>
      </c>
    </row>
    <row r="51" spans="1:3">
      <c r="A51" s="53" t="s">
        <v>37</v>
      </c>
      <c r="B51" s="47"/>
      <c r="C51" s="53" t="s">
        <v>246</v>
      </c>
    </row>
    <row r="52" spans="1:3">
      <c r="A52" s="47"/>
      <c r="B52" s="47"/>
      <c r="C52" s="53" t="s">
        <v>40</v>
      </c>
    </row>
    <row r="53" spans="1:3">
      <c r="A53" s="56" t="s">
        <v>251</v>
      </c>
      <c r="C53" s="53" t="s">
        <v>38</v>
      </c>
    </row>
    <row r="54" spans="1:3">
      <c r="A54" s="53" t="s">
        <v>245</v>
      </c>
      <c r="C54" s="53" t="s">
        <v>187</v>
      </c>
    </row>
    <row r="55" spans="1:3">
      <c r="A55" s="53" t="s">
        <v>207</v>
      </c>
      <c r="C55" s="53" t="s">
        <v>35</v>
      </c>
    </row>
    <row r="56" spans="1:3">
      <c r="A56" s="53" t="s">
        <v>171</v>
      </c>
      <c r="C56" s="53" t="s">
        <v>182</v>
      </c>
    </row>
    <row r="57" spans="1:3">
      <c r="A57" s="53" t="s">
        <v>174</v>
      </c>
      <c r="C57" s="53" t="s">
        <v>184</v>
      </c>
    </row>
    <row r="58" spans="1:3">
      <c r="A58" s="53" t="s">
        <v>39</v>
      </c>
      <c r="C58" s="53" t="s">
        <v>33</v>
      </c>
    </row>
    <row r="59" spans="1:3">
      <c r="A59" s="53" t="s">
        <v>37</v>
      </c>
      <c r="C59" s="53" t="s">
        <v>169</v>
      </c>
    </row>
    <row r="60" spans="1:3">
      <c r="A60" s="53"/>
      <c r="C60" s="53" t="s">
        <v>183</v>
      </c>
    </row>
    <row r="61" spans="1:3">
      <c r="C61" s="53" t="s">
        <v>171</v>
      </c>
    </row>
    <row r="62" spans="1:3" ht="15" customHeight="1">
      <c r="A62" s="85" t="s">
        <v>254</v>
      </c>
      <c r="C62" s="53" t="s">
        <v>250</v>
      </c>
    </row>
    <row r="63" spans="1:3">
      <c r="A63" s="86"/>
    </row>
    <row r="64" spans="1:3">
      <c r="A64" s="86"/>
      <c r="C64" s="56" t="s">
        <v>181</v>
      </c>
    </row>
    <row r="65" spans="1:3">
      <c r="A65" s="87"/>
      <c r="C65" s="53" t="s">
        <v>179</v>
      </c>
    </row>
    <row r="66" spans="1:3">
      <c r="A66" s="58"/>
      <c r="C66" s="53" t="s">
        <v>180</v>
      </c>
    </row>
    <row r="67" spans="1:3">
      <c r="A67" s="58"/>
      <c r="C67" s="53" t="s">
        <v>37</v>
      </c>
    </row>
    <row r="68" spans="1:3">
      <c r="C68" s="53" t="s">
        <v>174</v>
      </c>
    </row>
    <row r="69" spans="1:3">
      <c r="C69" s="53" t="s">
        <v>200</v>
      </c>
    </row>
  </sheetData>
  <mergeCells count="1">
    <mergeCell ref="A62:A65"/>
  </mergeCells>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topLeftCell="A7" workbookViewId="0">
      <selection activeCell="D38" sqref="D38"/>
    </sheetView>
  </sheetViews>
  <sheetFormatPr defaultRowHeight="12.75"/>
  <cols>
    <col min="1" max="1" width="44.5703125" style="70" bestFit="1" customWidth="1"/>
    <col min="2" max="7" width="9.140625" style="70"/>
    <col min="8" max="8" width="84.42578125" style="70" bestFit="1" customWidth="1"/>
    <col min="9" max="16384" width="9.140625" style="70"/>
  </cols>
  <sheetData>
    <row r="1" spans="1:1" ht="15">
      <c r="A1" s="26" t="s">
        <v>325</v>
      </c>
    </row>
    <row r="2" spans="1:1">
      <c r="A2" s="72" t="s">
        <v>307</v>
      </c>
    </row>
    <row r="3" spans="1:1">
      <c r="A3" s="72" t="s">
        <v>308</v>
      </c>
    </row>
    <row r="4" spans="1:1">
      <c r="A4" s="72" t="s">
        <v>309</v>
      </c>
    </row>
    <row r="5" spans="1:1">
      <c r="A5" s="72" t="s">
        <v>310</v>
      </c>
    </row>
    <row r="6" spans="1:1">
      <c r="A6" s="72" t="s">
        <v>311</v>
      </c>
    </row>
    <row r="7" spans="1:1">
      <c r="A7" s="72" t="s">
        <v>23</v>
      </c>
    </row>
    <row r="8" spans="1:1">
      <c r="A8" s="72" t="s">
        <v>312</v>
      </c>
    </row>
    <row r="9" spans="1:1">
      <c r="A9" s="72" t="s">
        <v>313</v>
      </c>
    </row>
    <row r="10" spans="1:1">
      <c r="A10" s="72" t="s">
        <v>314</v>
      </c>
    </row>
    <row r="11" spans="1:1">
      <c r="A11" s="72" t="s">
        <v>315</v>
      </c>
    </row>
    <row r="12" spans="1:1">
      <c r="A12" s="72" t="s">
        <v>316</v>
      </c>
    </row>
    <row r="13" spans="1:1">
      <c r="A13" s="72" t="s">
        <v>317</v>
      </c>
    </row>
    <row r="14" spans="1:1">
      <c r="A14" s="72" t="s">
        <v>318</v>
      </c>
    </row>
    <row r="15" spans="1:1">
      <c r="A15" s="72" t="s">
        <v>319</v>
      </c>
    </row>
    <row r="16" spans="1:1">
      <c r="A16" s="72" t="s">
        <v>320</v>
      </c>
    </row>
    <row r="17" spans="1:4">
      <c r="A17" s="72" t="s">
        <v>321</v>
      </c>
      <c r="D17" s="71"/>
    </row>
    <row r="18" spans="1:4">
      <c r="A18" s="72" t="s">
        <v>322</v>
      </c>
    </row>
    <row r="19" spans="1:4">
      <c r="A19" s="72" t="s">
        <v>323</v>
      </c>
    </row>
    <row r="20" spans="1:4">
      <c r="A20" s="72" t="s">
        <v>324</v>
      </c>
    </row>
    <row r="22" spans="1:4" ht="15.75">
      <c r="A22" s="26" t="s">
        <v>326</v>
      </c>
    </row>
    <row r="23" spans="1:4">
      <c r="A23" s="72" t="s">
        <v>327</v>
      </c>
    </row>
    <row r="24" spans="1:4">
      <c r="A24" s="73" t="s">
        <v>298</v>
      </c>
    </row>
    <row r="25" spans="1:4">
      <c r="A25" s="72" t="s">
        <v>299</v>
      </c>
    </row>
    <row r="26" spans="1:4">
      <c r="A26" s="72" t="s">
        <v>300</v>
      </c>
    </row>
    <row r="27" spans="1:4">
      <c r="A27" s="72" t="s">
        <v>301</v>
      </c>
    </row>
    <row r="28" spans="1:4">
      <c r="A28" s="72" t="s">
        <v>302</v>
      </c>
    </row>
    <row r="29" spans="1:4">
      <c r="A29" s="72" t="s">
        <v>303</v>
      </c>
    </row>
    <row r="30" spans="1:4">
      <c r="A30" s="72" t="s">
        <v>304</v>
      </c>
    </row>
    <row r="31" spans="1:4">
      <c r="A31" s="72" t="s">
        <v>305</v>
      </c>
    </row>
    <row r="32" spans="1:4">
      <c r="A32" s="72" t="s">
        <v>306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PriceList_NL</vt:lpstr>
      <vt:lpstr>PriceList_FR</vt:lpstr>
      <vt:lpstr>SAM</vt:lpstr>
      <vt:lpstr>Voornaamste uitrusting</vt:lpstr>
      <vt:lpstr>PriceList_FR!Print_Area</vt:lpstr>
      <vt:lpstr>PriceList_NL!Print_Area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De Donder</dc:creator>
  <cp:lastModifiedBy>De Donder, Michael</cp:lastModifiedBy>
  <cp:lastPrinted>2013-06-26T09:41:32Z</cp:lastPrinted>
  <dcterms:created xsi:type="dcterms:W3CDTF">2013-04-28T20:45:37Z</dcterms:created>
  <dcterms:modified xsi:type="dcterms:W3CDTF">2014-03-21T16:54:05Z</dcterms:modified>
</cp:coreProperties>
</file>