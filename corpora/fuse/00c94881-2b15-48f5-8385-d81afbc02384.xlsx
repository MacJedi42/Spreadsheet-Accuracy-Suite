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840" windowWidth="18810" windowHeight="7455"/>
  </bookViews>
  <sheets>
    <sheet name="FY2014 SUMMARY" sheetId="4" r:id="rId1"/>
    <sheet name="District by Cluster" sheetId="5" r:id="rId2"/>
  </sheets>
  <definedNames>
    <definedName name="solver_adj" localSheetId="0" hidden="1">'FY2014 SUMMARY'!$B$3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'FY2014 SUMMARY'!$D$25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'FY2014 SUMMARY'!$D$25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hs1" localSheetId="0" hidden="1">3750000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TitleRegion1.a2.d25.1">'FY2014 SUMMARY'!$A$1</definedName>
    <definedName name="TitleRegion1.a2.o24.2">'District by Cluster'!$D$24</definedName>
    <definedName name="TitleRegion10.a257.o266.2">'District by Cluster'!$A$227</definedName>
    <definedName name="TitleRegion11.a268.o296.2">'District by Cluster'!$A$268</definedName>
    <definedName name="TitleRegion12.a298.o310.2">'District by Cluster'!$A$298</definedName>
    <definedName name="TitleRegion13.a312.o316.2">'District by Cluster'!$A$298</definedName>
    <definedName name="TitleRegion14.a318.o327.2">'District by Cluster'!$A$298</definedName>
    <definedName name="TitleRegion15.a329.o337.2">'District by Cluster'!$A$298</definedName>
    <definedName name="TitleRegion16.a339.o349.2">'District by Cluster'!$A$339</definedName>
    <definedName name="TitleRegion2.a26.o36.2">'District by Cluster'!$D$24</definedName>
    <definedName name="TitleRegion2.f1.i4.1">'FY2014 SUMMARY'!$G$7</definedName>
    <definedName name="TitleRegion3.a38.0101.2">'District by Cluster'!$C$101</definedName>
    <definedName name="TitleRegion4.a103.o124.2">'District by Cluster'!$A$103</definedName>
    <definedName name="TitleRegion5.a126.o169.2">'District by Cluster'!$A$126</definedName>
    <definedName name="TitleRegion6.a171.o188.2">'District by Cluster'!$A$171</definedName>
    <definedName name="TitleRegion7.a190.o225.2">'District by Cluster'!$A$190</definedName>
    <definedName name="TitleRegion8.a227.o242.2">'District by Cluster'!$A$227</definedName>
    <definedName name="TitleRegion9.a244.o255.2">'District by Cluster'!$A$227</definedName>
  </definedNames>
  <calcPr calcId="145621"/>
</workbook>
</file>

<file path=xl/calcChain.xml><?xml version="1.0" encoding="utf-8"?>
<calcChain xmlns="http://schemas.openxmlformats.org/spreadsheetml/2006/main">
  <c r="O344" i="5" l="1"/>
  <c r="O255" i="5"/>
  <c r="O246" i="5"/>
  <c r="O181" i="5"/>
  <c r="O177" i="5"/>
  <c r="O152" i="5"/>
  <c r="O150" i="5"/>
  <c r="I4" i="4" l="1"/>
  <c r="O82" i="5"/>
  <c r="O345" i="5"/>
  <c r="O134" i="5"/>
  <c r="C24" i="4" l="1"/>
  <c r="D24" i="4"/>
  <c r="O349" i="5"/>
  <c r="O347" i="5"/>
  <c r="O346" i="5"/>
  <c r="O343" i="5"/>
  <c r="O342" i="5"/>
  <c r="O341" i="5"/>
  <c r="O337" i="5"/>
  <c r="O336" i="5"/>
  <c r="O335" i="5"/>
  <c r="O334" i="5"/>
  <c r="O333" i="5"/>
  <c r="O332" i="5"/>
  <c r="O331" i="5"/>
  <c r="O327" i="5"/>
  <c r="O326" i="5"/>
  <c r="O325" i="5"/>
  <c r="O324" i="5"/>
  <c r="O323" i="5"/>
  <c r="O322" i="5"/>
  <c r="O321" i="5"/>
  <c r="O320" i="5"/>
  <c r="O316" i="5"/>
  <c r="O315" i="5"/>
  <c r="O314" i="5"/>
  <c r="O310" i="5"/>
  <c r="O309" i="5"/>
  <c r="O308" i="5"/>
  <c r="O307" i="5"/>
  <c r="O306" i="5"/>
  <c r="O305" i="5"/>
  <c r="O304" i="5"/>
  <c r="O303" i="5"/>
  <c r="O302" i="5"/>
  <c r="O301" i="5"/>
  <c r="O300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6" i="5"/>
  <c r="O265" i="5"/>
  <c r="O264" i="5"/>
  <c r="O263" i="5"/>
  <c r="O262" i="5"/>
  <c r="O261" i="5"/>
  <c r="O260" i="5"/>
  <c r="O259" i="5"/>
  <c r="O254" i="5"/>
  <c r="O253" i="5"/>
  <c r="O252" i="5"/>
  <c r="O251" i="5"/>
  <c r="O250" i="5"/>
  <c r="O249" i="5"/>
  <c r="O248" i="5"/>
  <c r="O247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88" i="5"/>
  <c r="O187" i="5"/>
  <c r="O186" i="5"/>
  <c r="O185" i="5"/>
  <c r="O184" i="5"/>
  <c r="O183" i="5"/>
  <c r="O182" i="5"/>
  <c r="O180" i="5"/>
  <c r="O179" i="5"/>
  <c r="O178" i="5"/>
  <c r="O176" i="5"/>
  <c r="O175" i="5"/>
  <c r="O174" i="5"/>
  <c r="O173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1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3" i="5"/>
  <c r="O132" i="5"/>
  <c r="O131" i="5"/>
  <c r="O130" i="5"/>
  <c r="O129" i="5"/>
  <c r="O128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N40" i="5"/>
  <c r="O40" i="5" s="1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36" i="5"/>
  <c r="O35" i="5"/>
  <c r="O34" i="5"/>
  <c r="O33" i="5"/>
  <c r="O32" i="5"/>
  <c r="O31" i="5"/>
  <c r="O30" i="5"/>
  <c r="O29" i="5"/>
  <c r="O28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5" i="5"/>
  <c r="O4" i="5"/>
  <c r="O3" i="5"/>
  <c r="M6" i="5"/>
  <c r="N6" i="5" s="1"/>
  <c r="O6" i="5" s="1"/>
  <c r="L223" i="5"/>
  <c r="L6" i="5"/>
  <c r="O170" i="5" l="1"/>
  <c r="D11" i="4" s="1"/>
  <c r="O226" i="5"/>
  <c r="D13" i="4" s="1"/>
  <c r="O256" i="5"/>
  <c r="D15" i="4" s="1"/>
  <c r="O267" i="5"/>
  <c r="D16" i="4" s="1"/>
  <c r="O297" i="5"/>
  <c r="D17" i="4" s="1"/>
  <c r="O350" i="5"/>
  <c r="D22" i="4" s="1"/>
  <c r="O328" i="5"/>
  <c r="D20" i="4" s="1"/>
  <c r="O189" i="5"/>
  <c r="D12" i="4" s="1"/>
  <c r="O243" i="5"/>
  <c r="D14" i="4" s="1"/>
  <c r="O317" i="5"/>
  <c r="D19" i="4" s="1"/>
  <c r="O338" i="5"/>
  <c r="D21" i="4" s="1"/>
  <c r="O102" i="5"/>
  <c r="D9" i="4" s="1"/>
  <c r="O125" i="5"/>
  <c r="D10" i="4" s="1"/>
  <c r="O311" i="5"/>
  <c r="D18" i="4" s="1"/>
  <c r="O25" i="5"/>
  <c r="D7" i="4" s="1"/>
  <c r="O37" i="5"/>
  <c r="D8" i="4" s="1"/>
  <c r="D23" i="4" l="1"/>
  <c r="D25" i="4" s="1"/>
  <c r="N350" i="5" l="1"/>
  <c r="N338" i="5"/>
  <c r="N328" i="5"/>
  <c r="N317" i="5"/>
  <c r="N311" i="5"/>
  <c r="N297" i="5"/>
  <c r="N267" i="5"/>
  <c r="C16" i="4" s="1"/>
  <c r="C257" i="5"/>
  <c r="N256" i="5"/>
  <c r="N243" i="5"/>
  <c r="N226" i="5"/>
  <c r="C13" i="4" s="1"/>
  <c r="N189" i="5"/>
  <c r="N170" i="5"/>
  <c r="N125" i="5"/>
  <c r="N102" i="5"/>
  <c r="C9" i="4" s="1"/>
  <c r="C38" i="5"/>
  <c r="N37" i="5"/>
  <c r="C171" i="5" l="1"/>
  <c r="C12" i="4"/>
  <c r="C312" i="5"/>
  <c r="C19" i="4"/>
  <c r="C318" i="5"/>
  <c r="C20" i="4"/>
  <c r="C103" i="5"/>
  <c r="C10" i="4"/>
  <c r="C227" i="5"/>
  <c r="C14" i="4"/>
  <c r="C268" i="5"/>
  <c r="C17" i="4"/>
  <c r="C329" i="5"/>
  <c r="C21" i="4"/>
  <c r="C26" i="5"/>
  <c r="C8" i="4"/>
  <c r="C126" i="5"/>
  <c r="C11" i="4"/>
  <c r="C244" i="5"/>
  <c r="C15" i="4"/>
  <c r="C298" i="5"/>
  <c r="C18" i="4"/>
  <c r="C339" i="5"/>
  <c r="C22" i="4"/>
  <c r="C190" i="5"/>
  <c r="N25" i="5"/>
  <c r="C7" i="4" s="1"/>
  <c r="C1" i="5" l="1"/>
  <c r="C23" i="4"/>
  <c r="C25" i="4" s="1"/>
</calcChain>
</file>

<file path=xl/sharedStrings.xml><?xml version="1.0" encoding="utf-8"?>
<sst xmlns="http://schemas.openxmlformats.org/spreadsheetml/2006/main" count="1825" uniqueCount="715">
  <si>
    <t>Cluster Name</t>
  </si>
  <si>
    <t>COOP Costs</t>
  </si>
  <si>
    <t>Maint Costs</t>
  </si>
  <si>
    <t>Total Before E Rate</t>
  </si>
  <si>
    <t>ALEXANDRIA PUBLIC SCHOOL DISTRICT</t>
  </si>
  <si>
    <t>6054</t>
  </si>
  <si>
    <t>OSAKIS PUBLIC SCHOOL DISTRICT</t>
  </si>
  <si>
    <t>PARKERS PRAIRIE PUBLIC SCHOOL DIST.</t>
  </si>
  <si>
    <t>MELROSE PUBLIC SCHOOL DISTRICT</t>
  </si>
  <si>
    <t>SAUK CENTRE PUBLIC SCHOOL DISTRICT</t>
  </si>
  <si>
    <t>ALBANY PUBLIC SCHOOL DISTRICT</t>
  </si>
  <si>
    <t>MINNEWASKA SCHOOL DISTRICT</t>
  </si>
  <si>
    <t>ST. FRANCIS PUBLIC SCHOOL DISTRICT</t>
  </si>
  <si>
    <t>6003</t>
  </si>
  <si>
    <t>NORTH BRANCH PUBLIC SCHOOLS</t>
  </si>
  <si>
    <t>RUSH CITY PUBLIC SCHOOL DISTRICT</t>
  </si>
  <si>
    <t>BRAHAM PUBLIC SCHOOL DISTRICT</t>
  </si>
  <si>
    <t>MORA PUBLIC SCHOOL DISTRICT</t>
  </si>
  <si>
    <t>OGILVIE PUBLIC SCHOOL DISTRICT</t>
  </si>
  <si>
    <t>PRINCETON PUBLIC SCHOOL DISTRICT</t>
  </si>
  <si>
    <t>PINE CITY PUBLIC SCHOOL DISTRICT</t>
  </si>
  <si>
    <t>ELK RIVER PUBLIC SCHOOL DISTRICT</t>
  </si>
  <si>
    <t>CAMBRIDGE-ISANTI PUBLIC SCHOOL DIST</t>
  </si>
  <si>
    <t>MILACA PUBLIC SCHOOL DISTRICT</t>
  </si>
  <si>
    <t>CHISAGO LAKES SCHOOL DISTRICT</t>
  </si>
  <si>
    <t>HINCKLEY-FINLAYSON SCHOOL DISTRICT</t>
  </si>
  <si>
    <t>EAST CENTRAL SCHOOL DISTRICT</t>
  </si>
  <si>
    <t>FRESHWATER ED. DIST.</t>
  </si>
  <si>
    <t>6004</t>
  </si>
  <si>
    <t>MENAHGA PUBLIC SCHOOL DISTRICT</t>
  </si>
  <si>
    <t>STAPLES-MOTLEY SCHOOL DISTRICT</t>
  </si>
  <si>
    <t>EAGLE VALLEY PUBLIC SCHOOL DISTRICT</t>
  </si>
  <si>
    <t>HILL CITY PUBLIC SCHOOL DISTRICT</t>
  </si>
  <si>
    <t>ITASCA AREA SCHOOLS COLLABORATIVE E</t>
  </si>
  <si>
    <t>6070</t>
  </si>
  <si>
    <t>NORTHLAND COMMUNITY SCHOOLS</t>
  </si>
  <si>
    <t>GREENWAY PUBLIC SCHOOL DISTRICT</t>
  </si>
  <si>
    <t>DEER RIVER PUBLIC SCHOOL DISTRICT</t>
  </si>
  <si>
    <t>GRAND RAPIDS PUBLIC SCHOOL DISTRICT</t>
  </si>
  <si>
    <t>NASHWAUK-KEEWATIN SCHOOL DISTRICT</t>
  </si>
  <si>
    <t>FLOODWOOD PUBLIC SCHOOL DISTRICT</t>
  </si>
  <si>
    <t>NEW LONDON-SPICER SCHOOL DISTRICT</t>
  </si>
  <si>
    <t>LITTLE CROW TELE-MEDIA NETWORK</t>
  </si>
  <si>
    <t>6040</t>
  </si>
  <si>
    <t>WILLMAR PUBLIC SCHOOL DISTRICT</t>
  </si>
  <si>
    <t>HUTCHINSON PUBLIC SCHOOL DISTRICT</t>
  </si>
  <si>
    <t>LESTER PRAIRIE PUBLIC SCHOOL DIST.</t>
  </si>
  <si>
    <t>KERKHOVEN-MURDOCK-SUNBURG</t>
  </si>
  <si>
    <t>BUFFALO LK-HECTOR-STEWART PUBLIC SC</t>
  </si>
  <si>
    <t>M.A.C.C.R.A.Y. SCHOOL DISTRICT</t>
  </si>
  <si>
    <t>BELGRADE-BROOTEN-ELROSA SCHOOL DIST</t>
  </si>
  <si>
    <t>BIRD ISLAND-OLIVIA-LAKE LILLIAN</t>
  </si>
  <si>
    <t>GLENCOE-SILVER LAKE SCHOOL DISTRICT</t>
  </si>
  <si>
    <t>MONTEVIDEO PUBLIC SCHOOL DISTRICT</t>
  </si>
  <si>
    <t>MN RIVER VALLEY EDUCATION DISTRICT</t>
  </si>
  <si>
    <t>6018</t>
  </si>
  <si>
    <t>DAWSON-BOYD PUBLIC SCHOOL DISTRICT</t>
  </si>
  <si>
    <t>BENSON PUBLIC SCHOOL DISTRICT</t>
  </si>
  <si>
    <t>LAKEVIEW SCHOOL DISTRICT</t>
  </si>
  <si>
    <t>YELLOW MEDICINE EAST</t>
  </si>
  <si>
    <t>LAC QUI PARLE VALLEY SCHOOL DIST.</t>
  </si>
  <si>
    <t>RENVILLE COUNTY WEST SCHOOL DIST.</t>
  </si>
  <si>
    <t>ORTONVILLE PUBLIC SCHOOLS</t>
  </si>
  <si>
    <t>RANDOLPH PUBLIC SCHOOL DISTRICT</t>
  </si>
  <si>
    <t>CHATFIELD PUBLIC SCHOOLS</t>
  </si>
  <si>
    <t>MABEL-CANTON PUBLIC SCHOOL DIST.</t>
  </si>
  <si>
    <t>RUSHFORD-PETERSON PUBLIC SCHOOLS</t>
  </si>
  <si>
    <t>ALBERT LEA PUBLIC SCHOOL DISTRICT</t>
  </si>
  <si>
    <t>CANNON FALLS PUBLIC SCHOOL DISTRICT</t>
  </si>
  <si>
    <t>PINE ISLAND PUBLIC SCHOOL DIST.</t>
  </si>
  <si>
    <t>RED WING PUBLIC SCHOOL DISTRICT</t>
  </si>
  <si>
    <t>HOUSTON PUBLIC SCHOOL DISTRICT</t>
  </si>
  <si>
    <t>LEROY-OSTRANDER PUBLIC SCHOOLS</t>
  </si>
  <si>
    <t>BYRON PUBLIC SCHOOL DISTRICT</t>
  </si>
  <si>
    <t>DOVER-EYOTA PUBLIC SCHOOL DISTRICT</t>
  </si>
  <si>
    <t>STEWARTVILLE PUBLIC SCHOOL DISTRICT</t>
  </si>
  <si>
    <t>PLAINVIEW-ELGIN-MILLVILLE</t>
  </si>
  <si>
    <t>MCGREGOR PUBLIC SCHOOL DISTRICT</t>
  </si>
  <si>
    <t>REGION 2 - ARCC</t>
  </si>
  <si>
    <t>868</t>
  </si>
  <si>
    <t>BARNUM PUBLIC SCHOOL DISTRICT</t>
  </si>
  <si>
    <t>CLOQUET PUBLIC SCHOOL DISTRICT</t>
  </si>
  <si>
    <t>CROMWELL-WRIGHT PUBLIC SCHOOLS</t>
  </si>
  <si>
    <t>MOOSE LAKE PUBLIC SCHOOL DISTRICT</t>
  </si>
  <si>
    <t>ESKO PUBLIC SCHOOL DISTRICT</t>
  </si>
  <si>
    <t>LITTLEFORK-BIG FALLS SCHOOL DIST.</t>
  </si>
  <si>
    <t>WILLOW RIVER PUBLIC SCHOOL DISTRICT</t>
  </si>
  <si>
    <t>HERMANTOWN PUBLIC SCHOOL DISTRICT</t>
  </si>
  <si>
    <t>AITKIN PUBLIC SCHOOL DISTRICT</t>
  </si>
  <si>
    <t>REGION 3 - CENTRAL</t>
  </si>
  <si>
    <t>867</t>
  </si>
  <si>
    <t>FOLEY PUBLIC SCHOOL DISTRICT</t>
  </si>
  <si>
    <t>BRAINERD PUBLIC SCHOOL DISTRICT</t>
  </si>
  <si>
    <t>CROSBY-IRONTON PUBLIC SCHOOL DIST.</t>
  </si>
  <si>
    <t>PEQUOT LAKES PUBLIC SCHOOLS</t>
  </si>
  <si>
    <t>EDEN VALLEY-WATKINS SCHOOL DISTRICT</t>
  </si>
  <si>
    <t>LITCHFIELD PUBLIC SCHOOL DISTRICT</t>
  </si>
  <si>
    <t>DASSEL-COKATO PUBLIC SCHOOL DIST.</t>
  </si>
  <si>
    <t>BECKER PUBLIC SCHOOL DISTRICT</t>
  </si>
  <si>
    <t>BIG LAKE PUBLIC SCHOOL DISTRICT</t>
  </si>
  <si>
    <t>KIMBALL PUBLIC SCHOOL DISTRICT</t>
  </si>
  <si>
    <t>PAYNESVILLE PUBLIC SCHOOL DISTRICT</t>
  </si>
  <si>
    <t>ST. CLOUD PUBLIC SCHOOL DISTRICT</t>
  </si>
  <si>
    <t>SARTELL-ST. STEPHEN SCHOOL DISTRICT</t>
  </si>
  <si>
    <t>ROCORI PUBLIC SCHOOL DISTRICT</t>
  </si>
  <si>
    <t>DELANO PUBLIC SCHOOL DISTRICT</t>
  </si>
  <si>
    <t>MAPLE LAKE PUBLIC SCHOOL DISTRICT</t>
  </si>
  <si>
    <t>MONTICELLO PUBLIC SCHOOL DISTRICT</t>
  </si>
  <si>
    <t>ROCKFORD PUBLIC SCHOOL DISTRICT</t>
  </si>
  <si>
    <t>PINE RIVER-BACKUS SCHOOL DISTRICT</t>
  </si>
  <si>
    <t>HOWARD LAKE-WAVERLY-WINSTED</t>
  </si>
  <si>
    <t>CARLTON PUBLIC SCHOOL DISTRICT</t>
  </si>
  <si>
    <t>REGION 3 - NORTHEAST SERVICE COOP</t>
  </si>
  <si>
    <t>927</t>
  </si>
  <si>
    <t>COOK COUNTY PUBLIC SCHOOLS</t>
  </si>
  <si>
    <t>INTERNATIONAL FALLS SCHOOL DISTRICT</t>
  </si>
  <si>
    <t>LAKE SUPERIOR PUBLIC SCHOOL DIST.</t>
  </si>
  <si>
    <t>CHISHOLM PUBLIC SCHOOL DISTRICT</t>
  </si>
  <si>
    <t>ELY PUBLIC SCHOOL DISTRICT</t>
  </si>
  <si>
    <t>HIBBING PUBLIC SCHOOL DISTRICT</t>
  </si>
  <si>
    <t>PROCTOR PUBLIC SCHOOL DISTRICT</t>
  </si>
  <si>
    <t>VIRGINIA PUBLIC SCHOOL DISTRICT</t>
  </si>
  <si>
    <t>NETT LAKE PUBLIC SCHOOL DISTRICT</t>
  </si>
  <si>
    <t>DULUTH PUBLIC SCHOOL DISTRICT</t>
  </si>
  <si>
    <t>MOUNTAIN IRON-BUHL SCHOOL DISTRICT</t>
  </si>
  <si>
    <t>ST. LOUIS COUNTY SCHOOL DISTRICT</t>
  </si>
  <si>
    <t>EVELETH-GILBERT SCHOOL DISTRICT</t>
  </si>
  <si>
    <t>MESABI EAST SCHOOL DISTRICT</t>
  </si>
  <si>
    <t>REGION 7 - TIES</t>
  </si>
  <si>
    <t>SOCRATES</t>
  </si>
  <si>
    <t>GOODHUE PUBLIC SCHOOL DISTRICT</t>
  </si>
  <si>
    <t>WASIOJA ED. TECHNOLOGY COOP.</t>
  </si>
  <si>
    <t>6048</t>
  </si>
  <si>
    <t>KENYON-WANAMINGO SCHOOL DISTRICT</t>
  </si>
  <si>
    <t>ZUMBROTA-MAZEPPA SCHOOL DISTRICT</t>
  </si>
  <si>
    <t>Proration Rate</t>
  </si>
  <si>
    <t>PAYMENTS TO TELECOM ACCESS CLUSTERS</t>
  </si>
  <si>
    <t>PAYMENTS TO INDIVIDUAL SCHOOLS</t>
  </si>
  <si>
    <t>Eligible</t>
  </si>
  <si>
    <t>Prorated</t>
  </si>
  <si>
    <t>Cluster</t>
  </si>
  <si>
    <t>Aid Amount</t>
  </si>
  <si>
    <t>NW LINKS (REGION I)</t>
  </si>
  <si>
    <t>REGION 10 - SOUTHEAST SERVICE COOP</t>
  </si>
  <si>
    <t>TOTAL</t>
  </si>
  <si>
    <t>Total for Cluster Members</t>
  </si>
  <si>
    <t>0867-82</t>
  </si>
  <si>
    <t>0868-82</t>
  </si>
  <si>
    <t>0869-82</t>
  </si>
  <si>
    <t>REGION 3-CENTRAL</t>
  </si>
  <si>
    <t>0921-83</t>
  </si>
  <si>
    <t>REGION 7-TIES</t>
  </si>
  <si>
    <t>0925-82</t>
  </si>
  <si>
    <t>REGION 3-NORTHEAST SERVICE COOP</t>
  </si>
  <si>
    <t>0927-83</t>
  </si>
  <si>
    <t>REGION 6 &amp; 8-SW/WC SERVICE COOP</t>
  </si>
  <si>
    <t>0991-83</t>
  </si>
  <si>
    <t>6003-50</t>
  </si>
  <si>
    <t>EAST CENTRAL MN ED</t>
  </si>
  <si>
    <t xml:space="preserve">6004-61 </t>
  </si>
  <si>
    <t>6018-61</t>
  </si>
  <si>
    <t>MN RIVER VALLEY</t>
  </si>
  <si>
    <t>6036-50</t>
  </si>
  <si>
    <t>6040-50</t>
  </si>
  <si>
    <t>6048-50</t>
  </si>
  <si>
    <t>WASIOJA ED. TECH. COOP</t>
  </si>
  <si>
    <t>6054-50</t>
  </si>
  <si>
    <t>CENTRAL MN ED TECH</t>
  </si>
  <si>
    <t>6070-50</t>
  </si>
  <si>
    <t xml:space="preserve">ITASCA AREA </t>
  </si>
  <si>
    <t>6979-61</t>
  </si>
  <si>
    <t>MID STATE ED. DISTRICT</t>
  </si>
  <si>
    <t>Based on FY2013 Actual Costs</t>
  </si>
  <si>
    <t>FY2014 Telecomm Equity Aid</t>
  </si>
  <si>
    <t>REGION 3-CENTRAL 0867-82</t>
  </si>
  <si>
    <t>Dist Num</t>
  </si>
  <si>
    <t>District Or School Name</t>
  </si>
  <si>
    <t>Dist Type</t>
  </si>
  <si>
    <t>Cluster Num</t>
  </si>
  <si>
    <t>Line Lease Before Erate</t>
  </si>
  <si>
    <t>Line Lease After Erate</t>
  </si>
  <si>
    <t>Install Before E Rate</t>
  </si>
  <si>
    <t>Total After E Rate</t>
  </si>
  <si>
    <t>Install After E Rate</t>
  </si>
  <si>
    <t>Total E Rate Discount</t>
  </si>
  <si>
    <t>1</t>
  </si>
  <si>
    <t>0001</t>
  </si>
  <si>
    <t>MINNEAPOLIS PUBLIC SCHOOL</t>
  </si>
  <si>
    <t>51</t>
  </si>
  <si>
    <t>181</t>
  </si>
  <si>
    <t>182</t>
  </si>
  <si>
    <t>186</t>
  </si>
  <si>
    <t>463</t>
  </si>
  <si>
    <t>465</t>
  </si>
  <si>
    <t>466</t>
  </si>
  <si>
    <t>726</t>
  </si>
  <si>
    <t>727</t>
  </si>
  <si>
    <t>739</t>
  </si>
  <si>
    <t>741</t>
  </si>
  <si>
    <t>742</t>
  </si>
  <si>
    <t>748</t>
  </si>
  <si>
    <t>750</t>
  </si>
  <si>
    <t>879</t>
  </si>
  <si>
    <t>881</t>
  </si>
  <si>
    <t>882</t>
  </si>
  <si>
    <t>883</t>
  </si>
  <si>
    <t>2174</t>
  </si>
  <si>
    <t>2687</t>
  </si>
  <si>
    <t>REGION 2-ARCC 0868-82</t>
  </si>
  <si>
    <t>4</t>
  </si>
  <si>
    <t>91</t>
  </si>
  <si>
    <t>94</t>
  </si>
  <si>
    <t>95</t>
  </si>
  <si>
    <t>99</t>
  </si>
  <si>
    <t>362</t>
  </si>
  <si>
    <t>577</t>
  </si>
  <si>
    <t>696</t>
  </si>
  <si>
    <t>700</t>
  </si>
  <si>
    <t>REGION 1-NWLINKS 0869-82</t>
  </si>
  <si>
    <t>23</t>
  </si>
  <si>
    <t>FRAZEE-VERGAS PUBLIC SCHOOL DIST.</t>
  </si>
  <si>
    <t>REGION 1 - NWLinks</t>
  </si>
  <si>
    <t>0869</t>
  </si>
  <si>
    <t>25</t>
  </si>
  <si>
    <t>PINE POINT PUBLIC SCHOOL DISTRICT</t>
  </si>
  <si>
    <t>869</t>
  </si>
  <si>
    <t>32</t>
  </si>
  <si>
    <t>BLACKDUCK PUBLIC SCHOOL DISTRICT</t>
  </si>
  <si>
    <t>36</t>
  </si>
  <si>
    <t>KELLIHER PUBLIC SCHOOL DISTRICT</t>
  </si>
  <si>
    <t>38</t>
  </si>
  <si>
    <t>RED LAKE PUBLIC SCHOOL DISTRICT</t>
  </si>
  <si>
    <t>113</t>
  </si>
  <si>
    <t>WALKER-HACKENSACK-AKELEY SCHL. DIST</t>
  </si>
  <si>
    <t>146</t>
  </si>
  <si>
    <t>BARNESVILLE PUBLIC SCHOOL DIST.</t>
  </si>
  <si>
    <t>150</t>
  </si>
  <si>
    <t>HAWLEY PUBLIC SCHOOL DISTRICT</t>
  </si>
  <si>
    <t>152</t>
  </si>
  <si>
    <t>MOORHEAD PUBLIC SCHOOL DISTRICT</t>
  </si>
  <si>
    <t>162</t>
  </si>
  <si>
    <t>BAGLEY PUBLIC SCHOOL DISTRICT</t>
  </si>
  <si>
    <t>261</t>
  </si>
  <si>
    <t>ASHBY PUBLIC SCHOOL DISTRICT</t>
  </si>
  <si>
    <t>264</t>
  </si>
  <si>
    <t>HERMAN-NORCROSS SCHOOL DISTRICT</t>
  </si>
  <si>
    <t>308</t>
  </si>
  <si>
    <t>NEVIS PUBLIC SCHOOL DISTRICT</t>
  </si>
  <si>
    <t>309</t>
  </si>
  <si>
    <t>PARK RAPIDS PUBLIC SCHOOL DISTRICT</t>
  </si>
  <si>
    <t>356</t>
  </si>
  <si>
    <t>LANCASTER PUBLIC SCHOOL DISTRICT</t>
  </si>
  <si>
    <t>363</t>
  </si>
  <si>
    <t>SOUTH KOOCHICHING SCHOOL DISTRICT</t>
  </si>
  <si>
    <t>390</t>
  </si>
  <si>
    <t>LAKE OF THE WOODS SCHOOL DISTRICT</t>
  </si>
  <si>
    <t>432</t>
  </si>
  <si>
    <t>MAHNOMEN PUBLIC SCHOOL DISTRICT</t>
  </si>
  <si>
    <t>435</t>
  </si>
  <si>
    <t>WAUBUN-OGEMA-WHITE EARTH PUBLIC SCH</t>
  </si>
  <si>
    <t>441</t>
  </si>
  <si>
    <t>MARSHALL COUNTY CENTRAL SCHOOLS</t>
  </si>
  <si>
    <t>447</t>
  </si>
  <si>
    <t>GRYGLA PUBLIC SCHOOL DISTRICT</t>
  </si>
  <si>
    <t>542</t>
  </si>
  <si>
    <t>BATTLE LAKE PUBLIC SCHOOL DISTRICT</t>
  </si>
  <si>
    <t>544</t>
  </si>
  <si>
    <t>FERGUS FALLS PUBLIC SCHOOL DISTRICT</t>
  </si>
  <si>
    <t>548</t>
  </si>
  <si>
    <t>PELICAN RAPIDS PUBLIC SCHOOL DIST.</t>
  </si>
  <si>
    <t>549</t>
  </si>
  <si>
    <t>PERHAM-DENT PUBLIC SCHOOL DISTRICT</t>
  </si>
  <si>
    <t>550</t>
  </si>
  <si>
    <t>UNDERWOOD PUBLIC SCHOOL DISTRICT</t>
  </si>
  <si>
    <t>553</t>
  </si>
  <si>
    <t>NEW YORK MILLS PUBLIC SCHOOL DIST.</t>
  </si>
  <si>
    <t>561</t>
  </si>
  <si>
    <t>GOODRIDGE PUBLIC SCHOOL DISTRICT</t>
  </si>
  <si>
    <t>564</t>
  </si>
  <si>
    <t>THIEF RIVER FALLS SCHOOL DISTRICT</t>
  </si>
  <si>
    <t>CLIMAX-SHELLY PUBLIC SCHOOLS</t>
  </si>
  <si>
    <t>593</t>
  </si>
  <si>
    <t>CROOKSTON PUBLIC SCHOOL DISTRICT</t>
  </si>
  <si>
    <t>595</t>
  </si>
  <si>
    <t>EAST GRAND FORKS PUBLIC SCHOOL DIST</t>
  </si>
  <si>
    <t>599</t>
  </si>
  <si>
    <t>FERTILE-BELTRAMI SCHOOL DISTRICT</t>
  </si>
  <si>
    <t>600</t>
  </si>
  <si>
    <t>FISHER PUBLIC SCHOOL DISTRICT</t>
  </si>
  <si>
    <t>601</t>
  </si>
  <si>
    <t>FOSSTON PUBLIC SCHOOL DISTRICT</t>
  </si>
  <si>
    <t>630</t>
  </si>
  <si>
    <t>RED LAKE FALLS PUBLIC SCHOOL DIST.</t>
  </si>
  <si>
    <t>676</t>
  </si>
  <si>
    <t>BADGER PUBLIC SCHOOL DISTRICT</t>
  </si>
  <si>
    <t>682</t>
  </si>
  <si>
    <t>ROSEAU PUBLIC SCHOOL DISTRICT</t>
  </si>
  <si>
    <t>690</t>
  </si>
  <si>
    <t>WARROAD PUBLIC SCHOOL DISTRICT</t>
  </si>
  <si>
    <t>768</t>
  </si>
  <si>
    <t>HANCOCK PUBLIC SCHOOL DISTRICT</t>
  </si>
  <si>
    <t>771</t>
  </si>
  <si>
    <t>CHOKIO-ALBERTA PUBLIC SCHOOL DIST.</t>
  </si>
  <si>
    <t>801</t>
  </si>
  <si>
    <t>BROWNS VALLEY PUBLIC SCHOOL DIST.</t>
  </si>
  <si>
    <t>WHEATON AREA PUBLIC SCHOOL DISTRICT</t>
  </si>
  <si>
    <t>846</t>
  </si>
  <si>
    <t>BRECKENRIDGE PUBLIC SCHOOL DISTRICT</t>
  </si>
  <si>
    <t>850</t>
  </si>
  <si>
    <t>ROTHSAY PUBLIC SCHOOL DISTRICT</t>
  </si>
  <si>
    <t>852</t>
  </si>
  <si>
    <t>CAMPBELL-TINTAH PUBLIC SCHOOL DIST.</t>
  </si>
  <si>
    <t>914</t>
  </si>
  <si>
    <t>ULEN-HITTERDAL PUBLIC SCHOOL DIST</t>
  </si>
  <si>
    <t>2164</t>
  </si>
  <si>
    <t>DILWORTH-GLYNDON-FELTON</t>
  </si>
  <si>
    <t>2171</t>
  </si>
  <si>
    <t>KITTSON CENTRAL SCHOOL DISTRICT</t>
  </si>
  <si>
    <t>2176</t>
  </si>
  <si>
    <t>WARREN-ALVARADO-OSLO SCHOOL DIST.</t>
  </si>
  <si>
    <t>2215</t>
  </si>
  <si>
    <t>NORMAN COUNTY EAST SCHOOL DISTRICT</t>
  </si>
  <si>
    <t>2311</t>
  </si>
  <si>
    <t>CLEARBROOK-GONVICK SCHOOL DISTRICT</t>
  </si>
  <si>
    <t>2358</t>
  </si>
  <si>
    <t>TRI-COUNTY SCHOOL DISTRICT</t>
  </si>
  <si>
    <t>2527</t>
  </si>
  <si>
    <t>NORMAN COUNTY WEST SCHOOL DISTRICT</t>
  </si>
  <si>
    <t>2609</t>
  </si>
  <si>
    <t>WIN-E-MAC SCHOOL DISTRICT</t>
  </si>
  <si>
    <t>2683</t>
  </si>
  <si>
    <t>GREENBUSH-MIDDLE RIVER SCHOOL DIST.</t>
  </si>
  <si>
    <t>2769</t>
  </si>
  <si>
    <t>MORRIS AREA PUBLIC SCHOOLS</t>
  </si>
  <si>
    <t>2854</t>
  </si>
  <si>
    <t>ADA-BORUP PUBLIC SCHOOL DISTRICT</t>
  </si>
  <si>
    <t>2856</t>
  </si>
  <si>
    <t>STEPHEN-ARGYLE CENTRAL SCHOOLS</t>
  </si>
  <si>
    <t>2888</t>
  </si>
  <si>
    <t>CLINTON-GRACEVILLE-BEARDSLEY</t>
  </si>
  <si>
    <t>2889</t>
  </si>
  <si>
    <t>LAKE PARK AUDUBON SCHOOL DISTRICT</t>
  </si>
  <si>
    <t>2906</t>
  </si>
  <si>
    <t>RED LAKE COUNTY CENTRAL PUBLIC SCH</t>
  </si>
  <si>
    <t>REGION 10-SOUTHEAST SERVICE COOP 0921-83</t>
  </si>
  <si>
    <t>255</t>
  </si>
  <si>
    <t>294</t>
  </si>
  <si>
    <t>531</t>
  </si>
  <si>
    <t>533</t>
  </si>
  <si>
    <t>227</t>
  </si>
  <si>
    <t>229</t>
  </si>
  <si>
    <t>LANESBORO PUBLIC SCHOOL DISTRICT</t>
  </si>
  <si>
    <t>238</t>
  </si>
  <si>
    <t>239</t>
  </si>
  <si>
    <t>252</t>
  </si>
  <si>
    <t>256</t>
  </si>
  <si>
    <t>495</t>
  </si>
  <si>
    <t>GRAND MEADOW PUBLIC SCHOOL DISTRICT</t>
  </si>
  <si>
    <t>497</t>
  </si>
  <si>
    <t>LYLE PUBLIC SCHOOL DISTRICT</t>
  </si>
  <si>
    <t>499</t>
  </si>
  <si>
    <t>500</t>
  </si>
  <si>
    <t>SOUTHLAND PUBLIC SCHOOL DISTRICT</t>
  </si>
  <si>
    <t>534</t>
  </si>
  <si>
    <t>656</t>
  </si>
  <si>
    <t>FARIBAULT PUBLIC SCHOOL DISTRICT</t>
  </si>
  <si>
    <t>813</t>
  </si>
  <si>
    <t>LAKE CITY PUBLIC SCHOOL DISTRICT</t>
  </si>
  <si>
    <t>2137</t>
  </si>
  <si>
    <t>KINGSLAND PUBLIC SCHOOL DISTRICT</t>
  </si>
  <si>
    <t>2886</t>
  </si>
  <si>
    <t>GLENVILLE-EMMONS SCHOOL DISTRICT</t>
  </si>
  <si>
    <t>2899</t>
  </si>
  <si>
    <t>REGION 7-TIES 0925-82</t>
  </si>
  <si>
    <t>6</t>
  </si>
  <si>
    <t>SOUTH ST. PAUL PUBLIC SCHOOL DIST.</t>
  </si>
  <si>
    <t>3</t>
  </si>
  <si>
    <t>925</t>
  </si>
  <si>
    <t>11</t>
  </si>
  <si>
    <t>ANOKA-HENNEPIN PUBLIC SCHOOL DIST.</t>
  </si>
  <si>
    <t>12</t>
  </si>
  <si>
    <t>CENTENNIAL PUBLIC SCHOOL DISTRICT</t>
  </si>
  <si>
    <t>13</t>
  </si>
  <si>
    <t>COLUMBIA HEIGHTS PUBLIC SCHOOL DIST</t>
  </si>
  <si>
    <t>14</t>
  </si>
  <si>
    <t>FRIDLEY PUBLIC SCHOOL DISTRICT</t>
  </si>
  <si>
    <t>16</t>
  </si>
  <si>
    <t>SPRING LAKE PARK PUBLIC SCHOOLS</t>
  </si>
  <si>
    <t>191</t>
  </si>
  <si>
    <t>BURNSVILLE PUBLIC SCHOOL DISTRICT</t>
  </si>
  <si>
    <t>194</t>
  </si>
  <si>
    <t>LAKEVILLE PUBLIC SCHOOL DISTRICT</t>
  </si>
  <si>
    <t>195</t>
  </si>
  <si>
    <t>196</t>
  </si>
  <si>
    <t>ROSEMOUNT-APPLE VALLEY-EAGAN</t>
  </si>
  <si>
    <t>197</t>
  </si>
  <si>
    <t>WEST ST. PAUL-MENDOTA HTS.-EAGAN</t>
  </si>
  <si>
    <t>199</t>
  </si>
  <si>
    <t>INVER GROVE HEIGHTS SCHOOLS</t>
  </si>
  <si>
    <t>200</t>
  </si>
  <si>
    <t>HASTINGS PUBLIC SCHOOL DISTRICT</t>
  </si>
  <si>
    <t>241</t>
  </si>
  <si>
    <t>270</t>
  </si>
  <si>
    <t>HOPKINS PUBLIC SCHOOL DISTRICT</t>
  </si>
  <si>
    <t>271</t>
  </si>
  <si>
    <t>BLOOMINGTON PUBLIC SCHOOL DISTRICT</t>
  </si>
  <si>
    <t>272</t>
  </si>
  <si>
    <t>EDEN PRAIRIE PUBLIC SCHOOL DISTRICT</t>
  </si>
  <si>
    <t>273</t>
  </si>
  <si>
    <t>EDINA PUBLIC SCHOOL DISTRICT</t>
  </si>
  <si>
    <t>276</t>
  </si>
  <si>
    <t>MINNETONKA PUBLIC SCHOOL DISTRICT</t>
  </si>
  <si>
    <t>277</t>
  </si>
  <si>
    <t>WESTONKA PUBLIC SCHOOL DISTRICT</t>
  </si>
  <si>
    <t>278</t>
  </si>
  <si>
    <t>ORONO PUBLIC SCHOOL DISTRICT</t>
  </si>
  <si>
    <t>279</t>
  </si>
  <si>
    <t>OSSEO PUBLIC SCHOOL DISTRICT</t>
  </si>
  <si>
    <t>280</t>
  </si>
  <si>
    <t>RICHFIELD PUBLIC SCHOOL DISTRICT</t>
  </si>
  <si>
    <t>281</t>
  </si>
  <si>
    <t>ROBBINSDALE PUBLIC SCHOOL DISTRICT</t>
  </si>
  <si>
    <t>282</t>
  </si>
  <si>
    <t>ST. ANTHONY-NEW BRIGHTON SCHOOLS</t>
  </si>
  <si>
    <t>283</t>
  </si>
  <si>
    <t>ST. LOUIS PARK PUBLIC SCHOOL DIST.</t>
  </si>
  <si>
    <t>284</t>
  </si>
  <si>
    <t>WAYZATA PUBLIC SCHOOL DISTRICT</t>
  </si>
  <si>
    <t>286</t>
  </si>
  <si>
    <t>BROOKLYN CENTER SCHOOL DISTRICT</t>
  </si>
  <si>
    <t>535</t>
  </si>
  <si>
    <t>ROCHESTER PUBLIC SCHOOL DISTRICT</t>
  </si>
  <si>
    <t>621</t>
  </si>
  <si>
    <t>MOUNDS VIEW PUBLIC SCHOOL DISTRICT</t>
  </si>
  <si>
    <t>622</t>
  </si>
  <si>
    <t>NORTH ST PAUL-MAPLEWOOD OAKDALE DIS</t>
  </si>
  <si>
    <t>623</t>
  </si>
  <si>
    <t>ROSEVILLE PUBLIC SCHOOL DISTRICT</t>
  </si>
  <si>
    <t>659</t>
  </si>
  <si>
    <t>NORTHFIELD PUBLIC SCHOOL DISTRICT</t>
  </si>
  <si>
    <t>717</t>
  </si>
  <si>
    <t>JORDAN PUBLIC SCHOOL DISTRICT</t>
  </si>
  <si>
    <t>721</t>
  </si>
  <si>
    <t>NEW PRAGUE AREA SCHOOLS</t>
  </si>
  <si>
    <t>831</t>
  </si>
  <si>
    <t>FOREST LAKE PUBLIC SCHOOL DISTRICT</t>
  </si>
  <si>
    <t>832</t>
  </si>
  <si>
    <t>MAHTOMEDI PUBLIC SCHOOL DISTRICT</t>
  </si>
  <si>
    <t>833</t>
  </si>
  <si>
    <t>SOUTH WASHINGTON COUNTY SCHOOL DIST</t>
  </si>
  <si>
    <t>834</t>
  </si>
  <si>
    <t>STILLWATER AREA PUBLIC SCHOOL DIST.</t>
  </si>
  <si>
    <t>877</t>
  </si>
  <si>
    <t>BUFFALO-HANOVER-MONTROSE PUBLIC SCH</t>
  </si>
  <si>
    <t>885</t>
  </si>
  <si>
    <t>ST. MICHAEL-ALBERTVILLE SCHOOL DIST</t>
  </si>
  <si>
    <t>4116</t>
  </si>
  <si>
    <t>LAKES INTERNATIONAL LANGUAGE ADMY</t>
  </si>
  <si>
    <t>7</t>
  </si>
  <si>
    <t>REGION 3-NORTHEAST SERVICE COOP 0927-83</t>
  </si>
  <si>
    <t>93</t>
  </si>
  <si>
    <t>97</t>
  </si>
  <si>
    <t>100</t>
  </si>
  <si>
    <t>WRENSHALL PUBLIC SCHOOL DISTRICT</t>
  </si>
  <si>
    <t>166</t>
  </si>
  <si>
    <t>381</t>
  </si>
  <si>
    <t>695</t>
  </si>
  <si>
    <t>701</t>
  </si>
  <si>
    <t>704</t>
  </si>
  <si>
    <t>706</t>
  </si>
  <si>
    <t>707</t>
  </si>
  <si>
    <t>709</t>
  </si>
  <si>
    <t>712</t>
  </si>
  <si>
    <t>2142</t>
  </si>
  <si>
    <t>2154</t>
  </si>
  <si>
    <t>2711</t>
  </si>
  <si>
    <t>REGION 6 &amp; 8-SW/WC SERIVCE COOP 0991-83</t>
  </si>
  <si>
    <t>81</t>
  </si>
  <si>
    <t>COMFREY PUBLIC SCHOOL DISTRICT</t>
  </si>
  <si>
    <t>REGN 6 AND 8-SW/WC SRV COOPERATIVE</t>
  </si>
  <si>
    <t>991</t>
  </si>
  <si>
    <t>84</t>
  </si>
  <si>
    <t>SLEEPY EYE PUBLIC SCHOOL DISTRICT</t>
  </si>
  <si>
    <t>85</t>
  </si>
  <si>
    <t>SPRINGFIELD PUBLIC SCHOOL DISTRICT</t>
  </si>
  <si>
    <t>173</t>
  </si>
  <si>
    <t>MOUNTAIN LAKE PUBLIC SCHOOLS</t>
  </si>
  <si>
    <t>177</t>
  </si>
  <si>
    <t>WINDOM PUBLIC SCHOOL DISTRICT</t>
  </si>
  <si>
    <t>330</t>
  </si>
  <si>
    <t>HERON LAKE-OKABENA SCHOOL DISTRICT</t>
  </si>
  <si>
    <t>402</t>
  </si>
  <si>
    <t>HENDRICKS PUBLIC SCHOOL DISTRICT</t>
  </si>
  <si>
    <t>403</t>
  </si>
  <si>
    <t>IVANHOE PUBLIC SCHOOL DISTRICT</t>
  </si>
  <si>
    <t>404</t>
  </si>
  <si>
    <t>LAKE BENTON PUBLIC SCHOOL DISTRICT</t>
  </si>
  <si>
    <t>413</t>
  </si>
  <si>
    <t>MARSHALL PUBLIC SCHOOL DISTRICT</t>
  </si>
  <si>
    <t>414</t>
  </si>
  <si>
    <t>MINNEOTA PUBLIC SCHOOL DISTRICT</t>
  </si>
  <si>
    <t>415</t>
  </si>
  <si>
    <t>LYND PUBLIC SCHOOL DISTRICT</t>
  </si>
  <si>
    <t>505</t>
  </si>
  <si>
    <t>FULDA PUBLIC SCHOOL DISTRICT</t>
  </si>
  <si>
    <t>511</t>
  </si>
  <si>
    <t>ADRIAN PUBLIC SCHOOL DISTRICT</t>
  </si>
  <si>
    <t>514</t>
  </si>
  <si>
    <t>ELLSWORTH PUBLIC SCHOOL DISTRICT</t>
  </si>
  <si>
    <t>518</t>
  </si>
  <si>
    <t>WORTHINGTON PUBLIC SCHOOL DISTRICT</t>
  </si>
  <si>
    <t>581</t>
  </si>
  <si>
    <t>EDGERTON PUBLIC SCHOOL DISTRICT</t>
  </si>
  <si>
    <t>635</t>
  </si>
  <si>
    <t>MILROY PUBLIC SCHOOL DISTRICT</t>
  </si>
  <si>
    <t>640</t>
  </si>
  <si>
    <t>WABASSO PUBLIC SCHOOL DISTRICT</t>
  </si>
  <si>
    <t>671</t>
  </si>
  <si>
    <t>HILLS-BEAVER CREEK SCHOOL DISTRICT</t>
  </si>
  <si>
    <t>891</t>
  </si>
  <si>
    <t>CANBY PUBLIC SCHOOL DISTRICT</t>
  </si>
  <si>
    <t>2169</t>
  </si>
  <si>
    <t>MURRAY COUNTY CENTRAL SCHOOL DIST.</t>
  </si>
  <si>
    <t>2184</t>
  </si>
  <si>
    <t>LUVERNE PUBLIC SCHOOL DISTRICT</t>
  </si>
  <si>
    <t>2689</t>
  </si>
  <si>
    <t>PIPESTONE AREA SCHOOL DISTRICT</t>
  </si>
  <si>
    <t>2754</t>
  </si>
  <si>
    <t>CEDAR MOUNTAIN SCHOOL DISTRICT</t>
  </si>
  <si>
    <t>2884</t>
  </si>
  <si>
    <t>RED ROCK CENTRAL SCHOOL DISTRICT</t>
  </si>
  <si>
    <t>2895</t>
  </si>
  <si>
    <t>JACKSON COUNTY CENTRAL SCHOOL DIST.</t>
  </si>
  <si>
    <t>2897</t>
  </si>
  <si>
    <t>REDWOOD AREA SCHOOL DISTRICT</t>
  </si>
  <si>
    <t>2898</t>
  </si>
  <si>
    <t>WESTBROOK-WALNUT GROVE SCHOOLS</t>
  </si>
  <si>
    <t>2902</t>
  </si>
  <si>
    <t>RTR PUBLIC SCHOOLS</t>
  </si>
  <si>
    <t>2904</t>
  </si>
  <si>
    <t>TRACY AREA PUBLIC SCHOOL DISTRICT</t>
  </si>
  <si>
    <t>2907</t>
  </si>
  <si>
    <t>ROUND LAKE-BREWSTER PUBLIC SCHOOLS</t>
  </si>
  <si>
    <t>4026</t>
  </si>
  <si>
    <t>E.C.H.O. CHARTER SCHOOL</t>
  </si>
  <si>
    <t>4138</t>
  </si>
  <si>
    <t>MILROY AREA CHARTER SCHOOL</t>
  </si>
  <si>
    <t>EAST CENTRAL MN ED CABLE COOP 6003-50</t>
  </si>
  <si>
    <t>15</t>
  </si>
  <si>
    <t>EAST CENTRAL MN ED. CABLE COOP.</t>
  </si>
  <si>
    <t>138</t>
  </si>
  <si>
    <t>139</t>
  </si>
  <si>
    <t>314</t>
  </si>
  <si>
    <t>332</t>
  </si>
  <si>
    <t>333</t>
  </si>
  <si>
    <t>477</t>
  </si>
  <si>
    <t>578</t>
  </si>
  <si>
    <t>728</t>
  </si>
  <si>
    <t>911</t>
  </si>
  <si>
    <t>912</t>
  </si>
  <si>
    <t>2144</t>
  </si>
  <si>
    <t>2165</t>
  </si>
  <si>
    <t>2580</t>
  </si>
  <si>
    <t>FRESHWATER ED DIST  6004-61</t>
  </si>
  <si>
    <t>116</t>
  </si>
  <si>
    <t>PILLAGER PUBLIC SCHOOL DISTRICT</t>
  </si>
  <si>
    <t>545</t>
  </si>
  <si>
    <t>HENNING PUBLIC SCHOOL DISTRICT</t>
  </si>
  <si>
    <t>786</t>
  </si>
  <si>
    <t>BERTHA-HEWITT PUBLIC SCHOOL DIST.</t>
  </si>
  <si>
    <t>787</t>
  </si>
  <si>
    <t>BROWERVILLE PUBLIC SCHOOL DISTRICT</t>
  </si>
  <si>
    <t>818</t>
  </si>
  <si>
    <t>VERNDALE PUBLIC SCHOOL DISTRICT</t>
  </si>
  <si>
    <t>820</t>
  </si>
  <si>
    <t>SEBEKA PUBLIC SCHOOL DISTRICT</t>
  </si>
  <si>
    <t>821</t>
  </si>
  <si>
    <t>2155</t>
  </si>
  <si>
    <t>WADENA-DEER CREEK SCHOOL DISTRICT</t>
  </si>
  <si>
    <t>2170</t>
  </si>
  <si>
    <t>2759</t>
  </si>
  <si>
    <t>MN RIVER VALLEY  6018-61</t>
  </si>
  <si>
    <t>129</t>
  </si>
  <si>
    <t>378</t>
  </si>
  <si>
    <t>777</t>
  </si>
  <si>
    <t>2167</t>
  </si>
  <si>
    <t>2190</t>
  </si>
  <si>
    <t>2853</t>
  </si>
  <si>
    <t>2890</t>
  </si>
  <si>
    <t>2903</t>
  </si>
  <si>
    <t>SOCRATES  6036-50</t>
  </si>
  <si>
    <t>75</t>
  </si>
  <si>
    <t>ST. CLAIR PUBLIC SCHOOL DISTRICT</t>
  </si>
  <si>
    <t>6036</t>
  </si>
  <si>
    <t>77</t>
  </si>
  <si>
    <t>MANKATO PUBLIC SCHOOL DISTRICT</t>
  </si>
  <si>
    <t>88</t>
  </si>
  <si>
    <t>NEW ULM PUBLIC SCHOOL DISTRICT</t>
  </si>
  <si>
    <t>242</t>
  </si>
  <si>
    <t>ALDEN-CONGER PUBLIC SCHOOL DISTRICT</t>
  </si>
  <si>
    <t>391</t>
  </si>
  <si>
    <t>CLEVELAND PUBLIC SCHOOL DISTRICT</t>
  </si>
  <si>
    <t>458</t>
  </si>
  <si>
    <t>TRUMAN PUBLIC SCHOOL DISTRICT</t>
  </si>
  <si>
    <t>507</t>
  </si>
  <si>
    <t>NICOLLET PUBLIC SCHOOL DISTRICT</t>
  </si>
  <si>
    <t>508</t>
  </si>
  <si>
    <t>ST. PETER PUBLIC SCHOOL DISTRICT</t>
  </si>
  <si>
    <t>716</t>
  </si>
  <si>
    <t>BELLE PLAINE PUBLIC SCHOOL DISTRICT</t>
  </si>
  <si>
    <t>829</t>
  </si>
  <si>
    <t>WASECA PUBLIC SCHOOL DISTRICT</t>
  </si>
  <si>
    <t>837</t>
  </si>
  <si>
    <t>MADELIA PUBLIC SCHOOL DISTRICT</t>
  </si>
  <si>
    <t>840</t>
  </si>
  <si>
    <t>ST. JAMES PUBLIC SCHOOL DISTRICT</t>
  </si>
  <si>
    <t>2071</t>
  </si>
  <si>
    <t>LAKE CRYSTAL-WELLCOME MEMORIAL</t>
  </si>
  <si>
    <t>2134</t>
  </si>
  <si>
    <t>UNITED SOUTH CENTRAL SCHOOL DIST.</t>
  </si>
  <si>
    <t>2135</t>
  </si>
  <si>
    <t>MAPLE RIVER SCHOOL DISTRICT</t>
  </si>
  <si>
    <t>2143</t>
  </si>
  <si>
    <t>WATERVILLE-ELYSIAN-MORRISTOWN</t>
  </si>
  <si>
    <t>2168</t>
  </si>
  <si>
    <t>NRHEG SCHOOL DISTRICT</t>
  </si>
  <si>
    <t>2310</t>
  </si>
  <si>
    <t>SIBLEY EAST SCHOOL DISTRICT</t>
  </si>
  <si>
    <t>2365</t>
  </si>
  <si>
    <t>G.F.W.</t>
  </si>
  <si>
    <t>2397</t>
  </si>
  <si>
    <t>LE SUEUR-HENDERSON SCHOOL DISTRICT</t>
  </si>
  <si>
    <t>2448</t>
  </si>
  <si>
    <t>MARTIN COUNTY WEST SCHOOL DISTRICT</t>
  </si>
  <si>
    <t>2536</t>
  </si>
  <si>
    <t>GRANADA HUNTLEY-EAST CHAIN</t>
  </si>
  <si>
    <t>2752</t>
  </si>
  <si>
    <t>FAIRMONT AREA SCHOOL DISTRICT</t>
  </si>
  <si>
    <t>2835</t>
  </si>
  <si>
    <t>JANESVILLE-WALDORF-PEMBERTON</t>
  </si>
  <si>
    <t>2860</t>
  </si>
  <si>
    <t>BLUE EARTH AREA PUBLIC SCHOOL</t>
  </si>
  <si>
    <t>2905</t>
  </si>
  <si>
    <t>TRI-CITY UNITED SCHOOL DISTRICT</t>
  </si>
  <si>
    <t>4127</t>
  </si>
  <si>
    <t>TEAM ACADEMY</t>
  </si>
  <si>
    <t>LITTLE CROW TELE-MEDIA  6040-50</t>
  </si>
  <si>
    <t>345</t>
  </si>
  <si>
    <t>347</t>
  </si>
  <si>
    <t>423</t>
  </si>
  <si>
    <t>424</t>
  </si>
  <si>
    <t>775</t>
  </si>
  <si>
    <t>2159</t>
  </si>
  <si>
    <t>2180</t>
  </si>
  <si>
    <t>2364</t>
  </si>
  <si>
    <t>2396</t>
  </si>
  <si>
    <t>A.C.G.C. PUBLIC SCHOOL DISTRICT</t>
  </si>
  <si>
    <t>2534</t>
  </si>
  <si>
    <t>2859</t>
  </si>
  <si>
    <t>WASIOJA ED TECH COOP  6048-50</t>
  </si>
  <si>
    <t>253</t>
  </si>
  <si>
    <t>2172</t>
  </si>
  <si>
    <t>2805</t>
  </si>
  <si>
    <t>CENTRAL MN ED TELECOMM  6054-50</t>
  </si>
  <si>
    <t>206</t>
  </si>
  <si>
    <t>CENTRAL MN ED TELECOM SYSTEM</t>
  </si>
  <si>
    <t>213</t>
  </si>
  <si>
    <t>547</t>
  </si>
  <si>
    <t>740</t>
  </si>
  <si>
    <t>743</t>
  </si>
  <si>
    <t>745</t>
  </si>
  <si>
    <t>2149</t>
  </si>
  <si>
    <t>2908</t>
  </si>
  <si>
    <t>BRANDON-EVANSVILLE PUBLIC SCHOOLS</t>
  </si>
  <si>
    <t>ITASCA AREA   6070-50</t>
  </si>
  <si>
    <t>2</t>
  </si>
  <si>
    <t>118</t>
  </si>
  <si>
    <t>316</t>
  </si>
  <si>
    <t>317</t>
  </si>
  <si>
    <t>318</t>
  </si>
  <si>
    <t>319</t>
  </si>
  <si>
    <t>698</t>
  </si>
  <si>
    <t>MID STATE ED DISTRICT   6979-61</t>
  </si>
  <si>
    <t>473</t>
  </si>
  <si>
    <t>ISLE PUBLIC SCHOOL DISTRICT</t>
  </si>
  <si>
    <t>MID STATE EDUCATION DISTRICT</t>
  </si>
  <si>
    <t>6979</t>
  </si>
  <si>
    <t>480</t>
  </si>
  <si>
    <t>ONAMIA PUBLIC SCHOOL DISTRICT</t>
  </si>
  <si>
    <t>482</t>
  </si>
  <si>
    <t>LITTLE FALLS PUBLIC SCHOOL DISTRICT</t>
  </si>
  <si>
    <t>484</t>
  </si>
  <si>
    <t>PIERZ PUBLIC SCHOOL DISTRICT</t>
  </si>
  <si>
    <t>485</t>
  </si>
  <si>
    <t>ROYALTON PUBLIC SCHOOL DISTRICT</t>
  </si>
  <si>
    <t>486</t>
  </si>
  <si>
    <t>SWANVILLE PUBLIC SCHOOL DISTRICT</t>
  </si>
  <si>
    <t>487</t>
  </si>
  <si>
    <t>UPSALA PUBLIC SCHOOL DISTRICT</t>
  </si>
  <si>
    <t>738</t>
  </si>
  <si>
    <t>HOLDINGFORD PUBLIC SCHOOL DISTRICT</t>
  </si>
  <si>
    <t>2753</t>
  </si>
  <si>
    <t>LONG PRAIRIE-GREY EAGLE SCHOOL DIST</t>
  </si>
  <si>
    <t>SPRING GROVE SCHOOL DISTRICT</t>
  </si>
  <si>
    <t>no tech plan</t>
  </si>
  <si>
    <t>District no Cluster</t>
  </si>
  <si>
    <t>Aid Eligible Costs</t>
  </si>
  <si>
    <t>297-01</t>
  </si>
  <si>
    <t>Org #</t>
  </si>
  <si>
    <t>Org Type</t>
  </si>
  <si>
    <t>Aid</t>
  </si>
  <si>
    <t>end of worksheet</t>
  </si>
  <si>
    <t>line left blank intentionally</t>
  </si>
  <si>
    <t>n/a</t>
  </si>
  <si>
    <t>rest of column left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</si>
</sst>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0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u/>
      <sz val="12"/>
      <color theme="11"/>
      <name val="Arial"/>
      <family val="2"/>
    </font>
    <font>
      <u/>
      <sz val="12"/>
      <color theme="1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"/>
      <family val="1"/>
    </font>
    <font>
      <sz val="10"/>
      <color rgb="FFFF0000"/>
      <name val="Times New Roman"/>
      <family val="1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color theme="0"/>
      <name val="Times New Roman"/>
      <family val="1"/>
    </font>
    <font>
      <b/>
      <sz val="12"/>
      <color theme="3"/>
      <name val="Calibri"/>
      <family val="2"/>
      <scheme val="minor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B0F0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6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</cellStyleXfs>
  <cellXfs count="83">
    <xf numFmtId="0" fontId="0" fillId="0" borderId="0" xfId="0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43" fontId="6" fillId="0" borderId="0" xfId="0" applyNumberFormat="1" applyFont="1"/>
    <xf numFmtId="0" fontId="6" fillId="0" borderId="0" xfId="0" applyFont="1" applyFill="1"/>
    <xf numFmtId="0" fontId="6" fillId="0" borderId="0" xfId="0" applyFont="1" applyBorder="1"/>
    <xf numFmtId="43" fontId="6" fillId="0" borderId="0" xfId="0" applyNumberFormat="1" applyFont="1" applyBorder="1"/>
    <xf numFmtId="0" fontId="6" fillId="0" borderId="1" xfId="0" applyFont="1" applyBorder="1"/>
    <xf numFmtId="43" fontId="6" fillId="0" borderId="1" xfId="0" applyNumberFormat="1" applyFont="1" applyBorder="1"/>
    <xf numFmtId="43" fontId="7" fillId="0" borderId="0" xfId="0" applyNumberFormat="1" applyFont="1"/>
    <xf numFmtId="0" fontId="8" fillId="0" borderId="0" xfId="0" applyFont="1"/>
    <xf numFmtId="44" fontId="8" fillId="0" borderId="0" xfId="0" applyNumberFormat="1" applyFont="1"/>
    <xf numFmtId="44" fontId="9" fillId="2" borderId="2" xfId="364" applyNumberFormat="1" applyFont="1" applyFill="1" applyBorder="1"/>
    <xf numFmtId="44" fontId="9" fillId="3" borderId="0" xfId="364" applyFont="1" applyFill="1"/>
    <xf numFmtId="0" fontId="9" fillId="3" borderId="0" xfId="364" applyNumberFormat="1" applyFont="1" applyFill="1"/>
    <xf numFmtId="44" fontId="8" fillId="0" borderId="3" xfId="364" applyNumberFormat="1" applyFont="1" applyBorder="1" applyAlignment="1"/>
    <xf numFmtId="44" fontId="8" fillId="0" borderId="0" xfId="364" applyFont="1" applyAlignment="1"/>
    <xf numFmtId="0" fontId="8" fillId="0" borderId="0" xfId="364" applyNumberFormat="1" applyFont="1" applyAlignment="1"/>
    <xf numFmtId="44" fontId="8" fillId="0" borderId="0" xfId="364" applyFont="1"/>
    <xf numFmtId="0" fontId="8" fillId="4" borderId="0" xfId="0" applyFont="1" applyFill="1"/>
    <xf numFmtId="44" fontId="8" fillId="0" borderId="0" xfId="364" quotePrefix="1" applyNumberFormat="1" applyFont="1" applyFill="1" applyBorder="1" applyAlignment="1"/>
    <xf numFmtId="44" fontId="8" fillId="0" borderId="0" xfId="364" applyNumberFormat="1" applyFont="1" applyFill="1" applyBorder="1" applyAlignment="1"/>
    <xf numFmtId="0" fontId="8" fillId="0" borderId="0" xfId="0" applyFont="1" applyAlignment="1">
      <alignment horizontal="left"/>
    </xf>
    <xf numFmtId="44" fontId="8" fillId="0" borderId="2" xfId="364" applyNumberFormat="1" applyFont="1" applyBorder="1" applyAlignment="1"/>
    <xf numFmtId="44" fontId="8" fillId="4" borderId="0" xfId="364" applyFont="1" applyFill="1" applyAlignment="1"/>
    <xf numFmtId="44" fontId="8" fillId="4" borderId="0" xfId="364" applyFont="1" applyFill="1"/>
    <xf numFmtId="44" fontId="8" fillId="5" borderId="2" xfId="364" applyNumberFormat="1" applyFont="1" applyFill="1" applyBorder="1" applyAlignment="1"/>
    <xf numFmtId="0" fontId="8" fillId="0" borderId="0" xfId="364" applyNumberFormat="1" applyFont="1" applyAlignment="1">
      <alignment horizontal="left"/>
    </xf>
    <xf numFmtId="44" fontId="8" fillId="0" borderId="4" xfId="364" applyNumberFormat="1" applyFont="1" applyBorder="1" applyAlignment="1"/>
    <xf numFmtId="44" fontId="8" fillId="0" borderId="5" xfId="364" applyFont="1" applyBorder="1" applyAlignment="1"/>
    <xf numFmtId="0" fontId="8" fillId="0" borderId="5" xfId="364" applyNumberFormat="1" applyFont="1" applyBorder="1" applyAlignment="1"/>
    <xf numFmtId="44" fontId="8" fillId="0" borderId="5" xfId="364" applyFont="1" applyBorder="1"/>
    <xf numFmtId="44" fontId="8" fillId="0" borderId="0" xfId="364" applyFont="1" applyBorder="1"/>
    <xf numFmtId="44" fontId="8" fillId="5" borderId="4" xfId="364" applyNumberFormat="1" applyFont="1" applyFill="1" applyBorder="1" applyAlignment="1"/>
    <xf numFmtId="0" fontId="10" fillId="0" borderId="0" xfId="0" applyFont="1"/>
    <xf numFmtId="0" fontId="8" fillId="5" borderId="2" xfId="364" applyNumberFormat="1" applyFont="1" applyFill="1" applyBorder="1" applyAlignment="1">
      <alignment horizontal="left"/>
    </xf>
    <xf numFmtId="44" fontId="10" fillId="0" borderId="0" xfId="0" applyNumberFormat="1" applyFont="1"/>
    <xf numFmtId="44" fontId="8" fillId="5" borderId="3" xfId="364" applyNumberFormat="1" applyFont="1" applyFill="1" applyBorder="1" applyAlignment="1"/>
    <xf numFmtId="44" fontId="8" fillId="0" borderId="6" xfId="364" applyNumberFormat="1" applyFont="1" applyBorder="1" applyAlignment="1"/>
    <xf numFmtId="44" fontId="8" fillId="0" borderId="0" xfId="364" applyNumberFormat="1" applyFont="1" applyBorder="1" applyAlignment="1"/>
    <xf numFmtId="44" fontId="8" fillId="0" borderId="0" xfId="364" applyFont="1" applyBorder="1" applyAlignment="1"/>
    <xf numFmtId="0" fontId="8" fillId="0" borderId="0" xfId="364" applyNumberFormat="1" applyFont="1" applyBorder="1" applyAlignment="1">
      <alignment horizontal="left"/>
    </xf>
    <xf numFmtId="44" fontId="8" fillId="7" borderId="2" xfId="364" applyNumberFormat="1" applyFont="1" applyFill="1" applyBorder="1" applyAlignment="1"/>
    <xf numFmtId="0" fontId="8" fillId="0" borderId="2" xfId="364" applyNumberFormat="1" applyFont="1" applyBorder="1" applyAlignment="1">
      <alignment horizontal="left"/>
    </xf>
    <xf numFmtId="9" fontId="6" fillId="0" borderId="0" xfId="0" applyNumberFormat="1" applyFont="1"/>
    <xf numFmtId="44" fontId="6" fillId="0" borderId="0" xfId="364" applyFont="1"/>
    <xf numFmtId="0" fontId="8" fillId="6" borderId="0" xfId="0" applyFont="1" applyFill="1"/>
    <xf numFmtId="44" fontId="6" fillId="0" borderId="0" xfId="364" applyFont="1" applyBorder="1"/>
    <xf numFmtId="44" fontId="6" fillId="0" borderId="0" xfId="0" applyNumberFormat="1" applyFont="1" applyBorder="1"/>
    <xf numFmtId="164" fontId="6" fillId="0" borderId="0" xfId="0" applyNumberFormat="1" applyFont="1" applyBorder="1"/>
    <xf numFmtId="10" fontId="6" fillId="0" borderId="0" xfId="0" applyNumberFormat="1" applyFont="1" applyBorder="1"/>
    <xf numFmtId="165" fontId="6" fillId="6" borderId="0" xfId="2" applyNumberFormat="1" applyFont="1" applyFill="1"/>
    <xf numFmtId="44" fontId="8" fillId="8" borderId="2" xfId="364" applyNumberFormat="1" applyFont="1" applyFill="1" applyBorder="1" applyAlignment="1"/>
    <xf numFmtId="0" fontId="8" fillId="4" borderId="0" xfId="364" applyNumberFormat="1" applyFont="1" applyFill="1" applyAlignment="1"/>
    <xf numFmtId="44" fontId="8" fillId="0" borderId="2" xfId="364" applyNumberFormat="1" applyFont="1" applyFill="1" applyBorder="1" applyAlignment="1"/>
    <xf numFmtId="44" fontId="8" fillId="0" borderId="0" xfId="364" applyFont="1" applyFill="1" applyAlignment="1"/>
    <xf numFmtId="0" fontId="8" fillId="0" borderId="0" xfId="364" applyNumberFormat="1" applyFont="1" applyFill="1" applyAlignment="1">
      <alignment horizontal="left"/>
    </xf>
    <xf numFmtId="44" fontId="8" fillId="0" borderId="0" xfId="364" applyFont="1" applyFill="1"/>
    <xf numFmtId="0" fontId="8" fillId="0" borderId="0" xfId="0" applyFont="1" applyFill="1"/>
    <xf numFmtId="0" fontId="8" fillId="0" borderId="0" xfId="364" applyNumberFormat="1" applyFont="1" applyFill="1" applyAlignment="1"/>
    <xf numFmtId="43" fontId="8" fillId="0" borderId="0" xfId="1" applyFont="1" applyFill="1"/>
    <xf numFmtId="44" fontId="9" fillId="0" borderId="0" xfId="364" applyFont="1" applyFill="1"/>
    <xf numFmtId="0" fontId="12" fillId="0" borderId="0" xfId="0" applyFont="1" applyFill="1"/>
    <xf numFmtId="43" fontId="8" fillId="0" borderId="0" xfId="0" applyNumberFormat="1" applyFont="1" applyFill="1"/>
    <xf numFmtId="0" fontId="6" fillId="3" borderId="0" xfId="0" applyFont="1" applyFill="1"/>
    <xf numFmtId="0" fontId="11" fillId="0" borderId="0" xfId="364" applyNumberFormat="1" applyFont="1" applyBorder="1" applyAlignment="1">
      <alignment horizontal="left"/>
    </xf>
    <xf numFmtId="0" fontId="11" fillId="0" borderId="0" xfId="364" applyNumberFormat="1" applyFont="1" applyBorder="1" applyAlignment="1"/>
    <xf numFmtId="44" fontId="9" fillId="0" borderId="2" xfId="364" applyNumberFormat="1" applyFont="1" applyFill="1" applyBorder="1" applyAlignment="1"/>
    <xf numFmtId="0" fontId="9" fillId="0" borderId="2" xfId="364" applyNumberFormat="1" applyFont="1" applyFill="1" applyBorder="1" applyAlignment="1">
      <alignment horizontal="left"/>
    </xf>
    <xf numFmtId="0" fontId="8" fillId="0" borderId="2" xfId="364" applyNumberFormat="1" applyFont="1" applyFill="1" applyBorder="1" applyAlignment="1">
      <alignment horizontal="left"/>
    </xf>
    <xf numFmtId="44" fontId="8" fillId="0" borderId="4" xfId="364" applyNumberFormat="1" applyFont="1" applyFill="1" applyBorder="1" applyAlignment="1"/>
    <xf numFmtId="44" fontId="8" fillId="0" borderId="5" xfId="364" applyFont="1" applyFill="1" applyBorder="1" applyAlignment="1"/>
    <xf numFmtId="0" fontId="8" fillId="0" borderId="5" xfId="364" applyNumberFormat="1" applyFont="1" applyFill="1" applyBorder="1" applyAlignment="1">
      <alignment horizontal="left"/>
    </xf>
    <xf numFmtId="44" fontId="8" fillId="0" borderId="5" xfId="364" applyFont="1" applyFill="1" applyBorder="1"/>
    <xf numFmtId="0" fontId="15" fillId="0" borderId="0" xfId="0" applyFont="1"/>
    <xf numFmtId="44" fontId="9" fillId="2" borderId="3" xfId="364" applyNumberFormat="1" applyFont="1" applyFill="1" applyBorder="1"/>
    <xf numFmtId="0" fontId="13" fillId="0" borderId="0" xfId="365" applyBorder="1"/>
    <xf numFmtId="0" fontId="16" fillId="0" borderId="0" xfId="365" applyFont="1" applyBorder="1"/>
    <xf numFmtId="0" fontId="14" fillId="0" borderId="0" xfId="366" applyBorder="1"/>
    <xf numFmtId="0" fontId="17" fillId="0" borderId="0" xfId="0" applyFont="1"/>
    <xf numFmtId="0" fontId="18" fillId="0" borderId="0" xfId="0" applyFont="1"/>
  </cellXfs>
  <cellStyles count="367">
    <cellStyle name="Comma" xfId="1" builtinId="3"/>
    <cellStyle name="Comma 2" xfId="3"/>
    <cellStyle name="Comma 3" xfId="4"/>
    <cellStyle name="Currency" xfId="364" builtinId="4"/>
    <cellStyle name="Currency 2" xfId="5"/>
    <cellStyle name="Followed Hyperlink 10" xfId="6"/>
    <cellStyle name="Followed Hyperlink 100" xfId="7"/>
    <cellStyle name="Followed Hyperlink 101" xfId="8"/>
    <cellStyle name="Followed Hyperlink 102" xfId="9"/>
    <cellStyle name="Followed Hyperlink 103" xfId="10"/>
    <cellStyle name="Followed Hyperlink 104" xfId="11"/>
    <cellStyle name="Followed Hyperlink 105" xfId="12"/>
    <cellStyle name="Followed Hyperlink 106" xfId="13"/>
    <cellStyle name="Followed Hyperlink 107" xfId="14"/>
    <cellStyle name="Followed Hyperlink 108" xfId="15"/>
    <cellStyle name="Followed Hyperlink 109" xfId="16"/>
    <cellStyle name="Followed Hyperlink 11" xfId="17"/>
    <cellStyle name="Followed Hyperlink 110" xfId="18"/>
    <cellStyle name="Followed Hyperlink 111" xfId="19"/>
    <cellStyle name="Followed Hyperlink 112" xfId="20"/>
    <cellStyle name="Followed Hyperlink 113" xfId="21"/>
    <cellStyle name="Followed Hyperlink 114" xfId="22"/>
    <cellStyle name="Followed Hyperlink 115" xfId="23"/>
    <cellStyle name="Followed Hyperlink 116" xfId="24"/>
    <cellStyle name="Followed Hyperlink 117" xfId="25"/>
    <cellStyle name="Followed Hyperlink 118" xfId="26"/>
    <cellStyle name="Followed Hyperlink 119" xfId="27"/>
    <cellStyle name="Followed Hyperlink 12" xfId="28"/>
    <cellStyle name="Followed Hyperlink 120" xfId="29"/>
    <cellStyle name="Followed Hyperlink 121" xfId="30"/>
    <cellStyle name="Followed Hyperlink 122" xfId="31"/>
    <cellStyle name="Followed Hyperlink 123" xfId="32"/>
    <cellStyle name="Followed Hyperlink 124" xfId="33"/>
    <cellStyle name="Followed Hyperlink 125" xfId="34"/>
    <cellStyle name="Followed Hyperlink 126" xfId="35"/>
    <cellStyle name="Followed Hyperlink 127" xfId="36"/>
    <cellStyle name="Followed Hyperlink 128" xfId="37"/>
    <cellStyle name="Followed Hyperlink 129" xfId="38"/>
    <cellStyle name="Followed Hyperlink 13" xfId="39"/>
    <cellStyle name="Followed Hyperlink 130" xfId="40"/>
    <cellStyle name="Followed Hyperlink 131" xfId="41"/>
    <cellStyle name="Followed Hyperlink 132" xfId="42"/>
    <cellStyle name="Followed Hyperlink 133" xfId="43"/>
    <cellStyle name="Followed Hyperlink 134" xfId="44"/>
    <cellStyle name="Followed Hyperlink 135" xfId="45"/>
    <cellStyle name="Followed Hyperlink 136" xfId="46"/>
    <cellStyle name="Followed Hyperlink 137" xfId="47"/>
    <cellStyle name="Followed Hyperlink 138" xfId="48"/>
    <cellStyle name="Followed Hyperlink 139" xfId="49"/>
    <cellStyle name="Followed Hyperlink 14" xfId="50"/>
    <cellStyle name="Followed Hyperlink 140" xfId="51"/>
    <cellStyle name="Followed Hyperlink 141" xfId="52"/>
    <cellStyle name="Followed Hyperlink 142" xfId="53"/>
    <cellStyle name="Followed Hyperlink 143" xfId="54"/>
    <cellStyle name="Followed Hyperlink 144" xfId="55"/>
    <cellStyle name="Followed Hyperlink 145" xfId="56"/>
    <cellStyle name="Followed Hyperlink 146" xfId="57"/>
    <cellStyle name="Followed Hyperlink 147" xfId="58"/>
    <cellStyle name="Followed Hyperlink 148" xfId="59"/>
    <cellStyle name="Followed Hyperlink 149" xfId="60"/>
    <cellStyle name="Followed Hyperlink 15" xfId="61"/>
    <cellStyle name="Followed Hyperlink 150" xfId="62"/>
    <cellStyle name="Followed Hyperlink 151" xfId="63"/>
    <cellStyle name="Followed Hyperlink 152" xfId="64"/>
    <cellStyle name="Followed Hyperlink 153" xfId="65"/>
    <cellStyle name="Followed Hyperlink 154" xfId="66"/>
    <cellStyle name="Followed Hyperlink 155" xfId="67"/>
    <cellStyle name="Followed Hyperlink 156" xfId="68"/>
    <cellStyle name="Followed Hyperlink 157" xfId="69"/>
    <cellStyle name="Followed Hyperlink 158" xfId="70"/>
    <cellStyle name="Followed Hyperlink 159" xfId="71"/>
    <cellStyle name="Followed Hyperlink 16" xfId="72"/>
    <cellStyle name="Followed Hyperlink 160" xfId="73"/>
    <cellStyle name="Followed Hyperlink 161" xfId="74"/>
    <cellStyle name="Followed Hyperlink 162" xfId="75"/>
    <cellStyle name="Followed Hyperlink 163" xfId="76"/>
    <cellStyle name="Followed Hyperlink 164" xfId="77"/>
    <cellStyle name="Followed Hyperlink 165" xfId="78"/>
    <cellStyle name="Followed Hyperlink 166" xfId="79"/>
    <cellStyle name="Followed Hyperlink 167" xfId="80"/>
    <cellStyle name="Followed Hyperlink 168" xfId="81"/>
    <cellStyle name="Followed Hyperlink 169" xfId="82"/>
    <cellStyle name="Followed Hyperlink 17" xfId="83"/>
    <cellStyle name="Followed Hyperlink 170" xfId="84"/>
    <cellStyle name="Followed Hyperlink 171" xfId="85"/>
    <cellStyle name="Followed Hyperlink 172" xfId="86"/>
    <cellStyle name="Followed Hyperlink 173" xfId="87"/>
    <cellStyle name="Followed Hyperlink 174" xfId="88"/>
    <cellStyle name="Followed Hyperlink 175" xfId="89"/>
    <cellStyle name="Followed Hyperlink 176" xfId="90"/>
    <cellStyle name="Followed Hyperlink 177" xfId="91"/>
    <cellStyle name="Followed Hyperlink 178" xfId="92"/>
    <cellStyle name="Followed Hyperlink 179" xfId="93"/>
    <cellStyle name="Followed Hyperlink 18" xfId="94"/>
    <cellStyle name="Followed Hyperlink 180" xfId="95"/>
    <cellStyle name="Followed Hyperlink 181" xfId="96"/>
    <cellStyle name="Followed Hyperlink 182" xfId="97"/>
    <cellStyle name="Followed Hyperlink 183" xfId="98"/>
    <cellStyle name="Followed Hyperlink 184" xfId="99"/>
    <cellStyle name="Followed Hyperlink 185" xfId="100"/>
    <cellStyle name="Followed Hyperlink 186" xfId="101"/>
    <cellStyle name="Followed Hyperlink 187" xfId="102"/>
    <cellStyle name="Followed Hyperlink 188" xfId="103"/>
    <cellStyle name="Followed Hyperlink 189" xfId="104"/>
    <cellStyle name="Followed Hyperlink 19" xfId="105"/>
    <cellStyle name="Followed Hyperlink 190" xfId="106"/>
    <cellStyle name="Followed Hyperlink 191" xfId="107"/>
    <cellStyle name="Followed Hyperlink 192" xfId="108"/>
    <cellStyle name="Followed Hyperlink 193" xfId="109"/>
    <cellStyle name="Followed Hyperlink 194" xfId="110"/>
    <cellStyle name="Followed Hyperlink 195" xfId="111"/>
    <cellStyle name="Followed Hyperlink 196" xfId="112"/>
    <cellStyle name="Followed Hyperlink 197" xfId="113"/>
    <cellStyle name="Followed Hyperlink 198" xfId="114"/>
    <cellStyle name="Followed Hyperlink 199" xfId="115"/>
    <cellStyle name="Followed Hyperlink 2" xfId="116"/>
    <cellStyle name="Followed Hyperlink 20" xfId="117"/>
    <cellStyle name="Followed Hyperlink 200" xfId="118"/>
    <cellStyle name="Followed Hyperlink 201" xfId="119"/>
    <cellStyle name="Followed Hyperlink 202" xfId="120"/>
    <cellStyle name="Followed Hyperlink 203" xfId="121"/>
    <cellStyle name="Followed Hyperlink 204" xfId="122"/>
    <cellStyle name="Followed Hyperlink 205" xfId="123"/>
    <cellStyle name="Followed Hyperlink 206" xfId="124"/>
    <cellStyle name="Followed Hyperlink 207" xfId="125"/>
    <cellStyle name="Followed Hyperlink 208" xfId="126"/>
    <cellStyle name="Followed Hyperlink 209" xfId="127"/>
    <cellStyle name="Followed Hyperlink 21" xfId="128"/>
    <cellStyle name="Followed Hyperlink 210" xfId="129"/>
    <cellStyle name="Followed Hyperlink 211" xfId="130"/>
    <cellStyle name="Followed Hyperlink 212" xfId="131"/>
    <cellStyle name="Followed Hyperlink 213" xfId="132"/>
    <cellStyle name="Followed Hyperlink 214" xfId="133"/>
    <cellStyle name="Followed Hyperlink 215" xfId="134"/>
    <cellStyle name="Followed Hyperlink 216" xfId="135"/>
    <cellStyle name="Followed Hyperlink 217" xfId="136"/>
    <cellStyle name="Followed Hyperlink 218" xfId="137"/>
    <cellStyle name="Followed Hyperlink 219" xfId="138"/>
    <cellStyle name="Followed Hyperlink 22" xfId="139"/>
    <cellStyle name="Followed Hyperlink 220" xfId="140"/>
    <cellStyle name="Followed Hyperlink 221" xfId="141"/>
    <cellStyle name="Followed Hyperlink 222" xfId="142"/>
    <cellStyle name="Followed Hyperlink 223" xfId="143"/>
    <cellStyle name="Followed Hyperlink 224" xfId="144"/>
    <cellStyle name="Followed Hyperlink 225" xfId="145"/>
    <cellStyle name="Followed Hyperlink 226" xfId="146"/>
    <cellStyle name="Followed Hyperlink 227" xfId="147"/>
    <cellStyle name="Followed Hyperlink 23" xfId="148"/>
    <cellStyle name="Followed Hyperlink 24" xfId="149"/>
    <cellStyle name="Followed Hyperlink 25" xfId="150"/>
    <cellStyle name="Followed Hyperlink 26" xfId="151"/>
    <cellStyle name="Followed Hyperlink 27" xfId="152"/>
    <cellStyle name="Followed Hyperlink 28" xfId="153"/>
    <cellStyle name="Followed Hyperlink 29" xfId="154"/>
    <cellStyle name="Followed Hyperlink 3" xfId="155"/>
    <cellStyle name="Followed Hyperlink 30" xfId="156"/>
    <cellStyle name="Followed Hyperlink 31" xfId="157"/>
    <cellStyle name="Followed Hyperlink 32" xfId="158"/>
    <cellStyle name="Followed Hyperlink 33" xfId="159"/>
    <cellStyle name="Followed Hyperlink 34" xfId="160"/>
    <cellStyle name="Followed Hyperlink 35" xfId="161"/>
    <cellStyle name="Followed Hyperlink 36" xfId="162"/>
    <cellStyle name="Followed Hyperlink 37" xfId="163"/>
    <cellStyle name="Followed Hyperlink 38" xfId="164"/>
    <cellStyle name="Followed Hyperlink 39" xfId="165"/>
    <cellStyle name="Followed Hyperlink 4" xfId="166"/>
    <cellStyle name="Followed Hyperlink 40" xfId="167"/>
    <cellStyle name="Followed Hyperlink 41" xfId="168"/>
    <cellStyle name="Followed Hyperlink 42" xfId="169"/>
    <cellStyle name="Followed Hyperlink 43" xfId="170"/>
    <cellStyle name="Followed Hyperlink 44" xfId="171"/>
    <cellStyle name="Followed Hyperlink 45" xfId="172"/>
    <cellStyle name="Followed Hyperlink 46" xfId="173"/>
    <cellStyle name="Followed Hyperlink 47" xfId="174"/>
    <cellStyle name="Followed Hyperlink 48" xfId="175"/>
    <cellStyle name="Followed Hyperlink 49" xfId="176"/>
    <cellStyle name="Followed Hyperlink 5" xfId="177"/>
    <cellStyle name="Followed Hyperlink 50" xfId="178"/>
    <cellStyle name="Followed Hyperlink 51" xfId="179"/>
    <cellStyle name="Followed Hyperlink 52" xfId="180"/>
    <cellStyle name="Followed Hyperlink 53" xfId="181"/>
    <cellStyle name="Followed Hyperlink 54" xfId="182"/>
    <cellStyle name="Followed Hyperlink 55" xfId="183"/>
    <cellStyle name="Followed Hyperlink 56" xfId="184"/>
    <cellStyle name="Followed Hyperlink 57" xfId="185"/>
    <cellStyle name="Followed Hyperlink 58" xfId="186"/>
    <cellStyle name="Followed Hyperlink 59" xfId="187"/>
    <cellStyle name="Followed Hyperlink 6" xfId="188"/>
    <cellStyle name="Followed Hyperlink 60" xfId="189"/>
    <cellStyle name="Followed Hyperlink 61" xfId="190"/>
    <cellStyle name="Followed Hyperlink 62" xfId="191"/>
    <cellStyle name="Followed Hyperlink 63" xfId="192"/>
    <cellStyle name="Followed Hyperlink 64" xfId="193"/>
    <cellStyle name="Followed Hyperlink 65" xfId="194"/>
    <cellStyle name="Followed Hyperlink 66" xfId="195"/>
    <cellStyle name="Followed Hyperlink 67" xfId="196"/>
    <cellStyle name="Followed Hyperlink 68" xfId="197"/>
    <cellStyle name="Followed Hyperlink 69" xfId="198"/>
    <cellStyle name="Followed Hyperlink 7" xfId="199"/>
    <cellStyle name="Followed Hyperlink 70" xfId="200"/>
    <cellStyle name="Followed Hyperlink 71" xfId="201"/>
    <cellStyle name="Followed Hyperlink 72" xfId="202"/>
    <cellStyle name="Followed Hyperlink 73" xfId="203"/>
    <cellStyle name="Followed Hyperlink 74" xfId="204"/>
    <cellStyle name="Followed Hyperlink 75" xfId="205"/>
    <cellStyle name="Followed Hyperlink 76" xfId="206"/>
    <cellStyle name="Followed Hyperlink 77" xfId="207"/>
    <cellStyle name="Followed Hyperlink 78" xfId="208"/>
    <cellStyle name="Followed Hyperlink 79" xfId="209"/>
    <cellStyle name="Followed Hyperlink 8" xfId="210"/>
    <cellStyle name="Followed Hyperlink 80" xfId="211"/>
    <cellStyle name="Followed Hyperlink 81" xfId="212"/>
    <cellStyle name="Followed Hyperlink 82" xfId="213"/>
    <cellStyle name="Followed Hyperlink 83" xfId="214"/>
    <cellStyle name="Followed Hyperlink 84" xfId="215"/>
    <cellStyle name="Followed Hyperlink 85" xfId="216"/>
    <cellStyle name="Followed Hyperlink 86" xfId="217"/>
    <cellStyle name="Followed Hyperlink 87" xfId="218"/>
    <cellStyle name="Followed Hyperlink 88" xfId="219"/>
    <cellStyle name="Followed Hyperlink 89" xfId="220"/>
    <cellStyle name="Followed Hyperlink 9" xfId="221"/>
    <cellStyle name="Followed Hyperlink 90" xfId="222"/>
    <cellStyle name="Followed Hyperlink 91" xfId="223"/>
    <cellStyle name="Followed Hyperlink 92" xfId="224"/>
    <cellStyle name="Followed Hyperlink 93" xfId="225"/>
    <cellStyle name="Followed Hyperlink 94" xfId="226"/>
    <cellStyle name="Followed Hyperlink 95" xfId="227"/>
    <cellStyle name="Followed Hyperlink 96" xfId="228"/>
    <cellStyle name="Followed Hyperlink 97" xfId="229"/>
    <cellStyle name="Followed Hyperlink 98" xfId="230"/>
    <cellStyle name="Followed Hyperlink 99" xfId="231"/>
    <cellStyle name="Heading 1" xfId="365" builtinId="16"/>
    <cellStyle name="Heading 2" xfId="366" builtinId="17"/>
    <cellStyle name="Hyperlink 10" xfId="232"/>
    <cellStyle name="Hyperlink 100" xfId="233"/>
    <cellStyle name="Hyperlink 101" xfId="234"/>
    <cellStyle name="Hyperlink 102" xfId="235"/>
    <cellStyle name="Hyperlink 103" xfId="236"/>
    <cellStyle name="Hyperlink 104" xfId="237"/>
    <cellStyle name="Hyperlink 105" xfId="238"/>
    <cellStyle name="Hyperlink 106" xfId="239"/>
    <cellStyle name="Hyperlink 107" xfId="240"/>
    <cellStyle name="Hyperlink 108" xfId="241"/>
    <cellStyle name="Hyperlink 109" xfId="242"/>
    <cellStyle name="Hyperlink 11" xfId="243"/>
    <cellStyle name="Hyperlink 110" xfId="244"/>
    <cellStyle name="Hyperlink 111" xfId="245"/>
    <cellStyle name="Hyperlink 112" xfId="246"/>
    <cellStyle name="Hyperlink 113" xfId="247"/>
    <cellStyle name="Hyperlink 114" xfId="248"/>
    <cellStyle name="Hyperlink 115" xfId="249"/>
    <cellStyle name="Hyperlink 116" xfId="250"/>
    <cellStyle name="Hyperlink 117" xfId="251"/>
    <cellStyle name="Hyperlink 118" xfId="252"/>
    <cellStyle name="Hyperlink 119" xfId="253"/>
    <cellStyle name="Hyperlink 12" xfId="254"/>
    <cellStyle name="Hyperlink 120" xfId="255"/>
    <cellStyle name="Hyperlink 121" xfId="256"/>
    <cellStyle name="Hyperlink 122" xfId="257"/>
    <cellStyle name="Hyperlink 123" xfId="258"/>
    <cellStyle name="Hyperlink 124" xfId="259"/>
    <cellStyle name="Hyperlink 125" xfId="260"/>
    <cellStyle name="Hyperlink 126" xfId="261"/>
    <cellStyle name="Hyperlink 127" xfId="262"/>
    <cellStyle name="Hyperlink 128" xfId="263"/>
    <cellStyle name="Hyperlink 129" xfId="264"/>
    <cellStyle name="Hyperlink 13" xfId="265"/>
    <cellStyle name="Hyperlink 14" xfId="266"/>
    <cellStyle name="Hyperlink 15" xfId="267"/>
    <cellStyle name="Hyperlink 16" xfId="268"/>
    <cellStyle name="Hyperlink 17" xfId="269"/>
    <cellStyle name="Hyperlink 18" xfId="270"/>
    <cellStyle name="Hyperlink 19" xfId="271"/>
    <cellStyle name="Hyperlink 2" xfId="272"/>
    <cellStyle name="Hyperlink 20" xfId="273"/>
    <cellStyle name="Hyperlink 21" xfId="274"/>
    <cellStyle name="Hyperlink 22" xfId="275"/>
    <cellStyle name="Hyperlink 23" xfId="276"/>
    <cellStyle name="Hyperlink 24" xfId="277"/>
    <cellStyle name="Hyperlink 25" xfId="278"/>
    <cellStyle name="Hyperlink 26" xfId="279"/>
    <cellStyle name="Hyperlink 27" xfId="280"/>
    <cellStyle name="Hyperlink 28" xfId="281"/>
    <cellStyle name="Hyperlink 29" xfId="282"/>
    <cellStyle name="Hyperlink 3" xfId="283"/>
    <cellStyle name="Hyperlink 30" xfId="284"/>
    <cellStyle name="Hyperlink 31" xfId="285"/>
    <cellStyle name="Hyperlink 32" xfId="286"/>
    <cellStyle name="Hyperlink 33" xfId="287"/>
    <cellStyle name="Hyperlink 34" xfId="288"/>
    <cellStyle name="Hyperlink 35" xfId="289"/>
    <cellStyle name="Hyperlink 36" xfId="290"/>
    <cellStyle name="Hyperlink 37" xfId="291"/>
    <cellStyle name="Hyperlink 38" xfId="292"/>
    <cellStyle name="Hyperlink 39" xfId="293"/>
    <cellStyle name="Hyperlink 4" xfId="294"/>
    <cellStyle name="Hyperlink 40" xfId="295"/>
    <cellStyle name="Hyperlink 41" xfId="296"/>
    <cellStyle name="Hyperlink 42" xfId="297"/>
    <cellStyle name="Hyperlink 43" xfId="298"/>
    <cellStyle name="Hyperlink 44" xfId="299"/>
    <cellStyle name="Hyperlink 45" xfId="300"/>
    <cellStyle name="Hyperlink 46" xfId="301"/>
    <cellStyle name="Hyperlink 47" xfId="302"/>
    <cellStyle name="Hyperlink 48" xfId="303"/>
    <cellStyle name="Hyperlink 49" xfId="304"/>
    <cellStyle name="Hyperlink 5" xfId="305"/>
    <cellStyle name="Hyperlink 50" xfId="306"/>
    <cellStyle name="Hyperlink 51" xfId="307"/>
    <cellStyle name="Hyperlink 52" xfId="308"/>
    <cellStyle name="Hyperlink 53" xfId="309"/>
    <cellStyle name="Hyperlink 54" xfId="310"/>
    <cellStyle name="Hyperlink 55" xfId="311"/>
    <cellStyle name="Hyperlink 56" xfId="312"/>
    <cellStyle name="Hyperlink 57" xfId="313"/>
    <cellStyle name="Hyperlink 58" xfId="314"/>
    <cellStyle name="Hyperlink 59" xfId="315"/>
    <cellStyle name="Hyperlink 6" xfId="316"/>
    <cellStyle name="Hyperlink 60" xfId="317"/>
    <cellStyle name="Hyperlink 61" xfId="318"/>
    <cellStyle name="Hyperlink 62" xfId="319"/>
    <cellStyle name="Hyperlink 63" xfId="320"/>
    <cellStyle name="Hyperlink 64" xfId="321"/>
    <cellStyle name="Hyperlink 65" xfId="322"/>
    <cellStyle name="Hyperlink 66" xfId="323"/>
    <cellStyle name="Hyperlink 67" xfId="324"/>
    <cellStyle name="Hyperlink 68" xfId="325"/>
    <cellStyle name="Hyperlink 69" xfId="326"/>
    <cellStyle name="Hyperlink 7" xfId="327"/>
    <cellStyle name="Hyperlink 70" xfId="328"/>
    <cellStyle name="Hyperlink 71" xfId="329"/>
    <cellStyle name="Hyperlink 72" xfId="330"/>
    <cellStyle name="Hyperlink 73" xfId="331"/>
    <cellStyle name="Hyperlink 74" xfId="332"/>
    <cellStyle name="Hyperlink 75" xfId="333"/>
    <cellStyle name="Hyperlink 76" xfId="334"/>
    <cellStyle name="Hyperlink 77" xfId="335"/>
    <cellStyle name="Hyperlink 78" xfId="336"/>
    <cellStyle name="Hyperlink 79" xfId="337"/>
    <cellStyle name="Hyperlink 8" xfId="338"/>
    <cellStyle name="Hyperlink 80" xfId="339"/>
    <cellStyle name="Hyperlink 81" xfId="340"/>
    <cellStyle name="Hyperlink 82" xfId="341"/>
    <cellStyle name="Hyperlink 83" xfId="342"/>
    <cellStyle name="Hyperlink 84" xfId="343"/>
    <cellStyle name="Hyperlink 85" xfId="344"/>
    <cellStyle name="Hyperlink 86" xfId="345"/>
    <cellStyle name="Hyperlink 87" xfId="346"/>
    <cellStyle name="Hyperlink 88" xfId="347"/>
    <cellStyle name="Hyperlink 89" xfId="348"/>
    <cellStyle name="Hyperlink 9" xfId="349"/>
    <cellStyle name="Hyperlink 90" xfId="350"/>
    <cellStyle name="Hyperlink 91" xfId="351"/>
    <cellStyle name="Hyperlink 92" xfId="352"/>
    <cellStyle name="Hyperlink 93" xfId="353"/>
    <cellStyle name="Hyperlink 94" xfId="354"/>
    <cellStyle name="Hyperlink 95" xfId="355"/>
    <cellStyle name="Hyperlink 96" xfId="356"/>
    <cellStyle name="Hyperlink 97" xfId="357"/>
    <cellStyle name="Hyperlink 98" xfId="358"/>
    <cellStyle name="Hyperlink 99" xfId="359"/>
    <cellStyle name="Normal" xfId="0" builtinId="0"/>
    <cellStyle name="Normal 2" xfId="360"/>
    <cellStyle name="Normal 3" xfId="361"/>
    <cellStyle name="Normal 4" xfId="362"/>
    <cellStyle name="Percent" xfId="2" builtinId="5"/>
    <cellStyle name="Percent 2" xfId="3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zoomScaleNormal="100" workbookViewId="0"/>
  </sheetViews>
  <sheetFormatPr defaultColWidth="0" defaultRowHeight="15" zeroHeight="1" x14ac:dyDescent="0.25"/>
  <cols>
    <col min="1" max="1" width="36.7109375" style="1" customWidth="1"/>
    <col min="2" max="2" width="10.42578125" style="1" bestFit="1" customWidth="1"/>
    <col min="3" max="3" width="13.5703125" style="1" customWidth="1"/>
    <col min="4" max="4" width="15.42578125" style="1" customWidth="1"/>
    <col min="5" max="5" width="1.7109375" style="66" customWidth="1"/>
    <col min="6" max="6" width="8.28515625" style="1" customWidth="1"/>
    <col min="7" max="7" width="31.140625" style="1" customWidth="1"/>
    <col min="8" max="8" width="12.140625" style="1" customWidth="1"/>
    <col min="9" max="9" width="11.7109375" style="1" customWidth="1"/>
    <col min="10" max="16384" width="9.140625" style="1" hidden="1"/>
  </cols>
  <sheetData>
    <row r="1" spans="1:9" ht="19.5" x14ac:dyDescent="0.3">
      <c r="A1" s="78" t="s">
        <v>173</v>
      </c>
      <c r="B1" s="81" t="s">
        <v>713</v>
      </c>
      <c r="C1" s="81" t="s">
        <v>713</v>
      </c>
      <c r="D1" s="81" t="s">
        <v>713</v>
      </c>
      <c r="F1" s="80" t="s">
        <v>137</v>
      </c>
      <c r="H1" s="81" t="s">
        <v>713</v>
      </c>
      <c r="I1" s="81" t="s">
        <v>713</v>
      </c>
    </row>
    <row r="2" spans="1:9" x14ac:dyDescent="0.25">
      <c r="A2" s="1" t="s">
        <v>172</v>
      </c>
      <c r="B2" s="81" t="s">
        <v>713</v>
      </c>
      <c r="C2" s="81" t="s">
        <v>713</v>
      </c>
      <c r="D2" s="81" t="s">
        <v>713</v>
      </c>
      <c r="F2" s="81" t="s">
        <v>713</v>
      </c>
      <c r="G2" s="81" t="s">
        <v>713</v>
      </c>
      <c r="H2" s="2" t="s">
        <v>138</v>
      </c>
      <c r="I2" s="2" t="s">
        <v>139</v>
      </c>
    </row>
    <row r="3" spans="1:9" x14ac:dyDescent="0.25">
      <c r="A3" s="3" t="s">
        <v>135</v>
      </c>
      <c r="B3" s="53">
        <v>0.43512324021988236</v>
      </c>
      <c r="C3" s="81" t="s">
        <v>713</v>
      </c>
      <c r="D3" s="81" t="s">
        <v>713</v>
      </c>
      <c r="F3" s="81" t="s">
        <v>713</v>
      </c>
      <c r="G3" s="81" t="s">
        <v>713</v>
      </c>
      <c r="H3" s="2" t="s">
        <v>141</v>
      </c>
      <c r="I3" s="2" t="s">
        <v>141</v>
      </c>
    </row>
    <row r="4" spans="1:9" ht="17.25" x14ac:dyDescent="0.3">
      <c r="A4" s="80" t="s">
        <v>136</v>
      </c>
      <c r="C4" s="81" t="s">
        <v>713</v>
      </c>
      <c r="D4" s="81" t="s">
        <v>713</v>
      </c>
      <c r="F4" s="67" t="s">
        <v>707</v>
      </c>
      <c r="G4" s="68" t="s">
        <v>703</v>
      </c>
      <c r="H4" s="47">
        <v>773.07</v>
      </c>
      <c r="I4" s="47">
        <f>H4*$B$3</f>
        <v>336.3807233167845</v>
      </c>
    </row>
    <row r="5" spans="1:9" x14ac:dyDescent="0.25">
      <c r="A5" s="81" t="s">
        <v>713</v>
      </c>
      <c r="B5" s="2" t="s">
        <v>708</v>
      </c>
      <c r="C5" s="4" t="s">
        <v>138</v>
      </c>
      <c r="D5" s="4" t="s">
        <v>139</v>
      </c>
      <c r="F5" s="81" t="s">
        <v>714</v>
      </c>
      <c r="G5" s="81" t="s">
        <v>714</v>
      </c>
      <c r="H5" s="81" t="s">
        <v>714</v>
      </c>
      <c r="I5" s="81" t="s">
        <v>714</v>
      </c>
    </row>
    <row r="6" spans="1:9" x14ac:dyDescent="0.25">
      <c r="A6" s="2" t="s">
        <v>140</v>
      </c>
      <c r="B6" s="2" t="s">
        <v>709</v>
      </c>
      <c r="C6" s="4" t="s">
        <v>141</v>
      </c>
      <c r="D6" s="4" t="s">
        <v>141</v>
      </c>
    </row>
    <row r="7" spans="1:9" x14ac:dyDescent="0.25">
      <c r="A7" s="1" t="s">
        <v>149</v>
      </c>
      <c r="B7" s="1" t="s">
        <v>146</v>
      </c>
      <c r="C7" s="47">
        <f>'District by Cluster'!N25</f>
        <v>463943.98000000004</v>
      </c>
      <c r="D7" s="47">
        <f>'District by Cluster'!O25</f>
        <v>201872.80785810831</v>
      </c>
    </row>
    <row r="8" spans="1:9" x14ac:dyDescent="0.25">
      <c r="A8" s="1" t="s">
        <v>78</v>
      </c>
      <c r="B8" s="1" t="s">
        <v>147</v>
      </c>
      <c r="C8" s="5">
        <f>'District by Cluster'!N37</f>
        <v>85674.13</v>
      </c>
      <c r="D8" s="5">
        <f>'District by Cluster'!O37</f>
        <v>37278.805048619433</v>
      </c>
    </row>
    <row r="9" spans="1:9" x14ac:dyDescent="0.25">
      <c r="A9" s="1" t="s">
        <v>142</v>
      </c>
      <c r="B9" s="1" t="s">
        <v>148</v>
      </c>
      <c r="C9" s="5">
        <f>'District by Cluster'!N102</f>
        <v>1044903.3720000001</v>
      </c>
      <c r="D9" s="5">
        <f>'District by Cluster'!O102</f>
        <v>453603.17312251433</v>
      </c>
    </row>
    <row r="10" spans="1:9" x14ac:dyDescent="0.25">
      <c r="A10" s="6" t="s">
        <v>143</v>
      </c>
      <c r="B10" s="6" t="s">
        <v>150</v>
      </c>
      <c r="C10" s="5">
        <f>'District by Cluster'!N125</f>
        <v>336031.94</v>
      </c>
      <c r="D10" s="5">
        <f>'District by Cluster'!O125</f>
        <v>146215.30655017312</v>
      </c>
    </row>
    <row r="11" spans="1:9" x14ac:dyDescent="0.25">
      <c r="A11" s="1" t="s">
        <v>151</v>
      </c>
      <c r="B11" s="1" t="s">
        <v>152</v>
      </c>
      <c r="C11" s="5">
        <f>'District by Cluster'!N170</f>
        <v>2595093</v>
      </c>
      <c r="D11" s="5">
        <f>'District by Cluster'!O170</f>
        <v>1129185.2748319353</v>
      </c>
    </row>
    <row r="12" spans="1:9" x14ac:dyDescent="0.25">
      <c r="A12" s="1" t="s">
        <v>153</v>
      </c>
      <c r="B12" s="1" t="s">
        <v>154</v>
      </c>
      <c r="C12" s="5">
        <f>'District by Cluster'!N189</f>
        <v>429389.33</v>
      </c>
      <c r="D12" s="5">
        <f>'District by Cluster'!O189</f>
        <v>186837.27658544434</v>
      </c>
    </row>
    <row r="13" spans="1:9" x14ac:dyDescent="0.25">
      <c r="A13" s="7" t="s">
        <v>155</v>
      </c>
      <c r="B13" s="7" t="s">
        <v>156</v>
      </c>
      <c r="C13" s="8">
        <f>'District by Cluster'!N226</f>
        <v>715241.31</v>
      </c>
      <c r="D13" s="8">
        <f>'District by Cluster'!O226</f>
        <v>311218.11634631333</v>
      </c>
    </row>
    <row r="14" spans="1:9" x14ac:dyDescent="0.25">
      <c r="A14" s="1" t="s">
        <v>158</v>
      </c>
      <c r="B14" s="1" t="s">
        <v>157</v>
      </c>
      <c r="C14" s="5">
        <f>'District by Cluster'!N243</f>
        <v>584226.92999999993</v>
      </c>
      <c r="D14" s="5">
        <f>'District by Cluster'!O243</f>
        <v>254210.71480531438</v>
      </c>
    </row>
    <row r="15" spans="1:9" x14ac:dyDescent="0.25">
      <c r="A15" s="1" t="s">
        <v>27</v>
      </c>
      <c r="B15" s="1" t="s">
        <v>159</v>
      </c>
      <c r="C15" s="5">
        <f>'District by Cluster'!N256</f>
        <v>176915.71000000002</v>
      </c>
      <c r="D15" s="5">
        <f>'District by Cluster'!O256</f>
        <v>76980.136981001036</v>
      </c>
    </row>
    <row r="16" spans="1:9" x14ac:dyDescent="0.25">
      <c r="A16" s="1" t="s">
        <v>161</v>
      </c>
      <c r="B16" s="1" t="s">
        <v>160</v>
      </c>
      <c r="C16" s="5">
        <f>'District by Cluster'!N267</f>
        <v>134056.07</v>
      </c>
      <c r="D16" s="5">
        <f>'District by Cluster'!O267</f>
        <v>58330.911549543365</v>
      </c>
    </row>
    <row r="17" spans="1:6" x14ac:dyDescent="0.25">
      <c r="A17" s="1" t="s">
        <v>129</v>
      </c>
      <c r="B17" s="1" t="s">
        <v>162</v>
      </c>
      <c r="C17" s="5">
        <f>'District by Cluster'!N297</f>
        <v>1033952.4199999999</v>
      </c>
      <c r="D17" s="5">
        <f>'District by Cluster'!O297</f>
        <v>449896.72722358868</v>
      </c>
    </row>
    <row r="18" spans="1:6" x14ac:dyDescent="0.25">
      <c r="A18" s="1" t="s">
        <v>42</v>
      </c>
      <c r="B18" s="1" t="s">
        <v>163</v>
      </c>
      <c r="C18" s="5">
        <f>'District by Cluster'!N311</f>
        <v>430561</v>
      </c>
      <c r="D18" s="5">
        <f>'District by Cluster'!O311</f>
        <v>187347.09743231276</v>
      </c>
    </row>
    <row r="19" spans="1:6" x14ac:dyDescent="0.25">
      <c r="A19" s="1" t="s">
        <v>165</v>
      </c>
      <c r="B19" s="1" t="s">
        <v>164</v>
      </c>
      <c r="C19" s="5">
        <f>'District by Cluster'!N317</f>
        <v>98400</v>
      </c>
      <c r="D19" s="5">
        <f>'District by Cluster'!O317</f>
        <v>42816.126837636424</v>
      </c>
      <c r="F19" s="5"/>
    </row>
    <row r="20" spans="1:6" x14ac:dyDescent="0.25">
      <c r="A20" s="1" t="s">
        <v>167</v>
      </c>
      <c r="B20" s="1" t="s">
        <v>166</v>
      </c>
      <c r="C20" s="5">
        <f>'District by Cluster'!N328</f>
        <v>256664.57000000004</v>
      </c>
      <c r="D20" s="5">
        <f>'District by Cluster'!O328</f>
        <v>111680.71934804283</v>
      </c>
      <c r="F20" s="5"/>
    </row>
    <row r="21" spans="1:6" x14ac:dyDescent="0.25">
      <c r="A21" s="1" t="s">
        <v>169</v>
      </c>
      <c r="B21" s="1" t="s">
        <v>168</v>
      </c>
      <c r="C21" s="5">
        <f>'District by Cluster'!N338</f>
        <v>98860.7</v>
      </c>
      <c r="D21" s="5">
        <f>'District by Cluster'!O338</f>
        <v>43016.588114405728</v>
      </c>
    </row>
    <row r="22" spans="1:6" x14ac:dyDescent="0.25">
      <c r="A22" s="9" t="s">
        <v>171</v>
      </c>
      <c r="B22" s="9" t="s">
        <v>170</v>
      </c>
      <c r="C22" s="10">
        <f>'District by Cluster'!N350</f>
        <v>152992.44</v>
      </c>
      <c r="D22" s="10">
        <f>'District by Cluster'!O350</f>
        <v>59173.836641729707</v>
      </c>
    </row>
    <row r="23" spans="1:6" x14ac:dyDescent="0.25">
      <c r="A23" s="1" t="s">
        <v>145</v>
      </c>
      <c r="B23" s="81" t="s">
        <v>713</v>
      </c>
      <c r="C23" s="5">
        <f>SUM(C7:C22)</f>
        <v>8636906.9020000007</v>
      </c>
      <c r="D23" s="5">
        <f>SUM(D7:D22)</f>
        <v>3749663.6192766824</v>
      </c>
    </row>
    <row r="24" spans="1:6" x14ac:dyDescent="0.25">
      <c r="A24" s="1" t="s">
        <v>705</v>
      </c>
      <c r="B24" s="81" t="s">
        <v>713</v>
      </c>
      <c r="C24" s="10">
        <f>H4</f>
        <v>773.07</v>
      </c>
      <c r="D24" s="10">
        <f>I4</f>
        <v>336.3807233167845</v>
      </c>
    </row>
    <row r="25" spans="1:6" x14ac:dyDescent="0.25">
      <c r="A25" s="2" t="s">
        <v>144</v>
      </c>
      <c r="B25" s="82" t="s">
        <v>713</v>
      </c>
      <c r="C25" s="47">
        <f>C23+C24</f>
        <v>8637679.972000001</v>
      </c>
      <c r="D25" s="47">
        <f>D23+D24</f>
        <v>3749999.9999999991</v>
      </c>
    </row>
    <row r="26" spans="1:6" x14ac:dyDescent="0.25">
      <c r="A26" s="1" t="s">
        <v>711</v>
      </c>
    </row>
    <row r="27" spans="1:6" hidden="1" x14ac:dyDescent="0.25">
      <c r="B27" s="46"/>
      <c r="C27" s="47"/>
    </row>
    <row r="28" spans="1:6" hidden="1" x14ac:dyDescent="0.25">
      <c r="B28" s="51"/>
    </row>
    <row r="29" spans="1:6" hidden="1" x14ac:dyDescent="0.25">
      <c r="B29" s="52"/>
    </row>
    <row r="30" spans="1:6" hidden="1" x14ac:dyDescent="0.25">
      <c r="B30" s="49"/>
      <c r="C30" s="11"/>
    </row>
    <row r="31" spans="1:6" hidden="1" x14ac:dyDescent="0.25">
      <c r="B31" s="49"/>
      <c r="C31" s="47"/>
    </row>
    <row r="32" spans="1:6" hidden="1" x14ac:dyDescent="0.25">
      <c r="B32" s="49"/>
      <c r="C32" s="47"/>
    </row>
    <row r="33" spans="2:3" hidden="1" x14ac:dyDescent="0.25">
      <c r="B33" s="50"/>
      <c r="C33" s="47"/>
    </row>
    <row r="34" spans="2:3" hidden="1" x14ac:dyDescent="0.25">
      <c r="B34" s="7"/>
    </row>
    <row r="35" spans="2:3" hidden="1" x14ac:dyDescent="0.25"/>
    <row r="36" spans="2:3" hidden="1" x14ac:dyDescent="0.25"/>
  </sheetData>
  <sortState ref="A8:D24">
    <sortCondition ref="B8:B24"/>
    <sortCondition ref="A8:A24"/>
  </sortState>
  <pageMargins left="0.25" right="0.25" top="0.75" bottom="0.75" header="0.3" footer="0.3"/>
  <pageSetup scale="94" orientation="landscape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50"/>
  <sheetViews>
    <sheetView zoomScaleNormal="100" workbookViewId="0"/>
  </sheetViews>
  <sheetFormatPr defaultColWidth="0" defaultRowHeight="12.75" zeroHeight="1" x14ac:dyDescent="0.2"/>
  <cols>
    <col min="1" max="1" width="9.140625" style="12" customWidth="1"/>
    <col min="2" max="2" width="38.42578125" style="12" bestFit="1" customWidth="1"/>
    <col min="3" max="3" width="13.5703125" style="12" bestFit="1" customWidth="1"/>
    <col min="4" max="4" width="22.85546875" style="12" customWidth="1"/>
    <col min="5" max="5" width="9.140625" style="12" customWidth="1"/>
    <col min="6" max="6" width="19.7109375" style="12" customWidth="1"/>
    <col min="7" max="7" width="20.5703125" style="12" customWidth="1"/>
    <col min="8" max="8" width="17.85546875" style="12" customWidth="1"/>
    <col min="9" max="9" width="19" style="12" bestFit="1" customWidth="1"/>
    <col min="10" max="11" width="12.7109375" style="12" bestFit="1" customWidth="1"/>
    <col min="12" max="12" width="19.42578125" style="12" bestFit="1" customWidth="1"/>
    <col min="13" max="13" width="19.28515625" style="12" customWidth="1"/>
    <col min="14" max="14" width="18" style="12" bestFit="1" customWidth="1"/>
    <col min="15" max="15" width="13.42578125" style="60" customWidth="1"/>
    <col min="16" max="42" width="0" style="12" hidden="1"/>
    <col min="43" max="16384" width="9.140625" style="12" hidden="1"/>
  </cols>
  <sheetData>
    <row r="1" spans="1:15" ht="15.75" x14ac:dyDescent="0.25">
      <c r="A1" s="79" t="s">
        <v>174</v>
      </c>
      <c r="B1" s="36"/>
      <c r="C1" s="38">
        <f>N25</f>
        <v>463943.98000000004</v>
      </c>
      <c r="D1" s="76" t="s">
        <v>713</v>
      </c>
      <c r="E1" s="76" t="s">
        <v>713</v>
      </c>
      <c r="F1" s="76" t="s">
        <v>713</v>
      </c>
      <c r="G1" s="76" t="s">
        <v>713</v>
      </c>
      <c r="H1" s="76" t="s">
        <v>713</v>
      </c>
      <c r="I1" s="76" t="s">
        <v>713</v>
      </c>
      <c r="J1" s="76" t="s">
        <v>713</v>
      </c>
      <c r="K1" s="76" t="s">
        <v>713</v>
      </c>
      <c r="L1" s="76" t="s">
        <v>713</v>
      </c>
      <c r="M1" s="76" t="s">
        <v>713</v>
      </c>
      <c r="N1" s="12" t="s">
        <v>706</v>
      </c>
      <c r="O1" s="60" t="s">
        <v>139</v>
      </c>
    </row>
    <row r="2" spans="1:15" x14ac:dyDescent="0.2">
      <c r="A2" s="77" t="s">
        <v>175</v>
      </c>
      <c r="B2" s="14" t="s">
        <v>176</v>
      </c>
      <c r="C2" s="14" t="s">
        <v>177</v>
      </c>
      <c r="D2" s="15" t="s">
        <v>0</v>
      </c>
      <c r="E2" s="16" t="s">
        <v>178</v>
      </c>
      <c r="F2" s="15" t="s">
        <v>179</v>
      </c>
      <c r="G2" s="15" t="s">
        <v>180</v>
      </c>
      <c r="H2" s="15" t="s">
        <v>181</v>
      </c>
      <c r="I2" s="15" t="s">
        <v>183</v>
      </c>
      <c r="J2" s="15" t="s">
        <v>1</v>
      </c>
      <c r="K2" s="15" t="s">
        <v>2</v>
      </c>
      <c r="L2" s="15" t="s">
        <v>3</v>
      </c>
      <c r="M2" s="15" t="s">
        <v>184</v>
      </c>
      <c r="N2" s="15" t="s">
        <v>182</v>
      </c>
      <c r="O2" s="63" t="s">
        <v>710</v>
      </c>
    </row>
    <row r="3" spans="1:15" s="21" customFormat="1" ht="13.15" x14ac:dyDescent="0.25">
      <c r="A3" s="17" t="s">
        <v>185</v>
      </c>
      <c r="B3" s="17" t="s">
        <v>88</v>
      </c>
      <c r="C3" s="17" t="s">
        <v>185</v>
      </c>
      <c r="D3" s="18" t="s">
        <v>89</v>
      </c>
      <c r="E3" s="19" t="s">
        <v>79</v>
      </c>
      <c r="F3" s="20">
        <v>18224.36</v>
      </c>
      <c r="G3" s="20">
        <v>5394.57</v>
      </c>
      <c r="H3" s="20">
        <v>0</v>
      </c>
      <c r="I3" s="20">
        <v>0</v>
      </c>
      <c r="J3" s="20">
        <v>2779.78</v>
      </c>
      <c r="K3" s="20">
        <v>0</v>
      </c>
      <c r="L3" s="20">
        <v>21004.14</v>
      </c>
      <c r="M3" s="20">
        <v>12829.79</v>
      </c>
      <c r="N3" s="20">
        <v>8174.35</v>
      </c>
      <c r="O3" s="62">
        <f>N3*'FY2014 SUMMARY'!$B$3</f>
        <v>3556.8496586913957</v>
      </c>
    </row>
    <row r="4" spans="1:15" ht="13.15" x14ac:dyDescent="0.25">
      <c r="A4" s="22" t="s">
        <v>186</v>
      </c>
      <c r="B4" s="23" t="s">
        <v>187</v>
      </c>
      <c r="C4" s="24">
        <v>3</v>
      </c>
      <c r="D4" s="18" t="s">
        <v>89</v>
      </c>
      <c r="E4" s="19" t="s">
        <v>90</v>
      </c>
      <c r="F4" s="20"/>
      <c r="L4" s="20">
        <v>790202.54</v>
      </c>
      <c r="M4" s="20">
        <v>609042.84</v>
      </c>
      <c r="N4" s="20">
        <v>181159.7</v>
      </c>
      <c r="O4" s="62">
        <f>N4*'FY2014 SUMMARY'!$B$3</f>
        <v>78826.795661261829</v>
      </c>
    </row>
    <row r="5" spans="1:15" ht="13.15" x14ac:dyDescent="0.25">
      <c r="A5" s="25" t="s">
        <v>188</v>
      </c>
      <c r="B5" s="25" t="s">
        <v>91</v>
      </c>
      <c r="C5" s="25" t="s">
        <v>185</v>
      </c>
      <c r="D5" s="18" t="s">
        <v>89</v>
      </c>
      <c r="E5" s="19" t="s">
        <v>90</v>
      </c>
      <c r="F5" s="20">
        <v>35288.94</v>
      </c>
      <c r="G5" s="20">
        <v>16448.91</v>
      </c>
      <c r="H5" s="20">
        <v>0</v>
      </c>
      <c r="I5" s="20">
        <v>0</v>
      </c>
      <c r="J5" s="20">
        <v>0</v>
      </c>
      <c r="K5" s="20">
        <v>0</v>
      </c>
      <c r="L5" s="20">
        <v>35288.94</v>
      </c>
      <c r="M5" s="20">
        <v>18840.03</v>
      </c>
      <c r="N5" s="20">
        <v>16448.91</v>
      </c>
      <c r="O5" s="62">
        <f>N5*'FY2014 SUMMARY'!$B$3</f>
        <v>7157.303017285225</v>
      </c>
    </row>
    <row r="6" spans="1:15" s="60" customFormat="1" ht="13.15" x14ac:dyDescent="0.25">
      <c r="A6" s="56" t="s">
        <v>189</v>
      </c>
      <c r="B6" s="56" t="s">
        <v>92</v>
      </c>
      <c r="C6" s="56" t="s">
        <v>185</v>
      </c>
      <c r="D6" s="57" t="s">
        <v>89</v>
      </c>
      <c r="E6" s="58">
        <v>867</v>
      </c>
      <c r="F6" s="59">
        <v>15039.06</v>
      </c>
      <c r="G6" s="59">
        <v>4361.33</v>
      </c>
      <c r="H6" s="59">
        <v>0</v>
      </c>
      <c r="I6" s="59">
        <v>0</v>
      </c>
      <c r="J6" s="59">
        <v>0</v>
      </c>
      <c r="K6" s="59">
        <v>0</v>
      </c>
      <c r="L6" s="59">
        <f>F6</f>
        <v>15039.06</v>
      </c>
      <c r="M6" s="59">
        <f>F6-G6</f>
        <v>10677.73</v>
      </c>
      <c r="N6" s="59">
        <f>F6-M6</f>
        <v>4361.33</v>
      </c>
      <c r="O6" s="62">
        <f>N6*'FY2014 SUMMARY'!$B$3</f>
        <v>1897.7160412681794</v>
      </c>
    </row>
    <row r="7" spans="1:15" ht="13.15" x14ac:dyDescent="0.25">
      <c r="A7" s="28" t="s">
        <v>190</v>
      </c>
      <c r="B7" s="28" t="s">
        <v>93</v>
      </c>
      <c r="C7" s="28" t="s">
        <v>185</v>
      </c>
      <c r="D7" s="18" t="s">
        <v>89</v>
      </c>
      <c r="E7" s="29">
        <v>867</v>
      </c>
      <c r="F7" s="20">
        <v>23026.639999999999</v>
      </c>
      <c r="G7" s="20">
        <v>5712.71</v>
      </c>
      <c r="H7" s="20">
        <v>0</v>
      </c>
      <c r="I7" s="20">
        <v>0</v>
      </c>
      <c r="J7" s="20">
        <v>0</v>
      </c>
      <c r="K7" s="20">
        <v>0</v>
      </c>
      <c r="L7" s="20">
        <v>23026.639999999999</v>
      </c>
      <c r="M7" s="20">
        <v>17313.93</v>
      </c>
      <c r="N7" s="20">
        <v>5712.71</v>
      </c>
      <c r="O7" s="62">
        <f>N7*'FY2014 SUMMARY'!$B$3</f>
        <v>2485.7328856365243</v>
      </c>
    </row>
    <row r="8" spans="1:15" ht="13.15" x14ac:dyDescent="0.25">
      <c r="A8" s="28" t="s">
        <v>191</v>
      </c>
      <c r="B8" s="28" t="s">
        <v>94</v>
      </c>
      <c r="C8" s="28" t="s">
        <v>185</v>
      </c>
      <c r="D8" s="18" t="s">
        <v>89</v>
      </c>
      <c r="E8" s="29">
        <v>867</v>
      </c>
      <c r="F8" s="20">
        <v>22218.48</v>
      </c>
      <c r="G8" s="20">
        <v>8887.39</v>
      </c>
      <c r="H8" s="20">
        <v>0</v>
      </c>
      <c r="I8" s="20">
        <v>0</v>
      </c>
      <c r="J8" s="20">
        <v>0</v>
      </c>
      <c r="K8" s="20">
        <v>0</v>
      </c>
      <c r="L8" s="20">
        <v>22218.48</v>
      </c>
      <c r="M8" s="20">
        <v>13331.09</v>
      </c>
      <c r="N8" s="20">
        <v>8887.39</v>
      </c>
      <c r="O8" s="62">
        <f>N8*'FY2014 SUMMARY'!$B$3</f>
        <v>3867.1099338977801</v>
      </c>
    </row>
    <row r="9" spans="1:15" ht="13.15" x14ac:dyDescent="0.25">
      <c r="A9" s="25" t="s">
        <v>192</v>
      </c>
      <c r="B9" s="25" t="s">
        <v>95</v>
      </c>
      <c r="C9" s="25" t="s">
        <v>185</v>
      </c>
      <c r="D9" s="18" t="s">
        <v>89</v>
      </c>
      <c r="E9" s="19" t="s">
        <v>90</v>
      </c>
      <c r="F9" s="20">
        <v>38224.089999999997</v>
      </c>
      <c r="G9" s="20">
        <v>11467.23</v>
      </c>
      <c r="H9" s="20">
        <v>0</v>
      </c>
      <c r="I9" s="20">
        <v>0</v>
      </c>
      <c r="J9" s="20">
        <v>0</v>
      </c>
      <c r="K9" s="20">
        <v>0</v>
      </c>
      <c r="L9" s="20">
        <v>38224.089999999997</v>
      </c>
      <c r="M9" s="20">
        <v>26756.86</v>
      </c>
      <c r="N9" s="20">
        <v>11467.23</v>
      </c>
      <c r="O9" s="62">
        <f>N9*'FY2014 SUMMARY'!$B$3</f>
        <v>4989.6582739466412</v>
      </c>
    </row>
    <row r="10" spans="1:15" ht="13.15" x14ac:dyDescent="0.25">
      <c r="A10" s="25" t="s">
        <v>193</v>
      </c>
      <c r="B10" s="25" t="s">
        <v>96</v>
      </c>
      <c r="C10" s="25" t="s">
        <v>185</v>
      </c>
      <c r="D10" s="18" t="s">
        <v>89</v>
      </c>
      <c r="E10" s="29">
        <v>867</v>
      </c>
      <c r="F10" s="20">
        <v>48694.84</v>
      </c>
      <c r="G10" s="20">
        <v>16069.3</v>
      </c>
      <c r="H10" s="20">
        <v>0</v>
      </c>
      <c r="I10" s="20">
        <v>0</v>
      </c>
      <c r="J10" s="20">
        <v>0</v>
      </c>
      <c r="K10" s="20">
        <v>0</v>
      </c>
      <c r="L10" s="20">
        <v>48694.84</v>
      </c>
      <c r="M10" s="20">
        <v>32625.54</v>
      </c>
      <c r="N10" s="20">
        <v>16069.3</v>
      </c>
      <c r="O10" s="62">
        <f>N10*'FY2014 SUMMARY'!$B$3</f>
        <v>6992.1258840653554</v>
      </c>
    </row>
    <row r="11" spans="1:15" ht="13.15" x14ac:dyDescent="0.25">
      <c r="A11" s="25" t="s">
        <v>194</v>
      </c>
      <c r="B11" s="25" t="s">
        <v>97</v>
      </c>
      <c r="C11" s="25" t="s">
        <v>185</v>
      </c>
      <c r="D11" s="18" t="s">
        <v>89</v>
      </c>
      <c r="E11" s="19" t="s">
        <v>90</v>
      </c>
      <c r="F11" s="20">
        <v>22218.48</v>
      </c>
      <c r="G11" s="20">
        <v>7776.47</v>
      </c>
      <c r="H11" s="20">
        <v>0</v>
      </c>
      <c r="I11" s="20">
        <v>0</v>
      </c>
      <c r="J11" s="20">
        <v>0</v>
      </c>
      <c r="K11" s="20">
        <v>0</v>
      </c>
      <c r="L11" s="20">
        <v>22218.48</v>
      </c>
      <c r="M11" s="20">
        <v>14442.01</v>
      </c>
      <c r="N11" s="20">
        <v>7776.47</v>
      </c>
      <c r="O11" s="62">
        <f>N11*'FY2014 SUMMARY'!$B$3</f>
        <v>3383.7228238727089</v>
      </c>
    </row>
    <row r="12" spans="1:15" ht="13.15" x14ac:dyDescent="0.25">
      <c r="A12" s="28" t="s">
        <v>195</v>
      </c>
      <c r="B12" s="28" t="s">
        <v>98</v>
      </c>
      <c r="C12" s="28" t="s">
        <v>185</v>
      </c>
      <c r="D12" s="18" t="s">
        <v>89</v>
      </c>
      <c r="E12" s="29">
        <v>867</v>
      </c>
      <c r="F12" s="20">
        <v>16276.53</v>
      </c>
      <c r="G12" s="20">
        <v>8952.09</v>
      </c>
      <c r="H12" s="20">
        <v>0</v>
      </c>
      <c r="I12" s="20">
        <v>0</v>
      </c>
      <c r="J12" s="20">
        <v>0</v>
      </c>
      <c r="K12" s="20">
        <v>0</v>
      </c>
      <c r="L12" s="20">
        <v>16276.53</v>
      </c>
      <c r="M12" s="20">
        <v>7324.44</v>
      </c>
      <c r="N12" s="20">
        <v>8952.09</v>
      </c>
      <c r="O12" s="62">
        <f>N12*'FY2014 SUMMARY'!$B$3</f>
        <v>3895.2624075400067</v>
      </c>
    </row>
    <row r="13" spans="1:15" ht="13.15" x14ac:dyDescent="0.25">
      <c r="A13" s="25" t="s">
        <v>196</v>
      </c>
      <c r="B13" s="25" t="s">
        <v>99</v>
      </c>
      <c r="C13" s="25" t="s">
        <v>185</v>
      </c>
      <c r="D13" s="18" t="s">
        <v>89</v>
      </c>
      <c r="E13" s="19" t="s">
        <v>90</v>
      </c>
      <c r="F13" s="20">
        <v>19847.490000000002</v>
      </c>
      <c r="G13" s="20">
        <v>9923.74</v>
      </c>
      <c r="H13" s="20">
        <v>0</v>
      </c>
      <c r="I13" s="20">
        <v>0</v>
      </c>
      <c r="J13" s="20">
        <v>0</v>
      </c>
      <c r="K13" s="20">
        <v>0</v>
      </c>
      <c r="L13" s="20">
        <v>19847.490000000002</v>
      </c>
      <c r="M13" s="20">
        <v>9923.75</v>
      </c>
      <c r="N13" s="20">
        <v>9923.74</v>
      </c>
      <c r="O13" s="62">
        <f>N13*'FY2014 SUMMARY'!$B$3</f>
        <v>4318.049903899655</v>
      </c>
    </row>
    <row r="14" spans="1:15" ht="13.15" x14ac:dyDescent="0.25">
      <c r="A14" s="25" t="s">
        <v>197</v>
      </c>
      <c r="B14" s="25" t="s">
        <v>100</v>
      </c>
      <c r="C14" s="25" t="s">
        <v>185</v>
      </c>
      <c r="D14" s="18" t="s">
        <v>89</v>
      </c>
      <c r="E14" s="19" t="s">
        <v>90</v>
      </c>
      <c r="F14" s="20">
        <v>19165.2</v>
      </c>
      <c r="G14" s="20">
        <v>8624.34</v>
      </c>
      <c r="H14" s="20">
        <v>0</v>
      </c>
      <c r="I14" s="20">
        <v>0</v>
      </c>
      <c r="J14" s="20">
        <v>0</v>
      </c>
      <c r="K14" s="20">
        <v>0</v>
      </c>
      <c r="L14" s="20">
        <v>19165.2</v>
      </c>
      <c r="M14" s="20">
        <v>10540.86</v>
      </c>
      <c r="N14" s="20">
        <v>8624.34</v>
      </c>
      <c r="O14" s="62">
        <f>N14*'FY2014 SUMMARY'!$B$3</f>
        <v>3752.6507655579403</v>
      </c>
    </row>
    <row r="15" spans="1:15" ht="13.15" x14ac:dyDescent="0.25">
      <c r="A15" s="28" t="s">
        <v>198</v>
      </c>
      <c r="B15" s="28" t="s">
        <v>101</v>
      </c>
      <c r="C15" s="28" t="s">
        <v>185</v>
      </c>
      <c r="D15" s="18" t="s">
        <v>89</v>
      </c>
      <c r="E15" s="19" t="s">
        <v>90</v>
      </c>
      <c r="F15" s="20">
        <v>16290.79</v>
      </c>
      <c r="G15" s="20">
        <v>4887.24</v>
      </c>
      <c r="H15" s="20">
        <v>0</v>
      </c>
      <c r="I15" s="20">
        <v>0</v>
      </c>
      <c r="J15" s="20">
        <v>0</v>
      </c>
      <c r="K15" s="20">
        <v>0</v>
      </c>
      <c r="L15" s="20">
        <v>16290.79</v>
      </c>
      <c r="M15" s="20">
        <v>11403.55</v>
      </c>
      <c r="N15" s="20">
        <v>4887.24</v>
      </c>
      <c r="O15" s="62">
        <f>N15*'FY2014 SUMMARY'!$B$3</f>
        <v>2126.5517045322176</v>
      </c>
    </row>
    <row r="16" spans="1:15" ht="13.15" x14ac:dyDescent="0.25">
      <c r="A16" s="28" t="s">
        <v>199</v>
      </c>
      <c r="B16" s="28" t="s">
        <v>102</v>
      </c>
      <c r="C16" s="28" t="s">
        <v>185</v>
      </c>
      <c r="D16" s="18" t="s">
        <v>89</v>
      </c>
      <c r="E16" s="29">
        <v>867</v>
      </c>
      <c r="F16" s="20">
        <v>64740</v>
      </c>
      <c r="G16" s="20">
        <v>21502.799999999999</v>
      </c>
      <c r="H16" s="20">
        <v>0</v>
      </c>
      <c r="I16" s="20">
        <v>0</v>
      </c>
      <c r="J16" s="20">
        <v>0</v>
      </c>
      <c r="K16" s="20">
        <v>0</v>
      </c>
      <c r="L16" s="20">
        <v>64740</v>
      </c>
      <c r="M16" s="20">
        <v>43237.2</v>
      </c>
      <c r="N16" s="20">
        <v>21502.799999999999</v>
      </c>
      <c r="O16" s="62">
        <f>N16*'FY2014 SUMMARY'!$B$3</f>
        <v>9356.3680098000859</v>
      </c>
    </row>
    <row r="17" spans="1:15" ht="13.15" x14ac:dyDescent="0.25">
      <c r="A17" s="28" t="s">
        <v>200</v>
      </c>
      <c r="B17" s="28" t="s">
        <v>103</v>
      </c>
      <c r="C17" s="28" t="s">
        <v>185</v>
      </c>
      <c r="D17" s="18" t="s">
        <v>89</v>
      </c>
      <c r="E17" s="29">
        <v>867</v>
      </c>
      <c r="F17" s="20">
        <v>21032.94</v>
      </c>
      <c r="G17" s="20">
        <v>12619.76</v>
      </c>
      <c r="H17" s="20">
        <v>0</v>
      </c>
      <c r="I17" s="20">
        <v>0</v>
      </c>
      <c r="J17" s="20">
        <v>5524.79</v>
      </c>
      <c r="K17" s="20">
        <v>0</v>
      </c>
      <c r="L17" s="20">
        <v>26557.73</v>
      </c>
      <c r="M17" s="20">
        <v>8413.18</v>
      </c>
      <c r="N17" s="20">
        <v>18144.55</v>
      </c>
      <c r="O17" s="62">
        <f>N17*'FY2014 SUMMARY'!$B$3</f>
        <v>7895.1153883316665</v>
      </c>
    </row>
    <row r="18" spans="1:15" ht="13.15" x14ac:dyDescent="0.25">
      <c r="A18" s="28" t="s">
        <v>201</v>
      </c>
      <c r="B18" s="28" t="s">
        <v>104</v>
      </c>
      <c r="C18" s="28" t="s">
        <v>185</v>
      </c>
      <c r="D18" s="18" t="s">
        <v>89</v>
      </c>
      <c r="E18" s="29">
        <v>867</v>
      </c>
      <c r="F18" s="20">
        <v>45512.37</v>
      </c>
      <c r="G18" s="20">
        <v>22501.56</v>
      </c>
      <c r="H18" s="20">
        <v>0</v>
      </c>
      <c r="I18" s="20">
        <v>0</v>
      </c>
      <c r="J18" s="20">
        <v>0</v>
      </c>
      <c r="K18" s="20">
        <v>0</v>
      </c>
      <c r="L18" s="20">
        <v>45512.37</v>
      </c>
      <c r="M18" s="20">
        <v>23010.81</v>
      </c>
      <c r="N18" s="20">
        <v>22501.56</v>
      </c>
      <c r="O18" s="62">
        <f>N18*'FY2014 SUMMARY'!$B$3</f>
        <v>9790.9516972020974</v>
      </c>
    </row>
    <row r="19" spans="1:15" ht="13.15" x14ac:dyDescent="0.25">
      <c r="A19" s="28" t="s">
        <v>202</v>
      </c>
      <c r="B19" s="28" t="s">
        <v>105</v>
      </c>
      <c r="C19" s="28" t="s">
        <v>185</v>
      </c>
      <c r="D19" s="18" t="s">
        <v>89</v>
      </c>
      <c r="E19" s="29">
        <v>867</v>
      </c>
      <c r="F19" s="20">
        <v>39289.47</v>
      </c>
      <c r="G19" s="20">
        <v>23573.68</v>
      </c>
      <c r="H19" s="20">
        <v>0</v>
      </c>
      <c r="I19" s="20">
        <v>0</v>
      </c>
      <c r="J19" s="20">
        <v>0</v>
      </c>
      <c r="K19" s="20">
        <v>0</v>
      </c>
      <c r="L19" s="20">
        <v>39289.47</v>
      </c>
      <c r="M19" s="20">
        <v>15715.79</v>
      </c>
      <c r="N19" s="20">
        <v>23573.68</v>
      </c>
      <c r="O19" s="62">
        <f>N19*'FY2014 SUMMARY'!$B$3</f>
        <v>10257.456025506637</v>
      </c>
    </row>
    <row r="20" spans="1:15" ht="13.15" x14ac:dyDescent="0.25">
      <c r="A20" s="28" t="s">
        <v>203</v>
      </c>
      <c r="B20" s="28" t="s">
        <v>106</v>
      </c>
      <c r="C20" s="28" t="s">
        <v>185</v>
      </c>
      <c r="D20" s="18" t="s">
        <v>89</v>
      </c>
      <c r="E20" s="29">
        <v>867</v>
      </c>
      <c r="F20" s="20">
        <v>17464.05</v>
      </c>
      <c r="G20" s="20">
        <v>8732.02</v>
      </c>
      <c r="H20" s="20">
        <v>0</v>
      </c>
      <c r="I20" s="20">
        <v>0</v>
      </c>
      <c r="J20" s="20">
        <v>0</v>
      </c>
      <c r="K20" s="20">
        <v>0</v>
      </c>
      <c r="L20" s="20">
        <v>17464.05</v>
      </c>
      <c r="M20" s="20">
        <v>8732.0300000000007</v>
      </c>
      <c r="N20" s="20">
        <v>8732.02</v>
      </c>
      <c r="O20" s="62">
        <f>N20*'FY2014 SUMMARY'!$B$3</f>
        <v>3799.5048360648175</v>
      </c>
    </row>
    <row r="21" spans="1:15" ht="13.15" x14ac:dyDescent="0.25">
      <c r="A21" s="28" t="s">
        <v>204</v>
      </c>
      <c r="B21" s="28" t="s">
        <v>107</v>
      </c>
      <c r="C21" s="28" t="s">
        <v>185</v>
      </c>
      <c r="D21" s="18" t="s">
        <v>89</v>
      </c>
      <c r="E21" s="19" t="s">
        <v>90</v>
      </c>
      <c r="F21" s="20">
        <v>23449.95</v>
      </c>
      <c r="G21" s="20">
        <v>12921.98</v>
      </c>
      <c r="H21" s="20">
        <v>0</v>
      </c>
      <c r="I21" s="20">
        <v>0</v>
      </c>
      <c r="J21" s="20">
        <v>7328</v>
      </c>
      <c r="K21" s="20">
        <v>0</v>
      </c>
      <c r="L21" s="20">
        <v>30777.95</v>
      </c>
      <c r="M21" s="20">
        <v>10527.97</v>
      </c>
      <c r="N21" s="20">
        <v>20249.98</v>
      </c>
      <c r="O21" s="62">
        <f>N21*'FY2014 SUMMARY'!$B$3</f>
        <v>8811.2369119878131</v>
      </c>
    </row>
    <row r="22" spans="1:15" ht="13.15" x14ac:dyDescent="0.25">
      <c r="A22" s="25" t="s">
        <v>205</v>
      </c>
      <c r="B22" s="25" t="s">
        <v>108</v>
      </c>
      <c r="C22" s="25" t="s">
        <v>185</v>
      </c>
      <c r="D22" s="18" t="s">
        <v>89</v>
      </c>
      <c r="E22" s="29">
        <v>867</v>
      </c>
      <c r="F22" s="20">
        <v>16290.99</v>
      </c>
      <c r="G22" s="20">
        <v>8145.49</v>
      </c>
      <c r="H22" s="20">
        <v>0</v>
      </c>
      <c r="I22" s="20">
        <v>0</v>
      </c>
      <c r="J22" s="20">
        <v>0</v>
      </c>
      <c r="K22" s="20">
        <v>0</v>
      </c>
      <c r="L22" s="20">
        <v>16290.99</v>
      </c>
      <c r="M22" s="20">
        <v>8145.5</v>
      </c>
      <c r="N22" s="20">
        <v>8145.49</v>
      </c>
      <c r="O22" s="62">
        <f>N22*'FY2014 SUMMARY'!$B$3</f>
        <v>3544.2920019786493</v>
      </c>
    </row>
    <row r="23" spans="1:15" ht="13.15" x14ac:dyDescent="0.25">
      <c r="A23" s="25" t="s">
        <v>206</v>
      </c>
      <c r="B23" s="25" t="s">
        <v>109</v>
      </c>
      <c r="C23" s="25" t="s">
        <v>185</v>
      </c>
      <c r="D23" s="18" t="s">
        <v>89</v>
      </c>
      <c r="E23" s="19" t="s">
        <v>90</v>
      </c>
      <c r="F23" s="20">
        <v>19132.53</v>
      </c>
      <c r="G23" s="20">
        <v>4001.27</v>
      </c>
      <c r="H23" s="20">
        <v>0</v>
      </c>
      <c r="I23" s="20">
        <v>0</v>
      </c>
      <c r="J23" s="20">
        <v>0</v>
      </c>
      <c r="K23" s="20">
        <v>0</v>
      </c>
      <c r="L23" s="20">
        <v>19132.53</v>
      </c>
      <c r="M23" s="20">
        <v>15131.26</v>
      </c>
      <c r="N23" s="20">
        <v>4001.27</v>
      </c>
      <c r="O23" s="62">
        <f>N23*'FY2014 SUMMARY'!$B$3</f>
        <v>1741.0455673946087</v>
      </c>
    </row>
    <row r="24" spans="1:15" ht="13.9" thickBot="1" x14ac:dyDescent="0.3">
      <c r="A24" s="30" t="s">
        <v>207</v>
      </c>
      <c r="B24" s="30" t="s">
        <v>110</v>
      </c>
      <c r="C24" s="30" t="s">
        <v>185</v>
      </c>
      <c r="D24" s="31" t="s">
        <v>89</v>
      </c>
      <c r="E24" s="32" t="s">
        <v>90</v>
      </c>
      <c r="F24" s="33">
        <v>99217.4</v>
      </c>
      <c r="G24" s="33">
        <v>44647.83</v>
      </c>
      <c r="H24" s="33">
        <v>0</v>
      </c>
      <c r="I24" s="33">
        <v>0</v>
      </c>
      <c r="J24" s="33">
        <v>0</v>
      </c>
      <c r="K24" s="33">
        <v>0</v>
      </c>
      <c r="L24" s="33">
        <v>99217.4</v>
      </c>
      <c r="M24" s="33">
        <v>54569.57</v>
      </c>
      <c r="N24" s="33">
        <v>44647.83</v>
      </c>
      <c r="O24" s="62">
        <f>N24*'FY2014 SUMMARY'!$B$3</f>
        <v>19427.308458386469</v>
      </c>
    </row>
    <row r="25" spans="1:15" x14ac:dyDescent="0.2">
      <c r="A25" s="76" t="s">
        <v>712</v>
      </c>
      <c r="N25" s="13">
        <f>SUM(N3:N24)</f>
        <v>463943.98000000004</v>
      </c>
      <c r="O25" s="65">
        <f>SUM(O3:O24)</f>
        <v>201872.80785810831</v>
      </c>
    </row>
    <row r="26" spans="1:15" ht="13.15" x14ac:dyDescent="0.25">
      <c r="A26" s="36" t="s">
        <v>208</v>
      </c>
      <c r="B26" s="36"/>
      <c r="C26" s="38">
        <f>N37</f>
        <v>85674.13</v>
      </c>
    </row>
    <row r="27" spans="1:15" ht="13.15" x14ac:dyDescent="0.25">
      <c r="A27" s="14" t="s">
        <v>175</v>
      </c>
      <c r="B27" s="14" t="s">
        <v>176</v>
      </c>
      <c r="C27" s="14" t="s">
        <v>177</v>
      </c>
      <c r="D27" s="15" t="s">
        <v>0</v>
      </c>
      <c r="E27" s="16" t="s">
        <v>178</v>
      </c>
      <c r="F27" s="15" t="s">
        <v>179</v>
      </c>
      <c r="G27" s="15" t="s">
        <v>180</v>
      </c>
      <c r="H27" s="15" t="s">
        <v>181</v>
      </c>
      <c r="I27" s="15" t="s">
        <v>183</v>
      </c>
      <c r="J27" s="15" t="s">
        <v>1</v>
      </c>
      <c r="K27" s="15" t="s">
        <v>2</v>
      </c>
      <c r="L27" s="15" t="s">
        <v>3</v>
      </c>
      <c r="M27" s="15" t="s">
        <v>184</v>
      </c>
      <c r="N27" s="15" t="s">
        <v>182</v>
      </c>
    </row>
    <row r="28" spans="1:15" ht="13.15" x14ac:dyDescent="0.25">
      <c r="A28" s="25" t="s">
        <v>209</v>
      </c>
      <c r="B28" s="25" t="s">
        <v>77</v>
      </c>
      <c r="C28" s="25" t="s">
        <v>185</v>
      </c>
      <c r="D28" s="18" t="s">
        <v>78</v>
      </c>
      <c r="E28" s="19" t="s">
        <v>79</v>
      </c>
      <c r="F28" s="20">
        <v>13471.49</v>
      </c>
      <c r="G28" s="20">
        <v>2020.72</v>
      </c>
      <c r="H28" s="20">
        <v>0</v>
      </c>
      <c r="I28" s="20">
        <v>0</v>
      </c>
      <c r="J28" s="20">
        <v>847.65</v>
      </c>
      <c r="K28" s="20">
        <v>0</v>
      </c>
      <c r="L28" s="20">
        <v>14319.14</v>
      </c>
      <c r="M28" s="20">
        <v>11450.77</v>
      </c>
      <c r="N28" s="20">
        <v>2868.37</v>
      </c>
      <c r="O28" s="62">
        <f>N28*'FY2014 SUMMARY'!$B$3</f>
        <v>1248.0944485495038</v>
      </c>
    </row>
    <row r="29" spans="1:15" ht="13.15" x14ac:dyDescent="0.25">
      <c r="A29" s="28" t="s">
        <v>210</v>
      </c>
      <c r="B29" s="28" t="s">
        <v>80</v>
      </c>
      <c r="C29" s="28" t="s">
        <v>185</v>
      </c>
      <c r="D29" s="18" t="s">
        <v>78</v>
      </c>
      <c r="E29" s="19" t="s">
        <v>79</v>
      </c>
      <c r="F29" s="20">
        <v>9058.27</v>
      </c>
      <c r="G29" s="20">
        <v>3079.81</v>
      </c>
      <c r="H29" s="20">
        <v>0</v>
      </c>
      <c r="I29" s="20">
        <v>0</v>
      </c>
      <c r="J29" s="20">
        <v>1680.17</v>
      </c>
      <c r="K29" s="20">
        <v>0</v>
      </c>
      <c r="L29" s="20">
        <v>10738.44</v>
      </c>
      <c r="M29" s="20">
        <v>5978.46</v>
      </c>
      <c r="N29" s="20">
        <v>4759.9799999999996</v>
      </c>
      <c r="O29" s="62">
        <f>N29*'FY2014 SUMMARY'!$B$3</f>
        <v>2071.1779209818355</v>
      </c>
    </row>
    <row r="30" spans="1:15" ht="13.15" x14ac:dyDescent="0.25">
      <c r="A30" s="28" t="s">
        <v>211</v>
      </c>
      <c r="B30" s="28" t="s">
        <v>81</v>
      </c>
      <c r="C30" s="28" t="s">
        <v>185</v>
      </c>
      <c r="D30" s="18" t="s">
        <v>78</v>
      </c>
      <c r="E30" s="19" t="s">
        <v>79</v>
      </c>
      <c r="F30" s="20">
        <v>39624</v>
      </c>
      <c r="G30" s="20">
        <v>13076</v>
      </c>
      <c r="H30" s="20">
        <v>0</v>
      </c>
      <c r="I30" s="20">
        <v>0</v>
      </c>
      <c r="J30" s="20">
        <v>5829.42</v>
      </c>
      <c r="K30" s="20">
        <v>0</v>
      </c>
      <c r="L30" s="20">
        <v>45453.42</v>
      </c>
      <c r="M30" s="20">
        <v>26548</v>
      </c>
      <c r="N30" s="20">
        <v>18905.419999999998</v>
      </c>
      <c r="O30" s="62">
        <f>N30*'FY2014 SUMMARY'!$B$3</f>
        <v>8226.187608117767</v>
      </c>
    </row>
    <row r="31" spans="1:15" x14ac:dyDescent="0.2">
      <c r="A31" s="28" t="s">
        <v>212</v>
      </c>
      <c r="B31" s="28" t="s">
        <v>82</v>
      </c>
      <c r="C31" s="28" t="s">
        <v>185</v>
      </c>
      <c r="D31" s="18" t="s">
        <v>78</v>
      </c>
      <c r="E31" s="19" t="s">
        <v>79</v>
      </c>
      <c r="F31" s="20">
        <v>19882.84</v>
      </c>
      <c r="G31" s="20">
        <v>6022.84</v>
      </c>
      <c r="H31" s="20">
        <v>0</v>
      </c>
      <c r="I31" s="20">
        <v>0</v>
      </c>
      <c r="J31" s="20">
        <v>673.64</v>
      </c>
      <c r="K31" s="20">
        <v>0</v>
      </c>
      <c r="L31" s="20">
        <v>20556.48</v>
      </c>
      <c r="M31" s="20">
        <v>13860</v>
      </c>
      <c r="N31" s="20">
        <v>6696.48</v>
      </c>
      <c r="O31" s="62">
        <f>N31*'FY2014 SUMMARY'!$B$3</f>
        <v>2913.7940756676376</v>
      </c>
    </row>
    <row r="32" spans="1:15" x14ac:dyDescent="0.2">
      <c r="A32" s="25" t="s">
        <v>213</v>
      </c>
      <c r="B32" s="25" t="s">
        <v>84</v>
      </c>
      <c r="C32" s="25" t="s">
        <v>185</v>
      </c>
      <c r="D32" s="18" t="s">
        <v>78</v>
      </c>
      <c r="E32" s="19" t="s">
        <v>79</v>
      </c>
      <c r="F32" s="20">
        <v>11400</v>
      </c>
      <c r="G32" s="20">
        <v>5700</v>
      </c>
      <c r="H32" s="20">
        <v>0</v>
      </c>
      <c r="I32" s="20">
        <v>0</v>
      </c>
      <c r="J32" s="20">
        <v>2668.11</v>
      </c>
      <c r="K32" s="20">
        <v>0</v>
      </c>
      <c r="L32" s="20">
        <v>14068.11</v>
      </c>
      <c r="M32" s="20">
        <v>5700</v>
      </c>
      <c r="N32" s="20">
        <v>8368.11</v>
      </c>
      <c r="O32" s="62">
        <f>N32*'FY2014 SUMMARY'!$B$3</f>
        <v>3641.1591377164</v>
      </c>
    </row>
    <row r="33" spans="1:15" x14ac:dyDescent="0.2">
      <c r="A33" s="25" t="s">
        <v>214</v>
      </c>
      <c r="B33" s="25" t="s">
        <v>85</v>
      </c>
      <c r="C33" s="25" t="s">
        <v>185</v>
      </c>
      <c r="D33" s="18" t="s">
        <v>78</v>
      </c>
      <c r="E33" s="19" t="s">
        <v>79</v>
      </c>
      <c r="F33" s="20">
        <v>13098</v>
      </c>
      <c r="G33" s="20">
        <v>3929</v>
      </c>
      <c r="H33" s="20">
        <v>0</v>
      </c>
      <c r="I33" s="20">
        <v>0</v>
      </c>
      <c r="J33" s="20">
        <v>636.87</v>
      </c>
      <c r="K33" s="20">
        <v>0</v>
      </c>
      <c r="L33" s="20">
        <v>13734.87</v>
      </c>
      <c r="M33" s="20">
        <v>9169</v>
      </c>
      <c r="N33" s="20">
        <v>4565.87</v>
      </c>
      <c r="O33" s="62">
        <f>N33*'FY2014 SUMMARY'!$B$3</f>
        <v>1986.7161488227541</v>
      </c>
    </row>
    <row r="34" spans="1:15" x14ac:dyDescent="0.2">
      <c r="A34" s="25" t="s">
        <v>215</v>
      </c>
      <c r="B34" s="25" t="s">
        <v>86</v>
      </c>
      <c r="C34" s="25" t="s">
        <v>185</v>
      </c>
      <c r="D34" s="18" t="s">
        <v>78</v>
      </c>
      <c r="E34" s="19" t="s">
        <v>79</v>
      </c>
      <c r="F34" s="20">
        <v>20026.38</v>
      </c>
      <c r="G34" s="20">
        <v>8482.3799999999992</v>
      </c>
      <c r="H34" s="20">
        <v>0</v>
      </c>
      <c r="I34" s="20">
        <v>0</v>
      </c>
      <c r="J34" s="20">
        <v>948.21</v>
      </c>
      <c r="K34" s="20">
        <v>0</v>
      </c>
      <c r="L34" s="20">
        <v>20974.59</v>
      </c>
      <c r="M34" s="20">
        <v>11544</v>
      </c>
      <c r="N34" s="20">
        <v>9430.59</v>
      </c>
      <c r="O34" s="62">
        <f>N34*'FY2014 SUMMARY'!$B$3</f>
        <v>4103.4688779852204</v>
      </c>
    </row>
    <row r="35" spans="1:15" x14ac:dyDescent="0.2">
      <c r="A35" s="28" t="s">
        <v>216</v>
      </c>
      <c r="B35" s="28" t="s">
        <v>118</v>
      </c>
      <c r="C35" s="28" t="s">
        <v>185</v>
      </c>
      <c r="D35" s="18" t="s">
        <v>78</v>
      </c>
      <c r="E35" s="19" t="s">
        <v>79</v>
      </c>
      <c r="F35" s="20">
        <v>23250</v>
      </c>
      <c r="G35" s="20">
        <v>7290</v>
      </c>
      <c r="H35" s="20">
        <v>0</v>
      </c>
      <c r="I35" s="20">
        <v>0</v>
      </c>
      <c r="J35" s="20">
        <v>2374.98</v>
      </c>
      <c r="K35" s="20">
        <v>0</v>
      </c>
      <c r="L35" s="20">
        <v>25624.98</v>
      </c>
      <c r="M35" s="20">
        <v>15960</v>
      </c>
      <c r="N35" s="20">
        <v>9664.98</v>
      </c>
      <c r="O35" s="62">
        <f>N35*'FY2014 SUMMARY'!$B$3</f>
        <v>4205.4574142603587</v>
      </c>
    </row>
    <row r="36" spans="1:15" ht="13.5" thickBot="1" x14ac:dyDescent="0.25">
      <c r="A36" s="35" t="s">
        <v>217</v>
      </c>
      <c r="B36" s="35" t="s">
        <v>87</v>
      </c>
      <c r="C36" s="35" t="s">
        <v>185</v>
      </c>
      <c r="D36" s="31" t="s">
        <v>78</v>
      </c>
      <c r="E36" s="32" t="s">
        <v>79</v>
      </c>
      <c r="F36" s="33">
        <v>7800</v>
      </c>
      <c r="G36" s="33">
        <v>4680</v>
      </c>
      <c r="H36" s="33">
        <v>18500</v>
      </c>
      <c r="I36" s="33">
        <v>11100</v>
      </c>
      <c r="J36" s="33">
        <v>4634.33</v>
      </c>
      <c r="K36" s="33">
        <v>0</v>
      </c>
      <c r="L36" s="33">
        <v>30934.33</v>
      </c>
      <c r="M36" s="33">
        <v>10520</v>
      </c>
      <c r="N36" s="33">
        <v>20414.330000000002</v>
      </c>
      <c r="O36" s="62">
        <f>N36*'FY2014 SUMMARY'!$B$3</f>
        <v>8882.7494165179523</v>
      </c>
    </row>
    <row r="37" spans="1:15" x14ac:dyDescent="0.2">
      <c r="A37" s="76" t="s">
        <v>712</v>
      </c>
      <c r="N37" s="13">
        <f>SUM(N28:N36)</f>
        <v>85674.13</v>
      </c>
      <c r="O37" s="13">
        <f>SUM(O28:O36)</f>
        <v>37278.805048619433</v>
      </c>
    </row>
    <row r="38" spans="1:15" x14ac:dyDescent="0.2">
      <c r="A38" s="36" t="s">
        <v>218</v>
      </c>
      <c r="B38" s="36"/>
      <c r="C38" s="38">
        <f>N102</f>
        <v>1044903.3720000001</v>
      </c>
      <c r="L38" s="13"/>
    </row>
    <row r="39" spans="1:15" x14ac:dyDescent="0.2">
      <c r="A39" s="14" t="s">
        <v>175</v>
      </c>
      <c r="B39" s="14" t="s">
        <v>176</v>
      </c>
      <c r="C39" s="14" t="s">
        <v>177</v>
      </c>
      <c r="D39" s="15" t="s">
        <v>0</v>
      </c>
      <c r="E39" s="16" t="s">
        <v>178</v>
      </c>
      <c r="F39" s="15" t="s">
        <v>179</v>
      </c>
      <c r="G39" s="15" t="s">
        <v>180</v>
      </c>
      <c r="H39" s="15" t="s">
        <v>181</v>
      </c>
      <c r="I39" s="15" t="s">
        <v>183</v>
      </c>
      <c r="J39" s="15" t="s">
        <v>1</v>
      </c>
      <c r="K39" s="15" t="s">
        <v>2</v>
      </c>
      <c r="L39" s="15" t="s">
        <v>3</v>
      </c>
      <c r="M39" s="15" t="s">
        <v>184</v>
      </c>
      <c r="N39" s="15" t="s">
        <v>182</v>
      </c>
    </row>
    <row r="40" spans="1:15" x14ac:dyDescent="0.2">
      <c r="A40" s="28" t="s">
        <v>219</v>
      </c>
      <c r="B40" s="28" t="s">
        <v>220</v>
      </c>
      <c r="C40" s="28" t="s">
        <v>185</v>
      </c>
      <c r="D40" s="18" t="s">
        <v>221</v>
      </c>
      <c r="E40" s="19" t="s">
        <v>222</v>
      </c>
      <c r="F40" s="20">
        <v>56337.64</v>
      </c>
      <c r="G40" s="20">
        <v>16901.29</v>
      </c>
      <c r="H40" s="20">
        <v>0</v>
      </c>
      <c r="I40" s="20">
        <v>0</v>
      </c>
      <c r="J40" s="20">
        <v>750</v>
      </c>
      <c r="K40" s="20">
        <v>0</v>
      </c>
      <c r="L40" s="20">
        <v>57087.64</v>
      </c>
      <c r="M40" s="20">
        <v>39436.35</v>
      </c>
      <c r="N40" s="20">
        <f>L40-M40</f>
        <v>17651.29</v>
      </c>
      <c r="O40" s="62">
        <f>N40*'FY2014 SUMMARY'!$B$3</f>
        <v>7680.4864988608078</v>
      </c>
    </row>
    <row r="41" spans="1:15" x14ac:dyDescent="0.2">
      <c r="A41" s="44" t="s">
        <v>223</v>
      </c>
      <c r="B41" s="28" t="s">
        <v>224</v>
      </c>
      <c r="C41" s="28" t="s">
        <v>185</v>
      </c>
      <c r="D41" s="18" t="s">
        <v>221</v>
      </c>
      <c r="E41" s="19" t="s">
        <v>225</v>
      </c>
      <c r="F41" s="20">
        <v>16027.97</v>
      </c>
      <c r="G41" s="20">
        <v>1602.8</v>
      </c>
      <c r="H41" s="20">
        <v>800</v>
      </c>
      <c r="I41" s="20">
        <v>80</v>
      </c>
      <c r="J41" s="20">
        <v>750</v>
      </c>
      <c r="K41" s="20">
        <v>0</v>
      </c>
      <c r="L41" s="20">
        <v>17577.97</v>
      </c>
      <c r="M41" s="20">
        <v>15145.17</v>
      </c>
      <c r="N41" s="20">
        <v>2432.8000000000002</v>
      </c>
      <c r="O41" s="64" t="s">
        <v>704</v>
      </c>
    </row>
    <row r="42" spans="1:15" x14ac:dyDescent="0.2">
      <c r="A42" s="25" t="s">
        <v>226</v>
      </c>
      <c r="B42" s="25" t="s">
        <v>227</v>
      </c>
      <c r="C42" s="25" t="s">
        <v>185</v>
      </c>
      <c r="D42" s="18" t="s">
        <v>221</v>
      </c>
      <c r="E42" s="19" t="s">
        <v>222</v>
      </c>
      <c r="F42" s="20">
        <v>51368.86</v>
      </c>
      <c r="G42" s="20">
        <v>10974.57</v>
      </c>
      <c r="H42" s="20">
        <v>100</v>
      </c>
      <c r="I42" s="20">
        <v>20</v>
      </c>
      <c r="J42" s="20">
        <v>1700</v>
      </c>
      <c r="K42" s="20">
        <v>0</v>
      </c>
      <c r="L42" s="20">
        <v>53168.86</v>
      </c>
      <c r="M42" s="20">
        <v>40474.29</v>
      </c>
      <c r="N42" s="20">
        <v>12694.57</v>
      </c>
      <c r="O42" s="62">
        <f>N42*'FY2014 SUMMARY'!$B$3</f>
        <v>5523.7024315981116</v>
      </c>
    </row>
    <row r="43" spans="1:15" x14ac:dyDescent="0.2">
      <c r="A43" s="28" t="s">
        <v>228</v>
      </c>
      <c r="B43" s="28" t="s">
        <v>229</v>
      </c>
      <c r="C43" s="28" t="s">
        <v>185</v>
      </c>
      <c r="D43" s="18" t="s">
        <v>221</v>
      </c>
      <c r="E43" s="19" t="s">
        <v>225</v>
      </c>
      <c r="F43" s="20">
        <v>32208.99</v>
      </c>
      <c r="G43" s="20">
        <v>3220.9</v>
      </c>
      <c r="H43" s="20">
        <v>100</v>
      </c>
      <c r="I43" s="20">
        <v>10</v>
      </c>
      <c r="J43" s="20">
        <v>750</v>
      </c>
      <c r="K43" s="20">
        <v>0</v>
      </c>
      <c r="L43" s="20">
        <v>33058.99</v>
      </c>
      <c r="M43" s="20">
        <v>29078.09</v>
      </c>
      <c r="N43" s="20">
        <v>3980.9</v>
      </c>
      <c r="O43" s="62">
        <f>N43*'FY2014 SUMMARY'!$B$3</f>
        <v>1732.1821069913296</v>
      </c>
    </row>
    <row r="44" spans="1:15" x14ac:dyDescent="0.2">
      <c r="A44" s="25" t="s">
        <v>230</v>
      </c>
      <c r="B44" s="25" t="s">
        <v>231</v>
      </c>
      <c r="C44" s="25" t="s">
        <v>185</v>
      </c>
      <c r="D44" s="18" t="s">
        <v>221</v>
      </c>
      <c r="E44" s="19" t="s">
        <v>222</v>
      </c>
      <c r="F44" s="20">
        <v>103315.54</v>
      </c>
      <c r="G44" s="20">
        <v>10758.66</v>
      </c>
      <c r="H44" s="20">
        <v>0</v>
      </c>
      <c r="I44" s="20">
        <v>0</v>
      </c>
      <c r="J44" s="20">
        <v>750</v>
      </c>
      <c r="K44" s="20">
        <v>0</v>
      </c>
      <c r="L44" s="20">
        <v>104065.54</v>
      </c>
      <c r="M44" s="20">
        <v>92556.88</v>
      </c>
      <c r="N44" s="20">
        <v>11508.66</v>
      </c>
      <c r="O44" s="62">
        <f>N44*'FY2014 SUMMARY'!$B$3</f>
        <v>5007.6854297889513</v>
      </c>
    </row>
    <row r="45" spans="1:15" x14ac:dyDescent="0.2">
      <c r="A45" s="28" t="s">
        <v>232</v>
      </c>
      <c r="B45" s="28" t="s">
        <v>233</v>
      </c>
      <c r="C45" s="28" t="s">
        <v>185</v>
      </c>
      <c r="D45" s="18" t="s">
        <v>221</v>
      </c>
      <c r="E45" s="19" t="s">
        <v>225</v>
      </c>
      <c r="F45" s="20">
        <v>45987.5</v>
      </c>
      <c r="G45" s="20">
        <v>11702.76</v>
      </c>
      <c r="H45" s="20">
        <v>500</v>
      </c>
      <c r="I45" s="20">
        <v>120</v>
      </c>
      <c r="J45" s="20">
        <v>1700</v>
      </c>
      <c r="K45" s="20">
        <v>0</v>
      </c>
      <c r="L45" s="20">
        <v>48187.5</v>
      </c>
      <c r="M45" s="20">
        <v>34664.74</v>
      </c>
      <c r="N45" s="20">
        <v>13522.76</v>
      </c>
      <c r="O45" s="62">
        <f>N45*'FY2014 SUMMARY'!$B$3</f>
        <v>5884.0671479158163</v>
      </c>
    </row>
    <row r="46" spans="1:15" x14ac:dyDescent="0.2">
      <c r="A46" s="25" t="s">
        <v>234</v>
      </c>
      <c r="B46" s="25" t="s">
        <v>235</v>
      </c>
      <c r="C46" s="25" t="s">
        <v>185</v>
      </c>
      <c r="D46" s="18" t="s">
        <v>221</v>
      </c>
      <c r="E46" s="19" t="s">
        <v>225</v>
      </c>
      <c r="F46" s="20">
        <v>36168.480000000003</v>
      </c>
      <c r="G46" s="20">
        <v>18084.240000000002</v>
      </c>
      <c r="H46" s="20">
        <v>100</v>
      </c>
      <c r="I46" s="20">
        <v>50</v>
      </c>
      <c r="J46" s="20">
        <v>750</v>
      </c>
      <c r="K46" s="20">
        <v>0</v>
      </c>
      <c r="L46" s="20">
        <v>37018.480000000003</v>
      </c>
      <c r="M46" s="20">
        <v>18134.240000000002</v>
      </c>
      <c r="N46" s="20">
        <v>18884.240000000002</v>
      </c>
      <c r="O46" s="62">
        <f>N46*'FY2014 SUMMARY'!$B$3</f>
        <v>8216.9716978899123</v>
      </c>
    </row>
    <row r="47" spans="1:15" x14ac:dyDescent="0.2">
      <c r="A47" s="28" t="s">
        <v>236</v>
      </c>
      <c r="B47" s="28" t="s">
        <v>237</v>
      </c>
      <c r="C47" s="28" t="s">
        <v>185</v>
      </c>
      <c r="D47" s="18" t="s">
        <v>221</v>
      </c>
      <c r="E47" s="19" t="s">
        <v>222</v>
      </c>
      <c r="F47" s="20">
        <v>39588.11</v>
      </c>
      <c r="G47" s="20">
        <v>21773.46</v>
      </c>
      <c r="H47" s="20">
        <v>100</v>
      </c>
      <c r="I47" s="20">
        <v>55</v>
      </c>
      <c r="J47" s="20">
        <v>750</v>
      </c>
      <c r="K47" s="20">
        <v>0</v>
      </c>
      <c r="L47" s="20">
        <v>40438.11</v>
      </c>
      <c r="M47" s="20">
        <v>17859.650000000001</v>
      </c>
      <c r="N47" s="20">
        <v>22578.46</v>
      </c>
      <c r="O47" s="62">
        <f>N47*'FY2014 SUMMARY'!$B$3</f>
        <v>9824.4126743750039</v>
      </c>
    </row>
    <row r="48" spans="1:15" x14ac:dyDescent="0.2">
      <c r="A48" s="25" t="s">
        <v>238</v>
      </c>
      <c r="B48" s="25" t="s">
        <v>239</v>
      </c>
      <c r="C48" s="25" t="s">
        <v>185</v>
      </c>
      <c r="D48" s="18" t="s">
        <v>221</v>
      </c>
      <c r="E48" s="19" t="s">
        <v>222</v>
      </c>
      <c r="F48" s="20">
        <v>60135.19</v>
      </c>
      <c r="G48" s="20">
        <v>26271.78</v>
      </c>
      <c r="H48" s="20">
        <v>0</v>
      </c>
      <c r="I48" s="20">
        <v>0</v>
      </c>
      <c r="J48" s="20">
        <v>2650</v>
      </c>
      <c r="K48" s="20">
        <v>0</v>
      </c>
      <c r="L48" s="20">
        <v>62785.19</v>
      </c>
      <c r="M48" s="20">
        <v>33863.410000000003</v>
      </c>
      <c r="N48" s="20">
        <v>28921.78</v>
      </c>
      <c r="O48" s="62">
        <f>N48*'FY2014 SUMMARY'!$B$3</f>
        <v>12584.538626526588</v>
      </c>
    </row>
    <row r="49" spans="1:15" x14ac:dyDescent="0.2">
      <c r="A49" s="28" t="s">
        <v>240</v>
      </c>
      <c r="B49" s="28" t="s">
        <v>241</v>
      </c>
      <c r="C49" s="28" t="s">
        <v>185</v>
      </c>
      <c r="D49" s="18" t="s">
        <v>221</v>
      </c>
      <c r="E49" s="19" t="s">
        <v>225</v>
      </c>
      <c r="F49" s="20">
        <v>39563.370000000003</v>
      </c>
      <c r="G49" s="20">
        <v>10160.969999999999</v>
      </c>
      <c r="H49" s="20">
        <v>100</v>
      </c>
      <c r="I49" s="20">
        <v>24</v>
      </c>
      <c r="J49" s="20">
        <v>1700</v>
      </c>
      <c r="K49" s="20">
        <v>0</v>
      </c>
      <c r="L49" s="20">
        <v>41363.370000000003</v>
      </c>
      <c r="M49" s="20">
        <v>29478.400000000001</v>
      </c>
      <c r="N49" s="20">
        <v>11884.97</v>
      </c>
      <c r="O49" s="62">
        <f>N49*'FY2014 SUMMARY'!$B$3</f>
        <v>5171.4266563160945</v>
      </c>
    </row>
    <row r="50" spans="1:15" x14ac:dyDescent="0.2">
      <c r="A50" s="28" t="s">
        <v>242</v>
      </c>
      <c r="B50" s="28" t="s">
        <v>243</v>
      </c>
      <c r="C50" s="28" t="s">
        <v>185</v>
      </c>
      <c r="D50" s="18" t="s">
        <v>221</v>
      </c>
      <c r="E50" s="19" t="s">
        <v>222</v>
      </c>
      <c r="F50" s="20">
        <v>24708.799999999999</v>
      </c>
      <c r="G50" s="20">
        <v>8979.15</v>
      </c>
      <c r="H50" s="20">
        <v>100</v>
      </c>
      <c r="I50" s="20">
        <v>34</v>
      </c>
      <c r="J50" s="20">
        <v>2650</v>
      </c>
      <c r="K50" s="20">
        <v>0</v>
      </c>
      <c r="L50" s="20">
        <v>27458.799999999999</v>
      </c>
      <c r="M50" s="20">
        <v>15795.65</v>
      </c>
      <c r="N50" s="20">
        <v>11663.15</v>
      </c>
      <c r="O50" s="62">
        <f>N50*'FY2014 SUMMARY'!$B$3</f>
        <v>5074.9076191705208</v>
      </c>
    </row>
    <row r="51" spans="1:15" x14ac:dyDescent="0.2">
      <c r="A51" s="25" t="s">
        <v>244</v>
      </c>
      <c r="B51" s="25" t="s">
        <v>245</v>
      </c>
      <c r="C51" s="25" t="s">
        <v>185</v>
      </c>
      <c r="D51" s="18" t="s">
        <v>221</v>
      </c>
      <c r="E51" s="19" t="s">
        <v>222</v>
      </c>
      <c r="F51" s="20">
        <v>28408.81</v>
      </c>
      <c r="G51" s="20">
        <v>10237.16</v>
      </c>
      <c r="H51" s="20">
        <v>0</v>
      </c>
      <c r="I51" s="20">
        <v>0</v>
      </c>
      <c r="J51" s="20">
        <v>1700</v>
      </c>
      <c r="K51" s="20">
        <v>0</v>
      </c>
      <c r="L51" s="20">
        <v>30108.81</v>
      </c>
      <c r="M51" s="20">
        <v>18171.650000000001</v>
      </c>
      <c r="N51" s="20">
        <v>11937.16</v>
      </c>
      <c r="O51" s="62">
        <f>N51*'FY2014 SUMMARY'!$B$3</f>
        <v>5194.1357382231708</v>
      </c>
    </row>
    <row r="52" spans="1:15" x14ac:dyDescent="0.2">
      <c r="A52" s="25" t="s">
        <v>246</v>
      </c>
      <c r="B52" s="25" t="s">
        <v>247</v>
      </c>
      <c r="C52" s="25" t="s">
        <v>185</v>
      </c>
      <c r="D52" s="18" t="s">
        <v>221</v>
      </c>
      <c r="E52" s="19" t="s">
        <v>225</v>
      </c>
      <c r="F52" s="20">
        <v>32596.46</v>
      </c>
      <c r="G52" s="20">
        <v>8149.11</v>
      </c>
      <c r="H52" s="20">
        <v>100</v>
      </c>
      <c r="I52" s="20">
        <v>25</v>
      </c>
      <c r="J52" s="20">
        <v>750</v>
      </c>
      <c r="K52" s="20">
        <v>0</v>
      </c>
      <c r="L52" s="20">
        <v>33446.46</v>
      </c>
      <c r="M52" s="20">
        <v>24522.35</v>
      </c>
      <c r="N52" s="20">
        <v>8924.11</v>
      </c>
      <c r="O52" s="62">
        <f>N52*'FY2014 SUMMARY'!$B$3</f>
        <v>3883.0876592786544</v>
      </c>
    </row>
    <row r="53" spans="1:15" x14ac:dyDescent="0.2">
      <c r="A53" s="28" t="s">
        <v>248</v>
      </c>
      <c r="B53" s="28" t="s">
        <v>249</v>
      </c>
      <c r="C53" s="28" t="s">
        <v>185</v>
      </c>
      <c r="D53" s="18" t="s">
        <v>221</v>
      </c>
      <c r="E53" s="19" t="s">
        <v>225</v>
      </c>
      <c r="F53" s="20">
        <v>19344</v>
      </c>
      <c r="G53" s="20">
        <v>4449.12</v>
      </c>
      <c r="H53" s="20">
        <v>0</v>
      </c>
      <c r="I53" s="20">
        <v>0</v>
      </c>
      <c r="J53" s="20">
        <v>750</v>
      </c>
      <c r="K53" s="20">
        <v>0</v>
      </c>
      <c r="L53" s="20">
        <v>20094</v>
      </c>
      <c r="M53" s="20">
        <v>14894.88</v>
      </c>
      <c r="N53" s="20">
        <v>5199.12</v>
      </c>
      <c r="O53" s="62">
        <f>N53*'FY2014 SUMMARY'!$B$3</f>
        <v>2262.2579406919949</v>
      </c>
    </row>
    <row r="54" spans="1:15" x14ac:dyDescent="0.2">
      <c r="A54" s="28" t="s">
        <v>250</v>
      </c>
      <c r="B54" s="28" t="s">
        <v>251</v>
      </c>
      <c r="C54" s="28" t="s">
        <v>185</v>
      </c>
      <c r="D54" s="18" t="s">
        <v>221</v>
      </c>
      <c r="E54" s="19" t="s">
        <v>225</v>
      </c>
      <c r="F54" s="20">
        <v>67784.600000000006</v>
      </c>
      <c r="G54" s="20">
        <v>18272.240000000002</v>
      </c>
      <c r="H54" s="20">
        <v>500</v>
      </c>
      <c r="I54" s="20">
        <v>130</v>
      </c>
      <c r="J54" s="20">
        <v>2650</v>
      </c>
      <c r="K54" s="20">
        <v>0</v>
      </c>
      <c r="L54" s="20">
        <v>70934.600000000006</v>
      </c>
      <c r="M54" s="20">
        <v>49882.36</v>
      </c>
      <c r="N54" s="20">
        <v>21052.240000000002</v>
      </c>
      <c r="O54" s="62">
        <f>N54*'FY2014 SUMMARY'!$B$3</f>
        <v>9160.3188826866171</v>
      </c>
    </row>
    <row r="55" spans="1:15" x14ac:dyDescent="0.2">
      <c r="A55" s="25" t="s">
        <v>252</v>
      </c>
      <c r="B55" s="25" t="s">
        <v>253</v>
      </c>
      <c r="C55" s="25" t="s">
        <v>185</v>
      </c>
      <c r="D55" s="18" t="s">
        <v>221</v>
      </c>
      <c r="E55" s="19" t="s">
        <v>225</v>
      </c>
      <c r="F55" s="20">
        <v>82091.600000000006</v>
      </c>
      <c r="G55" s="20">
        <v>19426.32</v>
      </c>
      <c r="H55" s="20">
        <v>1000</v>
      </c>
      <c r="I55" s="20">
        <v>200</v>
      </c>
      <c r="J55" s="20">
        <v>2650</v>
      </c>
      <c r="K55" s="20">
        <v>0</v>
      </c>
      <c r="L55" s="20">
        <v>85741.6</v>
      </c>
      <c r="M55" s="20">
        <v>63465.279999999999</v>
      </c>
      <c r="N55" s="20">
        <v>22276.32</v>
      </c>
      <c r="O55" s="62">
        <f>N55*'FY2014 SUMMARY'!$B$3</f>
        <v>9692.9445385749696</v>
      </c>
    </row>
    <row r="56" spans="1:15" x14ac:dyDescent="0.2">
      <c r="A56" s="28" t="s">
        <v>254</v>
      </c>
      <c r="B56" s="28" t="s">
        <v>255</v>
      </c>
      <c r="C56" s="28" t="s">
        <v>185</v>
      </c>
      <c r="D56" s="18" t="s">
        <v>221</v>
      </c>
      <c r="E56" s="19" t="s">
        <v>225</v>
      </c>
      <c r="F56" s="20">
        <v>52726.91</v>
      </c>
      <c r="G56" s="20">
        <v>13320.21</v>
      </c>
      <c r="H56" s="20">
        <v>100</v>
      </c>
      <c r="I56" s="20">
        <v>24</v>
      </c>
      <c r="J56" s="20">
        <v>1700</v>
      </c>
      <c r="K56" s="20">
        <v>0</v>
      </c>
      <c r="L56" s="20">
        <v>54526.91</v>
      </c>
      <c r="M56" s="20">
        <v>39482.699999999997</v>
      </c>
      <c r="N56" s="20">
        <v>15044.21</v>
      </c>
      <c r="O56" s="62">
        <f>N56*'FY2014 SUMMARY'!$B$3</f>
        <v>6546.0854017483562</v>
      </c>
    </row>
    <row r="57" spans="1:15" x14ac:dyDescent="0.2">
      <c r="A57" s="25" t="s">
        <v>256</v>
      </c>
      <c r="B57" s="25" t="s">
        <v>257</v>
      </c>
      <c r="C57" s="25" t="s">
        <v>185</v>
      </c>
      <c r="D57" s="18" t="s">
        <v>221</v>
      </c>
      <c r="E57" s="19" t="s">
        <v>222</v>
      </c>
      <c r="F57" s="20">
        <v>47277.08</v>
      </c>
      <c r="G57" s="20">
        <v>9472.3700000000008</v>
      </c>
      <c r="H57" s="20">
        <v>100</v>
      </c>
      <c r="I57" s="20">
        <v>20</v>
      </c>
      <c r="J57" s="20">
        <v>750</v>
      </c>
      <c r="K57" s="20">
        <v>0</v>
      </c>
      <c r="L57" s="20">
        <v>48127.08</v>
      </c>
      <c r="M57" s="20">
        <v>37884.71</v>
      </c>
      <c r="N57" s="20">
        <v>10242.370000000001</v>
      </c>
      <c r="O57" s="62">
        <f>N57*'FY2014 SUMMARY'!$B$3</f>
        <v>4456.6932219309165</v>
      </c>
    </row>
    <row r="58" spans="1:15" x14ac:dyDescent="0.2">
      <c r="A58" s="25" t="s">
        <v>258</v>
      </c>
      <c r="B58" s="25" t="s">
        <v>259</v>
      </c>
      <c r="C58" s="25" t="s">
        <v>185</v>
      </c>
      <c r="D58" s="18" t="s">
        <v>221</v>
      </c>
      <c r="E58" s="19" t="s">
        <v>225</v>
      </c>
      <c r="F58" s="20">
        <v>46259.69</v>
      </c>
      <c r="G58" s="20">
        <v>7524.19</v>
      </c>
      <c r="H58" s="20">
        <v>100</v>
      </c>
      <c r="I58" s="20">
        <v>16</v>
      </c>
      <c r="J58" s="20">
        <v>750</v>
      </c>
      <c r="K58" s="20">
        <v>0</v>
      </c>
      <c r="L58" s="20">
        <v>47109.69</v>
      </c>
      <c r="M58" s="20">
        <v>38819.5</v>
      </c>
      <c r="N58" s="20">
        <v>8290.19</v>
      </c>
      <c r="O58" s="62">
        <f>N58*'FY2014 SUMMARY'!$B$3</f>
        <v>3607.2543348384665</v>
      </c>
    </row>
    <row r="59" spans="1:15" x14ac:dyDescent="0.2">
      <c r="A59" s="28" t="s">
        <v>260</v>
      </c>
      <c r="B59" s="28" t="s">
        <v>261</v>
      </c>
      <c r="C59" s="28" t="s">
        <v>185</v>
      </c>
      <c r="D59" s="18" t="s">
        <v>221</v>
      </c>
      <c r="E59" s="19" t="s">
        <v>222</v>
      </c>
      <c r="F59" s="20">
        <v>83081.64</v>
      </c>
      <c r="G59" s="20">
        <v>26149.48</v>
      </c>
      <c r="H59" s="20">
        <v>500</v>
      </c>
      <c r="I59" s="20">
        <v>150</v>
      </c>
      <c r="J59" s="20">
        <v>1700</v>
      </c>
      <c r="K59" s="20">
        <v>0</v>
      </c>
      <c r="L59" s="20">
        <v>85281.64</v>
      </c>
      <c r="M59" s="20">
        <v>57282.16</v>
      </c>
      <c r="N59" s="20">
        <v>27999.48</v>
      </c>
      <c r="O59" s="62">
        <f>N59*'FY2014 SUMMARY'!$B$3</f>
        <v>12183.224462071792</v>
      </c>
    </row>
    <row r="60" spans="1:15" x14ac:dyDescent="0.2">
      <c r="A60" s="25" t="s">
        <v>262</v>
      </c>
      <c r="B60" s="25" t="s">
        <v>263</v>
      </c>
      <c r="C60" s="25" t="s">
        <v>185</v>
      </c>
      <c r="D60" s="18" t="s">
        <v>221</v>
      </c>
      <c r="E60" s="19" t="s">
        <v>222</v>
      </c>
      <c r="F60" s="20">
        <v>32965.160000000003</v>
      </c>
      <c r="G60" s="20">
        <v>6600.57</v>
      </c>
      <c r="H60" s="20">
        <v>500</v>
      </c>
      <c r="I60" s="20">
        <v>100</v>
      </c>
      <c r="J60" s="20">
        <v>750</v>
      </c>
      <c r="K60" s="20">
        <v>0</v>
      </c>
      <c r="L60" s="20">
        <v>34215.160000000003</v>
      </c>
      <c r="M60" s="20">
        <v>26764.59</v>
      </c>
      <c r="N60" s="20">
        <v>7450.57</v>
      </c>
      <c r="O60" s="62">
        <f>N60*'FY2014 SUMMARY'!$B$3</f>
        <v>3241.9161598850487</v>
      </c>
    </row>
    <row r="61" spans="1:15" x14ac:dyDescent="0.2">
      <c r="A61" s="25" t="s">
        <v>264</v>
      </c>
      <c r="B61" s="25" t="s">
        <v>265</v>
      </c>
      <c r="C61" s="25" t="s">
        <v>185</v>
      </c>
      <c r="D61" s="18" t="s">
        <v>221</v>
      </c>
      <c r="E61" s="19" t="s">
        <v>222</v>
      </c>
      <c r="F61" s="20">
        <v>25491.33</v>
      </c>
      <c r="G61" s="20">
        <v>9491.3700000000008</v>
      </c>
      <c r="H61" s="20">
        <v>500</v>
      </c>
      <c r="I61" s="20">
        <v>175</v>
      </c>
      <c r="J61" s="20">
        <v>1700</v>
      </c>
      <c r="K61" s="20">
        <v>0</v>
      </c>
      <c r="L61" s="20">
        <v>27691.33</v>
      </c>
      <c r="M61" s="20">
        <v>16324.96</v>
      </c>
      <c r="N61" s="20">
        <v>11366.37</v>
      </c>
      <c r="O61" s="62">
        <f>N61*'FY2014 SUMMARY'!$B$3</f>
        <v>4945.7717439380649</v>
      </c>
    </row>
    <row r="62" spans="1:15" x14ac:dyDescent="0.2">
      <c r="A62" s="25" t="s">
        <v>266</v>
      </c>
      <c r="B62" s="25" t="s">
        <v>267</v>
      </c>
      <c r="C62" s="25" t="s">
        <v>185</v>
      </c>
      <c r="D62" s="18" t="s">
        <v>221</v>
      </c>
      <c r="E62" s="19" t="s">
        <v>225</v>
      </c>
      <c r="F62" s="20">
        <v>109277.55</v>
      </c>
      <c r="G62" s="20">
        <v>38247.14</v>
      </c>
      <c r="H62" s="20">
        <v>100</v>
      </c>
      <c r="I62" s="20">
        <v>35</v>
      </c>
      <c r="J62" s="20">
        <v>750</v>
      </c>
      <c r="K62" s="20">
        <v>0</v>
      </c>
      <c r="L62" s="20">
        <v>110127.55</v>
      </c>
      <c r="M62" s="20">
        <v>71095.41</v>
      </c>
      <c r="N62" s="20">
        <v>39032.14</v>
      </c>
      <c r="O62" s="62">
        <f>N62*'FY2014 SUMMARY'!$B$3</f>
        <v>16983.791229516079</v>
      </c>
    </row>
    <row r="63" spans="1:15" x14ac:dyDescent="0.2">
      <c r="A63" s="25" t="s">
        <v>268</v>
      </c>
      <c r="B63" s="25" t="s">
        <v>269</v>
      </c>
      <c r="C63" s="25" t="s">
        <v>185</v>
      </c>
      <c r="D63" s="18" t="s">
        <v>221</v>
      </c>
      <c r="E63" s="19" t="s">
        <v>225</v>
      </c>
      <c r="F63" s="20">
        <v>56088.05</v>
      </c>
      <c r="G63" s="20">
        <v>14022.02</v>
      </c>
      <c r="H63" s="20">
        <v>100</v>
      </c>
      <c r="I63" s="20">
        <v>25</v>
      </c>
      <c r="J63" s="20">
        <v>1700</v>
      </c>
      <c r="K63" s="20">
        <v>0</v>
      </c>
      <c r="L63" s="20">
        <v>57888.05</v>
      </c>
      <c r="M63" s="20">
        <v>42141.03</v>
      </c>
      <c r="N63" s="20">
        <v>15747.02</v>
      </c>
      <c r="O63" s="62">
        <f>N63*'FY2014 SUMMARY'!$B$3</f>
        <v>6851.8943662072925</v>
      </c>
    </row>
    <row r="64" spans="1:15" x14ac:dyDescent="0.2">
      <c r="A64" s="25" t="s">
        <v>270</v>
      </c>
      <c r="B64" s="25" t="s">
        <v>271</v>
      </c>
      <c r="C64" s="25" t="s">
        <v>185</v>
      </c>
      <c r="D64" s="18" t="s">
        <v>221</v>
      </c>
      <c r="E64" s="19" t="s">
        <v>222</v>
      </c>
      <c r="F64" s="20">
        <v>70043.66</v>
      </c>
      <c r="G64" s="20">
        <v>21626.3</v>
      </c>
      <c r="H64" s="20">
        <v>0</v>
      </c>
      <c r="I64" s="20">
        <v>0</v>
      </c>
      <c r="J64" s="20">
        <v>2650</v>
      </c>
      <c r="K64" s="20">
        <v>0</v>
      </c>
      <c r="L64" s="20">
        <v>72693.66</v>
      </c>
      <c r="M64" s="20">
        <v>48417.36</v>
      </c>
      <c r="N64" s="20">
        <v>24276.3</v>
      </c>
      <c r="O64" s="62">
        <f>N64*'FY2014 SUMMARY'!$B$3</f>
        <v>10563.18231654993</v>
      </c>
    </row>
    <row r="65" spans="1:15" x14ac:dyDescent="0.2">
      <c r="A65" s="25" t="s">
        <v>272</v>
      </c>
      <c r="B65" s="25" t="s">
        <v>273</v>
      </c>
      <c r="C65" s="25" t="s">
        <v>185</v>
      </c>
      <c r="D65" s="18" t="s">
        <v>221</v>
      </c>
      <c r="E65" s="19" t="s">
        <v>222</v>
      </c>
      <c r="F65" s="20">
        <v>31546.400000000001</v>
      </c>
      <c r="G65" s="20">
        <v>10077.120000000001</v>
      </c>
      <c r="H65" s="20">
        <v>100</v>
      </c>
      <c r="I65" s="20">
        <v>30</v>
      </c>
      <c r="J65" s="20">
        <v>2650</v>
      </c>
      <c r="K65" s="20">
        <v>0</v>
      </c>
      <c r="L65" s="20">
        <v>34296.400000000001</v>
      </c>
      <c r="M65" s="20">
        <v>21539.279999999999</v>
      </c>
      <c r="N65" s="20">
        <v>12757.12</v>
      </c>
      <c r="O65" s="62">
        <f>N65*'FY2014 SUMMARY'!$B$3</f>
        <v>5550.9193902738662</v>
      </c>
    </row>
    <row r="66" spans="1:15" x14ac:dyDescent="0.2">
      <c r="A66" s="25" t="s">
        <v>274</v>
      </c>
      <c r="B66" s="25" t="s">
        <v>275</v>
      </c>
      <c r="C66" s="25" t="s">
        <v>185</v>
      </c>
      <c r="D66" s="18" t="s">
        <v>221</v>
      </c>
      <c r="E66" s="19" t="s">
        <v>225</v>
      </c>
      <c r="F66" s="20">
        <v>44414.66</v>
      </c>
      <c r="G66" s="20">
        <v>13324.39</v>
      </c>
      <c r="H66" s="20">
        <v>0</v>
      </c>
      <c r="I66" s="20">
        <v>0</v>
      </c>
      <c r="J66" s="20">
        <v>750</v>
      </c>
      <c r="K66" s="20">
        <v>0</v>
      </c>
      <c r="L66" s="20">
        <v>45164.66</v>
      </c>
      <c r="M66" s="20">
        <v>31090.27</v>
      </c>
      <c r="N66" s="20">
        <v>14074.39</v>
      </c>
      <c r="O66" s="62">
        <f>N66*'FY2014 SUMMARY'!$B$3</f>
        <v>6124.0941809183096</v>
      </c>
    </row>
    <row r="67" spans="1:15" x14ac:dyDescent="0.2">
      <c r="A67" s="25" t="s">
        <v>276</v>
      </c>
      <c r="B67" s="25" t="s">
        <v>277</v>
      </c>
      <c r="C67" s="25" t="s">
        <v>185</v>
      </c>
      <c r="D67" s="18" t="s">
        <v>221</v>
      </c>
      <c r="E67" s="19" t="s">
        <v>222</v>
      </c>
      <c r="F67" s="20">
        <v>35483.712</v>
      </c>
      <c r="G67" s="20">
        <v>9225.7620000000006</v>
      </c>
      <c r="H67" s="20">
        <v>100</v>
      </c>
      <c r="I67" s="20">
        <v>26</v>
      </c>
      <c r="J67" s="20">
        <v>750</v>
      </c>
      <c r="K67" s="20">
        <v>0</v>
      </c>
      <c r="L67" s="20">
        <v>36333.712</v>
      </c>
      <c r="M67" s="20">
        <v>26331.95</v>
      </c>
      <c r="N67" s="20">
        <v>10001.762000000001</v>
      </c>
      <c r="O67" s="62">
        <f>N67*'FY2014 SUMMARY'!$B$3</f>
        <v>4351.9990893480908</v>
      </c>
    </row>
    <row r="68" spans="1:15" x14ac:dyDescent="0.2">
      <c r="A68" s="25" t="s">
        <v>278</v>
      </c>
      <c r="B68" s="25" t="s">
        <v>279</v>
      </c>
      <c r="C68" s="25" t="s">
        <v>185</v>
      </c>
      <c r="D68" s="18" t="s">
        <v>221</v>
      </c>
      <c r="E68" s="19" t="s">
        <v>225</v>
      </c>
      <c r="F68" s="20">
        <v>69365.990000000005</v>
      </c>
      <c r="G68" s="20">
        <v>24278.09</v>
      </c>
      <c r="H68" s="20">
        <v>0</v>
      </c>
      <c r="I68" s="20">
        <v>0</v>
      </c>
      <c r="J68" s="20">
        <v>750</v>
      </c>
      <c r="K68" s="20">
        <v>0</v>
      </c>
      <c r="L68" s="20">
        <v>70115.990000000005</v>
      </c>
      <c r="M68" s="20">
        <v>45087.9</v>
      </c>
      <c r="N68" s="20">
        <v>25028.09</v>
      </c>
      <c r="O68" s="62">
        <f>N68*'FY2014 SUMMARY'!$B$3</f>
        <v>10890.303617314836</v>
      </c>
    </row>
    <row r="69" spans="1:15" x14ac:dyDescent="0.2">
      <c r="A69" s="37">
        <v>592</v>
      </c>
      <c r="B69" s="28" t="s">
        <v>280</v>
      </c>
      <c r="C69" s="28" t="s">
        <v>185</v>
      </c>
      <c r="D69" s="18" t="s">
        <v>221</v>
      </c>
      <c r="E69" s="19" t="s">
        <v>225</v>
      </c>
      <c r="F69" s="20">
        <v>27085.89</v>
      </c>
      <c r="G69" s="20">
        <v>5417.18</v>
      </c>
      <c r="H69" s="20">
        <v>0</v>
      </c>
      <c r="I69" s="20">
        <v>0</v>
      </c>
      <c r="J69" s="20">
        <v>750</v>
      </c>
      <c r="K69" s="20">
        <v>0</v>
      </c>
      <c r="L69" s="20">
        <v>27835.89</v>
      </c>
      <c r="M69" s="20">
        <v>21668.71</v>
      </c>
      <c r="N69" s="20">
        <v>6167.18</v>
      </c>
      <c r="O69" s="62">
        <f>N69*'FY2014 SUMMARY'!$B$3</f>
        <v>2683.4833446192542</v>
      </c>
    </row>
    <row r="70" spans="1:15" x14ac:dyDescent="0.2">
      <c r="A70" s="25" t="s">
        <v>281</v>
      </c>
      <c r="B70" s="25" t="s">
        <v>282</v>
      </c>
      <c r="C70" s="25" t="s">
        <v>185</v>
      </c>
      <c r="D70" s="18" t="s">
        <v>221</v>
      </c>
      <c r="E70" s="19" t="s">
        <v>222</v>
      </c>
      <c r="F70" s="20">
        <v>156240.98000000001</v>
      </c>
      <c r="G70" s="20">
        <v>50592.79</v>
      </c>
      <c r="H70" s="20">
        <v>100</v>
      </c>
      <c r="I70" s="20">
        <v>32</v>
      </c>
      <c r="J70" s="20">
        <v>1700</v>
      </c>
      <c r="K70" s="20">
        <v>0</v>
      </c>
      <c r="L70" s="20">
        <v>158040.98000000001</v>
      </c>
      <c r="M70" s="20">
        <v>105716.19</v>
      </c>
      <c r="N70" s="20">
        <v>52324.79</v>
      </c>
      <c r="O70" s="62">
        <f>N70*'FY2014 SUMMARY'!$B$3</f>
        <v>22767.732168624898</v>
      </c>
    </row>
    <row r="71" spans="1:15" x14ac:dyDescent="0.2">
      <c r="A71" s="25" t="s">
        <v>283</v>
      </c>
      <c r="B71" s="25" t="s">
        <v>284</v>
      </c>
      <c r="C71" s="25" t="s">
        <v>185</v>
      </c>
      <c r="D71" s="18" t="s">
        <v>221</v>
      </c>
      <c r="E71" s="19" t="s">
        <v>225</v>
      </c>
      <c r="F71" s="20">
        <v>130583.95</v>
      </c>
      <c r="G71" s="20">
        <v>63135.81</v>
      </c>
      <c r="H71" s="20">
        <v>500</v>
      </c>
      <c r="I71" s="20">
        <v>240</v>
      </c>
      <c r="J71" s="20">
        <v>1700</v>
      </c>
      <c r="K71" s="20">
        <v>0</v>
      </c>
      <c r="L71" s="20">
        <v>132783.95000000001</v>
      </c>
      <c r="M71" s="20">
        <v>67708.14</v>
      </c>
      <c r="N71" s="20">
        <v>65075.81</v>
      </c>
      <c r="O71" s="62">
        <f>N71*'FY2014 SUMMARY'!$B$3</f>
        <v>28315.997307133421</v>
      </c>
    </row>
    <row r="72" spans="1:15" x14ac:dyDescent="0.2">
      <c r="A72" s="28" t="s">
        <v>285</v>
      </c>
      <c r="B72" s="28" t="s">
        <v>286</v>
      </c>
      <c r="C72" s="28" t="s">
        <v>185</v>
      </c>
      <c r="D72" s="18" t="s">
        <v>221</v>
      </c>
      <c r="E72" s="19" t="s">
        <v>222</v>
      </c>
      <c r="F72" s="20">
        <v>29522.76</v>
      </c>
      <c r="G72" s="20">
        <v>10902.36</v>
      </c>
      <c r="H72" s="20">
        <v>100</v>
      </c>
      <c r="I72" s="20">
        <v>35</v>
      </c>
      <c r="J72" s="20">
        <v>1700</v>
      </c>
      <c r="K72" s="20">
        <v>0</v>
      </c>
      <c r="L72" s="20">
        <v>31322.76</v>
      </c>
      <c r="M72" s="20">
        <v>18685.400000000001</v>
      </c>
      <c r="N72" s="20">
        <v>12637.36</v>
      </c>
      <c r="O72" s="62">
        <f>N72*'FY2014 SUMMARY'!$B$3</f>
        <v>5498.8090310251328</v>
      </c>
    </row>
    <row r="73" spans="1:15" x14ac:dyDescent="0.2">
      <c r="A73" s="25" t="s">
        <v>287</v>
      </c>
      <c r="B73" s="25" t="s">
        <v>288</v>
      </c>
      <c r="C73" s="25" t="s">
        <v>185</v>
      </c>
      <c r="D73" s="18" t="s">
        <v>221</v>
      </c>
      <c r="E73" s="19" t="s">
        <v>225</v>
      </c>
      <c r="F73" s="20">
        <v>45777.21</v>
      </c>
      <c r="G73" s="20">
        <v>16022.02</v>
      </c>
      <c r="H73" s="20">
        <v>100</v>
      </c>
      <c r="I73" s="20">
        <v>35</v>
      </c>
      <c r="J73" s="20">
        <v>750</v>
      </c>
      <c r="K73" s="20">
        <v>0</v>
      </c>
      <c r="L73" s="20">
        <v>46627.21</v>
      </c>
      <c r="M73" s="20">
        <v>29820.19</v>
      </c>
      <c r="N73" s="20">
        <v>16807.02</v>
      </c>
      <c r="O73" s="62">
        <f>N73*'FY2014 SUMMARY'!$B$3</f>
        <v>7313.1250008403676</v>
      </c>
    </row>
    <row r="74" spans="1:15" x14ac:dyDescent="0.2">
      <c r="A74" s="25" t="s">
        <v>289</v>
      </c>
      <c r="B74" s="25" t="s">
        <v>290</v>
      </c>
      <c r="C74" s="45">
        <v>1</v>
      </c>
      <c r="D74" s="18" t="s">
        <v>221</v>
      </c>
      <c r="E74" s="19" t="s">
        <v>222</v>
      </c>
      <c r="F74" s="20">
        <v>25436.29</v>
      </c>
      <c r="G74" s="20">
        <v>8244.08</v>
      </c>
      <c r="H74" s="20">
        <v>100</v>
      </c>
      <c r="I74" s="20">
        <v>30</v>
      </c>
      <c r="J74" s="20">
        <v>1700</v>
      </c>
      <c r="K74" s="20">
        <v>0</v>
      </c>
      <c r="L74" s="20">
        <v>27236.29</v>
      </c>
      <c r="M74" s="20">
        <v>17262.21</v>
      </c>
      <c r="N74" s="20">
        <v>9974.08</v>
      </c>
      <c r="O74" s="62">
        <f>N74*'FY2014 SUMMARY'!$B$3</f>
        <v>4339.9540078123246</v>
      </c>
    </row>
    <row r="75" spans="1:15" x14ac:dyDescent="0.2">
      <c r="A75" s="28" t="s">
        <v>291</v>
      </c>
      <c r="B75" s="28" t="s">
        <v>292</v>
      </c>
      <c r="C75" s="28" t="s">
        <v>185</v>
      </c>
      <c r="D75" s="18" t="s">
        <v>221</v>
      </c>
      <c r="E75" s="19" t="s">
        <v>222</v>
      </c>
      <c r="F75" s="20">
        <v>25916.92</v>
      </c>
      <c r="G75" s="20">
        <v>9389.91</v>
      </c>
      <c r="H75" s="20">
        <v>0</v>
      </c>
      <c r="I75" s="20">
        <v>0</v>
      </c>
      <c r="J75" s="20">
        <v>2650</v>
      </c>
      <c r="K75" s="20">
        <v>0</v>
      </c>
      <c r="L75" s="20">
        <v>28566.92</v>
      </c>
      <c r="M75" s="20">
        <v>16527.009999999998</v>
      </c>
      <c r="N75" s="20">
        <v>12039.91</v>
      </c>
      <c r="O75" s="62">
        <f>N75*'FY2014 SUMMARY'!$B$3</f>
        <v>5238.844651155764</v>
      </c>
    </row>
    <row r="76" spans="1:15" x14ac:dyDescent="0.2">
      <c r="A76" s="25" t="s">
        <v>293</v>
      </c>
      <c r="B76" s="25" t="s">
        <v>294</v>
      </c>
      <c r="C76" s="25" t="s">
        <v>185</v>
      </c>
      <c r="D76" s="18" t="s">
        <v>221</v>
      </c>
      <c r="E76" s="19" t="s">
        <v>222</v>
      </c>
      <c r="F76" s="20">
        <v>58877.46</v>
      </c>
      <c r="G76" s="20">
        <v>15376.36</v>
      </c>
      <c r="H76" s="20">
        <v>0</v>
      </c>
      <c r="I76" s="20">
        <v>0</v>
      </c>
      <c r="J76" s="20">
        <v>1700</v>
      </c>
      <c r="K76" s="20">
        <v>0</v>
      </c>
      <c r="L76" s="20">
        <v>60577.46</v>
      </c>
      <c r="M76" s="20">
        <v>43501.1</v>
      </c>
      <c r="N76" s="20">
        <v>17076.36</v>
      </c>
      <c r="O76" s="62">
        <f>N76*'FY2014 SUMMARY'!$B$3</f>
        <v>7430.3210943611903</v>
      </c>
    </row>
    <row r="77" spans="1:15" x14ac:dyDescent="0.2">
      <c r="A77" s="25" t="s">
        <v>295</v>
      </c>
      <c r="B77" s="25" t="s">
        <v>296</v>
      </c>
      <c r="C77" s="25" t="s">
        <v>185</v>
      </c>
      <c r="D77" s="18" t="s">
        <v>221</v>
      </c>
      <c r="E77" s="19" t="s">
        <v>225</v>
      </c>
      <c r="F77" s="20">
        <v>59362.81</v>
      </c>
      <c r="G77" s="20">
        <v>24270.720000000001</v>
      </c>
      <c r="H77" s="20">
        <v>0</v>
      </c>
      <c r="I77" s="20">
        <v>0</v>
      </c>
      <c r="J77" s="20">
        <v>1700</v>
      </c>
      <c r="K77" s="20">
        <v>0</v>
      </c>
      <c r="L77" s="20">
        <v>61062.81</v>
      </c>
      <c r="M77" s="20">
        <v>35092.089999999997</v>
      </c>
      <c r="N77" s="20">
        <v>25970.720000000001</v>
      </c>
      <c r="O77" s="62">
        <f>N77*'FY2014 SUMMARY'!$B$3</f>
        <v>11300.463837243304</v>
      </c>
    </row>
    <row r="78" spans="1:15" x14ac:dyDescent="0.2">
      <c r="A78" s="28" t="s">
        <v>297</v>
      </c>
      <c r="B78" s="28" t="s">
        <v>298</v>
      </c>
      <c r="C78" s="28" t="s">
        <v>185</v>
      </c>
      <c r="D78" s="18" t="s">
        <v>221</v>
      </c>
      <c r="E78" s="19" t="s">
        <v>222</v>
      </c>
      <c r="F78" s="20">
        <v>67902.62</v>
      </c>
      <c r="G78" s="20">
        <v>24241.89</v>
      </c>
      <c r="H78" s="20">
        <v>100</v>
      </c>
      <c r="I78" s="20">
        <v>34</v>
      </c>
      <c r="J78" s="20">
        <v>2650</v>
      </c>
      <c r="K78" s="20">
        <v>0</v>
      </c>
      <c r="L78" s="20">
        <v>70652.62</v>
      </c>
      <c r="M78" s="20">
        <v>43726.73</v>
      </c>
      <c r="N78" s="20">
        <v>26925.89</v>
      </c>
      <c r="O78" s="62">
        <f>N78*'FY2014 SUMMARY'!$B$3</f>
        <v>11716.080502604127</v>
      </c>
    </row>
    <row r="79" spans="1:15" x14ac:dyDescent="0.2">
      <c r="A79" s="28" t="s">
        <v>299</v>
      </c>
      <c r="B79" s="28" t="s">
        <v>300</v>
      </c>
      <c r="C79" s="28" t="s">
        <v>185</v>
      </c>
      <c r="D79" s="18" t="s">
        <v>221</v>
      </c>
      <c r="E79" s="19" t="s">
        <v>225</v>
      </c>
      <c r="F79" s="20">
        <v>32935.449999999997</v>
      </c>
      <c r="G79" s="20">
        <v>12417.4</v>
      </c>
      <c r="H79" s="20">
        <v>0</v>
      </c>
      <c r="I79" s="20">
        <v>0</v>
      </c>
      <c r="J79" s="20">
        <v>2650</v>
      </c>
      <c r="K79" s="20">
        <v>0</v>
      </c>
      <c r="L79" s="20">
        <v>35585.449999999997</v>
      </c>
      <c r="M79" s="20">
        <v>20518.05</v>
      </c>
      <c r="N79" s="20">
        <v>15067.4</v>
      </c>
      <c r="O79" s="62">
        <f>N79*'FY2014 SUMMARY'!$B$3</f>
        <v>6556.1759096890555</v>
      </c>
    </row>
    <row r="80" spans="1:15" x14ac:dyDescent="0.2">
      <c r="A80" s="25" t="s">
        <v>301</v>
      </c>
      <c r="B80" s="25" t="s">
        <v>302</v>
      </c>
      <c r="C80" s="25" t="s">
        <v>185</v>
      </c>
      <c r="D80" s="18" t="s">
        <v>221</v>
      </c>
      <c r="E80" s="19" t="s">
        <v>225</v>
      </c>
      <c r="F80" s="20">
        <v>17186.39</v>
      </c>
      <c r="G80" s="20">
        <v>5155.92</v>
      </c>
      <c r="H80" s="20">
        <v>100</v>
      </c>
      <c r="I80" s="20">
        <v>30</v>
      </c>
      <c r="J80" s="20">
        <v>750</v>
      </c>
      <c r="K80" s="20">
        <v>0</v>
      </c>
      <c r="L80" s="20">
        <v>18036.39</v>
      </c>
      <c r="M80" s="20">
        <v>12100.47</v>
      </c>
      <c r="N80" s="20">
        <v>5935.92</v>
      </c>
      <c r="O80" s="62">
        <f>N80*'FY2014 SUMMARY'!$B$3</f>
        <v>2582.8567440860043</v>
      </c>
    </row>
    <row r="81" spans="1:42" x14ac:dyDescent="0.2">
      <c r="A81" s="28" t="s">
        <v>303</v>
      </c>
      <c r="B81" s="28" t="s">
        <v>304</v>
      </c>
      <c r="C81" s="28" t="s">
        <v>185</v>
      </c>
      <c r="D81" s="18" t="s">
        <v>221</v>
      </c>
      <c r="E81" s="19" t="s">
        <v>222</v>
      </c>
      <c r="F81" s="20">
        <v>16324.73</v>
      </c>
      <c r="G81" s="20">
        <v>2285.46</v>
      </c>
      <c r="H81" s="20">
        <v>1300</v>
      </c>
      <c r="I81" s="20">
        <v>182</v>
      </c>
      <c r="J81" s="20">
        <v>750</v>
      </c>
      <c r="K81" s="20">
        <v>0</v>
      </c>
      <c r="L81" s="20">
        <v>18374.73</v>
      </c>
      <c r="M81" s="20">
        <v>15157.27</v>
      </c>
      <c r="N81" s="20">
        <v>3217.46</v>
      </c>
      <c r="O81" s="62">
        <f>N81*'FY2014 SUMMARY'!$B$3</f>
        <v>1399.9916204778626</v>
      </c>
    </row>
    <row r="82" spans="1:42" x14ac:dyDescent="0.2">
      <c r="A82" s="70">
        <v>803</v>
      </c>
      <c r="B82" s="25" t="s">
        <v>305</v>
      </c>
      <c r="C82" s="25" t="s">
        <v>185</v>
      </c>
      <c r="D82" s="18" t="s">
        <v>221</v>
      </c>
      <c r="E82" s="19" t="s">
        <v>222</v>
      </c>
      <c r="F82" s="20">
        <v>39884.269999999997</v>
      </c>
      <c r="G82" s="20">
        <v>14918.98</v>
      </c>
      <c r="H82" s="20">
        <v>100</v>
      </c>
      <c r="I82" s="20">
        <v>36</v>
      </c>
      <c r="J82" s="20">
        <v>2650</v>
      </c>
      <c r="K82" s="20">
        <v>0</v>
      </c>
      <c r="L82" s="20">
        <v>42634.27</v>
      </c>
      <c r="M82" s="20">
        <v>25029.29</v>
      </c>
      <c r="N82" s="20">
        <v>17604.98</v>
      </c>
      <c r="O82" s="62">
        <f>N82*'FY2014 SUMMARY'!$B$3</f>
        <v>7660.335941606224</v>
      </c>
    </row>
    <row r="83" spans="1:42" x14ac:dyDescent="0.2">
      <c r="A83" s="25" t="s">
        <v>306</v>
      </c>
      <c r="B83" s="25" t="s">
        <v>307</v>
      </c>
      <c r="C83" s="25" t="s">
        <v>185</v>
      </c>
      <c r="D83" s="18" t="s">
        <v>221</v>
      </c>
      <c r="E83" s="19" t="s">
        <v>225</v>
      </c>
      <c r="F83" s="20">
        <v>29970.35</v>
      </c>
      <c r="G83" s="20">
        <v>10189.92</v>
      </c>
      <c r="H83" s="20">
        <v>100</v>
      </c>
      <c r="I83" s="20">
        <v>34</v>
      </c>
      <c r="J83" s="20">
        <v>750</v>
      </c>
      <c r="K83" s="20">
        <v>0</v>
      </c>
      <c r="L83" s="20">
        <v>30820.35</v>
      </c>
      <c r="M83" s="20">
        <v>19846.43</v>
      </c>
      <c r="N83" s="20">
        <v>10973.92</v>
      </c>
      <c r="O83" s="62">
        <f>N83*'FY2014 SUMMARY'!$B$3</f>
        <v>4775.0076283137714</v>
      </c>
    </row>
    <row r="84" spans="1:42" s="48" customFormat="1" x14ac:dyDescent="0.2">
      <c r="A84" s="54" t="s">
        <v>308</v>
      </c>
      <c r="B84" s="54" t="s">
        <v>309</v>
      </c>
      <c r="C84" s="54" t="s">
        <v>185</v>
      </c>
      <c r="D84" s="26" t="s">
        <v>221</v>
      </c>
      <c r="E84" s="55" t="s">
        <v>222</v>
      </c>
      <c r="F84" s="27">
        <v>32018.01</v>
      </c>
      <c r="G84" s="27">
        <v>9605.41</v>
      </c>
      <c r="H84" s="27">
        <v>100</v>
      </c>
      <c r="I84" s="27">
        <v>30</v>
      </c>
      <c r="J84" s="27">
        <v>750</v>
      </c>
      <c r="K84" s="27">
        <v>0</v>
      </c>
      <c r="L84" s="27">
        <v>32868.01</v>
      </c>
      <c r="M84" s="27">
        <v>22482.6</v>
      </c>
      <c r="N84" s="27">
        <v>10385.41</v>
      </c>
      <c r="O84" s="62">
        <f>N84*'FY2014 SUMMARY'!$B$3</f>
        <v>4518.9332502119687</v>
      </c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</row>
    <row r="85" spans="1:42" x14ac:dyDescent="0.2">
      <c r="A85" s="28" t="s">
        <v>310</v>
      </c>
      <c r="B85" s="28" t="s">
        <v>311</v>
      </c>
      <c r="C85" s="28" t="s">
        <v>185</v>
      </c>
      <c r="D85" s="18" t="s">
        <v>221</v>
      </c>
      <c r="E85" s="19" t="s">
        <v>222</v>
      </c>
      <c r="F85" s="20">
        <v>31617.39</v>
      </c>
      <c r="G85" s="20">
        <v>7024.28</v>
      </c>
      <c r="H85" s="20">
        <v>100</v>
      </c>
      <c r="I85" s="20">
        <v>20</v>
      </c>
      <c r="J85" s="20">
        <v>2650</v>
      </c>
      <c r="K85" s="20">
        <v>0</v>
      </c>
      <c r="L85" s="20">
        <v>34367.39</v>
      </c>
      <c r="M85" s="20">
        <v>24673.11</v>
      </c>
      <c r="N85" s="20">
        <v>9694.2800000000007</v>
      </c>
      <c r="O85" s="62">
        <f>N85*'FY2014 SUMMARY'!$B$3</f>
        <v>4218.2065251988015</v>
      </c>
    </row>
    <row r="86" spans="1:42" x14ac:dyDescent="0.2">
      <c r="A86" s="28" t="s">
        <v>312</v>
      </c>
      <c r="B86" s="28" t="s">
        <v>313</v>
      </c>
      <c r="C86" s="28" t="s">
        <v>185</v>
      </c>
      <c r="D86" s="18" t="s">
        <v>221</v>
      </c>
      <c r="E86" s="19" t="s">
        <v>222</v>
      </c>
      <c r="F86" s="20">
        <v>25360.76</v>
      </c>
      <c r="G86" s="20">
        <v>12680.38</v>
      </c>
      <c r="H86" s="20">
        <v>100</v>
      </c>
      <c r="I86" s="20">
        <v>50</v>
      </c>
      <c r="J86" s="20">
        <v>750</v>
      </c>
      <c r="K86" s="20">
        <v>0</v>
      </c>
      <c r="L86" s="20">
        <v>26210.76</v>
      </c>
      <c r="M86" s="20">
        <v>12730.38</v>
      </c>
      <c r="N86" s="20">
        <v>13480.38</v>
      </c>
      <c r="O86" s="62">
        <f>N86*'FY2014 SUMMARY'!$B$3</f>
        <v>5865.6266249952978</v>
      </c>
    </row>
    <row r="87" spans="1:42" x14ac:dyDescent="0.2">
      <c r="A87" s="25" t="s">
        <v>314</v>
      </c>
      <c r="B87" s="25" t="s">
        <v>315</v>
      </c>
      <c r="C87" s="25" t="s">
        <v>185</v>
      </c>
      <c r="D87" s="18" t="s">
        <v>221</v>
      </c>
      <c r="E87" s="19" t="s">
        <v>225</v>
      </c>
      <c r="F87" s="20">
        <v>28517.200000000001</v>
      </c>
      <c r="G87" s="20">
        <v>14258.6</v>
      </c>
      <c r="H87" s="20">
        <v>0</v>
      </c>
      <c r="I87" s="20">
        <v>0</v>
      </c>
      <c r="J87" s="20">
        <v>750</v>
      </c>
      <c r="K87" s="20">
        <v>0</v>
      </c>
      <c r="L87" s="20">
        <v>29267.200000000001</v>
      </c>
      <c r="M87" s="20">
        <v>14258.6</v>
      </c>
      <c r="N87" s="20">
        <v>15008.6</v>
      </c>
      <c r="O87" s="62">
        <f>N87*'FY2014 SUMMARY'!$B$3</f>
        <v>6530.5906631641265</v>
      </c>
    </row>
    <row r="88" spans="1:42" x14ac:dyDescent="0.2">
      <c r="A88" s="25" t="s">
        <v>316</v>
      </c>
      <c r="B88" s="25" t="s">
        <v>317</v>
      </c>
      <c r="C88" s="25" t="s">
        <v>185</v>
      </c>
      <c r="D88" s="18" t="s">
        <v>221</v>
      </c>
      <c r="E88" s="19" t="s">
        <v>225</v>
      </c>
      <c r="F88" s="20">
        <v>47740.74</v>
      </c>
      <c r="G88" s="20">
        <v>21027.84</v>
      </c>
      <c r="H88" s="20">
        <v>100</v>
      </c>
      <c r="I88" s="20">
        <v>43</v>
      </c>
      <c r="J88" s="20">
        <v>1700</v>
      </c>
      <c r="K88" s="20">
        <v>0</v>
      </c>
      <c r="L88" s="20">
        <v>49540.74</v>
      </c>
      <c r="M88" s="20">
        <v>26769.9</v>
      </c>
      <c r="N88" s="20">
        <v>22770.84</v>
      </c>
      <c r="O88" s="62">
        <f>N88*'FY2014 SUMMARY'!$B$3</f>
        <v>9908.1216833285052</v>
      </c>
    </row>
    <row r="89" spans="1:42" x14ac:dyDescent="0.2">
      <c r="A89" s="25" t="s">
        <v>318</v>
      </c>
      <c r="B89" s="25" t="s">
        <v>319</v>
      </c>
      <c r="C89" s="25" t="s">
        <v>185</v>
      </c>
      <c r="D89" s="18" t="s">
        <v>221</v>
      </c>
      <c r="E89" s="19" t="s">
        <v>225</v>
      </c>
      <c r="F89" s="20">
        <v>36255.89</v>
      </c>
      <c r="G89" s="20">
        <v>10596.74</v>
      </c>
      <c r="H89" s="20">
        <v>100</v>
      </c>
      <c r="I89" s="20">
        <v>24</v>
      </c>
      <c r="J89" s="20">
        <v>1700</v>
      </c>
      <c r="K89" s="20">
        <v>0</v>
      </c>
      <c r="L89" s="20">
        <v>38055.89</v>
      </c>
      <c r="M89" s="20">
        <v>25735.15</v>
      </c>
      <c r="N89" s="20">
        <v>12320.74</v>
      </c>
      <c r="O89" s="62">
        <f>N89*'FY2014 SUMMARY'!$B$3</f>
        <v>5361.0403107067132</v>
      </c>
    </row>
    <row r="90" spans="1:42" x14ac:dyDescent="0.2">
      <c r="A90" s="25" t="s">
        <v>320</v>
      </c>
      <c r="B90" s="25" t="s">
        <v>321</v>
      </c>
      <c r="C90" s="25" t="s">
        <v>185</v>
      </c>
      <c r="D90" s="18" t="s">
        <v>221</v>
      </c>
      <c r="E90" s="19" t="s">
        <v>225</v>
      </c>
      <c r="F90" s="20">
        <v>24461.77</v>
      </c>
      <c r="G90" s="20">
        <v>6115.45</v>
      </c>
      <c r="H90" s="20">
        <v>100</v>
      </c>
      <c r="I90" s="20">
        <v>25</v>
      </c>
      <c r="J90" s="20">
        <v>750</v>
      </c>
      <c r="K90" s="20">
        <v>0</v>
      </c>
      <c r="L90" s="20">
        <v>25311.77</v>
      </c>
      <c r="M90" s="20">
        <v>18421.32</v>
      </c>
      <c r="N90" s="20">
        <v>6890.45</v>
      </c>
      <c r="O90" s="62">
        <f>N90*'FY2014 SUMMARY'!$B$3</f>
        <v>2998.1949305730882</v>
      </c>
    </row>
    <row r="91" spans="1:42" x14ac:dyDescent="0.2">
      <c r="A91" s="28" t="s">
        <v>322</v>
      </c>
      <c r="B91" s="28" t="s">
        <v>323</v>
      </c>
      <c r="C91" s="28" t="s">
        <v>185</v>
      </c>
      <c r="D91" s="18" t="s">
        <v>221</v>
      </c>
      <c r="E91" s="19" t="s">
        <v>222</v>
      </c>
      <c r="F91" s="20">
        <v>78211.12</v>
      </c>
      <c r="G91" s="20">
        <v>19552.78</v>
      </c>
      <c r="H91" s="20">
        <v>500</v>
      </c>
      <c r="I91" s="20">
        <v>125</v>
      </c>
      <c r="J91" s="20">
        <v>750</v>
      </c>
      <c r="K91" s="20">
        <v>0</v>
      </c>
      <c r="L91" s="20">
        <v>79461.119999999995</v>
      </c>
      <c r="M91" s="20">
        <v>59033.34</v>
      </c>
      <c r="N91" s="20">
        <v>20427.78</v>
      </c>
      <c r="O91" s="62">
        <f>N91*'FY2014 SUMMARY'!$B$3</f>
        <v>8888.6018240989088</v>
      </c>
    </row>
    <row r="92" spans="1:42" x14ac:dyDescent="0.2">
      <c r="A92" s="28" t="s">
        <v>324</v>
      </c>
      <c r="B92" s="28" t="s">
        <v>325</v>
      </c>
      <c r="C92" s="28" t="s">
        <v>185</v>
      </c>
      <c r="D92" s="18" t="s">
        <v>221</v>
      </c>
      <c r="E92" s="19" t="s">
        <v>222</v>
      </c>
      <c r="F92" s="20">
        <v>67798.81</v>
      </c>
      <c r="G92" s="20">
        <v>17606.71</v>
      </c>
      <c r="H92" s="20">
        <v>0</v>
      </c>
      <c r="I92" s="20">
        <v>0</v>
      </c>
      <c r="J92" s="20">
        <v>2650</v>
      </c>
      <c r="K92" s="20">
        <v>0</v>
      </c>
      <c r="L92" s="20">
        <v>70448.81</v>
      </c>
      <c r="M92" s="20">
        <v>50192.1</v>
      </c>
      <c r="N92" s="20">
        <v>20256.71</v>
      </c>
      <c r="O92" s="62">
        <f>N92*'FY2014 SUMMARY'!$B$3</f>
        <v>8814.1652913944927</v>
      </c>
    </row>
    <row r="93" spans="1:42" x14ac:dyDescent="0.2">
      <c r="A93" s="28" t="s">
        <v>326</v>
      </c>
      <c r="B93" s="28" t="s">
        <v>327</v>
      </c>
      <c r="C93" s="28" t="s">
        <v>185</v>
      </c>
      <c r="D93" s="18" t="s">
        <v>221</v>
      </c>
      <c r="E93" s="19" t="s">
        <v>222</v>
      </c>
      <c r="F93" s="20">
        <v>33401.760000000002</v>
      </c>
      <c r="G93" s="20">
        <v>8016.43</v>
      </c>
      <c r="H93" s="20">
        <v>100</v>
      </c>
      <c r="I93" s="20">
        <v>24</v>
      </c>
      <c r="J93" s="20">
        <v>750</v>
      </c>
      <c r="K93" s="20">
        <v>0</v>
      </c>
      <c r="L93" s="20">
        <v>34251.760000000002</v>
      </c>
      <c r="M93" s="20">
        <v>25461.33</v>
      </c>
      <c r="N93" s="20">
        <v>8790.43</v>
      </c>
      <c r="O93" s="62">
        <f>N93*'FY2014 SUMMARY'!$B$3</f>
        <v>3824.9203845260604</v>
      </c>
    </row>
    <row r="94" spans="1:42" x14ac:dyDescent="0.2">
      <c r="A94" s="25" t="s">
        <v>328</v>
      </c>
      <c r="B94" s="25" t="s">
        <v>329</v>
      </c>
      <c r="C94" s="25" t="s">
        <v>185</v>
      </c>
      <c r="D94" s="18" t="s">
        <v>221</v>
      </c>
      <c r="E94" s="19" t="s">
        <v>225</v>
      </c>
      <c r="F94" s="20">
        <v>21573.919999999998</v>
      </c>
      <c r="G94" s="20">
        <v>6472.18</v>
      </c>
      <c r="H94" s="20">
        <v>100</v>
      </c>
      <c r="I94" s="20">
        <v>30</v>
      </c>
      <c r="J94" s="20">
        <v>1700</v>
      </c>
      <c r="K94" s="20">
        <v>0</v>
      </c>
      <c r="L94" s="20">
        <v>23373.919999999998</v>
      </c>
      <c r="M94" s="20">
        <v>15171.74</v>
      </c>
      <c r="N94" s="20">
        <v>8202.18</v>
      </c>
      <c r="O94" s="62">
        <f>N94*'FY2014 SUMMARY'!$B$3</f>
        <v>3568.9591384667146</v>
      </c>
    </row>
    <row r="95" spans="1:42" x14ac:dyDescent="0.2">
      <c r="A95" s="25" t="s">
        <v>330</v>
      </c>
      <c r="B95" s="25" t="s">
        <v>331</v>
      </c>
      <c r="C95" s="25" t="s">
        <v>185</v>
      </c>
      <c r="D95" s="18" t="s">
        <v>221</v>
      </c>
      <c r="E95" s="19" t="s">
        <v>225</v>
      </c>
      <c r="F95" s="20">
        <v>122729.34</v>
      </c>
      <c r="G95" s="20">
        <v>45302.559999999998</v>
      </c>
      <c r="H95" s="20">
        <v>0</v>
      </c>
      <c r="I95" s="20">
        <v>0</v>
      </c>
      <c r="J95" s="20">
        <v>2650</v>
      </c>
      <c r="K95" s="20">
        <v>0</v>
      </c>
      <c r="L95" s="20">
        <v>125379.34</v>
      </c>
      <c r="M95" s="20">
        <v>77426.78</v>
      </c>
      <c r="N95" s="20">
        <v>47952.56</v>
      </c>
      <c r="O95" s="62">
        <f>N95*'FY2014 SUMMARY'!$B$3</f>
        <v>20865.273284038321</v>
      </c>
    </row>
    <row r="96" spans="1:42" x14ac:dyDescent="0.2">
      <c r="A96" s="28" t="s">
        <v>332</v>
      </c>
      <c r="B96" s="28" t="s">
        <v>333</v>
      </c>
      <c r="C96" s="28" t="s">
        <v>185</v>
      </c>
      <c r="D96" s="18" t="s">
        <v>221</v>
      </c>
      <c r="E96" s="19" t="s">
        <v>222</v>
      </c>
      <c r="F96" s="20">
        <v>34650.11</v>
      </c>
      <c r="G96" s="20">
        <v>13860.04</v>
      </c>
      <c r="H96" s="20">
        <v>100</v>
      </c>
      <c r="I96" s="20">
        <v>40</v>
      </c>
      <c r="J96" s="20">
        <v>750</v>
      </c>
      <c r="K96" s="20">
        <v>0</v>
      </c>
      <c r="L96" s="20">
        <v>35500.11</v>
      </c>
      <c r="M96" s="20">
        <v>20850.07</v>
      </c>
      <c r="N96" s="20">
        <v>14650.04</v>
      </c>
      <c r="O96" s="62">
        <f>N96*'FY2014 SUMMARY'!$B$3</f>
        <v>6374.5728741508856</v>
      </c>
    </row>
    <row r="97" spans="1:15" x14ac:dyDescent="0.2">
      <c r="A97" s="25" t="s">
        <v>334</v>
      </c>
      <c r="B97" s="25" t="s">
        <v>335</v>
      </c>
      <c r="C97" s="25" t="s">
        <v>185</v>
      </c>
      <c r="D97" s="18" t="s">
        <v>221</v>
      </c>
      <c r="E97" s="19" t="s">
        <v>225</v>
      </c>
      <c r="F97" s="20">
        <v>31182.71</v>
      </c>
      <c r="G97" s="20">
        <v>9042.98</v>
      </c>
      <c r="H97" s="20">
        <v>100</v>
      </c>
      <c r="I97" s="20">
        <v>29</v>
      </c>
      <c r="J97" s="20">
        <v>750</v>
      </c>
      <c r="K97" s="20">
        <v>0</v>
      </c>
      <c r="L97" s="20">
        <v>32032.71</v>
      </c>
      <c r="M97" s="20">
        <v>22210.73</v>
      </c>
      <c r="N97" s="20">
        <v>9821.98</v>
      </c>
      <c r="O97" s="62">
        <f>N97*'FY2014 SUMMARY'!$B$3</f>
        <v>4273.7717629748795</v>
      </c>
    </row>
    <row r="98" spans="1:15" x14ac:dyDescent="0.2">
      <c r="A98" s="28" t="s">
        <v>336</v>
      </c>
      <c r="B98" s="28" t="s">
        <v>337</v>
      </c>
      <c r="C98" s="28" t="s">
        <v>185</v>
      </c>
      <c r="D98" s="18" t="s">
        <v>221</v>
      </c>
      <c r="E98" s="19" t="s">
        <v>222</v>
      </c>
      <c r="F98" s="20">
        <v>83505.17</v>
      </c>
      <c r="G98" s="20">
        <v>25664.75</v>
      </c>
      <c r="H98" s="20">
        <v>500</v>
      </c>
      <c r="I98" s="20">
        <v>150</v>
      </c>
      <c r="J98" s="20">
        <v>1700</v>
      </c>
      <c r="K98" s="20">
        <v>0</v>
      </c>
      <c r="L98" s="20">
        <v>85705.17</v>
      </c>
      <c r="M98" s="20">
        <v>58190.42</v>
      </c>
      <c r="N98" s="20">
        <v>27514.75</v>
      </c>
      <c r="O98" s="62">
        <f>N98*'FY2014 SUMMARY'!$B$3</f>
        <v>11972.307173840009</v>
      </c>
    </row>
    <row r="99" spans="1:15" x14ac:dyDescent="0.2">
      <c r="A99" s="25" t="s">
        <v>338</v>
      </c>
      <c r="B99" s="25" t="s">
        <v>339</v>
      </c>
      <c r="C99" s="25" t="s">
        <v>185</v>
      </c>
      <c r="D99" s="18" t="s">
        <v>221</v>
      </c>
      <c r="E99" s="19" t="s">
        <v>222</v>
      </c>
      <c r="F99" s="20">
        <v>40336.800000000003</v>
      </c>
      <c r="G99" s="20">
        <v>12907.78</v>
      </c>
      <c r="H99" s="20">
        <v>0</v>
      </c>
      <c r="I99" s="20">
        <v>0</v>
      </c>
      <c r="J99" s="20">
        <v>750</v>
      </c>
      <c r="K99" s="20">
        <v>0</v>
      </c>
      <c r="L99" s="20">
        <v>41086.800000000003</v>
      </c>
      <c r="M99" s="20">
        <v>27429.02</v>
      </c>
      <c r="N99" s="20">
        <v>13657.78</v>
      </c>
      <c r="O99" s="62">
        <f>N99*'FY2014 SUMMARY'!$B$3</f>
        <v>5942.8174878103055</v>
      </c>
    </row>
    <row r="100" spans="1:15" x14ac:dyDescent="0.2">
      <c r="A100" s="25" t="s">
        <v>340</v>
      </c>
      <c r="B100" s="25" t="s">
        <v>341</v>
      </c>
      <c r="C100" s="25" t="s">
        <v>185</v>
      </c>
      <c r="D100" s="18" t="s">
        <v>221</v>
      </c>
      <c r="E100" s="19" t="s">
        <v>225</v>
      </c>
      <c r="F100" s="20">
        <v>85642.72</v>
      </c>
      <c r="G100" s="20">
        <v>25692.82</v>
      </c>
      <c r="H100" s="20">
        <v>0</v>
      </c>
      <c r="I100" s="20">
        <v>0</v>
      </c>
      <c r="J100" s="20">
        <v>750</v>
      </c>
      <c r="K100" s="20">
        <v>0</v>
      </c>
      <c r="L100" s="20">
        <v>86392.72</v>
      </c>
      <c r="M100" s="20">
        <v>59949.9</v>
      </c>
      <c r="N100" s="20">
        <v>26442.82</v>
      </c>
      <c r="O100" s="62">
        <f>N100*'FY2014 SUMMARY'!$B$3</f>
        <v>11505.885518951109</v>
      </c>
    </row>
    <row r="101" spans="1:15" ht="13.5" thickBot="1" x14ac:dyDescent="0.25">
      <c r="A101" s="30" t="s">
        <v>342</v>
      </c>
      <c r="B101" s="30" t="s">
        <v>343</v>
      </c>
      <c r="C101" s="30" t="s">
        <v>185</v>
      </c>
      <c r="D101" s="31" t="s">
        <v>221</v>
      </c>
      <c r="E101" s="32" t="s">
        <v>222</v>
      </c>
      <c r="F101" s="33">
        <v>41467.49</v>
      </c>
      <c r="G101" s="33">
        <v>8994.2999999999993</v>
      </c>
      <c r="H101" s="33">
        <v>100</v>
      </c>
      <c r="I101" s="33">
        <v>20</v>
      </c>
      <c r="J101" s="33">
        <v>3400</v>
      </c>
      <c r="K101" s="33">
        <v>0</v>
      </c>
      <c r="L101" s="33">
        <v>44967.49</v>
      </c>
      <c r="M101" s="33">
        <v>32553.19</v>
      </c>
      <c r="N101" s="33">
        <v>12414.3</v>
      </c>
      <c r="O101" s="62">
        <f>N101*'FY2014 SUMMARY'!$B$3</f>
        <v>5401.7504410616848</v>
      </c>
    </row>
    <row r="102" spans="1:15" x14ac:dyDescent="0.2">
      <c r="A102" s="76" t="s">
        <v>712</v>
      </c>
      <c r="N102" s="13">
        <f>SUM(N40:N101)</f>
        <v>1044903.3720000001</v>
      </c>
      <c r="O102" s="13">
        <f>SUM(O40:O101)</f>
        <v>453603.17312251433</v>
      </c>
    </row>
    <row r="103" spans="1:15" x14ac:dyDescent="0.2">
      <c r="A103" s="36" t="s">
        <v>344</v>
      </c>
      <c r="B103" s="36"/>
      <c r="C103" s="38">
        <f>N125</f>
        <v>336031.94</v>
      </c>
    </row>
    <row r="104" spans="1:15" x14ac:dyDescent="0.2">
      <c r="A104" s="14" t="s">
        <v>175</v>
      </c>
      <c r="B104" s="14" t="s">
        <v>176</v>
      </c>
      <c r="C104" s="14" t="s">
        <v>177</v>
      </c>
      <c r="D104" s="15" t="s">
        <v>0</v>
      </c>
      <c r="E104" s="16" t="s">
        <v>178</v>
      </c>
      <c r="F104" s="15" t="s">
        <v>179</v>
      </c>
      <c r="G104" s="15" t="s">
        <v>180</v>
      </c>
      <c r="H104" s="15" t="s">
        <v>181</v>
      </c>
      <c r="I104" s="15" t="s">
        <v>183</v>
      </c>
      <c r="J104" s="15" t="s">
        <v>1</v>
      </c>
      <c r="K104" s="15" t="s">
        <v>2</v>
      </c>
      <c r="L104" s="15" t="s">
        <v>3</v>
      </c>
      <c r="M104" s="15" t="s">
        <v>184</v>
      </c>
      <c r="N104" s="15" t="s">
        <v>182</v>
      </c>
    </row>
    <row r="105" spans="1:15" x14ac:dyDescent="0.2">
      <c r="A105" s="17" t="s">
        <v>345</v>
      </c>
      <c r="B105" s="17" t="s">
        <v>69</v>
      </c>
      <c r="C105" s="17" t="s">
        <v>185</v>
      </c>
      <c r="D105" s="18" t="s">
        <v>71</v>
      </c>
      <c r="E105" s="19" t="s">
        <v>346</v>
      </c>
      <c r="F105" s="20">
        <v>46215.839999999997</v>
      </c>
      <c r="G105" s="20">
        <v>21259.32</v>
      </c>
      <c r="H105" s="20">
        <v>0</v>
      </c>
      <c r="I105" s="20">
        <v>0</v>
      </c>
      <c r="J105" s="20">
        <v>3263.97</v>
      </c>
      <c r="K105" s="20">
        <v>0</v>
      </c>
      <c r="L105" s="20">
        <v>49479.81</v>
      </c>
      <c r="M105" s="20">
        <v>24956.52</v>
      </c>
      <c r="N105" s="20">
        <v>24523.29</v>
      </c>
      <c r="O105" s="62">
        <f>N105*'FY2014 SUMMARY'!$B$3</f>
        <v>10670.653405651839</v>
      </c>
    </row>
    <row r="106" spans="1:15" x14ac:dyDescent="0.2">
      <c r="A106" s="28" t="s">
        <v>347</v>
      </c>
      <c r="B106" s="28" t="s">
        <v>73</v>
      </c>
      <c r="C106" s="28" t="s">
        <v>185</v>
      </c>
      <c r="D106" s="18" t="s">
        <v>71</v>
      </c>
      <c r="E106" s="19" t="s">
        <v>346</v>
      </c>
      <c r="F106" s="20">
        <v>21980</v>
      </c>
      <c r="G106" s="20">
        <v>13188</v>
      </c>
      <c r="H106" s="20">
        <v>0</v>
      </c>
      <c r="I106" s="20">
        <v>0</v>
      </c>
      <c r="J106" s="20">
        <v>3025.95</v>
      </c>
      <c r="K106" s="20">
        <v>5036.47</v>
      </c>
      <c r="L106" s="20">
        <v>30042.42</v>
      </c>
      <c r="M106" s="20">
        <v>8792</v>
      </c>
      <c r="N106" s="20">
        <v>21250.42</v>
      </c>
      <c r="O106" s="62">
        <f>N106*'FY2014 SUMMARY'!$B$3</f>
        <v>9246.5516064333915</v>
      </c>
    </row>
    <row r="107" spans="1:15" x14ac:dyDescent="0.2">
      <c r="A107" s="28" t="s">
        <v>348</v>
      </c>
      <c r="B107" s="28" t="s">
        <v>74</v>
      </c>
      <c r="C107" s="28" t="s">
        <v>185</v>
      </c>
      <c r="D107" s="18" t="s">
        <v>71</v>
      </c>
      <c r="E107" s="19" t="s">
        <v>346</v>
      </c>
      <c r="F107" s="20">
        <v>23625.599999999999</v>
      </c>
      <c r="G107" s="20">
        <v>14179.2</v>
      </c>
      <c r="H107" s="20">
        <v>0</v>
      </c>
      <c r="I107" s="20">
        <v>0</v>
      </c>
      <c r="J107" s="20">
        <v>750</v>
      </c>
      <c r="K107" s="20">
        <v>0</v>
      </c>
      <c r="L107" s="20">
        <v>24375.599999999999</v>
      </c>
      <c r="M107" s="20">
        <v>9446.4</v>
      </c>
      <c r="N107" s="20">
        <v>14929.2</v>
      </c>
      <c r="O107" s="62">
        <f>N107*'FY2014 SUMMARY'!$B$3</f>
        <v>6496.0418778906678</v>
      </c>
    </row>
    <row r="108" spans="1:15" s="60" customFormat="1" x14ac:dyDescent="0.2">
      <c r="A108" s="56" t="s">
        <v>349</v>
      </c>
      <c r="B108" s="56" t="s">
        <v>64</v>
      </c>
      <c r="C108" s="56" t="s">
        <v>185</v>
      </c>
      <c r="D108" s="57" t="s">
        <v>143</v>
      </c>
      <c r="E108" s="58">
        <v>921</v>
      </c>
      <c r="F108" s="59">
        <v>41970.67</v>
      </c>
      <c r="G108" s="59">
        <v>23083.87</v>
      </c>
      <c r="H108" s="59">
        <v>0</v>
      </c>
      <c r="I108" s="59">
        <v>0</v>
      </c>
      <c r="J108" s="59">
        <v>2730.62</v>
      </c>
      <c r="K108" s="59">
        <v>0</v>
      </c>
      <c r="L108" s="59">
        <v>44701.29</v>
      </c>
      <c r="M108" s="59">
        <v>18886.8</v>
      </c>
      <c r="N108" s="59">
        <v>25814.49</v>
      </c>
      <c r="O108" s="62">
        <f>N108*'FY2014 SUMMARY'!$B$3</f>
        <v>11232.484533423751</v>
      </c>
    </row>
    <row r="109" spans="1:15" s="60" customFormat="1" x14ac:dyDescent="0.2">
      <c r="A109" s="56" t="s">
        <v>350</v>
      </c>
      <c r="B109" s="56" t="s">
        <v>351</v>
      </c>
      <c r="C109" s="56" t="s">
        <v>185</v>
      </c>
      <c r="D109" s="57" t="s">
        <v>143</v>
      </c>
      <c r="E109" s="58">
        <v>921</v>
      </c>
      <c r="F109" s="59">
        <v>18826</v>
      </c>
      <c r="G109" s="59">
        <v>12400</v>
      </c>
      <c r="H109" s="59">
        <v>0</v>
      </c>
      <c r="I109" s="59">
        <v>0</v>
      </c>
      <c r="J109" s="59">
        <v>750</v>
      </c>
      <c r="K109" s="59">
        <v>0</v>
      </c>
      <c r="L109" s="59">
        <v>19576</v>
      </c>
      <c r="M109" s="59">
        <v>6426</v>
      </c>
      <c r="N109" s="59">
        <v>13150</v>
      </c>
      <c r="O109" s="62">
        <f>N109*'FY2014 SUMMARY'!$B$3</f>
        <v>5721.8706088914532</v>
      </c>
    </row>
    <row r="110" spans="1:15" s="60" customFormat="1" x14ac:dyDescent="0.2">
      <c r="A110" s="56" t="s">
        <v>352</v>
      </c>
      <c r="B110" s="56" t="s">
        <v>65</v>
      </c>
      <c r="C110" s="56" t="s">
        <v>185</v>
      </c>
      <c r="D110" s="57" t="s">
        <v>143</v>
      </c>
      <c r="E110" s="58">
        <v>921</v>
      </c>
      <c r="F110" s="59">
        <v>20634.45</v>
      </c>
      <c r="G110" s="59">
        <v>13206.05</v>
      </c>
      <c r="H110" s="59">
        <v>0</v>
      </c>
      <c r="I110" s="59">
        <v>0</v>
      </c>
      <c r="J110" s="59">
        <v>1200</v>
      </c>
      <c r="K110" s="59">
        <v>0</v>
      </c>
      <c r="L110" s="59">
        <v>21834.45</v>
      </c>
      <c r="M110" s="59">
        <v>7428.4</v>
      </c>
      <c r="N110" s="59">
        <v>14406.05</v>
      </c>
      <c r="O110" s="62">
        <f>N110*'FY2014 SUMMARY'!$B$3</f>
        <v>6268.4071547696358</v>
      </c>
    </row>
    <row r="111" spans="1:15" s="60" customFormat="1" x14ac:dyDescent="0.2">
      <c r="A111" s="56" t="s">
        <v>353</v>
      </c>
      <c r="B111" s="56" t="s">
        <v>66</v>
      </c>
      <c r="C111" s="56" t="s">
        <v>185</v>
      </c>
      <c r="D111" s="57" t="s">
        <v>143</v>
      </c>
      <c r="E111" s="58">
        <v>921</v>
      </c>
      <c r="F111" s="59">
        <v>29940</v>
      </c>
      <c r="G111" s="59">
        <v>7110</v>
      </c>
      <c r="H111" s="59">
        <v>0</v>
      </c>
      <c r="I111" s="59">
        <v>0</v>
      </c>
      <c r="J111" s="59">
        <v>750</v>
      </c>
      <c r="K111" s="59">
        <v>0</v>
      </c>
      <c r="L111" s="59">
        <v>30690</v>
      </c>
      <c r="M111" s="59">
        <v>22830</v>
      </c>
      <c r="N111" s="59">
        <v>7860</v>
      </c>
      <c r="O111" s="62">
        <f>N111*'FY2014 SUMMARY'!$B$3</f>
        <v>3420.0686681282755</v>
      </c>
    </row>
    <row r="112" spans="1:15" s="60" customFormat="1" x14ac:dyDescent="0.2">
      <c r="A112" s="56" t="s">
        <v>354</v>
      </c>
      <c r="B112" s="56" t="s">
        <v>68</v>
      </c>
      <c r="C112" s="56" t="s">
        <v>185</v>
      </c>
      <c r="D112" s="57" t="s">
        <v>143</v>
      </c>
      <c r="E112" s="58">
        <v>921</v>
      </c>
      <c r="F112" s="59">
        <v>42937.08</v>
      </c>
      <c r="G112" s="59">
        <v>19321.689999999999</v>
      </c>
      <c r="H112" s="59">
        <v>0</v>
      </c>
      <c r="I112" s="59">
        <v>0</v>
      </c>
      <c r="J112" s="59">
        <v>2557.11</v>
      </c>
      <c r="K112" s="59">
        <v>0</v>
      </c>
      <c r="L112" s="59">
        <v>45494.19</v>
      </c>
      <c r="M112" s="59">
        <v>23615.39</v>
      </c>
      <c r="N112" s="59">
        <v>21878.799999999999</v>
      </c>
      <c r="O112" s="62">
        <f>N112*'FY2014 SUMMARY'!$B$3</f>
        <v>9519.9743481227615</v>
      </c>
    </row>
    <row r="113" spans="1:15" s="60" customFormat="1" x14ac:dyDescent="0.2">
      <c r="A113" s="56" t="s">
        <v>355</v>
      </c>
      <c r="B113" s="56" t="s">
        <v>70</v>
      </c>
      <c r="C113" s="56" t="s">
        <v>185</v>
      </c>
      <c r="D113" s="57" t="s">
        <v>143</v>
      </c>
      <c r="E113" s="58">
        <v>921</v>
      </c>
      <c r="F113" s="59">
        <v>21511.3</v>
      </c>
      <c r="G113" s="59">
        <v>7744.07</v>
      </c>
      <c r="H113" s="59">
        <v>0</v>
      </c>
      <c r="I113" s="59">
        <v>0</v>
      </c>
      <c r="J113" s="59">
        <v>2128.37</v>
      </c>
      <c r="K113" s="59">
        <v>0</v>
      </c>
      <c r="L113" s="59">
        <v>23639.67</v>
      </c>
      <c r="M113" s="59">
        <v>13767.23</v>
      </c>
      <c r="N113" s="59">
        <v>9872.44</v>
      </c>
      <c r="O113" s="62">
        <f>N113*'FY2014 SUMMARY'!$B$3</f>
        <v>4295.728081676376</v>
      </c>
    </row>
    <row r="114" spans="1:15" s="60" customFormat="1" x14ac:dyDescent="0.2">
      <c r="A114" s="56" t="s">
        <v>346</v>
      </c>
      <c r="B114" s="56" t="s">
        <v>71</v>
      </c>
      <c r="C114" s="56" t="s">
        <v>185</v>
      </c>
      <c r="D114" s="57" t="s">
        <v>143</v>
      </c>
      <c r="E114" s="58">
        <v>921</v>
      </c>
      <c r="F114" s="59">
        <v>47952.32</v>
      </c>
      <c r="G114" s="59">
        <v>27332.84</v>
      </c>
      <c r="H114" s="59">
        <v>0</v>
      </c>
      <c r="I114" s="59">
        <v>0</v>
      </c>
      <c r="J114" s="59">
        <v>1183.5899999999999</v>
      </c>
      <c r="K114" s="59">
        <v>0</v>
      </c>
      <c r="L114" s="59">
        <v>49135.91</v>
      </c>
      <c r="M114" s="59">
        <v>20619.48</v>
      </c>
      <c r="N114" s="59">
        <v>28516.43</v>
      </c>
      <c r="O114" s="62">
        <f>N114*'FY2014 SUMMARY'!$B$3</f>
        <v>12408.161421103459</v>
      </c>
    </row>
    <row r="115" spans="1:15" s="60" customFormat="1" x14ac:dyDescent="0.2">
      <c r="A115" s="56" t="s">
        <v>356</v>
      </c>
      <c r="B115" s="56" t="s">
        <v>357</v>
      </c>
      <c r="C115" s="56" t="s">
        <v>185</v>
      </c>
      <c r="D115" s="57" t="s">
        <v>143</v>
      </c>
      <c r="E115" s="58">
        <v>921</v>
      </c>
      <c r="F115" s="59">
        <v>49505.16</v>
      </c>
      <c r="G115" s="59">
        <v>14900.62</v>
      </c>
      <c r="H115" s="59">
        <v>0</v>
      </c>
      <c r="I115" s="59">
        <v>0</v>
      </c>
      <c r="J115" s="59">
        <v>2190.23</v>
      </c>
      <c r="K115" s="59">
        <v>0</v>
      </c>
      <c r="L115" s="59">
        <v>51695.39</v>
      </c>
      <c r="M115" s="59">
        <v>34604.54</v>
      </c>
      <c r="N115" s="59">
        <v>17090.849999999999</v>
      </c>
      <c r="O115" s="62">
        <f>N115*'FY2014 SUMMARY'!$B$3</f>
        <v>7436.6260301119755</v>
      </c>
    </row>
    <row r="116" spans="1:15" s="60" customFormat="1" x14ac:dyDescent="0.2">
      <c r="A116" s="56" t="s">
        <v>358</v>
      </c>
      <c r="B116" s="56" t="s">
        <v>359</v>
      </c>
      <c r="C116" s="56" t="s">
        <v>185</v>
      </c>
      <c r="D116" s="57" t="s">
        <v>143</v>
      </c>
      <c r="E116" s="58">
        <v>921</v>
      </c>
      <c r="F116" s="59">
        <v>4588.83</v>
      </c>
      <c r="G116" s="59">
        <v>2845.83</v>
      </c>
      <c r="H116" s="59">
        <v>0</v>
      </c>
      <c r="I116" s="59">
        <v>0</v>
      </c>
      <c r="J116" s="59">
        <v>1988.65</v>
      </c>
      <c r="K116" s="59">
        <v>0</v>
      </c>
      <c r="L116" s="59">
        <v>6577.48</v>
      </c>
      <c r="M116" s="59">
        <v>1743</v>
      </c>
      <c r="N116" s="59">
        <v>4834.4799999999996</v>
      </c>
      <c r="O116" s="62">
        <f>N116*'FY2014 SUMMARY'!$B$3</f>
        <v>2103.5946023782167</v>
      </c>
    </row>
    <row r="117" spans="1:15" s="60" customFormat="1" x14ac:dyDescent="0.2">
      <c r="A117" s="56" t="s">
        <v>360</v>
      </c>
      <c r="B117" s="56" t="s">
        <v>72</v>
      </c>
      <c r="C117" s="56" t="s">
        <v>185</v>
      </c>
      <c r="D117" s="57" t="s">
        <v>143</v>
      </c>
      <c r="E117" s="58">
        <v>921</v>
      </c>
      <c r="F117" s="59">
        <v>15780</v>
      </c>
      <c r="G117" s="59">
        <v>6834</v>
      </c>
      <c r="H117" s="59">
        <v>0</v>
      </c>
      <c r="I117" s="59">
        <v>0</v>
      </c>
      <c r="J117" s="59">
        <v>1809.49</v>
      </c>
      <c r="K117" s="59">
        <v>0</v>
      </c>
      <c r="L117" s="59">
        <v>17589.490000000002</v>
      </c>
      <c r="M117" s="59">
        <v>8946</v>
      </c>
      <c r="N117" s="59">
        <v>8643.49</v>
      </c>
      <c r="O117" s="62">
        <f>N117*'FY2014 SUMMARY'!$B$3</f>
        <v>3760.9833756081507</v>
      </c>
    </row>
    <row r="118" spans="1:15" s="60" customFormat="1" x14ac:dyDescent="0.2">
      <c r="A118" s="56" t="s">
        <v>361</v>
      </c>
      <c r="B118" s="56" t="s">
        <v>362</v>
      </c>
      <c r="C118" s="56" t="s">
        <v>185</v>
      </c>
      <c r="D118" s="57" t="s">
        <v>143</v>
      </c>
      <c r="E118" s="58">
        <v>921</v>
      </c>
      <c r="F118" s="59">
        <v>24550.22</v>
      </c>
      <c r="G118" s="59">
        <v>9083.84</v>
      </c>
      <c r="H118" s="59">
        <v>0</v>
      </c>
      <c r="I118" s="59">
        <v>0</v>
      </c>
      <c r="J118" s="59">
        <v>1978.22</v>
      </c>
      <c r="K118" s="59">
        <v>0</v>
      </c>
      <c r="L118" s="59">
        <v>26528.44</v>
      </c>
      <c r="M118" s="59">
        <v>15466.38</v>
      </c>
      <c r="N118" s="59">
        <v>11062.06</v>
      </c>
      <c r="O118" s="62">
        <f>N118*'FY2014 SUMMARY'!$B$3</f>
        <v>4813.3593907067516</v>
      </c>
    </row>
    <row r="119" spans="1:15" s="60" customFormat="1" x14ac:dyDescent="0.2">
      <c r="A119" s="56" t="s">
        <v>363</v>
      </c>
      <c r="B119" s="56" t="s">
        <v>75</v>
      </c>
      <c r="C119" s="56" t="s">
        <v>185</v>
      </c>
      <c r="D119" s="57" t="s">
        <v>143</v>
      </c>
      <c r="E119" s="58">
        <v>921</v>
      </c>
      <c r="F119" s="59">
        <v>37693.08</v>
      </c>
      <c r="G119" s="59">
        <v>19235.580000000002</v>
      </c>
      <c r="H119" s="59">
        <v>0</v>
      </c>
      <c r="I119" s="59">
        <v>0</v>
      </c>
      <c r="J119" s="59">
        <v>1058.7</v>
      </c>
      <c r="K119" s="59">
        <v>0</v>
      </c>
      <c r="L119" s="59">
        <v>38751.78</v>
      </c>
      <c r="M119" s="59">
        <v>18457.5</v>
      </c>
      <c r="N119" s="59">
        <v>20294.28</v>
      </c>
      <c r="O119" s="62">
        <f>N119*'FY2014 SUMMARY'!$B$3</f>
        <v>8830.5128715295541</v>
      </c>
    </row>
    <row r="120" spans="1:15" s="60" customFormat="1" x14ac:dyDescent="0.2">
      <c r="A120" s="56" t="s">
        <v>364</v>
      </c>
      <c r="B120" s="56" t="s">
        <v>365</v>
      </c>
      <c r="C120" s="56" t="s">
        <v>185</v>
      </c>
      <c r="D120" s="57" t="s">
        <v>143</v>
      </c>
      <c r="E120" s="58">
        <v>921</v>
      </c>
      <c r="F120" s="59">
        <v>123000</v>
      </c>
      <c r="G120" s="59">
        <v>30750</v>
      </c>
      <c r="H120" s="59">
        <v>0</v>
      </c>
      <c r="I120" s="59">
        <v>0</v>
      </c>
      <c r="J120" s="59">
        <v>750</v>
      </c>
      <c r="K120" s="59">
        <v>0</v>
      </c>
      <c r="L120" s="59">
        <v>123750</v>
      </c>
      <c r="M120" s="59">
        <v>92250</v>
      </c>
      <c r="N120" s="59">
        <v>31500</v>
      </c>
      <c r="O120" s="62">
        <f>N120*'FY2014 SUMMARY'!$B$3</f>
        <v>13706.382066926295</v>
      </c>
    </row>
    <row r="121" spans="1:15" s="60" customFormat="1" x14ac:dyDescent="0.2">
      <c r="A121" s="56" t="s">
        <v>366</v>
      </c>
      <c r="B121" s="56" t="s">
        <v>367</v>
      </c>
      <c r="C121" s="56" t="s">
        <v>185</v>
      </c>
      <c r="D121" s="57" t="s">
        <v>143</v>
      </c>
      <c r="E121" s="58">
        <v>921</v>
      </c>
      <c r="F121" s="59">
        <v>24000</v>
      </c>
      <c r="G121" s="59">
        <v>8400</v>
      </c>
      <c r="H121" s="59">
        <v>0</v>
      </c>
      <c r="I121" s="59">
        <v>0</v>
      </c>
      <c r="J121" s="59">
        <v>1910.22</v>
      </c>
      <c r="K121" s="59">
        <v>0</v>
      </c>
      <c r="L121" s="59">
        <v>25910.22</v>
      </c>
      <c r="M121" s="59">
        <v>15600</v>
      </c>
      <c r="N121" s="59">
        <v>10310.219999999999</v>
      </c>
      <c r="O121" s="62">
        <f>N121*'FY2014 SUMMARY'!$B$3</f>
        <v>4486.2163337798356</v>
      </c>
    </row>
    <row r="122" spans="1:15" s="60" customFormat="1" x14ac:dyDescent="0.2">
      <c r="A122" s="56" t="s">
        <v>368</v>
      </c>
      <c r="B122" s="56" t="s">
        <v>369</v>
      </c>
      <c r="C122" s="56" t="s">
        <v>185</v>
      </c>
      <c r="D122" s="57" t="s">
        <v>143</v>
      </c>
      <c r="E122" s="58">
        <v>921</v>
      </c>
      <c r="F122" s="59">
        <v>32630</v>
      </c>
      <c r="G122" s="59">
        <v>20230.599999999999</v>
      </c>
      <c r="H122" s="59">
        <v>0</v>
      </c>
      <c r="I122" s="59">
        <v>0</v>
      </c>
      <c r="J122" s="59">
        <v>1395.92</v>
      </c>
      <c r="K122" s="59">
        <v>0</v>
      </c>
      <c r="L122" s="59">
        <v>34025.919999999998</v>
      </c>
      <c r="M122" s="59">
        <v>12399.4</v>
      </c>
      <c r="N122" s="59">
        <v>21626.52</v>
      </c>
      <c r="O122" s="62">
        <f>N122*'FY2014 SUMMARY'!$B$3</f>
        <v>9410.2014570800911</v>
      </c>
    </row>
    <row r="123" spans="1:15" s="60" customFormat="1" x14ac:dyDescent="0.2">
      <c r="A123" s="56" t="s">
        <v>370</v>
      </c>
      <c r="B123" s="56" t="s">
        <v>371</v>
      </c>
      <c r="C123" s="56" t="s">
        <v>185</v>
      </c>
      <c r="D123" s="57" t="s">
        <v>143</v>
      </c>
      <c r="E123" s="58">
        <v>921</v>
      </c>
      <c r="F123" s="59">
        <v>28073</v>
      </c>
      <c r="G123" s="59">
        <v>12116.56</v>
      </c>
      <c r="H123" s="59">
        <v>0</v>
      </c>
      <c r="I123" s="59">
        <v>0</v>
      </c>
      <c r="J123" s="59">
        <v>1430</v>
      </c>
      <c r="K123" s="59">
        <v>0</v>
      </c>
      <c r="L123" s="59">
        <v>29503</v>
      </c>
      <c r="M123" s="59">
        <v>15956.44</v>
      </c>
      <c r="N123" s="59">
        <v>13546.56</v>
      </c>
      <c r="O123" s="62">
        <f>N123*'FY2014 SUMMARY'!$B$3</f>
        <v>5894.4230810330491</v>
      </c>
    </row>
    <row r="124" spans="1:15" s="60" customFormat="1" ht="13.5" thickBot="1" x14ac:dyDescent="0.25">
      <c r="A124" s="72" t="s">
        <v>372</v>
      </c>
      <c r="B124" s="72" t="s">
        <v>76</v>
      </c>
      <c r="C124" s="72" t="s">
        <v>185</v>
      </c>
      <c r="D124" s="73" t="s">
        <v>143</v>
      </c>
      <c r="E124" s="74">
        <v>921</v>
      </c>
      <c r="F124" s="75">
        <v>31452</v>
      </c>
      <c r="G124" s="75">
        <v>13524.36</v>
      </c>
      <c r="H124" s="75">
        <v>0</v>
      </c>
      <c r="I124" s="75">
        <v>0</v>
      </c>
      <c r="J124" s="75">
        <v>1398</v>
      </c>
      <c r="K124" s="75">
        <v>0</v>
      </c>
      <c r="L124" s="75">
        <v>32850</v>
      </c>
      <c r="M124" s="75">
        <v>17927.64</v>
      </c>
      <c r="N124" s="75">
        <v>14922.36</v>
      </c>
      <c r="O124" s="62">
        <f>N124*'FY2014 SUMMARY'!$B$3</f>
        <v>6493.0656349275641</v>
      </c>
    </row>
    <row r="125" spans="1:15" x14ac:dyDescent="0.2">
      <c r="A125" s="76" t="s">
        <v>712</v>
      </c>
      <c r="N125" s="13">
        <f>SUM(N105:N124)</f>
        <v>336031.94</v>
      </c>
      <c r="O125" s="13">
        <f>SUM(O105:O124)</f>
        <v>146215.30655017312</v>
      </c>
    </row>
    <row r="126" spans="1:15" x14ac:dyDescent="0.2">
      <c r="A126" s="36" t="s">
        <v>373</v>
      </c>
      <c r="B126" s="36"/>
      <c r="C126" s="38">
        <f>N170</f>
        <v>2595093</v>
      </c>
    </row>
    <row r="127" spans="1:15" x14ac:dyDescent="0.2">
      <c r="A127" s="14" t="s">
        <v>175</v>
      </c>
      <c r="B127" s="14" t="s">
        <v>176</v>
      </c>
      <c r="C127" s="14" t="s">
        <v>177</v>
      </c>
      <c r="D127" s="15" t="s">
        <v>0</v>
      </c>
      <c r="E127" s="16" t="s">
        <v>178</v>
      </c>
      <c r="F127" s="15" t="s">
        <v>179</v>
      </c>
      <c r="G127" s="15" t="s">
        <v>180</v>
      </c>
      <c r="H127" s="15" t="s">
        <v>181</v>
      </c>
      <c r="I127" s="15" t="s">
        <v>183</v>
      </c>
      <c r="J127" s="15" t="s">
        <v>1</v>
      </c>
      <c r="K127" s="15" t="s">
        <v>2</v>
      </c>
      <c r="L127" s="15" t="s">
        <v>3</v>
      </c>
      <c r="M127" s="15" t="s">
        <v>184</v>
      </c>
      <c r="N127" s="15" t="s">
        <v>182</v>
      </c>
      <c r="O127" s="63"/>
    </row>
    <row r="128" spans="1:15" x14ac:dyDescent="0.2">
      <c r="A128" s="39" t="s">
        <v>374</v>
      </c>
      <c r="B128" s="39" t="s">
        <v>375</v>
      </c>
      <c r="C128" s="39" t="s">
        <v>376</v>
      </c>
      <c r="D128" s="18" t="s">
        <v>128</v>
      </c>
      <c r="E128" s="19" t="s">
        <v>377</v>
      </c>
      <c r="F128" s="20">
        <v>28724</v>
      </c>
      <c r="G128" s="20">
        <v>10053</v>
      </c>
      <c r="H128" s="20">
        <v>0</v>
      </c>
      <c r="I128" s="20">
        <v>0</v>
      </c>
      <c r="J128" s="20">
        <v>0</v>
      </c>
      <c r="K128" s="20">
        <v>0</v>
      </c>
      <c r="L128" s="20">
        <v>28724</v>
      </c>
      <c r="M128" s="20">
        <v>18671</v>
      </c>
      <c r="N128" s="20">
        <v>10053</v>
      </c>
      <c r="O128" s="62">
        <f>N128*'FY2014 SUMMARY'!$B$3</f>
        <v>4374.2939339304776</v>
      </c>
    </row>
    <row r="129" spans="1:15" x14ac:dyDescent="0.2">
      <c r="A129" s="25" t="s">
        <v>378</v>
      </c>
      <c r="B129" s="25" t="s">
        <v>379</v>
      </c>
      <c r="C129" s="25" t="s">
        <v>185</v>
      </c>
      <c r="D129" s="18" t="s">
        <v>128</v>
      </c>
      <c r="E129" s="19" t="s">
        <v>377</v>
      </c>
      <c r="F129" s="20">
        <v>974038</v>
      </c>
      <c r="G129" s="20">
        <v>467540</v>
      </c>
      <c r="H129" s="20">
        <v>0</v>
      </c>
      <c r="I129" s="20">
        <v>0</v>
      </c>
      <c r="J129" s="20">
        <v>0</v>
      </c>
      <c r="K129" s="20">
        <v>0</v>
      </c>
      <c r="L129" s="20">
        <v>974038</v>
      </c>
      <c r="M129" s="20">
        <v>506498</v>
      </c>
      <c r="N129" s="20">
        <v>467540</v>
      </c>
      <c r="O129" s="62">
        <f>N129*'FY2014 SUMMARY'!$B$3</f>
        <v>203437.5197324038</v>
      </c>
    </row>
    <row r="130" spans="1:15" x14ac:dyDescent="0.2">
      <c r="A130" s="25" t="s">
        <v>380</v>
      </c>
      <c r="B130" s="25" t="s">
        <v>381</v>
      </c>
      <c r="C130" s="25" t="s">
        <v>185</v>
      </c>
      <c r="D130" s="18" t="s">
        <v>128</v>
      </c>
      <c r="E130" s="19" t="s">
        <v>377</v>
      </c>
      <c r="F130" s="20">
        <v>46566</v>
      </c>
      <c r="G130" s="20">
        <v>27008</v>
      </c>
      <c r="H130" s="20">
        <v>0</v>
      </c>
      <c r="I130" s="20">
        <v>0</v>
      </c>
      <c r="J130" s="20">
        <v>97681</v>
      </c>
      <c r="K130" s="20">
        <v>5099</v>
      </c>
      <c r="L130" s="20">
        <v>149346</v>
      </c>
      <c r="M130" s="20">
        <v>19558</v>
      </c>
      <c r="N130" s="20">
        <v>129788</v>
      </c>
      <c r="O130" s="62">
        <f>N130*'FY2014 SUMMARY'!$B$3</f>
        <v>56473.775101658088</v>
      </c>
    </row>
    <row r="131" spans="1:15" x14ac:dyDescent="0.2">
      <c r="A131" s="25" t="s">
        <v>382</v>
      </c>
      <c r="B131" s="25" t="s">
        <v>383</v>
      </c>
      <c r="C131" s="25" t="s">
        <v>185</v>
      </c>
      <c r="D131" s="18" t="s">
        <v>128</v>
      </c>
      <c r="E131" s="19" t="s">
        <v>377</v>
      </c>
      <c r="F131" s="20">
        <v>41329</v>
      </c>
      <c r="G131" s="20">
        <v>6200</v>
      </c>
      <c r="H131" s="20">
        <v>0</v>
      </c>
      <c r="I131" s="20">
        <v>0</v>
      </c>
      <c r="J131" s="20">
        <v>0</v>
      </c>
      <c r="K131" s="20">
        <v>0</v>
      </c>
      <c r="L131" s="20">
        <v>41329</v>
      </c>
      <c r="M131" s="20">
        <v>35129</v>
      </c>
      <c r="N131" s="20">
        <v>6200</v>
      </c>
      <c r="O131" s="62">
        <f>N131*'FY2014 SUMMARY'!$B$3</f>
        <v>2697.7640893632706</v>
      </c>
    </row>
    <row r="132" spans="1:15" x14ac:dyDescent="0.2">
      <c r="A132" s="25" t="s">
        <v>384</v>
      </c>
      <c r="B132" s="25" t="s">
        <v>385</v>
      </c>
      <c r="C132" s="25" t="s">
        <v>185</v>
      </c>
      <c r="D132" s="18" t="s">
        <v>128</v>
      </c>
      <c r="E132" s="19" t="s">
        <v>377</v>
      </c>
      <c r="F132" s="20">
        <v>77474</v>
      </c>
      <c r="G132" s="20">
        <v>18595</v>
      </c>
      <c r="H132" s="20">
        <v>0</v>
      </c>
      <c r="I132" s="20">
        <v>0</v>
      </c>
      <c r="J132" s="20">
        <v>17000</v>
      </c>
      <c r="K132" s="20">
        <v>0</v>
      </c>
      <c r="L132" s="20">
        <v>94474</v>
      </c>
      <c r="M132" s="20">
        <v>58879</v>
      </c>
      <c r="N132" s="20">
        <v>35595</v>
      </c>
      <c r="O132" s="62">
        <f>N132*'FY2014 SUMMARY'!$B$3</f>
        <v>15488.211735626712</v>
      </c>
    </row>
    <row r="133" spans="1:15" x14ac:dyDescent="0.2">
      <c r="A133" s="28" t="s">
        <v>386</v>
      </c>
      <c r="B133" s="28" t="s">
        <v>387</v>
      </c>
      <c r="C133" s="28" t="s">
        <v>185</v>
      </c>
      <c r="D133" s="18" t="s">
        <v>128</v>
      </c>
      <c r="E133" s="19" t="s">
        <v>377</v>
      </c>
      <c r="F133" s="20">
        <v>119902</v>
      </c>
      <c r="G133" s="20">
        <v>47991</v>
      </c>
      <c r="H133" s="20">
        <v>0</v>
      </c>
      <c r="I133" s="20">
        <v>0</v>
      </c>
      <c r="J133" s="20">
        <v>0</v>
      </c>
      <c r="K133" s="20">
        <v>0</v>
      </c>
      <c r="L133" s="20">
        <v>119902</v>
      </c>
      <c r="M133" s="20">
        <v>71911</v>
      </c>
      <c r="N133" s="20">
        <v>47991</v>
      </c>
      <c r="O133" s="62">
        <f>N133*'FY2014 SUMMARY'!$B$3</f>
        <v>20881.999421392375</v>
      </c>
    </row>
    <row r="134" spans="1:15" x14ac:dyDescent="0.2">
      <c r="A134" s="69" t="s">
        <v>388</v>
      </c>
      <c r="B134" s="25" t="s">
        <v>389</v>
      </c>
      <c r="C134" s="25" t="s">
        <v>185</v>
      </c>
      <c r="D134" s="18" t="s">
        <v>128</v>
      </c>
      <c r="E134" s="19" t="s">
        <v>377</v>
      </c>
      <c r="F134" s="20">
        <v>47716</v>
      </c>
      <c r="G134" s="20">
        <v>18612</v>
      </c>
      <c r="H134" s="20">
        <v>0</v>
      </c>
      <c r="I134" s="20">
        <v>0</v>
      </c>
      <c r="J134" s="20">
        <v>0</v>
      </c>
      <c r="K134" s="20">
        <v>16573</v>
      </c>
      <c r="L134" s="20">
        <v>64289</v>
      </c>
      <c r="M134" s="20">
        <v>29104</v>
      </c>
      <c r="N134" s="20">
        <v>35185</v>
      </c>
      <c r="O134" s="62">
        <f>N134*'FY2014 SUMMARY'!$B$3</f>
        <v>15309.811207136561</v>
      </c>
    </row>
    <row r="135" spans="1:15" x14ac:dyDescent="0.2">
      <c r="A135" s="25" t="s">
        <v>390</v>
      </c>
      <c r="B135" s="25" t="s">
        <v>391</v>
      </c>
      <c r="C135" s="25" t="s">
        <v>185</v>
      </c>
      <c r="D135" s="18" t="s">
        <v>128</v>
      </c>
      <c r="E135" s="19" t="s">
        <v>377</v>
      </c>
      <c r="F135" s="20">
        <v>47397</v>
      </c>
      <c r="G135" s="20">
        <v>27964</v>
      </c>
      <c r="H135" s="20">
        <v>0</v>
      </c>
      <c r="I135" s="20">
        <v>0</v>
      </c>
      <c r="J135" s="20">
        <v>0</v>
      </c>
      <c r="K135" s="20">
        <v>15777</v>
      </c>
      <c r="L135" s="20">
        <v>63174</v>
      </c>
      <c r="M135" s="20">
        <v>19433</v>
      </c>
      <c r="N135" s="20">
        <v>43741</v>
      </c>
      <c r="O135" s="62">
        <f>N135*'FY2014 SUMMARY'!$B$3</f>
        <v>19032.725650457873</v>
      </c>
    </row>
    <row r="136" spans="1:15" x14ac:dyDescent="0.2">
      <c r="A136" s="28" t="s">
        <v>392</v>
      </c>
      <c r="B136" s="28" t="s">
        <v>63</v>
      </c>
      <c r="C136" s="28" t="s">
        <v>185</v>
      </c>
      <c r="D136" s="18" t="s">
        <v>128</v>
      </c>
      <c r="E136" s="19" t="s">
        <v>377</v>
      </c>
      <c r="F136" s="20">
        <v>25176</v>
      </c>
      <c r="G136" s="20">
        <v>12588</v>
      </c>
      <c r="H136" s="20">
        <v>0</v>
      </c>
      <c r="I136" s="20">
        <v>0</v>
      </c>
      <c r="J136" s="20">
        <v>0</v>
      </c>
      <c r="K136" s="20">
        <v>0</v>
      </c>
      <c r="L136" s="20">
        <v>25176</v>
      </c>
      <c r="M136" s="20">
        <v>12588</v>
      </c>
      <c r="N136" s="20">
        <v>12588</v>
      </c>
      <c r="O136" s="62">
        <f>N136*'FY2014 SUMMARY'!$B$3</f>
        <v>5477.331347887879</v>
      </c>
    </row>
    <row r="137" spans="1:15" x14ac:dyDescent="0.2">
      <c r="A137" s="28" t="s">
        <v>393</v>
      </c>
      <c r="B137" s="28" t="s">
        <v>394</v>
      </c>
      <c r="C137" s="28" t="s">
        <v>185</v>
      </c>
      <c r="D137" s="18" t="s">
        <v>128</v>
      </c>
      <c r="E137" s="19" t="s">
        <v>377</v>
      </c>
      <c r="F137" s="20">
        <v>100730</v>
      </c>
      <c r="G137" s="20">
        <v>55415</v>
      </c>
      <c r="H137" s="20">
        <v>0</v>
      </c>
      <c r="I137" s="20">
        <v>0</v>
      </c>
      <c r="J137" s="20">
        <v>33298</v>
      </c>
      <c r="K137" s="20">
        <v>15161</v>
      </c>
      <c r="L137" s="20">
        <v>149189</v>
      </c>
      <c r="M137" s="20">
        <v>45315</v>
      </c>
      <c r="N137" s="20">
        <v>103874</v>
      </c>
      <c r="O137" s="62">
        <f>N137*'FY2014 SUMMARY'!$B$3</f>
        <v>45197.991454600058</v>
      </c>
    </row>
    <row r="138" spans="1:15" x14ac:dyDescent="0.2">
      <c r="A138" s="28" t="s">
        <v>395</v>
      </c>
      <c r="B138" s="28" t="s">
        <v>396</v>
      </c>
      <c r="C138" s="28" t="s">
        <v>185</v>
      </c>
      <c r="D138" s="18" t="s">
        <v>128</v>
      </c>
      <c r="E138" s="19" t="s">
        <v>377</v>
      </c>
      <c r="F138" s="20">
        <v>84330</v>
      </c>
      <c r="G138" s="20">
        <v>34575</v>
      </c>
      <c r="H138" s="20">
        <v>0</v>
      </c>
      <c r="I138" s="20">
        <v>0</v>
      </c>
      <c r="J138" s="20">
        <v>0</v>
      </c>
      <c r="K138" s="20">
        <v>0</v>
      </c>
      <c r="L138" s="20">
        <v>84330</v>
      </c>
      <c r="M138" s="20">
        <v>49755</v>
      </c>
      <c r="N138" s="20">
        <v>34575</v>
      </c>
      <c r="O138" s="62">
        <f>N138*'FY2014 SUMMARY'!$B$3</f>
        <v>15044.386030602433</v>
      </c>
    </row>
    <row r="139" spans="1:15" x14ac:dyDescent="0.2">
      <c r="A139" s="28" t="s">
        <v>397</v>
      </c>
      <c r="B139" s="28" t="s">
        <v>398</v>
      </c>
      <c r="C139" s="28" t="s">
        <v>185</v>
      </c>
      <c r="D139" s="18" t="s">
        <v>128</v>
      </c>
      <c r="E139" s="19" t="s">
        <v>377</v>
      </c>
      <c r="F139" s="20">
        <v>33698</v>
      </c>
      <c r="G139" s="20">
        <v>15190</v>
      </c>
      <c r="H139" s="20">
        <v>0</v>
      </c>
      <c r="I139" s="20">
        <v>0</v>
      </c>
      <c r="J139" s="20">
        <v>0</v>
      </c>
      <c r="K139" s="20">
        <v>0</v>
      </c>
      <c r="L139" s="20">
        <v>33698</v>
      </c>
      <c r="M139" s="20">
        <v>18508</v>
      </c>
      <c r="N139" s="20">
        <v>15190</v>
      </c>
      <c r="O139" s="62">
        <f>N139*'FY2014 SUMMARY'!$B$3</f>
        <v>6609.5220189400134</v>
      </c>
    </row>
    <row r="140" spans="1:15" x14ac:dyDescent="0.2">
      <c r="A140" s="25" t="s">
        <v>399</v>
      </c>
      <c r="B140" s="25" t="s">
        <v>400</v>
      </c>
      <c r="C140" s="25" t="s">
        <v>185</v>
      </c>
      <c r="D140" s="18" t="s">
        <v>128</v>
      </c>
      <c r="E140" s="19" t="s">
        <v>377</v>
      </c>
      <c r="F140" s="20">
        <v>66882</v>
      </c>
      <c r="G140" s="20">
        <v>35460</v>
      </c>
      <c r="H140" s="20">
        <v>0</v>
      </c>
      <c r="I140" s="20">
        <v>0</v>
      </c>
      <c r="J140" s="20">
        <v>0</v>
      </c>
      <c r="K140" s="20">
        <v>0</v>
      </c>
      <c r="L140" s="20">
        <v>66882</v>
      </c>
      <c r="M140" s="20">
        <v>31422</v>
      </c>
      <c r="N140" s="20">
        <v>35460</v>
      </c>
      <c r="O140" s="62">
        <f>N140*'FY2014 SUMMARY'!$B$3</f>
        <v>15429.470098197029</v>
      </c>
    </row>
    <row r="141" spans="1:15" x14ac:dyDescent="0.2">
      <c r="A141" s="25" t="s">
        <v>401</v>
      </c>
      <c r="B141" s="25" t="s">
        <v>67</v>
      </c>
      <c r="C141" s="25" t="s">
        <v>185</v>
      </c>
      <c r="D141" s="18" t="s">
        <v>128</v>
      </c>
      <c r="E141" s="19" t="s">
        <v>377</v>
      </c>
      <c r="F141" s="20">
        <v>114843</v>
      </c>
      <c r="G141" s="20">
        <v>32156</v>
      </c>
      <c r="H141" s="20">
        <v>0</v>
      </c>
      <c r="I141" s="20">
        <v>0</v>
      </c>
      <c r="J141" s="20">
        <v>750</v>
      </c>
      <c r="K141" s="20">
        <v>0</v>
      </c>
      <c r="L141" s="20">
        <v>115593</v>
      </c>
      <c r="M141" s="20">
        <v>82687</v>
      </c>
      <c r="N141" s="20">
        <v>32906</v>
      </c>
      <c r="O141" s="62">
        <f>N141*'FY2014 SUMMARY'!$B$3</f>
        <v>14318.165342675449</v>
      </c>
    </row>
    <row r="142" spans="1:15" x14ac:dyDescent="0.2">
      <c r="A142" s="25" t="s">
        <v>402</v>
      </c>
      <c r="B142" s="25" t="s">
        <v>403</v>
      </c>
      <c r="C142" s="25" t="s">
        <v>185</v>
      </c>
      <c r="D142" s="18" t="s">
        <v>128</v>
      </c>
      <c r="E142" s="19" t="s">
        <v>377</v>
      </c>
      <c r="F142" s="20">
        <v>50402</v>
      </c>
      <c r="G142" s="20">
        <v>22682</v>
      </c>
      <c r="H142" s="20">
        <v>0</v>
      </c>
      <c r="I142" s="20">
        <v>0</v>
      </c>
      <c r="J142" s="20">
        <v>0</v>
      </c>
      <c r="K142" s="20">
        <v>43886</v>
      </c>
      <c r="L142" s="20">
        <v>94288</v>
      </c>
      <c r="M142" s="20">
        <v>27720</v>
      </c>
      <c r="N142" s="20">
        <v>66568</v>
      </c>
      <c r="O142" s="62">
        <f>N142*'FY2014 SUMMARY'!$B$3</f>
        <v>28965.283854957128</v>
      </c>
    </row>
    <row r="143" spans="1:15" x14ac:dyDescent="0.2">
      <c r="A143" s="28" t="s">
        <v>404</v>
      </c>
      <c r="B143" s="28" t="s">
        <v>405</v>
      </c>
      <c r="C143" s="28" t="s">
        <v>185</v>
      </c>
      <c r="D143" s="18" t="s">
        <v>128</v>
      </c>
      <c r="E143" s="19" t="s">
        <v>377</v>
      </c>
      <c r="F143" s="20">
        <v>54024</v>
      </c>
      <c r="G143" s="20">
        <v>22690</v>
      </c>
      <c r="H143" s="20">
        <v>0</v>
      </c>
      <c r="I143" s="20">
        <v>0</v>
      </c>
      <c r="J143" s="20">
        <v>0</v>
      </c>
      <c r="K143" s="20">
        <v>66205</v>
      </c>
      <c r="L143" s="20">
        <v>120229</v>
      </c>
      <c r="M143" s="20">
        <v>31334</v>
      </c>
      <c r="N143" s="20">
        <v>88895</v>
      </c>
      <c r="O143" s="62">
        <f>N143*'FY2014 SUMMARY'!$B$3</f>
        <v>38680.280439346439</v>
      </c>
    </row>
    <row r="144" spans="1:15" x14ac:dyDescent="0.2">
      <c r="A144" s="28" t="s">
        <v>406</v>
      </c>
      <c r="B144" s="28" t="s">
        <v>407</v>
      </c>
      <c r="C144" s="28" t="s">
        <v>185</v>
      </c>
      <c r="D144" s="18" t="s">
        <v>128</v>
      </c>
      <c r="E144" s="19" t="s">
        <v>377</v>
      </c>
      <c r="F144" s="20">
        <v>136985</v>
      </c>
      <c r="G144" s="20">
        <v>79484</v>
      </c>
      <c r="H144" s="20">
        <v>0</v>
      </c>
      <c r="I144" s="20">
        <v>0</v>
      </c>
      <c r="J144" s="20">
        <v>0</v>
      </c>
      <c r="K144" s="20">
        <v>0</v>
      </c>
      <c r="L144" s="20">
        <v>136985</v>
      </c>
      <c r="M144" s="20">
        <v>57501</v>
      </c>
      <c r="N144" s="20">
        <v>79484</v>
      </c>
      <c r="O144" s="62">
        <f>N144*'FY2014 SUMMARY'!$B$3</f>
        <v>34585.335625637126</v>
      </c>
    </row>
    <row r="145" spans="1:15" x14ac:dyDescent="0.2">
      <c r="A145" s="25" t="s">
        <v>408</v>
      </c>
      <c r="B145" s="25" t="s">
        <v>409</v>
      </c>
      <c r="C145" s="25" t="s">
        <v>185</v>
      </c>
      <c r="D145" s="18" t="s">
        <v>128</v>
      </c>
      <c r="E145" s="19" t="s">
        <v>377</v>
      </c>
      <c r="F145" s="20">
        <v>49896</v>
      </c>
      <c r="G145" s="20">
        <v>30865</v>
      </c>
      <c r="H145" s="20">
        <v>0</v>
      </c>
      <c r="I145" s="20">
        <v>0</v>
      </c>
      <c r="J145" s="20"/>
      <c r="K145" s="20">
        <v>37014</v>
      </c>
      <c r="L145" s="20">
        <v>86910</v>
      </c>
      <c r="M145" s="20">
        <v>19031</v>
      </c>
      <c r="N145" s="20">
        <v>67879</v>
      </c>
      <c r="O145" s="62">
        <f>N145*'FY2014 SUMMARY'!$B$3</f>
        <v>29535.730422885394</v>
      </c>
    </row>
    <row r="146" spans="1:15" x14ac:dyDescent="0.2">
      <c r="A146" s="25" t="s">
        <v>410</v>
      </c>
      <c r="B146" s="25" t="s">
        <v>411</v>
      </c>
      <c r="C146" s="25" t="s">
        <v>185</v>
      </c>
      <c r="D146" s="18" t="s">
        <v>128</v>
      </c>
      <c r="E146" s="19" t="s">
        <v>377</v>
      </c>
      <c r="F146" s="20">
        <v>101174</v>
      </c>
      <c r="G146" s="20">
        <v>61648</v>
      </c>
      <c r="H146" s="20">
        <v>0</v>
      </c>
      <c r="I146" s="20">
        <v>0</v>
      </c>
      <c r="J146" s="20">
        <v>0</v>
      </c>
      <c r="K146" s="20">
        <v>0</v>
      </c>
      <c r="L146" s="20">
        <v>101174</v>
      </c>
      <c r="M146" s="20">
        <v>39526</v>
      </c>
      <c r="N146" s="20">
        <v>61648</v>
      </c>
      <c r="O146" s="62">
        <f>N146*'FY2014 SUMMARY'!$B$3</f>
        <v>26824.477513075308</v>
      </c>
    </row>
    <row r="147" spans="1:15" x14ac:dyDescent="0.2">
      <c r="A147" s="28" t="s">
        <v>412</v>
      </c>
      <c r="B147" s="28" t="s">
        <v>413</v>
      </c>
      <c r="C147" s="28" t="s">
        <v>185</v>
      </c>
      <c r="D147" s="18" t="s">
        <v>128</v>
      </c>
      <c r="E147" s="19" t="s">
        <v>377</v>
      </c>
      <c r="F147" s="20">
        <v>82461</v>
      </c>
      <c r="G147" s="20">
        <v>41230</v>
      </c>
      <c r="H147" s="20">
        <v>0</v>
      </c>
      <c r="I147" s="20">
        <v>0</v>
      </c>
      <c r="J147" s="20">
        <v>0</v>
      </c>
      <c r="K147" s="20">
        <v>0</v>
      </c>
      <c r="L147" s="20">
        <v>82461</v>
      </c>
      <c r="M147" s="20">
        <v>41231</v>
      </c>
      <c r="N147" s="20">
        <v>41230</v>
      </c>
      <c r="O147" s="62">
        <f>N147*'FY2014 SUMMARY'!$B$3</f>
        <v>17940.131194265748</v>
      </c>
    </row>
    <row r="148" spans="1:15" x14ac:dyDescent="0.2">
      <c r="A148" s="28" t="s">
        <v>414</v>
      </c>
      <c r="B148" s="28" t="s">
        <v>415</v>
      </c>
      <c r="C148" s="28" t="s">
        <v>185</v>
      </c>
      <c r="D148" s="18" t="s">
        <v>128</v>
      </c>
      <c r="E148" s="19" t="s">
        <v>377</v>
      </c>
      <c r="F148" s="20">
        <v>47770</v>
      </c>
      <c r="G148" s="20">
        <v>33230</v>
      </c>
      <c r="H148" s="20">
        <v>0</v>
      </c>
      <c r="I148" s="20">
        <v>0</v>
      </c>
      <c r="J148" s="20">
        <v>0</v>
      </c>
      <c r="K148" s="20">
        <v>0</v>
      </c>
      <c r="L148" s="20">
        <v>47770</v>
      </c>
      <c r="M148" s="20">
        <v>14540</v>
      </c>
      <c r="N148" s="20">
        <v>33230</v>
      </c>
      <c r="O148" s="62">
        <f>N148*'FY2014 SUMMARY'!$B$3</f>
        <v>14459.14527250669</v>
      </c>
    </row>
    <row r="149" spans="1:15" x14ac:dyDescent="0.2">
      <c r="A149" s="25" t="s">
        <v>416</v>
      </c>
      <c r="B149" s="25" t="s">
        <v>417</v>
      </c>
      <c r="C149" s="25" t="s">
        <v>185</v>
      </c>
      <c r="D149" s="18" t="s">
        <v>128</v>
      </c>
      <c r="E149" s="19" t="s">
        <v>377</v>
      </c>
      <c r="F149" s="20">
        <v>149435</v>
      </c>
      <c r="G149" s="20">
        <v>62180</v>
      </c>
      <c r="H149" s="20">
        <v>0</v>
      </c>
      <c r="I149" s="20">
        <v>0</v>
      </c>
      <c r="J149" s="20">
        <v>0</v>
      </c>
      <c r="K149" s="20">
        <v>0</v>
      </c>
      <c r="L149" s="20">
        <v>149435</v>
      </c>
      <c r="M149" s="20">
        <v>87255</v>
      </c>
      <c r="N149" s="20">
        <v>62180</v>
      </c>
      <c r="O149" s="62">
        <f>N149*'FY2014 SUMMARY'!$B$3</f>
        <v>27055.963076872285</v>
      </c>
    </row>
    <row r="150" spans="1:15" x14ac:dyDescent="0.2">
      <c r="A150" s="56" t="s">
        <v>418</v>
      </c>
      <c r="B150" s="28" t="s">
        <v>419</v>
      </c>
      <c r="C150" s="28" t="s">
        <v>185</v>
      </c>
      <c r="D150" s="18" t="s">
        <v>128</v>
      </c>
      <c r="E150" s="19" t="s">
        <v>377</v>
      </c>
      <c r="F150" s="20">
        <v>118709</v>
      </c>
      <c r="G150" s="20">
        <v>22559</v>
      </c>
      <c r="H150" s="20">
        <v>0</v>
      </c>
      <c r="I150" s="20">
        <v>0</v>
      </c>
      <c r="J150" s="20">
        <v>18273</v>
      </c>
      <c r="K150" s="20">
        <v>0</v>
      </c>
      <c r="L150" s="20">
        <v>136982</v>
      </c>
      <c r="M150" s="20">
        <v>96150</v>
      </c>
      <c r="N150" s="20">
        <v>40832</v>
      </c>
      <c r="O150" s="62">
        <f>N150*'FY2014 SUMMARY'!$B$3</f>
        <v>17766.952144658237</v>
      </c>
    </row>
    <row r="151" spans="1:15" x14ac:dyDescent="0.2">
      <c r="A151" s="25" t="s">
        <v>420</v>
      </c>
      <c r="B151" s="25" t="s">
        <v>421</v>
      </c>
      <c r="C151" s="25" t="s">
        <v>185</v>
      </c>
      <c r="D151" s="18" t="s">
        <v>128</v>
      </c>
      <c r="E151" s="19" t="s">
        <v>377</v>
      </c>
      <c r="F151" s="20">
        <v>45382</v>
      </c>
      <c r="G151" s="20">
        <v>16671</v>
      </c>
      <c r="H151" s="20">
        <v>0</v>
      </c>
      <c r="I151" s="20">
        <v>0</v>
      </c>
      <c r="J151" s="20">
        <v>0</v>
      </c>
      <c r="K151" s="20">
        <v>20248</v>
      </c>
      <c r="L151" s="20">
        <v>65630</v>
      </c>
      <c r="M151" s="20">
        <v>28711</v>
      </c>
      <c r="N151" s="20">
        <v>36919</v>
      </c>
      <c r="O151" s="62">
        <f>N151*'FY2014 SUMMARY'!$B$3</f>
        <v>16064.314905677837</v>
      </c>
    </row>
    <row r="152" spans="1:15" x14ac:dyDescent="0.2">
      <c r="A152" s="56" t="s">
        <v>422</v>
      </c>
      <c r="B152" s="28" t="s">
        <v>423</v>
      </c>
      <c r="C152" s="28" t="s">
        <v>185</v>
      </c>
      <c r="D152" s="18" t="s">
        <v>128</v>
      </c>
      <c r="E152" s="19" t="s">
        <v>377</v>
      </c>
      <c r="F152" s="20">
        <v>23302</v>
      </c>
      <c r="G152" s="20">
        <v>12686</v>
      </c>
      <c r="H152" s="20">
        <v>0</v>
      </c>
      <c r="I152" s="20">
        <v>0</v>
      </c>
      <c r="J152" s="20">
        <v>0</v>
      </c>
      <c r="K152" s="20">
        <v>0</v>
      </c>
      <c r="L152" s="20">
        <v>23302</v>
      </c>
      <c r="M152" s="20">
        <v>10616</v>
      </c>
      <c r="N152" s="20">
        <v>12686</v>
      </c>
      <c r="O152" s="62">
        <f>N152*'FY2014 SUMMARY'!$B$3</f>
        <v>5519.9734254294272</v>
      </c>
    </row>
    <row r="153" spans="1:15" x14ac:dyDescent="0.2">
      <c r="A153" s="28" t="s">
        <v>424</v>
      </c>
      <c r="B153" s="28" t="s">
        <v>425</v>
      </c>
      <c r="C153" s="28" t="s">
        <v>185</v>
      </c>
      <c r="D153" s="18" t="s">
        <v>128</v>
      </c>
      <c r="E153" s="19" t="s">
        <v>377</v>
      </c>
      <c r="F153" s="20">
        <v>43871</v>
      </c>
      <c r="G153" s="20">
        <v>21732</v>
      </c>
      <c r="H153" s="20">
        <v>0</v>
      </c>
      <c r="I153" s="20">
        <v>0</v>
      </c>
      <c r="J153" s="20">
        <v>0</v>
      </c>
      <c r="K153" s="20">
        <v>28299</v>
      </c>
      <c r="L153" s="20">
        <v>72170</v>
      </c>
      <c r="M153" s="20">
        <v>22139</v>
      </c>
      <c r="N153" s="20">
        <v>50031</v>
      </c>
      <c r="O153" s="62">
        <f>N153*'FY2014 SUMMARY'!$B$3</f>
        <v>21769.650831440933</v>
      </c>
    </row>
    <row r="154" spans="1:15" x14ac:dyDescent="0.2">
      <c r="A154" s="28" t="s">
        <v>426</v>
      </c>
      <c r="B154" s="28" t="s">
        <v>427</v>
      </c>
      <c r="C154" s="28" t="s">
        <v>185</v>
      </c>
      <c r="D154" s="18" t="s">
        <v>128</v>
      </c>
      <c r="E154" s="19" t="s">
        <v>377</v>
      </c>
      <c r="F154" s="20">
        <v>119269</v>
      </c>
      <c r="G154" s="20">
        <v>72029</v>
      </c>
      <c r="H154" s="20">
        <v>0</v>
      </c>
      <c r="I154" s="20">
        <v>0</v>
      </c>
      <c r="J154" s="20">
        <v>0</v>
      </c>
      <c r="K154" s="20">
        <v>11835</v>
      </c>
      <c r="L154" s="20">
        <v>131104</v>
      </c>
      <c r="M154" s="20">
        <v>47240</v>
      </c>
      <c r="N154" s="20">
        <v>83864</v>
      </c>
      <c r="O154" s="62">
        <f>N154*'FY2014 SUMMARY'!$B$3</f>
        <v>36491.175417800216</v>
      </c>
    </row>
    <row r="155" spans="1:15" x14ac:dyDescent="0.2">
      <c r="A155" s="28" t="s">
        <v>428</v>
      </c>
      <c r="B155" s="28" t="s">
        <v>429</v>
      </c>
      <c r="C155" s="28" t="s">
        <v>185</v>
      </c>
      <c r="D155" s="18" t="s">
        <v>128</v>
      </c>
      <c r="E155" s="19" t="s">
        <v>377</v>
      </c>
      <c r="F155" s="20">
        <v>50434</v>
      </c>
      <c r="G155" s="20">
        <v>9618</v>
      </c>
      <c r="H155" s="20">
        <v>0</v>
      </c>
      <c r="I155" s="20">
        <v>0</v>
      </c>
      <c r="J155" s="20">
        <v>0</v>
      </c>
      <c r="K155" s="20">
        <v>0</v>
      </c>
      <c r="L155" s="20">
        <v>50434</v>
      </c>
      <c r="M155" s="20">
        <v>40816</v>
      </c>
      <c r="N155" s="20">
        <v>9618</v>
      </c>
      <c r="O155" s="62">
        <f>N155*'FY2014 SUMMARY'!$B$3</f>
        <v>4185.0153244348285</v>
      </c>
    </row>
    <row r="156" spans="1:15" x14ac:dyDescent="0.2">
      <c r="A156" s="28" t="s">
        <v>430</v>
      </c>
      <c r="B156" s="28" t="s">
        <v>431</v>
      </c>
      <c r="C156" s="28" t="s">
        <v>185</v>
      </c>
      <c r="D156" s="18" t="s">
        <v>128</v>
      </c>
      <c r="E156" s="19" t="s">
        <v>377</v>
      </c>
      <c r="F156" s="20">
        <v>244771</v>
      </c>
      <c r="G156" s="20">
        <v>110147</v>
      </c>
      <c r="H156" s="20">
        <v>0</v>
      </c>
      <c r="I156" s="20">
        <v>0</v>
      </c>
      <c r="J156" s="20">
        <v>0</v>
      </c>
      <c r="K156" s="20">
        <v>0</v>
      </c>
      <c r="L156" s="20">
        <v>244771</v>
      </c>
      <c r="M156" s="20">
        <v>134624</v>
      </c>
      <c r="N156" s="20">
        <v>110147</v>
      </c>
      <c r="O156" s="62">
        <f>N156*'FY2014 SUMMARY'!$B$3</f>
        <v>47927.519540499379</v>
      </c>
    </row>
    <row r="157" spans="1:15" x14ac:dyDescent="0.2">
      <c r="A157" s="25" t="s">
        <v>432</v>
      </c>
      <c r="B157" s="25" t="s">
        <v>433</v>
      </c>
      <c r="C157" s="25" t="s">
        <v>185</v>
      </c>
      <c r="D157" s="18" t="s">
        <v>128</v>
      </c>
      <c r="E157" s="19" t="s">
        <v>377</v>
      </c>
      <c r="F157" s="20">
        <v>280269</v>
      </c>
      <c r="G157" s="20">
        <v>131753</v>
      </c>
      <c r="H157" s="20">
        <v>0</v>
      </c>
      <c r="I157" s="20">
        <v>0</v>
      </c>
      <c r="J157" s="20">
        <v>0</v>
      </c>
      <c r="K157" s="20">
        <v>0</v>
      </c>
      <c r="L157" s="20">
        <v>280269</v>
      </c>
      <c r="M157" s="20">
        <v>148516</v>
      </c>
      <c r="N157" s="20">
        <v>131753</v>
      </c>
      <c r="O157" s="62">
        <f>N157*'FY2014 SUMMARY'!$B$3</f>
        <v>57328.792268690158</v>
      </c>
    </row>
    <row r="158" spans="1:15" x14ac:dyDescent="0.2">
      <c r="A158" s="28" t="s">
        <v>434</v>
      </c>
      <c r="B158" s="28" t="s">
        <v>435</v>
      </c>
      <c r="C158" s="28" t="s">
        <v>185</v>
      </c>
      <c r="D158" s="18" t="s">
        <v>128</v>
      </c>
      <c r="E158" s="19" t="s">
        <v>377</v>
      </c>
      <c r="F158" s="20">
        <v>246260</v>
      </c>
      <c r="G158" s="20">
        <v>83829</v>
      </c>
      <c r="H158" s="20">
        <v>0</v>
      </c>
      <c r="I158" s="20">
        <v>0</v>
      </c>
      <c r="J158" s="20">
        <v>0</v>
      </c>
      <c r="K158" s="20">
        <v>0</v>
      </c>
      <c r="L158" s="20">
        <v>246260</v>
      </c>
      <c r="M158" s="20">
        <v>162431</v>
      </c>
      <c r="N158" s="20">
        <v>83829</v>
      </c>
      <c r="O158" s="62">
        <f>N158*'FY2014 SUMMARY'!$B$3</f>
        <v>36475.946104392518</v>
      </c>
    </row>
    <row r="159" spans="1:15" x14ac:dyDescent="0.2">
      <c r="A159" s="40" t="s">
        <v>436</v>
      </c>
      <c r="B159" s="40" t="s">
        <v>437</v>
      </c>
      <c r="C159" s="40" t="s">
        <v>185</v>
      </c>
      <c r="D159" s="18" t="s">
        <v>128</v>
      </c>
      <c r="E159" s="19" t="s">
        <v>377</v>
      </c>
      <c r="F159" s="20">
        <v>66344</v>
      </c>
      <c r="G159" s="20">
        <v>24547</v>
      </c>
      <c r="H159" s="20">
        <v>0</v>
      </c>
      <c r="I159" s="20">
        <v>0</v>
      </c>
      <c r="J159" s="20">
        <v>0</v>
      </c>
      <c r="K159" s="20">
        <v>0</v>
      </c>
      <c r="L159" s="20">
        <v>66344</v>
      </c>
      <c r="M159" s="20">
        <v>41797</v>
      </c>
      <c r="N159" s="20">
        <v>24547</v>
      </c>
      <c r="O159" s="62">
        <f>N159*'FY2014 SUMMARY'!$B$3</f>
        <v>10680.970177677453</v>
      </c>
    </row>
    <row r="160" spans="1:15" x14ac:dyDescent="0.2">
      <c r="A160" s="41" t="s">
        <v>438</v>
      </c>
      <c r="B160" s="41" t="s">
        <v>439</v>
      </c>
      <c r="C160" s="41" t="s">
        <v>185</v>
      </c>
      <c r="D160" s="42" t="s">
        <v>128</v>
      </c>
      <c r="E160" s="43">
        <v>925</v>
      </c>
      <c r="F160" s="34">
        <v>109244</v>
      </c>
      <c r="G160" s="34">
        <v>45378</v>
      </c>
      <c r="H160" s="34">
        <v>0</v>
      </c>
      <c r="I160" s="34">
        <v>0</v>
      </c>
      <c r="J160" s="34">
        <v>0</v>
      </c>
      <c r="K160" s="34">
        <v>0</v>
      </c>
      <c r="L160" s="34">
        <v>109244</v>
      </c>
      <c r="M160" s="34">
        <v>63866</v>
      </c>
      <c r="N160" s="34">
        <v>45378</v>
      </c>
      <c r="O160" s="62">
        <f>N160*'FY2014 SUMMARY'!$B$3</f>
        <v>19745.022394697822</v>
      </c>
    </row>
    <row r="161" spans="1:15" x14ac:dyDescent="0.2">
      <c r="A161" s="17" t="s">
        <v>440</v>
      </c>
      <c r="B161" s="17" t="s">
        <v>441</v>
      </c>
      <c r="C161" s="17" t="s">
        <v>185</v>
      </c>
      <c r="D161" s="18" t="s">
        <v>128</v>
      </c>
      <c r="E161" s="19" t="s">
        <v>377</v>
      </c>
      <c r="F161" s="20">
        <v>38747</v>
      </c>
      <c r="G161" s="20">
        <v>19373</v>
      </c>
      <c r="H161" s="20">
        <v>0</v>
      </c>
      <c r="I161" s="20">
        <v>0</v>
      </c>
      <c r="J161" s="20">
        <v>0</v>
      </c>
      <c r="K161" s="20">
        <v>0</v>
      </c>
      <c r="L161" s="20">
        <v>38747</v>
      </c>
      <c r="M161" s="20">
        <v>19374</v>
      </c>
      <c r="N161" s="20">
        <v>19373</v>
      </c>
      <c r="O161" s="62">
        <f>N161*'FY2014 SUMMARY'!$B$3</f>
        <v>8429.6425327797806</v>
      </c>
    </row>
    <row r="162" spans="1:15" x14ac:dyDescent="0.2">
      <c r="A162" s="25" t="s">
        <v>442</v>
      </c>
      <c r="B162" s="25" t="s">
        <v>443</v>
      </c>
      <c r="C162" s="25" t="s">
        <v>185</v>
      </c>
      <c r="D162" s="18" t="s">
        <v>128</v>
      </c>
      <c r="E162" s="19" t="s">
        <v>377</v>
      </c>
      <c r="F162" s="20">
        <v>32400</v>
      </c>
      <c r="G162" s="20">
        <v>18807</v>
      </c>
      <c r="H162" s="20">
        <v>0</v>
      </c>
      <c r="I162" s="20">
        <v>0</v>
      </c>
      <c r="J162" s="20">
        <v>0</v>
      </c>
      <c r="K162" s="20">
        <v>0</v>
      </c>
      <c r="L162" s="20">
        <v>32400</v>
      </c>
      <c r="M162" s="20">
        <v>13593</v>
      </c>
      <c r="N162" s="20">
        <v>18807</v>
      </c>
      <c r="O162" s="62">
        <f>N162*'FY2014 SUMMARY'!$B$3</f>
        <v>8183.3627788153271</v>
      </c>
    </row>
    <row r="163" spans="1:15" x14ac:dyDescent="0.2">
      <c r="A163" s="28" t="s">
        <v>444</v>
      </c>
      <c r="B163" s="28" t="s">
        <v>445</v>
      </c>
      <c r="C163" s="28" t="s">
        <v>185</v>
      </c>
      <c r="D163" s="18" t="s">
        <v>128</v>
      </c>
      <c r="E163" s="19" t="s">
        <v>377</v>
      </c>
      <c r="F163" s="20">
        <v>126076</v>
      </c>
      <c r="G163" s="20">
        <v>71397</v>
      </c>
      <c r="H163" s="20">
        <v>0</v>
      </c>
      <c r="I163" s="20">
        <v>0</v>
      </c>
      <c r="J163" s="20">
        <v>0</v>
      </c>
      <c r="K163" s="20">
        <v>0</v>
      </c>
      <c r="L163" s="20">
        <v>126076</v>
      </c>
      <c r="M163" s="20">
        <v>54679</v>
      </c>
      <c r="N163" s="20">
        <v>71397</v>
      </c>
      <c r="O163" s="62">
        <f>N163*'FY2014 SUMMARY'!$B$3</f>
        <v>31066.49398197894</v>
      </c>
    </row>
    <row r="164" spans="1:15" x14ac:dyDescent="0.2">
      <c r="A164" s="28" t="s">
        <v>446</v>
      </c>
      <c r="B164" s="28" t="s">
        <v>447</v>
      </c>
      <c r="C164" s="28" t="s">
        <v>185</v>
      </c>
      <c r="D164" s="18" t="s">
        <v>128</v>
      </c>
      <c r="E164" s="19" t="s">
        <v>377</v>
      </c>
      <c r="F164" s="20">
        <v>44369</v>
      </c>
      <c r="G164" s="20">
        <v>26878</v>
      </c>
      <c r="H164" s="20">
        <v>0</v>
      </c>
      <c r="I164" s="20">
        <v>0</v>
      </c>
      <c r="J164" s="20">
        <v>0</v>
      </c>
      <c r="K164" s="20">
        <v>0</v>
      </c>
      <c r="L164" s="20">
        <v>44369</v>
      </c>
      <c r="M164" s="20">
        <v>17491</v>
      </c>
      <c r="N164" s="20">
        <v>26878</v>
      </c>
      <c r="O164" s="62">
        <f>N164*'FY2014 SUMMARY'!$B$3</f>
        <v>11695.242450629998</v>
      </c>
    </row>
    <row r="165" spans="1:15" x14ac:dyDescent="0.2">
      <c r="A165" s="25" t="s">
        <v>448</v>
      </c>
      <c r="B165" s="25" t="s">
        <v>449</v>
      </c>
      <c r="C165" s="25" t="s">
        <v>185</v>
      </c>
      <c r="D165" s="18" t="s">
        <v>128</v>
      </c>
      <c r="E165" s="19" t="s">
        <v>377</v>
      </c>
      <c r="F165" s="20">
        <v>63152</v>
      </c>
      <c r="G165" s="20">
        <v>36049</v>
      </c>
      <c r="H165" s="20">
        <v>0</v>
      </c>
      <c r="I165" s="20">
        <v>0</v>
      </c>
      <c r="J165" s="20">
        <v>0</v>
      </c>
      <c r="K165" s="20">
        <v>54973</v>
      </c>
      <c r="L165" s="20">
        <v>118125</v>
      </c>
      <c r="M165" s="20">
        <v>27103</v>
      </c>
      <c r="N165" s="20">
        <v>91022</v>
      </c>
      <c r="O165" s="62">
        <f>N165*'FY2014 SUMMARY'!$B$3</f>
        <v>39605.787571294131</v>
      </c>
    </row>
    <row r="166" spans="1:15" x14ac:dyDescent="0.2">
      <c r="A166" s="28" t="s">
        <v>450</v>
      </c>
      <c r="B166" s="28" t="s">
        <v>451</v>
      </c>
      <c r="C166" s="28" t="s">
        <v>185</v>
      </c>
      <c r="D166" s="18" t="s">
        <v>128</v>
      </c>
      <c r="E166" s="19" t="s">
        <v>377</v>
      </c>
      <c r="F166" s="20">
        <v>217611</v>
      </c>
      <c r="G166" s="20">
        <v>126407</v>
      </c>
      <c r="H166" s="20">
        <v>0</v>
      </c>
      <c r="I166" s="20">
        <v>0</v>
      </c>
      <c r="J166" s="20">
        <v>14594</v>
      </c>
      <c r="K166" s="20"/>
      <c r="L166" s="20">
        <v>232205</v>
      </c>
      <c r="M166" s="20">
        <v>91204</v>
      </c>
      <c r="N166" s="20">
        <v>141001</v>
      </c>
      <c r="O166" s="62">
        <f>N166*'FY2014 SUMMARY'!$B$3</f>
        <v>61352.811994243631</v>
      </c>
    </row>
    <row r="167" spans="1:15" x14ac:dyDescent="0.2">
      <c r="A167" s="28" t="s">
        <v>452</v>
      </c>
      <c r="B167" s="28" t="s">
        <v>453</v>
      </c>
      <c r="C167" s="28" t="s">
        <v>185</v>
      </c>
      <c r="D167" s="18" t="s">
        <v>128</v>
      </c>
      <c r="E167" s="19" t="s">
        <v>377</v>
      </c>
      <c r="F167" s="20">
        <v>66211</v>
      </c>
      <c r="G167" s="20">
        <v>33080</v>
      </c>
      <c r="H167" s="20">
        <v>0</v>
      </c>
      <c r="I167" s="20">
        <v>0</v>
      </c>
      <c r="J167" s="20">
        <v>0</v>
      </c>
      <c r="K167" s="20">
        <v>0</v>
      </c>
      <c r="L167" s="20">
        <v>66211</v>
      </c>
      <c r="M167" s="20">
        <v>33131</v>
      </c>
      <c r="N167" s="20">
        <v>33080</v>
      </c>
      <c r="O167" s="62">
        <f>N167*'FY2014 SUMMARY'!$B$3</f>
        <v>14393.876786473709</v>
      </c>
    </row>
    <row r="168" spans="1:15" x14ac:dyDescent="0.2">
      <c r="A168" s="25" t="s">
        <v>454</v>
      </c>
      <c r="B168" s="25" t="s">
        <v>455</v>
      </c>
      <c r="C168" s="25" t="s">
        <v>185</v>
      </c>
      <c r="D168" s="18" t="s">
        <v>128</v>
      </c>
      <c r="E168" s="19" t="s">
        <v>377</v>
      </c>
      <c r="F168" s="20">
        <v>65267</v>
      </c>
      <c r="G168" s="20">
        <v>37202</v>
      </c>
      <c r="H168" s="20">
        <v>0</v>
      </c>
      <c r="I168" s="20">
        <v>0</v>
      </c>
      <c r="J168" s="20">
        <v>0</v>
      </c>
      <c r="K168" s="20">
        <v>3347</v>
      </c>
      <c r="L168" s="20">
        <v>68614</v>
      </c>
      <c r="M168" s="20">
        <v>28065</v>
      </c>
      <c r="N168" s="20">
        <v>40549</v>
      </c>
      <c r="O168" s="62">
        <f>N168*'FY2014 SUMMARY'!$B$3</f>
        <v>17643.81226767601</v>
      </c>
    </row>
    <row r="169" spans="1:15" ht="13.5" thickBot="1" x14ac:dyDescent="0.25">
      <c r="A169" s="30" t="s">
        <v>456</v>
      </c>
      <c r="B169" s="30" t="s">
        <v>457</v>
      </c>
      <c r="C169" s="30" t="s">
        <v>458</v>
      </c>
      <c r="D169" s="31" t="s">
        <v>128</v>
      </c>
      <c r="E169" s="32" t="s">
        <v>377</v>
      </c>
      <c r="F169" s="33">
        <v>18427</v>
      </c>
      <c r="G169" s="33">
        <v>11582</v>
      </c>
      <c r="H169" s="33">
        <v>0</v>
      </c>
      <c r="I169" s="33">
        <v>0</v>
      </c>
      <c r="J169" s="33">
        <v>0</v>
      </c>
      <c r="K169" s="33">
        <v>0</v>
      </c>
      <c r="L169" s="33">
        <v>18427</v>
      </c>
      <c r="M169" s="33">
        <v>6845</v>
      </c>
      <c r="N169" s="33">
        <v>11582</v>
      </c>
      <c r="O169" s="62">
        <f>N169*'FY2014 SUMMARY'!$B$3</f>
        <v>5039.5973682266776</v>
      </c>
    </row>
    <row r="170" spans="1:15" x14ac:dyDescent="0.2">
      <c r="A170" s="76" t="s">
        <v>712</v>
      </c>
      <c r="N170" s="13">
        <f>SUM(N128:N169)</f>
        <v>2595093</v>
      </c>
      <c r="O170" s="13">
        <f>SUM(O128:O169)</f>
        <v>1129185.2748319353</v>
      </c>
    </row>
    <row r="171" spans="1:15" x14ac:dyDescent="0.2">
      <c r="A171" s="36" t="s">
        <v>459</v>
      </c>
      <c r="B171" s="36"/>
      <c r="C171" s="38">
        <f>N189</f>
        <v>429389.33</v>
      </c>
    </row>
    <row r="172" spans="1:15" x14ac:dyDescent="0.2">
      <c r="A172" s="14" t="s">
        <v>175</v>
      </c>
      <c r="B172" s="14" t="s">
        <v>176</v>
      </c>
      <c r="C172" s="14" t="s">
        <v>177</v>
      </c>
      <c r="D172" s="15" t="s">
        <v>0</v>
      </c>
      <c r="E172" s="16" t="s">
        <v>178</v>
      </c>
      <c r="F172" s="15" t="s">
        <v>179</v>
      </c>
      <c r="G172" s="15" t="s">
        <v>180</v>
      </c>
      <c r="H172" s="15" t="s">
        <v>181</v>
      </c>
      <c r="I172" s="15" t="s">
        <v>183</v>
      </c>
      <c r="J172" s="15" t="s">
        <v>1</v>
      </c>
      <c r="K172" s="15" t="s">
        <v>2</v>
      </c>
      <c r="L172" s="15" t="s">
        <v>3</v>
      </c>
      <c r="M172" s="15" t="s">
        <v>184</v>
      </c>
      <c r="N172" s="15" t="s">
        <v>182</v>
      </c>
    </row>
    <row r="173" spans="1:15" x14ac:dyDescent="0.2">
      <c r="A173" s="25" t="s">
        <v>460</v>
      </c>
      <c r="B173" s="25" t="s">
        <v>111</v>
      </c>
      <c r="C173" s="25" t="s">
        <v>185</v>
      </c>
      <c r="D173" s="18" t="s">
        <v>112</v>
      </c>
      <c r="E173" s="19" t="s">
        <v>113</v>
      </c>
      <c r="F173" s="20">
        <v>19668</v>
      </c>
      <c r="G173" s="20">
        <v>6883.8</v>
      </c>
      <c r="H173" s="20">
        <v>0</v>
      </c>
      <c r="I173" s="20">
        <v>0</v>
      </c>
      <c r="J173" s="20">
        <v>2213.39</v>
      </c>
      <c r="K173" s="20">
        <v>0</v>
      </c>
      <c r="L173" s="20">
        <v>21881.39</v>
      </c>
      <c r="M173" s="20">
        <v>12784.2</v>
      </c>
      <c r="N173" s="20">
        <v>9097.19</v>
      </c>
      <c r="O173" s="62">
        <f>N173*'FY2014 SUMMARY'!$B$3</f>
        <v>3958.398789695912</v>
      </c>
    </row>
    <row r="174" spans="1:15" x14ac:dyDescent="0.2">
      <c r="A174" s="28" t="s">
        <v>461</v>
      </c>
      <c r="B174" s="28" t="s">
        <v>83</v>
      </c>
      <c r="C174" s="28" t="s">
        <v>185</v>
      </c>
      <c r="D174" s="18" t="s">
        <v>78</v>
      </c>
      <c r="E174" s="19" t="s">
        <v>79</v>
      </c>
      <c r="F174" s="20">
        <v>18450</v>
      </c>
      <c r="G174" s="20">
        <v>6461.39</v>
      </c>
      <c r="H174" s="20">
        <v>0</v>
      </c>
      <c r="I174" s="20">
        <v>0</v>
      </c>
      <c r="J174" s="20">
        <v>2675.33</v>
      </c>
      <c r="K174" s="20">
        <v>0</v>
      </c>
      <c r="L174" s="20">
        <v>21125.33</v>
      </c>
      <c r="M174" s="20">
        <v>11988.61</v>
      </c>
      <c r="N174" s="20">
        <v>9136.7199999999993</v>
      </c>
      <c r="O174" s="62">
        <f>N174*'FY2014 SUMMARY'!$B$3</f>
        <v>3975.5992113818033</v>
      </c>
    </row>
    <row r="175" spans="1:15" x14ac:dyDescent="0.2">
      <c r="A175" s="25" t="s">
        <v>462</v>
      </c>
      <c r="B175" s="25" t="s">
        <v>463</v>
      </c>
      <c r="C175" s="25" t="s">
        <v>185</v>
      </c>
      <c r="D175" s="18" t="s">
        <v>112</v>
      </c>
      <c r="E175" s="19" t="s">
        <v>113</v>
      </c>
      <c r="F175" s="20">
        <v>15925</v>
      </c>
      <c r="G175" s="20">
        <v>5565</v>
      </c>
      <c r="H175" s="20">
        <v>0</v>
      </c>
      <c r="I175" s="20">
        <v>0</v>
      </c>
      <c r="J175" s="20">
        <v>1944.65</v>
      </c>
      <c r="K175" s="20">
        <v>0</v>
      </c>
      <c r="L175" s="20">
        <v>17869.650000000001</v>
      </c>
      <c r="M175" s="20">
        <v>10360</v>
      </c>
      <c r="N175" s="20">
        <v>7509.65</v>
      </c>
      <c r="O175" s="62">
        <f>N175*'FY2014 SUMMARY'!$B$3</f>
        <v>3267.6232409172394</v>
      </c>
    </row>
    <row r="176" spans="1:15" x14ac:dyDescent="0.2">
      <c r="A176" s="25" t="s">
        <v>464</v>
      </c>
      <c r="B176" s="25" t="s">
        <v>114</v>
      </c>
      <c r="C176" s="25" t="s">
        <v>185</v>
      </c>
      <c r="D176" s="18" t="s">
        <v>112</v>
      </c>
      <c r="E176" s="19" t="s">
        <v>113</v>
      </c>
      <c r="F176" s="20">
        <v>18575</v>
      </c>
      <c r="G176" s="20">
        <v>6872.72</v>
      </c>
      <c r="H176" s="20">
        <v>0</v>
      </c>
      <c r="I176" s="20">
        <v>0</v>
      </c>
      <c r="J176" s="20">
        <v>2203.2600000000002</v>
      </c>
      <c r="K176" s="20">
        <v>0</v>
      </c>
      <c r="L176" s="20">
        <v>20778.259999999998</v>
      </c>
      <c r="M176" s="20">
        <v>11702.28</v>
      </c>
      <c r="N176" s="20">
        <v>9075.98</v>
      </c>
      <c r="O176" s="62">
        <f>N176*'FY2014 SUMMARY'!$B$3</f>
        <v>3949.1698257708476</v>
      </c>
    </row>
    <row r="177" spans="1:15" x14ac:dyDescent="0.2">
      <c r="A177" s="71">
        <v>361</v>
      </c>
      <c r="B177" s="25" t="s">
        <v>115</v>
      </c>
      <c r="C177" s="25" t="s">
        <v>185</v>
      </c>
      <c r="D177" s="18" t="s">
        <v>112</v>
      </c>
      <c r="E177" s="19" t="s">
        <v>113</v>
      </c>
      <c r="F177" s="20">
        <v>16800</v>
      </c>
      <c r="G177" s="20">
        <v>5880</v>
      </c>
      <c r="H177" s="20">
        <v>0</v>
      </c>
      <c r="I177" s="20">
        <v>0</v>
      </c>
      <c r="J177" s="20">
        <v>1187.48</v>
      </c>
      <c r="K177" s="20">
        <v>0</v>
      </c>
      <c r="L177" s="20">
        <v>17987.48</v>
      </c>
      <c r="M177" s="20">
        <v>10920</v>
      </c>
      <c r="N177" s="20">
        <v>7067.48</v>
      </c>
      <c r="O177" s="62">
        <f>N177*'FY2014 SUMMARY'!$B$3</f>
        <v>3075.2247977892139</v>
      </c>
    </row>
    <row r="178" spans="1:15" x14ac:dyDescent="0.2">
      <c r="A178" s="28" t="s">
        <v>465</v>
      </c>
      <c r="B178" s="28" t="s">
        <v>116</v>
      </c>
      <c r="C178" s="28" t="s">
        <v>185</v>
      </c>
      <c r="D178" s="18" t="s">
        <v>112</v>
      </c>
      <c r="E178" s="19" t="s">
        <v>113</v>
      </c>
      <c r="F178" s="20">
        <v>62686.44</v>
      </c>
      <c r="G178" s="20">
        <v>62686.44</v>
      </c>
      <c r="H178" s="20">
        <v>0</v>
      </c>
      <c r="I178" s="20">
        <v>0</v>
      </c>
      <c r="J178" s="20">
        <v>4189.6000000000004</v>
      </c>
      <c r="K178" s="20">
        <v>0</v>
      </c>
      <c r="L178" s="20">
        <v>66876.039999999994</v>
      </c>
      <c r="M178" s="20">
        <v>0</v>
      </c>
      <c r="N178" s="20">
        <v>66876.039999999994</v>
      </c>
      <c r="O178" s="62">
        <f>N178*'FY2014 SUMMARY'!$B$3</f>
        <v>29099.319217874458</v>
      </c>
    </row>
    <row r="179" spans="1:15" x14ac:dyDescent="0.2">
      <c r="A179" s="28" t="s">
        <v>466</v>
      </c>
      <c r="B179" s="28" t="s">
        <v>117</v>
      </c>
      <c r="C179" s="28" t="s">
        <v>185</v>
      </c>
      <c r="D179" s="18" t="s">
        <v>112</v>
      </c>
      <c r="E179" s="19" t="s">
        <v>113</v>
      </c>
      <c r="F179" s="20">
        <v>38171.57</v>
      </c>
      <c r="G179" s="20">
        <v>10688.04</v>
      </c>
      <c r="H179" s="20">
        <v>0</v>
      </c>
      <c r="I179" s="20">
        <v>0</v>
      </c>
      <c r="J179" s="20">
        <v>2828.18</v>
      </c>
      <c r="K179" s="20">
        <v>1000</v>
      </c>
      <c r="L179" s="20">
        <v>41999.75</v>
      </c>
      <c r="M179" s="20">
        <v>27483.53</v>
      </c>
      <c r="N179" s="20">
        <v>14516.22</v>
      </c>
      <c r="O179" s="62">
        <f>N179*'FY2014 SUMMARY'!$B$3</f>
        <v>6316.3446821446605</v>
      </c>
    </row>
    <row r="180" spans="1:15" x14ac:dyDescent="0.2">
      <c r="A180" s="28" t="s">
        <v>467</v>
      </c>
      <c r="B180" s="28" t="s">
        <v>119</v>
      </c>
      <c r="C180" s="28" t="s">
        <v>185</v>
      </c>
      <c r="D180" s="18" t="s">
        <v>112</v>
      </c>
      <c r="E180" s="19" t="s">
        <v>113</v>
      </c>
      <c r="F180" s="20">
        <v>70800</v>
      </c>
      <c r="G180" s="20">
        <v>21948</v>
      </c>
      <c r="H180" s="20">
        <v>0</v>
      </c>
      <c r="I180" s="20">
        <v>0</v>
      </c>
      <c r="J180" s="20">
        <v>6366.61</v>
      </c>
      <c r="K180" s="20">
        <v>0</v>
      </c>
      <c r="L180" s="20">
        <v>77166.61</v>
      </c>
      <c r="M180" s="20">
        <v>48852</v>
      </c>
      <c r="N180" s="20">
        <v>28314.61</v>
      </c>
      <c r="O180" s="62">
        <f>N180*'FY2014 SUMMARY'!$B$3</f>
        <v>12320.344848762283</v>
      </c>
    </row>
    <row r="181" spans="1:15" x14ac:dyDescent="0.2">
      <c r="A181" s="56" t="s">
        <v>468</v>
      </c>
      <c r="B181" s="25" t="s">
        <v>120</v>
      </c>
      <c r="C181" s="25" t="s">
        <v>185</v>
      </c>
      <c r="D181" s="18" t="s">
        <v>112</v>
      </c>
      <c r="E181" s="19" t="s">
        <v>113</v>
      </c>
      <c r="F181" s="20">
        <v>50400</v>
      </c>
      <c r="G181" s="20">
        <v>22680</v>
      </c>
      <c r="H181" s="20">
        <v>0</v>
      </c>
      <c r="I181" s="20">
        <v>0</v>
      </c>
      <c r="J181" s="20">
        <v>5002.8999999999996</v>
      </c>
      <c r="K181" s="20">
        <v>0</v>
      </c>
      <c r="L181" s="20">
        <v>55402.9</v>
      </c>
      <c r="M181" s="20">
        <v>27720</v>
      </c>
      <c r="N181" s="20">
        <v>27682.9</v>
      </c>
      <c r="O181" s="62">
        <f>N181*'FY2014 SUMMARY'!$B$3</f>
        <v>12045.473146682982</v>
      </c>
    </row>
    <row r="182" spans="1:15" x14ac:dyDescent="0.2">
      <c r="A182" s="25" t="s">
        <v>469</v>
      </c>
      <c r="B182" s="25" t="s">
        <v>121</v>
      </c>
      <c r="C182" s="25" t="s">
        <v>185</v>
      </c>
      <c r="D182" s="18" t="s">
        <v>112</v>
      </c>
      <c r="E182" s="19" t="s">
        <v>113</v>
      </c>
      <c r="F182" s="20">
        <v>33288</v>
      </c>
      <c r="G182" s="20">
        <v>11650.8</v>
      </c>
      <c r="H182" s="20">
        <v>0</v>
      </c>
      <c r="I182" s="20">
        <v>0</v>
      </c>
      <c r="J182" s="20">
        <v>4868.1899999999996</v>
      </c>
      <c r="K182" s="20">
        <v>0</v>
      </c>
      <c r="L182" s="20">
        <v>38156.19</v>
      </c>
      <c r="M182" s="20">
        <v>21637.200000000001</v>
      </c>
      <c r="N182" s="20">
        <v>16518.990000000002</v>
      </c>
      <c r="O182" s="62">
        <f>N182*'FY2014 SUMMARY'!$B$3</f>
        <v>7187.7964539598352</v>
      </c>
    </row>
    <row r="183" spans="1:15" x14ac:dyDescent="0.2">
      <c r="A183" s="28" t="s">
        <v>470</v>
      </c>
      <c r="B183" s="28" t="s">
        <v>122</v>
      </c>
      <c r="C183" s="28" t="s">
        <v>185</v>
      </c>
      <c r="D183" s="18" t="s">
        <v>112</v>
      </c>
      <c r="E183" s="19" t="s">
        <v>113</v>
      </c>
      <c r="F183" s="20">
        <v>11202</v>
      </c>
      <c r="G183" s="20">
        <v>2240.4</v>
      </c>
      <c r="H183" s="20">
        <v>0</v>
      </c>
      <c r="I183" s="20">
        <v>0</v>
      </c>
      <c r="J183" s="20">
        <v>1478.2</v>
      </c>
      <c r="K183" s="20">
        <v>0</v>
      </c>
      <c r="L183" s="20">
        <v>12680.2</v>
      </c>
      <c r="M183" s="20">
        <v>8961.6</v>
      </c>
      <c r="N183" s="20">
        <v>3718.6</v>
      </c>
      <c r="O183" s="62">
        <f>N183*'FY2014 SUMMARY'!$B$3</f>
        <v>1618.0492810816545</v>
      </c>
    </row>
    <row r="184" spans="1:15" x14ac:dyDescent="0.2">
      <c r="A184" s="25" t="s">
        <v>471</v>
      </c>
      <c r="B184" s="25" t="s">
        <v>123</v>
      </c>
      <c r="C184" s="25" t="s">
        <v>185</v>
      </c>
      <c r="D184" s="18" t="s">
        <v>112</v>
      </c>
      <c r="E184" s="19" t="s">
        <v>113</v>
      </c>
      <c r="F184" s="20">
        <v>240660</v>
      </c>
      <c r="G184" s="20">
        <v>77011.199999999997</v>
      </c>
      <c r="H184" s="20">
        <v>59734.23</v>
      </c>
      <c r="I184" s="20">
        <v>59734.23</v>
      </c>
      <c r="J184" s="20">
        <v>1187.48</v>
      </c>
      <c r="K184" s="20">
        <v>0</v>
      </c>
      <c r="L184" s="20">
        <v>301581.71000000002</v>
      </c>
      <c r="M184" s="20">
        <v>163648.79999999999</v>
      </c>
      <c r="N184" s="20">
        <v>137932.91</v>
      </c>
      <c r="O184" s="62">
        <f>N184*'FY2014 SUMMARY'!$B$3</f>
        <v>60017.814732157414</v>
      </c>
    </row>
    <row r="185" spans="1:15" x14ac:dyDescent="0.2">
      <c r="A185" s="28" t="s">
        <v>472</v>
      </c>
      <c r="B185" s="28" t="s">
        <v>124</v>
      </c>
      <c r="C185" s="28" t="s">
        <v>185</v>
      </c>
      <c r="D185" s="18" t="s">
        <v>112</v>
      </c>
      <c r="E185" s="19" t="s">
        <v>113</v>
      </c>
      <c r="F185" s="20">
        <v>49879.31</v>
      </c>
      <c r="G185" s="20">
        <v>35061.040000000001</v>
      </c>
      <c r="H185" s="20">
        <v>0</v>
      </c>
      <c r="I185" s="20">
        <v>0</v>
      </c>
      <c r="J185" s="20">
        <v>1185.29</v>
      </c>
      <c r="K185" s="20">
        <v>0</v>
      </c>
      <c r="L185" s="20">
        <v>51064.6</v>
      </c>
      <c r="M185" s="20">
        <v>14818.27</v>
      </c>
      <c r="N185" s="20">
        <v>36246.33</v>
      </c>
      <c r="O185" s="62">
        <f>N185*'FY2014 SUMMARY'!$B$3</f>
        <v>15771.62055567913</v>
      </c>
    </row>
    <row r="186" spans="1:15" x14ac:dyDescent="0.2">
      <c r="A186" s="25" t="s">
        <v>473</v>
      </c>
      <c r="B186" s="25" t="s">
        <v>125</v>
      </c>
      <c r="C186" s="25" t="s">
        <v>185</v>
      </c>
      <c r="D186" s="18" t="s">
        <v>112</v>
      </c>
      <c r="E186" s="19" t="s">
        <v>113</v>
      </c>
      <c r="F186" s="20">
        <v>101419.91</v>
      </c>
      <c r="G186" s="20">
        <v>28843.91</v>
      </c>
      <c r="H186" s="20">
        <v>0</v>
      </c>
      <c r="I186" s="20">
        <v>0</v>
      </c>
      <c r="J186" s="20">
        <v>5246.01</v>
      </c>
      <c r="K186" s="20">
        <v>0</v>
      </c>
      <c r="L186" s="20">
        <v>106665.92</v>
      </c>
      <c r="M186" s="20">
        <v>72576</v>
      </c>
      <c r="N186" s="20">
        <v>34089.919999999998</v>
      </c>
      <c r="O186" s="62">
        <f>N186*'FY2014 SUMMARY'!$B$3</f>
        <v>14833.31644923657</v>
      </c>
    </row>
    <row r="187" spans="1:15" x14ac:dyDescent="0.2">
      <c r="A187" s="28" t="s">
        <v>474</v>
      </c>
      <c r="B187" s="28" t="s">
        <v>126</v>
      </c>
      <c r="C187" s="28" t="s">
        <v>185</v>
      </c>
      <c r="D187" s="18" t="s">
        <v>112</v>
      </c>
      <c r="E187" s="19" t="s">
        <v>113</v>
      </c>
      <c r="F187" s="20">
        <v>30950</v>
      </c>
      <c r="G187" s="20">
        <v>9594.5</v>
      </c>
      <c r="H187" s="20">
        <v>0</v>
      </c>
      <c r="I187" s="20">
        <v>0</v>
      </c>
      <c r="J187" s="20">
        <v>2385.9</v>
      </c>
      <c r="K187" s="20">
        <v>0</v>
      </c>
      <c r="L187" s="20">
        <v>33335.9</v>
      </c>
      <c r="M187" s="20">
        <v>21355.5</v>
      </c>
      <c r="N187" s="20">
        <v>11980.4</v>
      </c>
      <c r="O187" s="62">
        <f>N187*'FY2014 SUMMARY'!$B$3</f>
        <v>5212.9504671302784</v>
      </c>
    </row>
    <row r="188" spans="1:15" ht="13.5" thickBot="1" x14ac:dyDescent="0.25">
      <c r="A188" s="35" t="s">
        <v>475</v>
      </c>
      <c r="B188" s="35" t="s">
        <v>127</v>
      </c>
      <c r="C188" s="35" t="s">
        <v>185</v>
      </c>
      <c r="D188" s="31" t="s">
        <v>112</v>
      </c>
      <c r="E188" s="32" t="s">
        <v>113</v>
      </c>
      <c r="F188" s="33">
        <v>21636</v>
      </c>
      <c r="G188" s="33">
        <v>6490.8</v>
      </c>
      <c r="H188" s="33">
        <v>0</v>
      </c>
      <c r="I188" s="33">
        <v>0</v>
      </c>
      <c r="J188" s="33">
        <v>3134.59</v>
      </c>
      <c r="K188" s="33">
        <v>0</v>
      </c>
      <c r="L188" s="33">
        <v>24770.59</v>
      </c>
      <c r="M188" s="33">
        <v>15145.2</v>
      </c>
      <c r="N188" s="33">
        <v>9625.39</v>
      </c>
      <c r="O188" s="62">
        <f>N188*'FY2014 SUMMARY'!$B$3</f>
        <v>4188.2308851800535</v>
      </c>
    </row>
    <row r="189" spans="1:15" x14ac:dyDescent="0.2">
      <c r="A189" s="76" t="s">
        <v>712</v>
      </c>
      <c r="N189" s="13">
        <f>SUM(N173:N188)</f>
        <v>429389.33</v>
      </c>
      <c r="O189" s="13">
        <f>SUM(O173:O188)</f>
        <v>186837.27658544434</v>
      </c>
    </row>
    <row r="190" spans="1:15" x14ac:dyDescent="0.2">
      <c r="A190" s="36" t="s">
        <v>476</v>
      </c>
      <c r="B190" s="36"/>
      <c r="C190" s="38">
        <f>N226</f>
        <v>715241.31</v>
      </c>
    </row>
    <row r="191" spans="1:15" x14ac:dyDescent="0.2">
      <c r="A191" s="14" t="s">
        <v>175</v>
      </c>
      <c r="B191" s="14" t="s">
        <v>176</v>
      </c>
      <c r="C191" s="14" t="s">
        <v>177</v>
      </c>
      <c r="D191" s="15" t="s">
        <v>0</v>
      </c>
      <c r="E191" s="16" t="s">
        <v>178</v>
      </c>
      <c r="F191" s="15" t="s">
        <v>179</v>
      </c>
      <c r="G191" s="15" t="s">
        <v>180</v>
      </c>
      <c r="H191" s="15" t="s">
        <v>181</v>
      </c>
      <c r="I191" s="15" t="s">
        <v>183</v>
      </c>
      <c r="J191" s="15" t="s">
        <v>1</v>
      </c>
      <c r="K191" s="15" t="s">
        <v>2</v>
      </c>
      <c r="L191" s="15" t="s">
        <v>3</v>
      </c>
      <c r="M191" s="15" t="s">
        <v>184</v>
      </c>
      <c r="N191" s="15" t="s">
        <v>182</v>
      </c>
    </row>
    <row r="192" spans="1:15" x14ac:dyDescent="0.2">
      <c r="A192" s="28" t="s">
        <v>477</v>
      </c>
      <c r="B192" s="28" t="s">
        <v>478</v>
      </c>
      <c r="C192" s="28" t="s">
        <v>185</v>
      </c>
      <c r="D192" s="18" t="s">
        <v>479</v>
      </c>
      <c r="E192" s="19" t="s">
        <v>480</v>
      </c>
      <c r="F192" s="20">
        <v>25581.73</v>
      </c>
      <c r="G192" s="20">
        <v>8096.36</v>
      </c>
      <c r="H192" s="20">
        <v>0</v>
      </c>
      <c r="I192" s="20">
        <v>0</v>
      </c>
      <c r="J192" s="20">
        <v>9316.51</v>
      </c>
      <c r="K192" s="20">
        <v>0</v>
      </c>
      <c r="L192" s="20">
        <v>34898.239999999998</v>
      </c>
      <c r="M192" s="20">
        <v>17485.37</v>
      </c>
      <c r="N192" s="20">
        <v>17412.87</v>
      </c>
      <c r="O192" s="62">
        <f>N192*'FY2014 SUMMARY'!$B$3</f>
        <v>7576.7444159275828</v>
      </c>
    </row>
    <row r="193" spans="1:15" x14ac:dyDescent="0.2">
      <c r="A193" s="28" t="s">
        <v>481</v>
      </c>
      <c r="B193" s="28" t="s">
        <v>482</v>
      </c>
      <c r="C193" s="28" t="s">
        <v>185</v>
      </c>
      <c r="D193" s="18" t="s">
        <v>479</v>
      </c>
      <c r="E193" s="19" t="s">
        <v>480</v>
      </c>
      <c r="F193" s="20">
        <v>29085.87</v>
      </c>
      <c r="G193" s="20">
        <v>9077.52</v>
      </c>
      <c r="H193" s="20">
        <v>0</v>
      </c>
      <c r="I193" s="20">
        <v>0</v>
      </c>
      <c r="J193" s="20">
        <v>9316.51</v>
      </c>
      <c r="K193" s="20">
        <v>0</v>
      </c>
      <c r="L193" s="20">
        <v>38402.379999999997</v>
      </c>
      <c r="M193" s="20">
        <v>20008.349999999999</v>
      </c>
      <c r="N193" s="20">
        <v>18394.03</v>
      </c>
      <c r="O193" s="62">
        <f>N193*'FY2014 SUMMARY'!$B$3</f>
        <v>8003.6699343017226</v>
      </c>
    </row>
    <row r="194" spans="1:15" x14ac:dyDescent="0.2">
      <c r="A194" s="25" t="s">
        <v>483</v>
      </c>
      <c r="B194" s="25" t="s">
        <v>484</v>
      </c>
      <c r="C194" s="25" t="s">
        <v>185</v>
      </c>
      <c r="D194" s="18" t="s">
        <v>479</v>
      </c>
      <c r="E194" s="19" t="s">
        <v>480</v>
      </c>
      <c r="F194" s="20">
        <v>28649.67</v>
      </c>
      <c r="G194" s="20">
        <v>8955.3799999999992</v>
      </c>
      <c r="H194" s="20">
        <v>0</v>
      </c>
      <c r="I194" s="20">
        <v>0</v>
      </c>
      <c r="J194" s="20">
        <v>9316.51</v>
      </c>
      <c r="K194" s="20">
        <v>0</v>
      </c>
      <c r="L194" s="20">
        <v>37966.18</v>
      </c>
      <c r="M194" s="20">
        <v>19694.29</v>
      </c>
      <c r="N194" s="20">
        <v>18271.89</v>
      </c>
      <c r="O194" s="62">
        <f>N194*'FY2014 SUMMARY'!$B$3</f>
        <v>7950.5239817412657</v>
      </c>
    </row>
    <row r="195" spans="1:15" x14ac:dyDescent="0.2">
      <c r="A195" s="25" t="s">
        <v>485</v>
      </c>
      <c r="B195" s="25" t="s">
        <v>486</v>
      </c>
      <c r="C195" s="25" t="s">
        <v>185</v>
      </c>
      <c r="D195" s="18" t="s">
        <v>479</v>
      </c>
      <c r="E195" s="19" t="s">
        <v>480</v>
      </c>
      <c r="F195" s="20">
        <v>29551.3</v>
      </c>
      <c r="G195" s="20">
        <v>9157.4500000000007</v>
      </c>
      <c r="H195" s="20">
        <v>0</v>
      </c>
      <c r="I195" s="20">
        <v>0</v>
      </c>
      <c r="J195" s="20">
        <v>9316.51</v>
      </c>
      <c r="K195" s="20">
        <v>0</v>
      </c>
      <c r="L195" s="20">
        <v>38867.81</v>
      </c>
      <c r="M195" s="20">
        <v>20393.849999999999</v>
      </c>
      <c r="N195" s="20">
        <v>18473.96</v>
      </c>
      <c r="O195" s="62">
        <f>N195*'FY2014 SUMMARY'!$B$3</f>
        <v>8038.4493348924971</v>
      </c>
    </row>
    <row r="196" spans="1:15" x14ac:dyDescent="0.2">
      <c r="A196" s="28" t="s">
        <v>487</v>
      </c>
      <c r="B196" s="28" t="s">
        <v>488</v>
      </c>
      <c r="C196" s="28" t="s">
        <v>185</v>
      </c>
      <c r="D196" s="18" t="s">
        <v>479</v>
      </c>
      <c r="E196" s="19" t="s">
        <v>480</v>
      </c>
      <c r="F196" s="20">
        <v>31201.439999999999</v>
      </c>
      <c r="G196" s="20">
        <v>9669.8799999999992</v>
      </c>
      <c r="H196" s="20">
        <v>0</v>
      </c>
      <c r="I196" s="20">
        <v>0</v>
      </c>
      <c r="J196" s="20">
        <v>9316.51</v>
      </c>
      <c r="K196" s="20">
        <v>0</v>
      </c>
      <c r="L196" s="20">
        <v>40517.949999999997</v>
      </c>
      <c r="M196" s="20">
        <v>21531.56</v>
      </c>
      <c r="N196" s="20">
        <v>18986.39</v>
      </c>
      <c r="O196" s="62">
        <f>N196*'FY2014 SUMMARY'!$B$3</f>
        <v>8261.4195368783712</v>
      </c>
    </row>
    <row r="197" spans="1:15" x14ac:dyDescent="0.2">
      <c r="A197" s="25" t="s">
        <v>489</v>
      </c>
      <c r="B197" s="25" t="s">
        <v>490</v>
      </c>
      <c r="C197" s="25" t="s">
        <v>185</v>
      </c>
      <c r="D197" s="18" t="s">
        <v>479</v>
      </c>
      <c r="E197" s="19" t="s">
        <v>480</v>
      </c>
      <c r="F197" s="20">
        <v>45356.98</v>
      </c>
      <c r="G197" s="20">
        <v>13633.42</v>
      </c>
      <c r="H197" s="20">
        <v>0</v>
      </c>
      <c r="I197" s="20">
        <v>0</v>
      </c>
      <c r="J197" s="20">
        <v>9316.51</v>
      </c>
      <c r="K197" s="20">
        <v>0</v>
      </c>
      <c r="L197" s="20">
        <v>54673.49</v>
      </c>
      <c r="M197" s="20">
        <v>31723.56</v>
      </c>
      <c r="N197" s="20">
        <v>22949.93</v>
      </c>
      <c r="O197" s="62">
        <f>N197*'FY2014 SUMMARY'!$B$3</f>
        <v>9986.0479044194853</v>
      </c>
    </row>
    <row r="198" spans="1:15" x14ac:dyDescent="0.2">
      <c r="A198" s="25" t="s">
        <v>491</v>
      </c>
      <c r="B198" s="25" t="s">
        <v>492</v>
      </c>
      <c r="C198" s="25" t="s">
        <v>185</v>
      </c>
      <c r="D198" s="18" t="s">
        <v>479</v>
      </c>
      <c r="E198" s="19" t="s">
        <v>480</v>
      </c>
      <c r="F198" s="20">
        <v>25479.95</v>
      </c>
      <c r="G198" s="20">
        <v>8067.86</v>
      </c>
      <c r="H198" s="20">
        <v>0</v>
      </c>
      <c r="I198" s="20">
        <v>0</v>
      </c>
      <c r="J198" s="20">
        <v>9316.51</v>
      </c>
      <c r="K198" s="20">
        <v>0</v>
      </c>
      <c r="L198" s="20">
        <v>34796.46</v>
      </c>
      <c r="M198" s="20">
        <v>17412.09</v>
      </c>
      <c r="N198" s="20">
        <v>17384.37</v>
      </c>
      <c r="O198" s="62">
        <f>N198*'FY2014 SUMMARY'!$B$3</f>
        <v>7564.3434035813161</v>
      </c>
    </row>
    <row r="199" spans="1:15" x14ac:dyDescent="0.2">
      <c r="A199" s="28" t="s">
        <v>493</v>
      </c>
      <c r="B199" s="28" t="s">
        <v>494</v>
      </c>
      <c r="C199" s="28" t="s">
        <v>185</v>
      </c>
      <c r="D199" s="18" t="s">
        <v>479</v>
      </c>
      <c r="E199" s="19" t="s">
        <v>480</v>
      </c>
      <c r="F199" s="20">
        <v>25509.03</v>
      </c>
      <c r="G199" s="20">
        <v>8076</v>
      </c>
      <c r="H199" s="20">
        <v>0</v>
      </c>
      <c r="I199" s="20">
        <v>0</v>
      </c>
      <c r="J199" s="20">
        <v>9316.51</v>
      </c>
      <c r="K199" s="20">
        <v>0</v>
      </c>
      <c r="L199" s="20">
        <v>34825.54</v>
      </c>
      <c r="M199" s="20">
        <v>17433.03</v>
      </c>
      <c r="N199" s="20">
        <v>17392.509999999998</v>
      </c>
      <c r="O199" s="62">
        <f>N199*'FY2014 SUMMARY'!$B$3</f>
        <v>7567.8853067567052</v>
      </c>
    </row>
    <row r="200" spans="1:15" x14ac:dyDescent="0.2">
      <c r="A200" s="25" t="s">
        <v>495</v>
      </c>
      <c r="B200" s="25" t="s">
        <v>496</v>
      </c>
      <c r="C200" s="25" t="s">
        <v>185</v>
      </c>
      <c r="D200" s="18" t="s">
        <v>479</v>
      </c>
      <c r="E200" s="19" t="s">
        <v>480</v>
      </c>
      <c r="F200" s="20">
        <v>25094.639999999999</v>
      </c>
      <c r="G200" s="20">
        <v>7959.97</v>
      </c>
      <c r="H200" s="20">
        <v>0</v>
      </c>
      <c r="I200" s="20">
        <v>0</v>
      </c>
      <c r="J200" s="20">
        <v>9316.51</v>
      </c>
      <c r="K200" s="20">
        <v>0</v>
      </c>
      <c r="L200" s="20">
        <v>34411.15</v>
      </c>
      <c r="M200" s="20">
        <v>17134.669999999998</v>
      </c>
      <c r="N200" s="20">
        <v>17276.48</v>
      </c>
      <c r="O200" s="62">
        <f>N200*'FY2014 SUMMARY'!$B$3</f>
        <v>7517.3979571939926</v>
      </c>
    </row>
    <row r="201" spans="1:15" x14ac:dyDescent="0.2">
      <c r="A201" s="25" t="s">
        <v>497</v>
      </c>
      <c r="B201" s="25" t="s">
        <v>498</v>
      </c>
      <c r="C201" s="25" t="s">
        <v>185</v>
      </c>
      <c r="D201" s="18" t="s">
        <v>479</v>
      </c>
      <c r="E201" s="19" t="s">
        <v>480</v>
      </c>
      <c r="F201" s="20">
        <v>62604.34</v>
      </c>
      <c r="G201" s="20">
        <v>20014.59</v>
      </c>
      <c r="H201" s="20">
        <v>0</v>
      </c>
      <c r="I201" s="20">
        <v>0</v>
      </c>
      <c r="J201" s="20">
        <v>9316.51</v>
      </c>
      <c r="K201" s="20">
        <v>0</v>
      </c>
      <c r="L201" s="20">
        <v>71920.850000000006</v>
      </c>
      <c r="M201" s="20">
        <v>42589.75</v>
      </c>
      <c r="N201" s="20">
        <v>29331.1</v>
      </c>
      <c r="O201" s="62">
        <f>N201*'FY2014 SUMMARY'!$B$3</f>
        <v>12762.64327121339</v>
      </c>
    </row>
    <row r="202" spans="1:15" x14ac:dyDescent="0.2">
      <c r="A202" s="28" t="s">
        <v>499</v>
      </c>
      <c r="B202" s="28" t="s">
        <v>500</v>
      </c>
      <c r="C202" s="28" t="s">
        <v>185</v>
      </c>
      <c r="D202" s="18" t="s">
        <v>479</v>
      </c>
      <c r="E202" s="19" t="s">
        <v>480</v>
      </c>
      <c r="F202" s="20">
        <v>27828.16</v>
      </c>
      <c r="G202" s="20">
        <v>8725.36</v>
      </c>
      <c r="H202" s="20">
        <v>0</v>
      </c>
      <c r="I202" s="20">
        <v>0</v>
      </c>
      <c r="J202" s="20">
        <v>9316.51</v>
      </c>
      <c r="K202" s="20">
        <v>0</v>
      </c>
      <c r="L202" s="20">
        <v>37144.67</v>
      </c>
      <c r="M202" s="20">
        <v>19102.8</v>
      </c>
      <c r="N202" s="20">
        <v>18041.87</v>
      </c>
      <c r="O202" s="62">
        <f>N202*'FY2014 SUMMARY'!$B$3</f>
        <v>7850.4369340258881</v>
      </c>
    </row>
    <row r="203" spans="1:15" x14ac:dyDescent="0.2">
      <c r="A203" s="25" t="s">
        <v>501</v>
      </c>
      <c r="B203" s="25" t="s">
        <v>502</v>
      </c>
      <c r="C203" s="25" t="s">
        <v>185</v>
      </c>
      <c r="D203" s="18" t="s">
        <v>479</v>
      </c>
      <c r="E203" s="19" t="s">
        <v>480</v>
      </c>
      <c r="F203" s="20">
        <v>26075.19</v>
      </c>
      <c r="G203" s="20">
        <v>8193.89</v>
      </c>
      <c r="H203" s="20">
        <v>0</v>
      </c>
      <c r="I203" s="20">
        <v>0</v>
      </c>
      <c r="J203" s="20">
        <v>9316.51</v>
      </c>
      <c r="K203" s="20">
        <v>0</v>
      </c>
      <c r="L203" s="20">
        <v>35391.699999999997</v>
      </c>
      <c r="M203" s="20">
        <v>17881.3</v>
      </c>
      <c r="N203" s="20">
        <v>17510.400000000001</v>
      </c>
      <c r="O203" s="62">
        <f>N203*'FY2014 SUMMARY'!$B$3</f>
        <v>7619.181985546229</v>
      </c>
    </row>
    <row r="204" spans="1:15" x14ac:dyDescent="0.2">
      <c r="A204" s="28" t="s">
        <v>503</v>
      </c>
      <c r="B204" s="28" t="s">
        <v>504</v>
      </c>
      <c r="C204" s="28" t="s">
        <v>185</v>
      </c>
      <c r="D204" s="18" t="s">
        <v>479</v>
      </c>
      <c r="E204" s="19" t="s">
        <v>480</v>
      </c>
      <c r="F204" s="20">
        <v>27188.400000000001</v>
      </c>
      <c r="G204" s="20">
        <v>8546.2199999999993</v>
      </c>
      <c r="H204" s="20">
        <v>0</v>
      </c>
      <c r="I204" s="20">
        <v>0</v>
      </c>
      <c r="J204" s="20">
        <v>9316.51</v>
      </c>
      <c r="K204" s="20">
        <v>0</v>
      </c>
      <c r="L204" s="20">
        <v>36504.910000000003</v>
      </c>
      <c r="M204" s="20">
        <v>18642.18</v>
      </c>
      <c r="N204" s="20">
        <v>17862.73</v>
      </c>
      <c r="O204" s="62">
        <f>N204*'FY2014 SUMMARY'!$B$3</f>
        <v>7772.4889567728987</v>
      </c>
    </row>
    <row r="205" spans="1:15" x14ac:dyDescent="0.2">
      <c r="A205" s="28" t="s">
        <v>505</v>
      </c>
      <c r="B205" s="28" t="s">
        <v>506</v>
      </c>
      <c r="C205" s="28" t="s">
        <v>185</v>
      </c>
      <c r="D205" s="18" t="s">
        <v>479</v>
      </c>
      <c r="E205" s="19" t="s">
        <v>480</v>
      </c>
      <c r="F205" s="20">
        <v>28758.720000000001</v>
      </c>
      <c r="G205" s="20">
        <v>8985.91</v>
      </c>
      <c r="H205" s="20">
        <v>0</v>
      </c>
      <c r="I205" s="20">
        <v>0</v>
      </c>
      <c r="J205" s="20">
        <v>9316.51</v>
      </c>
      <c r="K205" s="20">
        <v>0</v>
      </c>
      <c r="L205" s="20">
        <v>38075.230000000003</v>
      </c>
      <c r="M205" s="20">
        <v>19772.810000000001</v>
      </c>
      <c r="N205" s="20">
        <v>18302.419999999998</v>
      </c>
      <c r="O205" s="62">
        <f>N205*'FY2014 SUMMARY'!$B$3</f>
        <v>7963.8082942651781</v>
      </c>
    </row>
    <row r="206" spans="1:15" x14ac:dyDescent="0.2">
      <c r="A206" s="25" t="s">
        <v>507</v>
      </c>
      <c r="B206" s="25" t="s">
        <v>508</v>
      </c>
      <c r="C206" s="25" t="s">
        <v>185</v>
      </c>
      <c r="D206" s="18" t="s">
        <v>479</v>
      </c>
      <c r="E206" s="19" t="s">
        <v>480</v>
      </c>
      <c r="F206" s="20">
        <v>25712.59</v>
      </c>
      <c r="G206" s="20">
        <v>8133</v>
      </c>
      <c r="H206" s="20">
        <v>0</v>
      </c>
      <c r="I206" s="20">
        <v>0</v>
      </c>
      <c r="J206" s="20">
        <v>9316.51</v>
      </c>
      <c r="K206" s="20">
        <v>0</v>
      </c>
      <c r="L206" s="20">
        <v>35029.1</v>
      </c>
      <c r="M206" s="20">
        <v>17579.59</v>
      </c>
      <c r="N206" s="20">
        <v>17449.509999999998</v>
      </c>
      <c r="O206" s="62">
        <f>N206*'FY2014 SUMMARY'!$B$3</f>
        <v>7592.6873314492386</v>
      </c>
    </row>
    <row r="207" spans="1:15" x14ac:dyDescent="0.2">
      <c r="A207" s="28" t="s">
        <v>509</v>
      </c>
      <c r="B207" s="28" t="s">
        <v>510</v>
      </c>
      <c r="C207" s="28" t="s">
        <v>185</v>
      </c>
      <c r="D207" s="18" t="s">
        <v>479</v>
      </c>
      <c r="E207" s="19" t="s">
        <v>480</v>
      </c>
      <c r="F207" s="20">
        <v>102110.12</v>
      </c>
      <c r="G207" s="20">
        <v>33883.19</v>
      </c>
      <c r="H207" s="20">
        <v>0</v>
      </c>
      <c r="I207" s="20">
        <v>0</v>
      </c>
      <c r="J207" s="20">
        <v>9316.51</v>
      </c>
      <c r="K207" s="20">
        <v>0</v>
      </c>
      <c r="L207" s="20">
        <v>111426.63</v>
      </c>
      <c r="M207" s="20">
        <v>68226.929999999993</v>
      </c>
      <c r="N207" s="20">
        <v>43199.7</v>
      </c>
      <c r="O207" s="62">
        <f>N207*'FY2014 SUMMARY'!$B$3</f>
        <v>18797.193440526851</v>
      </c>
    </row>
    <row r="208" spans="1:15" x14ac:dyDescent="0.2">
      <c r="A208" s="28" t="s">
        <v>511</v>
      </c>
      <c r="B208" s="28" t="s">
        <v>512</v>
      </c>
      <c r="C208" s="28" t="s">
        <v>185</v>
      </c>
      <c r="D208" s="18" t="s">
        <v>479</v>
      </c>
      <c r="E208" s="19" t="s">
        <v>480</v>
      </c>
      <c r="F208" s="20">
        <v>26744.93</v>
      </c>
      <c r="G208" s="20">
        <v>8422.0499999999993</v>
      </c>
      <c r="H208" s="20">
        <v>0</v>
      </c>
      <c r="I208" s="20">
        <v>0</v>
      </c>
      <c r="J208" s="20">
        <v>9316.51</v>
      </c>
      <c r="K208" s="20">
        <v>0</v>
      </c>
      <c r="L208" s="20">
        <v>36061.440000000002</v>
      </c>
      <c r="M208" s="20">
        <v>18322.88</v>
      </c>
      <c r="N208" s="20">
        <v>17738.560000000001</v>
      </c>
      <c r="O208" s="62">
        <f>N208*'FY2014 SUMMARY'!$B$3</f>
        <v>7718.4597040347971</v>
      </c>
    </row>
    <row r="209" spans="1:15" x14ac:dyDescent="0.2">
      <c r="A209" s="25" t="s">
        <v>513</v>
      </c>
      <c r="B209" s="25" t="s">
        <v>514</v>
      </c>
      <c r="C209" s="25" t="s">
        <v>185</v>
      </c>
      <c r="D209" s="18" t="s">
        <v>479</v>
      </c>
      <c r="E209" s="19" t="s">
        <v>480</v>
      </c>
      <c r="F209" s="20">
        <v>12514.61</v>
      </c>
      <c r="G209" s="20">
        <v>3970.83</v>
      </c>
      <c r="H209" s="20">
        <v>0</v>
      </c>
      <c r="I209" s="20">
        <v>0</v>
      </c>
      <c r="J209" s="20">
        <v>9316.51</v>
      </c>
      <c r="K209" s="20">
        <v>0</v>
      </c>
      <c r="L209" s="20">
        <v>21831.119999999999</v>
      </c>
      <c r="M209" s="20">
        <v>8543.7800000000007</v>
      </c>
      <c r="N209" s="20">
        <v>13287.34</v>
      </c>
      <c r="O209" s="62">
        <f>N209*'FY2014 SUMMARY'!$B$3</f>
        <v>5781.6304347032519</v>
      </c>
    </row>
    <row r="210" spans="1:15" x14ac:dyDescent="0.2">
      <c r="A210" s="28" t="s">
        <v>515</v>
      </c>
      <c r="B210" s="28" t="s">
        <v>516</v>
      </c>
      <c r="C210" s="28" t="s">
        <v>185</v>
      </c>
      <c r="D210" s="18" t="s">
        <v>479</v>
      </c>
      <c r="E210" s="19" t="s">
        <v>480</v>
      </c>
      <c r="F210" s="20">
        <v>27544.63</v>
      </c>
      <c r="G210" s="20">
        <v>8645.9699999999993</v>
      </c>
      <c r="H210" s="20">
        <v>0</v>
      </c>
      <c r="I210" s="20">
        <v>0</v>
      </c>
      <c r="J210" s="20">
        <v>9316.51</v>
      </c>
      <c r="K210" s="20">
        <v>0</v>
      </c>
      <c r="L210" s="20">
        <v>36861.14</v>
      </c>
      <c r="M210" s="20">
        <v>18898.66</v>
      </c>
      <c r="N210" s="20">
        <v>17962.48</v>
      </c>
      <c r="O210" s="62">
        <f>N210*'FY2014 SUMMARY'!$B$3</f>
        <v>7815.8924999848323</v>
      </c>
    </row>
    <row r="211" spans="1:15" x14ac:dyDescent="0.2">
      <c r="A211" s="28" t="s">
        <v>517</v>
      </c>
      <c r="B211" s="28" t="s">
        <v>518</v>
      </c>
      <c r="C211" s="28" t="s">
        <v>185</v>
      </c>
      <c r="D211" s="18" t="s">
        <v>479</v>
      </c>
      <c r="E211" s="19" t="s">
        <v>480</v>
      </c>
      <c r="F211" s="20">
        <v>45560.54</v>
      </c>
      <c r="G211" s="20">
        <v>13690.42</v>
      </c>
      <c r="H211" s="20">
        <v>0</v>
      </c>
      <c r="I211" s="20">
        <v>0</v>
      </c>
      <c r="J211" s="20">
        <v>9316.51</v>
      </c>
      <c r="K211" s="20">
        <v>0</v>
      </c>
      <c r="L211" s="20">
        <v>54877.05</v>
      </c>
      <c r="M211" s="20">
        <v>31870.12</v>
      </c>
      <c r="N211" s="20">
        <v>23006.93</v>
      </c>
      <c r="O211" s="62">
        <f>N211*'FY2014 SUMMARY'!$B$3</f>
        <v>10010.849929112019</v>
      </c>
    </row>
    <row r="212" spans="1:15" x14ac:dyDescent="0.2">
      <c r="A212" s="25" t="s">
        <v>519</v>
      </c>
      <c r="B212" s="25" t="s">
        <v>520</v>
      </c>
      <c r="C212" s="25" t="s">
        <v>185</v>
      </c>
      <c r="D212" s="18" t="s">
        <v>479</v>
      </c>
      <c r="E212" s="19" t="s">
        <v>480</v>
      </c>
      <c r="F212" s="20">
        <v>28300.71</v>
      </c>
      <c r="G212" s="20">
        <v>8857.67</v>
      </c>
      <c r="H212" s="20">
        <v>0</v>
      </c>
      <c r="I212" s="20">
        <v>0</v>
      </c>
      <c r="J212" s="20">
        <v>9316.51</v>
      </c>
      <c r="K212" s="20">
        <v>0</v>
      </c>
      <c r="L212" s="20">
        <v>37617.22</v>
      </c>
      <c r="M212" s="20">
        <v>19443.04</v>
      </c>
      <c r="N212" s="20">
        <v>18174.18</v>
      </c>
      <c r="O212" s="62">
        <f>N212*'FY2014 SUMMARY'!$B$3</f>
        <v>7908.0080899393815</v>
      </c>
    </row>
    <row r="213" spans="1:15" x14ac:dyDescent="0.2">
      <c r="A213" s="28" t="s">
        <v>521</v>
      </c>
      <c r="B213" s="28" t="s">
        <v>522</v>
      </c>
      <c r="C213" s="28" t="s">
        <v>185</v>
      </c>
      <c r="D213" s="18" t="s">
        <v>479</v>
      </c>
      <c r="E213" s="19" t="s">
        <v>480</v>
      </c>
      <c r="F213" s="20">
        <v>29936.46</v>
      </c>
      <c r="G213" s="20">
        <v>9315.68</v>
      </c>
      <c r="H213" s="20">
        <v>0</v>
      </c>
      <c r="I213" s="20">
        <v>0</v>
      </c>
      <c r="J213" s="20">
        <v>9316.51</v>
      </c>
      <c r="K213" s="20">
        <v>0</v>
      </c>
      <c r="L213" s="20">
        <v>39252.97</v>
      </c>
      <c r="M213" s="20">
        <v>20620.78</v>
      </c>
      <c r="N213" s="20">
        <v>18632.189999999999</v>
      </c>
      <c r="O213" s="62">
        <f>N213*'FY2014 SUMMARY'!$B$3</f>
        <v>8107.2988851924893</v>
      </c>
    </row>
    <row r="214" spans="1:15" x14ac:dyDescent="0.2">
      <c r="A214" s="25" t="s">
        <v>523</v>
      </c>
      <c r="B214" s="25" t="s">
        <v>524</v>
      </c>
      <c r="C214" s="25" t="s">
        <v>185</v>
      </c>
      <c r="D214" s="18" t="s">
        <v>479</v>
      </c>
      <c r="E214" s="19" t="s">
        <v>480</v>
      </c>
      <c r="F214" s="20">
        <v>33887.33</v>
      </c>
      <c r="G214" s="20">
        <v>10703.64</v>
      </c>
      <c r="H214" s="20">
        <v>0</v>
      </c>
      <c r="I214" s="20">
        <v>0</v>
      </c>
      <c r="J214" s="20">
        <v>9316.51</v>
      </c>
      <c r="K214" s="20">
        <v>0</v>
      </c>
      <c r="L214" s="20">
        <v>43203.839999999997</v>
      </c>
      <c r="M214" s="20">
        <v>23183.69</v>
      </c>
      <c r="N214" s="20">
        <v>20020.150000000001</v>
      </c>
      <c r="O214" s="62">
        <f>N214*'FY2014 SUMMARY'!$B$3</f>
        <v>8711.2325376880781</v>
      </c>
    </row>
    <row r="215" spans="1:15" x14ac:dyDescent="0.2">
      <c r="A215" s="28" t="s">
        <v>525</v>
      </c>
      <c r="B215" s="28" t="s">
        <v>526</v>
      </c>
      <c r="C215" s="28" t="s">
        <v>185</v>
      </c>
      <c r="D215" s="18" t="s">
        <v>479</v>
      </c>
      <c r="E215" s="19" t="s">
        <v>480</v>
      </c>
      <c r="F215" s="20">
        <v>71701.16</v>
      </c>
      <c r="G215" s="20">
        <v>21736.11</v>
      </c>
      <c r="H215" s="20">
        <v>0</v>
      </c>
      <c r="I215" s="20">
        <v>0</v>
      </c>
      <c r="J215" s="20">
        <v>9316.51</v>
      </c>
      <c r="K215" s="20">
        <v>0</v>
      </c>
      <c r="L215" s="20">
        <v>81017.67</v>
      </c>
      <c r="M215" s="20">
        <v>49965.05</v>
      </c>
      <c r="N215" s="20">
        <v>31052.62</v>
      </c>
      <c r="O215" s="62">
        <f>N215*'FY2014 SUMMARY'!$B$3</f>
        <v>13511.716631716723</v>
      </c>
    </row>
    <row r="216" spans="1:15" x14ac:dyDescent="0.2">
      <c r="A216" s="28" t="s">
        <v>527</v>
      </c>
      <c r="B216" s="28" t="s">
        <v>528</v>
      </c>
      <c r="C216" s="28" t="s">
        <v>185</v>
      </c>
      <c r="D216" s="18" t="s">
        <v>479</v>
      </c>
      <c r="E216" s="19" t="s">
        <v>480</v>
      </c>
      <c r="F216" s="20">
        <v>46469.29</v>
      </c>
      <c r="G216" s="20">
        <v>13944.87</v>
      </c>
      <c r="H216" s="20">
        <v>0</v>
      </c>
      <c r="I216" s="20">
        <v>0</v>
      </c>
      <c r="J216" s="20">
        <v>9316.51</v>
      </c>
      <c r="K216" s="20">
        <v>0</v>
      </c>
      <c r="L216" s="20">
        <v>55785.8</v>
      </c>
      <c r="M216" s="20">
        <v>32524.42</v>
      </c>
      <c r="N216" s="20">
        <v>23261.38</v>
      </c>
      <c r="O216" s="62">
        <f>N216*'FY2014 SUMMARY'!$B$3</f>
        <v>10121.567037585968</v>
      </c>
    </row>
    <row r="217" spans="1:15" x14ac:dyDescent="0.2">
      <c r="A217" s="28" t="s">
        <v>529</v>
      </c>
      <c r="B217" s="28" t="s">
        <v>530</v>
      </c>
      <c r="C217" s="28" t="s">
        <v>185</v>
      </c>
      <c r="D217" s="18" t="s">
        <v>479</v>
      </c>
      <c r="E217" s="19" t="s">
        <v>480</v>
      </c>
      <c r="F217" s="20">
        <v>46454.75</v>
      </c>
      <c r="G217" s="20">
        <v>13940.8</v>
      </c>
      <c r="H217" s="20">
        <v>0</v>
      </c>
      <c r="I217" s="20">
        <v>0</v>
      </c>
      <c r="J217" s="20">
        <v>9316.51</v>
      </c>
      <c r="K217" s="20">
        <v>0</v>
      </c>
      <c r="L217" s="20">
        <v>55771.26</v>
      </c>
      <c r="M217" s="20">
        <v>32513.95</v>
      </c>
      <c r="N217" s="20">
        <v>23257.31</v>
      </c>
      <c r="O217" s="62">
        <f>N217*'FY2014 SUMMARY'!$B$3</f>
        <v>10119.796085998272</v>
      </c>
    </row>
    <row r="218" spans="1:15" x14ac:dyDescent="0.2">
      <c r="A218" s="25" t="s">
        <v>531</v>
      </c>
      <c r="B218" s="25" t="s">
        <v>532</v>
      </c>
      <c r="C218" s="25" t="s">
        <v>185</v>
      </c>
      <c r="D218" s="18" t="s">
        <v>479</v>
      </c>
      <c r="E218" s="19" t="s">
        <v>480</v>
      </c>
      <c r="F218" s="20">
        <v>51398.35</v>
      </c>
      <c r="G218" s="20">
        <v>15325.01</v>
      </c>
      <c r="H218" s="20">
        <v>0</v>
      </c>
      <c r="I218" s="20">
        <v>0</v>
      </c>
      <c r="J218" s="20">
        <v>9316.51</v>
      </c>
      <c r="K218" s="20">
        <v>0</v>
      </c>
      <c r="L218" s="20">
        <v>60714.86</v>
      </c>
      <c r="M218" s="20">
        <v>36073.339999999997</v>
      </c>
      <c r="N218" s="20">
        <v>24641.52</v>
      </c>
      <c r="O218" s="62">
        <f>N218*'FY2014 SUMMARY'!$B$3</f>
        <v>10722.098026343036</v>
      </c>
    </row>
    <row r="219" spans="1:15" x14ac:dyDescent="0.2">
      <c r="A219" s="28" t="s">
        <v>533</v>
      </c>
      <c r="B219" s="28" t="s">
        <v>534</v>
      </c>
      <c r="C219" s="28" t="s">
        <v>185</v>
      </c>
      <c r="D219" s="18" t="s">
        <v>479</v>
      </c>
      <c r="E219" s="19" t="s">
        <v>480</v>
      </c>
      <c r="F219" s="20">
        <v>33164.339999999997</v>
      </c>
      <c r="G219" s="20">
        <v>10219.49</v>
      </c>
      <c r="H219" s="20">
        <v>0</v>
      </c>
      <c r="I219" s="20">
        <v>0</v>
      </c>
      <c r="J219" s="20">
        <v>9316.51</v>
      </c>
      <c r="K219" s="20">
        <v>0</v>
      </c>
      <c r="L219" s="20">
        <v>42480.85</v>
      </c>
      <c r="M219" s="20">
        <v>22944.85</v>
      </c>
      <c r="N219" s="20">
        <v>19536</v>
      </c>
      <c r="O219" s="62">
        <f>N219*'FY2014 SUMMARY'!$B$3</f>
        <v>8500.5676209356225</v>
      </c>
    </row>
    <row r="220" spans="1:15" x14ac:dyDescent="0.2">
      <c r="A220" s="25" t="s">
        <v>535</v>
      </c>
      <c r="B220" s="25" t="s">
        <v>536</v>
      </c>
      <c r="C220" s="25" t="s">
        <v>185</v>
      </c>
      <c r="D220" s="18" t="s">
        <v>479</v>
      </c>
      <c r="E220" s="19" t="s">
        <v>480</v>
      </c>
      <c r="F220" s="20">
        <v>46709.2</v>
      </c>
      <c r="G220" s="20">
        <v>14012.04</v>
      </c>
      <c r="H220" s="20">
        <v>0</v>
      </c>
      <c r="I220" s="20">
        <v>0</v>
      </c>
      <c r="J220" s="20">
        <v>9316.51</v>
      </c>
      <c r="K220" s="20">
        <v>0</v>
      </c>
      <c r="L220" s="20">
        <v>56025.71</v>
      </c>
      <c r="M220" s="20">
        <v>32697.16</v>
      </c>
      <c r="N220" s="20">
        <v>23328.55</v>
      </c>
      <c r="O220" s="62">
        <f>N220*'FY2014 SUMMARY'!$B$3</f>
        <v>10150.794265631535</v>
      </c>
    </row>
    <row r="221" spans="1:15" x14ac:dyDescent="0.2">
      <c r="A221" s="25" t="s">
        <v>537</v>
      </c>
      <c r="B221" s="25" t="s">
        <v>538</v>
      </c>
      <c r="C221" s="25" t="s">
        <v>185</v>
      </c>
      <c r="D221" s="18" t="s">
        <v>479</v>
      </c>
      <c r="E221" s="19" t="s">
        <v>480</v>
      </c>
      <c r="F221" s="20">
        <v>65713.83</v>
      </c>
      <c r="G221" s="20">
        <v>19333.34</v>
      </c>
      <c r="H221" s="20">
        <v>0</v>
      </c>
      <c r="I221" s="20">
        <v>0</v>
      </c>
      <c r="J221" s="20">
        <v>9316.51</v>
      </c>
      <c r="K221" s="20">
        <v>0</v>
      </c>
      <c r="L221" s="20">
        <v>75030.34</v>
      </c>
      <c r="M221" s="20">
        <v>46380.49</v>
      </c>
      <c r="N221" s="20">
        <v>28649.85</v>
      </c>
      <c r="O221" s="62">
        <f>N221*'FY2014 SUMMARY'!$B$3</f>
        <v>12466.215563813596</v>
      </c>
    </row>
    <row r="222" spans="1:15" x14ac:dyDescent="0.2">
      <c r="A222" s="28" t="s">
        <v>539</v>
      </c>
      <c r="B222" s="28" t="s">
        <v>540</v>
      </c>
      <c r="C222" s="28" t="s">
        <v>185</v>
      </c>
      <c r="D222" s="18" t="s">
        <v>479</v>
      </c>
      <c r="E222" s="19" t="s">
        <v>480</v>
      </c>
      <c r="F222" s="20">
        <v>31329.919999999998</v>
      </c>
      <c r="G222" s="20">
        <v>9678.8700000000008</v>
      </c>
      <c r="H222" s="20">
        <v>0</v>
      </c>
      <c r="I222" s="20">
        <v>0</v>
      </c>
      <c r="J222" s="20">
        <v>9316.51</v>
      </c>
      <c r="K222" s="20">
        <v>0</v>
      </c>
      <c r="L222" s="20">
        <v>40646.43</v>
      </c>
      <c r="M222" s="20">
        <v>21651.05</v>
      </c>
      <c r="N222" s="20">
        <v>18995.38</v>
      </c>
      <c r="O222" s="62">
        <f>N222*'FY2014 SUMMARY'!$B$3</f>
        <v>8265.3312948079492</v>
      </c>
    </row>
    <row r="223" spans="1:15" s="60" customFormat="1" x14ac:dyDescent="0.2">
      <c r="A223" s="56" t="s">
        <v>541</v>
      </c>
      <c r="B223" s="56" t="s">
        <v>542</v>
      </c>
      <c r="C223" s="56" t="s">
        <v>185</v>
      </c>
      <c r="D223" s="57" t="s">
        <v>479</v>
      </c>
      <c r="E223" s="61" t="s">
        <v>480</v>
      </c>
      <c r="F223" s="59">
        <v>50778.15</v>
      </c>
      <c r="G223" s="59">
        <v>16084.82</v>
      </c>
      <c r="H223" s="59">
        <v>0</v>
      </c>
      <c r="I223" s="59">
        <v>0</v>
      </c>
      <c r="J223" s="59">
        <v>18633.02</v>
      </c>
      <c r="K223" s="59">
        <v>0</v>
      </c>
      <c r="L223" s="59">
        <f>F223+J223</f>
        <v>69411.17</v>
      </c>
      <c r="M223" s="59">
        <v>34693.33</v>
      </c>
      <c r="N223" s="62">
        <v>34717.839999999997</v>
      </c>
      <c r="O223" s="62">
        <f>N223*'FY2014 SUMMARY'!$B$3</f>
        <v>15106.539034235439</v>
      </c>
    </row>
    <row r="224" spans="1:15" x14ac:dyDescent="0.2">
      <c r="A224" s="28" t="s">
        <v>543</v>
      </c>
      <c r="B224" s="28" t="s">
        <v>544</v>
      </c>
      <c r="C224" s="28" t="s">
        <v>458</v>
      </c>
      <c r="D224" s="18" t="s">
        <v>479</v>
      </c>
      <c r="E224" s="19" t="s">
        <v>480</v>
      </c>
      <c r="F224" s="20">
        <v>25719.86</v>
      </c>
      <c r="G224" s="20">
        <v>8135.03</v>
      </c>
      <c r="H224" s="20">
        <v>0</v>
      </c>
      <c r="I224" s="20">
        <v>0</v>
      </c>
      <c r="J224" s="20">
        <v>9316.51</v>
      </c>
      <c r="K224" s="20">
        <v>0</v>
      </c>
      <c r="L224" s="20">
        <v>35036.370000000003</v>
      </c>
      <c r="M224" s="20">
        <v>17584.830000000002</v>
      </c>
      <c r="N224" s="20">
        <v>17451.54</v>
      </c>
      <c r="O224" s="62">
        <f>N224*'FY2014 SUMMARY'!$B$3</f>
        <v>7593.5706316268861</v>
      </c>
    </row>
    <row r="225" spans="1:15" ht="13.5" thickBot="1" x14ac:dyDescent="0.25">
      <c r="A225" s="35" t="s">
        <v>545</v>
      </c>
      <c r="B225" s="35" t="s">
        <v>546</v>
      </c>
      <c r="C225" s="35" t="s">
        <v>458</v>
      </c>
      <c r="D225" s="31" t="s">
        <v>479</v>
      </c>
      <c r="E225" s="32" t="s">
        <v>480</v>
      </c>
      <c r="F225" s="33">
        <v>12514.6</v>
      </c>
      <c r="G225" s="33">
        <v>3970.82</v>
      </c>
      <c r="H225" s="33">
        <v>0</v>
      </c>
      <c r="I225" s="33">
        <v>0</v>
      </c>
      <c r="J225" s="33">
        <v>9316.51</v>
      </c>
      <c r="K225" s="33">
        <v>0</v>
      </c>
      <c r="L225" s="33">
        <v>21831.11</v>
      </c>
      <c r="M225" s="33">
        <v>8543.7800000000007</v>
      </c>
      <c r="N225" s="33">
        <v>13287.33</v>
      </c>
      <c r="O225" s="62">
        <f>N225*'FY2014 SUMMARY'!$B$3</f>
        <v>5781.6260834708492</v>
      </c>
    </row>
    <row r="226" spans="1:15" x14ac:dyDescent="0.2">
      <c r="A226" s="76" t="s">
        <v>712</v>
      </c>
      <c r="N226" s="13">
        <f>SUM(N192:N225)</f>
        <v>715241.31</v>
      </c>
      <c r="O226" s="13">
        <f>SUM(O192:O225)</f>
        <v>311218.11634631333</v>
      </c>
    </row>
    <row r="227" spans="1:15" x14ac:dyDescent="0.2">
      <c r="A227" s="36" t="s">
        <v>547</v>
      </c>
      <c r="B227" s="36"/>
      <c r="C227" s="38">
        <f>N243</f>
        <v>584226.92999999993</v>
      </c>
    </row>
    <row r="228" spans="1:15" x14ac:dyDescent="0.2">
      <c r="A228" s="14" t="s">
        <v>175</v>
      </c>
      <c r="B228" s="14" t="s">
        <v>176</v>
      </c>
      <c r="C228" s="14" t="s">
        <v>177</v>
      </c>
      <c r="D228" s="15" t="s">
        <v>0</v>
      </c>
      <c r="E228" s="16" t="s">
        <v>178</v>
      </c>
      <c r="F228" s="15" t="s">
        <v>179</v>
      </c>
      <c r="G228" s="15" t="s">
        <v>180</v>
      </c>
      <c r="H228" s="15" t="s">
        <v>181</v>
      </c>
      <c r="I228" s="15" t="s">
        <v>183</v>
      </c>
      <c r="J228" s="15" t="s">
        <v>1</v>
      </c>
      <c r="K228" s="15" t="s">
        <v>2</v>
      </c>
      <c r="L228" s="15" t="s">
        <v>3</v>
      </c>
      <c r="M228" s="15" t="s">
        <v>184</v>
      </c>
      <c r="N228" s="15" t="s">
        <v>182</v>
      </c>
    </row>
    <row r="229" spans="1:15" x14ac:dyDescent="0.2">
      <c r="A229" s="25" t="s">
        <v>548</v>
      </c>
      <c r="B229" s="25" t="s">
        <v>12</v>
      </c>
      <c r="C229" s="25" t="s">
        <v>185</v>
      </c>
      <c r="D229" s="18" t="s">
        <v>549</v>
      </c>
      <c r="E229" s="19" t="s">
        <v>13</v>
      </c>
      <c r="F229" s="20">
        <v>87766.44</v>
      </c>
      <c r="G229" s="20">
        <v>39997.26</v>
      </c>
      <c r="H229" s="20">
        <v>0</v>
      </c>
      <c r="I229" s="20">
        <v>0</v>
      </c>
      <c r="J229" s="20">
        <v>27788.92</v>
      </c>
      <c r="K229" s="20">
        <v>0</v>
      </c>
      <c r="L229" s="20">
        <v>115555.36</v>
      </c>
      <c r="M229" s="20">
        <v>47769.18</v>
      </c>
      <c r="N229" s="20">
        <v>67786.179999999993</v>
      </c>
      <c r="O229" s="62">
        <f>N229*'FY2014 SUMMARY'!$B$3</f>
        <v>29495.342283728183</v>
      </c>
    </row>
    <row r="230" spans="1:15" x14ac:dyDescent="0.2">
      <c r="A230" s="25" t="s">
        <v>550</v>
      </c>
      <c r="B230" s="25" t="s">
        <v>14</v>
      </c>
      <c r="C230" s="25" t="s">
        <v>185</v>
      </c>
      <c r="D230" s="18" t="s">
        <v>549</v>
      </c>
      <c r="E230" s="19" t="s">
        <v>13</v>
      </c>
      <c r="F230" s="20">
        <v>56499.58</v>
      </c>
      <c r="G230" s="20">
        <v>23709.82</v>
      </c>
      <c r="H230" s="20">
        <v>0</v>
      </c>
      <c r="I230" s="20">
        <v>0</v>
      </c>
      <c r="J230" s="20">
        <v>21135.360000000001</v>
      </c>
      <c r="K230" s="20">
        <v>0</v>
      </c>
      <c r="L230" s="20">
        <v>77634.94</v>
      </c>
      <c r="M230" s="20">
        <v>32789.760000000002</v>
      </c>
      <c r="N230" s="20">
        <v>44845.18</v>
      </c>
      <c r="O230" s="62">
        <f>N230*'FY2014 SUMMARY'!$B$3</f>
        <v>19513.180029843865</v>
      </c>
    </row>
    <row r="231" spans="1:15" x14ac:dyDescent="0.2">
      <c r="A231" s="28" t="s">
        <v>551</v>
      </c>
      <c r="B231" s="28" t="s">
        <v>15</v>
      </c>
      <c r="C231" s="28" t="s">
        <v>185</v>
      </c>
      <c r="D231" s="18" t="s">
        <v>549</v>
      </c>
      <c r="E231" s="19" t="s">
        <v>13</v>
      </c>
      <c r="F231" s="20">
        <v>41249.96</v>
      </c>
      <c r="G231" s="20">
        <v>14962.32</v>
      </c>
      <c r="H231" s="20">
        <v>0</v>
      </c>
      <c r="I231" s="20">
        <v>0</v>
      </c>
      <c r="J231" s="20">
        <v>13490.84</v>
      </c>
      <c r="K231" s="20">
        <v>0</v>
      </c>
      <c r="L231" s="20">
        <v>54740.800000000003</v>
      </c>
      <c r="M231" s="20">
        <v>26287.64</v>
      </c>
      <c r="N231" s="20">
        <v>28453.16</v>
      </c>
      <c r="O231" s="62">
        <f>N231*'FY2014 SUMMARY'!$B$3</f>
        <v>12380.631173694748</v>
      </c>
    </row>
    <row r="232" spans="1:15" x14ac:dyDescent="0.2">
      <c r="A232" s="28" t="s">
        <v>552</v>
      </c>
      <c r="B232" s="28" t="s">
        <v>16</v>
      </c>
      <c r="C232" s="28" t="s">
        <v>185</v>
      </c>
      <c r="D232" s="18" t="s">
        <v>549</v>
      </c>
      <c r="E232" s="19" t="s">
        <v>13</v>
      </c>
      <c r="F232" s="20">
        <v>51427.37</v>
      </c>
      <c r="G232" s="20">
        <v>16337.81</v>
      </c>
      <c r="H232" s="20">
        <v>0</v>
      </c>
      <c r="I232" s="20">
        <v>0</v>
      </c>
      <c r="J232" s="20">
        <v>17253.419999999998</v>
      </c>
      <c r="K232" s="20">
        <v>0</v>
      </c>
      <c r="L232" s="20">
        <v>68680.789999999994</v>
      </c>
      <c r="M232" s="20">
        <v>35089.56</v>
      </c>
      <c r="N232" s="20">
        <v>33591.230000000003</v>
      </c>
      <c r="O232" s="62">
        <f>N232*'FY2014 SUMMARY'!$B$3</f>
        <v>14616.32484057132</v>
      </c>
    </row>
    <row r="233" spans="1:15" x14ac:dyDescent="0.2">
      <c r="A233" s="25" t="s">
        <v>553</v>
      </c>
      <c r="B233" s="25" t="s">
        <v>17</v>
      </c>
      <c r="C233" s="25" t="s">
        <v>185</v>
      </c>
      <c r="D233" s="18" t="s">
        <v>549</v>
      </c>
      <c r="E233" s="19" t="s">
        <v>13</v>
      </c>
      <c r="F233" s="20">
        <v>46244.85</v>
      </c>
      <c r="G233" s="20">
        <v>13957.51</v>
      </c>
      <c r="H233" s="20">
        <v>0</v>
      </c>
      <c r="I233" s="20">
        <v>0</v>
      </c>
      <c r="J233" s="20">
        <v>13308.63</v>
      </c>
      <c r="K233" s="20">
        <v>0</v>
      </c>
      <c r="L233" s="20">
        <v>59553.48</v>
      </c>
      <c r="M233" s="20">
        <v>32287.34</v>
      </c>
      <c r="N233" s="20">
        <v>27266.14</v>
      </c>
      <c r="O233" s="62">
        <f>N233*'FY2014 SUMMARY'!$B$3</f>
        <v>11864.131185088943</v>
      </c>
    </row>
    <row r="234" spans="1:15" x14ac:dyDescent="0.2">
      <c r="A234" s="28" t="s">
        <v>554</v>
      </c>
      <c r="B234" s="28" t="s">
        <v>18</v>
      </c>
      <c r="C234" s="28" t="s">
        <v>185</v>
      </c>
      <c r="D234" s="18" t="s">
        <v>549</v>
      </c>
      <c r="E234" s="19" t="s">
        <v>13</v>
      </c>
      <c r="F234" s="20">
        <v>38408.85</v>
      </c>
      <c r="G234" s="20">
        <v>11147.19</v>
      </c>
      <c r="H234" s="20">
        <v>0</v>
      </c>
      <c r="I234" s="20">
        <v>0</v>
      </c>
      <c r="J234" s="20">
        <v>7860.37</v>
      </c>
      <c r="K234" s="20">
        <v>0</v>
      </c>
      <c r="L234" s="20">
        <v>46269.22</v>
      </c>
      <c r="M234" s="20">
        <v>27261.66</v>
      </c>
      <c r="N234" s="20">
        <v>19007.560000000001</v>
      </c>
      <c r="O234" s="62">
        <f>N234*'FY2014 SUMMARY'!$B$3</f>
        <v>8270.6310958738268</v>
      </c>
    </row>
    <row r="235" spans="1:15" x14ac:dyDescent="0.2">
      <c r="A235" s="28" t="s">
        <v>555</v>
      </c>
      <c r="B235" s="28" t="s">
        <v>19</v>
      </c>
      <c r="C235" s="28" t="s">
        <v>185</v>
      </c>
      <c r="D235" s="18" t="s">
        <v>549</v>
      </c>
      <c r="E235" s="19" t="s">
        <v>13</v>
      </c>
      <c r="F235" s="20">
        <v>51209.42</v>
      </c>
      <c r="G235" s="20">
        <v>18364.7</v>
      </c>
      <c r="H235" s="20">
        <v>0</v>
      </c>
      <c r="I235" s="20">
        <v>0</v>
      </c>
      <c r="J235" s="20">
        <v>20467.12</v>
      </c>
      <c r="K235" s="20">
        <v>0</v>
      </c>
      <c r="L235" s="20">
        <v>71676.539999999994</v>
      </c>
      <c r="M235" s="20">
        <v>32844.720000000001</v>
      </c>
      <c r="N235" s="20">
        <v>38831.82</v>
      </c>
      <c r="O235" s="62">
        <f>N235*'FY2014 SUMMARY'!$B$3</f>
        <v>16896.627342035234</v>
      </c>
    </row>
    <row r="236" spans="1:15" x14ac:dyDescent="0.2">
      <c r="A236" s="28" t="s">
        <v>556</v>
      </c>
      <c r="B236" s="28" t="s">
        <v>20</v>
      </c>
      <c r="C236" s="28" t="s">
        <v>185</v>
      </c>
      <c r="D236" s="18" t="s">
        <v>549</v>
      </c>
      <c r="E236" s="19" t="s">
        <v>13</v>
      </c>
      <c r="F236" s="20">
        <v>45776.05</v>
      </c>
      <c r="G236" s="20">
        <v>14911.54</v>
      </c>
      <c r="H236" s="20">
        <v>0</v>
      </c>
      <c r="I236" s="20">
        <v>0</v>
      </c>
      <c r="J236" s="20">
        <v>22326.54</v>
      </c>
      <c r="K236" s="20">
        <v>0</v>
      </c>
      <c r="L236" s="20">
        <v>68102.59</v>
      </c>
      <c r="M236" s="20">
        <v>30864.51</v>
      </c>
      <c r="N236" s="20">
        <v>37238.080000000002</v>
      </c>
      <c r="O236" s="62">
        <f>N236*'FY2014 SUMMARY'!$B$3</f>
        <v>16203.154029167197</v>
      </c>
    </row>
    <row r="237" spans="1:15" x14ac:dyDescent="0.2">
      <c r="A237" s="28" t="s">
        <v>557</v>
      </c>
      <c r="B237" s="28" t="s">
        <v>21</v>
      </c>
      <c r="C237" s="28" t="s">
        <v>185</v>
      </c>
      <c r="D237" s="18" t="s">
        <v>549</v>
      </c>
      <c r="E237" s="19" t="s">
        <v>13</v>
      </c>
      <c r="F237" s="20">
        <v>76238.45</v>
      </c>
      <c r="G237" s="20">
        <v>36140.99</v>
      </c>
      <c r="H237" s="20">
        <v>0</v>
      </c>
      <c r="I237" s="20">
        <v>0</v>
      </c>
      <c r="J237" s="20">
        <v>21515.759999999998</v>
      </c>
      <c r="K237" s="20">
        <v>0</v>
      </c>
      <c r="L237" s="20">
        <v>97754.21</v>
      </c>
      <c r="M237" s="20">
        <v>40097.46</v>
      </c>
      <c r="N237" s="20">
        <v>57656.75</v>
      </c>
      <c r="O237" s="62">
        <f>N237*'FY2014 SUMMARY'!$B$3</f>
        <v>25087.791880547702</v>
      </c>
    </row>
    <row r="238" spans="1:15" x14ac:dyDescent="0.2">
      <c r="A238" s="25" t="s">
        <v>558</v>
      </c>
      <c r="B238" s="25" t="s">
        <v>22</v>
      </c>
      <c r="C238" s="25" t="s">
        <v>185</v>
      </c>
      <c r="D238" s="18" t="s">
        <v>549</v>
      </c>
      <c r="E238" s="19" t="s">
        <v>13</v>
      </c>
      <c r="F238" s="20">
        <v>98874.240000000005</v>
      </c>
      <c r="G238" s="20">
        <v>39492.22</v>
      </c>
      <c r="H238" s="20">
        <v>0</v>
      </c>
      <c r="I238" s="20">
        <v>0</v>
      </c>
      <c r="J238" s="20">
        <v>33435.51</v>
      </c>
      <c r="K238" s="20">
        <v>0</v>
      </c>
      <c r="L238" s="20">
        <v>132309.75</v>
      </c>
      <c r="M238" s="20">
        <v>59382.02</v>
      </c>
      <c r="N238" s="20">
        <v>72927.73</v>
      </c>
      <c r="O238" s="62">
        <f>N238*'FY2014 SUMMARY'!$B$3</f>
        <v>31732.550179480721</v>
      </c>
    </row>
    <row r="239" spans="1:15" x14ac:dyDescent="0.2">
      <c r="A239" s="25" t="s">
        <v>559</v>
      </c>
      <c r="B239" s="25" t="s">
        <v>23</v>
      </c>
      <c r="C239" s="25" t="s">
        <v>185</v>
      </c>
      <c r="D239" s="18" t="s">
        <v>549</v>
      </c>
      <c r="E239" s="19" t="s">
        <v>13</v>
      </c>
      <c r="F239" s="20">
        <v>56328.09</v>
      </c>
      <c r="G239" s="20">
        <v>17975.37</v>
      </c>
      <c r="H239" s="20">
        <v>0</v>
      </c>
      <c r="I239" s="20">
        <v>0</v>
      </c>
      <c r="J239" s="20">
        <v>16401.84</v>
      </c>
      <c r="K239" s="20">
        <v>0</v>
      </c>
      <c r="L239" s="20">
        <v>72729.929999999993</v>
      </c>
      <c r="M239" s="20">
        <v>38352.720000000001</v>
      </c>
      <c r="N239" s="20">
        <v>34377.21</v>
      </c>
      <c r="O239" s="62">
        <f>N239*'FY2014 SUMMARY'!$B$3</f>
        <v>14958.323004919341</v>
      </c>
    </row>
    <row r="240" spans="1:15" x14ac:dyDescent="0.2">
      <c r="A240" s="25" t="s">
        <v>560</v>
      </c>
      <c r="B240" s="25" t="s">
        <v>24</v>
      </c>
      <c r="C240" s="25" t="s">
        <v>185</v>
      </c>
      <c r="D240" s="18" t="s">
        <v>549</v>
      </c>
      <c r="E240" s="19" t="s">
        <v>13</v>
      </c>
      <c r="F240" s="20">
        <v>78386.2</v>
      </c>
      <c r="G240" s="20">
        <v>39241.910000000003</v>
      </c>
      <c r="H240" s="20">
        <v>0</v>
      </c>
      <c r="I240" s="20">
        <v>0</v>
      </c>
      <c r="J240" s="20">
        <v>21906.560000000001</v>
      </c>
      <c r="K240" s="20">
        <v>0</v>
      </c>
      <c r="L240" s="20">
        <v>100292.76</v>
      </c>
      <c r="M240" s="20">
        <v>39144.29</v>
      </c>
      <c r="N240" s="20">
        <v>61148.47</v>
      </c>
      <c r="O240" s="62">
        <f>N240*'FY2014 SUMMARY'!$B$3</f>
        <v>26607.120400888271</v>
      </c>
    </row>
    <row r="241" spans="1:15" x14ac:dyDescent="0.2">
      <c r="A241" s="25" t="s">
        <v>561</v>
      </c>
      <c r="B241" s="25" t="s">
        <v>25</v>
      </c>
      <c r="C241" s="25" t="s">
        <v>185</v>
      </c>
      <c r="D241" s="18" t="s">
        <v>549</v>
      </c>
      <c r="E241" s="19" t="s">
        <v>13</v>
      </c>
      <c r="F241" s="20">
        <v>56752.84</v>
      </c>
      <c r="G241" s="20">
        <v>16188.27</v>
      </c>
      <c r="H241" s="20">
        <v>0</v>
      </c>
      <c r="I241" s="20">
        <v>0</v>
      </c>
      <c r="J241" s="20">
        <v>16479.71</v>
      </c>
      <c r="K241" s="20">
        <v>0</v>
      </c>
      <c r="L241" s="20">
        <v>73232.55</v>
      </c>
      <c r="M241" s="20">
        <v>40564.57</v>
      </c>
      <c r="N241" s="20">
        <v>32667.98</v>
      </c>
      <c r="O241" s="62">
        <f>N241*'FY2014 SUMMARY'!$B$3</f>
        <v>14214.597309038312</v>
      </c>
    </row>
    <row r="242" spans="1:15" ht="13.5" thickBot="1" x14ac:dyDescent="0.25">
      <c r="A242" s="35" t="s">
        <v>562</v>
      </c>
      <c r="B242" s="35" t="s">
        <v>26</v>
      </c>
      <c r="C242" s="35" t="s">
        <v>185</v>
      </c>
      <c r="D242" s="31" t="s">
        <v>549</v>
      </c>
      <c r="E242" s="32" t="s">
        <v>13</v>
      </c>
      <c r="F242" s="33">
        <v>46651.6</v>
      </c>
      <c r="G242" s="33">
        <v>12861.55</v>
      </c>
      <c r="H242" s="33">
        <v>0</v>
      </c>
      <c r="I242" s="33">
        <v>0</v>
      </c>
      <c r="J242" s="33">
        <v>15567.89</v>
      </c>
      <c r="K242" s="33">
        <v>0</v>
      </c>
      <c r="L242" s="33">
        <v>62219.49</v>
      </c>
      <c r="M242" s="33">
        <v>33790.050000000003</v>
      </c>
      <c r="N242" s="33">
        <v>28429.439999999999</v>
      </c>
      <c r="O242" s="62">
        <f>N242*'FY2014 SUMMARY'!$B$3</f>
        <v>12370.310050436732</v>
      </c>
    </row>
    <row r="243" spans="1:15" x14ac:dyDescent="0.2">
      <c r="A243" s="76" t="s">
        <v>712</v>
      </c>
      <c r="N243" s="13">
        <f>SUM(N229:N242)</f>
        <v>584226.92999999993</v>
      </c>
      <c r="O243" s="13">
        <f>SUM(O229:O242)</f>
        <v>254210.71480531438</v>
      </c>
    </row>
    <row r="244" spans="1:15" x14ac:dyDescent="0.2">
      <c r="A244" s="36" t="s">
        <v>563</v>
      </c>
      <c r="B244" s="36"/>
      <c r="C244" s="38">
        <f>N256</f>
        <v>176915.71000000002</v>
      </c>
    </row>
    <row r="245" spans="1:15" x14ac:dyDescent="0.2">
      <c r="A245" s="14" t="s">
        <v>175</v>
      </c>
      <c r="B245" s="14" t="s">
        <v>176</v>
      </c>
      <c r="C245" s="14" t="s">
        <v>177</v>
      </c>
      <c r="D245" s="15" t="s">
        <v>0</v>
      </c>
      <c r="E245" s="16" t="s">
        <v>178</v>
      </c>
      <c r="F245" s="15" t="s">
        <v>179</v>
      </c>
      <c r="G245" s="15" t="s">
        <v>180</v>
      </c>
      <c r="H245" s="15" t="s">
        <v>181</v>
      </c>
      <c r="I245" s="15" t="s">
        <v>183</v>
      </c>
      <c r="J245" s="15" t="s">
        <v>1</v>
      </c>
      <c r="K245" s="15" t="s">
        <v>2</v>
      </c>
      <c r="L245" s="15" t="s">
        <v>3</v>
      </c>
      <c r="M245" s="15" t="s">
        <v>184</v>
      </c>
      <c r="N245" s="15" t="s">
        <v>182</v>
      </c>
    </row>
    <row r="246" spans="1:15" x14ac:dyDescent="0.2">
      <c r="A246" s="56" t="s">
        <v>564</v>
      </c>
      <c r="B246" s="25" t="s">
        <v>565</v>
      </c>
      <c r="C246" s="25" t="s">
        <v>185</v>
      </c>
      <c r="D246" s="18" t="s">
        <v>27</v>
      </c>
      <c r="E246" s="19" t="s">
        <v>28</v>
      </c>
      <c r="F246" s="20">
        <v>36820.44</v>
      </c>
      <c r="G246" s="20">
        <v>7355.09</v>
      </c>
      <c r="H246" s="20">
        <v>0</v>
      </c>
      <c r="I246" s="20">
        <v>0</v>
      </c>
      <c r="J246" s="20">
        <v>3429.47</v>
      </c>
      <c r="K246" s="20">
        <v>0</v>
      </c>
      <c r="L246" s="20">
        <v>40249.910000000003</v>
      </c>
      <c r="M246" s="20">
        <v>29465.35</v>
      </c>
      <c r="N246" s="20">
        <v>10784.56</v>
      </c>
      <c r="O246" s="62">
        <f>N246*'FY2014 SUMMARY'!$B$3</f>
        <v>4692.6126915457344</v>
      </c>
    </row>
    <row r="247" spans="1:15" x14ac:dyDescent="0.2">
      <c r="A247" s="28" t="s">
        <v>566</v>
      </c>
      <c r="B247" s="28" t="s">
        <v>567</v>
      </c>
      <c r="C247" s="28" t="s">
        <v>185</v>
      </c>
      <c r="D247" s="18" t="s">
        <v>27</v>
      </c>
      <c r="E247" s="19" t="s">
        <v>28</v>
      </c>
      <c r="F247" s="20">
        <v>15861.9</v>
      </c>
      <c r="G247" s="20">
        <v>4420.38</v>
      </c>
      <c r="H247" s="20">
        <v>0</v>
      </c>
      <c r="I247" s="20">
        <v>0</v>
      </c>
      <c r="J247" s="20">
        <v>4457.12</v>
      </c>
      <c r="K247" s="20">
        <v>0</v>
      </c>
      <c r="L247" s="20">
        <v>20319.02</v>
      </c>
      <c r="M247" s="20">
        <v>11441.52</v>
      </c>
      <c r="N247" s="20">
        <v>8877.5</v>
      </c>
      <c r="O247" s="62">
        <f>N247*'FY2014 SUMMARY'!$B$3</f>
        <v>3862.8065650520057</v>
      </c>
    </row>
    <row r="248" spans="1:15" x14ac:dyDescent="0.2">
      <c r="A248" s="28" t="s">
        <v>568</v>
      </c>
      <c r="B248" s="28" t="s">
        <v>569</v>
      </c>
      <c r="C248" s="28" t="s">
        <v>185</v>
      </c>
      <c r="D248" s="18" t="s">
        <v>27</v>
      </c>
      <c r="E248" s="19" t="s">
        <v>28</v>
      </c>
      <c r="F248" s="20">
        <v>15272.58</v>
      </c>
      <c r="G248" s="20">
        <v>3054.52</v>
      </c>
      <c r="H248" s="20">
        <v>0</v>
      </c>
      <c r="I248" s="20">
        <v>0</v>
      </c>
      <c r="J248" s="20">
        <v>4457.12</v>
      </c>
      <c r="K248" s="20">
        <v>0</v>
      </c>
      <c r="L248" s="20">
        <v>19729.7</v>
      </c>
      <c r="M248" s="20">
        <v>12218.06</v>
      </c>
      <c r="N248" s="20">
        <v>7511.64</v>
      </c>
      <c r="O248" s="62">
        <f>N248*'FY2014 SUMMARY'!$B$3</f>
        <v>3268.4891361652772</v>
      </c>
    </row>
    <row r="249" spans="1:15" x14ac:dyDescent="0.2">
      <c r="A249" s="25" t="s">
        <v>570</v>
      </c>
      <c r="B249" s="25" t="s">
        <v>571</v>
      </c>
      <c r="C249" s="25" t="s">
        <v>185</v>
      </c>
      <c r="D249" s="18" t="s">
        <v>27</v>
      </c>
      <c r="E249" s="19" t="s">
        <v>28</v>
      </c>
      <c r="F249" s="20">
        <v>15477.96</v>
      </c>
      <c r="G249" s="20">
        <v>3095.59</v>
      </c>
      <c r="H249" s="20">
        <v>0</v>
      </c>
      <c r="I249" s="20">
        <v>0</v>
      </c>
      <c r="J249" s="20">
        <v>4457.12</v>
      </c>
      <c r="K249" s="20">
        <v>0</v>
      </c>
      <c r="L249" s="20">
        <v>19935.080000000002</v>
      </c>
      <c r="M249" s="20">
        <v>12382.37</v>
      </c>
      <c r="N249" s="20">
        <v>7552.71</v>
      </c>
      <c r="O249" s="62">
        <f>N249*'FY2014 SUMMARY'!$B$3</f>
        <v>3286.3596476411076</v>
      </c>
    </row>
    <row r="250" spans="1:15" x14ac:dyDescent="0.2">
      <c r="A250" s="28" t="s">
        <v>572</v>
      </c>
      <c r="B250" s="28" t="s">
        <v>573</v>
      </c>
      <c r="C250" s="28" t="s">
        <v>185</v>
      </c>
      <c r="D250" s="18" t="s">
        <v>27</v>
      </c>
      <c r="E250" s="19" t="s">
        <v>28</v>
      </c>
      <c r="F250" s="20">
        <v>11884.74</v>
      </c>
      <c r="G250" s="20">
        <v>2376.9499999999998</v>
      </c>
      <c r="H250" s="20">
        <v>0</v>
      </c>
      <c r="I250" s="20">
        <v>0</v>
      </c>
      <c r="J250" s="20">
        <v>4457.12</v>
      </c>
      <c r="K250" s="20">
        <v>0</v>
      </c>
      <c r="L250" s="20">
        <v>16341.86</v>
      </c>
      <c r="M250" s="20">
        <v>9507.7900000000009</v>
      </c>
      <c r="N250" s="20">
        <v>6834.07</v>
      </c>
      <c r="O250" s="62">
        <f>N250*'FY2014 SUMMARY'!$B$3</f>
        <v>2973.6626822894914</v>
      </c>
    </row>
    <row r="251" spans="1:15" x14ac:dyDescent="0.2">
      <c r="A251" s="28" t="s">
        <v>574</v>
      </c>
      <c r="B251" s="28" t="s">
        <v>575</v>
      </c>
      <c r="C251" s="28" t="s">
        <v>185</v>
      </c>
      <c r="D251" s="18" t="s">
        <v>27</v>
      </c>
      <c r="E251" s="19" t="s">
        <v>28</v>
      </c>
      <c r="F251" s="20">
        <v>11884.86</v>
      </c>
      <c r="G251" s="20">
        <v>2376.9699999999998</v>
      </c>
      <c r="H251" s="20">
        <v>0</v>
      </c>
      <c r="I251" s="20">
        <v>0</v>
      </c>
      <c r="J251" s="20">
        <v>4457.12</v>
      </c>
      <c r="K251" s="20">
        <v>0</v>
      </c>
      <c r="L251" s="20">
        <v>16341.98</v>
      </c>
      <c r="M251" s="20">
        <v>9507.89</v>
      </c>
      <c r="N251" s="20">
        <v>6834.09</v>
      </c>
      <c r="O251" s="62">
        <f>N251*'FY2014 SUMMARY'!$B$3</f>
        <v>2973.671384754296</v>
      </c>
    </row>
    <row r="252" spans="1:15" x14ac:dyDescent="0.2">
      <c r="A252" s="25" t="s">
        <v>576</v>
      </c>
      <c r="B252" s="25" t="s">
        <v>29</v>
      </c>
      <c r="C252" s="25" t="s">
        <v>185</v>
      </c>
      <c r="D252" s="18" t="s">
        <v>27</v>
      </c>
      <c r="E252" s="19" t="s">
        <v>28</v>
      </c>
      <c r="F252" s="20">
        <v>8502.9599999999991</v>
      </c>
      <c r="G252" s="20">
        <v>1700.59</v>
      </c>
      <c r="H252" s="20">
        <v>98380</v>
      </c>
      <c r="I252" s="20">
        <v>98380</v>
      </c>
      <c r="J252" s="20">
        <v>7465.78</v>
      </c>
      <c r="K252" s="20">
        <v>0</v>
      </c>
      <c r="L252" s="20">
        <v>114348.74</v>
      </c>
      <c r="M252" s="20">
        <v>6802.37</v>
      </c>
      <c r="N252" s="20">
        <v>107546.37</v>
      </c>
      <c r="O252" s="62">
        <f>N252*'FY2014 SUMMARY'!$B$3</f>
        <v>46795.924988286344</v>
      </c>
    </row>
    <row r="253" spans="1:15" x14ac:dyDescent="0.2">
      <c r="A253" s="25" t="s">
        <v>577</v>
      </c>
      <c r="B253" s="25" t="s">
        <v>578</v>
      </c>
      <c r="C253" s="25" t="s">
        <v>185</v>
      </c>
      <c r="D253" s="18" t="s">
        <v>27</v>
      </c>
      <c r="E253" s="19" t="s">
        <v>28</v>
      </c>
      <c r="F253" s="20">
        <v>4649.1000000000004</v>
      </c>
      <c r="G253" s="20">
        <v>980.51</v>
      </c>
      <c r="H253" s="20">
        <v>0</v>
      </c>
      <c r="I253" s="20">
        <v>0</v>
      </c>
      <c r="J253" s="20">
        <v>4457.12</v>
      </c>
      <c r="K253" s="20">
        <v>0</v>
      </c>
      <c r="L253" s="20">
        <v>9106.2199999999993</v>
      </c>
      <c r="M253" s="20">
        <v>3668.59</v>
      </c>
      <c r="N253" s="20">
        <v>5437.63</v>
      </c>
      <c r="O253" s="62">
        <f>N253*'FY2014 SUMMARY'!$B$3</f>
        <v>2366.0391847168389</v>
      </c>
    </row>
    <row r="254" spans="1:15" x14ac:dyDescent="0.2">
      <c r="A254" s="25" t="s">
        <v>579</v>
      </c>
      <c r="B254" s="25" t="s">
        <v>30</v>
      </c>
      <c r="C254" s="25" t="s">
        <v>185</v>
      </c>
      <c r="D254" s="18" t="s">
        <v>27</v>
      </c>
      <c r="E254" s="19" t="s">
        <v>28</v>
      </c>
      <c r="F254" s="20">
        <v>12486.3</v>
      </c>
      <c r="G254" s="20">
        <v>2497.2600000000002</v>
      </c>
      <c r="H254" s="20">
        <v>0</v>
      </c>
      <c r="I254" s="20">
        <v>0</v>
      </c>
      <c r="J254" s="20">
        <v>4457.12</v>
      </c>
      <c r="K254" s="20">
        <v>0</v>
      </c>
      <c r="L254" s="20">
        <v>16943.419999999998</v>
      </c>
      <c r="M254" s="20">
        <v>9989.0400000000009</v>
      </c>
      <c r="N254" s="20">
        <v>6954.38</v>
      </c>
      <c r="O254" s="62">
        <f>N254*'FY2014 SUMMARY'!$B$3</f>
        <v>3026.0123593203457</v>
      </c>
    </row>
    <row r="255" spans="1:15" ht="13.5" thickBot="1" x14ac:dyDescent="0.25">
      <c r="A255" s="72" t="s">
        <v>580</v>
      </c>
      <c r="B255" s="30" t="s">
        <v>31</v>
      </c>
      <c r="C255" s="30" t="s">
        <v>185</v>
      </c>
      <c r="D255" s="31" t="s">
        <v>27</v>
      </c>
      <c r="E255" s="32" t="s">
        <v>28</v>
      </c>
      <c r="F255" s="33">
        <v>20628.18</v>
      </c>
      <c r="G255" s="33">
        <v>4125.6400000000003</v>
      </c>
      <c r="H255" s="33">
        <v>0</v>
      </c>
      <c r="I255" s="33">
        <v>0</v>
      </c>
      <c r="J255" s="33">
        <v>4457.12</v>
      </c>
      <c r="K255" s="33">
        <v>0</v>
      </c>
      <c r="L255" s="33">
        <v>25085.3</v>
      </c>
      <c r="M255" s="33">
        <v>16502.54</v>
      </c>
      <c r="N255" s="33">
        <v>8582.76</v>
      </c>
      <c r="O255" s="62">
        <f>N255*'FY2014 SUMMARY'!$B$3</f>
        <v>3734.5583412295978</v>
      </c>
    </row>
    <row r="256" spans="1:15" x14ac:dyDescent="0.2">
      <c r="A256" s="76" t="s">
        <v>712</v>
      </c>
      <c r="N256" s="13">
        <f>SUM(N246:N255)</f>
        <v>176915.71000000002</v>
      </c>
      <c r="O256" s="13">
        <f>SUM(O246:O255)</f>
        <v>76980.136981001036</v>
      </c>
    </row>
    <row r="257" spans="1:15" x14ac:dyDescent="0.2">
      <c r="A257" s="36" t="s">
        <v>581</v>
      </c>
      <c r="B257" s="36"/>
      <c r="C257" s="38">
        <f>N267</f>
        <v>134056.07</v>
      </c>
    </row>
    <row r="258" spans="1:15" x14ac:dyDescent="0.2">
      <c r="A258" s="14" t="s">
        <v>175</v>
      </c>
      <c r="B258" s="14" t="s">
        <v>176</v>
      </c>
      <c r="C258" s="14" t="s">
        <v>177</v>
      </c>
      <c r="D258" s="15" t="s">
        <v>0</v>
      </c>
      <c r="E258" s="16" t="s">
        <v>178</v>
      </c>
      <c r="F258" s="15" t="s">
        <v>179</v>
      </c>
      <c r="G258" s="15" t="s">
        <v>180</v>
      </c>
      <c r="H258" s="15" t="s">
        <v>181</v>
      </c>
      <c r="I258" s="15" t="s">
        <v>183</v>
      </c>
      <c r="J258" s="15" t="s">
        <v>1</v>
      </c>
      <c r="K258" s="15" t="s">
        <v>2</v>
      </c>
      <c r="L258" s="15" t="s">
        <v>3</v>
      </c>
      <c r="M258" s="15" t="s">
        <v>184</v>
      </c>
      <c r="N258" s="15" t="s">
        <v>182</v>
      </c>
    </row>
    <row r="259" spans="1:15" x14ac:dyDescent="0.2">
      <c r="A259" s="25" t="s">
        <v>582</v>
      </c>
      <c r="B259" s="25" t="s">
        <v>53</v>
      </c>
      <c r="C259" s="25" t="s">
        <v>185</v>
      </c>
      <c r="D259" s="18" t="s">
        <v>54</v>
      </c>
      <c r="E259" s="19" t="s">
        <v>55</v>
      </c>
      <c r="F259" s="20">
        <v>31671.58</v>
      </c>
      <c r="G259" s="20">
        <v>8883.44</v>
      </c>
      <c r="H259" s="20">
        <v>0</v>
      </c>
      <c r="I259" s="20">
        <v>0</v>
      </c>
      <c r="J259" s="20">
        <v>8380.9500000000007</v>
      </c>
      <c r="K259" s="20">
        <v>0</v>
      </c>
      <c r="L259" s="20">
        <v>40052.53</v>
      </c>
      <c r="M259" s="20">
        <v>22788.14</v>
      </c>
      <c r="N259" s="20">
        <v>17264.39</v>
      </c>
      <c r="O259" s="62">
        <f>N259*'FY2014 SUMMARY'!$B$3</f>
        <v>7512.1373172197345</v>
      </c>
    </row>
    <row r="260" spans="1:15" x14ac:dyDescent="0.2">
      <c r="A260" s="28" t="s">
        <v>583</v>
      </c>
      <c r="B260" s="28" t="s">
        <v>56</v>
      </c>
      <c r="C260" s="28" t="s">
        <v>185</v>
      </c>
      <c r="D260" s="18" t="s">
        <v>54</v>
      </c>
      <c r="E260" s="19" t="s">
        <v>55</v>
      </c>
      <c r="F260" s="20">
        <v>28323.58</v>
      </c>
      <c r="G260" s="20">
        <v>8213.84</v>
      </c>
      <c r="H260" s="20">
        <v>0</v>
      </c>
      <c r="I260" s="20">
        <v>0</v>
      </c>
      <c r="J260" s="20">
        <v>8380.9500000000007</v>
      </c>
      <c r="K260" s="20">
        <v>0</v>
      </c>
      <c r="L260" s="20">
        <v>36704.53</v>
      </c>
      <c r="M260" s="20">
        <v>20109.740000000002</v>
      </c>
      <c r="N260" s="20">
        <v>16594.79</v>
      </c>
      <c r="O260" s="62">
        <f>N260*'FY2014 SUMMARY'!$B$3</f>
        <v>7220.7787955685017</v>
      </c>
    </row>
    <row r="261" spans="1:15" x14ac:dyDescent="0.2">
      <c r="A261" s="25" t="s">
        <v>584</v>
      </c>
      <c r="B261" s="25" t="s">
        <v>57</v>
      </c>
      <c r="C261" s="25" t="s">
        <v>185</v>
      </c>
      <c r="D261" s="18" t="s">
        <v>54</v>
      </c>
      <c r="E261" s="19" t="s">
        <v>55</v>
      </c>
      <c r="F261" s="20">
        <v>28323.58</v>
      </c>
      <c r="G261" s="20">
        <v>8213.84</v>
      </c>
      <c r="H261" s="20">
        <v>0</v>
      </c>
      <c r="I261" s="20">
        <v>0</v>
      </c>
      <c r="J261" s="20">
        <v>8380.9500000000007</v>
      </c>
      <c r="K261" s="20">
        <v>0</v>
      </c>
      <c r="L261" s="20">
        <v>36704.53</v>
      </c>
      <c r="M261" s="20">
        <v>20109.740000000002</v>
      </c>
      <c r="N261" s="20">
        <v>16594.79</v>
      </c>
      <c r="O261" s="62">
        <f>N261*'FY2014 SUMMARY'!$B$3</f>
        <v>7220.7787955685017</v>
      </c>
    </row>
    <row r="262" spans="1:15" x14ac:dyDescent="0.2">
      <c r="A262" s="28" t="s">
        <v>585</v>
      </c>
      <c r="B262" s="28" t="s">
        <v>58</v>
      </c>
      <c r="C262" s="28" t="s">
        <v>185</v>
      </c>
      <c r="D262" s="18" t="s">
        <v>54</v>
      </c>
      <c r="E262" s="19" t="s">
        <v>55</v>
      </c>
      <c r="F262" s="20">
        <v>28323.58</v>
      </c>
      <c r="G262" s="20">
        <v>8213.84</v>
      </c>
      <c r="H262" s="20">
        <v>0</v>
      </c>
      <c r="I262" s="20">
        <v>0</v>
      </c>
      <c r="J262" s="20">
        <v>8380.9500000000007</v>
      </c>
      <c r="K262" s="20">
        <v>0</v>
      </c>
      <c r="L262" s="20">
        <v>36704.53</v>
      </c>
      <c r="M262" s="20">
        <v>20109.740000000002</v>
      </c>
      <c r="N262" s="20">
        <v>16594.79</v>
      </c>
      <c r="O262" s="62">
        <f>N262*'FY2014 SUMMARY'!$B$3</f>
        <v>7220.7787955685017</v>
      </c>
    </row>
    <row r="263" spans="1:15" x14ac:dyDescent="0.2">
      <c r="A263" s="28" t="s">
        <v>586</v>
      </c>
      <c r="B263" s="28" t="s">
        <v>59</v>
      </c>
      <c r="C263" s="28" t="s">
        <v>185</v>
      </c>
      <c r="D263" s="18" t="s">
        <v>54</v>
      </c>
      <c r="E263" s="19" t="s">
        <v>55</v>
      </c>
      <c r="F263" s="20">
        <v>28898.98</v>
      </c>
      <c r="G263" s="20">
        <v>8357.69</v>
      </c>
      <c r="H263" s="20">
        <v>0</v>
      </c>
      <c r="I263" s="20">
        <v>0</v>
      </c>
      <c r="J263" s="20">
        <v>8380.9500000000007</v>
      </c>
      <c r="K263" s="20">
        <v>0</v>
      </c>
      <c r="L263" s="20">
        <v>37279.93</v>
      </c>
      <c r="M263" s="20">
        <v>20541.29</v>
      </c>
      <c r="N263" s="20">
        <v>16738.64</v>
      </c>
      <c r="O263" s="62">
        <f>N263*'FY2014 SUMMARY'!$B$3</f>
        <v>7283.3712736741318</v>
      </c>
    </row>
    <row r="264" spans="1:15" x14ac:dyDescent="0.2">
      <c r="A264" s="28" t="s">
        <v>587</v>
      </c>
      <c r="B264" s="28" t="s">
        <v>60</v>
      </c>
      <c r="C264" s="28" t="s">
        <v>185</v>
      </c>
      <c r="D264" s="18" t="s">
        <v>54</v>
      </c>
      <c r="E264" s="19" t="s">
        <v>55</v>
      </c>
      <c r="F264" s="20">
        <v>30075.58</v>
      </c>
      <c r="G264" s="20">
        <v>8690.48</v>
      </c>
      <c r="H264" s="20">
        <v>0</v>
      </c>
      <c r="I264" s="20">
        <v>0</v>
      </c>
      <c r="J264" s="20">
        <v>8380.9500000000007</v>
      </c>
      <c r="K264" s="20">
        <v>0</v>
      </c>
      <c r="L264" s="20">
        <v>38456.53</v>
      </c>
      <c r="M264" s="20">
        <v>21385.1</v>
      </c>
      <c r="N264" s="20">
        <v>17071.43</v>
      </c>
      <c r="O264" s="62">
        <f>N264*'FY2014 SUMMARY'!$B$3</f>
        <v>7428.1759367869063</v>
      </c>
    </row>
    <row r="265" spans="1:15" x14ac:dyDescent="0.2">
      <c r="A265" s="25" t="s">
        <v>588</v>
      </c>
      <c r="B265" s="25" t="s">
        <v>61</v>
      </c>
      <c r="C265" s="25" t="s">
        <v>185</v>
      </c>
      <c r="D265" s="18" t="s">
        <v>54</v>
      </c>
      <c r="E265" s="19" t="s">
        <v>55</v>
      </c>
      <c r="F265" s="20">
        <v>26145</v>
      </c>
      <c r="G265" s="20">
        <v>7843.5</v>
      </c>
      <c r="H265" s="20">
        <v>0</v>
      </c>
      <c r="I265" s="20">
        <v>0</v>
      </c>
      <c r="J265" s="20">
        <v>8380.9500000000007</v>
      </c>
      <c r="K265" s="20">
        <v>0</v>
      </c>
      <c r="L265" s="20">
        <v>34525.949999999997</v>
      </c>
      <c r="M265" s="20">
        <v>18301.5</v>
      </c>
      <c r="N265" s="20">
        <v>16224.45</v>
      </c>
      <c r="O265" s="62">
        <f>N265*'FY2014 SUMMARY'!$B$3</f>
        <v>7059.6352547854704</v>
      </c>
    </row>
    <row r="266" spans="1:15" ht="13.5" thickBot="1" x14ac:dyDescent="0.25">
      <c r="A266" s="30" t="s">
        <v>589</v>
      </c>
      <c r="B266" s="30" t="s">
        <v>62</v>
      </c>
      <c r="C266" s="30" t="s">
        <v>185</v>
      </c>
      <c r="D266" s="31" t="s">
        <v>54</v>
      </c>
      <c r="E266" s="32" t="s">
        <v>55</v>
      </c>
      <c r="F266" s="33">
        <v>29163.58</v>
      </c>
      <c r="G266" s="33">
        <v>8591.84</v>
      </c>
      <c r="H266" s="33">
        <v>0</v>
      </c>
      <c r="I266" s="33">
        <v>0</v>
      </c>
      <c r="J266" s="33">
        <v>8380.9500000000007</v>
      </c>
      <c r="K266" s="33">
        <v>0</v>
      </c>
      <c r="L266" s="33">
        <v>37544.53</v>
      </c>
      <c r="M266" s="33">
        <v>20571.740000000002</v>
      </c>
      <c r="N266" s="33">
        <v>16972.79</v>
      </c>
      <c r="O266" s="62">
        <f>N266*'FY2014 SUMMARY'!$B$3</f>
        <v>7385.2553803716173</v>
      </c>
    </row>
    <row r="267" spans="1:15" x14ac:dyDescent="0.2">
      <c r="A267" s="76" t="s">
        <v>712</v>
      </c>
      <c r="N267" s="13">
        <f>SUM(N259:N266)</f>
        <v>134056.07</v>
      </c>
      <c r="O267" s="13">
        <f>SUM(O259:O266)</f>
        <v>58330.911549543365</v>
      </c>
    </row>
    <row r="268" spans="1:15" x14ac:dyDescent="0.2">
      <c r="A268" s="36" t="s">
        <v>590</v>
      </c>
      <c r="B268" s="36"/>
      <c r="C268" s="38">
        <f>N297</f>
        <v>1033952.4199999999</v>
      </c>
    </row>
    <row r="269" spans="1:15" x14ac:dyDescent="0.2">
      <c r="A269" s="14" t="s">
        <v>175</v>
      </c>
      <c r="B269" s="14" t="s">
        <v>176</v>
      </c>
      <c r="C269" s="14" t="s">
        <v>177</v>
      </c>
      <c r="D269" s="15" t="s">
        <v>0</v>
      </c>
      <c r="E269" s="16" t="s">
        <v>178</v>
      </c>
      <c r="F269" s="15" t="s">
        <v>179</v>
      </c>
      <c r="G269" s="15" t="s">
        <v>180</v>
      </c>
      <c r="H269" s="15" t="s">
        <v>181</v>
      </c>
      <c r="I269" s="15" t="s">
        <v>183</v>
      </c>
      <c r="J269" s="15" t="s">
        <v>1</v>
      </c>
      <c r="K269" s="15" t="s">
        <v>2</v>
      </c>
      <c r="L269" s="15" t="s">
        <v>3</v>
      </c>
      <c r="M269" s="15" t="s">
        <v>184</v>
      </c>
      <c r="N269" s="15" t="s">
        <v>182</v>
      </c>
    </row>
    <row r="270" spans="1:15" x14ac:dyDescent="0.2">
      <c r="A270" s="25" t="s">
        <v>591</v>
      </c>
      <c r="B270" s="25" t="s">
        <v>592</v>
      </c>
      <c r="C270" s="25" t="s">
        <v>185</v>
      </c>
      <c r="D270" s="18" t="s">
        <v>129</v>
      </c>
      <c r="E270" s="19" t="s">
        <v>593</v>
      </c>
      <c r="F270" s="20">
        <v>28501.68</v>
      </c>
      <c r="G270" s="20">
        <v>9144.24</v>
      </c>
      <c r="H270" s="20"/>
      <c r="I270" s="20">
        <v>0</v>
      </c>
      <c r="J270" s="20">
        <v>10500</v>
      </c>
      <c r="K270" s="20">
        <v>5320.08</v>
      </c>
      <c r="L270" s="20">
        <v>44321.760000000002</v>
      </c>
      <c r="M270" s="20">
        <v>19357.439999999999</v>
      </c>
      <c r="N270" s="20">
        <v>24964.32</v>
      </c>
      <c r="O270" s="62">
        <f>N270*'FY2014 SUMMARY'!$B$3</f>
        <v>10862.555808286013</v>
      </c>
    </row>
    <row r="271" spans="1:15" x14ac:dyDescent="0.2">
      <c r="A271" s="25" t="s">
        <v>594</v>
      </c>
      <c r="B271" s="25" t="s">
        <v>595</v>
      </c>
      <c r="C271" s="25" t="s">
        <v>185</v>
      </c>
      <c r="D271" s="18" t="s">
        <v>129</v>
      </c>
      <c r="E271" s="19" t="s">
        <v>593</v>
      </c>
      <c r="F271" s="20">
        <v>391232.77</v>
      </c>
      <c r="G271" s="20">
        <v>125488.22</v>
      </c>
      <c r="H271" s="20"/>
      <c r="I271" s="20">
        <v>0</v>
      </c>
      <c r="J271" s="20">
        <v>10500</v>
      </c>
      <c r="K271" s="20"/>
      <c r="L271" s="20">
        <v>401732.77</v>
      </c>
      <c r="M271" s="20">
        <v>265744.55</v>
      </c>
      <c r="N271" s="20">
        <v>135988.22</v>
      </c>
      <c r="O271" s="62">
        <f>N271*'FY2014 SUMMARY'!$B$3</f>
        <v>59171.634918134208</v>
      </c>
    </row>
    <row r="272" spans="1:15" x14ac:dyDescent="0.2">
      <c r="A272" s="28" t="s">
        <v>596</v>
      </c>
      <c r="B272" s="28" t="s">
        <v>597</v>
      </c>
      <c r="C272" s="28" t="s">
        <v>185</v>
      </c>
      <c r="D272" s="18" t="s">
        <v>129</v>
      </c>
      <c r="E272" s="19" t="s">
        <v>593</v>
      </c>
      <c r="F272" s="20">
        <v>47169.11</v>
      </c>
      <c r="G272" s="20">
        <v>15457.39</v>
      </c>
      <c r="H272" s="20"/>
      <c r="I272" s="20">
        <v>0</v>
      </c>
      <c r="J272" s="20">
        <v>21000</v>
      </c>
      <c r="K272" s="20">
        <v>8704.32</v>
      </c>
      <c r="L272" s="20">
        <v>76873.429999999993</v>
      </c>
      <c r="M272" s="20">
        <v>31711.72</v>
      </c>
      <c r="N272" s="20">
        <v>45161.71</v>
      </c>
      <c r="O272" s="62">
        <f>N272*'FY2014 SUMMARY'!$B$3</f>
        <v>19650.909589070663</v>
      </c>
    </row>
    <row r="273" spans="1:15" x14ac:dyDescent="0.2">
      <c r="A273" s="28" t="s">
        <v>598</v>
      </c>
      <c r="B273" s="28" t="s">
        <v>599</v>
      </c>
      <c r="C273" s="28" t="s">
        <v>185</v>
      </c>
      <c r="D273" s="18" t="s">
        <v>129</v>
      </c>
      <c r="E273" s="19" t="s">
        <v>593</v>
      </c>
      <c r="F273" s="20">
        <v>50006.39</v>
      </c>
      <c r="G273" s="20">
        <v>17531.18</v>
      </c>
      <c r="H273" s="20">
        <v>0</v>
      </c>
      <c r="I273" s="20">
        <v>0</v>
      </c>
      <c r="J273" s="20">
        <v>10500</v>
      </c>
      <c r="K273" s="20">
        <v>5320.08</v>
      </c>
      <c r="L273" s="20">
        <v>65826.47</v>
      </c>
      <c r="M273" s="20">
        <v>32475.21</v>
      </c>
      <c r="N273" s="20">
        <v>33351.26</v>
      </c>
      <c r="O273" s="62">
        <f>N273*'FY2014 SUMMARY'!$B$3</f>
        <v>14511.908316615754</v>
      </c>
    </row>
    <row r="274" spans="1:15" x14ac:dyDescent="0.2">
      <c r="A274" s="25" t="s">
        <v>600</v>
      </c>
      <c r="B274" s="25" t="s">
        <v>601</v>
      </c>
      <c r="C274" s="25" t="s">
        <v>185</v>
      </c>
      <c r="D274" s="18" t="s">
        <v>129</v>
      </c>
      <c r="E274" s="19" t="s">
        <v>593</v>
      </c>
      <c r="F274" s="20">
        <v>36229.93</v>
      </c>
      <c r="G274" s="20">
        <v>12472.54</v>
      </c>
      <c r="H274" s="20"/>
      <c r="I274" s="20">
        <v>0</v>
      </c>
      <c r="J274" s="20">
        <v>10500</v>
      </c>
      <c r="K274" s="20">
        <v>5320.08</v>
      </c>
      <c r="L274" s="20">
        <v>52050.01</v>
      </c>
      <c r="M274" s="20">
        <v>23757.39</v>
      </c>
      <c r="N274" s="20">
        <v>28292.62</v>
      </c>
      <c r="O274" s="62">
        <f>N274*'FY2014 SUMMARY'!$B$3</f>
        <v>12310.776488709847</v>
      </c>
    </row>
    <row r="275" spans="1:15" x14ac:dyDescent="0.2">
      <c r="A275" s="25" t="s">
        <v>602</v>
      </c>
      <c r="B275" s="25" t="s">
        <v>603</v>
      </c>
      <c r="C275" s="25" t="s">
        <v>185</v>
      </c>
      <c r="D275" s="18" t="s">
        <v>129</v>
      </c>
      <c r="E275" s="19" t="s">
        <v>593</v>
      </c>
      <c r="F275" s="20">
        <v>32721.599999999999</v>
      </c>
      <c r="G275" s="20">
        <v>8505.32</v>
      </c>
      <c r="H275" s="20"/>
      <c r="I275" s="20">
        <v>0</v>
      </c>
      <c r="J275" s="20">
        <v>10500</v>
      </c>
      <c r="K275" s="20">
        <v>2260.08</v>
      </c>
      <c r="L275" s="20">
        <v>45481.68</v>
      </c>
      <c r="M275" s="20">
        <v>24216.28</v>
      </c>
      <c r="N275" s="20">
        <v>21265.4</v>
      </c>
      <c r="O275" s="62">
        <f>N275*'FY2014 SUMMARY'!$B$3</f>
        <v>9253.0697525718861</v>
      </c>
    </row>
    <row r="276" spans="1:15" x14ac:dyDescent="0.2">
      <c r="A276" s="28" t="s">
        <v>604</v>
      </c>
      <c r="B276" s="28" t="s">
        <v>605</v>
      </c>
      <c r="C276" s="28" t="s">
        <v>185</v>
      </c>
      <c r="D276" s="18" t="s">
        <v>129</v>
      </c>
      <c r="E276" s="19" t="s">
        <v>593</v>
      </c>
      <c r="F276" s="20">
        <v>28096.59</v>
      </c>
      <c r="G276" s="20">
        <v>9200.17</v>
      </c>
      <c r="H276" s="20"/>
      <c r="I276" s="20">
        <v>0</v>
      </c>
      <c r="J276" s="20">
        <v>10500</v>
      </c>
      <c r="K276" s="20">
        <v>3025.08</v>
      </c>
      <c r="L276" s="20">
        <v>41621.67</v>
      </c>
      <c r="M276" s="20">
        <v>18896.419999999998</v>
      </c>
      <c r="N276" s="20">
        <v>22725.25</v>
      </c>
      <c r="O276" s="62">
        <f>N276*'FY2014 SUMMARY'!$B$3</f>
        <v>9888.2844148068816</v>
      </c>
    </row>
    <row r="277" spans="1:15" x14ac:dyDescent="0.2">
      <c r="A277" s="28" t="s">
        <v>606</v>
      </c>
      <c r="B277" s="28" t="s">
        <v>607</v>
      </c>
      <c r="C277" s="28" t="s">
        <v>185</v>
      </c>
      <c r="D277" s="18" t="s">
        <v>129</v>
      </c>
      <c r="E277" s="19" t="s">
        <v>593</v>
      </c>
      <c r="F277" s="20">
        <v>62591.17</v>
      </c>
      <c r="G277" s="20">
        <v>23119.599999999999</v>
      </c>
      <c r="H277" s="20"/>
      <c r="I277" s="20">
        <v>0</v>
      </c>
      <c r="J277" s="20">
        <v>21000</v>
      </c>
      <c r="K277" s="20">
        <v>7580.04</v>
      </c>
      <c r="L277" s="20">
        <v>91171.21</v>
      </c>
      <c r="M277" s="20">
        <v>39471.57</v>
      </c>
      <c r="N277" s="20">
        <v>51699.64</v>
      </c>
      <c r="O277" s="62">
        <f>N277*'FY2014 SUMMARY'!$B$3</f>
        <v>22495.714875001438</v>
      </c>
    </row>
    <row r="278" spans="1:15" x14ac:dyDescent="0.2">
      <c r="A278" s="28" t="s">
        <v>608</v>
      </c>
      <c r="B278" s="28" t="s">
        <v>609</v>
      </c>
      <c r="C278" s="28" t="s">
        <v>185</v>
      </c>
      <c r="D278" s="18" t="s">
        <v>129</v>
      </c>
      <c r="E278" s="19" t="s">
        <v>593</v>
      </c>
      <c r="F278" s="20">
        <v>19874.97</v>
      </c>
      <c r="G278" s="20">
        <v>9881.41</v>
      </c>
      <c r="H278" s="20">
        <v>0</v>
      </c>
      <c r="I278" s="20">
        <v>0</v>
      </c>
      <c r="J278" s="20">
        <v>7500</v>
      </c>
      <c r="K278" s="20">
        <v>0</v>
      </c>
      <c r="L278" s="20">
        <v>27374.97</v>
      </c>
      <c r="M278" s="20">
        <v>9993.56</v>
      </c>
      <c r="N278" s="20">
        <v>17381.41</v>
      </c>
      <c r="O278" s="62">
        <f>N278*'FY2014 SUMMARY'!$B$3</f>
        <v>7563.0554387902657</v>
      </c>
    </row>
    <row r="279" spans="1:15" x14ac:dyDescent="0.2">
      <c r="A279" s="25" t="s">
        <v>610</v>
      </c>
      <c r="B279" s="25" t="s">
        <v>611</v>
      </c>
      <c r="C279" s="25" t="s">
        <v>185</v>
      </c>
      <c r="D279" s="18" t="s">
        <v>129</v>
      </c>
      <c r="E279" s="19" t="s">
        <v>593</v>
      </c>
      <c r="F279" s="20">
        <v>50207.32</v>
      </c>
      <c r="G279" s="20">
        <v>22232.95</v>
      </c>
      <c r="H279" s="20"/>
      <c r="I279" s="20">
        <v>0</v>
      </c>
      <c r="J279" s="20">
        <v>10500</v>
      </c>
      <c r="K279" s="20">
        <v>3535.08</v>
      </c>
      <c r="L279" s="20">
        <v>64242.400000000001</v>
      </c>
      <c r="M279" s="20">
        <v>27974.37</v>
      </c>
      <c r="N279" s="20">
        <v>36268.03</v>
      </c>
      <c r="O279" s="62">
        <f>N279*'FY2014 SUMMARY'!$B$3</f>
        <v>15781.0627299919</v>
      </c>
    </row>
    <row r="280" spans="1:15" x14ac:dyDescent="0.2">
      <c r="A280" s="28" t="s">
        <v>612</v>
      </c>
      <c r="B280" s="28" t="s">
        <v>613</v>
      </c>
      <c r="C280" s="28" t="s">
        <v>185</v>
      </c>
      <c r="D280" s="18" t="s">
        <v>129</v>
      </c>
      <c r="E280" s="19" t="s">
        <v>593</v>
      </c>
      <c r="F280" s="20">
        <v>23519.49</v>
      </c>
      <c r="G280" s="20">
        <v>7802.91</v>
      </c>
      <c r="H280" s="20"/>
      <c r="I280" s="20">
        <v>0</v>
      </c>
      <c r="J280" s="20">
        <v>10500</v>
      </c>
      <c r="K280" s="20">
        <v>2260.08</v>
      </c>
      <c r="L280" s="20">
        <v>36279.57</v>
      </c>
      <c r="M280" s="20">
        <v>15716.58</v>
      </c>
      <c r="N280" s="20">
        <v>20562.990000000002</v>
      </c>
      <c r="O280" s="62">
        <f>N280*'FY2014 SUMMARY'!$B$3</f>
        <v>8947.4348374090387</v>
      </c>
    </row>
    <row r="281" spans="1:15" x14ac:dyDescent="0.2">
      <c r="A281" s="28" t="s">
        <v>614</v>
      </c>
      <c r="B281" s="28" t="s">
        <v>615</v>
      </c>
      <c r="C281" s="28" t="s">
        <v>185</v>
      </c>
      <c r="D281" s="18" t="s">
        <v>129</v>
      </c>
      <c r="E281" s="19" t="s">
        <v>593</v>
      </c>
      <c r="F281" s="20">
        <v>33297.839999999997</v>
      </c>
      <c r="G281" s="20">
        <v>10683.03</v>
      </c>
      <c r="H281" s="20"/>
      <c r="I281" s="20">
        <v>0</v>
      </c>
      <c r="J281" s="20">
        <v>10500</v>
      </c>
      <c r="K281" s="20">
        <v>5320.08</v>
      </c>
      <c r="L281" s="20">
        <v>49117.919999999998</v>
      </c>
      <c r="M281" s="20">
        <v>22614.81</v>
      </c>
      <c r="N281" s="20">
        <v>26503.11</v>
      </c>
      <c r="O281" s="62">
        <f>N281*'FY2014 SUMMARY'!$B$3</f>
        <v>11532.119099103966</v>
      </c>
    </row>
    <row r="282" spans="1:15" x14ac:dyDescent="0.2">
      <c r="A282" s="25" t="s">
        <v>616</v>
      </c>
      <c r="B282" s="25" t="s">
        <v>617</v>
      </c>
      <c r="C282" s="25" t="s">
        <v>185</v>
      </c>
      <c r="D282" s="18" t="s">
        <v>129</v>
      </c>
      <c r="E282" s="19" t="s">
        <v>593</v>
      </c>
      <c r="F282" s="20">
        <v>54606.96</v>
      </c>
      <c r="G282" s="20">
        <v>18002.78</v>
      </c>
      <c r="H282" s="20"/>
      <c r="I282" s="20">
        <v>0</v>
      </c>
      <c r="J282" s="20">
        <v>10500</v>
      </c>
      <c r="K282" s="20">
        <v>5320.08</v>
      </c>
      <c r="L282" s="20">
        <v>70427.039999999994</v>
      </c>
      <c r="M282" s="20">
        <v>36604.18</v>
      </c>
      <c r="N282" s="20">
        <v>33822.86</v>
      </c>
      <c r="O282" s="62">
        <f>N282*'FY2014 SUMMARY'!$B$3</f>
        <v>14717.11243670345</v>
      </c>
    </row>
    <row r="283" spans="1:15" x14ac:dyDescent="0.2">
      <c r="A283" s="28" t="s">
        <v>618</v>
      </c>
      <c r="B283" s="28" t="s">
        <v>619</v>
      </c>
      <c r="C283" s="28" t="s">
        <v>185</v>
      </c>
      <c r="D283" s="18" t="s">
        <v>129</v>
      </c>
      <c r="E283" s="19" t="s">
        <v>593</v>
      </c>
      <c r="F283" s="20">
        <v>62279.49</v>
      </c>
      <c r="G283" s="20">
        <v>22749.29</v>
      </c>
      <c r="H283" s="20"/>
      <c r="I283" s="20">
        <v>0</v>
      </c>
      <c r="J283" s="20">
        <v>10500</v>
      </c>
      <c r="K283" s="20">
        <v>5320.08</v>
      </c>
      <c r="L283" s="20">
        <v>78099.570000000007</v>
      </c>
      <c r="M283" s="20">
        <v>39530.199999999997</v>
      </c>
      <c r="N283" s="20">
        <v>38569.370000000003</v>
      </c>
      <c r="O283" s="62">
        <f>N283*'FY2014 SUMMARY'!$B$3</f>
        <v>16782.429247639524</v>
      </c>
    </row>
    <row r="284" spans="1:15" x14ac:dyDescent="0.2">
      <c r="A284" s="25" t="s">
        <v>620</v>
      </c>
      <c r="B284" s="25" t="s">
        <v>621</v>
      </c>
      <c r="C284" s="25" t="s">
        <v>185</v>
      </c>
      <c r="D284" s="18" t="s">
        <v>129</v>
      </c>
      <c r="E284" s="19" t="s">
        <v>593</v>
      </c>
      <c r="F284" s="20">
        <v>41572.019999999997</v>
      </c>
      <c r="G284" s="20">
        <v>12970.43</v>
      </c>
      <c r="H284" s="20"/>
      <c r="I284" s="20">
        <v>0</v>
      </c>
      <c r="J284" s="20">
        <v>10500</v>
      </c>
      <c r="K284" s="20">
        <v>2260.08</v>
      </c>
      <c r="L284" s="20">
        <v>54332.1</v>
      </c>
      <c r="M284" s="20">
        <v>28601.59</v>
      </c>
      <c r="N284" s="20">
        <v>25730.51</v>
      </c>
      <c r="O284" s="62">
        <f>N284*'FY2014 SUMMARY'!$B$3</f>
        <v>11195.942883710084</v>
      </c>
    </row>
    <row r="285" spans="1:15" x14ac:dyDescent="0.2">
      <c r="A285" s="28" t="s">
        <v>622</v>
      </c>
      <c r="B285" s="28" t="s">
        <v>623</v>
      </c>
      <c r="C285" s="28" t="s">
        <v>185</v>
      </c>
      <c r="D285" s="18" t="s">
        <v>129</v>
      </c>
      <c r="E285" s="19" t="s">
        <v>593</v>
      </c>
      <c r="F285" s="20">
        <v>23660.52</v>
      </c>
      <c r="G285" s="20">
        <v>7566.06</v>
      </c>
      <c r="H285" s="20"/>
      <c r="I285" s="20">
        <v>0</v>
      </c>
      <c r="J285" s="20">
        <v>10500</v>
      </c>
      <c r="K285" s="20">
        <v>2260.08</v>
      </c>
      <c r="L285" s="20">
        <v>36420.6</v>
      </c>
      <c r="M285" s="20">
        <v>16094.46</v>
      </c>
      <c r="N285" s="20">
        <v>20326.14</v>
      </c>
      <c r="O285" s="62">
        <f>N285*'FY2014 SUMMARY'!$B$3</f>
        <v>8844.3758979629602</v>
      </c>
    </row>
    <row r="286" spans="1:15" x14ac:dyDescent="0.2">
      <c r="A286" s="25" t="s">
        <v>624</v>
      </c>
      <c r="B286" s="25" t="s">
        <v>625</v>
      </c>
      <c r="C286" s="25" t="s">
        <v>185</v>
      </c>
      <c r="D286" s="18" t="s">
        <v>129</v>
      </c>
      <c r="E286" s="19" t="s">
        <v>593</v>
      </c>
      <c r="F286" s="20">
        <v>49115.25</v>
      </c>
      <c r="G286" s="20">
        <v>15395.39</v>
      </c>
      <c r="H286" s="20"/>
      <c r="I286" s="20">
        <v>0</v>
      </c>
      <c r="J286" s="20">
        <v>10500</v>
      </c>
      <c r="K286" s="20">
        <v>2770.08</v>
      </c>
      <c r="L286" s="20">
        <v>62385.33</v>
      </c>
      <c r="M286" s="20">
        <v>33719.86</v>
      </c>
      <c r="N286" s="20">
        <v>28665.47</v>
      </c>
      <c r="O286" s="62">
        <f>N286*'FY2014 SUMMARY'!$B$3</f>
        <v>12473.012188825831</v>
      </c>
    </row>
    <row r="287" spans="1:15" x14ac:dyDescent="0.2">
      <c r="A287" s="25" t="s">
        <v>626</v>
      </c>
      <c r="B287" s="25" t="s">
        <v>627</v>
      </c>
      <c r="C287" s="25" t="s">
        <v>185</v>
      </c>
      <c r="D287" s="18" t="s">
        <v>129</v>
      </c>
      <c r="E287" s="19" t="s">
        <v>593</v>
      </c>
      <c r="F287" s="20">
        <v>132787.68</v>
      </c>
      <c r="G287" s="20">
        <v>37118.15</v>
      </c>
      <c r="H287" s="20"/>
      <c r="I287" s="20">
        <v>0</v>
      </c>
      <c r="J287" s="20">
        <v>10500</v>
      </c>
      <c r="K287" s="20">
        <v>2260.08</v>
      </c>
      <c r="L287" s="20">
        <v>145547.76</v>
      </c>
      <c r="M287" s="20">
        <v>95669.53</v>
      </c>
      <c r="N287" s="20">
        <v>49878.23</v>
      </c>
      <c r="O287" s="62">
        <f>N287*'FY2014 SUMMARY'!$B$3</f>
        <v>21703.177054032545</v>
      </c>
    </row>
    <row r="288" spans="1:15" x14ac:dyDescent="0.2">
      <c r="A288" s="25" t="s">
        <v>628</v>
      </c>
      <c r="B288" s="25" t="s">
        <v>629</v>
      </c>
      <c r="C288" s="25" t="s">
        <v>185</v>
      </c>
      <c r="D288" s="18" t="s">
        <v>129</v>
      </c>
      <c r="E288" s="19" t="s">
        <v>593</v>
      </c>
      <c r="F288" s="20">
        <v>53332.2</v>
      </c>
      <c r="G288" s="20">
        <v>15561.33</v>
      </c>
      <c r="H288" s="20"/>
      <c r="I288" s="20">
        <v>0</v>
      </c>
      <c r="J288" s="20">
        <v>10500</v>
      </c>
      <c r="K288" s="20">
        <v>5320.08</v>
      </c>
      <c r="L288" s="20">
        <v>69152.28</v>
      </c>
      <c r="M288" s="20">
        <v>37770.870000000003</v>
      </c>
      <c r="N288" s="20">
        <v>31381.41</v>
      </c>
      <c r="O288" s="62">
        <f>N288*'FY2014 SUMMARY'!$B$3</f>
        <v>13654.780801868619</v>
      </c>
    </row>
    <row r="289" spans="1:15" x14ac:dyDescent="0.2">
      <c r="A289" s="28" t="s">
        <v>630</v>
      </c>
      <c r="B289" s="28" t="s">
        <v>631</v>
      </c>
      <c r="C289" s="28" t="s">
        <v>185</v>
      </c>
      <c r="D289" s="18" t="s">
        <v>129</v>
      </c>
      <c r="E289" s="19" t="s">
        <v>593</v>
      </c>
      <c r="F289" s="20">
        <v>97902.44</v>
      </c>
      <c r="G289" s="20">
        <v>34464.69</v>
      </c>
      <c r="H289" s="20"/>
      <c r="I289" s="20">
        <v>0</v>
      </c>
      <c r="J289" s="20">
        <v>10500</v>
      </c>
      <c r="K289" s="20">
        <v>5320.08</v>
      </c>
      <c r="L289" s="20">
        <v>113722.52</v>
      </c>
      <c r="M289" s="20">
        <v>63437.75</v>
      </c>
      <c r="N289" s="20">
        <v>50284.77</v>
      </c>
      <c r="O289" s="62">
        <f>N289*'FY2014 SUMMARY'!$B$3</f>
        <v>21880.072056111534</v>
      </c>
    </row>
    <row r="290" spans="1:15" x14ac:dyDescent="0.2">
      <c r="A290" s="28" t="s">
        <v>632</v>
      </c>
      <c r="B290" s="28" t="s">
        <v>633</v>
      </c>
      <c r="C290" s="28" t="s">
        <v>185</v>
      </c>
      <c r="D290" s="18" t="s">
        <v>129</v>
      </c>
      <c r="E290" s="19" t="s">
        <v>593</v>
      </c>
      <c r="F290" s="20">
        <v>51812.54</v>
      </c>
      <c r="G290" s="20">
        <v>17716.16</v>
      </c>
      <c r="H290" s="20"/>
      <c r="I290" s="20">
        <v>0</v>
      </c>
      <c r="J290" s="20">
        <v>10500</v>
      </c>
      <c r="K290" s="20">
        <v>2260.08</v>
      </c>
      <c r="L290" s="20">
        <v>64572.62</v>
      </c>
      <c r="M290" s="20">
        <v>34096.379999999997</v>
      </c>
      <c r="N290" s="20">
        <v>30476.240000000002</v>
      </c>
      <c r="O290" s="62">
        <f>N290*'FY2014 SUMMARY'!$B$3</f>
        <v>13260.920298518788</v>
      </c>
    </row>
    <row r="291" spans="1:15" x14ac:dyDescent="0.2">
      <c r="A291" s="28" t="s">
        <v>634</v>
      </c>
      <c r="B291" s="28" t="s">
        <v>635</v>
      </c>
      <c r="C291" s="28" t="s">
        <v>185</v>
      </c>
      <c r="D291" s="18" t="s">
        <v>129</v>
      </c>
      <c r="E291" s="19" t="s">
        <v>593</v>
      </c>
      <c r="F291" s="20">
        <v>40065.24</v>
      </c>
      <c r="G291" s="20">
        <v>12752.81</v>
      </c>
      <c r="H291" s="20"/>
      <c r="I291" s="20">
        <v>0</v>
      </c>
      <c r="J291" s="20">
        <v>10500</v>
      </c>
      <c r="K291" s="20">
        <v>5320.08</v>
      </c>
      <c r="L291" s="20">
        <v>55885.32</v>
      </c>
      <c r="M291" s="20">
        <v>27312.43</v>
      </c>
      <c r="N291" s="20">
        <v>28572.89</v>
      </c>
      <c r="O291" s="62">
        <f>N291*'FY2014 SUMMARY'!$B$3</f>
        <v>12432.728479246274</v>
      </c>
    </row>
    <row r="292" spans="1:15" x14ac:dyDescent="0.2">
      <c r="A292" s="25" t="s">
        <v>636</v>
      </c>
      <c r="B292" s="25" t="s">
        <v>637</v>
      </c>
      <c r="C292" s="25" t="s">
        <v>185</v>
      </c>
      <c r="D292" s="18" t="s">
        <v>129</v>
      </c>
      <c r="E292" s="19" t="s">
        <v>593</v>
      </c>
      <c r="F292" s="20">
        <v>56915.15</v>
      </c>
      <c r="G292" s="20">
        <v>16596.23</v>
      </c>
      <c r="H292" s="20"/>
      <c r="I292" s="20">
        <v>0</v>
      </c>
      <c r="J292" s="20">
        <v>10500</v>
      </c>
      <c r="K292" s="20">
        <v>2770.08</v>
      </c>
      <c r="L292" s="20">
        <v>70185.23</v>
      </c>
      <c r="M292" s="20">
        <v>40318.92</v>
      </c>
      <c r="N292" s="20">
        <v>29866.31</v>
      </c>
      <c r="O292" s="62">
        <f>N292*'FY2014 SUMMARY'!$B$3</f>
        <v>12995.525580611475</v>
      </c>
    </row>
    <row r="293" spans="1:15" x14ac:dyDescent="0.2">
      <c r="A293" s="28" t="s">
        <v>638</v>
      </c>
      <c r="B293" s="28" t="s">
        <v>639</v>
      </c>
      <c r="C293" s="28" t="s">
        <v>185</v>
      </c>
      <c r="D293" s="18" t="s">
        <v>129</v>
      </c>
      <c r="E293" s="19" t="s">
        <v>593</v>
      </c>
      <c r="F293" s="20">
        <v>42485.85</v>
      </c>
      <c r="G293" s="20">
        <v>13595.54</v>
      </c>
      <c r="H293" s="20"/>
      <c r="I293" s="20">
        <v>0</v>
      </c>
      <c r="J293" s="20">
        <v>10500</v>
      </c>
      <c r="K293" s="20">
        <v>2770.08</v>
      </c>
      <c r="L293" s="20">
        <v>55755.93</v>
      </c>
      <c r="M293" s="20">
        <v>28890.31</v>
      </c>
      <c r="N293" s="20">
        <v>26865.62</v>
      </c>
      <c r="O293" s="62">
        <f>N293*'FY2014 SUMMARY'!$B$3</f>
        <v>11689.855624916076</v>
      </c>
    </row>
    <row r="294" spans="1:15" x14ac:dyDescent="0.2">
      <c r="A294" s="25" t="s">
        <v>640</v>
      </c>
      <c r="B294" s="25" t="s">
        <v>641</v>
      </c>
      <c r="C294" s="25" t="s">
        <v>185</v>
      </c>
      <c r="D294" s="18" t="s">
        <v>129</v>
      </c>
      <c r="E294" s="19" t="s">
        <v>593</v>
      </c>
      <c r="F294" s="20">
        <v>67733.84</v>
      </c>
      <c r="G294" s="20">
        <v>20662.37</v>
      </c>
      <c r="H294" s="20"/>
      <c r="I294" s="20">
        <v>0</v>
      </c>
      <c r="J294" s="20">
        <v>10500</v>
      </c>
      <c r="K294" s="20">
        <v>5320.08</v>
      </c>
      <c r="L294" s="20">
        <v>83553.919999999998</v>
      </c>
      <c r="M294" s="20">
        <v>47071.47</v>
      </c>
      <c r="N294" s="20">
        <v>36482.449999999997</v>
      </c>
      <c r="O294" s="62">
        <f>N294*'FY2014 SUMMARY'!$B$3</f>
        <v>15874.361855159847</v>
      </c>
    </row>
    <row r="295" spans="1:15" x14ac:dyDescent="0.2">
      <c r="A295" s="25" t="s">
        <v>642</v>
      </c>
      <c r="B295" s="25" t="s">
        <v>643</v>
      </c>
      <c r="C295" s="25" t="s">
        <v>185</v>
      </c>
      <c r="D295" s="18" t="s">
        <v>129</v>
      </c>
      <c r="E295" s="19" t="s">
        <v>593</v>
      </c>
      <c r="F295" s="20">
        <v>333994.43</v>
      </c>
      <c r="G295" s="20">
        <v>104441.62</v>
      </c>
      <c r="H295" s="20"/>
      <c r="I295" s="20">
        <v>0</v>
      </c>
      <c r="J295" s="20">
        <v>10500</v>
      </c>
      <c r="K295" s="20">
        <v>5320.08</v>
      </c>
      <c r="L295" s="20">
        <v>349814.51</v>
      </c>
      <c r="M295" s="20">
        <v>229552.81</v>
      </c>
      <c r="N295" s="20">
        <v>120261.7</v>
      </c>
      <c r="O295" s="62">
        <f>N295*'FY2014 SUMMARY'!$B$3</f>
        <v>52328.660578351424</v>
      </c>
    </row>
    <row r="296" spans="1:15" ht="13.5" thickBot="1" x14ac:dyDescent="0.25">
      <c r="A296" s="35" t="s">
        <v>644</v>
      </c>
      <c r="B296" s="35" t="s">
        <v>645</v>
      </c>
      <c r="C296" s="35" t="s">
        <v>458</v>
      </c>
      <c r="D296" s="31" t="s">
        <v>129</v>
      </c>
      <c r="E296" s="32" t="s">
        <v>593</v>
      </c>
      <c r="F296" s="33">
        <v>10245.6</v>
      </c>
      <c r="G296" s="33">
        <v>9825.6</v>
      </c>
      <c r="H296" s="33">
        <v>8778.89</v>
      </c>
      <c r="I296" s="33">
        <v>8778.89</v>
      </c>
      <c r="J296" s="33">
        <v>0</v>
      </c>
      <c r="K296" s="33">
        <v>0</v>
      </c>
      <c r="L296" s="33">
        <v>19024.490000000002</v>
      </c>
      <c r="M296" s="33">
        <v>420</v>
      </c>
      <c r="N296" s="33">
        <v>18604.490000000002</v>
      </c>
      <c r="O296" s="62">
        <f>N296*'FY2014 SUMMARY'!$B$3</f>
        <v>8095.2459714383995</v>
      </c>
    </row>
    <row r="297" spans="1:15" x14ac:dyDescent="0.2">
      <c r="A297" s="76" t="s">
        <v>712</v>
      </c>
      <c r="N297" s="13">
        <f>SUM(N270:N296)</f>
        <v>1033952.4199999999</v>
      </c>
      <c r="O297" s="13">
        <f>SUM(O270:O296)</f>
        <v>449896.72722358868</v>
      </c>
    </row>
    <row r="298" spans="1:15" x14ac:dyDescent="0.2">
      <c r="A298" s="36" t="s">
        <v>646</v>
      </c>
      <c r="B298" s="36"/>
      <c r="C298" s="38">
        <f>N311</f>
        <v>430561</v>
      </c>
    </row>
    <row r="299" spans="1:15" x14ac:dyDescent="0.2">
      <c r="A299" s="14" t="s">
        <v>175</v>
      </c>
      <c r="B299" s="14" t="s">
        <v>176</v>
      </c>
      <c r="C299" s="14" t="s">
        <v>177</v>
      </c>
      <c r="D299" s="15" t="s">
        <v>0</v>
      </c>
      <c r="E299" s="16" t="s">
        <v>178</v>
      </c>
      <c r="F299" s="15" t="s">
        <v>179</v>
      </c>
      <c r="G299" s="15" t="s">
        <v>180</v>
      </c>
      <c r="H299" s="15" t="s">
        <v>181</v>
      </c>
      <c r="I299" s="15" t="s">
        <v>183</v>
      </c>
      <c r="J299" s="15" t="s">
        <v>1</v>
      </c>
      <c r="K299" s="15" t="s">
        <v>2</v>
      </c>
      <c r="L299" s="15" t="s">
        <v>3</v>
      </c>
      <c r="M299" s="15" t="s">
        <v>184</v>
      </c>
      <c r="N299" s="15" t="s">
        <v>182</v>
      </c>
    </row>
    <row r="300" spans="1:15" x14ac:dyDescent="0.2">
      <c r="A300" s="28" t="s">
        <v>647</v>
      </c>
      <c r="B300" s="28" t="s">
        <v>41</v>
      </c>
      <c r="C300" s="28" t="s">
        <v>185</v>
      </c>
      <c r="D300" s="18" t="s">
        <v>42</v>
      </c>
      <c r="E300" s="19" t="s">
        <v>43</v>
      </c>
      <c r="F300" s="20">
        <v>31023</v>
      </c>
      <c r="G300" s="20">
        <v>12409</v>
      </c>
      <c r="H300" s="20">
        <v>0</v>
      </c>
      <c r="I300" s="20">
        <v>0</v>
      </c>
      <c r="J300" s="20">
        <v>17070</v>
      </c>
      <c r="K300" s="20">
        <v>350</v>
      </c>
      <c r="L300" s="20">
        <v>48443</v>
      </c>
      <c r="M300" s="20">
        <v>18614</v>
      </c>
      <c r="N300" s="20">
        <v>29829</v>
      </c>
      <c r="O300" s="62">
        <f>N300*'FY2014 SUMMARY'!$B$3</f>
        <v>12979.291132518871</v>
      </c>
    </row>
    <row r="301" spans="1:15" x14ac:dyDescent="0.2">
      <c r="A301" s="28" t="s">
        <v>648</v>
      </c>
      <c r="B301" s="28" t="s">
        <v>44</v>
      </c>
      <c r="C301" s="28" t="s">
        <v>185</v>
      </c>
      <c r="D301" s="18" t="s">
        <v>42</v>
      </c>
      <c r="E301" s="19" t="s">
        <v>43</v>
      </c>
      <c r="F301" s="20">
        <v>200645</v>
      </c>
      <c r="G301" s="20">
        <v>46148</v>
      </c>
      <c r="H301" s="20">
        <v>0</v>
      </c>
      <c r="I301" s="20">
        <v>0</v>
      </c>
      <c r="J301" s="20">
        <v>17070</v>
      </c>
      <c r="K301" s="20">
        <v>350</v>
      </c>
      <c r="L301" s="20">
        <v>218065</v>
      </c>
      <c r="M301" s="20">
        <v>154497</v>
      </c>
      <c r="N301" s="20">
        <v>63568</v>
      </c>
      <c r="O301" s="62">
        <f>N301*'FY2014 SUMMARY'!$B$3</f>
        <v>27659.91413429748</v>
      </c>
    </row>
    <row r="302" spans="1:15" x14ac:dyDescent="0.2">
      <c r="A302" s="28" t="s">
        <v>649</v>
      </c>
      <c r="B302" s="28" t="s">
        <v>45</v>
      </c>
      <c r="C302" s="28" t="s">
        <v>185</v>
      </c>
      <c r="D302" s="18" t="s">
        <v>42</v>
      </c>
      <c r="E302" s="19" t="s">
        <v>43</v>
      </c>
      <c r="F302" s="20">
        <v>38135</v>
      </c>
      <c r="G302" s="20">
        <v>14491</v>
      </c>
      <c r="H302" s="20">
        <v>0</v>
      </c>
      <c r="I302" s="20">
        <v>0</v>
      </c>
      <c r="J302" s="20">
        <v>17070</v>
      </c>
      <c r="K302" s="20">
        <v>350</v>
      </c>
      <c r="L302" s="20">
        <v>55555</v>
      </c>
      <c r="M302" s="20">
        <v>23644</v>
      </c>
      <c r="N302" s="20">
        <v>31911</v>
      </c>
      <c r="O302" s="62">
        <f>N302*'FY2014 SUMMARY'!$B$3</f>
        <v>13885.217718656666</v>
      </c>
    </row>
    <row r="303" spans="1:15" x14ac:dyDescent="0.2">
      <c r="A303" s="28" t="s">
        <v>650</v>
      </c>
      <c r="B303" s="28" t="s">
        <v>46</v>
      </c>
      <c r="C303" s="28" t="s">
        <v>185</v>
      </c>
      <c r="D303" s="18" t="s">
        <v>42</v>
      </c>
      <c r="E303" s="19" t="s">
        <v>43</v>
      </c>
      <c r="F303" s="20">
        <v>29613</v>
      </c>
      <c r="G303" s="20">
        <v>11845</v>
      </c>
      <c r="H303" s="20">
        <v>0</v>
      </c>
      <c r="I303" s="20">
        <v>0</v>
      </c>
      <c r="J303" s="20">
        <v>17070</v>
      </c>
      <c r="K303" s="20">
        <v>350</v>
      </c>
      <c r="L303" s="20">
        <v>47033</v>
      </c>
      <c r="M303" s="20">
        <v>17768</v>
      </c>
      <c r="N303" s="20">
        <v>29265</v>
      </c>
      <c r="O303" s="62">
        <f>N303*'FY2014 SUMMARY'!$B$3</f>
        <v>12733.881625034857</v>
      </c>
    </row>
    <row r="304" spans="1:15" x14ac:dyDescent="0.2">
      <c r="A304" s="28" t="s">
        <v>651</v>
      </c>
      <c r="B304" s="28" t="s">
        <v>47</v>
      </c>
      <c r="C304" s="28" t="s">
        <v>185</v>
      </c>
      <c r="D304" s="18" t="s">
        <v>42</v>
      </c>
      <c r="E304" s="19" t="s">
        <v>43</v>
      </c>
      <c r="F304" s="20">
        <v>29613</v>
      </c>
      <c r="G304" s="20">
        <v>8884</v>
      </c>
      <c r="H304" s="20">
        <v>33179</v>
      </c>
      <c r="I304" s="20">
        <v>33179</v>
      </c>
      <c r="J304" s="20">
        <v>17070</v>
      </c>
      <c r="K304" s="20">
        <v>350</v>
      </c>
      <c r="L304" s="20">
        <v>80212</v>
      </c>
      <c r="M304" s="20">
        <v>20729</v>
      </c>
      <c r="N304" s="20">
        <v>59483</v>
      </c>
      <c r="O304" s="62">
        <f>N304*'FY2014 SUMMARY'!$B$3</f>
        <v>25882.435697999263</v>
      </c>
    </row>
    <row r="305" spans="1:15" x14ac:dyDescent="0.2">
      <c r="A305" s="25" t="s">
        <v>652</v>
      </c>
      <c r="B305" s="25" t="s">
        <v>48</v>
      </c>
      <c r="C305" s="25" t="s">
        <v>185</v>
      </c>
      <c r="D305" s="18" t="s">
        <v>42</v>
      </c>
      <c r="E305" s="19" t="s">
        <v>43</v>
      </c>
      <c r="F305" s="20">
        <v>34613</v>
      </c>
      <c r="G305" s="20">
        <v>12115</v>
      </c>
      <c r="H305" s="20">
        <v>0</v>
      </c>
      <c r="I305" s="20">
        <v>0</v>
      </c>
      <c r="J305" s="20">
        <v>17070</v>
      </c>
      <c r="K305" s="20">
        <v>350</v>
      </c>
      <c r="L305" s="20">
        <v>52033</v>
      </c>
      <c r="M305" s="20">
        <v>22498</v>
      </c>
      <c r="N305" s="20">
        <v>29535</v>
      </c>
      <c r="O305" s="62">
        <f>N305*'FY2014 SUMMARY'!$B$3</f>
        <v>12851.364899894226</v>
      </c>
    </row>
    <row r="306" spans="1:15" x14ac:dyDescent="0.2">
      <c r="A306" s="28" t="s">
        <v>653</v>
      </c>
      <c r="B306" s="28" t="s">
        <v>49</v>
      </c>
      <c r="C306" s="28" t="s">
        <v>185</v>
      </c>
      <c r="D306" s="18" t="s">
        <v>42</v>
      </c>
      <c r="E306" s="19" t="s">
        <v>43</v>
      </c>
      <c r="F306" s="20">
        <v>29613</v>
      </c>
      <c r="G306" s="20">
        <v>11845</v>
      </c>
      <c r="H306" s="20">
        <v>945</v>
      </c>
      <c r="I306" s="20">
        <v>945</v>
      </c>
      <c r="J306" s="20">
        <v>17070</v>
      </c>
      <c r="K306" s="20">
        <v>350</v>
      </c>
      <c r="L306" s="20">
        <v>47978</v>
      </c>
      <c r="M306" s="20">
        <v>17768</v>
      </c>
      <c r="N306" s="20">
        <v>30210</v>
      </c>
      <c r="O306" s="62">
        <f>N306*'FY2014 SUMMARY'!$B$3</f>
        <v>13145.073087042647</v>
      </c>
    </row>
    <row r="307" spans="1:15" x14ac:dyDescent="0.2">
      <c r="A307" s="25" t="s">
        <v>654</v>
      </c>
      <c r="B307" s="25" t="s">
        <v>50</v>
      </c>
      <c r="C307" s="25" t="s">
        <v>185</v>
      </c>
      <c r="D307" s="18" t="s">
        <v>42</v>
      </c>
      <c r="E307" s="19" t="s">
        <v>43</v>
      </c>
      <c r="F307" s="20">
        <v>45213</v>
      </c>
      <c r="G307" s="20">
        <v>16525</v>
      </c>
      <c r="H307" s="20">
        <v>0</v>
      </c>
      <c r="I307" s="20">
        <v>0</v>
      </c>
      <c r="J307" s="20">
        <v>17070</v>
      </c>
      <c r="K307" s="20">
        <v>350</v>
      </c>
      <c r="L307" s="20">
        <v>62633</v>
      </c>
      <c r="M307" s="20">
        <v>28688</v>
      </c>
      <c r="N307" s="20">
        <v>33945</v>
      </c>
      <c r="O307" s="62">
        <f>N307*'FY2014 SUMMARY'!$B$3</f>
        <v>14770.258389263907</v>
      </c>
    </row>
    <row r="308" spans="1:15" x14ac:dyDescent="0.2">
      <c r="A308" s="28" t="s">
        <v>655</v>
      </c>
      <c r="B308" s="28" t="s">
        <v>656</v>
      </c>
      <c r="C308" s="28" t="s">
        <v>185</v>
      </c>
      <c r="D308" s="18" t="s">
        <v>42</v>
      </c>
      <c r="E308" s="19" t="s">
        <v>43</v>
      </c>
      <c r="F308" s="20">
        <v>29613</v>
      </c>
      <c r="G308" s="20">
        <v>10068</v>
      </c>
      <c r="H308" s="20">
        <v>21118</v>
      </c>
      <c r="I308" s="20">
        <v>21118</v>
      </c>
      <c r="J308" s="20">
        <v>17070</v>
      </c>
      <c r="K308" s="20">
        <v>350</v>
      </c>
      <c r="L308" s="20">
        <v>68151</v>
      </c>
      <c r="M308" s="20">
        <v>19545</v>
      </c>
      <c r="N308" s="20">
        <v>48606</v>
      </c>
      <c r="O308" s="62">
        <f>N308*'FY2014 SUMMARY'!$B$3</f>
        <v>21149.6002141276</v>
      </c>
    </row>
    <row r="309" spans="1:15" x14ac:dyDescent="0.2">
      <c r="A309" s="28" t="s">
        <v>657</v>
      </c>
      <c r="B309" s="28" t="s">
        <v>51</v>
      </c>
      <c r="C309" s="28" t="s">
        <v>185</v>
      </c>
      <c r="D309" s="18" t="s">
        <v>42</v>
      </c>
      <c r="E309" s="19" t="s">
        <v>43</v>
      </c>
      <c r="F309" s="20">
        <v>44013</v>
      </c>
      <c r="G309" s="20">
        <v>16309</v>
      </c>
      <c r="H309" s="20">
        <v>0</v>
      </c>
      <c r="I309" s="20">
        <v>0</v>
      </c>
      <c r="J309" s="20">
        <v>17070</v>
      </c>
      <c r="K309" s="20">
        <v>350</v>
      </c>
      <c r="L309" s="20">
        <v>61433</v>
      </c>
      <c r="M309" s="20">
        <v>27704</v>
      </c>
      <c r="N309" s="20">
        <v>33729</v>
      </c>
      <c r="O309" s="62">
        <f>N309*'FY2014 SUMMARY'!$B$3</f>
        <v>14676.271769376412</v>
      </c>
    </row>
    <row r="310" spans="1:15" ht="13.5" thickBot="1" x14ac:dyDescent="0.25">
      <c r="A310" s="35" t="s">
        <v>658</v>
      </c>
      <c r="B310" s="35" t="s">
        <v>52</v>
      </c>
      <c r="C310" s="35" t="s">
        <v>185</v>
      </c>
      <c r="D310" s="31" t="s">
        <v>42</v>
      </c>
      <c r="E310" s="32" t="s">
        <v>43</v>
      </c>
      <c r="F310" s="33">
        <v>63597</v>
      </c>
      <c r="G310" s="33">
        <v>23060</v>
      </c>
      <c r="H310" s="33">
        <v>0</v>
      </c>
      <c r="I310" s="33">
        <v>0</v>
      </c>
      <c r="J310" s="33">
        <v>17070</v>
      </c>
      <c r="K310" s="33">
        <v>350</v>
      </c>
      <c r="L310" s="33">
        <v>81017</v>
      </c>
      <c r="M310" s="33">
        <v>40537</v>
      </c>
      <c r="N310" s="33">
        <v>40480</v>
      </c>
      <c r="O310" s="62">
        <f>N310*'FY2014 SUMMARY'!$B$3</f>
        <v>17613.788764100838</v>
      </c>
    </row>
    <row r="311" spans="1:15" x14ac:dyDescent="0.2">
      <c r="A311" s="76" t="s">
        <v>712</v>
      </c>
      <c r="N311" s="13">
        <f>SUM(N300:N310)</f>
        <v>430561</v>
      </c>
      <c r="O311" s="13">
        <f>SUM(O300:O310)</f>
        <v>187347.09743231276</v>
      </c>
    </row>
    <row r="312" spans="1:15" x14ac:dyDescent="0.2">
      <c r="A312" s="36" t="s">
        <v>659</v>
      </c>
      <c r="B312" s="36"/>
      <c r="C312" s="38">
        <f>N317</f>
        <v>98400</v>
      </c>
    </row>
    <row r="313" spans="1:15" x14ac:dyDescent="0.2">
      <c r="A313" s="14" t="s">
        <v>175</v>
      </c>
      <c r="B313" s="14" t="s">
        <v>176</v>
      </c>
      <c r="C313" s="14" t="s">
        <v>177</v>
      </c>
      <c r="D313" s="15" t="s">
        <v>0</v>
      </c>
      <c r="E313" s="16" t="s">
        <v>178</v>
      </c>
      <c r="F313" s="15" t="s">
        <v>179</v>
      </c>
      <c r="G313" s="15" t="s">
        <v>180</v>
      </c>
      <c r="H313" s="15" t="s">
        <v>181</v>
      </c>
      <c r="I313" s="15" t="s">
        <v>183</v>
      </c>
      <c r="J313" s="15" t="s">
        <v>1</v>
      </c>
      <c r="K313" s="15" t="s">
        <v>2</v>
      </c>
      <c r="L313" s="15" t="s">
        <v>3</v>
      </c>
      <c r="M313" s="15" t="s">
        <v>184</v>
      </c>
      <c r="N313" s="15" t="s">
        <v>182</v>
      </c>
    </row>
    <row r="314" spans="1:15" x14ac:dyDescent="0.2">
      <c r="A314" s="28" t="s">
        <v>660</v>
      </c>
      <c r="B314" s="28" t="s">
        <v>130</v>
      </c>
      <c r="C314" s="28" t="s">
        <v>185</v>
      </c>
      <c r="D314" s="18" t="s">
        <v>131</v>
      </c>
      <c r="E314" s="19" t="s">
        <v>132</v>
      </c>
      <c r="F314" s="20">
        <v>69600</v>
      </c>
      <c r="G314" s="20">
        <v>27840</v>
      </c>
      <c r="H314" s="20">
        <v>0</v>
      </c>
      <c r="I314" s="20">
        <v>0</v>
      </c>
      <c r="J314" s="20">
        <v>0</v>
      </c>
      <c r="K314" s="20">
        <v>0</v>
      </c>
      <c r="L314" s="20">
        <v>69600</v>
      </c>
      <c r="M314" s="20">
        <v>41760</v>
      </c>
      <c r="N314" s="20">
        <v>27840</v>
      </c>
      <c r="O314" s="62">
        <f>N314*'FY2014 SUMMARY'!$B$3</f>
        <v>12113.831007721525</v>
      </c>
    </row>
    <row r="315" spans="1:15" x14ac:dyDescent="0.2">
      <c r="A315" s="25" t="s">
        <v>661</v>
      </c>
      <c r="B315" s="25" t="s">
        <v>133</v>
      </c>
      <c r="C315" s="25" t="s">
        <v>185</v>
      </c>
      <c r="D315" s="18" t="s">
        <v>131</v>
      </c>
      <c r="E315" s="19" t="s">
        <v>132</v>
      </c>
      <c r="F315" s="20">
        <v>96000</v>
      </c>
      <c r="G315" s="20">
        <v>33600</v>
      </c>
      <c r="H315" s="20">
        <v>0</v>
      </c>
      <c r="I315" s="20">
        <v>0</v>
      </c>
      <c r="J315" s="20">
        <v>0</v>
      </c>
      <c r="K315" s="20">
        <v>0</v>
      </c>
      <c r="L315" s="20">
        <v>96000</v>
      </c>
      <c r="M315" s="20">
        <v>62400</v>
      </c>
      <c r="N315" s="20">
        <v>33600</v>
      </c>
      <c r="O315" s="62">
        <f>N315*'FY2014 SUMMARY'!$B$3</f>
        <v>14620.140871388046</v>
      </c>
    </row>
    <row r="316" spans="1:15" ht="13.5" thickBot="1" x14ac:dyDescent="0.25">
      <c r="A316" s="30" t="s">
        <v>662</v>
      </c>
      <c r="B316" s="30" t="s">
        <v>134</v>
      </c>
      <c r="C316" s="30" t="s">
        <v>185</v>
      </c>
      <c r="D316" s="31" t="s">
        <v>131</v>
      </c>
      <c r="E316" s="32" t="s">
        <v>132</v>
      </c>
      <c r="F316" s="33">
        <v>92400</v>
      </c>
      <c r="G316" s="33">
        <v>36960</v>
      </c>
      <c r="H316" s="33">
        <v>0</v>
      </c>
      <c r="I316" s="33">
        <v>0</v>
      </c>
      <c r="J316" s="33">
        <v>0</v>
      </c>
      <c r="K316" s="33">
        <v>0</v>
      </c>
      <c r="L316" s="33">
        <v>92400</v>
      </c>
      <c r="M316" s="33">
        <v>55440</v>
      </c>
      <c r="N316" s="33">
        <v>36960</v>
      </c>
      <c r="O316" s="62">
        <f>N316*'FY2014 SUMMARY'!$B$3</f>
        <v>16082.154958526851</v>
      </c>
    </row>
    <row r="317" spans="1:15" x14ac:dyDescent="0.2">
      <c r="A317" s="76" t="s">
        <v>712</v>
      </c>
      <c r="N317" s="13">
        <f>SUM(N314:N316)</f>
        <v>98400</v>
      </c>
      <c r="O317" s="13">
        <f>SUM(O314:O316)</f>
        <v>42816.126837636424</v>
      </c>
    </row>
    <row r="318" spans="1:15" x14ac:dyDescent="0.2">
      <c r="A318" s="36" t="s">
        <v>663</v>
      </c>
      <c r="B318" s="36"/>
      <c r="C318" s="38">
        <f>N328</f>
        <v>256664.57000000004</v>
      </c>
    </row>
    <row r="319" spans="1:15" x14ac:dyDescent="0.2">
      <c r="A319" s="14" t="s">
        <v>175</v>
      </c>
      <c r="B319" s="14" t="s">
        <v>176</v>
      </c>
      <c r="C319" s="14" t="s">
        <v>177</v>
      </c>
      <c r="D319" s="15" t="s">
        <v>0</v>
      </c>
      <c r="E319" s="16" t="s">
        <v>178</v>
      </c>
      <c r="F319" s="15" t="s">
        <v>179</v>
      </c>
      <c r="G319" s="15" t="s">
        <v>180</v>
      </c>
      <c r="H319" s="15" t="s">
        <v>181</v>
      </c>
      <c r="I319" s="15" t="s">
        <v>183</v>
      </c>
      <c r="J319" s="15" t="s">
        <v>1</v>
      </c>
      <c r="K319" s="15" t="s">
        <v>2</v>
      </c>
      <c r="L319" s="15" t="s">
        <v>3</v>
      </c>
      <c r="M319" s="15" t="s">
        <v>184</v>
      </c>
      <c r="N319" s="15" t="s">
        <v>182</v>
      </c>
    </row>
    <row r="320" spans="1:15" x14ac:dyDescent="0.2">
      <c r="A320" s="25" t="s">
        <v>664</v>
      </c>
      <c r="B320" s="25" t="s">
        <v>4</v>
      </c>
      <c r="C320" s="25" t="s">
        <v>185</v>
      </c>
      <c r="D320" s="18" t="s">
        <v>665</v>
      </c>
      <c r="E320" s="19" t="s">
        <v>5</v>
      </c>
      <c r="F320" s="20">
        <v>72229.2</v>
      </c>
      <c r="G320" s="20">
        <v>47784.88</v>
      </c>
      <c r="H320" s="20">
        <v>24800</v>
      </c>
      <c r="I320" s="20">
        <v>24800</v>
      </c>
      <c r="J320" s="20">
        <v>6849.57</v>
      </c>
      <c r="K320" s="20">
        <v>24950</v>
      </c>
      <c r="L320" s="20">
        <v>128828.77</v>
      </c>
      <c r="M320" s="20">
        <v>24444.32</v>
      </c>
      <c r="N320" s="20">
        <v>104384.45</v>
      </c>
      <c r="O320" s="62">
        <f>N320*'FY2014 SUMMARY'!$B$3</f>
        <v>45420.100112570297</v>
      </c>
    </row>
    <row r="321" spans="1:15" x14ac:dyDescent="0.2">
      <c r="A321" s="28" t="s">
        <v>666</v>
      </c>
      <c r="B321" s="28" t="s">
        <v>6</v>
      </c>
      <c r="C321" s="28" t="s">
        <v>185</v>
      </c>
      <c r="D321" s="18" t="s">
        <v>665</v>
      </c>
      <c r="E321" s="19" t="s">
        <v>5</v>
      </c>
      <c r="F321" s="20">
        <v>20983.4</v>
      </c>
      <c r="G321" s="20">
        <v>10616.82</v>
      </c>
      <c r="H321" s="20">
        <v>0</v>
      </c>
      <c r="I321" s="20">
        <v>0</v>
      </c>
      <c r="J321" s="20">
        <v>6849.57</v>
      </c>
      <c r="K321" s="20">
        <v>0</v>
      </c>
      <c r="L321" s="20">
        <v>27832.97</v>
      </c>
      <c r="M321" s="20">
        <v>10366.58</v>
      </c>
      <c r="N321" s="20">
        <v>17466.39</v>
      </c>
      <c r="O321" s="62">
        <f>N321*'FY2014 SUMMARY'!$B$3</f>
        <v>7600.032211744151</v>
      </c>
    </row>
    <row r="322" spans="1:15" x14ac:dyDescent="0.2">
      <c r="A322" s="25" t="s">
        <v>667</v>
      </c>
      <c r="B322" s="25" t="s">
        <v>7</v>
      </c>
      <c r="C322" s="25" t="s">
        <v>185</v>
      </c>
      <c r="D322" s="18" t="s">
        <v>665</v>
      </c>
      <c r="E322" s="19" t="s">
        <v>5</v>
      </c>
      <c r="F322" s="20">
        <v>20983.4</v>
      </c>
      <c r="G322" s="20">
        <v>10616.82</v>
      </c>
      <c r="H322" s="20">
        <v>0</v>
      </c>
      <c r="I322" s="20">
        <v>0</v>
      </c>
      <c r="J322" s="20">
        <v>6849.57</v>
      </c>
      <c r="K322" s="20">
        <v>0</v>
      </c>
      <c r="L322" s="20">
        <v>27832.97</v>
      </c>
      <c r="M322" s="20">
        <v>10366.58</v>
      </c>
      <c r="N322" s="20">
        <v>17466.39</v>
      </c>
      <c r="O322" s="62">
        <f>N322*'FY2014 SUMMARY'!$B$3</f>
        <v>7600.032211744151</v>
      </c>
    </row>
    <row r="323" spans="1:15" x14ac:dyDescent="0.2">
      <c r="A323" s="28" t="s">
        <v>668</v>
      </c>
      <c r="B323" s="28" t="s">
        <v>8</v>
      </c>
      <c r="C323" s="28" t="s">
        <v>185</v>
      </c>
      <c r="D323" s="18" t="s">
        <v>665</v>
      </c>
      <c r="E323" s="19" t="s">
        <v>5</v>
      </c>
      <c r="F323" s="20">
        <v>20983.4</v>
      </c>
      <c r="G323" s="20">
        <v>10616.82</v>
      </c>
      <c r="H323" s="20">
        <v>0</v>
      </c>
      <c r="I323" s="20">
        <v>0</v>
      </c>
      <c r="J323" s="20">
        <v>6849.57</v>
      </c>
      <c r="K323" s="20">
        <v>0</v>
      </c>
      <c r="L323" s="20">
        <v>27832.97</v>
      </c>
      <c r="M323" s="20">
        <v>10366.58</v>
      </c>
      <c r="N323" s="20">
        <v>17466.39</v>
      </c>
      <c r="O323" s="62">
        <f>N323*'FY2014 SUMMARY'!$B$3</f>
        <v>7600.032211744151</v>
      </c>
    </row>
    <row r="324" spans="1:15" x14ac:dyDescent="0.2">
      <c r="A324" s="25" t="s">
        <v>669</v>
      </c>
      <c r="B324" s="25" t="s">
        <v>9</v>
      </c>
      <c r="C324" s="25" t="s">
        <v>185</v>
      </c>
      <c r="D324" s="18" t="s">
        <v>665</v>
      </c>
      <c r="E324" s="19" t="s">
        <v>5</v>
      </c>
      <c r="F324" s="20">
        <v>20983.4</v>
      </c>
      <c r="G324" s="20">
        <v>10616.82</v>
      </c>
      <c r="H324" s="20">
        <v>0</v>
      </c>
      <c r="I324" s="20">
        <v>0</v>
      </c>
      <c r="J324" s="20">
        <v>6849.57</v>
      </c>
      <c r="K324" s="20">
        <v>0</v>
      </c>
      <c r="L324" s="20">
        <v>27832.97</v>
      </c>
      <c r="M324" s="20">
        <v>10366.58</v>
      </c>
      <c r="N324" s="20">
        <v>17466.39</v>
      </c>
      <c r="O324" s="62">
        <f>N324*'FY2014 SUMMARY'!$B$3</f>
        <v>7600.032211744151</v>
      </c>
    </row>
    <row r="325" spans="1:15" x14ac:dyDescent="0.2">
      <c r="A325" s="28" t="s">
        <v>670</v>
      </c>
      <c r="B325" s="28" t="s">
        <v>10</v>
      </c>
      <c r="C325" s="28" t="s">
        <v>185</v>
      </c>
      <c r="D325" s="18" t="s">
        <v>665</v>
      </c>
      <c r="E325" s="19" t="s">
        <v>5</v>
      </c>
      <c r="F325" s="20">
        <v>36883.4</v>
      </c>
      <c r="G325" s="20">
        <v>17453.82</v>
      </c>
      <c r="H325" s="20">
        <v>0</v>
      </c>
      <c r="I325" s="20">
        <v>0</v>
      </c>
      <c r="J325" s="20">
        <v>6849.57</v>
      </c>
      <c r="K325" s="20">
        <v>0</v>
      </c>
      <c r="L325" s="20">
        <v>43732.97</v>
      </c>
      <c r="M325" s="20">
        <v>19429.580000000002</v>
      </c>
      <c r="N325" s="20">
        <v>24303.39</v>
      </c>
      <c r="O325" s="62">
        <f>N325*'FY2014 SUMMARY'!$B$3</f>
        <v>10574.969805127486</v>
      </c>
    </row>
    <row r="326" spans="1:15" x14ac:dyDescent="0.2">
      <c r="A326" s="28" t="s">
        <v>671</v>
      </c>
      <c r="B326" s="28" t="s">
        <v>11</v>
      </c>
      <c r="C326" s="28" t="s">
        <v>185</v>
      </c>
      <c r="D326" s="18" t="s">
        <v>665</v>
      </c>
      <c r="E326" s="19" t="s">
        <v>5</v>
      </c>
      <c r="F326" s="20">
        <v>37783.4</v>
      </c>
      <c r="G326" s="20">
        <v>16328.82</v>
      </c>
      <c r="H326" s="20">
        <v>0</v>
      </c>
      <c r="I326" s="20">
        <v>0</v>
      </c>
      <c r="J326" s="20">
        <v>6849.57</v>
      </c>
      <c r="K326" s="20">
        <v>0</v>
      </c>
      <c r="L326" s="20">
        <v>44632.97</v>
      </c>
      <c r="M326" s="20">
        <v>21454.58</v>
      </c>
      <c r="N326" s="20">
        <v>23178.39</v>
      </c>
      <c r="O326" s="62">
        <f>N326*'FY2014 SUMMARY'!$B$3</f>
        <v>10085.456159880119</v>
      </c>
    </row>
    <row r="327" spans="1:15" ht="13.5" thickBot="1" x14ac:dyDescent="0.25">
      <c r="A327" s="35" t="s">
        <v>672</v>
      </c>
      <c r="B327" s="35" t="s">
        <v>673</v>
      </c>
      <c r="C327" s="35" t="s">
        <v>185</v>
      </c>
      <c r="D327" s="31" t="s">
        <v>665</v>
      </c>
      <c r="E327" s="32" t="s">
        <v>5</v>
      </c>
      <c r="F327" s="33">
        <v>41966.8</v>
      </c>
      <c r="G327" s="33">
        <v>21233.64</v>
      </c>
      <c r="H327" s="33">
        <v>0</v>
      </c>
      <c r="I327" s="33">
        <v>0</v>
      </c>
      <c r="J327" s="33">
        <v>13699.14</v>
      </c>
      <c r="K327" s="33">
        <v>0</v>
      </c>
      <c r="L327" s="33">
        <v>55665.94</v>
      </c>
      <c r="M327" s="33">
        <v>20733.16</v>
      </c>
      <c r="N327" s="33">
        <v>34932.78</v>
      </c>
      <c r="O327" s="62">
        <f>N327*'FY2014 SUMMARY'!$B$3</f>
        <v>15200.064423488302</v>
      </c>
    </row>
    <row r="328" spans="1:15" x14ac:dyDescent="0.2">
      <c r="A328" s="76" t="s">
        <v>712</v>
      </c>
      <c r="N328" s="13">
        <f>SUM(N320:N327)</f>
        <v>256664.57000000004</v>
      </c>
      <c r="O328" s="13">
        <f>SUM(O320:O327)</f>
        <v>111680.71934804283</v>
      </c>
    </row>
    <row r="329" spans="1:15" x14ac:dyDescent="0.2">
      <c r="A329" s="36" t="s">
        <v>674</v>
      </c>
      <c r="B329" s="36"/>
      <c r="C329" s="38">
        <f>N338</f>
        <v>98860.7</v>
      </c>
    </row>
    <row r="330" spans="1:15" x14ac:dyDescent="0.2">
      <c r="A330" s="14" t="s">
        <v>175</v>
      </c>
      <c r="B330" s="14" t="s">
        <v>176</v>
      </c>
      <c r="C330" s="14" t="s">
        <v>177</v>
      </c>
      <c r="D330" s="15" t="s">
        <v>0</v>
      </c>
      <c r="E330" s="16" t="s">
        <v>178</v>
      </c>
      <c r="F330" s="15" t="s">
        <v>179</v>
      </c>
      <c r="G330" s="15" t="s">
        <v>180</v>
      </c>
      <c r="H330" s="15" t="s">
        <v>181</v>
      </c>
      <c r="I330" s="15" t="s">
        <v>183</v>
      </c>
      <c r="J330" s="15" t="s">
        <v>1</v>
      </c>
      <c r="K330" s="15" t="s">
        <v>2</v>
      </c>
      <c r="L330" s="15" t="s">
        <v>3</v>
      </c>
      <c r="M330" s="15" t="s">
        <v>184</v>
      </c>
      <c r="N330" s="15" t="s">
        <v>182</v>
      </c>
    </row>
    <row r="331" spans="1:15" x14ac:dyDescent="0.2">
      <c r="A331" s="25" t="s">
        <v>675</v>
      </c>
      <c r="B331" s="25" t="s">
        <v>32</v>
      </c>
      <c r="C331" s="25" t="s">
        <v>185</v>
      </c>
      <c r="D331" s="18" t="s">
        <v>33</v>
      </c>
      <c r="E331" s="19" t="s">
        <v>34</v>
      </c>
      <c r="F331" s="20">
        <v>14486.61</v>
      </c>
      <c r="G331" s="20">
        <v>5398.42</v>
      </c>
      <c r="H331" s="20">
        <v>0</v>
      </c>
      <c r="I331" s="20">
        <v>0</v>
      </c>
      <c r="J331" s="20">
        <v>2457.12</v>
      </c>
      <c r="K331" s="20">
        <v>0</v>
      </c>
      <c r="L331" s="20">
        <v>16943.73</v>
      </c>
      <c r="M331" s="20">
        <v>9088.19</v>
      </c>
      <c r="N331" s="20">
        <v>7855.54</v>
      </c>
      <c r="O331" s="62">
        <f>N331*'FY2014 SUMMARY'!$B$3</f>
        <v>3418.1280184768948</v>
      </c>
    </row>
    <row r="332" spans="1:15" x14ac:dyDescent="0.2">
      <c r="A332" s="28" t="s">
        <v>676</v>
      </c>
      <c r="B332" s="28" t="s">
        <v>35</v>
      </c>
      <c r="C332" s="28" t="s">
        <v>185</v>
      </c>
      <c r="D332" s="18" t="s">
        <v>33</v>
      </c>
      <c r="E332" s="19" t="s">
        <v>34</v>
      </c>
      <c r="F332" s="20">
        <v>15206.61</v>
      </c>
      <c r="G332" s="20">
        <v>5506.42</v>
      </c>
      <c r="H332" s="20">
        <v>0</v>
      </c>
      <c r="I332" s="20">
        <v>0</v>
      </c>
      <c r="J332" s="20">
        <v>2512.71</v>
      </c>
      <c r="K332" s="20">
        <v>0</v>
      </c>
      <c r="L332" s="20">
        <v>17719.32</v>
      </c>
      <c r="M332" s="20">
        <v>9700.19</v>
      </c>
      <c r="N332" s="20">
        <v>8019.13</v>
      </c>
      <c r="O332" s="62">
        <f>N332*'FY2014 SUMMARY'!$B$3</f>
        <v>3489.3098293444655</v>
      </c>
    </row>
    <row r="333" spans="1:15" x14ac:dyDescent="0.2">
      <c r="A333" s="28" t="s">
        <v>677</v>
      </c>
      <c r="B333" s="28" t="s">
        <v>36</v>
      </c>
      <c r="C333" s="28" t="s">
        <v>185</v>
      </c>
      <c r="D333" s="18" t="s">
        <v>33</v>
      </c>
      <c r="E333" s="19" t="s">
        <v>34</v>
      </c>
      <c r="F333" s="20">
        <v>14726.61</v>
      </c>
      <c r="G333" s="20">
        <v>9494.85</v>
      </c>
      <c r="H333" s="20">
        <v>0</v>
      </c>
      <c r="I333" s="20">
        <v>0</v>
      </c>
      <c r="J333" s="20">
        <v>8606.16</v>
      </c>
      <c r="K333" s="20">
        <v>0</v>
      </c>
      <c r="L333" s="20">
        <v>23332.77</v>
      </c>
      <c r="M333" s="20">
        <v>5231.76</v>
      </c>
      <c r="N333" s="20">
        <v>18101.009999999998</v>
      </c>
      <c r="O333" s="62">
        <f>N333*'FY2014 SUMMARY'!$B$3</f>
        <v>7876.1701224524923</v>
      </c>
    </row>
    <row r="334" spans="1:15" x14ac:dyDescent="0.2">
      <c r="A334" s="25" t="s">
        <v>678</v>
      </c>
      <c r="B334" s="25" t="s">
        <v>37</v>
      </c>
      <c r="C334" s="25" t="s">
        <v>185</v>
      </c>
      <c r="D334" s="18" t="s">
        <v>33</v>
      </c>
      <c r="E334" s="19" t="s">
        <v>34</v>
      </c>
      <c r="F334" s="20">
        <v>17086.61</v>
      </c>
      <c r="G334" s="20">
        <v>5925.63</v>
      </c>
      <c r="H334" s="20">
        <v>0</v>
      </c>
      <c r="I334" s="20">
        <v>0</v>
      </c>
      <c r="J334" s="20">
        <v>7585.48</v>
      </c>
      <c r="K334" s="20">
        <v>0</v>
      </c>
      <c r="L334" s="20">
        <v>24672.09</v>
      </c>
      <c r="M334" s="20">
        <v>11160.98</v>
      </c>
      <c r="N334" s="20">
        <v>13511.11</v>
      </c>
      <c r="O334" s="62">
        <f>N334*'FY2014 SUMMARY'!$B$3</f>
        <v>5878.9979621672546</v>
      </c>
    </row>
    <row r="335" spans="1:15" x14ac:dyDescent="0.2">
      <c r="A335" s="28" t="s">
        <v>679</v>
      </c>
      <c r="B335" s="28" t="s">
        <v>38</v>
      </c>
      <c r="C335" s="28" t="s">
        <v>185</v>
      </c>
      <c r="D335" s="18" t="s">
        <v>33</v>
      </c>
      <c r="E335" s="19" t="s">
        <v>34</v>
      </c>
      <c r="F335" s="20">
        <v>27140.86</v>
      </c>
      <c r="G335" s="20">
        <v>4664.3999999999996</v>
      </c>
      <c r="H335" s="20">
        <v>0</v>
      </c>
      <c r="I335" s="20">
        <v>0</v>
      </c>
      <c r="J335" s="20">
        <v>21366.34</v>
      </c>
      <c r="K335" s="20">
        <v>0</v>
      </c>
      <c r="L335" s="20">
        <v>48507.199999999997</v>
      </c>
      <c r="M335" s="20">
        <v>22476.46</v>
      </c>
      <c r="N335" s="20">
        <v>26030.74</v>
      </c>
      <c r="O335" s="62">
        <f>N335*'FY2014 SUMMARY'!$B$3</f>
        <v>11326.579934121301</v>
      </c>
    </row>
    <row r="336" spans="1:15" x14ac:dyDescent="0.2">
      <c r="A336" s="25" t="s">
        <v>680</v>
      </c>
      <c r="B336" s="25" t="s">
        <v>39</v>
      </c>
      <c r="C336" s="25" t="s">
        <v>185</v>
      </c>
      <c r="D336" s="18" t="s">
        <v>33</v>
      </c>
      <c r="E336" s="19" t="s">
        <v>34</v>
      </c>
      <c r="F336" s="20">
        <v>14726.61</v>
      </c>
      <c r="G336" s="20">
        <v>11802.28</v>
      </c>
      <c r="H336" s="20">
        <v>0</v>
      </c>
      <c r="I336" s="20">
        <v>0</v>
      </c>
      <c r="J336" s="20">
        <v>4973.75</v>
      </c>
      <c r="K336" s="20">
        <v>0</v>
      </c>
      <c r="L336" s="20">
        <v>19700.36</v>
      </c>
      <c r="M336" s="20">
        <v>2924.33</v>
      </c>
      <c r="N336" s="20">
        <v>16776.03</v>
      </c>
      <c r="O336" s="62">
        <f>N336*'FY2014 SUMMARY'!$B$3</f>
        <v>7299.6405316259525</v>
      </c>
    </row>
    <row r="337" spans="1:15" ht="13.5" thickBot="1" x14ac:dyDescent="0.25">
      <c r="A337" s="35" t="s">
        <v>681</v>
      </c>
      <c r="B337" s="35" t="s">
        <v>40</v>
      </c>
      <c r="C337" s="35" t="s">
        <v>185</v>
      </c>
      <c r="D337" s="31" t="s">
        <v>33</v>
      </c>
      <c r="E337" s="32" t="s">
        <v>34</v>
      </c>
      <c r="F337" s="33">
        <v>21890.25</v>
      </c>
      <c r="G337" s="33">
        <v>6195.45</v>
      </c>
      <c r="H337" s="33">
        <v>0</v>
      </c>
      <c r="I337" s="33">
        <v>0</v>
      </c>
      <c r="J337" s="33">
        <v>2371.69</v>
      </c>
      <c r="K337" s="33">
        <v>0</v>
      </c>
      <c r="L337" s="33">
        <v>24261.94</v>
      </c>
      <c r="M337" s="33">
        <v>15694.8</v>
      </c>
      <c r="N337" s="33">
        <v>8567.14</v>
      </c>
      <c r="O337" s="62">
        <f>N337*'FY2014 SUMMARY'!$B$3</f>
        <v>3727.7617162173628</v>
      </c>
    </row>
    <row r="338" spans="1:15" x14ac:dyDescent="0.2">
      <c r="A338" s="76" t="s">
        <v>712</v>
      </c>
      <c r="N338" s="13">
        <f>SUM(N331:N337)</f>
        <v>98860.7</v>
      </c>
      <c r="O338" s="13">
        <f>SUM(O331:O337)</f>
        <v>43016.588114405728</v>
      </c>
    </row>
    <row r="339" spans="1:15" x14ac:dyDescent="0.2">
      <c r="A339" s="36" t="s">
        <v>682</v>
      </c>
      <c r="B339" s="36"/>
      <c r="C339" s="38">
        <f>N350</f>
        <v>152992.44</v>
      </c>
    </row>
    <row r="340" spans="1:15" x14ac:dyDescent="0.2">
      <c r="A340" s="14" t="s">
        <v>175</v>
      </c>
      <c r="B340" s="14" t="s">
        <v>176</v>
      </c>
      <c r="C340" s="14" t="s">
        <v>177</v>
      </c>
      <c r="D340" s="15" t="s">
        <v>0</v>
      </c>
      <c r="E340" s="16" t="s">
        <v>178</v>
      </c>
      <c r="F340" s="15" t="s">
        <v>179</v>
      </c>
      <c r="G340" s="15" t="s">
        <v>180</v>
      </c>
      <c r="H340" s="15" t="s">
        <v>181</v>
      </c>
      <c r="I340" s="15" t="s">
        <v>183</v>
      </c>
      <c r="J340" s="15" t="s">
        <v>1</v>
      </c>
      <c r="K340" s="15" t="s">
        <v>2</v>
      </c>
      <c r="L340" s="15" t="s">
        <v>3</v>
      </c>
      <c r="M340" s="15" t="s">
        <v>184</v>
      </c>
      <c r="N340" s="15" t="s">
        <v>182</v>
      </c>
    </row>
    <row r="341" spans="1:15" x14ac:dyDescent="0.2">
      <c r="A341" s="25" t="s">
        <v>683</v>
      </c>
      <c r="B341" s="25" t="s">
        <v>684</v>
      </c>
      <c r="C341" s="25" t="s">
        <v>185</v>
      </c>
      <c r="D341" s="18" t="s">
        <v>685</v>
      </c>
      <c r="E341" s="19" t="s">
        <v>686</v>
      </c>
      <c r="F341" s="20">
        <v>24220.43</v>
      </c>
      <c r="G341" s="20">
        <v>6514.16</v>
      </c>
      <c r="H341" s="20">
        <v>0</v>
      </c>
      <c r="I341" s="20">
        <v>0</v>
      </c>
      <c r="J341" s="20">
        <v>8319.9500000000007</v>
      </c>
      <c r="K341" s="20">
        <v>2165.0500000000002</v>
      </c>
      <c r="L341" s="20">
        <v>34705.43</v>
      </c>
      <c r="M341" s="20">
        <v>17706.27</v>
      </c>
      <c r="N341" s="20">
        <v>16999.16</v>
      </c>
      <c r="O341" s="62">
        <f>N341*'FY2014 SUMMARY'!$B$3</f>
        <v>7396.7295802162153</v>
      </c>
    </row>
    <row r="342" spans="1:15" x14ac:dyDescent="0.2">
      <c r="A342" s="25" t="s">
        <v>687</v>
      </c>
      <c r="B342" s="25" t="s">
        <v>688</v>
      </c>
      <c r="C342" s="25" t="s">
        <v>185</v>
      </c>
      <c r="D342" s="18" t="s">
        <v>685</v>
      </c>
      <c r="E342" s="19" t="s">
        <v>686</v>
      </c>
      <c r="F342" s="20">
        <v>24220.43</v>
      </c>
      <c r="G342" s="20">
        <v>6514.16</v>
      </c>
      <c r="H342" s="20">
        <v>0</v>
      </c>
      <c r="I342" s="20">
        <v>0</v>
      </c>
      <c r="J342" s="20">
        <v>8319.9500000000007</v>
      </c>
      <c r="K342" s="20">
        <v>2165.0500000000002</v>
      </c>
      <c r="L342" s="20">
        <v>34705.43</v>
      </c>
      <c r="M342" s="20">
        <v>17706.27</v>
      </c>
      <c r="N342" s="20">
        <v>16999.16</v>
      </c>
      <c r="O342" s="62">
        <f>N342*'FY2014 SUMMARY'!$B$3</f>
        <v>7396.7295802162153</v>
      </c>
    </row>
    <row r="343" spans="1:15" x14ac:dyDescent="0.2">
      <c r="A343" s="28" t="s">
        <v>689</v>
      </c>
      <c r="B343" s="28" t="s">
        <v>690</v>
      </c>
      <c r="C343" s="28" t="s">
        <v>185</v>
      </c>
      <c r="D343" s="18" t="s">
        <v>685</v>
      </c>
      <c r="E343" s="19" t="s">
        <v>686</v>
      </c>
      <c r="F343" s="20">
        <v>24220.43</v>
      </c>
      <c r="G343" s="20">
        <v>6514.16</v>
      </c>
      <c r="H343" s="20">
        <v>0</v>
      </c>
      <c r="I343" s="20">
        <v>0</v>
      </c>
      <c r="J343" s="20">
        <v>8319.9500000000007</v>
      </c>
      <c r="K343" s="20">
        <v>2165.0500000000002</v>
      </c>
      <c r="L343" s="20">
        <v>34705.43</v>
      </c>
      <c r="M343" s="20">
        <v>17706.27</v>
      </c>
      <c r="N343" s="20">
        <v>16999.16</v>
      </c>
      <c r="O343" s="62">
        <f>N343*'FY2014 SUMMARY'!$B$3</f>
        <v>7396.7295802162153</v>
      </c>
    </row>
    <row r="344" spans="1:15" x14ac:dyDescent="0.2">
      <c r="A344" s="56" t="s">
        <v>691</v>
      </c>
      <c r="B344" s="28" t="s">
        <v>692</v>
      </c>
      <c r="C344" s="28" t="s">
        <v>185</v>
      </c>
      <c r="D344" s="18" t="s">
        <v>685</v>
      </c>
      <c r="E344" s="19" t="s">
        <v>686</v>
      </c>
      <c r="F344" s="20">
        <v>24220.43</v>
      </c>
      <c r="G344" s="20">
        <v>6514.16</v>
      </c>
      <c r="H344" s="20">
        <v>0</v>
      </c>
      <c r="I344" s="20">
        <v>0</v>
      </c>
      <c r="J344" s="20">
        <v>8319.9500000000007</v>
      </c>
      <c r="K344" s="20">
        <v>2165.0500000000002</v>
      </c>
      <c r="L344" s="20">
        <v>34705.43</v>
      </c>
      <c r="M344" s="20">
        <v>17706.27</v>
      </c>
      <c r="N344" s="20">
        <v>16999.16</v>
      </c>
      <c r="O344" s="62">
        <f>N344*'FY2014 SUMMARY'!$B$3</f>
        <v>7396.7295802162153</v>
      </c>
    </row>
    <row r="345" spans="1:15" x14ac:dyDescent="0.2">
      <c r="A345" s="56" t="s">
        <v>693</v>
      </c>
      <c r="B345" s="28" t="s">
        <v>694</v>
      </c>
      <c r="C345" s="28" t="s">
        <v>185</v>
      </c>
      <c r="D345" s="18" t="s">
        <v>685</v>
      </c>
      <c r="E345" s="19" t="s">
        <v>686</v>
      </c>
      <c r="F345" s="20">
        <v>24220.43</v>
      </c>
      <c r="G345" s="20">
        <v>6514.16</v>
      </c>
      <c r="H345" s="20">
        <v>0</v>
      </c>
      <c r="I345" s="20">
        <v>0</v>
      </c>
      <c r="J345" s="20">
        <v>8319.9500000000007</v>
      </c>
      <c r="K345" s="20">
        <v>2165.0500000000002</v>
      </c>
      <c r="L345" s="20">
        <v>34705.43</v>
      </c>
      <c r="M345" s="20">
        <v>17706.27</v>
      </c>
      <c r="N345" s="20">
        <v>16999.16</v>
      </c>
      <c r="O345" s="62">
        <f>N345*'FY2014 SUMMARY'!$B$3</f>
        <v>7396.7295802162153</v>
      </c>
    </row>
    <row r="346" spans="1:15" x14ac:dyDescent="0.2">
      <c r="A346" s="25" t="s">
        <v>695</v>
      </c>
      <c r="B346" s="25" t="s">
        <v>696</v>
      </c>
      <c r="C346" s="25" t="s">
        <v>185</v>
      </c>
      <c r="D346" s="18" t="s">
        <v>685</v>
      </c>
      <c r="E346" s="19" t="s">
        <v>686</v>
      </c>
      <c r="F346" s="20">
        <v>24220.43</v>
      </c>
      <c r="G346" s="20">
        <v>6514.16</v>
      </c>
      <c r="H346" s="20">
        <v>0</v>
      </c>
      <c r="I346" s="20">
        <v>0</v>
      </c>
      <c r="J346" s="20">
        <v>8319.9500000000007</v>
      </c>
      <c r="K346" s="20">
        <v>2165.0500000000002</v>
      </c>
      <c r="L346" s="20">
        <v>34705.43</v>
      </c>
      <c r="M346" s="20">
        <v>17706.27</v>
      </c>
      <c r="N346" s="20">
        <v>16999.16</v>
      </c>
      <c r="O346" s="62">
        <f>N346*'FY2014 SUMMARY'!$B$3</f>
        <v>7396.7295802162153</v>
      </c>
    </row>
    <row r="347" spans="1:15" x14ac:dyDescent="0.2">
      <c r="A347" s="25" t="s">
        <v>697</v>
      </c>
      <c r="B347" s="25" t="s">
        <v>698</v>
      </c>
      <c r="C347" s="25" t="s">
        <v>185</v>
      </c>
      <c r="D347" s="18" t="s">
        <v>685</v>
      </c>
      <c r="E347" s="19" t="s">
        <v>686</v>
      </c>
      <c r="F347" s="20">
        <v>24220.43</v>
      </c>
      <c r="G347" s="20">
        <v>6514.16</v>
      </c>
      <c r="H347" s="20">
        <v>0</v>
      </c>
      <c r="I347" s="20">
        <v>0</v>
      </c>
      <c r="J347" s="20">
        <v>8319.9500000000007</v>
      </c>
      <c r="K347" s="20">
        <v>2165.0500000000002</v>
      </c>
      <c r="L347" s="20">
        <v>34705.43</v>
      </c>
      <c r="M347" s="20">
        <v>17706.27</v>
      </c>
      <c r="N347" s="20">
        <v>16999.16</v>
      </c>
      <c r="O347" s="62">
        <f>N347*'FY2014 SUMMARY'!$B$3</f>
        <v>7396.7295802162153</v>
      </c>
    </row>
    <row r="348" spans="1:15" x14ac:dyDescent="0.2">
      <c r="A348" s="44" t="s">
        <v>699</v>
      </c>
      <c r="B348" s="28" t="s">
        <v>700</v>
      </c>
      <c r="C348" s="28" t="s">
        <v>185</v>
      </c>
      <c r="D348" s="18" t="s">
        <v>685</v>
      </c>
      <c r="E348" s="19" t="s">
        <v>686</v>
      </c>
      <c r="F348" s="20">
        <v>24220.43</v>
      </c>
      <c r="G348" s="20">
        <v>6514.16</v>
      </c>
      <c r="H348" s="20">
        <v>0</v>
      </c>
      <c r="I348" s="20">
        <v>0</v>
      </c>
      <c r="J348" s="20">
        <v>8319.9500000000007</v>
      </c>
      <c r="K348" s="20">
        <v>2165.0500000000002</v>
      </c>
      <c r="L348" s="20">
        <v>34705.43</v>
      </c>
      <c r="M348" s="20">
        <v>17706.27</v>
      </c>
      <c r="N348" s="20">
        <v>16999.16</v>
      </c>
      <c r="O348" s="64" t="s">
        <v>704</v>
      </c>
    </row>
    <row r="349" spans="1:15" ht="13.5" thickBot="1" x14ac:dyDescent="0.25">
      <c r="A349" s="35" t="s">
        <v>701</v>
      </c>
      <c r="B349" s="35" t="s">
        <v>702</v>
      </c>
      <c r="C349" s="35" t="s">
        <v>185</v>
      </c>
      <c r="D349" s="31" t="s">
        <v>685</v>
      </c>
      <c r="E349" s="32" t="s">
        <v>686</v>
      </c>
      <c r="F349" s="33">
        <v>24220.43</v>
      </c>
      <c r="G349" s="33">
        <v>6514.16</v>
      </c>
      <c r="H349" s="33">
        <v>0</v>
      </c>
      <c r="I349" s="33">
        <v>0</v>
      </c>
      <c r="J349" s="33">
        <v>8319.9500000000007</v>
      </c>
      <c r="K349" s="33">
        <v>2165.0500000000002</v>
      </c>
      <c r="L349" s="33">
        <v>34705.43</v>
      </c>
      <c r="M349" s="33">
        <v>17706.27</v>
      </c>
      <c r="N349" s="33">
        <v>16999.16</v>
      </c>
      <c r="O349" s="62">
        <f>N349*'FY2014 SUMMARY'!$B$3</f>
        <v>7396.7295802162153</v>
      </c>
    </row>
    <row r="350" spans="1:15" x14ac:dyDescent="0.2">
      <c r="A350" s="12" t="s">
        <v>711</v>
      </c>
      <c r="N350" s="13">
        <f>SUM(N341:N349)</f>
        <v>152992.44</v>
      </c>
      <c r="O350" s="13">
        <f>SUM(O341:O349)</f>
        <v>59173.836641729707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FY2014 SUMMARY</vt:lpstr>
      <vt:lpstr>District by Cluster</vt:lpstr>
      <vt:lpstr>TitleRegion1.a2.d25.1</vt:lpstr>
      <vt:lpstr>TitleRegion1.a2.o24.2</vt:lpstr>
      <vt:lpstr>TitleRegion10.a257.o266.2</vt:lpstr>
      <vt:lpstr>TitleRegion11.a268.o296.2</vt:lpstr>
      <vt:lpstr>TitleRegion12.a298.o310.2</vt:lpstr>
      <vt:lpstr>TitleRegion13.a312.o316.2</vt:lpstr>
      <vt:lpstr>TitleRegion14.a318.o327.2</vt:lpstr>
      <vt:lpstr>TitleRegion15.a329.o337.2</vt:lpstr>
      <vt:lpstr>TitleRegion16.a339.o349.2</vt:lpstr>
      <vt:lpstr>TitleRegion2.a26.o36.2</vt:lpstr>
      <vt:lpstr>TitleRegion2.f1.i4.1</vt:lpstr>
      <vt:lpstr>TitleRegion3.a38.0101.2</vt:lpstr>
      <vt:lpstr>TitleRegion4.a103.o124.2</vt:lpstr>
      <vt:lpstr>TitleRegion5.a126.o169.2</vt:lpstr>
      <vt:lpstr>TitleRegion6.a171.o188.2</vt:lpstr>
      <vt:lpstr>TitleRegion7.a190.o225.2</vt:lpstr>
      <vt:lpstr>TitleRegion8.a227.o242.2</vt:lpstr>
      <vt:lpstr>TitleRegion9.a244.o255.2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Kubesh, Chris</dc:creator>
  <cp:lastModifiedBy>Goebel, Chelsea</cp:lastModifiedBy>
  <cp:lastPrinted>2014-04-02T13:36:54Z</cp:lastPrinted>
  <dcterms:created xsi:type="dcterms:W3CDTF">2013-06-20T15:24:23Z</dcterms:created>
  <dcterms:modified xsi:type="dcterms:W3CDTF">2014-04-16T20:44:21Z</dcterms:modified>
</cp:coreProperties>
</file>