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45" windowWidth="19155" windowHeight="1176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24" i="1"/>
  <c r="D17"/>
  <c r="D14"/>
  <c r="B25"/>
  <c r="D25" s="1"/>
  <c r="D9"/>
  <c r="D28" l="1"/>
</calcChain>
</file>

<file path=xl/sharedStrings.xml><?xml version="1.0" encoding="utf-8"?>
<sst xmlns="http://schemas.openxmlformats.org/spreadsheetml/2006/main" count="71" uniqueCount="64">
  <si>
    <t xml:space="preserve">Instructions: Enter data in the grey cells only.  Determine the GWUDI Score. </t>
  </si>
  <si>
    <t>Well Information</t>
  </si>
  <si>
    <t>Data Entry</t>
  </si>
  <si>
    <t>Units</t>
  </si>
  <si>
    <t>Score</t>
  </si>
  <si>
    <t>Explanation</t>
  </si>
  <si>
    <t xml:space="preserve">System Name: </t>
  </si>
  <si>
    <t>PWSID:</t>
  </si>
  <si>
    <t>Well name:</t>
  </si>
  <si>
    <t>DWR Well Permit No.:</t>
  </si>
  <si>
    <t>Total Depth of well:</t>
  </si>
  <si>
    <t>feet</t>
  </si>
  <si>
    <t>Screened Interval Depth, top:</t>
  </si>
  <si>
    <t>&lt;20 feet = 60; 20-50 feet = 40; &gt;50 feet = 0</t>
  </si>
  <si>
    <t>Screened Interval Depth, bottom:</t>
  </si>
  <si>
    <t>Max pump rate:</t>
  </si>
  <si>
    <t>gpm</t>
  </si>
  <si>
    <t>Nominal pump rate:</t>
  </si>
  <si>
    <t>DWR Aquifer Type:</t>
  </si>
  <si>
    <t>Type 3</t>
  </si>
  <si>
    <t>Aquifer Lithology 
(at screened interval):</t>
  </si>
  <si>
    <t>Obtain from DWR well log, inlcude type of soils: sand, clay, gravel, etc.</t>
  </si>
  <si>
    <t>MPA Result Ranking:</t>
  </si>
  <si>
    <t>moderate</t>
  </si>
  <si>
    <t>Algae or diatoms present?</t>
  </si>
  <si>
    <t>MPA Score:</t>
  </si>
  <si>
    <t>MUST BE TAKEN APRIL - SEPT.</t>
  </si>
  <si>
    <t>DISTANCE TO SURFACE WATER</t>
  </si>
  <si>
    <t>Type of nearest surface water:</t>
  </si>
  <si>
    <t>river, intermittent stream, ditch, pond, reservoir, etc</t>
  </si>
  <si>
    <t>Name of nearest surface water:</t>
  </si>
  <si>
    <t>How was distance measured:</t>
  </si>
  <si>
    <t>Horizontal distance to surface water (feet):</t>
  </si>
  <si>
    <t>50 Day Radius Estimate:</t>
  </si>
  <si>
    <r>
      <t xml:space="preserve">50 day+10% &gt; horizontal distance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30; 
50 day-5% &lt; horizontal distance → 0; 
50 day (+/- 5-10%) = horizontal distance → 20</t>
    </r>
  </si>
  <si>
    <t>Assumes steady state pumping, homogeneous aquifer, no regional groundwater flow</t>
  </si>
  <si>
    <t>Total Score</t>
  </si>
  <si>
    <t>Type 1</t>
  </si>
  <si>
    <t>Yes</t>
  </si>
  <si>
    <t>Type 2</t>
  </si>
  <si>
    <t>No</t>
  </si>
  <si>
    <t>low</t>
  </si>
  <si>
    <t>high</t>
  </si>
  <si>
    <t>no mpa</t>
  </si>
  <si>
    <t>Default is 0.25 (no units for porosity) - most water rights calculations use 0.3, but for the purposes of this screening, use 0.25.</t>
  </si>
  <si>
    <t>Estimated Porosity = 0.25
(Do not change):</t>
  </si>
  <si>
    <t>This value is used to calculate 50 day radius. It is convereted to cubic feet per minute in the 50 day calculation.</t>
  </si>
  <si>
    <t>Aqquifer Name</t>
  </si>
  <si>
    <t xml:space="preserve">Aquifer name should be on DWR Permit Application (not always available). </t>
  </si>
  <si>
    <t>"ALL UNNAMED AQUIFERS"</t>
  </si>
  <si>
    <t>new name:  Elk Meadows River Resort</t>
  </si>
  <si>
    <t>Beaver Creek Youth Camp</t>
  </si>
  <si>
    <t>CO0253060</t>
  </si>
  <si>
    <t>24661F</t>
  </si>
  <si>
    <t>169-185 Red granite, 185-220 black granite with clay, 220-245 black granite, 245-264 black granite with clay</t>
  </si>
  <si>
    <t>creek</t>
  </si>
  <si>
    <t>Beaver Creek</t>
  </si>
  <si>
    <t>Google Earth</t>
  </si>
  <si>
    <t>WQCD GWUDI Screening Tool - Version 3.2 - December 26, 2013</t>
  </si>
  <si>
    <t>Type 1 (Confined Aquifer) = NOT GWUDI; 
Type 2 (Unconfined Bedrock Aquifer) = 10 
Type 3 (Unconfined Alluvial Aquifer) = 10</t>
  </si>
  <si>
    <t>Low = 0, moderate = 30, High = 50 - no mpa = 10</t>
  </si>
  <si>
    <t>&lt;100 feet = 40, 100 to 500 feet=20, &gt;500 feet = 0</t>
  </si>
  <si>
    <r>
      <rPr>
        <sz val="11"/>
        <color theme="1"/>
        <rFont val="Calibri"/>
        <family val="2"/>
      </rPr>
      <t>&gt;</t>
    </r>
    <r>
      <rPr>
        <sz val="11"/>
        <color theme="1"/>
        <rFont val="Calibri"/>
        <family val="2"/>
        <scheme val="minor"/>
      </rPr>
      <t>40 points = GWUDI Evaluation Necessary</t>
    </r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</si>
  <si>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40 points = No Evaluation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</si>
</sst>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4" borderId="3" xfId="0" applyFill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 wrapText="1"/>
    </xf>
    <xf numFmtId="0" fontId="0" fillId="4" borderId="4" xfId="0" applyFill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4" xfId="0" applyFont="1" applyBorder="1" applyAlignment="1">
      <alignment horizontal="right" vertical="center" wrapText="1"/>
    </xf>
    <xf numFmtId="0" fontId="0" fillId="0" borderId="3" xfId="0" applyFont="1" applyBorder="1" applyAlignment="1">
      <alignment horizontal="right" vertical="center" wrapText="1"/>
    </xf>
    <xf numFmtId="0" fontId="0" fillId="0" borderId="5" xfId="0" applyFont="1" applyBorder="1" applyAlignment="1">
      <alignment horizontal="righ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5" xfId="0" applyNumberForma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vertical="center" wrapText="1"/>
    </xf>
    <xf numFmtId="0" fontId="0" fillId="6" borderId="0" xfId="0" applyFill="1" applyBorder="1" applyAlignment="1">
      <alignment vertical="center"/>
    </xf>
    <xf numFmtId="0" fontId="2" fillId="6" borderId="10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0" fillId="6" borderId="12" xfId="0" applyFont="1" applyFill="1" applyBorder="1" applyAlignment="1">
      <alignment horizontal="right" vertical="center" wrapText="1"/>
    </xf>
    <xf numFmtId="0" fontId="0" fillId="6" borderId="13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Font="1" applyBorder="1" applyAlignment="1">
      <alignment horizontal="right" vertical="center" wrapText="1"/>
    </xf>
    <xf numFmtId="0" fontId="0" fillId="0" borderId="16" xfId="0" applyFont="1" applyBorder="1" applyAlignment="1">
      <alignment horizontal="right" vertical="center" wrapText="1"/>
    </xf>
    <xf numFmtId="0" fontId="0" fillId="0" borderId="17" xfId="0" applyFont="1" applyBorder="1" applyAlignment="1">
      <alignment horizontal="right" vertical="center" wrapText="1"/>
    </xf>
    <xf numFmtId="0" fontId="0" fillId="4" borderId="3" xfId="0" applyFill="1" applyBorder="1" applyAlignment="1">
      <alignment horizontal="center" vertical="center" wrapText="1"/>
    </xf>
    <xf numFmtId="0" fontId="2" fillId="6" borderId="19" xfId="0" applyFont="1" applyFill="1" applyBorder="1" applyAlignment="1">
      <alignment vertical="center" wrapText="1"/>
    </xf>
    <xf numFmtId="1" fontId="0" fillId="6" borderId="20" xfId="0" applyNumberFormat="1" applyFill="1" applyBorder="1" applyAlignment="1">
      <alignment horizontal="center" vertical="center" wrapText="1"/>
    </xf>
    <xf numFmtId="0" fontId="0" fillId="6" borderId="21" xfId="0" applyFill="1" applyBorder="1" applyAlignment="1">
      <alignment horizontal="left" vertical="center" wrapTex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8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71"/>
  <sheetViews>
    <sheetView tabSelected="1" workbookViewId="0">
      <selection activeCell="D25" sqref="D25"/>
    </sheetView>
  </sheetViews>
  <sheetFormatPr defaultColWidth="9.140625" defaultRowHeight="15"/>
  <cols>
    <col min="1" max="1" width="30.5703125" style="25" customWidth="1"/>
    <col min="2" max="2" width="19.28515625" style="26" customWidth="1"/>
    <col min="3" max="3" width="5.7109375" style="3" bestFit="1" customWidth="1"/>
    <col min="4" max="4" width="7.28515625" style="27" customWidth="1"/>
    <col min="5" max="5" width="55.7109375" style="28" customWidth="1"/>
    <col min="6" max="13" width="9.140625" style="1"/>
    <col min="14" max="77" width="9.140625" style="2"/>
    <col min="78" max="16384" width="9.140625" style="3"/>
  </cols>
  <sheetData>
    <row r="1" spans="1:77" ht="21" customHeight="1">
      <c r="A1" s="61" t="s">
        <v>58</v>
      </c>
      <c r="B1" s="61"/>
      <c r="C1" s="61"/>
      <c r="D1" s="61"/>
      <c r="E1" s="61"/>
    </row>
    <row r="2" spans="1:77" ht="16.5" customHeight="1" thickBot="1">
      <c r="A2" s="62" t="s">
        <v>0</v>
      </c>
      <c r="B2" s="62"/>
      <c r="C2" s="62"/>
      <c r="D2" s="62"/>
      <c r="E2" s="62"/>
    </row>
    <row r="3" spans="1:77" s="8" customFormat="1" ht="15.75" customHeight="1" thickBot="1">
      <c r="A3" s="4" t="s">
        <v>1</v>
      </c>
      <c r="B3" s="4" t="s">
        <v>2</v>
      </c>
      <c r="C3" s="5" t="s">
        <v>3</v>
      </c>
      <c r="D3" s="4" t="s">
        <v>4</v>
      </c>
      <c r="E3" s="4" t="s">
        <v>5</v>
      </c>
      <c r="F3" s="6"/>
      <c r="G3" s="6"/>
      <c r="H3" s="6"/>
      <c r="I3" s="6"/>
      <c r="J3" s="6"/>
      <c r="K3" s="6"/>
      <c r="L3" s="6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</row>
    <row r="4" spans="1:77" ht="30">
      <c r="A4" s="30" t="s">
        <v>6</v>
      </c>
      <c r="B4" s="9" t="s">
        <v>51</v>
      </c>
      <c r="C4" s="10"/>
      <c r="D4" s="11"/>
      <c r="E4" s="12" t="s">
        <v>50</v>
      </c>
    </row>
    <row r="5" spans="1:77">
      <c r="A5" s="29" t="s">
        <v>7</v>
      </c>
      <c r="B5" s="13" t="s">
        <v>52</v>
      </c>
      <c r="C5" s="14"/>
      <c r="D5" s="15"/>
      <c r="E5" s="16"/>
    </row>
    <row r="6" spans="1:77">
      <c r="A6" s="29" t="s">
        <v>8</v>
      </c>
      <c r="B6" s="13"/>
      <c r="C6" s="14"/>
      <c r="D6" s="15"/>
      <c r="E6" s="60"/>
    </row>
    <row r="7" spans="1:77">
      <c r="A7" s="29" t="s">
        <v>9</v>
      </c>
      <c r="B7" s="13" t="s">
        <v>53</v>
      </c>
      <c r="C7" s="14"/>
      <c r="D7" s="15"/>
      <c r="E7" s="60"/>
    </row>
    <row r="8" spans="1:77">
      <c r="A8" s="29" t="s">
        <v>10</v>
      </c>
      <c r="B8" s="32">
        <v>264</v>
      </c>
      <c r="C8" s="14" t="s">
        <v>11</v>
      </c>
      <c r="D8" s="15"/>
      <c r="E8" s="60"/>
    </row>
    <row r="9" spans="1:77">
      <c r="A9" s="29" t="s">
        <v>12</v>
      </c>
      <c r="B9" s="32">
        <v>184</v>
      </c>
      <c r="C9" s="14" t="s">
        <v>11</v>
      </c>
      <c r="D9" s="17">
        <f>IF(B9&lt;20,60,IF(B9&lt;51,40,0))</f>
        <v>0</v>
      </c>
      <c r="E9" s="16" t="s">
        <v>13</v>
      </c>
    </row>
    <row r="10" spans="1:77" ht="15" customHeight="1">
      <c r="A10" s="29" t="s">
        <v>14</v>
      </c>
      <c r="B10" s="32">
        <v>264</v>
      </c>
      <c r="C10" s="14" t="s">
        <v>11</v>
      </c>
      <c r="D10" s="15"/>
      <c r="E10" s="16"/>
    </row>
    <row r="11" spans="1:77">
      <c r="A11" s="29" t="s">
        <v>15</v>
      </c>
      <c r="B11" s="32">
        <v>25</v>
      </c>
      <c r="C11" s="14" t="s">
        <v>16</v>
      </c>
      <c r="D11" s="15"/>
      <c r="E11" s="16"/>
    </row>
    <row r="12" spans="1:77" ht="30">
      <c r="A12" s="29" t="s">
        <v>17</v>
      </c>
      <c r="B12" s="32">
        <v>6</v>
      </c>
      <c r="C12" s="14" t="s">
        <v>16</v>
      </c>
      <c r="D12" s="15"/>
      <c r="E12" s="16" t="s">
        <v>46</v>
      </c>
    </row>
    <row r="13" spans="1:77" ht="30">
      <c r="A13" s="29" t="s">
        <v>47</v>
      </c>
      <c r="B13" s="32" t="s">
        <v>49</v>
      </c>
      <c r="C13" s="14"/>
      <c r="D13" s="15"/>
      <c r="E13" s="16" t="s">
        <v>48</v>
      </c>
    </row>
    <row r="14" spans="1:77" ht="45">
      <c r="A14" s="29" t="s">
        <v>18</v>
      </c>
      <c r="B14" s="32" t="s">
        <v>19</v>
      </c>
      <c r="C14" s="14"/>
      <c r="D14" s="17">
        <f>IF(B14="Type 3",10,IF(B14="Type 1","NOT GWUDI",10))</f>
        <v>10</v>
      </c>
      <c r="E14" s="16" t="s">
        <v>59</v>
      </c>
    </row>
    <row r="15" spans="1:77" ht="45">
      <c r="A15" s="29" t="s">
        <v>45</v>
      </c>
      <c r="B15" s="32">
        <v>0.25</v>
      </c>
      <c r="C15" s="14"/>
      <c r="D15" s="15"/>
      <c r="E15" s="16" t="s">
        <v>44</v>
      </c>
    </row>
    <row r="16" spans="1:77" ht="105">
      <c r="A16" s="29" t="s">
        <v>20</v>
      </c>
      <c r="B16" s="32" t="s">
        <v>54</v>
      </c>
      <c r="C16" s="14"/>
      <c r="D16" s="15"/>
      <c r="E16" s="16" t="s">
        <v>21</v>
      </c>
    </row>
    <row r="17" spans="1:5">
      <c r="A17" s="29" t="s">
        <v>22</v>
      </c>
      <c r="B17" s="32" t="s">
        <v>43</v>
      </c>
      <c r="C17" s="14"/>
      <c r="D17" s="17">
        <f>IF(B17="low",0,IF(B17="moderate",30,IF(B17="no mpa", 10,50)))</f>
        <v>10</v>
      </c>
      <c r="E17" s="16" t="s">
        <v>60</v>
      </c>
    </row>
    <row r="18" spans="1:5">
      <c r="A18" s="31" t="s">
        <v>24</v>
      </c>
      <c r="B18" s="33"/>
      <c r="C18" s="18"/>
      <c r="D18" s="19"/>
      <c r="E18" s="20"/>
    </row>
    <row r="19" spans="1:5" ht="15.75" thickBot="1">
      <c r="A19" s="31" t="s">
        <v>25</v>
      </c>
      <c r="B19" s="33"/>
      <c r="C19" s="18"/>
      <c r="D19" s="19"/>
      <c r="E19" s="21" t="s">
        <v>26</v>
      </c>
    </row>
    <row r="20" spans="1:5" ht="16.5" customHeight="1" thickBot="1">
      <c r="A20" s="63" t="s">
        <v>27</v>
      </c>
      <c r="B20" s="64"/>
      <c r="C20" s="65"/>
      <c r="D20" s="65"/>
      <c r="E20" s="66"/>
    </row>
    <row r="21" spans="1:5">
      <c r="A21" s="45" t="s">
        <v>28</v>
      </c>
      <c r="B21" s="48" t="s">
        <v>55</v>
      </c>
      <c r="C21" s="52"/>
      <c r="D21" s="11"/>
      <c r="E21" s="55" t="s">
        <v>29</v>
      </c>
    </row>
    <row r="22" spans="1:5">
      <c r="A22" s="46" t="s">
        <v>30</v>
      </c>
      <c r="B22" s="32" t="s">
        <v>56</v>
      </c>
      <c r="C22" s="53"/>
      <c r="D22" s="15"/>
      <c r="E22" s="37"/>
    </row>
    <row r="23" spans="1:5">
      <c r="A23" s="46" t="s">
        <v>31</v>
      </c>
      <c r="B23" s="32" t="s">
        <v>57</v>
      </c>
      <c r="C23" s="53"/>
      <c r="D23" s="15"/>
      <c r="E23" s="37"/>
    </row>
    <row r="24" spans="1:5" ht="30">
      <c r="A24" s="46" t="s">
        <v>32</v>
      </c>
      <c r="B24" s="32">
        <v>277</v>
      </c>
      <c r="C24" s="53" t="s">
        <v>11</v>
      </c>
      <c r="D24" s="17">
        <f>IF(B24&lt;100,40,IF(B24&lt;500,20,0))</f>
        <v>20</v>
      </c>
      <c r="E24" s="37" t="s">
        <v>61</v>
      </c>
    </row>
    <row r="25" spans="1:5" ht="45">
      <c r="A25" s="46" t="s">
        <v>33</v>
      </c>
      <c r="B25" s="34">
        <f>SQRT((((B12*0.134)*60*24)*50)/(PI()*(B10-B9)*B15))</f>
        <v>30.35318985824</v>
      </c>
      <c r="C25" s="53" t="s">
        <v>11</v>
      </c>
      <c r="D25" s="17">
        <f>IF(B24&gt;(PRODUCT(B25,1.1)),0,IF(B24&lt;PRODUCT(B25,0.95),30,20))</f>
        <v>0</v>
      </c>
      <c r="E25" s="37" t="s">
        <v>34</v>
      </c>
    </row>
    <row r="26" spans="1:5" ht="30">
      <c r="A26" s="46"/>
      <c r="B26" s="34"/>
      <c r="C26" s="53"/>
      <c r="D26" s="17"/>
      <c r="E26" s="56" t="s">
        <v>35</v>
      </c>
    </row>
    <row r="27" spans="1:5" ht="15.75" thickBot="1">
      <c r="A27" s="47"/>
      <c r="B27" s="35"/>
      <c r="C27" s="54"/>
      <c r="D27" s="36"/>
      <c r="E27" s="3"/>
    </row>
    <row r="28" spans="1:5" ht="18.75">
      <c r="A28" s="39" t="s">
        <v>36</v>
      </c>
      <c r="B28" s="49"/>
      <c r="C28" s="40"/>
      <c r="D28" s="57">
        <f>SUM(D17+D25+D24+D14+D9)</f>
        <v>40</v>
      </c>
      <c r="E28" s="37" t="s">
        <v>62</v>
      </c>
    </row>
    <row r="29" spans="1:5" ht="15.75" thickBot="1">
      <c r="A29" s="41"/>
      <c r="B29" s="50"/>
      <c r="C29" s="38"/>
      <c r="D29" s="58"/>
      <c r="E29" s="44" t="s">
        <v>63</v>
      </c>
    </row>
    <row r="30" spans="1:5" ht="15.75" thickBot="1">
      <c r="A30" s="42"/>
      <c r="B30" s="51"/>
      <c r="C30" s="43"/>
      <c r="D30" s="59"/>
      <c r="E30" s="44"/>
    </row>
    <row r="31" spans="1:5" s="1" customFormat="1">
      <c r="A31" s="22"/>
      <c r="B31" s="23"/>
      <c r="D31" s="24"/>
      <c r="E31" s="22"/>
    </row>
    <row r="32" spans="1:5" s="1" customFormat="1">
      <c r="A32" s="22"/>
      <c r="B32" s="23"/>
      <c r="D32" s="24"/>
      <c r="E32" s="22"/>
    </row>
    <row r="33" spans="1:5" s="1" customFormat="1">
      <c r="A33" s="22"/>
      <c r="B33" s="23"/>
      <c r="D33" s="24"/>
      <c r="E33" s="22"/>
    </row>
    <row r="34" spans="1:5" s="1" customFormat="1">
      <c r="A34" s="22"/>
      <c r="B34" s="23"/>
      <c r="D34" s="24"/>
      <c r="E34" s="22"/>
    </row>
    <row r="35" spans="1:5" s="1" customFormat="1">
      <c r="A35" s="22"/>
      <c r="B35" s="23"/>
      <c r="D35" s="24"/>
      <c r="E35" s="22"/>
    </row>
    <row r="36" spans="1:5" s="1" customFormat="1">
      <c r="A36" s="22"/>
      <c r="B36" s="23"/>
      <c r="D36" s="24"/>
      <c r="E36" s="22"/>
    </row>
    <row r="37" spans="1:5" s="1" customFormat="1">
      <c r="A37" s="22"/>
      <c r="B37" s="23"/>
      <c r="D37" s="24"/>
      <c r="E37" s="22"/>
    </row>
    <row r="38" spans="1:5" s="1" customFormat="1">
      <c r="A38" s="22"/>
      <c r="B38" s="23"/>
      <c r="D38" s="24"/>
      <c r="E38" s="22"/>
    </row>
    <row r="39" spans="1:5" s="1" customFormat="1">
      <c r="A39" s="22"/>
      <c r="B39" s="23"/>
      <c r="D39" s="24"/>
      <c r="E39" s="22"/>
    </row>
    <row r="40" spans="1:5" s="1" customFormat="1">
      <c r="A40" s="22"/>
      <c r="B40" s="23"/>
      <c r="D40" s="24"/>
      <c r="E40" s="22"/>
    </row>
    <row r="41" spans="1:5" s="1" customFormat="1">
      <c r="A41" s="22"/>
      <c r="B41" s="23"/>
      <c r="D41" s="24"/>
      <c r="E41" s="22"/>
    </row>
    <row r="42" spans="1:5" s="1" customFormat="1">
      <c r="A42" s="22"/>
      <c r="B42" s="23"/>
      <c r="D42" s="24"/>
      <c r="E42" s="22"/>
    </row>
    <row r="43" spans="1:5" s="1" customFormat="1">
      <c r="A43" s="22"/>
      <c r="B43" s="23"/>
      <c r="D43" s="24"/>
      <c r="E43" s="22"/>
    </row>
    <row r="44" spans="1:5" s="1" customFormat="1">
      <c r="A44" s="22"/>
      <c r="B44" s="23"/>
      <c r="D44" s="24"/>
      <c r="E44" s="22"/>
    </row>
    <row r="45" spans="1:5" s="1" customFormat="1">
      <c r="A45" s="22"/>
      <c r="B45" s="23"/>
      <c r="D45" s="24"/>
      <c r="E45" s="22"/>
    </row>
    <row r="46" spans="1:5" s="1" customFormat="1">
      <c r="A46" s="22"/>
      <c r="B46" s="23"/>
      <c r="D46" s="24"/>
      <c r="E46" s="22"/>
    </row>
    <row r="47" spans="1:5" s="1" customFormat="1">
      <c r="A47" s="22"/>
      <c r="B47" s="23"/>
      <c r="D47" s="24"/>
      <c r="E47" s="22"/>
    </row>
    <row r="48" spans="1:5" s="1" customFormat="1">
      <c r="A48" s="22"/>
      <c r="B48" s="23"/>
      <c r="D48" s="24"/>
      <c r="E48" s="22"/>
    </row>
    <row r="49" spans="1:5" s="1" customFormat="1">
      <c r="A49" s="22"/>
      <c r="B49" s="23"/>
      <c r="D49" s="24"/>
      <c r="E49" s="22"/>
    </row>
    <row r="50" spans="1:5" s="1" customFormat="1">
      <c r="A50" s="22"/>
      <c r="B50" s="23"/>
      <c r="D50" s="24"/>
      <c r="E50" s="22"/>
    </row>
    <row r="51" spans="1:5" s="1" customFormat="1">
      <c r="A51" s="22"/>
      <c r="B51" s="23"/>
      <c r="D51" s="24"/>
      <c r="E51" s="22"/>
    </row>
    <row r="52" spans="1:5" s="1" customFormat="1">
      <c r="A52" s="22"/>
      <c r="B52" s="23"/>
      <c r="D52" s="24"/>
      <c r="E52" s="22"/>
    </row>
    <row r="53" spans="1:5" s="1" customFormat="1">
      <c r="A53" s="22"/>
      <c r="B53" s="23"/>
      <c r="D53" s="24"/>
      <c r="E53" s="22"/>
    </row>
    <row r="54" spans="1:5" s="1" customFormat="1">
      <c r="A54" s="22"/>
      <c r="B54" s="23"/>
      <c r="D54" s="24"/>
      <c r="E54" s="22"/>
    </row>
    <row r="55" spans="1:5" s="1" customFormat="1">
      <c r="A55" s="22"/>
      <c r="B55" s="23"/>
      <c r="D55" s="24"/>
      <c r="E55" s="22"/>
    </row>
    <row r="56" spans="1:5" s="1" customFormat="1">
      <c r="A56" s="22"/>
      <c r="B56" s="23"/>
      <c r="D56" s="24"/>
      <c r="E56" s="22"/>
    </row>
    <row r="57" spans="1:5" s="1" customFormat="1">
      <c r="A57" s="22"/>
      <c r="B57" s="23"/>
      <c r="D57" s="24"/>
      <c r="E57" s="22"/>
    </row>
    <row r="58" spans="1:5" s="1" customFormat="1">
      <c r="A58" s="22"/>
      <c r="B58" s="23"/>
      <c r="D58" s="24"/>
      <c r="E58" s="22"/>
    </row>
    <row r="59" spans="1:5" s="1" customFormat="1">
      <c r="A59" s="22"/>
      <c r="B59" s="23"/>
      <c r="D59" s="24"/>
      <c r="E59" s="22"/>
    </row>
    <row r="60" spans="1:5" s="1" customFormat="1">
      <c r="A60" s="22"/>
      <c r="B60" s="23"/>
      <c r="D60" s="24"/>
      <c r="E60" s="22"/>
    </row>
    <row r="61" spans="1:5" s="1" customFormat="1">
      <c r="A61" s="22"/>
      <c r="B61" s="23"/>
      <c r="D61" s="24"/>
      <c r="E61" s="22"/>
    </row>
    <row r="62" spans="1:5" s="1" customFormat="1">
      <c r="A62" s="22"/>
      <c r="B62" s="23"/>
      <c r="D62" s="24"/>
      <c r="E62" s="22"/>
    </row>
    <row r="63" spans="1:5" s="1" customFormat="1">
      <c r="A63" s="22"/>
      <c r="B63" s="23"/>
      <c r="D63" s="23" t="s">
        <v>37</v>
      </c>
      <c r="E63" s="22" t="s">
        <v>38</v>
      </c>
    </row>
    <row r="64" spans="1:5" s="1" customFormat="1">
      <c r="A64" s="22"/>
      <c r="B64" s="23"/>
      <c r="D64" s="23" t="s">
        <v>39</v>
      </c>
      <c r="E64" s="22" t="s">
        <v>40</v>
      </c>
    </row>
    <row r="65" spans="1:5" s="1" customFormat="1">
      <c r="A65" s="22"/>
      <c r="B65" s="23"/>
      <c r="D65" s="23" t="s">
        <v>19</v>
      </c>
      <c r="E65" s="22"/>
    </row>
    <row r="66" spans="1:5" s="1" customFormat="1">
      <c r="A66" s="22"/>
      <c r="B66" s="23"/>
      <c r="D66" s="23"/>
      <c r="E66" s="22"/>
    </row>
    <row r="67" spans="1:5" s="1" customFormat="1">
      <c r="A67" s="22"/>
      <c r="B67" s="23"/>
      <c r="D67" s="23"/>
      <c r="E67" s="22"/>
    </row>
    <row r="68" spans="1:5" s="1" customFormat="1">
      <c r="A68" s="22"/>
      <c r="B68" s="23"/>
      <c r="D68" s="23" t="s">
        <v>41</v>
      </c>
      <c r="E68" s="22"/>
    </row>
    <row r="69" spans="1:5" s="1" customFormat="1" ht="30">
      <c r="A69" s="22"/>
      <c r="B69" s="23"/>
      <c r="D69" s="23" t="s">
        <v>23</v>
      </c>
      <c r="E69" s="22"/>
    </row>
    <row r="70" spans="1:5" s="1" customFormat="1">
      <c r="A70" s="22"/>
      <c r="B70" s="23"/>
      <c r="D70" s="23" t="s">
        <v>42</v>
      </c>
      <c r="E70" s="22"/>
    </row>
    <row r="71" spans="1:5" s="1" customFormat="1" ht="30">
      <c r="A71" s="22"/>
      <c r="B71" s="23"/>
      <c r="D71" s="23" t="s">
        <v>43</v>
      </c>
      <c r="E71" s="22"/>
    </row>
  </sheetData>
  <mergeCells count="3">
    <mergeCell ref="A1:E1"/>
    <mergeCell ref="A2:E2"/>
    <mergeCell ref="A20:E20"/>
  </mergeCells>
  <dataValidations count="3">
    <dataValidation type="list" allowBlank="1" showInputMessage="1" showErrorMessage="1" sqref="B18">
      <formula1>$E$63:$E$64</formula1>
    </dataValidation>
    <dataValidation type="list" allowBlank="1" showInputMessage="1" showErrorMessage="1" sqref="B17">
      <formula1>$D$68:$D$71</formula1>
    </dataValidation>
    <dataValidation type="list" allowBlank="1" showInputMessage="1" showErrorMessage="1" sqref="B14">
      <formula1>$D$63:$D$65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2012-07-31T17:47:43Z</dcterms:created>
  <dcterms:modified xsi:type="dcterms:W3CDTF">2013-12-26T17:58:51Z</dcterms:modified>
</cp:coreProperties>
</file>