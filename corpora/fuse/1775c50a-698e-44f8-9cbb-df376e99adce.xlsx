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8520" windowHeight="6672" activeTab="5"/>
  </bookViews>
  <sheets>
    <sheet name="Summury" sheetId="1" r:id="rId1"/>
    <sheet name="Islamabad" sheetId="2" r:id="rId2"/>
    <sheet name="KP" sheetId="9" r:id="rId3"/>
    <sheet name="Balochistan" sheetId="10" r:id="rId4"/>
    <sheet name="Sindh" sheetId="7" r:id="rId5"/>
    <sheet name="Punjab" sheetId="8" r:id="rId6"/>
  </sheets>
  <definedNames>
    <definedName name="_xlnm.Print_Area" localSheetId="0">Summury!$A$1:$J$41</definedName>
  </definedNames>
  <calcPr calcId="144525"/>
</workbook>
</file>

<file path=xl/calcChain.xml><?xml version="1.0" encoding="utf-8"?>
<calcChain xmlns="http://schemas.openxmlformats.org/spreadsheetml/2006/main">
  <c r="F39" i="1" l="1"/>
  <c r="H20" i="1"/>
  <c r="F35" i="1" l="1"/>
  <c r="H15" i="1"/>
  <c r="F34" i="1" l="1"/>
  <c r="H14" i="1"/>
  <c r="A4" i="9" l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H9" i="1" l="1"/>
  <c r="F40" i="1" l="1"/>
  <c r="F38" i="1"/>
  <c r="F37" i="1"/>
  <c r="F36" i="1"/>
  <c r="F30" i="1"/>
  <c r="H7" i="1" l="1"/>
  <c r="H6" i="1"/>
  <c r="F22" i="1" l="1"/>
  <c r="G22" i="1"/>
  <c r="H22" i="1"/>
  <c r="F8" i="1" l="1"/>
  <c r="G8" i="1"/>
  <c r="E41" i="1" l="1"/>
  <c r="D41" i="1"/>
  <c r="B41" i="1"/>
  <c r="F32" i="1"/>
  <c r="F31" i="1"/>
  <c r="F29" i="1"/>
  <c r="F41" i="1" s="1"/>
  <c r="F16" i="1" l="1"/>
  <c r="G16" i="1"/>
  <c r="H16" i="1"/>
  <c r="H8" i="1" l="1"/>
  <c r="H4" i="1" l="1"/>
  <c r="F5" i="1"/>
  <c r="G5" i="1"/>
  <c r="H12" i="1"/>
  <c r="H23" i="1" s="1"/>
  <c r="G12" i="1"/>
  <c r="G23" i="1" s="1"/>
  <c r="F12" i="1"/>
  <c r="F23" i="1" s="1"/>
  <c r="H5" i="1" l="1"/>
</calcChain>
</file>

<file path=xl/sharedStrings.xml><?xml version="1.0" encoding="utf-8"?>
<sst xmlns="http://schemas.openxmlformats.org/spreadsheetml/2006/main" count="2861" uniqueCount="1376">
  <si>
    <t>Province</t>
  </si>
  <si>
    <t>Male</t>
  </si>
  <si>
    <t>Female</t>
  </si>
  <si>
    <t>Total</t>
  </si>
  <si>
    <t>Balochistan</t>
  </si>
  <si>
    <t>KP</t>
  </si>
  <si>
    <t>Sub -total KP</t>
  </si>
  <si>
    <t>Sindh</t>
  </si>
  <si>
    <t>Sub –total Sindh</t>
  </si>
  <si>
    <t>Punjab</t>
  </si>
  <si>
    <t>Sub-total Punjab</t>
  </si>
  <si>
    <t>Participants</t>
  </si>
  <si>
    <t>Islamabad</t>
  </si>
  <si>
    <t>July 26 – 27, 2011</t>
  </si>
  <si>
    <t>Save the children</t>
  </si>
  <si>
    <t>S. No</t>
  </si>
  <si>
    <t xml:space="preserve">Name </t>
  </si>
  <si>
    <t>Organization</t>
  </si>
  <si>
    <t>Designation</t>
  </si>
  <si>
    <t>Contact no (optional)</t>
  </si>
  <si>
    <t xml:space="preserve">Email </t>
  </si>
  <si>
    <t>Aug 26 – 27, 2011</t>
  </si>
  <si>
    <t>Training location</t>
  </si>
  <si>
    <t xml:space="preserve">Training date </t>
  </si>
  <si>
    <t xml:space="preserve">Training  venue </t>
  </si>
  <si>
    <t>Trainers</t>
  </si>
  <si>
    <t>List of Participants trained on  INEE Minimum Standards for Education</t>
  </si>
  <si>
    <t>Swat</t>
  </si>
  <si>
    <t>Quetta</t>
  </si>
  <si>
    <t>Multan</t>
  </si>
  <si>
    <t>Mian Wali</t>
  </si>
  <si>
    <t>Grand total</t>
  </si>
  <si>
    <t>Area covered</t>
  </si>
  <si>
    <t>Sub -total Islamabad</t>
  </si>
  <si>
    <t>Sub -total Balochistan</t>
  </si>
  <si>
    <t xml:space="preserve">Supporting Agencies </t>
  </si>
  <si>
    <t xml:space="preserve">Information of   Training Conducted  by Education  ERWG Pakistan  on INEE Minimum Standards for Education </t>
  </si>
  <si>
    <t>Serena Hotel, Shehmahil Hall</t>
  </si>
  <si>
    <t>Sabina Ahmad, Value Resources
Amson Simbolon, UNICEF
Erum Burki, Save the Children</t>
  </si>
  <si>
    <t>Islamabad, Serena Hotel</t>
  </si>
  <si>
    <t xml:space="preserve">Fawad Ahmed </t>
  </si>
  <si>
    <t>M&amp;E Manager</t>
  </si>
  <si>
    <t>ED-Links</t>
  </si>
  <si>
    <t>fawada@edlinks.org.pk</t>
  </si>
  <si>
    <t>0302-8380031</t>
  </si>
  <si>
    <t xml:space="preserve">Badre Hassan </t>
  </si>
  <si>
    <t>FATA Secretariat</t>
  </si>
  <si>
    <t>Dep-Director</t>
  </si>
  <si>
    <t>badar_hassan@yahoo.com</t>
  </si>
  <si>
    <t>0342-9873892</t>
  </si>
  <si>
    <t>M. Uris Umrani</t>
  </si>
  <si>
    <t>Devcon</t>
  </si>
  <si>
    <t>Program Officer</t>
  </si>
  <si>
    <t>uris.urmrani@devcon.pk.org</t>
  </si>
  <si>
    <t>0300-8569436</t>
  </si>
  <si>
    <t>Tariq Mahmood</t>
  </si>
  <si>
    <t>PESRP</t>
  </si>
  <si>
    <t>Program Manager</t>
  </si>
  <si>
    <t>dmo.mgarh@gmail.com</t>
  </si>
  <si>
    <t>0300-6330061</t>
  </si>
  <si>
    <t xml:space="preserve">Nisar Ahmed </t>
  </si>
  <si>
    <t>Project Officer</t>
  </si>
  <si>
    <t>nisar@helpinneed.org</t>
  </si>
  <si>
    <t>0345-5530135</t>
  </si>
  <si>
    <t>Help in Need</t>
  </si>
  <si>
    <t>Farukh Mirza</t>
  </si>
  <si>
    <t>UNICEF</t>
  </si>
  <si>
    <t>Coordinator/Multan</t>
  </si>
  <si>
    <t>fwmirza@unicef.org</t>
  </si>
  <si>
    <t>0333-8183934</t>
  </si>
  <si>
    <t>Fazal Haleem</t>
  </si>
  <si>
    <t>Save the Children</t>
  </si>
  <si>
    <t xml:space="preserve">Prject Coordinator </t>
  </si>
  <si>
    <t>fazal.haleem@savethechildren.org</t>
  </si>
  <si>
    <t>0300-5744243</t>
  </si>
  <si>
    <t xml:space="preserve">Gulnaz Jabeen </t>
  </si>
  <si>
    <t>Education IMO</t>
  </si>
  <si>
    <t>gjabeen@unicef.org</t>
  </si>
  <si>
    <t>0336-9891797</t>
  </si>
  <si>
    <t>Gohar Ayub Shah</t>
  </si>
  <si>
    <t xml:space="preserve">BEEJ </t>
  </si>
  <si>
    <t>Porject Officer</t>
  </si>
  <si>
    <t>goharayub2000@yahoo.com</t>
  </si>
  <si>
    <t>0300-5502220</t>
  </si>
  <si>
    <t xml:space="preserve">M. Asad Malik </t>
  </si>
  <si>
    <t>SOACH</t>
  </si>
  <si>
    <t>District Coordinator</t>
  </si>
  <si>
    <t>asad@soach.org.pk</t>
  </si>
  <si>
    <t>0321-4348187</t>
  </si>
  <si>
    <t>Fazal Rahim</t>
  </si>
  <si>
    <t>Coordinator/Hayderabad</t>
  </si>
  <si>
    <t>frahim@unicef.org</t>
  </si>
  <si>
    <t>0302-8061051</t>
  </si>
  <si>
    <t>Amir Ali</t>
  </si>
  <si>
    <t>Coordinator/KPK</t>
  </si>
  <si>
    <t>amir.ali@savethechildren.org</t>
  </si>
  <si>
    <t>Nils Kauffamn</t>
  </si>
  <si>
    <t>IRC</t>
  </si>
  <si>
    <t>Education Advisor</t>
  </si>
  <si>
    <t>nils.kauffman@rescue.org</t>
  </si>
  <si>
    <t>0345-5023032</t>
  </si>
  <si>
    <t>Saqia Afridi</t>
  </si>
  <si>
    <t>World Vision</t>
  </si>
  <si>
    <t>Education Specialist</t>
  </si>
  <si>
    <t>saiqa_afridi@wvi.org</t>
  </si>
  <si>
    <t>0344-8005551</t>
  </si>
  <si>
    <t>0344-5888831</t>
  </si>
  <si>
    <t>Dure Yasmin</t>
  </si>
  <si>
    <t>SACHET</t>
  </si>
  <si>
    <t>dure.yasmeen@gmail.com</t>
  </si>
  <si>
    <t>0344-50118999</t>
  </si>
  <si>
    <t>Khadeeja Qasmi</t>
  </si>
  <si>
    <t>WFP</t>
  </si>
  <si>
    <t>Progrma Assistant</t>
  </si>
  <si>
    <t>khadeeja.qasmi@wfp.org</t>
  </si>
  <si>
    <t>0345-8563474</t>
  </si>
  <si>
    <t>Shahid</t>
  </si>
  <si>
    <t xml:space="preserve">Sr. Emergency Coordinator </t>
  </si>
  <si>
    <t>shahid.abbas@savethechildren.org</t>
  </si>
  <si>
    <t>0300-4495575</t>
  </si>
  <si>
    <t>Afsar Ali</t>
  </si>
  <si>
    <t>PRDS</t>
  </si>
  <si>
    <t>Project Coordinator</t>
  </si>
  <si>
    <t>afsar.ali@prdspak.org</t>
  </si>
  <si>
    <t>0333-3667797</t>
  </si>
  <si>
    <t>Asghar Ali</t>
  </si>
  <si>
    <t>Education Ministry</t>
  </si>
  <si>
    <t>Edu Consultant</t>
  </si>
  <si>
    <t>asgharalikhan@yahoo.com</t>
  </si>
  <si>
    <t>0300-9058550</t>
  </si>
  <si>
    <t>Saima Abbasi</t>
  </si>
  <si>
    <t>saabbasi@unicef.org</t>
  </si>
  <si>
    <t>0300-5612471</t>
  </si>
  <si>
    <t>Qurban Ali Solangi</t>
  </si>
  <si>
    <t xml:space="preserve">President </t>
  </si>
  <si>
    <t>peacelarkana@yahoo.com</t>
  </si>
  <si>
    <t>0300-3416672</t>
  </si>
  <si>
    <t>M. Bashir</t>
  </si>
  <si>
    <t>Khosar NGO</t>
  </si>
  <si>
    <t>Coordinator</t>
  </si>
  <si>
    <t>khosarngo@gmail.com</t>
  </si>
  <si>
    <t>0345-2195083</t>
  </si>
  <si>
    <t>Atiya Nawaz</t>
  </si>
  <si>
    <t>0300-5635456</t>
  </si>
  <si>
    <t>Rizwan Ullah</t>
  </si>
  <si>
    <t>Coordinator/Sukker</t>
  </si>
  <si>
    <t>rkhan@unicef.org</t>
  </si>
  <si>
    <t>Sageer Ahmad</t>
  </si>
  <si>
    <t>Coordinator/Quetta</t>
  </si>
  <si>
    <t>sahmad@unicef.org</t>
  </si>
  <si>
    <t xml:space="preserve">Zeeshan Noel </t>
  </si>
  <si>
    <t>NDMA</t>
  </si>
  <si>
    <t>zeeshan.noel@gmail.com</t>
  </si>
  <si>
    <t>Jamal Janjua</t>
  </si>
  <si>
    <t>progrma Officer</t>
  </si>
  <si>
    <t>0342-5050087</t>
  </si>
  <si>
    <t>m.jamaljanjua@gmail.com</t>
  </si>
  <si>
    <t>0347-5183312</t>
  </si>
  <si>
    <t>0333-7809592</t>
  </si>
  <si>
    <t>0300-8500953</t>
  </si>
  <si>
    <t>NIDA Pakistan</t>
  </si>
  <si>
    <t>Amson Simbolon</t>
  </si>
  <si>
    <t>asimbolon@unicef.org</t>
  </si>
  <si>
    <t>0345-5006561</t>
  </si>
  <si>
    <t>Erum Burki</t>
  </si>
  <si>
    <t>erum.buki@savethechildren.org</t>
  </si>
  <si>
    <t>0345-8540768</t>
  </si>
  <si>
    <t>Ehsan Ullah</t>
  </si>
  <si>
    <t>IMO</t>
  </si>
  <si>
    <t>eullah@unicef.org</t>
  </si>
  <si>
    <t>0333-9843531</t>
  </si>
  <si>
    <t xml:space="preserve">Asma Ansari </t>
  </si>
  <si>
    <t>Program Assistant</t>
  </si>
  <si>
    <t>aansari@unicef.org</t>
  </si>
  <si>
    <t>051-2097828</t>
  </si>
  <si>
    <t>Sabina Ahmad</t>
  </si>
  <si>
    <t xml:space="preserve">Value Resource </t>
  </si>
  <si>
    <t>Resource Person</t>
  </si>
  <si>
    <t>sabina.ahmad@valueresource.org</t>
  </si>
  <si>
    <t>0332-8552315</t>
  </si>
  <si>
    <t>Faiza Rahman</t>
  </si>
  <si>
    <t>faiza.ramzan@valueresource.org</t>
  </si>
  <si>
    <t>0333-5591771</t>
  </si>
  <si>
    <t>Faisal Zia</t>
  </si>
  <si>
    <t>faisal.zia@valueresource.org</t>
  </si>
  <si>
    <t>0332-5182385</t>
  </si>
  <si>
    <t>Balochistan Province</t>
  </si>
  <si>
    <t>Sabina Ahmad, Value Resources
Sagheer Ahmed,UNICEF</t>
  </si>
  <si>
    <t>KP,Balochistan,Punjab,
ICT islamaabad</t>
  </si>
  <si>
    <t>Sehrish Nagi</t>
  </si>
  <si>
    <t>TKF</t>
  </si>
  <si>
    <t>R &amp; D Associate</t>
  </si>
  <si>
    <t>sehrish_nagi@yahoo.com</t>
  </si>
  <si>
    <t>03337928822</t>
  </si>
  <si>
    <t>Sadaf Rasheed</t>
  </si>
  <si>
    <t>Teach Welfare</t>
  </si>
  <si>
    <t>rasheed.sadaf@gmail.com</t>
  </si>
  <si>
    <t>03458160170</t>
  </si>
  <si>
    <t>Aug 26 – 27, 2012</t>
  </si>
  <si>
    <t>Rabia Rehmat</t>
  </si>
  <si>
    <t>Program Associate</t>
  </si>
  <si>
    <t>rabia.rehmat@yahoo.com</t>
  </si>
  <si>
    <t>Aug 26 – 27, 2013</t>
  </si>
  <si>
    <t>Asia Baloch</t>
  </si>
  <si>
    <t>SEHER</t>
  </si>
  <si>
    <t>SO</t>
  </si>
  <si>
    <t>asia_mehar@yahoo.com</t>
  </si>
  <si>
    <t>Aug 26 – 27, 2014</t>
  </si>
  <si>
    <t>Maryam</t>
  </si>
  <si>
    <t>BFD</t>
  </si>
  <si>
    <t>03138220243</t>
  </si>
  <si>
    <t>Aug 26 – 27, 2015</t>
  </si>
  <si>
    <t>Muhammad Ayub</t>
  </si>
  <si>
    <t>BBSA</t>
  </si>
  <si>
    <t>Assisstant Project Manager</t>
  </si>
  <si>
    <t>malehri@yahoo.com</t>
  </si>
  <si>
    <t>03453942609</t>
  </si>
  <si>
    <t>Aug 26 – 27, 2016</t>
  </si>
  <si>
    <t>Sami ullah</t>
  </si>
  <si>
    <t>samee.khan2002@gmail.com</t>
  </si>
  <si>
    <t>03458387461</t>
  </si>
  <si>
    <t>Aug 26 – 27, 2017</t>
  </si>
  <si>
    <t>Saleh Shah</t>
  </si>
  <si>
    <t>IDO</t>
  </si>
  <si>
    <t>Field Monitor</t>
  </si>
  <si>
    <t>sss_arif2000@yahoo.com</t>
  </si>
  <si>
    <t>03342320997</t>
  </si>
  <si>
    <t>Aug 26 – 27, 2018</t>
  </si>
  <si>
    <t>Hameeda Baloch</t>
  </si>
  <si>
    <t>SCSPEB</t>
  </si>
  <si>
    <t>ECE Facilitator</t>
  </si>
  <si>
    <t>hameedabaloch@hotmail.com</t>
  </si>
  <si>
    <t>Aug 26 – 27, 2019</t>
  </si>
  <si>
    <t>Muhammad Alam</t>
  </si>
  <si>
    <t>M &amp; E Officer</t>
  </si>
  <si>
    <t>alam_sumalani75@yahoo.com</t>
  </si>
  <si>
    <t>03337879421</t>
  </si>
  <si>
    <t>Aug 26 – 27, 2020</t>
  </si>
  <si>
    <t>Irfan khan</t>
  </si>
  <si>
    <t>Directorate of Education</t>
  </si>
  <si>
    <t>Deputy Director</t>
  </si>
  <si>
    <t>irfan6599@yahoo.com</t>
  </si>
  <si>
    <t>03003818384</t>
  </si>
  <si>
    <t>Aug 26 – 27, 2021</t>
  </si>
  <si>
    <t>Afzal Butt</t>
  </si>
  <si>
    <t>Legend Society</t>
  </si>
  <si>
    <t>info@legendsociety.org</t>
  </si>
  <si>
    <t>03318096124</t>
  </si>
  <si>
    <t>Aug 26 – 27, 2022</t>
  </si>
  <si>
    <t>Sajjad Anwar</t>
  </si>
  <si>
    <t>sak199@yahoo.com</t>
  </si>
  <si>
    <t>03003853954</t>
  </si>
  <si>
    <t>Aug 26 – 27, 2023</t>
  </si>
  <si>
    <t>Ahmed Khan</t>
  </si>
  <si>
    <t>Proud Pakistan</t>
  </si>
  <si>
    <t>proudsibi@gmail.com</t>
  </si>
  <si>
    <t>03337710660</t>
  </si>
  <si>
    <t>Aug 26 – 27, 2024</t>
  </si>
  <si>
    <t>Abdul Hafeez</t>
  </si>
  <si>
    <t>BDI</t>
  </si>
  <si>
    <t>bdi_qta@yahoo.com</t>
  </si>
  <si>
    <t>03337897264</t>
  </si>
  <si>
    <t>Aug 26 – 27, 2025</t>
  </si>
  <si>
    <t>Hameed Gharsheen</t>
  </si>
  <si>
    <t>Youth Organization</t>
  </si>
  <si>
    <t>garsheen@youth.org.pk</t>
  </si>
  <si>
    <t>03337920854</t>
  </si>
  <si>
    <t>Aug 26 – 27, 2026</t>
  </si>
  <si>
    <t>Aalia Shah</t>
  </si>
  <si>
    <t>Program coordinator</t>
  </si>
  <si>
    <t>aalia@youth.org.pk</t>
  </si>
  <si>
    <t>0812870001</t>
  </si>
  <si>
    <t>Aug 26 – 27, 2027</t>
  </si>
  <si>
    <t>Abdul Hakeem Bugti</t>
  </si>
  <si>
    <t>PEACE Balochistan</t>
  </si>
  <si>
    <t>Program Coordinator</t>
  </si>
  <si>
    <t>hakeembugti@gmail.com</t>
  </si>
  <si>
    <t>03009383129</t>
  </si>
  <si>
    <t>Aug 26 – 27, 2028</t>
  </si>
  <si>
    <t>Abrar shahwani</t>
  </si>
  <si>
    <t>Education Officer</t>
  </si>
  <si>
    <t>ibrar.shahwani@savethechildren.org</t>
  </si>
  <si>
    <t>03337813027</t>
  </si>
  <si>
    <t>Aug 26 – 27, 2029</t>
  </si>
  <si>
    <t>Sadiqa Sultan</t>
  </si>
  <si>
    <t>sadiqa.sultan@yahoo.com</t>
  </si>
  <si>
    <t>03058140700</t>
  </si>
  <si>
    <t>Aug 26 – 27, 2030</t>
  </si>
  <si>
    <t>Sumaira Jahanzeb</t>
  </si>
  <si>
    <t>sumaira_976@hotmail.com</t>
  </si>
  <si>
    <t>03218188141</t>
  </si>
  <si>
    <t>Aug 26 – 27, 2031</t>
  </si>
  <si>
    <t>Zahida</t>
  </si>
  <si>
    <t>PIDS</t>
  </si>
  <si>
    <t>zahida_pids@live.in</t>
  </si>
  <si>
    <t>03033325426</t>
  </si>
  <si>
    <t>Aug 26 – 27, 2032</t>
  </si>
  <si>
    <t>Khalid</t>
  </si>
  <si>
    <t>Project Manager</t>
  </si>
  <si>
    <t>bfd_quetta@yahoo.com</t>
  </si>
  <si>
    <t>0812024494</t>
  </si>
  <si>
    <t>Aug 26 – 27, 2033</t>
  </si>
  <si>
    <t>Shahab Bangash</t>
  </si>
  <si>
    <t>BEEJ</t>
  </si>
  <si>
    <t>Manager Operations</t>
  </si>
  <si>
    <t>shahab_sk@hotmail.com</t>
  </si>
  <si>
    <t>03322369334</t>
  </si>
  <si>
    <t>Aug 26 – 27, 2034</t>
  </si>
  <si>
    <t>Khalid Khetran</t>
  </si>
  <si>
    <t>Communication Officer</t>
  </si>
  <si>
    <t>khalidkhetran@gmail.com</t>
  </si>
  <si>
    <t>03337229995</t>
  </si>
  <si>
    <t>Aug 26 – 27, 2035</t>
  </si>
  <si>
    <t>Shaihna Kakar</t>
  </si>
  <si>
    <t>03337837450</t>
  </si>
  <si>
    <t>Aug 26 – 27, 2036</t>
  </si>
  <si>
    <t>Nasrullah Lashari</t>
  </si>
  <si>
    <t>nasrullah.lashari@savethechildren.org</t>
  </si>
  <si>
    <t>03337082410</t>
  </si>
  <si>
    <t>Aug 26 – 27, 2037</t>
  </si>
  <si>
    <t>Zarbat Khan</t>
  </si>
  <si>
    <t>Taraqee Foundation</t>
  </si>
  <si>
    <t>Field Coordinator Education</t>
  </si>
  <si>
    <t>z_jalalzai@yahoo.com</t>
  </si>
  <si>
    <t>03342323515</t>
  </si>
  <si>
    <t>Aug 26 – 27, 2038</t>
  </si>
  <si>
    <t>Social Orginazer</t>
  </si>
  <si>
    <t>Amir Ali, Save the Children
Saima Abbasi, UNICEF</t>
  </si>
  <si>
    <t>Rahimyar Khan</t>
  </si>
  <si>
    <t>Larkana</t>
  </si>
  <si>
    <t>Amson Simbolon, UNICEF
Rizwan ullha Khan, UNICEF
Qurban Solangi, Peace</t>
  </si>
  <si>
    <t>Larkana, Kamber shadadkot</t>
  </si>
  <si>
    <t>Rizwan ullha Khan, UNICEF
Qurban Solangi, Peace</t>
  </si>
  <si>
    <t>Hyderabad, Badin, Thattah</t>
  </si>
  <si>
    <t>Hyderabad</t>
  </si>
  <si>
    <t xml:space="preserve">Jaccobabad </t>
  </si>
  <si>
    <t>9-10 Sep, 2011</t>
  </si>
  <si>
    <t>11-12 Oct, 2011</t>
  </si>
  <si>
    <t>28-29 Oct, 2011</t>
  </si>
  <si>
    <t>14-15 Sep 2011</t>
  </si>
  <si>
    <t>25-26 Oct. 2011</t>
  </si>
  <si>
    <t>28-29 Sep 2011</t>
  </si>
  <si>
    <t>Brief Summury</t>
  </si>
  <si>
    <t>No of Trining Held</t>
  </si>
  <si>
    <t xml:space="preserve">Location </t>
  </si>
  <si>
    <t>PMIU-PESRP</t>
  </si>
  <si>
    <t>DMO</t>
  </si>
  <si>
    <t xml:space="preserve">dmo.mgarh@gmail.com
</t>
  </si>
  <si>
    <t xml:space="preserve">0300-6330061
0669200126
</t>
  </si>
  <si>
    <t>14-15 Sep, 2011</t>
  </si>
  <si>
    <t>Asif-ur-Rehman</t>
  </si>
  <si>
    <t xml:space="preserve">dmo.bhakhar2gmail.com
</t>
  </si>
  <si>
    <t xml:space="preserve">0333-4727119
</t>
  </si>
  <si>
    <t>Shahid Abbas Joiya</t>
  </si>
  <si>
    <t xml:space="preserve">dmo.layyah@gmail.com
</t>
  </si>
  <si>
    <t xml:space="preserve">0323-6240933
</t>
  </si>
  <si>
    <t>Waqar Akbar</t>
  </si>
  <si>
    <t>Civil Defense</t>
  </si>
  <si>
    <t>Chief Instructor</t>
  </si>
  <si>
    <t xml:space="preserve">waqarakbar4014@yahoo.com
</t>
  </si>
  <si>
    <t>0323-6462689</t>
  </si>
  <si>
    <t>Rahim Bakhsh</t>
  </si>
  <si>
    <t>Instructor</t>
  </si>
  <si>
    <t xml:space="preserve">0333-6084546
</t>
  </si>
  <si>
    <t>Qasim Rabbani</t>
  </si>
  <si>
    <t>Bunyad Foundation</t>
  </si>
  <si>
    <t xml:space="preserve">qasimrabbani3@gmail.com
</t>
  </si>
  <si>
    <t xml:space="preserve">03013-
5179898
</t>
  </si>
  <si>
    <t>M. Safdar</t>
  </si>
  <si>
    <t xml:space="preserve">dmo.khushab@gmail.com
</t>
  </si>
  <si>
    <t xml:space="preserve">0321-7960330
</t>
  </si>
  <si>
    <t>Malik Ahmad</t>
  </si>
  <si>
    <t>Edu. Deptt.</t>
  </si>
  <si>
    <t>Assist Director-Layyah</t>
  </si>
  <si>
    <t xml:space="preserve">0300-6760621
</t>
  </si>
  <si>
    <t>Shahzad Ahmad</t>
  </si>
  <si>
    <t>Hayat Foundation</t>
  </si>
  <si>
    <t xml:space="preserve">peaceactiviest@yahoo.com
</t>
  </si>
  <si>
    <t xml:space="preserve">0333-6945758
</t>
  </si>
  <si>
    <t>Rana Nadeem</t>
  </si>
  <si>
    <t>Sudha</t>
  </si>
  <si>
    <t xml:space="preserve">nadeemiqbalrana@gmail.com
</t>
  </si>
  <si>
    <t xml:space="preserve">0301-7242745
</t>
  </si>
  <si>
    <t>Hina Farooq</t>
  </si>
  <si>
    <t>JSCD</t>
  </si>
  <si>
    <t xml:space="preserve">mud.edu@jscd.org.pk
</t>
  </si>
  <si>
    <t xml:space="preserve">0323-8477270
</t>
  </si>
  <si>
    <t>Hammad Abbasi</t>
  </si>
  <si>
    <t>HRDN</t>
  </si>
  <si>
    <t>SO-Mianwali</t>
  </si>
  <si>
    <t xml:space="preserve">hammadabbasi2000@yahoo.com
</t>
  </si>
  <si>
    <t xml:space="preserve">0333-6034728
</t>
  </si>
  <si>
    <t>Tahira Chishti</t>
  </si>
  <si>
    <t>EDO(Edu)- Mianwali</t>
  </si>
  <si>
    <t xml:space="preserve">deofemalelayyah.edu@gmail.com
</t>
  </si>
  <si>
    <t xml:space="preserve">0301-7479793
</t>
  </si>
  <si>
    <t>Abdul Rehman</t>
  </si>
  <si>
    <t>EDO-Rajanpur</t>
  </si>
  <si>
    <t xml:space="preserve">0315-6138477
</t>
  </si>
  <si>
    <t>Ashraf Ali Zia</t>
  </si>
  <si>
    <t>EDO(Edu)-Jhang</t>
  </si>
  <si>
    <t xml:space="preserve">0321-7535830
</t>
  </si>
  <si>
    <t>Nadia Shafique</t>
  </si>
  <si>
    <t>PMIU-PESRP/DMO</t>
  </si>
  <si>
    <t xml:space="preserve">nadia.shafiq@hotmail.com
</t>
  </si>
  <si>
    <t xml:space="preserve">0346-8600199
</t>
  </si>
  <si>
    <t>Mukhtar Ahmad</t>
  </si>
  <si>
    <t xml:space="preserve">dmo.ryk@gmail.com
</t>
  </si>
  <si>
    <t xml:space="preserve">0300-8775372
068-92-30404
</t>
  </si>
  <si>
    <t>Ghulam Yaseen</t>
  </si>
  <si>
    <t xml:space="preserve">dmo.rajanpur@gmail.com
</t>
  </si>
  <si>
    <t xml:space="preserve">0333-6430763
</t>
  </si>
  <si>
    <t>Abdul Mateen</t>
  </si>
  <si>
    <t>DEO(Edu)-D.G. Khan</t>
  </si>
  <si>
    <t xml:space="preserve">mateen09@hotmail.com
</t>
  </si>
  <si>
    <t xml:space="preserve">0333-6298211
</t>
  </si>
  <si>
    <t>Mubashir Hassan</t>
  </si>
  <si>
    <t>IMO-Edu.</t>
  </si>
  <si>
    <t xml:space="preserve">muhassan@unicef.org
</t>
  </si>
  <si>
    <t xml:space="preserve">0301-5358362
</t>
  </si>
  <si>
    <t>Sadia Hameed</t>
  </si>
  <si>
    <t>Program Officer-Edu</t>
  </si>
  <si>
    <t xml:space="preserve">sahameed@unicef.org
</t>
  </si>
  <si>
    <t xml:space="preserve">0332-5138860
</t>
  </si>
  <si>
    <t>M. Muzamil Bashir</t>
  </si>
  <si>
    <t xml:space="preserve">dmo.dgkhan@gmail.com
</t>
  </si>
  <si>
    <t xml:space="preserve">0333-6032588
</t>
  </si>
  <si>
    <t>Muhammad Ansar</t>
  </si>
  <si>
    <t xml:space="preserve">dmo.jhang@gmail.com
</t>
  </si>
  <si>
    <t xml:space="preserve">0306-7691722
</t>
  </si>
  <si>
    <t>Syed Hassan Gillani</t>
  </si>
  <si>
    <t>AEO(Edu)-Multan</t>
  </si>
  <si>
    <t xml:space="preserve">0306-7310047
</t>
  </si>
  <si>
    <t>Aman Ullah</t>
  </si>
  <si>
    <t xml:space="preserve">dmo.sargodha@gmail.com
</t>
  </si>
  <si>
    <t xml:space="preserve">0300-8744396
</t>
  </si>
  <si>
    <t>Yasir Arafat</t>
  </si>
  <si>
    <t>Edu. Officer</t>
  </si>
  <si>
    <t xml:space="preserve">yarafat@unicef.org
</t>
  </si>
  <si>
    <t xml:space="preserve">0300-5963667
</t>
  </si>
  <si>
    <t>Syed Muhammad Waheed-Ud-Din</t>
  </si>
  <si>
    <t>EDO(Edu)- Bhakhar</t>
  </si>
  <si>
    <t xml:space="preserve">waheedhm@yahoo.com
</t>
  </si>
  <si>
    <t xml:space="preserve">0321-6047078
</t>
  </si>
  <si>
    <t>A. Afzal Javed</t>
  </si>
  <si>
    <t>EDO (Edu)-Multan</t>
  </si>
  <si>
    <r>
      <t>eduemultan@gmail.com</t>
    </r>
    <r>
      <rPr>
        <sz val="10"/>
        <color indexed="8"/>
        <rFont val="Times New Roman"/>
        <family val="2"/>
      </rPr>
      <t xml:space="preserve">
</t>
    </r>
  </si>
  <si>
    <t xml:space="preserve">0300-6896955
</t>
  </si>
  <si>
    <t>Farzana Hayat</t>
  </si>
  <si>
    <t>NRSP</t>
  </si>
  <si>
    <t>Social Organiser</t>
  </si>
  <si>
    <t>farzanahayat@hotmail.com</t>
  </si>
  <si>
    <t>28-29 Sep, 2011</t>
  </si>
  <si>
    <t>Khursheed Iqbal Khan</t>
  </si>
  <si>
    <t>SED</t>
  </si>
  <si>
    <t>DEO(SE) Mianwali</t>
  </si>
  <si>
    <t>Sajid Iqbal</t>
  </si>
  <si>
    <t>isajid89@yahoo.com</t>
  </si>
  <si>
    <t>M.Hammad Abbasi</t>
  </si>
  <si>
    <t>Muhammad Saleem Akther</t>
  </si>
  <si>
    <t>Waqar Ahmad</t>
  </si>
  <si>
    <t xml:space="preserve">waqar@hrdn.net
</t>
  </si>
  <si>
    <t>Abdul Qayyam</t>
  </si>
  <si>
    <t>GROW</t>
  </si>
  <si>
    <t>General Secretary</t>
  </si>
  <si>
    <t>gender.org1@gmail.com</t>
  </si>
  <si>
    <t>Ms. Nazia</t>
  </si>
  <si>
    <t>CCHO</t>
  </si>
  <si>
    <t>M.O</t>
  </si>
  <si>
    <t>naziabibi786@gmail.com</t>
  </si>
  <si>
    <t>Mehmood Ali</t>
  </si>
  <si>
    <t>Arche Nova German</t>
  </si>
  <si>
    <t>Field Supervisor</t>
  </si>
  <si>
    <t>mehmoodqu@yahoo.com</t>
  </si>
  <si>
    <t>Rukhsana Perveen</t>
  </si>
  <si>
    <t>AEO</t>
  </si>
  <si>
    <t>S.Nuzhat</t>
  </si>
  <si>
    <t>Kouser Perveen</t>
  </si>
  <si>
    <t>Ghulam Hussain</t>
  </si>
  <si>
    <t>Accountant</t>
  </si>
  <si>
    <t>Gerlad Azeem</t>
  </si>
  <si>
    <t>MEA</t>
  </si>
  <si>
    <t>Mr.Tariq</t>
  </si>
  <si>
    <t>Social organiser</t>
  </si>
  <si>
    <t>Surayia Khanum</t>
  </si>
  <si>
    <t>DDEO(F)</t>
  </si>
  <si>
    <t>M.Hanif</t>
  </si>
  <si>
    <t>Shahinshah</t>
  </si>
  <si>
    <t>Saif Ullah Khan</t>
  </si>
  <si>
    <t>M.Saeed Khan</t>
  </si>
  <si>
    <t>Naimat Ullah Khan</t>
  </si>
  <si>
    <t>Muhammad Awais Khan</t>
  </si>
  <si>
    <t>Uzma Ijaz</t>
  </si>
  <si>
    <t>MalikSaleem</t>
  </si>
  <si>
    <t>Aziz Ullah Khan</t>
  </si>
  <si>
    <t>Muhammad Khalid</t>
  </si>
  <si>
    <t>Habib Ullah Khan</t>
  </si>
  <si>
    <t>Mian Kamran</t>
  </si>
  <si>
    <t>Education/Piplan</t>
  </si>
  <si>
    <t>DDEO(M)</t>
  </si>
  <si>
    <t>M.Abdur Rehman</t>
  </si>
  <si>
    <t>Headmaster/GHIS Khola</t>
  </si>
  <si>
    <t>Arshad Naseem</t>
  </si>
  <si>
    <t>0307-7950678</t>
  </si>
  <si>
    <t>25-26 Oct, 2011</t>
  </si>
  <si>
    <t>Zakir Hussain</t>
  </si>
  <si>
    <t>0331-9761007</t>
  </si>
  <si>
    <t>Abdul Ghafoor</t>
  </si>
  <si>
    <t>0300-7823631</t>
  </si>
  <si>
    <t>Masood Ur Razaq</t>
  </si>
  <si>
    <t>0306-7662949</t>
  </si>
  <si>
    <t>Allah Ditta</t>
  </si>
  <si>
    <t>0332-7398416</t>
  </si>
  <si>
    <t>Dr. Shabbir Alam</t>
  </si>
  <si>
    <t>Health</t>
  </si>
  <si>
    <t>Program Director DHDC</t>
  </si>
  <si>
    <t>0300-6734363</t>
  </si>
  <si>
    <t>Saif Ur Rehman</t>
  </si>
  <si>
    <t>SH&amp;NS</t>
  </si>
  <si>
    <t>0333-7442084</t>
  </si>
  <si>
    <t>Sadia Qamar</t>
  </si>
  <si>
    <t>0300-3590405</t>
  </si>
  <si>
    <t>Farah Naz</t>
  </si>
  <si>
    <t>ITA</t>
  </si>
  <si>
    <t>Edication Promotor</t>
  </si>
  <si>
    <t>0308-7171389</t>
  </si>
  <si>
    <t>Mohsin Islam</t>
  </si>
  <si>
    <t>0334-7321819</t>
  </si>
  <si>
    <t>Abdul Aleem</t>
  </si>
  <si>
    <t>Project Manager-RY Khan &amp; MZG</t>
  </si>
  <si>
    <t>0300-4104822</t>
  </si>
  <si>
    <t>Jamil Ahmad Khan</t>
  </si>
  <si>
    <t>PO</t>
  </si>
  <si>
    <t>0341-6667466</t>
  </si>
  <si>
    <t>Muhammad Sadique</t>
  </si>
  <si>
    <t>0342-5222050</t>
  </si>
  <si>
    <t>M. Awais Qazi</t>
  </si>
  <si>
    <t>SO-WES</t>
  </si>
  <si>
    <t>0321-7685374</t>
  </si>
  <si>
    <t>Sobia Ashraf</t>
  </si>
  <si>
    <t>0305-5296606</t>
  </si>
  <si>
    <t>Abid Hussain</t>
  </si>
  <si>
    <t>TARC Ali Inst.</t>
  </si>
  <si>
    <t>0300-6738433</t>
  </si>
  <si>
    <t>Rehana Irem</t>
  </si>
  <si>
    <t>UPE FP</t>
  </si>
  <si>
    <t>0300-9671397</t>
  </si>
  <si>
    <t>ImdadUllah</t>
  </si>
  <si>
    <t>0301-6550060</t>
  </si>
  <si>
    <t>Mushtaq Ahmad</t>
  </si>
  <si>
    <t>0333-7668120</t>
  </si>
  <si>
    <t>Tayyaba Rahmat</t>
  </si>
  <si>
    <t>HDF</t>
  </si>
  <si>
    <t>Edu. Coordinator</t>
  </si>
  <si>
    <t>0344-707068960</t>
  </si>
  <si>
    <t>Rashida Afzal</t>
  </si>
  <si>
    <t>Edu Coordinator</t>
  </si>
  <si>
    <t>0333-5884558</t>
  </si>
  <si>
    <t>Kamran Waheed</t>
  </si>
  <si>
    <t>Master Trainer</t>
  </si>
  <si>
    <t>0333-2057422</t>
  </si>
  <si>
    <t>Muhammad Arif</t>
  </si>
  <si>
    <t>ActionAid</t>
  </si>
  <si>
    <t>0301-7742049</t>
  </si>
  <si>
    <t>Dr. Ghulam Rabbani</t>
  </si>
  <si>
    <t>DO H/SS</t>
  </si>
  <si>
    <t>0300-6700882</t>
  </si>
  <si>
    <t>Junaid Nawaz</t>
  </si>
  <si>
    <t>0300-4670760</t>
  </si>
  <si>
    <t>Samina Ashraf</t>
  </si>
  <si>
    <t>0342-5222022</t>
  </si>
  <si>
    <t>Ms. Bano Hashmat</t>
  </si>
  <si>
    <t>DEO (WEE)</t>
  </si>
  <si>
    <t>0334-6455123</t>
  </si>
  <si>
    <t>Samina Yasmin</t>
  </si>
  <si>
    <t>AEO (Phy)</t>
  </si>
  <si>
    <t>0321-6712868</t>
  </si>
  <si>
    <t>Ms. Khalida Tasneem</t>
  </si>
  <si>
    <t>SPDT</t>
  </si>
  <si>
    <t>Incharge TARC-SDK</t>
  </si>
  <si>
    <t>0302-7665578</t>
  </si>
  <si>
    <t>Malik M. Aamir</t>
  </si>
  <si>
    <t>DDEO</t>
  </si>
  <si>
    <t>0300-6709262</t>
  </si>
  <si>
    <t>M. Munawar Jan</t>
  </si>
  <si>
    <t>Fortalice Hotel, Lalazar Colony, Old Bhawalpur Road, Multan</t>
  </si>
  <si>
    <t>Farrukh Waseem, Gulnaz Jabeen &amp; Tariq Mamood</t>
  </si>
  <si>
    <t>Nov 2-3, 2011</t>
  </si>
  <si>
    <t>Amir Ali, Save the Children
Sagheer Ahmed,UNICEF</t>
  </si>
  <si>
    <t xml:space="preserve">Jaffarabad, Jalmagsi </t>
  </si>
  <si>
    <t>Report Status</t>
  </si>
  <si>
    <t xml:space="preserve">Received </t>
  </si>
  <si>
    <t>Farrukh Waseem Mirza, Gul Naz UNICEF, Tariq Mehmood DMO</t>
  </si>
  <si>
    <t>R Y Khan</t>
  </si>
  <si>
    <t>Farrukh Waseem Mirza, Gul Naz UNICEF, Mukhtar Ahmad DMO</t>
  </si>
  <si>
    <t>Farrukh Waseem Mirza, Gul Naz UNICEF, Asad SOACH</t>
  </si>
  <si>
    <t>Mianwali</t>
  </si>
  <si>
    <t>Layyah</t>
  </si>
  <si>
    <t>21-22 nov 20111</t>
  </si>
  <si>
    <t>Farrukh Waseem Mirza, Gul Naz, Mubashir Hassan, UNICEF</t>
  </si>
  <si>
    <t>Adeel Hotel, Watta Khel Chowk, Mianwali</t>
  </si>
  <si>
    <t>Farrukh Waseem, Gulnaz Jabeen &amp; Malik Asad</t>
  </si>
  <si>
    <t>BQ Tonight hoter,  Rahimyar Khan</t>
  </si>
  <si>
    <t>Farrukh Waseem, Gulnaz Jabeen &amp; Mukhtar Ahmad</t>
  </si>
  <si>
    <t>25-26 Oct, 2012</t>
  </si>
  <si>
    <t>Haji Abdul Wahid</t>
  </si>
  <si>
    <t>EDO Edu. Layyah</t>
  </si>
  <si>
    <t>0306 6760811</t>
  </si>
  <si>
    <t>21-22 Nov, 2011</t>
  </si>
  <si>
    <t>CELEBRATIONS Hotel, Chowk Azam road, Layyah Chowk</t>
  </si>
  <si>
    <t>Farrukh Waseem, Gulnaz Jabeen &amp; Mubashir Hassan</t>
  </si>
  <si>
    <t>Rashida Ashraf</t>
  </si>
  <si>
    <t>GGHS Sugar Mill</t>
  </si>
  <si>
    <t>Senior Head Master</t>
  </si>
  <si>
    <t>0606 414066</t>
  </si>
  <si>
    <t>Sadaf Sajid</t>
  </si>
  <si>
    <t>SST (IT)</t>
  </si>
  <si>
    <t>607 414066</t>
  </si>
  <si>
    <t>21-22 Nov, 2012</t>
  </si>
  <si>
    <t>Nusrat Shaheen</t>
  </si>
  <si>
    <t xml:space="preserve">SST </t>
  </si>
  <si>
    <t>608 414066</t>
  </si>
  <si>
    <t>21-22 Nov, 2013</t>
  </si>
  <si>
    <t>Samia Mudassar</t>
  </si>
  <si>
    <t>DTE</t>
  </si>
  <si>
    <t>609 414066</t>
  </si>
  <si>
    <t>21-22 Nov, 2014</t>
  </si>
  <si>
    <t>Tauqeer Zahra</t>
  </si>
  <si>
    <t>DMO Office</t>
  </si>
  <si>
    <t>AEO, Layyah-1</t>
  </si>
  <si>
    <t>0303 7447767</t>
  </si>
  <si>
    <t>21-22 Nov, 2015</t>
  </si>
  <si>
    <t>Salma Shakir</t>
  </si>
  <si>
    <t>Deputy DEO (W) Layyah</t>
  </si>
  <si>
    <t>0307 6762226</t>
  </si>
  <si>
    <t>21-22 Nov, 2016</t>
  </si>
  <si>
    <t>Faiz Bakhsh</t>
  </si>
  <si>
    <t>AEO Layyah</t>
  </si>
  <si>
    <t>0306 78842870</t>
  </si>
  <si>
    <t>21-22 Nov, 2017</t>
  </si>
  <si>
    <t>Malik Bashir Hussain</t>
  </si>
  <si>
    <t>AEO (HQ)- Karor</t>
  </si>
  <si>
    <t>21-22 Nov, 2018</t>
  </si>
  <si>
    <t>M. Sarwar Alvi</t>
  </si>
  <si>
    <t>0300 6760334</t>
  </si>
  <si>
    <t>21-22 Nov, 2019</t>
  </si>
  <si>
    <t>M. Qadeer Ullah Malik</t>
  </si>
  <si>
    <t>0306 7848374</t>
  </si>
  <si>
    <t>21-22 Nov, 2020</t>
  </si>
  <si>
    <t>M. Yaseen</t>
  </si>
  <si>
    <t>0306 8668385</t>
  </si>
  <si>
    <t>21-22 Nov, 2021</t>
  </si>
  <si>
    <t>Mrs Shahida</t>
  </si>
  <si>
    <t>GGHS Kotla Haji Shah</t>
  </si>
  <si>
    <t>Head Mistress</t>
  </si>
  <si>
    <t>0305 2275661</t>
  </si>
  <si>
    <t>21-22 Nov, 2022</t>
  </si>
  <si>
    <t>Mohammad Umar</t>
  </si>
  <si>
    <t>Superintendent</t>
  </si>
  <si>
    <t>0302 6768912</t>
  </si>
  <si>
    <t>21-22 Nov, 2023</t>
  </si>
  <si>
    <t>AD Admin</t>
  </si>
  <si>
    <t>0300 8762056</t>
  </si>
  <si>
    <t>21-22 Nov, 2024</t>
  </si>
  <si>
    <t>Ghulam Murtaza</t>
  </si>
  <si>
    <t>Head Clerk</t>
  </si>
  <si>
    <t>0301 7844484</t>
  </si>
  <si>
    <t>21-22 Nov, 2025</t>
  </si>
  <si>
    <t>Saeed Mohsin</t>
  </si>
  <si>
    <t>Assistant</t>
  </si>
  <si>
    <t>0307 4545902</t>
  </si>
  <si>
    <t>21-22 Nov, 2026</t>
  </si>
  <si>
    <t>Fahmida Hayat</t>
  </si>
  <si>
    <t>DEO (W) Choubara</t>
  </si>
  <si>
    <t xml:space="preserve">DDEO </t>
  </si>
  <si>
    <t>0345 6086875</t>
  </si>
  <si>
    <t>21-22 Nov, 2027</t>
  </si>
  <si>
    <t>Nasim Akhtar</t>
  </si>
  <si>
    <t>AEO Layyah II</t>
  </si>
  <si>
    <t>0301 6162239</t>
  </si>
  <si>
    <t>21-22 Nov, 2028</t>
  </si>
  <si>
    <t>Ghulam abbas Nasim</t>
  </si>
  <si>
    <t>Govt. Model High School</t>
  </si>
  <si>
    <t>Senoir Head Master</t>
  </si>
  <si>
    <t>0334 6972068</t>
  </si>
  <si>
    <t>21-22 Nov, 2029</t>
  </si>
  <si>
    <t>Sajjad Ahmad Bhutta</t>
  </si>
  <si>
    <t>SST</t>
  </si>
  <si>
    <t>tariqkaror@hotmail.com</t>
  </si>
  <si>
    <t>0300 6767748</t>
  </si>
  <si>
    <t>21-22 Nov, 2030</t>
  </si>
  <si>
    <t>Muhammad Siraj Naseem</t>
  </si>
  <si>
    <t>NCHD</t>
  </si>
  <si>
    <t>DPM (E)</t>
  </si>
  <si>
    <t>sirajnaseem@yahoo.com</t>
  </si>
  <si>
    <t>0333 6448845</t>
  </si>
  <si>
    <t>21-22 Nov, 2031</t>
  </si>
  <si>
    <t>Tariq Habib Farooqi</t>
  </si>
  <si>
    <t>DEO (MEE) Layyah</t>
  </si>
  <si>
    <t>tariqhabib2011@hotmail.com</t>
  </si>
  <si>
    <t>0300 6760986</t>
  </si>
  <si>
    <t>21-22 Nov, 2032</t>
  </si>
  <si>
    <t>Muhammad Amjad Ejaz</t>
  </si>
  <si>
    <t>Dy. DEO (MEE)</t>
  </si>
  <si>
    <t>gamjad_1972@yahoo.com</t>
  </si>
  <si>
    <t>0345 76058867</t>
  </si>
  <si>
    <t>21-22 Nov, 2033</t>
  </si>
  <si>
    <t>Karim Bakhsh</t>
  </si>
  <si>
    <t>Dy. DEO</t>
  </si>
  <si>
    <t>0331 6841809</t>
  </si>
  <si>
    <t>21-22 Nov, 2034</t>
  </si>
  <si>
    <t>Uzma Rehman</t>
  </si>
  <si>
    <t>AEO Karror</t>
  </si>
  <si>
    <t>0306 7841519</t>
  </si>
  <si>
    <t>21-22 Nov, 2035</t>
  </si>
  <si>
    <t>Tahira Perveen</t>
  </si>
  <si>
    <t>AEO Kot Sultan</t>
  </si>
  <si>
    <t>0347 2224995</t>
  </si>
  <si>
    <t>21-22 Nov, 2036</t>
  </si>
  <si>
    <t>Malik Ahmad Bakhsh</t>
  </si>
  <si>
    <t>Sr. Head Master</t>
  </si>
  <si>
    <t>0300 6760621</t>
  </si>
  <si>
    <t>21-22 Nov, 2037</t>
  </si>
  <si>
    <t>Irshad Hussain</t>
  </si>
  <si>
    <t>DOABA Foundation</t>
  </si>
  <si>
    <t>M&amp;EO</t>
  </si>
  <si>
    <t>irshad.sumra@hotmail.com</t>
  </si>
  <si>
    <t>0333 4113734</t>
  </si>
  <si>
    <t>21-22 Nov, 2038</t>
  </si>
  <si>
    <t>Najma Shaheen</t>
  </si>
  <si>
    <t>GGHS Chak No.141 TDA</t>
  </si>
  <si>
    <t>EST</t>
  </si>
  <si>
    <t>0308 5103319</t>
  </si>
  <si>
    <t>21-22 Nov, 2039</t>
  </si>
  <si>
    <t>0303 7441046</t>
  </si>
  <si>
    <t>21-22 Nov, 2040</t>
  </si>
  <si>
    <t xml:space="preserve">waqar@hrdn.net </t>
  </si>
  <si>
    <t>0321-9052996</t>
  </si>
  <si>
    <t>21-22 Nov, 2041</t>
  </si>
  <si>
    <t>Muhammad Mudassar Akhtar</t>
  </si>
  <si>
    <t>MC</t>
  </si>
  <si>
    <t>mudassarkhan_masscom@yahoo.com</t>
  </si>
  <si>
    <t>0300 6761598</t>
  </si>
  <si>
    <t>21-22 Nov, 2042</t>
  </si>
  <si>
    <t>M. Mudassar</t>
  </si>
  <si>
    <t>Education</t>
  </si>
  <si>
    <t>0331 6808172</t>
  </si>
  <si>
    <t>21-22 Nov, 2043</t>
  </si>
  <si>
    <t>Jafarabad</t>
  </si>
  <si>
    <t>Zahida Parveen</t>
  </si>
  <si>
    <t>Education Dept</t>
  </si>
  <si>
    <t>DEO (Female)</t>
  </si>
  <si>
    <t>03002822429</t>
  </si>
  <si>
    <t>Sagheer Ahmed, UNICEF      Aamir Ali, Save the Children</t>
  </si>
  <si>
    <t>30</t>
  </si>
  <si>
    <t>Zulekha</t>
  </si>
  <si>
    <t>DDO (Female)</t>
  </si>
  <si>
    <t>0301-3447142</t>
  </si>
  <si>
    <t>Nov 2-3, 2012</t>
  </si>
  <si>
    <t>31</t>
  </si>
  <si>
    <t>Rashida Bajwa</t>
  </si>
  <si>
    <t xml:space="preserve">Head Mistress </t>
  </si>
  <si>
    <t>03012801992</t>
  </si>
  <si>
    <t>Nov 2-3, 2013</t>
  </si>
  <si>
    <t>32</t>
  </si>
  <si>
    <t>Zainab Imran</t>
  </si>
  <si>
    <t>Guide Trainer</t>
  </si>
  <si>
    <t>03327891256</t>
  </si>
  <si>
    <t>Nov 2-3, 2014</t>
  </si>
  <si>
    <t>33</t>
  </si>
  <si>
    <t>Rabia</t>
  </si>
  <si>
    <t>SAHIL</t>
  </si>
  <si>
    <t>Councellor</t>
  </si>
  <si>
    <t>Nov 2-3, 2015</t>
  </si>
  <si>
    <t>34</t>
  </si>
  <si>
    <t>Zar Bibi</t>
  </si>
  <si>
    <t>SDS</t>
  </si>
  <si>
    <t>President</t>
  </si>
  <si>
    <t>03337209102</t>
  </si>
  <si>
    <t>Nov 2-3, 2016</t>
  </si>
  <si>
    <t>35</t>
  </si>
  <si>
    <t>Abdul Rasool</t>
  </si>
  <si>
    <t>SCOPE Balochistan</t>
  </si>
  <si>
    <t>ECO</t>
  </si>
  <si>
    <t>scope_balochistan@yahoo.com</t>
  </si>
  <si>
    <t>03453838816</t>
  </si>
  <si>
    <t>Nov 2-3, 2017</t>
  </si>
  <si>
    <t>36</t>
  </si>
  <si>
    <t>Ali Nawaz Marri</t>
  </si>
  <si>
    <t>great_murree@yahoo.com</t>
  </si>
  <si>
    <t>03158630024</t>
  </si>
  <si>
    <t>Nov 2-3, 2018</t>
  </si>
  <si>
    <t>37</t>
  </si>
  <si>
    <t>Jam Khan</t>
  </si>
  <si>
    <t>sdsnaseerabad@gmail.com</t>
  </si>
  <si>
    <t>03423112039</t>
  </si>
  <si>
    <t>Nov 2-3, 2019</t>
  </si>
  <si>
    <t>38</t>
  </si>
  <si>
    <t>Syed Fida Hussain Shah</t>
  </si>
  <si>
    <t>Learning Coordinator</t>
  </si>
  <si>
    <t>03337135817</t>
  </si>
  <si>
    <t>Nov 2-3, 2020</t>
  </si>
  <si>
    <t>39</t>
  </si>
  <si>
    <t>Abdul Ghafar</t>
  </si>
  <si>
    <t>Head Master</t>
  </si>
  <si>
    <t>03013685523</t>
  </si>
  <si>
    <t>Nov 2-3, 2021</t>
  </si>
  <si>
    <t>40</t>
  </si>
  <si>
    <t>Sultan Ahmed</t>
  </si>
  <si>
    <t>AM</t>
  </si>
  <si>
    <t>03453859184</t>
  </si>
  <si>
    <t>Nov 2-3, 2022</t>
  </si>
  <si>
    <t>41</t>
  </si>
  <si>
    <t>Muhammad Yousaf</t>
  </si>
  <si>
    <t>03217817443</t>
  </si>
  <si>
    <t>Nov 2-3, 2023</t>
  </si>
  <si>
    <t>42</t>
  </si>
  <si>
    <t>Imdad Hussain</t>
  </si>
  <si>
    <t>03225059311</t>
  </si>
  <si>
    <t>Nov 2-3, 2024</t>
  </si>
  <si>
    <t>43</t>
  </si>
  <si>
    <t>Zahid Mengal</t>
  </si>
  <si>
    <t>NEEDS</t>
  </si>
  <si>
    <t>Managing Director</t>
  </si>
  <si>
    <t>03013707674</t>
  </si>
  <si>
    <t>Nov 2-3, 2025</t>
  </si>
  <si>
    <t>44</t>
  </si>
  <si>
    <t>Muhammad Iqbal</t>
  </si>
  <si>
    <t>03003705704</t>
  </si>
  <si>
    <t>Nov 2-3, 2026</t>
  </si>
  <si>
    <t>45</t>
  </si>
  <si>
    <t>Jan Muhammad</t>
  </si>
  <si>
    <t>Principal</t>
  </si>
  <si>
    <t>03063178863</t>
  </si>
  <si>
    <t>Nov 2-3, 2027</t>
  </si>
  <si>
    <t>46</t>
  </si>
  <si>
    <t>Head Teacher</t>
  </si>
  <si>
    <t>03453964498</t>
  </si>
  <si>
    <t>Nov 2-3, 2028</t>
  </si>
  <si>
    <t>47</t>
  </si>
  <si>
    <t>Ismail Gajani</t>
  </si>
  <si>
    <t>03003909799</t>
  </si>
  <si>
    <t>Nov 2-3, 2029</t>
  </si>
  <si>
    <t>48</t>
  </si>
  <si>
    <t>Jamal ud din</t>
  </si>
  <si>
    <t>ADEO</t>
  </si>
  <si>
    <t>03003436587</t>
  </si>
  <si>
    <t>Nov 2-3, 2030</t>
  </si>
  <si>
    <t>49</t>
  </si>
  <si>
    <t>Muhammad Salah</t>
  </si>
  <si>
    <t>03423059018</t>
  </si>
  <si>
    <t>Nov 2-3, 2031</t>
  </si>
  <si>
    <t>50</t>
  </si>
  <si>
    <t>Muhammad Ali</t>
  </si>
  <si>
    <t>sc_jfd@sahil.com</t>
  </si>
  <si>
    <t>03453967742</t>
  </si>
  <si>
    <t>Nov 2-3, 2032</t>
  </si>
  <si>
    <t>51</t>
  </si>
  <si>
    <t>Muzaffar Mamom</t>
  </si>
  <si>
    <t>Field Incharge</t>
  </si>
  <si>
    <t>memon.muzaffar@gmail.com</t>
  </si>
  <si>
    <t>03338295050</t>
  </si>
  <si>
    <t>Nov 2-3, 2033</t>
  </si>
  <si>
    <t>52</t>
  </si>
  <si>
    <t>Jameel Jamali</t>
  </si>
  <si>
    <t>Regional Manager</t>
  </si>
  <si>
    <t>jameeljamali@gmail.com</t>
  </si>
  <si>
    <t>03458340349</t>
  </si>
  <si>
    <t>Nov 2-3, 2034</t>
  </si>
  <si>
    <t>53</t>
  </si>
  <si>
    <t>Akhtar Muhammad Khetran</t>
  </si>
  <si>
    <t>DEO</t>
  </si>
  <si>
    <t>03006644477</t>
  </si>
  <si>
    <t>Nov 2-3, 2035</t>
  </si>
  <si>
    <t>54</t>
  </si>
  <si>
    <t>Muhammad Aslam</t>
  </si>
  <si>
    <t>03063173902</t>
  </si>
  <si>
    <t>Nov 2-3, 2036</t>
  </si>
  <si>
    <t>55</t>
  </si>
  <si>
    <t>Saiful Khan</t>
  </si>
  <si>
    <t>03422201993</t>
  </si>
  <si>
    <t>Nov 2-3, 2037</t>
  </si>
  <si>
    <t>56</t>
  </si>
  <si>
    <t>Ali Murad</t>
  </si>
  <si>
    <t>03002299644</t>
  </si>
  <si>
    <t>Nov 2-3, 2038</t>
  </si>
  <si>
    <t>57</t>
  </si>
  <si>
    <t>Abdul Wajid</t>
  </si>
  <si>
    <t>03013842273</t>
  </si>
  <si>
    <t>Nov 2-3, 2039</t>
  </si>
  <si>
    <t>58</t>
  </si>
  <si>
    <t>Arbab Ali</t>
  </si>
  <si>
    <t>DOE</t>
  </si>
  <si>
    <t>03063417297</t>
  </si>
  <si>
    <t>Nov 2-3, 2040</t>
  </si>
  <si>
    <t>59</t>
  </si>
  <si>
    <t>Mushtaq Ahmed</t>
  </si>
  <si>
    <t>03003761213</t>
  </si>
  <si>
    <t>Nov 2-3, 2041</t>
  </si>
  <si>
    <t xml:space="preserve">PTDC Motel Mangora </t>
  </si>
  <si>
    <t xml:space="preserve">Saima Abbasi, Amir Ali </t>
  </si>
  <si>
    <t xml:space="preserve">Dist Jaffarabad, location Dera Allah Yaar &amp; Jalmagsi </t>
  </si>
  <si>
    <t>Layya</t>
  </si>
  <si>
    <t xml:space="preserve">Multan </t>
  </si>
  <si>
    <t>b</t>
  </si>
  <si>
    <t xml:space="preserve">Mr. Muhammad Rehan Ullah </t>
  </si>
  <si>
    <t xml:space="preserve">Qatar Chairity </t>
  </si>
  <si>
    <t xml:space="preserve">Program Coordinator </t>
  </si>
  <si>
    <t>NA</t>
  </si>
  <si>
    <t>03009069671</t>
  </si>
  <si>
    <t>26 &amp; 27  October 2011</t>
  </si>
  <si>
    <t xml:space="preserve">Mr. Khalid Khan </t>
  </si>
  <si>
    <t xml:space="preserve">ED-Links </t>
  </si>
  <si>
    <t>District Program Coordinator</t>
  </si>
  <si>
    <t>03009089510</t>
  </si>
  <si>
    <t xml:space="preserve">Mr. Bin Aftab </t>
  </si>
  <si>
    <t>HRDS</t>
  </si>
  <si>
    <t>Coordination Officer</t>
  </si>
  <si>
    <t>03455222921</t>
  </si>
  <si>
    <t>Mr. Muhammad Idrees</t>
  </si>
  <si>
    <t>Admin</t>
  </si>
  <si>
    <t>Save The Children</t>
  </si>
  <si>
    <t>03459146477</t>
  </si>
  <si>
    <t xml:space="preserve">Mr. M.Saleem Ullah </t>
  </si>
  <si>
    <t xml:space="preserve">Save the Children </t>
  </si>
  <si>
    <t xml:space="preserve">CM Education </t>
  </si>
  <si>
    <t>03449369192</t>
  </si>
  <si>
    <t xml:space="preserve">Mr. Muhammad Azam </t>
  </si>
  <si>
    <t>Education Dept.</t>
  </si>
  <si>
    <t xml:space="preserve">District Officer </t>
  </si>
  <si>
    <t>03459452613</t>
  </si>
  <si>
    <t>Mr. Murad Ali</t>
  </si>
  <si>
    <t>SRSP</t>
  </si>
  <si>
    <t xml:space="preserve">Education Coordinator </t>
  </si>
  <si>
    <t>03339496291</t>
  </si>
  <si>
    <t xml:space="preserve">Mr. Muhammad Zubair </t>
  </si>
  <si>
    <t xml:space="preserve">Assistant District Officer </t>
  </si>
  <si>
    <t>03018878316</t>
  </si>
  <si>
    <t xml:space="preserve">Mr. Sajjad Ahmad </t>
  </si>
  <si>
    <t>03018906276</t>
  </si>
  <si>
    <t xml:space="preserve">Ms. Salma Durani </t>
  </si>
  <si>
    <t>03319030875</t>
  </si>
  <si>
    <t>Ms. Salma Hanan</t>
  </si>
  <si>
    <t xml:space="preserve">Social Mobilizer </t>
  </si>
  <si>
    <t>03159522728</t>
  </si>
  <si>
    <t xml:space="preserve">Mr. Raheen Badshah </t>
  </si>
  <si>
    <t xml:space="preserve">Handicap International </t>
  </si>
  <si>
    <t xml:space="preserve">Psychosocial Mobilizer </t>
  </si>
  <si>
    <t xml:space="preserve">Ms. Ayesha </t>
  </si>
  <si>
    <t>091-9240214</t>
  </si>
  <si>
    <t xml:space="preserve">Ms. Parveen Akhtar </t>
  </si>
  <si>
    <t xml:space="preserve">Ms. Neelam </t>
  </si>
  <si>
    <t xml:space="preserve">Ms. Shahi Zeenat </t>
  </si>
  <si>
    <t xml:space="preserve">Ms. Afsheen Naz </t>
  </si>
  <si>
    <t>IDEA</t>
  </si>
  <si>
    <t xml:space="preserve">Education Officer </t>
  </si>
  <si>
    <t>03159630780</t>
  </si>
  <si>
    <t xml:space="preserve">Ms. Farkhanda </t>
  </si>
  <si>
    <t>Social Mobilizer Officer</t>
  </si>
  <si>
    <t>0946-713375</t>
  </si>
  <si>
    <t xml:space="preserve">Ms. Ayesha Jabeen </t>
  </si>
  <si>
    <t>03419011066</t>
  </si>
  <si>
    <t xml:space="preserve">Mr. Mushtaq Ahmad </t>
  </si>
  <si>
    <t>03015959976</t>
  </si>
  <si>
    <t xml:space="preserve">Mr. Altaf Hussain </t>
  </si>
  <si>
    <t>03349301186</t>
  </si>
  <si>
    <t xml:space="preserve">Mr. Nawaz </t>
  </si>
  <si>
    <t xml:space="preserve">Project Manager </t>
  </si>
  <si>
    <t>03309246053</t>
  </si>
  <si>
    <t xml:space="preserve">Mr. Fazle Khuda </t>
  </si>
  <si>
    <t>03005734059</t>
  </si>
  <si>
    <t xml:space="preserve">Mr. Jehanzeb Ali </t>
  </si>
  <si>
    <t>03005939694</t>
  </si>
  <si>
    <t xml:space="preserve">Mr. Sajjad Khan </t>
  </si>
  <si>
    <t>03459233655</t>
  </si>
  <si>
    <t xml:space="preserve">Ms. Rukhsana Naz </t>
  </si>
  <si>
    <t xml:space="preserve">Ms. Rukhsana Parveen </t>
  </si>
  <si>
    <t xml:space="preserve">Training Officer </t>
  </si>
  <si>
    <t>0334-7309946</t>
  </si>
  <si>
    <t xml:space="preserve">Mr. Fazal e Hanan </t>
  </si>
  <si>
    <t>03005744243</t>
  </si>
  <si>
    <t xml:space="preserve">Mr. Hukam Khan </t>
  </si>
  <si>
    <t xml:space="preserve">UNDP </t>
  </si>
  <si>
    <t xml:space="preserve">ERWG Coordinator </t>
  </si>
  <si>
    <t>03009088139</t>
  </si>
  <si>
    <t>Mr. Muhammad Saeed</t>
  </si>
  <si>
    <t>Assistant District Officer Mingora</t>
  </si>
  <si>
    <t>03339462359</t>
  </si>
  <si>
    <t xml:space="preserve">Mr. Dil Shad </t>
  </si>
  <si>
    <t>03469399943</t>
  </si>
  <si>
    <t xml:space="preserve">Ms. Saeeda Alvi </t>
  </si>
  <si>
    <t>SDC</t>
  </si>
  <si>
    <t>OA</t>
  </si>
  <si>
    <t xml:space="preserve">Mr. Syed Suleman </t>
  </si>
  <si>
    <t xml:space="preserve">NRC </t>
  </si>
  <si>
    <t xml:space="preserve">Field Officer </t>
  </si>
  <si>
    <t>03465242054</t>
  </si>
  <si>
    <t xml:space="preserve">Mr. Amir Zada Malik </t>
  </si>
  <si>
    <t xml:space="preserve">Admin Officer </t>
  </si>
  <si>
    <t>03149703070</t>
  </si>
  <si>
    <t>Oct 26 – 27, 2011</t>
  </si>
  <si>
    <t>District Swat</t>
  </si>
  <si>
    <t xml:space="preserve"> N/A</t>
  </si>
  <si>
    <t>N/A</t>
  </si>
  <si>
    <t>Sept:8/9/2011</t>
  </si>
  <si>
    <t>Hotel Peris Inn Larkana</t>
  </si>
  <si>
    <t xml:space="preserve">Amson Simbolo,Rizwanullah </t>
  </si>
  <si>
    <t>RizwanullahKkhan</t>
  </si>
  <si>
    <t>rukhan@unicef.org</t>
  </si>
  <si>
    <t xml:space="preserve">      Qurban Ali , Attique Basheer, Basheer ahmed</t>
  </si>
  <si>
    <t>Qurban  Ali Solangi</t>
  </si>
  <si>
    <t>PEACE</t>
  </si>
  <si>
    <t>Mohammad Basheer</t>
  </si>
  <si>
    <t>Kohsar</t>
  </si>
  <si>
    <t xml:space="preserve">    N/A</t>
  </si>
  <si>
    <t>Rabella Chandio</t>
  </si>
  <si>
    <t xml:space="preserve"> Liaqat Bhatti</t>
  </si>
  <si>
    <t>SRSO</t>
  </si>
  <si>
    <t xml:space="preserve"> Abdul Hameed bhatti</t>
  </si>
  <si>
    <t>Ghulam Abbas</t>
  </si>
  <si>
    <t>Haleema brohi</t>
  </si>
  <si>
    <t>EDO -Educatio</t>
  </si>
  <si>
    <t>Roohi banu</t>
  </si>
  <si>
    <t>NDS</t>
  </si>
  <si>
    <t>Naimatullah Kandhro</t>
  </si>
  <si>
    <t>Irshad Abro</t>
  </si>
  <si>
    <t>Abdul  Haleem  Brohi</t>
  </si>
  <si>
    <t>Ghulam Ali lashari</t>
  </si>
  <si>
    <t>Gul bahar Katotar</t>
  </si>
  <si>
    <t>Juma Kahn Solangi</t>
  </si>
  <si>
    <t xml:space="preserve">Mazhar Shaikh </t>
  </si>
  <si>
    <t>Shazia jokhio</t>
  </si>
  <si>
    <t>RDS</t>
  </si>
  <si>
    <t>Manzoor Ahmed</t>
  </si>
  <si>
    <t>Abdul Hameed rahu</t>
  </si>
  <si>
    <t>HANDS</t>
  </si>
  <si>
    <t xml:space="preserve">Muhammad Afzal </t>
  </si>
  <si>
    <t>Ayyaz Mangrio</t>
  </si>
  <si>
    <t>Haider Ali</t>
  </si>
  <si>
    <t>Hotle Peris Inn Larkana</t>
  </si>
  <si>
    <t>Ghulas Khadija</t>
  </si>
  <si>
    <t>Rabel Aziz</t>
  </si>
  <si>
    <t>rabel_aziz88@yahoo.com</t>
  </si>
  <si>
    <t>0343-5677733</t>
  </si>
  <si>
    <t>Oct: 28-29 2011</t>
  </si>
  <si>
    <t>Al Harmain Hotel Jecobabad</t>
  </si>
  <si>
    <t xml:space="preserve">Rizwan Ullan, Qurban Ali </t>
  </si>
  <si>
    <t>Rizwanullah kha</t>
  </si>
  <si>
    <t xml:space="preserve">Cluster Coordinator </t>
  </si>
  <si>
    <t>Trainer</t>
  </si>
  <si>
    <t>Ahtsham Afsar</t>
  </si>
  <si>
    <t>KWES</t>
  </si>
  <si>
    <t>kwes.org.sindhpk@gmail.com</t>
  </si>
  <si>
    <t>0312-9001039</t>
  </si>
  <si>
    <t>Naeemullah</t>
  </si>
  <si>
    <t>CCHD Kandkot</t>
  </si>
  <si>
    <t>naeem_kalwar@yahoo.com</t>
  </si>
  <si>
    <t>0333-7137766</t>
  </si>
  <si>
    <t>Sidra Sheikh</t>
  </si>
  <si>
    <t>Programme Officer</t>
  </si>
  <si>
    <t>goloble.org@gmai.com</t>
  </si>
  <si>
    <t>0332-3948230</t>
  </si>
  <si>
    <t>Shahid Qureshi</t>
  </si>
  <si>
    <t>DRM</t>
  </si>
  <si>
    <t>ER Coordinator</t>
  </si>
  <si>
    <t>shahid.ahmad@undppartners.org.pk</t>
  </si>
  <si>
    <t>0333-7115722</t>
  </si>
  <si>
    <t>Bilqees hassan</t>
  </si>
  <si>
    <t>DEC</t>
  </si>
  <si>
    <t>dec.unicef.jcd@gmail.com</t>
  </si>
  <si>
    <t>0334-6852006</t>
  </si>
  <si>
    <t>Ghulam Mustafa</t>
  </si>
  <si>
    <t>DRM/Hand Kashmore</t>
  </si>
  <si>
    <t>mustafa.hands@gmail.com</t>
  </si>
  <si>
    <t>0333-7307898</t>
  </si>
  <si>
    <t>Abdul Qayoom Memon</t>
  </si>
  <si>
    <t xml:space="preserve">Education </t>
  </si>
  <si>
    <t>qayoom_memon@hotmail.com</t>
  </si>
  <si>
    <t>0302-3136238</t>
  </si>
  <si>
    <t>Kashif Ali Qureshi</t>
  </si>
  <si>
    <t>DEC shikarpur</t>
  </si>
  <si>
    <t>shikarpur.dec@gmail.com</t>
  </si>
  <si>
    <t>0333-3810238</t>
  </si>
  <si>
    <t>Ashiq Ali</t>
  </si>
  <si>
    <t>ashiqkalwar@gmail.com</t>
  </si>
  <si>
    <t>0344-3771233</t>
  </si>
  <si>
    <t>Amjad Ali Bhutto</t>
  </si>
  <si>
    <t>amjad7686@yahoo.com</t>
  </si>
  <si>
    <t>0333-723376</t>
  </si>
  <si>
    <t>M. Mumshad</t>
  </si>
  <si>
    <t>P. Officer</t>
  </si>
  <si>
    <t>0345-2310643</t>
  </si>
  <si>
    <t>Coordinater</t>
  </si>
  <si>
    <t>kohsarngo@gmail.com</t>
  </si>
  <si>
    <t>Irshadullah</t>
  </si>
  <si>
    <t>KPF</t>
  </si>
  <si>
    <t>kohsarpf@gmail.com</t>
  </si>
  <si>
    <t>0333-7268354</t>
  </si>
  <si>
    <t>Aamir Niaz</t>
  </si>
  <si>
    <t>AMRDO</t>
  </si>
  <si>
    <t>info@amrdo.org</t>
  </si>
  <si>
    <t>0312-3403556</t>
  </si>
  <si>
    <t>Noureen Soomro</t>
  </si>
  <si>
    <t>0334-2529039</t>
  </si>
  <si>
    <t>Shabir Pechuho</t>
  </si>
  <si>
    <t>Lando lakes</t>
  </si>
  <si>
    <t>spechuho@gmail.com</t>
  </si>
  <si>
    <t>0300-9112179</t>
  </si>
  <si>
    <t>shahzado Solangi</t>
  </si>
  <si>
    <t>NCHD Jecobabad</t>
  </si>
  <si>
    <t>solangi26@yahoo.com</t>
  </si>
  <si>
    <t>0300-0701665</t>
  </si>
  <si>
    <t>Habib Hydetr</t>
  </si>
  <si>
    <t>MRDO</t>
  </si>
  <si>
    <t>Edu. Manager</t>
  </si>
  <si>
    <t>hyder.habib110@gmail.com</t>
  </si>
  <si>
    <t>0300-3153767</t>
  </si>
  <si>
    <t>Nazir Begum</t>
  </si>
  <si>
    <t>0300-2664300</t>
  </si>
  <si>
    <t>Azizullah Odho</t>
  </si>
  <si>
    <t>Education  Deptt</t>
  </si>
  <si>
    <t>0333-3891223</t>
  </si>
  <si>
    <t>Mansoor Ali</t>
  </si>
  <si>
    <t>RDO Garhi Khairo</t>
  </si>
  <si>
    <t>rdo.orggarhikhairo@gmail.com</t>
  </si>
  <si>
    <t>0345-8769682</t>
  </si>
  <si>
    <t>Naseem Abbas</t>
  </si>
  <si>
    <t>DEC Khairpur</t>
  </si>
  <si>
    <t>abbas.baloch92@gmail.com</t>
  </si>
  <si>
    <t>0306-3692569</t>
  </si>
  <si>
    <t>Shakoor ahmed Memon</t>
  </si>
  <si>
    <t>Education Deptt</t>
  </si>
  <si>
    <t>Distt. Officer Kherpur</t>
  </si>
  <si>
    <t>0301-3430410</t>
  </si>
  <si>
    <t>Muhammad Suleman</t>
  </si>
  <si>
    <t>ADOE</t>
  </si>
  <si>
    <t>0300-320445</t>
  </si>
  <si>
    <t>Imran</t>
  </si>
  <si>
    <t>0301-3212123</t>
  </si>
  <si>
    <t>Muhammad nawaz Soomro</t>
  </si>
  <si>
    <t>Admin Officer</t>
  </si>
  <si>
    <t>0344-3812092</t>
  </si>
  <si>
    <t>Zeeshan Mangi</t>
  </si>
  <si>
    <t>zeeshan.hands@gmail.com</t>
  </si>
  <si>
    <t>0334-3067278</t>
  </si>
  <si>
    <t>Tariq khan</t>
  </si>
  <si>
    <t>ESSA</t>
  </si>
  <si>
    <t>odhokhan@yahoo.com</t>
  </si>
  <si>
    <t>0336-8473784</t>
  </si>
  <si>
    <t>Mohammad Atique</t>
  </si>
  <si>
    <t>SCD</t>
  </si>
  <si>
    <t>District Emergency Coordinator</t>
  </si>
  <si>
    <t>mahraja_76player@yahoo.com</t>
  </si>
  <si>
    <t>0344-9606279</t>
  </si>
  <si>
    <t>Oct: 11-12 2011</t>
  </si>
  <si>
    <t>Indus Hotel Hyderabad</t>
  </si>
  <si>
    <t>Qazi Wajid</t>
  </si>
  <si>
    <t>Foundation for Urban Rural Development</t>
  </si>
  <si>
    <t>Chairperson</t>
  </si>
  <si>
    <t>furd.pk@gmail.com</t>
  </si>
  <si>
    <t>0312-3355111</t>
  </si>
  <si>
    <t>Oct: 11-12 2012</t>
  </si>
  <si>
    <t>Rabia Samoo</t>
  </si>
  <si>
    <t>ABCD</t>
  </si>
  <si>
    <t>Project coordinator</t>
  </si>
  <si>
    <t>abcd_org@yahoo.com, samorabia@yahoo.com</t>
  </si>
  <si>
    <t>0334-2610286, 0306-3506609</t>
  </si>
  <si>
    <t>Oct: 11-12 2013</t>
  </si>
  <si>
    <t>Syed Sajjad Hussain</t>
  </si>
  <si>
    <t>Indus Resource Center</t>
  </si>
  <si>
    <t>Program Manager Education</t>
  </si>
  <si>
    <t>0314-2106116</t>
  </si>
  <si>
    <t>Oct: 11-12 2014</t>
  </si>
  <si>
    <t>Farooq Umrani</t>
  </si>
  <si>
    <t>Hub Manager</t>
  </si>
  <si>
    <t>farooqumrani@yahoo.com</t>
  </si>
  <si>
    <t>0300-3056551</t>
  </si>
  <si>
    <t>Oct: 11-12 2015</t>
  </si>
  <si>
    <t>Nusrat Kalhoro</t>
  </si>
  <si>
    <t>Govt Educatin Department</t>
  </si>
  <si>
    <t>0300-3082223</t>
  </si>
  <si>
    <t>Oct: 11-12 2016</t>
  </si>
  <si>
    <t>Shaban Faridi</t>
  </si>
  <si>
    <t>FURD</t>
  </si>
  <si>
    <t>Dy.Coordinator</t>
  </si>
  <si>
    <t>0300-3023026</t>
  </si>
  <si>
    <t>Oct: 11-12 2017</t>
  </si>
  <si>
    <t>Nawaz Ali Dar</t>
  </si>
  <si>
    <t>DPME</t>
  </si>
  <si>
    <t>tayar-dpme@nchd.org.pk</t>
  </si>
  <si>
    <t>0301-3615817</t>
  </si>
  <si>
    <t>Oct: 11-12 2018</t>
  </si>
  <si>
    <t>Riaz Akhtar</t>
  </si>
  <si>
    <t>N-IRM</t>
  </si>
  <si>
    <t>Manager</t>
  </si>
  <si>
    <t>nirmpak@gmail.com</t>
  </si>
  <si>
    <t>0332-2692533</t>
  </si>
  <si>
    <t>Oct: 11-12 2019</t>
  </si>
  <si>
    <t>Shafiq Khatri</t>
  </si>
  <si>
    <t>DPME-Hyd</t>
  </si>
  <si>
    <t>shafiq_talhar@yahoo.com</t>
  </si>
  <si>
    <t>0333-2531520</t>
  </si>
  <si>
    <t>Oct: 11-12 2020</t>
  </si>
  <si>
    <t>Vijay Kumar</t>
  </si>
  <si>
    <t>TRDP</t>
  </si>
  <si>
    <t>Team Leader</t>
  </si>
  <si>
    <t>Vijaykumar@yahoo.com</t>
  </si>
  <si>
    <t>0333-2752811</t>
  </si>
  <si>
    <t>Oct: 11-12 2021</t>
  </si>
  <si>
    <t>Rasheed Ahmed</t>
  </si>
  <si>
    <t>V-President</t>
  </si>
  <si>
    <t>bughtorasheed@gmail.com</t>
  </si>
  <si>
    <t>0300-3257322</t>
  </si>
  <si>
    <t>Oct: 11-12 2022</t>
  </si>
  <si>
    <t>Nisar Ahmed Channa</t>
  </si>
  <si>
    <t>MDF</t>
  </si>
  <si>
    <t>nisarahmedc@yahoo.com</t>
  </si>
  <si>
    <t>0331-3536445</t>
  </si>
  <si>
    <t>Oct: 11-12 2023</t>
  </si>
  <si>
    <t>M.Saleem Memon</t>
  </si>
  <si>
    <t>WISES</t>
  </si>
  <si>
    <t>0300-3766894</t>
  </si>
  <si>
    <t>Oct: 11-12 2024</t>
  </si>
  <si>
    <t>Anwar Din Jamal</t>
  </si>
  <si>
    <t>Education Deptt/TMK</t>
  </si>
  <si>
    <t>DOE/Sec</t>
  </si>
  <si>
    <t>0346-2532560</t>
  </si>
  <si>
    <t>Oct: 11-12 2025</t>
  </si>
  <si>
    <t>Suhail Khashkheli</t>
  </si>
  <si>
    <t>PFF Badin</t>
  </si>
  <si>
    <t>suhailkhashkheli@gmail.com</t>
  </si>
  <si>
    <t>0333-2548944</t>
  </si>
  <si>
    <t>Oct: 11-12 2026</t>
  </si>
  <si>
    <t>Muhammad Saleem Nizamani</t>
  </si>
  <si>
    <t>shehzadasaleem@yahoo.com</t>
  </si>
  <si>
    <t>0333-2199753</t>
  </si>
  <si>
    <t>Oct: 11-12 2027</t>
  </si>
  <si>
    <t>Syed Ejaz Rasool Shah</t>
  </si>
  <si>
    <t>aijazrasool_syed@yahoo.com</t>
  </si>
  <si>
    <t>0300-3024736</t>
  </si>
  <si>
    <t>Oct: 11-12 2028</t>
  </si>
  <si>
    <t>Asif Ali</t>
  </si>
  <si>
    <t>panhwarasif@gmail.com</t>
  </si>
  <si>
    <t>0334-5072981</t>
  </si>
  <si>
    <t>Oct: 11-12 2029</t>
  </si>
  <si>
    <t>Nasarullah Khan</t>
  </si>
  <si>
    <t>SEF</t>
  </si>
  <si>
    <t>M&amp;E Officer</t>
  </si>
  <si>
    <t>nasar82@gmail.com</t>
  </si>
  <si>
    <t>0345-2862202</t>
  </si>
  <si>
    <t>Oct: 11-12 2030</t>
  </si>
  <si>
    <t>Abdul Razaq</t>
  </si>
  <si>
    <t>Training and Development Officer</t>
  </si>
  <si>
    <t>memonrazaq_74@yahoo.com</t>
  </si>
  <si>
    <t>0334-2824380</t>
  </si>
  <si>
    <t>Oct: 11-12 2031</t>
  </si>
  <si>
    <t>Ali Lajwani</t>
  </si>
  <si>
    <t>Devcon Sanghar</t>
  </si>
  <si>
    <t>ali.lajwani@gmail.com</t>
  </si>
  <si>
    <t>0333-2853328</t>
  </si>
  <si>
    <t>Oct: 11-12 2032</t>
  </si>
  <si>
    <t xml:space="preserve">Abdul Hameed </t>
  </si>
  <si>
    <t>SAFWCO</t>
  </si>
  <si>
    <t>abhameed@hotmail.com</t>
  </si>
  <si>
    <t>0300-3239445</t>
  </si>
  <si>
    <t>Oct: 11-12 2033</t>
  </si>
  <si>
    <t>Raja Humayun</t>
  </si>
  <si>
    <t>WDA Badin</t>
  </si>
  <si>
    <t>wdabadi@hotmail.com</t>
  </si>
  <si>
    <t>Oct: 11-12 2034</t>
  </si>
  <si>
    <t>Ayaz Ali</t>
  </si>
  <si>
    <t>ORCHID</t>
  </si>
  <si>
    <t>0300-9275822</t>
  </si>
  <si>
    <t>Oct: 11-12 2035</t>
  </si>
  <si>
    <t>Dr. H Hoot Khan</t>
  </si>
  <si>
    <t>Sami Foundation</t>
  </si>
  <si>
    <t>sami.foundation@yahoo.com</t>
  </si>
  <si>
    <t>0331-3273387</t>
  </si>
  <si>
    <t>Oct: 11-12 2036</t>
  </si>
  <si>
    <t>M. Mansoor Ashraf</t>
  </si>
  <si>
    <t>EYCON</t>
  </si>
  <si>
    <t>0333 5464060</t>
  </si>
  <si>
    <t>16-17 Dec, 2011</t>
  </si>
  <si>
    <t>Grace INN, Newlalazar Coloney, Old Bahwalupr Road, Multan</t>
  </si>
  <si>
    <t>Farrkuh Waseem Mirza, Mubashir Hassan &amp; Gulnaz Jabeen</t>
  </si>
  <si>
    <t>Navida Sadiq</t>
  </si>
  <si>
    <t>mansoorasghar@yahoo.com</t>
  </si>
  <si>
    <t>0333 6085012</t>
  </si>
  <si>
    <t>nadia-shaery@yahoo.com</t>
  </si>
  <si>
    <t>Junaid Hassan</t>
  </si>
  <si>
    <t>Muslaim Aid</t>
  </si>
  <si>
    <t>MER Officer</t>
  </si>
  <si>
    <t>junaid@muslimaid.org.pk</t>
  </si>
  <si>
    <t>0333 5044054</t>
  </si>
  <si>
    <t>Hassan Farooq</t>
  </si>
  <si>
    <t>hfarooq@muslimaid.org</t>
  </si>
  <si>
    <t>0303 7523044</t>
  </si>
  <si>
    <t>Liaqat ali</t>
  </si>
  <si>
    <t>liaqat-0786@yahoo.com</t>
  </si>
  <si>
    <t>0334 6474469</t>
  </si>
  <si>
    <t>Shahid Hussain</t>
  </si>
  <si>
    <t>shahidnoor35@yahoo.com</t>
  </si>
  <si>
    <t>Samina Latif</t>
  </si>
  <si>
    <t>Training Coordinator</t>
  </si>
  <si>
    <t>0300 4192634</t>
  </si>
  <si>
    <t>Muhammad Khurram Shahzad</t>
  </si>
  <si>
    <t>Manager Mobilization and Coordination</t>
  </si>
  <si>
    <t>kshwf@soach.org.pk</t>
  </si>
  <si>
    <t>0336 4195758</t>
  </si>
  <si>
    <t>Muhammad Azeem</t>
  </si>
  <si>
    <t>BLCC</t>
  </si>
  <si>
    <t>Deputy Administration</t>
  </si>
  <si>
    <t>0300 7308734</t>
  </si>
  <si>
    <t>mtn@bunyad@.org.pk</t>
  </si>
  <si>
    <t>Rizwana Basheer</t>
  </si>
  <si>
    <t>ECD Coordinator</t>
  </si>
  <si>
    <t>rizwana.ita@gmail.com</t>
  </si>
  <si>
    <t>0333 7163600</t>
  </si>
  <si>
    <t>Mehwish Riaz</t>
  </si>
  <si>
    <t>061-6511182</t>
  </si>
  <si>
    <t>mehvish.ita@gmail.com</t>
  </si>
  <si>
    <t>Ayesha Sajjad</t>
  </si>
  <si>
    <t>Sudhar</t>
  </si>
  <si>
    <t>0331 7363534</t>
  </si>
  <si>
    <t>aishsajjad@yahoo.com</t>
  </si>
  <si>
    <t>s.aim2009@live.com</t>
  </si>
  <si>
    <t>Mamoona Ghaffar</t>
  </si>
  <si>
    <t>mamoona@wfp.org</t>
  </si>
  <si>
    <t>Imran Nawaz</t>
  </si>
  <si>
    <t>mani.khan99@homail.com</t>
  </si>
  <si>
    <t>0333 8826155</t>
  </si>
  <si>
    <t>Jam Khalid</t>
  </si>
  <si>
    <t>Sr. Education coordinator</t>
  </si>
  <si>
    <t>jam.khalid@savethechildren.org</t>
  </si>
  <si>
    <t>0301 5542212</t>
  </si>
  <si>
    <t>m.azeem88@live.com</t>
  </si>
  <si>
    <t>0345-4810916</t>
  </si>
  <si>
    <t>Muhammad Amin Azam</t>
  </si>
  <si>
    <t>0336 7970000</t>
  </si>
  <si>
    <t>whiterose149@gmail.com</t>
  </si>
  <si>
    <t>Mher Mushtaq Hussain</t>
  </si>
  <si>
    <t>mherajiz79@gmail.com</t>
  </si>
  <si>
    <t>Mukhtar Hussain Chawan</t>
  </si>
  <si>
    <t>Dy DEO (EE-M)</t>
  </si>
  <si>
    <t>mukhtarchawan@gmail.com</t>
  </si>
  <si>
    <t>0301 7409493</t>
  </si>
  <si>
    <t>Ghulam Akbar Shah</t>
  </si>
  <si>
    <t>AEO Makaz-Budhla Sant</t>
  </si>
  <si>
    <t>0301 7497497</t>
  </si>
  <si>
    <t>Muhmmad Yar</t>
  </si>
  <si>
    <t>AEO- Qadirpur Ran</t>
  </si>
  <si>
    <t>Eucation Deptt</t>
  </si>
  <si>
    <t>yothage@yahoo.com</t>
  </si>
  <si>
    <t>0344 8882828</t>
  </si>
  <si>
    <t>Waseem Shahzad</t>
  </si>
  <si>
    <t>Social Organizer</t>
  </si>
  <si>
    <t>waseem-shahzad@hotmail.com</t>
  </si>
  <si>
    <t>0333 6188135</t>
  </si>
  <si>
    <t>Muhammad Nadeem</t>
  </si>
  <si>
    <t>0300 6386313</t>
  </si>
  <si>
    <t>AEO-Tarf Diara</t>
  </si>
  <si>
    <t>S. Hassan Raza Gillani</t>
  </si>
  <si>
    <t>Education Deptt.</t>
  </si>
  <si>
    <t>Focal Person EDO (Edu)</t>
  </si>
  <si>
    <t>0306 67310047</t>
  </si>
  <si>
    <t>hassanraza1960@yahoo.com</t>
  </si>
  <si>
    <t>akbarhashim@gmail.com</t>
  </si>
  <si>
    <t>0300 856509</t>
  </si>
  <si>
    <t>Muhammad Arshad</t>
  </si>
  <si>
    <t>0336 6044690</t>
  </si>
  <si>
    <t>M. Shahbaz Alam</t>
  </si>
  <si>
    <t>bunyadfoundation.mzg@gmail.com</t>
  </si>
  <si>
    <t>0300 7484788</t>
  </si>
  <si>
    <t>BLCC-RY Khan</t>
  </si>
  <si>
    <t>Farrukh Waseem, Mubashir Hassan &amp; Gulnaz Jabeen</t>
  </si>
  <si>
    <t>16-17-Dec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</si>
</sst>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_);\-#,##0"/>
  </numFmts>
  <fonts count="51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rgb="FF000000"/>
      <name val="Times New Roman"/>
      <family val="1"/>
    </font>
    <font>
      <b/>
      <sz val="11"/>
      <color rgb="FF002060"/>
      <name val="Times New Roman"/>
      <family val="1"/>
    </font>
    <font>
      <b/>
      <sz val="12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color indexed="8"/>
      <name val="Times New Roman"/>
      <family val="1"/>
    </font>
    <font>
      <sz val="18"/>
      <color theme="0"/>
      <name val="Times New Roman"/>
      <family val="1"/>
    </font>
    <font>
      <u/>
      <sz val="12"/>
      <color theme="10"/>
      <name val="Times New Roman"/>
      <family val="2"/>
    </font>
    <font>
      <sz val="10"/>
      <color theme="1"/>
      <name val="Times New Roman"/>
      <family val="2"/>
    </font>
    <font>
      <u/>
      <sz val="10"/>
      <color theme="10"/>
      <name val="Times New Roman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3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2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sz val="12"/>
      <color theme="1"/>
      <name val="Times New Roman"/>
      <family val="1"/>
    </font>
    <font>
      <b/>
      <sz val="26"/>
      <color theme="0"/>
      <name val="Calibri"/>
      <family val="2"/>
      <scheme val="minor"/>
    </font>
    <font>
      <sz val="12"/>
      <color theme="0"/>
      <name val="Times New Roman"/>
      <family val="1"/>
    </font>
    <font>
      <b/>
      <sz val="24"/>
      <color theme="0"/>
      <name val="Calibri"/>
      <family val="2"/>
      <scheme val="minor"/>
    </font>
    <font>
      <b/>
      <sz val="16"/>
      <color theme="0"/>
      <name val="Times New Roman"/>
      <family val="1"/>
    </font>
    <font>
      <sz val="20"/>
      <color theme="0"/>
      <name val="Times New Roman"/>
      <family val="2"/>
    </font>
    <font>
      <sz val="22"/>
      <color theme="0"/>
      <name val="Times New Roman"/>
      <family val="2"/>
    </font>
    <font>
      <b/>
      <sz val="18"/>
      <color theme="0"/>
      <name val="Times New Roman"/>
      <family val="1"/>
    </font>
    <font>
      <sz val="12"/>
      <name val="Times New Roman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indexed="8"/>
      <name val="Times New Roman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2"/>
      <color indexed="12"/>
      <name val="Times New Roman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37" fillId="0" borderId="0"/>
    <xf numFmtId="0" fontId="43" fillId="0" borderId="0" applyNumberFormat="0" applyFill="0" applyBorder="0" applyAlignment="0" applyProtection="0"/>
    <xf numFmtId="0" fontId="37" fillId="0" borderId="0"/>
  </cellStyleXfs>
  <cellXfs count="161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3" fontId="9" fillId="2" borderId="1" xfId="1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2" applyFont="1" applyBorder="1"/>
    <xf numFmtId="0" fontId="14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/>
    <xf numFmtId="0" fontId="12" fillId="0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2" applyFont="1" applyBorder="1" applyAlignment="1"/>
    <xf numFmtId="0" fontId="13" fillId="0" borderId="1" xfId="2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5" fillId="0" borderId="0" xfId="0" applyFont="1" applyAlignment="1">
      <alignment wrapText="1"/>
    </xf>
    <xf numFmtId="0" fontId="16" fillId="0" borderId="1" xfId="2" applyFont="1" applyBorder="1" applyAlignment="1">
      <alignment wrapText="1"/>
    </xf>
    <xf numFmtId="0" fontId="0" fillId="0" borderId="1" xfId="0" applyBorder="1" applyAlignment="1">
      <alignment wrapText="1"/>
    </xf>
    <xf numFmtId="49" fontId="15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3" fontId="9" fillId="2" borderId="1" xfId="1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19" fillId="5" borderId="1" xfId="0" applyNumberFormat="1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5" fontId="1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/>
    </xf>
    <xf numFmtId="49" fontId="11" fillId="0" borderId="1" xfId="2" applyNumberFormat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25" fillId="6" borderId="0" xfId="0" applyFont="1" applyFill="1"/>
    <xf numFmtId="0" fontId="12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1" fillId="0" borderId="1" xfId="2" applyBorder="1" applyAlignment="1">
      <alignment wrapText="1"/>
    </xf>
    <xf numFmtId="0" fontId="11" fillId="0" borderId="1" xfId="2" applyFill="1" applyBorder="1" applyAlignment="1">
      <alignment horizontal="left" wrapText="1"/>
    </xf>
    <xf numFmtId="0" fontId="11" fillId="0" borderId="1" xfId="2" applyBorder="1" applyAlignment="1">
      <alignment horizontal="left" wrapText="1"/>
    </xf>
    <xf numFmtId="0" fontId="31" fillId="0" borderId="1" xfId="2" applyFont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24" fillId="6" borderId="3" xfId="0" applyNumberFormat="1" applyFont="1" applyFill="1" applyBorder="1" applyAlignment="1">
      <alignment horizontal="left" wrapText="1"/>
    </xf>
    <xf numFmtId="49" fontId="24" fillId="6" borderId="4" xfId="0" applyNumberFormat="1" applyFont="1" applyFill="1" applyBorder="1" applyAlignment="1">
      <alignment horizontal="left" wrapText="1"/>
    </xf>
    <xf numFmtId="49" fontId="24" fillId="6" borderId="5" xfId="0" applyNumberFormat="1" applyFont="1" applyFill="1" applyBorder="1" applyAlignment="1">
      <alignment horizontal="left" wrapText="1"/>
    </xf>
    <xf numFmtId="0" fontId="26" fillId="6" borderId="11" xfId="0" applyFont="1" applyFill="1" applyBorder="1" applyAlignment="1">
      <alignment horizontal="left" wrapText="1"/>
    </xf>
    <xf numFmtId="0" fontId="26" fillId="6" borderId="12" xfId="0" applyFont="1" applyFill="1" applyBorder="1" applyAlignment="1">
      <alignment horizontal="left" wrapText="1"/>
    </xf>
    <xf numFmtId="0" fontId="26" fillId="6" borderId="13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/>
    </xf>
    <xf numFmtId="0" fontId="27" fillId="6" borderId="4" xfId="0" applyFont="1" applyFill="1" applyBorder="1" applyAlignment="1">
      <alignment horizontal="left" vertical="center"/>
    </xf>
    <xf numFmtId="0" fontId="27" fillId="6" borderId="5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28" fillId="6" borderId="4" xfId="0" applyFont="1" applyFill="1" applyBorder="1" applyAlignment="1">
      <alignment horizontal="left" vertical="center"/>
    </xf>
    <xf numFmtId="0" fontId="28" fillId="6" borderId="5" xfId="0" applyFont="1" applyFill="1" applyBorder="1" applyAlignment="1">
      <alignment horizontal="left" vertical="center"/>
    </xf>
    <xf numFmtId="0" fontId="30" fillId="6" borderId="3" xfId="0" applyFont="1" applyFill="1" applyBorder="1" applyAlignment="1">
      <alignment horizontal="left" vertical="center"/>
    </xf>
    <xf numFmtId="0" fontId="30" fillId="6" borderId="4" xfId="0" applyFont="1" applyFill="1" applyBorder="1" applyAlignment="1">
      <alignment horizontal="left" vertical="center"/>
    </xf>
    <xf numFmtId="0" fontId="30" fillId="6" borderId="5" xfId="0" applyFont="1" applyFill="1" applyBorder="1" applyAlignment="1">
      <alignment horizontal="left" vertical="center"/>
    </xf>
    <xf numFmtId="0" fontId="29" fillId="6" borderId="11" xfId="0" applyFont="1" applyFill="1" applyBorder="1" applyAlignment="1">
      <alignment horizontal="left" vertical="center"/>
    </xf>
    <xf numFmtId="0" fontId="29" fillId="6" borderId="12" xfId="0" applyFont="1" applyFill="1" applyBorder="1" applyAlignment="1">
      <alignment horizontal="left" vertical="center"/>
    </xf>
    <xf numFmtId="0" fontId="29" fillId="6" borderId="13" xfId="0" applyFont="1" applyFill="1" applyBorder="1" applyAlignment="1">
      <alignment horizontal="left" vertical="center"/>
    </xf>
    <xf numFmtId="0" fontId="9" fillId="29" borderId="1" xfId="3" applyFont="1" applyFill="1" applyBorder="1" applyAlignment="1">
      <alignment horizontal="left" vertical="center" wrapText="1"/>
    </xf>
    <xf numFmtId="0" fontId="9" fillId="29" borderId="5" xfId="3" applyFont="1" applyFill="1" applyBorder="1" applyAlignment="1">
      <alignment horizontal="left" vertical="center" wrapText="1"/>
    </xf>
    <xf numFmtId="0" fontId="9" fillId="29" borderId="1" xfId="3" applyFont="1" applyFill="1" applyBorder="1" applyAlignment="1">
      <alignment horizontal="right" vertical="center" wrapText="1"/>
    </xf>
    <xf numFmtId="0" fontId="9" fillId="29" borderId="1" xfId="3" applyFont="1" applyFill="1" applyBorder="1" applyAlignment="1">
      <alignment horizontal="center" vertical="center" wrapText="1"/>
    </xf>
    <xf numFmtId="0" fontId="20" fillId="0" borderId="1" xfId="5" applyFont="1" applyFill="1" applyBorder="1"/>
    <xf numFmtId="0" fontId="20" fillId="0" borderId="1" xfId="5" applyFont="1" applyFill="1" applyBorder="1" applyAlignment="1">
      <alignment wrapText="1"/>
    </xf>
    <xf numFmtId="0" fontId="20" fillId="0" borderId="1" xfId="5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11" fillId="0" borderId="1" xfId="2" applyFill="1" applyBorder="1" applyAlignment="1">
      <alignment horizontal="left" vertical="center" wrapText="1"/>
    </xf>
    <xf numFmtId="0" fontId="11" fillId="0" borderId="1" xfId="2" applyBorder="1" applyAlignment="1">
      <alignment horizontal="left" vertical="center" wrapText="1"/>
    </xf>
    <xf numFmtId="0" fontId="20" fillId="0" borderId="1" xfId="5" applyFont="1" applyFill="1" applyBorder="1" applyAlignment="1">
      <alignment horizontal="left" vertical="center"/>
    </xf>
    <xf numFmtId="0" fontId="43" fillId="0" borderId="1" xfId="4" applyFill="1" applyBorder="1" applyAlignment="1">
      <alignment horizontal="left" vertical="center" wrapText="1"/>
    </xf>
    <xf numFmtId="0" fontId="37" fillId="0" borderId="1" xfId="5" applyFill="1" applyBorder="1" applyAlignment="1">
      <alignment horizontal="left" vertical="center"/>
    </xf>
    <xf numFmtId="0" fontId="43" fillId="0" borderId="1" xfId="4" applyBorder="1" applyAlignment="1">
      <alignment horizontal="left" vertical="center" wrapText="1"/>
    </xf>
    <xf numFmtId="0" fontId="20" fillId="0" borderId="1" xfId="5" applyFont="1" applyFill="1" applyBorder="1" applyAlignment="1">
      <alignment horizontal="left" vertical="center" wrapText="1"/>
    </xf>
    <xf numFmtId="0" fontId="37" fillId="0" borderId="1" xfId="5" applyBorder="1" applyAlignment="1">
      <alignment horizontal="left" vertical="center"/>
    </xf>
    <xf numFmtId="0" fontId="37" fillId="0" borderId="1" xfId="5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6">
    <cellStyle name="Comma" xfId="1" builtinId="3"/>
    <cellStyle name="Hyperlink" xfId="2" builtinId="8"/>
    <cellStyle name="Hyperlink_Punjab" xfId="4"/>
    <cellStyle name="Normal" xfId="0" builtinId="0"/>
    <cellStyle name="Normal_Punjab" xfId="5"/>
    <cellStyle name="Normal_Summury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jabeen@unicef.org" TargetMode="External"/><Relationship Id="rId13" Type="http://schemas.openxmlformats.org/officeDocument/2006/relationships/hyperlink" Target="mailto:nils.kauffman@rescue.org" TargetMode="External"/><Relationship Id="rId18" Type="http://schemas.openxmlformats.org/officeDocument/2006/relationships/hyperlink" Target="mailto:afsar.ali@prdspak.org" TargetMode="External"/><Relationship Id="rId26" Type="http://schemas.openxmlformats.org/officeDocument/2006/relationships/hyperlink" Target="mailto:m.jamaljanjua@gmail.com" TargetMode="External"/><Relationship Id="rId3" Type="http://schemas.openxmlformats.org/officeDocument/2006/relationships/hyperlink" Target="mailto:uris.urmrani@devcon.pk.org" TargetMode="External"/><Relationship Id="rId21" Type="http://schemas.openxmlformats.org/officeDocument/2006/relationships/hyperlink" Target="mailto:peacelarkana@yahoo.com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mailto:fazal.haleem@savethechildren.org" TargetMode="External"/><Relationship Id="rId12" Type="http://schemas.openxmlformats.org/officeDocument/2006/relationships/hyperlink" Target="mailto:amir.ali@savethechildren.org" TargetMode="External"/><Relationship Id="rId17" Type="http://schemas.openxmlformats.org/officeDocument/2006/relationships/hyperlink" Target="mailto:shahid.abbas@savethechildren.org" TargetMode="External"/><Relationship Id="rId25" Type="http://schemas.openxmlformats.org/officeDocument/2006/relationships/hyperlink" Target="mailto:zeeshan.noel@gmail.com" TargetMode="External"/><Relationship Id="rId33" Type="http://schemas.openxmlformats.org/officeDocument/2006/relationships/hyperlink" Target="mailto:faisal.zia@valueresource.org" TargetMode="External"/><Relationship Id="rId2" Type="http://schemas.openxmlformats.org/officeDocument/2006/relationships/hyperlink" Target="mailto:badar_hassan@yahoo.com" TargetMode="External"/><Relationship Id="rId16" Type="http://schemas.openxmlformats.org/officeDocument/2006/relationships/hyperlink" Target="mailto:khadeeja.qasmi@wfp.org" TargetMode="External"/><Relationship Id="rId20" Type="http://schemas.openxmlformats.org/officeDocument/2006/relationships/hyperlink" Target="mailto:saabbasi@unicef.org" TargetMode="External"/><Relationship Id="rId29" Type="http://schemas.openxmlformats.org/officeDocument/2006/relationships/hyperlink" Target="mailto:eullah@unicef.org" TargetMode="External"/><Relationship Id="rId1" Type="http://schemas.openxmlformats.org/officeDocument/2006/relationships/hyperlink" Target="mailto:fawada@edlinks.org.pk" TargetMode="External"/><Relationship Id="rId6" Type="http://schemas.openxmlformats.org/officeDocument/2006/relationships/hyperlink" Target="mailto:fwmirza@unicef.org" TargetMode="External"/><Relationship Id="rId11" Type="http://schemas.openxmlformats.org/officeDocument/2006/relationships/hyperlink" Target="mailto:frahim@unicef.org" TargetMode="External"/><Relationship Id="rId24" Type="http://schemas.openxmlformats.org/officeDocument/2006/relationships/hyperlink" Target="mailto:sahmad@unicef.org" TargetMode="External"/><Relationship Id="rId32" Type="http://schemas.openxmlformats.org/officeDocument/2006/relationships/hyperlink" Target="mailto:faiza.ramzan@valueresource.org" TargetMode="External"/><Relationship Id="rId5" Type="http://schemas.openxmlformats.org/officeDocument/2006/relationships/hyperlink" Target="mailto:nisar@helpinneed.org" TargetMode="External"/><Relationship Id="rId15" Type="http://schemas.openxmlformats.org/officeDocument/2006/relationships/hyperlink" Target="mailto:dure.yasmeen@gmail.com" TargetMode="External"/><Relationship Id="rId23" Type="http://schemas.openxmlformats.org/officeDocument/2006/relationships/hyperlink" Target="mailto:rkhan@unicef.org" TargetMode="External"/><Relationship Id="rId28" Type="http://schemas.openxmlformats.org/officeDocument/2006/relationships/hyperlink" Target="mailto:erum.buki@savethechildren.org" TargetMode="External"/><Relationship Id="rId10" Type="http://schemas.openxmlformats.org/officeDocument/2006/relationships/hyperlink" Target="mailto:asad@soach.org.pk" TargetMode="External"/><Relationship Id="rId19" Type="http://schemas.openxmlformats.org/officeDocument/2006/relationships/hyperlink" Target="mailto:asgharalikhan@yahoo.com" TargetMode="External"/><Relationship Id="rId31" Type="http://schemas.openxmlformats.org/officeDocument/2006/relationships/hyperlink" Target="mailto:sabina.ahmad@valueresource.org" TargetMode="External"/><Relationship Id="rId4" Type="http://schemas.openxmlformats.org/officeDocument/2006/relationships/hyperlink" Target="mailto:dmo.mgarh@gmail.com" TargetMode="External"/><Relationship Id="rId9" Type="http://schemas.openxmlformats.org/officeDocument/2006/relationships/hyperlink" Target="mailto:goharayub2000@yahoo.com" TargetMode="External"/><Relationship Id="rId14" Type="http://schemas.openxmlformats.org/officeDocument/2006/relationships/hyperlink" Target="mailto:saiqa_afridi@wvi.org" TargetMode="External"/><Relationship Id="rId22" Type="http://schemas.openxmlformats.org/officeDocument/2006/relationships/hyperlink" Target="mailto:khosarngo@gmail.com" TargetMode="External"/><Relationship Id="rId27" Type="http://schemas.openxmlformats.org/officeDocument/2006/relationships/hyperlink" Target="mailto:asimbolon@unicef.org" TargetMode="External"/><Relationship Id="rId30" Type="http://schemas.openxmlformats.org/officeDocument/2006/relationships/hyperlink" Target="mailto:aansari@unicef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ameedabaloch@hotmail.com" TargetMode="External"/><Relationship Id="rId13" Type="http://schemas.openxmlformats.org/officeDocument/2006/relationships/hyperlink" Target="mailto:proudsibi@gmail.com" TargetMode="External"/><Relationship Id="rId18" Type="http://schemas.openxmlformats.org/officeDocument/2006/relationships/hyperlink" Target="mailto:ibrar.shahwani@savethechildren.org" TargetMode="External"/><Relationship Id="rId26" Type="http://schemas.openxmlformats.org/officeDocument/2006/relationships/hyperlink" Target="mailto:sumaira_976@hotmail.com" TargetMode="External"/><Relationship Id="rId3" Type="http://schemas.openxmlformats.org/officeDocument/2006/relationships/hyperlink" Target="mailto:rabia.rehmat@yahoo.com" TargetMode="External"/><Relationship Id="rId21" Type="http://schemas.openxmlformats.org/officeDocument/2006/relationships/hyperlink" Target="mailto:bfd_quetta@yahoo.com" TargetMode="External"/><Relationship Id="rId7" Type="http://schemas.openxmlformats.org/officeDocument/2006/relationships/hyperlink" Target="mailto:sss_arif2000@yahoo.com" TargetMode="External"/><Relationship Id="rId12" Type="http://schemas.openxmlformats.org/officeDocument/2006/relationships/hyperlink" Target="mailto:sak199@yahoo.com" TargetMode="External"/><Relationship Id="rId17" Type="http://schemas.openxmlformats.org/officeDocument/2006/relationships/hyperlink" Target="mailto:hakeembugti@gmail.com" TargetMode="External"/><Relationship Id="rId25" Type="http://schemas.openxmlformats.org/officeDocument/2006/relationships/hyperlink" Target="mailto:z_jalalzai@yahoo.com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mailto:rasheed.sadaf@gmail.com" TargetMode="External"/><Relationship Id="rId16" Type="http://schemas.openxmlformats.org/officeDocument/2006/relationships/hyperlink" Target="mailto:aalia@youth.org.pk" TargetMode="External"/><Relationship Id="rId20" Type="http://schemas.openxmlformats.org/officeDocument/2006/relationships/hyperlink" Target="mailto:zahida_pids@live.in" TargetMode="External"/><Relationship Id="rId29" Type="http://schemas.openxmlformats.org/officeDocument/2006/relationships/hyperlink" Target="mailto:sdsnaseerabad@gmail.com" TargetMode="External"/><Relationship Id="rId1" Type="http://schemas.openxmlformats.org/officeDocument/2006/relationships/hyperlink" Target="mailto:sehrish_nagi@yahoo.com" TargetMode="External"/><Relationship Id="rId6" Type="http://schemas.openxmlformats.org/officeDocument/2006/relationships/hyperlink" Target="mailto:samee.khan2002@gmail.com" TargetMode="External"/><Relationship Id="rId11" Type="http://schemas.openxmlformats.org/officeDocument/2006/relationships/hyperlink" Target="mailto:info@legendsociety.org" TargetMode="External"/><Relationship Id="rId24" Type="http://schemas.openxmlformats.org/officeDocument/2006/relationships/hyperlink" Target="mailto:nasrullah.lashari@savethechildren.org" TargetMode="External"/><Relationship Id="rId32" Type="http://schemas.openxmlformats.org/officeDocument/2006/relationships/hyperlink" Target="mailto:sc_jfd@sahil.com" TargetMode="External"/><Relationship Id="rId5" Type="http://schemas.openxmlformats.org/officeDocument/2006/relationships/hyperlink" Target="mailto:malehri@yahoo.com" TargetMode="External"/><Relationship Id="rId15" Type="http://schemas.openxmlformats.org/officeDocument/2006/relationships/hyperlink" Target="mailto:garsheen@youth.org.pk" TargetMode="External"/><Relationship Id="rId23" Type="http://schemas.openxmlformats.org/officeDocument/2006/relationships/hyperlink" Target="mailto:khalidkhetran@gmail.com" TargetMode="External"/><Relationship Id="rId28" Type="http://schemas.openxmlformats.org/officeDocument/2006/relationships/hyperlink" Target="mailto:great_murree@yahoo.com" TargetMode="External"/><Relationship Id="rId10" Type="http://schemas.openxmlformats.org/officeDocument/2006/relationships/hyperlink" Target="mailto:irfan6599@yahoo.com" TargetMode="External"/><Relationship Id="rId19" Type="http://schemas.openxmlformats.org/officeDocument/2006/relationships/hyperlink" Target="mailto:sadiqa.sultan@yahoo.com" TargetMode="External"/><Relationship Id="rId31" Type="http://schemas.openxmlformats.org/officeDocument/2006/relationships/hyperlink" Target="mailto:memon.muzaffar@gmail.com" TargetMode="External"/><Relationship Id="rId4" Type="http://schemas.openxmlformats.org/officeDocument/2006/relationships/hyperlink" Target="mailto:asia_mehar@yahoo.com" TargetMode="External"/><Relationship Id="rId9" Type="http://schemas.openxmlformats.org/officeDocument/2006/relationships/hyperlink" Target="mailto:alam_sumalani75@yahoo.com" TargetMode="External"/><Relationship Id="rId14" Type="http://schemas.openxmlformats.org/officeDocument/2006/relationships/hyperlink" Target="mailto:bdi_qta@yahoo.com" TargetMode="External"/><Relationship Id="rId22" Type="http://schemas.openxmlformats.org/officeDocument/2006/relationships/hyperlink" Target="mailto:shahab_sk@hotmail.com" TargetMode="External"/><Relationship Id="rId27" Type="http://schemas.openxmlformats.org/officeDocument/2006/relationships/hyperlink" Target="mailto:scope_balochistan@yahoo.com" TargetMode="External"/><Relationship Id="rId30" Type="http://schemas.openxmlformats.org/officeDocument/2006/relationships/hyperlink" Target="mailto:jameeljamali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suhailkhashkheli@gmail.com" TargetMode="External"/><Relationship Id="rId18" Type="http://schemas.openxmlformats.org/officeDocument/2006/relationships/hyperlink" Target="mailto:memonrazaq_74@yahoo.com" TargetMode="External"/><Relationship Id="rId26" Type="http://schemas.openxmlformats.org/officeDocument/2006/relationships/hyperlink" Target="mailto:kwes.org.sindhpk@gmail.com" TargetMode="External"/><Relationship Id="rId39" Type="http://schemas.openxmlformats.org/officeDocument/2006/relationships/hyperlink" Target="mailto:info@amrdo.org" TargetMode="External"/><Relationship Id="rId3" Type="http://schemas.openxmlformats.org/officeDocument/2006/relationships/hyperlink" Target="mailto:peacelarkana@yahoo.com" TargetMode="External"/><Relationship Id="rId21" Type="http://schemas.openxmlformats.org/officeDocument/2006/relationships/hyperlink" Target="mailto:wdabadi@hotmail.com" TargetMode="External"/><Relationship Id="rId34" Type="http://schemas.openxmlformats.org/officeDocument/2006/relationships/hyperlink" Target="mailto:ashiqkalwar@gmail.com" TargetMode="External"/><Relationship Id="rId42" Type="http://schemas.openxmlformats.org/officeDocument/2006/relationships/hyperlink" Target="mailto:solangi26@yahoo.com" TargetMode="External"/><Relationship Id="rId47" Type="http://schemas.openxmlformats.org/officeDocument/2006/relationships/hyperlink" Target="mailto:naeem_kalwar@yahoo.com" TargetMode="External"/><Relationship Id="rId50" Type="http://schemas.openxmlformats.org/officeDocument/2006/relationships/hyperlink" Target="mailto:odhokhan@yahoo.com" TargetMode="External"/><Relationship Id="rId7" Type="http://schemas.openxmlformats.org/officeDocument/2006/relationships/hyperlink" Target="mailto:tayar-dpme@nchd.org.pk" TargetMode="External"/><Relationship Id="rId12" Type="http://schemas.openxmlformats.org/officeDocument/2006/relationships/hyperlink" Target="mailto:nisarahmedc@yahoo.com" TargetMode="External"/><Relationship Id="rId17" Type="http://schemas.openxmlformats.org/officeDocument/2006/relationships/hyperlink" Target="mailto:nasar82@gmail.com" TargetMode="External"/><Relationship Id="rId25" Type="http://schemas.openxmlformats.org/officeDocument/2006/relationships/hyperlink" Target="mailto:peacelarkana@yahoo.com" TargetMode="External"/><Relationship Id="rId33" Type="http://schemas.openxmlformats.org/officeDocument/2006/relationships/hyperlink" Target="mailto:shikarpur.dec@gmail.com" TargetMode="External"/><Relationship Id="rId38" Type="http://schemas.openxmlformats.org/officeDocument/2006/relationships/hyperlink" Target="mailto:kohsarpf@gmail.com" TargetMode="External"/><Relationship Id="rId46" Type="http://schemas.openxmlformats.org/officeDocument/2006/relationships/hyperlink" Target="mailto:naeem_kalwar@yahoo.com" TargetMode="External"/><Relationship Id="rId2" Type="http://schemas.openxmlformats.org/officeDocument/2006/relationships/hyperlink" Target="mailto:rukhan@unicef.org" TargetMode="External"/><Relationship Id="rId16" Type="http://schemas.openxmlformats.org/officeDocument/2006/relationships/hyperlink" Target="mailto:panhwarasif@gmail.com" TargetMode="External"/><Relationship Id="rId20" Type="http://schemas.openxmlformats.org/officeDocument/2006/relationships/hyperlink" Target="mailto:abhameed@hotmail.com" TargetMode="External"/><Relationship Id="rId29" Type="http://schemas.openxmlformats.org/officeDocument/2006/relationships/hyperlink" Target="mailto:shahid.ahmad@undppartners.org.pk" TargetMode="External"/><Relationship Id="rId41" Type="http://schemas.openxmlformats.org/officeDocument/2006/relationships/hyperlink" Target="mailto:spechuho@gmail.com" TargetMode="External"/><Relationship Id="rId1" Type="http://schemas.openxmlformats.org/officeDocument/2006/relationships/hyperlink" Target="mailto:asimbolon@unicef.org" TargetMode="External"/><Relationship Id="rId6" Type="http://schemas.openxmlformats.org/officeDocument/2006/relationships/hyperlink" Target="mailto:farooqumrani@yahoo.com" TargetMode="External"/><Relationship Id="rId11" Type="http://schemas.openxmlformats.org/officeDocument/2006/relationships/hyperlink" Target="mailto:bughtorasheed@gmail.com" TargetMode="External"/><Relationship Id="rId24" Type="http://schemas.openxmlformats.org/officeDocument/2006/relationships/hyperlink" Target="mailto:rukhan@unicef.org" TargetMode="External"/><Relationship Id="rId32" Type="http://schemas.openxmlformats.org/officeDocument/2006/relationships/hyperlink" Target="mailto:qayoom_memon@hotmail.com" TargetMode="External"/><Relationship Id="rId37" Type="http://schemas.openxmlformats.org/officeDocument/2006/relationships/hyperlink" Target="mailto:kohsarngo@gmail.com" TargetMode="External"/><Relationship Id="rId40" Type="http://schemas.openxmlformats.org/officeDocument/2006/relationships/hyperlink" Target="mailto:info@amrdo.org" TargetMode="External"/><Relationship Id="rId45" Type="http://schemas.openxmlformats.org/officeDocument/2006/relationships/hyperlink" Target="mailto:abbas.baloch92@gmail.com" TargetMode="External"/><Relationship Id="rId5" Type="http://schemas.openxmlformats.org/officeDocument/2006/relationships/hyperlink" Target="mailto:furd.pk@gmail.com" TargetMode="External"/><Relationship Id="rId15" Type="http://schemas.openxmlformats.org/officeDocument/2006/relationships/hyperlink" Target="mailto:aijazrasool_syed@yahoo.com" TargetMode="External"/><Relationship Id="rId23" Type="http://schemas.openxmlformats.org/officeDocument/2006/relationships/hyperlink" Target="mailto:rabel_aziz88@yahoo.com" TargetMode="External"/><Relationship Id="rId28" Type="http://schemas.openxmlformats.org/officeDocument/2006/relationships/hyperlink" Target="mailto:goloble.org@gmai.com" TargetMode="External"/><Relationship Id="rId36" Type="http://schemas.openxmlformats.org/officeDocument/2006/relationships/hyperlink" Target="mailto:kwes.org.sindhpk@gmail.com" TargetMode="External"/><Relationship Id="rId49" Type="http://schemas.openxmlformats.org/officeDocument/2006/relationships/hyperlink" Target="mailto:zeeshan.hands@gmail.com" TargetMode="External"/><Relationship Id="rId10" Type="http://schemas.openxmlformats.org/officeDocument/2006/relationships/hyperlink" Target="mailto:Vijaykumar@yahoo.com" TargetMode="External"/><Relationship Id="rId19" Type="http://schemas.openxmlformats.org/officeDocument/2006/relationships/hyperlink" Target="mailto:ali.lajwani@gmail.com" TargetMode="External"/><Relationship Id="rId31" Type="http://schemas.openxmlformats.org/officeDocument/2006/relationships/hyperlink" Target="mailto:mustafa.hands@gmail.com" TargetMode="External"/><Relationship Id="rId44" Type="http://schemas.openxmlformats.org/officeDocument/2006/relationships/hyperlink" Target="mailto:rdo.orggarhikhairo@gmail.com" TargetMode="External"/><Relationship Id="rId4" Type="http://schemas.openxmlformats.org/officeDocument/2006/relationships/hyperlink" Target="mailto:mahraja_76player@yahoo.com" TargetMode="External"/><Relationship Id="rId9" Type="http://schemas.openxmlformats.org/officeDocument/2006/relationships/hyperlink" Target="mailto:shafiq_talhar@yahoo.com" TargetMode="External"/><Relationship Id="rId14" Type="http://schemas.openxmlformats.org/officeDocument/2006/relationships/hyperlink" Target="mailto:shehzadasaleem@yahoo.com" TargetMode="External"/><Relationship Id="rId22" Type="http://schemas.openxmlformats.org/officeDocument/2006/relationships/hyperlink" Target="mailto:sami.foundation@yahoo.com" TargetMode="External"/><Relationship Id="rId27" Type="http://schemas.openxmlformats.org/officeDocument/2006/relationships/hyperlink" Target="mailto:naeem_kalwar@yahoo.com" TargetMode="External"/><Relationship Id="rId30" Type="http://schemas.openxmlformats.org/officeDocument/2006/relationships/hyperlink" Target="mailto:dec.unicef.jcd@gmail.com" TargetMode="External"/><Relationship Id="rId35" Type="http://schemas.openxmlformats.org/officeDocument/2006/relationships/hyperlink" Target="mailto:amjad7686@yahoo.com" TargetMode="External"/><Relationship Id="rId43" Type="http://schemas.openxmlformats.org/officeDocument/2006/relationships/hyperlink" Target="mailto:hyder.habib110@gmail.com" TargetMode="External"/><Relationship Id="rId48" Type="http://schemas.openxmlformats.org/officeDocument/2006/relationships/hyperlink" Target="mailto:naeem_kalwar@yahoo.com" TargetMode="External"/><Relationship Id="rId8" Type="http://schemas.openxmlformats.org/officeDocument/2006/relationships/hyperlink" Target="mailto:nirmpak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tariqkaror@hotmail.com" TargetMode="External"/><Relationship Id="rId13" Type="http://schemas.openxmlformats.org/officeDocument/2006/relationships/hyperlink" Target="mailto:waqar@hrdn.net" TargetMode="External"/><Relationship Id="rId18" Type="http://schemas.openxmlformats.org/officeDocument/2006/relationships/hyperlink" Target="mailto:gamjad_1972@yahoo.com" TargetMode="External"/><Relationship Id="rId26" Type="http://schemas.openxmlformats.org/officeDocument/2006/relationships/hyperlink" Target="mailto:shahidnoor35@yahoo.com" TargetMode="External"/><Relationship Id="rId39" Type="http://schemas.openxmlformats.org/officeDocument/2006/relationships/hyperlink" Target="mailto:mukhtarchawan@gmail.com" TargetMode="External"/><Relationship Id="rId3" Type="http://schemas.openxmlformats.org/officeDocument/2006/relationships/hyperlink" Target="mailto:farzanahayat@hotmail.com" TargetMode="External"/><Relationship Id="rId21" Type="http://schemas.openxmlformats.org/officeDocument/2006/relationships/hyperlink" Target="mailto:mansoorasghar@yahoo.com" TargetMode="External"/><Relationship Id="rId34" Type="http://schemas.openxmlformats.org/officeDocument/2006/relationships/hyperlink" Target="mailto:mani.khan99@homail.com" TargetMode="External"/><Relationship Id="rId42" Type="http://schemas.openxmlformats.org/officeDocument/2006/relationships/hyperlink" Target="mailto:hassanraza1960@yahoo.com" TargetMode="External"/><Relationship Id="rId7" Type="http://schemas.openxmlformats.org/officeDocument/2006/relationships/hyperlink" Target="mailto:waqar@hrdn.net" TargetMode="External"/><Relationship Id="rId12" Type="http://schemas.openxmlformats.org/officeDocument/2006/relationships/hyperlink" Target="mailto:irshad.sumra@hotmail.com" TargetMode="External"/><Relationship Id="rId17" Type="http://schemas.openxmlformats.org/officeDocument/2006/relationships/hyperlink" Target="mailto:mehmoodqu@yahoo.com" TargetMode="External"/><Relationship Id="rId25" Type="http://schemas.openxmlformats.org/officeDocument/2006/relationships/hyperlink" Target="mailto:liaqat-0786@yahoo.com" TargetMode="External"/><Relationship Id="rId33" Type="http://schemas.openxmlformats.org/officeDocument/2006/relationships/hyperlink" Target="mailto:mamoona@wfp.org" TargetMode="External"/><Relationship Id="rId38" Type="http://schemas.openxmlformats.org/officeDocument/2006/relationships/hyperlink" Target="mailto:mherajiz79@gmail.com" TargetMode="External"/><Relationship Id="rId2" Type="http://schemas.openxmlformats.org/officeDocument/2006/relationships/hyperlink" Target="mailto:isajid89@yahoo.com" TargetMode="External"/><Relationship Id="rId16" Type="http://schemas.openxmlformats.org/officeDocument/2006/relationships/hyperlink" Target="mailto:naziabibi786@gmail.com" TargetMode="External"/><Relationship Id="rId20" Type="http://schemas.openxmlformats.org/officeDocument/2006/relationships/hyperlink" Target="mailto:mudassarkhan_masscom@yahoo.com" TargetMode="External"/><Relationship Id="rId29" Type="http://schemas.openxmlformats.org/officeDocument/2006/relationships/hyperlink" Target="mailto:mtn@bunyad@.org.pk" TargetMode="External"/><Relationship Id="rId41" Type="http://schemas.openxmlformats.org/officeDocument/2006/relationships/hyperlink" Target="mailto:waseem-shahzad@hotmail.com" TargetMode="External"/><Relationship Id="rId1" Type="http://schemas.openxmlformats.org/officeDocument/2006/relationships/hyperlink" Target="mailto:farzanahayat@hotmail.com" TargetMode="External"/><Relationship Id="rId6" Type="http://schemas.openxmlformats.org/officeDocument/2006/relationships/hyperlink" Target="mailto:naziabibi786@gmail.com" TargetMode="External"/><Relationship Id="rId11" Type="http://schemas.openxmlformats.org/officeDocument/2006/relationships/hyperlink" Target="mailto:tariqhabib2011@hotmail.com" TargetMode="External"/><Relationship Id="rId24" Type="http://schemas.openxmlformats.org/officeDocument/2006/relationships/hyperlink" Target="mailto:hfarooq@muslimaid.org" TargetMode="External"/><Relationship Id="rId32" Type="http://schemas.openxmlformats.org/officeDocument/2006/relationships/hyperlink" Target="mailto:aishsajjad@yahoo.com" TargetMode="External"/><Relationship Id="rId37" Type="http://schemas.openxmlformats.org/officeDocument/2006/relationships/hyperlink" Target="mailto:whiterose149@gmail.com" TargetMode="External"/><Relationship Id="rId40" Type="http://schemas.openxmlformats.org/officeDocument/2006/relationships/hyperlink" Target="mailto:yothage@yahoo.com" TargetMode="External"/><Relationship Id="rId45" Type="http://schemas.openxmlformats.org/officeDocument/2006/relationships/printerSettings" Target="../printerSettings/printerSettings4.bin"/><Relationship Id="rId5" Type="http://schemas.openxmlformats.org/officeDocument/2006/relationships/hyperlink" Target="mailto:hammadabbasi2000@yahoo.com" TargetMode="External"/><Relationship Id="rId15" Type="http://schemas.openxmlformats.org/officeDocument/2006/relationships/hyperlink" Target="mailto:gender.org1@gmail.com" TargetMode="External"/><Relationship Id="rId23" Type="http://schemas.openxmlformats.org/officeDocument/2006/relationships/hyperlink" Target="mailto:junaid@muslimaid.org.pk" TargetMode="External"/><Relationship Id="rId28" Type="http://schemas.openxmlformats.org/officeDocument/2006/relationships/hyperlink" Target="mailto:kshwf@soach.org.pk" TargetMode="External"/><Relationship Id="rId36" Type="http://schemas.openxmlformats.org/officeDocument/2006/relationships/hyperlink" Target="mailto:m.azeem88@live.com" TargetMode="External"/><Relationship Id="rId10" Type="http://schemas.openxmlformats.org/officeDocument/2006/relationships/hyperlink" Target="mailto:sirajnaseem@yahoo.com" TargetMode="External"/><Relationship Id="rId19" Type="http://schemas.openxmlformats.org/officeDocument/2006/relationships/hyperlink" Target="mailto:irshad.sumra@hotmail.com" TargetMode="External"/><Relationship Id="rId31" Type="http://schemas.openxmlformats.org/officeDocument/2006/relationships/hyperlink" Target="mailto:mehvish.ita@gmail.com" TargetMode="External"/><Relationship Id="rId44" Type="http://schemas.openxmlformats.org/officeDocument/2006/relationships/hyperlink" Target="mailto:bunyadfoundation.mzg@gmail.com" TargetMode="External"/><Relationship Id="rId4" Type="http://schemas.openxmlformats.org/officeDocument/2006/relationships/hyperlink" Target="mailto:isajid89@yahoo.com" TargetMode="External"/><Relationship Id="rId9" Type="http://schemas.openxmlformats.org/officeDocument/2006/relationships/hyperlink" Target="mailto:tariqkaror@hotmail.com" TargetMode="External"/><Relationship Id="rId14" Type="http://schemas.openxmlformats.org/officeDocument/2006/relationships/hyperlink" Target="mailto:waqar@hrdn.net" TargetMode="External"/><Relationship Id="rId22" Type="http://schemas.openxmlformats.org/officeDocument/2006/relationships/hyperlink" Target="mailto:nadia-shaery@yahoo.com" TargetMode="External"/><Relationship Id="rId27" Type="http://schemas.openxmlformats.org/officeDocument/2006/relationships/hyperlink" Target="mailto:s.aim2009@live.com" TargetMode="External"/><Relationship Id="rId30" Type="http://schemas.openxmlformats.org/officeDocument/2006/relationships/hyperlink" Target="mailto:rizwana.ita@gmail.com" TargetMode="External"/><Relationship Id="rId35" Type="http://schemas.openxmlformats.org/officeDocument/2006/relationships/hyperlink" Target="mailto:jam.khalid@savethechildren.org" TargetMode="External"/><Relationship Id="rId43" Type="http://schemas.openxmlformats.org/officeDocument/2006/relationships/hyperlink" Target="mailto:akbarhash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view="pageBreakPreview" zoomScale="60" zoomScaleNormal="100" workbookViewId="0">
      <pane ySplit="3" topLeftCell="A21" activePane="bottomLeft" state="frozen"/>
      <selection pane="bottomLeft" activeCell="F40" sqref="F40"/>
    </sheetView>
  </sheetViews>
  <sheetFormatPr defaultRowHeight="15.6" x14ac:dyDescent="0.3"/>
  <cols>
    <col min="1" max="1" width="12.3984375" customWidth="1"/>
    <col min="2" max="2" width="13.5" customWidth="1"/>
    <col min="3" max="3" width="15.19921875" customWidth="1"/>
    <col min="4" max="4" width="14.69921875" customWidth="1"/>
    <col min="5" max="5" width="25.59765625" customWidth="1"/>
    <col min="6" max="6" width="7.19921875" customWidth="1"/>
    <col min="7" max="7" width="8.19921875" customWidth="1"/>
    <col min="8" max="8" width="10.59765625" customWidth="1"/>
    <col min="9" max="9" width="18.59765625" customWidth="1"/>
    <col min="10" max="10" width="20.09765625" customWidth="1"/>
  </cols>
  <sheetData>
    <row r="1" spans="1:10" ht="53.25" customHeight="1" x14ac:dyDescent="0.3">
      <c r="A1" s="106" t="s">
        <v>36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29.25" customHeight="1" x14ac:dyDescent="0.3">
      <c r="A2" s="92" t="s">
        <v>0</v>
      </c>
      <c r="B2" s="92" t="s">
        <v>22</v>
      </c>
      <c r="C2" s="92" t="s">
        <v>23</v>
      </c>
      <c r="D2" s="92" t="s">
        <v>35</v>
      </c>
      <c r="E2" s="92" t="s">
        <v>25</v>
      </c>
      <c r="F2" s="108" t="s">
        <v>11</v>
      </c>
      <c r="G2" s="108"/>
      <c r="H2" s="108"/>
      <c r="I2" s="108" t="s">
        <v>32</v>
      </c>
      <c r="J2" s="108" t="s">
        <v>590</v>
      </c>
    </row>
    <row r="3" spans="1:10" ht="42.6" customHeight="1" x14ac:dyDescent="0.3">
      <c r="A3" s="92"/>
      <c r="B3" s="92"/>
      <c r="C3" s="92"/>
      <c r="D3" s="92"/>
      <c r="E3" s="92"/>
      <c r="F3" s="5" t="s">
        <v>1</v>
      </c>
      <c r="G3" s="5" t="s">
        <v>2</v>
      </c>
      <c r="H3" s="5" t="s">
        <v>3</v>
      </c>
      <c r="I3" s="108"/>
      <c r="J3" s="108"/>
    </row>
    <row r="4" spans="1:10" ht="53.4" customHeight="1" x14ac:dyDescent="0.3">
      <c r="A4" s="6" t="s">
        <v>12</v>
      </c>
      <c r="B4" s="6" t="s">
        <v>37</v>
      </c>
      <c r="C4" s="6" t="s">
        <v>13</v>
      </c>
      <c r="D4" s="6" t="s">
        <v>14</v>
      </c>
      <c r="E4" s="6" t="s">
        <v>38</v>
      </c>
      <c r="F4" s="7">
        <v>24</v>
      </c>
      <c r="G4" s="7">
        <v>10</v>
      </c>
      <c r="H4" s="7">
        <f>SUM(F4:G4)</f>
        <v>34</v>
      </c>
      <c r="I4" s="55" t="s">
        <v>188</v>
      </c>
      <c r="J4" s="2"/>
    </row>
    <row r="5" spans="1:10" x14ac:dyDescent="0.3">
      <c r="A5" s="97" t="s">
        <v>33</v>
      </c>
      <c r="B5" s="98"/>
      <c r="C5" s="98"/>
      <c r="D5" s="98"/>
      <c r="E5" s="99"/>
      <c r="F5" s="8">
        <f>SUM(F4)</f>
        <v>24</v>
      </c>
      <c r="G5" s="9">
        <f>SUM(G2:G4)</f>
        <v>10</v>
      </c>
      <c r="H5" s="9">
        <f>SUM(H2:H4)</f>
        <v>34</v>
      </c>
      <c r="I5" s="56"/>
      <c r="J5" s="56"/>
    </row>
    <row r="6" spans="1:10" ht="27.6" x14ac:dyDescent="0.3">
      <c r="A6" s="48" t="s">
        <v>4</v>
      </c>
      <c r="B6" s="61" t="s">
        <v>28</v>
      </c>
      <c r="C6" s="61" t="s">
        <v>21</v>
      </c>
      <c r="D6" s="61" t="s">
        <v>14</v>
      </c>
      <c r="E6" s="61" t="s">
        <v>187</v>
      </c>
      <c r="F6" s="10">
        <v>11</v>
      </c>
      <c r="G6" s="10">
        <v>17</v>
      </c>
      <c r="H6" s="7">
        <f>SUM(F6:G6)</f>
        <v>28</v>
      </c>
      <c r="I6" s="55" t="s">
        <v>186</v>
      </c>
      <c r="J6" s="59" t="s">
        <v>591</v>
      </c>
    </row>
    <row r="7" spans="1:10" ht="41.4" x14ac:dyDescent="0.3">
      <c r="A7" s="15" t="s">
        <v>4</v>
      </c>
      <c r="B7" s="61" t="s">
        <v>748</v>
      </c>
      <c r="C7" s="61" t="s">
        <v>587</v>
      </c>
      <c r="D7" s="61" t="s">
        <v>14</v>
      </c>
      <c r="E7" s="61" t="s">
        <v>588</v>
      </c>
      <c r="F7" s="10">
        <v>25</v>
      </c>
      <c r="G7" s="10">
        <v>6</v>
      </c>
      <c r="H7" s="7">
        <f>SUM(F7:G7)</f>
        <v>31</v>
      </c>
      <c r="I7" s="55" t="s">
        <v>901</v>
      </c>
      <c r="J7" s="2"/>
    </row>
    <row r="8" spans="1:10" x14ac:dyDescent="0.3">
      <c r="A8" s="97" t="s">
        <v>34</v>
      </c>
      <c r="B8" s="98"/>
      <c r="C8" s="98"/>
      <c r="D8" s="98"/>
      <c r="E8" s="99"/>
      <c r="F8" s="9">
        <f>F6+F7</f>
        <v>36</v>
      </c>
      <c r="G8" s="9">
        <f>G6+G7</f>
        <v>23</v>
      </c>
      <c r="H8" s="9">
        <f>H6+H7</f>
        <v>59</v>
      </c>
      <c r="I8" s="56"/>
      <c r="J8" s="56"/>
    </row>
    <row r="9" spans="1:10" ht="27.6" x14ac:dyDescent="0.3">
      <c r="A9" s="93" t="s">
        <v>5</v>
      </c>
      <c r="B9" s="6" t="s">
        <v>27</v>
      </c>
      <c r="C9" s="6" t="s">
        <v>1000</v>
      </c>
      <c r="D9" s="28" t="s">
        <v>14</v>
      </c>
      <c r="E9" s="6" t="s">
        <v>327</v>
      </c>
      <c r="F9" s="4">
        <v>22</v>
      </c>
      <c r="G9" s="4">
        <v>12</v>
      </c>
      <c r="H9" s="11">
        <f>SUM(F9:G9)</f>
        <v>34</v>
      </c>
      <c r="I9" s="69" t="s">
        <v>1001</v>
      </c>
      <c r="J9" s="2"/>
    </row>
    <row r="10" spans="1:10" x14ac:dyDescent="0.3">
      <c r="A10" s="93"/>
      <c r="B10" s="6"/>
      <c r="C10" s="6"/>
      <c r="D10" s="6"/>
      <c r="E10" s="6"/>
      <c r="F10" s="4"/>
      <c r="G10" s="4"/>
      <c r="H10" s="10"/>
      <c r="I10" s="55"/>
      <c r="J10" s="2"/>
    </row>
    <row r="11" spans="1:10" x14ac:dyDescent="0.3">
      <c r="A11" s="93"/>
      <c r="B11" s="6"/>
      <c r="C11" s="6"/>
      <c r="D11" s="6"/>
      <c r="E11" s="6"/>
      <c r="F11" s="10"/>
      <c r="G11" s="10"/>
      <c r="H11" s="10"/>
      <c r="I11" s="57"/>
      <c r="J11" s="2"/>
    </row>
    <row r="12" spans="1:10" x14ac:dyDescent="0.3">
      <c r="A12" s="97" t="s">
        <v>6</v>
      </c>
      <c r="B12" s="98"/>
      <c r="C12" s="98"/>
      <c r="D12" s="98"/>
      <c r="E12" s="99"/>
      <c r="F12" s="8">
        <f>SUM(F9:F11)</f>
        <v>22</v>
      </c>
      <c r="G12" s="9">
        <f>SUM(G9:G11)</f>
        <v>12</v>
      </c>
      <c r="H12" s="9">
        <f>SUM(H9:H11)</f>
        <v>34</v>
      </c>
      <c r="I12" s="56"/>
      <c r="J12" s="56"/>
    </row>
    <row r="13" spans="1:10" ht="41.4" x14ac:dyDescent="0.3">
      <c r="A13" s="93" t="s">
        <v>7</v>
      </c>
      <c r="B13" s="6" t="s">
        <v>329</v>
      </c>
      <c r="C13" s="6" t="s">
        <v>336</v>
      </c>
      <c r="D13" s="6" t="s">
        <v>14</v>
      </c>
      <c r="E13" s="6" t="s">
        <v>330</v>
      </c>
      <c r="F13" s="11">
        <v>20</v>
      </c>
      <c r="G13" s="10">
        <v>5</v>
      </c>
      <c r="H13" s="11">
        <v>25</v>
      </c>
      <c r="I13" s="55" t="s">
        <v>331</v>
      </c>
      <c r="J13" s="2"/>
    </row>
    <row r="14" spans="1:10" ht="27.6" x14ac:dyDescent="0.3">
      <c r="A14" s="93"/>
      <c r="B14" s="28" t="s">
        <v>334</v>
      </c>
      <c r="C14" s="28" t="s">
        <v>337</v>
      </c>
      <c r="D14" s="28" t="s">
        <v>14</v>
      </c>
      <c r="E14" s="28" t="s">
        <v>332</v>
      </c>
      <c r="F14" s="10">
        <v>30</v>
      </c>
      <c r="G14" s="10">
        <v>3</v>
      </c>
      <c r="H14" s="10">
        <f>SUM(F14:G14)</f>
        <v>33</v>
      </c>
      <c r="I14" s="55" t="s">
        <v>333</v>
      </c>
      <c r="J14" s="2"/>
    </row>
    <row r="15" spans="1:10" ht="27.6" x14ac:dyDescent="0.3">
      <c r="A15" s="93"/>
      <c r="B15" s="6" t="s">
        <v>335</v>
      </c>
      <c r="C15" s="6" t="s">
        <v>338</v>
      </c>
      <c r="D15" s="28" t="s">
        <v>14</v>
      </c>
      <c r="E15" s="6" t="s">
        <v>332</v>
      </c>
      <c r="F15" s="10">
        <v>26</v>
      </c>
      <c r="G15" s="10">
        <v>5</v>
      </c>
      <c r="H15" s="10">
        <f>SUM(F15:G15)</f>
        <v>31</v>
      </c>
      <c r="I15" s="55" t="s">
        <v>335</v>
      </c>
      <c r="J15" s="2"/>
    </row>
    <row r="16" spans="1:10" x14ac:dyDescent="0.3">
      <c r="A16" s="97" t="s">
        <v>8</v>
      </c>
      <c r="B16" s="98"/>
      <c r="C16" s="98"/>
      <c r="D16" s="98"/>
      <c r="E16" s="99"/>
      <c r="F16" s="40">
        <f>SUM(F13:F15)</f>
        <v>76</v>
      </c>
      <c r="G16" s="9">
        <f>SUM(G13:G15)</f>
        <v>13</v>
      </c>
      <c r="H16" s="39">
        <f>SUM(H13:H15)</f>
        <v>89</v>
      </c>
      <c r="I16" s="56"/>
      <c r="J16" s="56"/>
    </row>
    <row r="17" spans="1:10" ht="27.6" x14ac:dyDescent="0.3">
      <c r="A17" s="94" t="s">
        <v>9</v>
      </c>
      <c r="B17" s="61" t="s">
        <v>29</v>
      </c>
      <c r="C17" s="61" t="s">
        <v>339</v>
      </c>
      <c r="D17" s="61" t="s">
        <v>66</v>
      </c>
      <c r="E17" s="61" t="s">
        <v>592</v>
      </c>
      <c r="F17" s="10">
        <v>24</v>
      </c>
      <c r="G17" s="10">
        <v>4</v>
      </c>
      <c r="H17" s="11">
        <v>28</v>
      </c>
      <c r="I17" s="7" t="s">
        <v>9</v>
      </c>
      <c r="J17" s="2"/>
    </row>
    <row r="18" spans="1:10" ht="27.6" x14ac:dyDescent="0.3">
      <c r="A18" s="95"/>
      <c r="B18" s="61" t="s">
        <v>593</v>
      </c>
      <c r="C18" s="61" t="s">
        <v>340</v>
      </c>
      <c r="D18" s="61" t="s">
        <v>66</v>
      </c>
      <c r="E18" s="61" t="s">
        <v>594</v>
      </c>
      <c r="F18" s="10">
        <v>22</v>
      </c>
      <c r="G18" s="10">
        <v>8</v>
      </c>
      <c r="H18" s="11">
        <v>30</v>
      </c>
      <c r="I18" s="7" t="s">
        <v>593</v>
      </c>
      <c r="J18" s="2"/>
    </row>
    <row r="19" spans="1:10" ht="27.6" x14ac:dyDescent="0.3">
      <c r="A19" s="95"/>
      <c r="B19" s="61" t="s">
        <v>30</v>
      </c>
      <c r="C19" s="61" t="s">
        <v>341</v>
      </c>
      <c r="D19" s="61" t="s">
        <v>66</v>
      </c>
      <c r="E19" s="61" t="s">
        <v>595</v>
      </c>
      <c r="F19" s="10">
        <v>23</v>
      </c>
      <c r="G19" s="10">
        <v>7</v>
      </c>
      <c r="H19" s="10">
        <v>30</v>
      </c>
      <c r="I19" s="7" t="s">
        <v>596</v>
      </c>
      <c r="J19" s="2"/>
    </row>
    <row r="20" spans="1:10" ht="27.6" x14ac:dyDescent="0.3">
      <c r="A20" s="95"/>
      <c r="B20" s="91" t="s">
        <v>597</v>
      </c>
      <c r="C20" s="91" t="s">
        <v>598</v>
      </c>
      <c r="D20" s="91" t="s">
        <v>66</v>
      </c>
      <c r="E20" s="91" t="s">
        <v>599</v>
      </c>
      <c r="F20" s="10">
        <v>22</v>
      </c>
      <c r="G20" s="10">
        <v>12</v>
      </c>
      <c r="H20" s="10">
        <f>SUM(F20:G20)</f>
        <v>34</v>
      </c>
      <c r="I20" s="7" t="s">
        <v>597</v>
      </c>
      <c r="J20" s="2"/>
    </row>
    <row r="21" spans="1:10" ht="39.6" customHeight="1" x14ac:dyDescent="0.3">
      <c r="A21" s="96"/>
      <c r="B21" s="134" t="s">
        <v>29</v>
      </c>
      <c r="C21" s="134" t="s">
        <v>1375</v>
      </c>
      <c r="D21" s="134" t="s">
        <v>66</v>
      </c>
      <c r="E21" s="135" t="s">
        <v>1374</v>
      </c>
      <c r="F21" s="136">
        <v>20</v>
      </c>
      <c r="G21" s="136">
        <v>6</v>
      </c>
      <c r="H21" s="136">
        <v>26</v>
      </c>
      <c r="I21" s="137" t="s">
        <v>29</v>
      </c>
      <c r="J21" s="2"/>
    </row>
    <row r="22" spans="1:10" ht="15.6" customHeight="1" x14ac:dyDescent="0.3">
      <c r="A22" s="109" t="s">
        <v>10</v>
      </c>
      <c r="B22" s="110"/>
      <c r="C22" s="110"/>
      <c r="D22" s="110"/>
      <c r="E22" s="111"/>
      <c r="F22" s="60">
        <f>SUM(F17:F21)</f>
        <v>111</v>
      </c>
      <c r="G22" s="12">
        <f>SUM(G17:G21)</f>
        <v>37</v>
      </c>
      <c r="H22" s="38">
        <f>SUM(H17:H21)</f>
        <v>148</v>
      </c>
      <c r="I22" s="58"/>
      <c r="J22" s="58"/>
    </row>
    <row r="23" spans="1:10" x14ac:dyDescent="0.3">
      <c r="A23" s="97" t="s">
        <v>31</v>
      </c>
      <c r="B23" s="98"/>
      <c r="C23" s="98"/>
      <c r="D23" s="98"/>
      <c r="E23" s="99"/>
      <c r="F23" s="39">
        <f>F5+F8+F12+F16+F22</f>
        <v>269</v>
      </c>
      <c r="G23" s="39">
        <f>G5+G8+G12+G16+G22</f>
        <v>95</v>
      </c>
      <c r="H23" s="39">
        <f>H5+H8+H12+H16+H22</f>
        <v>364</v>
      </c>
      <c r="I23" s="56"/>
      <c r="J23" s="56"/>
    </row>
    <row r="24" spans="1:10" x14ac:dyDescent="0.3">
      <c r="A24" s="1"/>
      <c r="B24" s="1"/>
      <c r="C24" s="1"/>
      <c r="J24" s="2"/>
    </row>
    <row r="25" spans="1:10" ht="34.799999999999997" customHeight="1" x14ac:dyDescent="0.3">
      <c r="B25" s="103" t="s">
        <v>342</v>
      </c>
      <c r="C25" s="103"/>
      <c r="J25" s="2"/>
    </row>
    <row r="26" spans="1:10" x14ac:dyDescent="0.3">
      <c r="J26" s="2"/>
    </row>
    <row r="27" spans="1:10" x14ac:dyDescent="0.3">
      <c r="A27" s="92" t="s">
        <v>0</v>
      </c>
      <c r="B27" s="104" t="s">
        <v>343</v>
      </c>
      <c r="C27" s="92" t="s">
        <v>344</v>
      </c>
      <c r="D27" s="108" t="s">
        <v>11</v>
      </c>
      <c r="E27" s="108"/>
      <c r="F27" s="108"/>
      <c r="J27" s="2"/>
    </row>
    <row r="28" spans="1:10" ht="29.4" customHeight="1" x14ac:dyDescent="0.3">
      <c r="A28" s="92"/>
      <c r="B28" s="105"/>
      <c r="C28" s="92"/>
      <c r="D28" s="41" t="s">
        <v>1</v>
      </c>
      <c r="E28" s="41" t="s">
        <v>2</v>
      </c>
      <c r="F28" s="41" t="s">
        <v>3</v>
      </c>
      <c r="J28" s="2"/>
    </row>
    <row r="29" spans="1:10" ht="27.6" x14ac:dyDescent="0.3">
      <c r="A29" s="42" t="s">
        <v>12</v>
      </c>
      <c r="B29" s="7">
        <v>1</v>
      </c>
      <c r="C29" s="42" t="s">
        <v>37</v>
      </c>
      <c r="D29" s="7">
        <v>24</v>
      </c>
      <c r="E29" s="7">
        <v>10</v>
      </c>
      <c r="F29" s="7">
        <f>SUM(D29:E29)</f>
        <v>34</v>
      </c>
      <c r="J29" s="2"/>
    </row>
    <row r="30" spans="1:10" ht="27.6" x14ac:dyDescent="0.3">
      <c r="A30" s="94" t="s">
        <v>4</v>
      </c>
      <c r="B30" s="100">
        <v>2</v>
      </c>
      <c r="C30" s="48" t="s">
        <v>589</v>
      </c>
      <c r="D30" s="7">
        <v>25</v>
      </c>
      <c r="E30" s="7">
        <v>6</v>
      </c>
      <c r="F30" s="7">
        <f>SUM(D30:E30)</f>
        <v>31</v>
      </c>
      <c r="J30" s="2"/>
    </row>
    <row r="31" spans="1:10" x14ac:dyDescent="0.3">
      <c r="A31" s="96"/>
      <c r="B31" s="102"/>
      <c r="C31" s="42" t="s">
        <v>28</v>
      </c>
      <c r="D31" s="7">
        <v>11</v>
      </c>
      <c r="E31" s="7">
        <v>17</v>
      </c>
      <c r="F31" s="7">
        <f>SUM(D31:E31)</f>
        <v>28</v>
      </c>
      <c r="J31" s="2"/>
    </row>
    <row r="32" spans="1:10" x14ac:dyDescent="0.3">
      <c r="A32" s="43" t="s">
        <v>5</v>
      </c>
      <c r="B32" s="7">
        <v>1</v>
      </c>
      <c r="C32" s="42" t="s">
        <v>27</v>
      </c>
      <c r="D32" s="44">
        <v>22</v>
      </c>
      <c r="E32" s="44">
        <v>12</v>
      </c>
      <c r="F32" s="45">
        <f>SUM(D32:E32)</f>
        <v>34</v>
      </c>
      <c r="J32" s="2"/>
    </row>
    <row r="33" spans="1:10" x14ac:dyDescent="0.3">
      <c r="A33" s="93" t="s">
        <v>7</v>
      </c>
      <c r="B33" s="100">
        <v>3</v>
      </c>
      <c r="C33" s="42" t="s">
        <v>329</v>
      </c>
      <c r="D33" s="45">
        <v>20</v>
      </c>
      <c r="E33" s="7">
        <v>5</v>
      </c>
      <c r="F33" s="45">
        <v>25</v>
      </c>
      <c r="J33" s="2"/>
    </row>
    <row r="34" spans="1:10" x14ac:dyDescent="0.3">
      <c r="A34" s="93"/>
      <c r="B34" s="101"/>
      <c r="C34" s="42" t="s">
        <v>334</v>
      </c>
      <c r="D34" s="7">
        <v>30</v>
      </c>
      <c r="E34" s="7">
        <v>3</v>
      </c>
      <c r="F34" s="7">
        <f t="shared" ref="F34:F40" si="0">SUM(D34:E34)</f>
        <v>33</v>
      </c>
      <c r="J34" s="2"/>
    </row>
    <row r="35" spans="1:10" x14ac:dyDescent="0.3">
      <c r="A35" s="93"/>
      <c r="B35" s="102"/>
      <c r="C35" s="42" t="s">
        <v>335</v>
      </c>
      <c r="D35" s="7">
        <v>26</v>
      </c>
      <c r="E35" s="7">
        <v>5</v>
      </c>
      <c r="F35" s="7">
        <f t="shared" si="0"/>
        <v>31</v>
      </c>
      <c r="J35" s="2"/>
    </row>
    <row r="36" spans="1:10" x14ac:dyDescent="0.3">
      <c r="A36" s="93" t="s">
        <v>9</v>
      </c>
      <c r="B36" s="100">
        <v>5</v>
      </c>
      <c r="C36" s="42" t="s">
        <v>29</v>
      </c>
      <c r="D36" s="7">
        <v>24</v>
      </c>
      <c r="E36" s="7">
        <v>4</v>
      </c>
      <c r="F36" s="45">
        <f t="shared" si="0"/>
        <v>28</v>
      </c>
      <c r="J36" s="2"/>
    </row>
    <row r="37" spans="1:10" x14ac:dyDescent="0.3">
      <c r="A37" s="93"/>
      <c r="B37" s="101"/>
      <c r="C37" s="42" t="s">
        <v>30</v>
      </c>
      <c r="D37" s="7">
        <v>23</v>
      </c>
      <c r="E37" s="7">
        <v>7</v>
      </c>
      <c r="F37" s="45">
        <f t="shared" si="0"/>
        <v>30</v>
      </c>
      <c r="J37" s="2"/>
    </row>
    <row r="38" spans="1:10" x14ac:dyDescent="0.3">
      <c r="A38" s="93"/>
      <c r="B38" s="101"/>
      <c r="C38" s="62" t="s">
        <v>328</v>
      </c>
      <c r="D38" s="7">
        <v>22</v>
      </c>
      <c r="E38" s="7">
        <v>8</v>
      </c>
      <c r="F38" s="7">
        <f t="shared" si="0"/>
        <v>30</v>
      </c>
      <c r="H38" t="s">
        <v>904</v>
      </c>
      <c r="J38" s="2"/>
    </row>
    <row r="39" spans="1:10" x14ac:dyDescent="0.3">
      <c r="A39" s="93"/>
      <c r="B39" s="101"/>
      <c r="C39" s="91" t="s">
        <v>902</v>
      </c>
      <c r="D39" s="7">
        <v>22</v>
      </c>
      <c r="E39" s="7">
        <v>12</v>
      </c>
      <c r="F39" s="7">
        <f t="shared" ref="F39" si="1">SUM(D39:E39)</f>
        <v>34</v>
      </c>
      <c r="J39" s="2"/>
    </row>
    <row r="40" spans="1:10" ht="24.6" customHeight="1" x14ac:dyDescent="0.3">
      <c r="A40" s="93"/>
      <c r="B40" s="102"/>
      <c r="C40" s="42" t="s">
        <v>29</v>
      </c>
      <c r="D40" s="7">
        <v>20</v>
      </c>
      <c r="E40" s="7">
        <v>6</v>
      </c>
      <c r="F40" s="7">
        <f t="shared" si="0"/>
        <v>26</v>
      </c>
      <c r="J40" s="2"/>
    </row>
    <row r="41" spans="1:10" ht="31.8" customHeight="1" x14ac:dyDescent="0.3">
      <c r="A41" s="46" t="s">
        <v>31</v>
      </c>
      <c r="B41" s="8">
        <f>SUM(B29:B40)</f>
        <v>12</v>
      </c>
      <c r="C41" s="47"/>
      <c r="D41" s="39">
        <f>SUM(D29:D40)</f>
        <v>269</v>
      </c>
      <c r="E41" s="39">
        <f>SUM(E29:E40)</f>
        <v>95</v>
      </c>
      <c r="F41" s="39">
        <f>SUM(F29:F40)</f>
        <v>364</v>
      </c>
      <c r="J41" s="2"/>
    </row>
  </sheetData>
  <mergeCells count="29">
    <mergeCell ref="A1:J1"/>
    <mergeCell ref="J2:J3"/>
    <mergeCell ref="A22:E22"/>
    <mergeCell ref="A23:E23"/>
    <mergeCell ref="A33:A35"/>
    <mergeCell ref="B33:B35"/>
    <mergeCell ref="A5:E5"/>
    <mergeCell ref="A13:A15"/>
    <mergeCell ref="D27:F27"/>
    <mergeCell ref="A8:E8"/>
    <mergeCell ref="I2:I3"/>
    <mergeCell ref="A12:E12"/>
    <mergeCell ref="F2:H2"/>
    <mergeCell ref="E2:E3"/>
    <mergeCell ref="D2:D3"/>
    <mergeCell ref="A2:A3"/>
    <mergeCell ref="A36:A40"/>
    <mergeCell ref="B36:B40"/>
    <mergeCell ref="B25:C25"/>
    <mergeCell ref="A27:A28"/>
    <mergeCell ref="B27:B28"/>
    <mergeCell ref="C27:C28"/>
    <mergeCell ref="A30:A31"/>
    <mergeCell ref="B30:B31"/>
    <mergeCell ref="B2:B3"/>
    <mergeCell ref="C2:C3"/>
    <mergeCell ref="A9:A11"/>
    <mergeCell ref="A17:A21"/>
    <mergeCell ref="A16:E16"/>
  </mergeCells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D19" sqref="D19"/>
    </sheetView>
  </sheetViews>
  <sheetFormatPr defaultRowHeight="15.6" x14ac:dyDescent="0.3"/>
  <cols>
    <col min="1" max="1" width="6" style="14" customWidth="1"/>
    <col min="2" max="2" width="15.296875" customWidth="1"/>
    <col min="3" max="3" width="13.59765625" customWidth="1"/>
    <col min="4" max="4" width="18.796875" customWidth="1"/>
    <col min="5" max="5" width="24.3984375" customWidth="1"/>
    <col min="6" max="6" width="18.5" bestFit="1" customWidth="1"/>
    <col min="7" max="7" width="14.796875" customWidth="1"/>
    <col min="8" max="8" width="18.296875" customWidth="1"/>
    <col min="9" max="9" width="26.8984375" customWidth="1"/>
  </cols>
  <sheetData>
    <row r="1" spans="1:9" ht="29.25" customHeight="1" x14ac:dyDescent="0.3">
      <c r="A1" s="112" t="s">
        <v>26</v>
      </c>
      <c r="B1" s="113"/>
      <c r="C1" s="113"/>
      <c r="D1" s="113"/>
      <c r="E1" s="113"/>
      <c r="F1" s="113"/>
      <c r="G1" s="113"/>
      <c r="H1" s="113"/>
      <c r="I1" s="113"/>
    </row>
    <row r="2" spans="1:9" x14ac:dyDescent="0.3">
      <c r="A2" s="13" t="s">
        <v>15</v>
      </c>
      <c r="B2" s="13" t="s">
        <v>16</v>
      </c>
      <c r="C2" s="13" t="s">
        <v>17</v>
      </c>
      <c r="D2" s="13" t="s">
        <v>18</v>
      </c>
      <c r="E2" s="13" t="s">
        <v>20</v>
      </c>
      <c r="F2" s="13" t="s">
        <v>19</v>
      </c>
      <c r="G2" s="13" t="s">
        <v>23</v>
      </c>
      <c r="H2" s="13" t="s">
        <v>24</v>
      </c>
      <c r="I2" s="13" t="s">
        <v>25</v>
      </c>
    </row>
    <row r="3" spans="1:9" ht="43.8" customHeight="1" x14ac:dyDescent="0.3">
      <c r="A3" s="24">
        <v>1</v>
      </c>
      <c r="B3" s="19" t="s">
        <v>40</v>
      </c>
      <c r="C3" s="19" t="s">
        <v>42</v>
      </c>
      <c r="D3" s="19" t="s">
        <v>41</v>
      </c>
      <c r="E3" s="20" t="s">
        <v>43</v>
      </c>
      <c r="F3" s="19" t="s">
        <v>44</v>
      </c>
      <c r="G3" s="18" t="s">
        <v>13</v>
      </c>
      <c r="H3" s="19" t="s">
        <v>39</v>
      </c>
      <c r="I3" s="18" t="s">
        <v>38</v>
      </c>
    </row>
    <row r="4" spans="1:9" ht="39.6" x14ac:dyDescent="0.3">
      <c r="A4" s="25">
        <v>2</v>
      </c>
      <c r="B4" s="19" t="s">
        <v>45</v>
      </c>
      <c r="C4" s="19" t="s">
        <v>46</v>
      </c>
      <c r="D4" s="19" t="s">
        <v>47</v>
      </c>
      <c r="E4" s="20" t="s">
        <v>48</v>
      </c>
      <c r="F4" s="19" t="s">
        <v>49</v>
      </c>
      <c r="G4" s="18" t="s">
        <v>13</v>
      </c>
      <c r="H4" s="19" t="s">
        <v>39</v>
      </c>
      <c r="I4" s="18" t="s">
        <v>38</v>
      </c>
    </row>
    <row r="5" spans="1:9" ht="39.6" x14ac:dyDescent="0.3">
      <c r="A5" s="25">
        <v>3</v>
      </c>
      <c r="B5" s="19" t="s">
        <v>50</v>
      </c>
      <c r="C5" s="19" t="s">
        <v>51</v>
      </c>
      <c r="D5" s="19" t="s">
        <v>52</v>
      </c>
      <c r="E5" s="20" t="s">
        <v>53</v>
      </c>
      <c r="F5" s="19" t="s">
        <v>54</v>
      </c>
      <c r="G5" s="18" t="s">
        <v>13</v>
      </c>
      <c r="H5" s="19" t="s">
        <v>39</v>
      </c>
      <c r="I5" s="18" t="s">
        <v>38</v>
      </c>
    </row>
    <row r="6" spans="1:9" ht="39.6" x14ac:dyDescent="0.3">
      <c r="A6" s="24">
        <v>4</v>
      </c>
      <c r="B6" s="19" t="s">
        <v>55</v>
      </c>
      <c r="C6" s="19" t="s">
        <v>56</v>
      </c>
      <c r="D6" s="19" t="s">
        <v>57</v>
      </c>
      <c r="E6" s="20" t="s">
        <v>58</v>
      </c>
      <c r="F6" s="19" t="s">
        <v>59</v>
      </c>
      <c r="G6" s="18" t="s">
        <v>13</v>
      </c>
      <c r="H6" s="19" t="s">
        <v>39</v>
      </c>
      <c r="I6" s="18" t="s">
        <v>38</v>
      </c>
    </row>
    <row r="7" spans="1:9" ht="39.6" x14ac:dyDescent="0.3">
      <c r="A7" s="25">
        <v>5</v>
      </c>
      <c r="B7" s="19" t="s">
        <v>60</v>
      </c>
      <c r="C7" s="19" t="s">
        <v>64</v>
      </c>
      <c r="D7" s="19" t="s">
        <v>61</v>
      </c>
      <c r="E7" s="20" t="s">
        <v>62</v>
      </c>
      <c r="F7" s="19" t="s">
        <v>63</v>
      </c>
      <c r="G7" s="18" t="s">
        <v>13</v>
      </c>
      <c r="H7" s="19" t="s">
        <v>39</v>
      </c>
      <c r="I7" s="18" t="s">
        <v>38</v>
      </c>
    </row>
    <row r="8" spans="1:9" ht="39.6" x14ac:dyDescent="0.3">
      <c r="A8" s="25">
        <v>6</v>
      </c>
      <c r="B8" s="19" t="s">
        <v>65</v>
      </c>
      <c r="C8" s="19" t="s">
        <v>66</v>
      </c>
      <c r="D8" s="21" t="s">
        <v>67</v>
      </c>
      <c r="E8" s="20" t="s">
        <v>68</v>
      </c>
      <c r="F8" s="19" t="s">
        <v>69</v>
      </c>
      <c r="G8" s="18" t="s">
        <v>13</v>
      </c>
      <c r="H8" s="19" t="s">
        <v>39</v>
      </c>
      <c r="I8" s="18" t="s">
        <v>38</v>
      </c>
    </row>
    <row r="9" spans="1:9" ht="39.6" x14ac:dyDescent="0.3">
      <c r="A9" s="24">
        <v>7</v>
      </c>
      <c r="B9" s="19" t="s">
        <v>70</v>
      </c>
      <c r="C9" s="19" t="s">
        <v>71</v>
      </c>
      <c r="D9" s="21" t="s">
        <v>72</v>
      </c>
      <c r="E9" s="20" t="s">
        <v>73</v>
      </c>
      <c r="F9" s="19" t="s">
        <v>74</v>
      </c>
      <c r="G9" s="18" t="s">
        <v>13</v>
      </c>
      <c r="H9" s="19" t="s">
        <v>39</v>
      </c>
      <c r="I9" s="18" t="s">
        <v>38</v>
      </c>
    </row>
    <row r="10" spans="1:9" ht="39.6" x14ac:dyDescent="0.3">
      <c r="A10" s="25">
        <v>8</v>
      </c>
      <c r="B10" s="19" t="s">
        <v>75</v>
      </c>
      <c r="C10" s="19" t="s">
        <v>66</v>
      </c>
      <c r="D10" s="21" t="s">
        <v>76</v>
      </c>
      <c r="E10" s="20" t="s">
        <v>77</v>
      </c>
      <c r="F10" s="19" t="s">
        <v>78</v>
      </c>
      <c r="G10" s="18" t="s">
        <v>13</v>
      </c>
      <c r="H10" s="19" t="s">
        <v>39</v>
      </c>
      <c r="I10" s="18" t="s">
        <v>38</v>
      </c>
    </row>
    <row r="11" spans="1:9" ht="39.6" x14ac:dyDescent="0.3">
      <c r="A11" s="25">
        <v>9</v>
      </c>
      <c r="B11" s="19" t="s">
        <v>79</v>
      </c>
      <c r="C11" s="19" t="s">
        <v>80</v>
      </c>
      <c r="D11" s="21" t="s">
        <v>81</v>
      </c>
      <c r="E11" s="20" t="s">
        <v>82</v>
      </c>
      <c r="F11" s="19" t="s">
        <v>83</v>
      </c>
      <c r="G11" s="18" t="s">
        <v>13</v>
      </c>
      <c r="H11" s="19" t="s">
        <v>39</v>
      </c>
      <c r="I11" s="18" t="s">
        <v>38</v>
      </c>
    </row>
    <row r="12" spans="1:9" ht="39.6" x14ac:dyDescent="0.3">
      <c r="A12" s="24">
        <v>10</v>
      </c>
      <c r="B12" s="19" t="s">
        <v>84</v>
      </c>
      <c r="C12" s="19" t="s">
        <v>85</v>
      </c>
      <c r="D12" s="21" t="s">
        <v>86</v>
      </c>
      <c r="E12" s="20" t="s">
        <v>87</v>
      </c>
      <c r="F12" s="19" t="s">
        <v>88</v>
      </c>
      <c r="G12" s="18" t="s">
        <v>13</v>
      </c>
      <c r="H12" s="19" t="s">
        <v>39</v>
      </c>
      <c r="I12" s="18" t="s">
        <v>38</v>
      </c>
    </row>
    <row r="13" spans="1:9" ht="39.6" x14ac:dyDescent="0.3">
      <c r="A13" s="25">
        <v>11</v>
      </c>
      <c r="B13" s="19" t="s">
        <v>89</v>
      </c>
      <c r="C13" s="19" t="s">
        <v>66</v>
      </c>
      <c r="D13" s="21" t="s">
        <v>90</v>
      </c>
      <c r="E13" s="20" t="s">
        <v>91</v>
      </c>
      <c r="F13" s="19" t="s">
        <v>92</v>
      </c>
      <c r="G13" s="18" t="s">
        <v>13</v>
      </c>
      <c r="H13" s="19" t="s">
        <v>39</v>
      </c>
      <c r="I13" s="18" t="s">
        <v>38</v>
      </c>
    </row>
    <row r="14" spans="1:9" ht="39.6" x14ac:dyDescent="0.3">
      <c r="A14" s="25">
        <v>12</v>
      </c>
      <c r="B14" s="19" t="s">
        <v>93</v>
      </c>
      <c r="C14" s="19" t="s">
        <v>71</v>
      </c>
      <c r="D14" s="21" t="s">
        <v>94</v>
      </c>
      <c r="E14" s="20" t="s">
        <v>95</v>
      </c>
      <c r="F14" s="19" t="s">
        <v>105</v>
      </c>
      <c r="G14" s="18" t="s">
        <v>13</v>
      </c>
      <c r="H14" s="19" t="s">
        <v>39</v>
      </c>
      <c r="I14" s="18" t="s">
        <v>38</v>
      </c>
    </row>
    <row r="15" spans="1:9" ht="39.6" x14ac:dyDescent="0.3">
      <c r="A15" s="24">
        <v>13</v>
      </c>
      <c r="B15" s="22" t="s">
        <v>96</v>
      </c>
      <c r="C15" s="22" t="s">
        <v>97</v>
      </c>
      <c r="D15" s="22" t="s">
        <v>98</v>
      </c>
      <c r="E15" s="26" t="s">
        <v>99</v>
      </c>
      <c r="F15" s="22" t="s">
        <v>100</v>
      </c>
      <c r="G15" s="18" t="s">
        <v>13</v>
      </c>
      <c r="H15" s="19" t="s">
        <v>39</v>
      </c>
      <c r="I15" s="18" t="s">
        <v>38</v>
      </c>
    </row>
    <row r="16" spans="1:9" ht="39.6" x14ac:dyDescent="0.3">
      <c r="A16" s="25">
        <v>14</v>
      </c>
      <c r="B16" s="22" t="s">
        <v>101</v>
      </c>
      <c r="C16" s="22" t="s">
        <v>102</v>
      </c>
      <c r="D16" s="22" t="s">
        <v>103</v>
      </c>
      <c r="E16" s="26" t="s">
        <v>104</v>
      </c>
      <c r="F16" s="19" t="s">
        <v>106</v>
      </c>
      <c r="G16" s="18" t="s">
        <v>13</v>
      </c>
      <c r="H16" s="19" t="s">
        <v>39</v>
      </c>
      <c r="I16" s="18" t="s">
        <v>38</v>
      </c>
    </row>
    <row r="17" spans="1:9" ht="39.6" x14ac:dyDescent="0.3">
      <c r="A17" s="25">
        <v>15</v>
      </c>
      <c r="B17" s="22" t="s">
        <v>107</v>
      </c>
      <c r="C17" s="22" t="s">
        <v>108</v>
      </c>
      <c r="D17" s="22" t="s">
        <v>52</v>
      </c>
      <c r="E17" s="26" t="s">
        <v>109</v>
      </c>
      <c r="F17" s="22" t="s">
        <v>110</v>
      </c>
      <c r="G17" s="18" t="s">
        <v>13</v>
      </c>
      <c r="H17" s="19" t="s">
        <v>39</v>
      </c>
      <c r="I17" s="18" t="s">
        <v>38</v>
      </c>
    </row>
    <row r="18" spans="1:9" ht="39.6" x14ac:dyDescent="0.3">
      <c r="A18" s="24">
        <v>16</v>
      </c>
      <c r="B18" s="22" t="s">
        <v>111</v>
      </c>
      <c r="C18" s="22" t="s">
        <v>112</v>
      </c>
      <c r="D18" s="22" t="s">
        <v>113</v>
      </c>
      <c r="E18" s="26" t="s">
        <v>114</v>
      </c>
      <c r="F18" s="22" t="s">
        <v>115</v>
      </c>
      <c r="G18" s="18" t="s">
        <v>13</v>
      </c>
      <c r="H18" s="19" t="s">
        <v>39</v>
      </c>
      <c r="I18" s="18" t="s">
        <v>38</v>
      </c>
    </row>
    <row r="19" spans="1:9" ht="39.6" x14ac:dyDescent="0.3">
      <c r="A19" s="25">
        <v>17</v>
      </c>
      <c r="B19" s="22" t="s">
        <v>116</v>
      </c>
      <c r="C19" s="22" t="s">
        <v>71</v>
      </c>
      <c r="D19" s="22" t="s">
        <v>117</v>
      </c>
      <c r="E19" s="26" t="s">
        <v>118</v>
      </c>
      <c r="F19" s="22" t="s">
        <v>119</v>
      </c>
      <c r="G19" s="18" t="s">
        <v>13</v>
      </c>
      <c r="H19" s="19" t="s">
        <v>39</v>
      </c>
      <c r="I19" s="18" t="s">
        <v>38</v>
      </c>
    </row>
    <row r="20" spans="1:9" ht="39.6" x14ac:dyDescent="0.3">
      <c r="A20" s="25">
        <v>18</v>
      </c>
      <c r="B20" s="22" t="s">
        <v>120</v>
      </c>
      <c r="C20" s="22" t="s">
        <v>121</v>
      </c>
      <c r="D20" s="22" t="s">
        <v>122</v>
      </c>
      <c r="E20" s="26" t="s">
        <v>123</v>
      </c>
      <c r="F20" s="22" t="s">
        <v>124</v>
      </c>
      <c r="G20" s="18" t="s">
        <v>13</v>
      </c>
      <c r="H20" s="19" t="s">
        <v>39</v>
      </c>
      <c r="I20" s="18" t="s">
        <v>38</v>
      </c>
    </row>
    <row r="21" spans="1:9" ht="39.6" x14ac:dyDescent="0.3">
      <c r="A21" s="24">
        <v>19</v>
      </c>
      <c r="B21" s="22" t="s">
        <v>125</v>
      </c>
      <c r="C21" s="22" t="s">
        <v>126</v>
      </c>
      <c r="D21" s="22" t="s">
        <v>127</v>
      </c>
      <c r="E21" s="26" t="s">
        <v>128</v>
      </c>
      <c r="F21" s="22" t="s">
        <v>129</v>
      </c>
      <c r="G21" s="18" t="s">
        <v>13</v>
      </c>
      <c r="H21" s="19" t="s">
        <v>39</v>
      </c>
      <c r="I21" s="18" t="s">
        <v>38</v>
      </c>
    </row>
    <row r="22" spans="1:9" ht="39.6" x14ac:dyDescent="0.3">
      <c r="A22" s="25">
        <v>20</v>
      </c>
      <c r="B22" s="22" t="s">
        <v>130</v>
      </c>
      <c r="C22" s="22" t="s">
        <v>66</v>
      </c>
      <c r="D22" s="22" t="s">
        <v>94</v>
      </c>
      <c r="E22" s="26" t="s">
        <v>131</v>
      </c>
      <c r="F22" s="22" t="s">
        <v>132</v>
      </c>
      <c r="G22" s="18" t="s">
        <v>13</v>
      </c>
      <c r="H22" s="19" t="s">
        <v>39</v>
      </c>
      <c r="I22" s="18" t="s">
        <v>38</v>
      </c>
    </row>
    <row r="23" spans="1:9" ht="39.6" x14ac:dyDescent="0.3">
      <c r="A23" s="25">
        <v>21</v>
      </c>
      <c r="B23" s="22" t="s">
        <v>133</v>
      </c>
      <c r="C23" s="22"/>
      <c r="D23" s="22" t="s">
        <v>134</v>
      </c>
      <c r="E23" s="26" t="s">
        <v>135</v>
      </c>
      <c r="F23" s="22" t="s">
        <v>136</v>
      </c>
      <c r="G23" s="18" t="s">
        <v>13</v>
      </c>
      <c r="H23" s="19" t="s">
        <v>39</v>
      </c>
      <c r="I23" s="18" t="s">
        <v>38</v>
      </c>
    </row>
    <row r="24" spans="1:9" ht="39.6" x14ac:dyDescent="0.3">
      <c r="A24" s="24">
        <v>22</v>
      </c>
      <c r="B24" s="22" t="s">
        <v>137</v>
      </c>
      <c r="C24" s="22" t="s">
        <v>138</v>
      </c>
      <c r="D24" s="22" t="s">
        <v>139</v>
      </c>
      <c r="E24" s="26" t="s">
        <v>140</v>
      </c>
      <c r="F24" s="22" t="s">
        <v>141</v>
      </c>
      <c r="G24" s="18" t="s">
        <v>13</v>
      </c>
      <c r="H24" s="19" t="s">
        <v>39</v>
      </c>
      <c r="I24" s="18" t="s">
        <v>38</v>
      </c>
    </row>
    <row r="25" spans="1:9" ht="39.6" x14ac:dyDescent="0.3">
      <c r="A25" s="25">
        <v>23</v>
      </c>
      <c r="B25" s="22" t="s">
        <v>142</v>
      </c>
      <c r="C25" s="22" t="s">
        <v>160</v>
      </c>
      <c r="D25" s="22" t="s">
        <v>326</v>
      </c>
      <c r="E25" s="22"/>
      <c r="F25" s="22" t="s">
        <v>143</v>
      </c>
      <c r="G25" s="18" t="s">
        <v>13</v>
      </c>
      <c r="H25" s="19" t="s">
        <v>39</v>
      </c>
      <c r="I25" s="18" t="s">
        <v>38</v>
      </c>
    </row>
    <row r="26" spans="1:9" ht="39.6" x14ac:dyDescent="0.3">
      <c r="A26" s="25">
        <v>24</v>
      </c>
      <c r="B26" s="22" t="s">
        <v>144</v>
      </c>
      <c r="C26" s="22" t="s">
        <v>66</v>
      </c>
      <c r="D26" s="22" t="s">
        <v>145</v>
      </c>
      <c r="E26" s="26" t="s">
        <v>146</v>
      </c>
      <c r="F26" s="22" t="s">
        <v>157</v>
      </c>
      <c r="G26" s="18" t="s">
        <v>13</v>
      </c>
      <c r="H26" s="19" t="s">
        <v>39</v>
      </c>
      <c r="I26" s="18" t="s">
        <v>38</v>
      </c>
    </row>
    <row r="27" spans="1:9" ht="39.6" x14ac:dyDescent="0.3">
      <c r="A27" s="24">
        <v>25</v>
      </c>
      <c r="B27" s="22" t="s">
        <v>147</v>
      </c>
      <c r="C27" s="22" t="s">
        <v>66</v>
      </c>
      <c r="D27" s="22" t="s">
        <v>148</v>
      </c>
      <c r="E27" s="26" t="s">
        <v>149</v>
      </c>
      <c r="F27" s="22" t="s">
        <v>158</v>
      </c>
      <c r="G27" s="18" t="s">
        <v>13</v>
      </c>
      <c r="H27" s="19" t="s">
        <v>39</v>
      </c>
      <c r="I27" s="18" t="s">
        <v>38</v>
      </c>
    </row>
    <row r="28" spans="1:9" ht="39.6" x14ac:dyDescent="0.3">
      <c r="A28" s="25">
        <v>26</v>
      </c>
      <c r="B28" s="22" t="s">
        <v>150</v>
      </c>
      <c r="C28" s="22" t="s">
        <v>151</v>
      </c>
      <c r="D28" s="22" t="s">
        <v>52</v>
      </c>
      <c r="E28" s="26" t="s">
        <v>152</v>
      </c>
      <c r="F28" s="16" t="s">
        <v>159</v>
      </c>
      <c r="G28" s="18" t="s">
        <v>13</v>
      </c>
      <c r="H28" s="19" t="s">
        <v>39</v>
      </c>
      <c r="I28" s="18" t="s">
        <v>38</v>
      </c>
    </row>
    <row r="29" spans="1:9" ht="39.6" x14ac:dyDescent="0.3">
      <c r="A29" s="25">
        <v>27</v>
      </c>
      <c r="B29" s="22" t="s">
        <v>153</v>
      </c>
      <c r="C29" s="22" t="s">
        <v>151</v>
      </c>
      <c r="D29" s="22" t="s">
        <v>154</v>
      </c>
      <c r="E29" s="26" t="s">
        <v>156</v>
      </c>
      <c r="F29" s="16" t="s">
        <v>155</v>
      </c>
      <c r="G29" s="18" t="s">
        <v>13</v>
      </c>
      <c r="H29" s="19" t="s">
        <v>39</v>
      </c>
      <c r="I29" s="18" t="s">
        <v>38</v>
      </c>
    </row>
    <row r="30" spans="1:9" ht="39.6" x14ac:dyDescent="0.3">
      <c r="A30" s="24">
        <v>28</v>
      </c>
      <c r="B30" s="22" t="s">
        <v>161</v>
      </c>
      <c r="C30" s="22" t="s">
        <v>66</v>
      </c>
      <c r="D30" s="22" t="s">
        <v>139</v>
      </c>
      <c r="E30" s="26" t="s">
        <v>162</v>
      </c>
      <c r="F30" s="22" t="s">
        <v>163</v>
      </c>
      <c r="G30" s="18" t="s">
        <v>13</v>
      </c>
      <c r="H30" s="19" t="s">
        <v>39</v>
      </c>
      <c r="I30" s="18" t="s">
        <v>38</v>
      </c>
    </row>
    <row r="31" spans="1:9" ht="39.6" x14ac:dyDescent="0.3">
      <c r="A31" s="24">
        <v>29</v>
      </c>
      <c r="B31" s="22" t="s">
        <v>164</v>
      </c>
      <c r="C31" s="22" t="s">
        <v>71</v>
      </c>
      <c r="D31" s="22" t="s">
        <v>139</v>
      </c>
      <c r="E31" s="26" t="s">
        <v>165</v>
      </c>
      <c r="F31" s="22" t="s">
        <v>166</v>
      </c>
      <c r="G31" s="18" t="s">
        <v>13</v>
      </c>
      <c r="H31" s="19" t="s">
        <v>39</v>
      </c>
      <c r="I31" s="18" t="s">
        <v>38</v>
      </c>
    </row>
    <row r="32" spans="1:9" ht="39.6" x14ac:dyDescent="0.3">
      <c r="A32" s="24">
        <v>30</v>
      </c>
      <c r="B32" s="22" t="s">
        <v>167</v>
      </c>
      <c r="C32" s="22" t="s">
        <v>66</v>
      </c>
      <c r="D32" s="22" t="s">
        <v>168</v>
      </c>
      <c r="E32" s="26" t="s">
        <v>169</v>
      </c>
      <c r="F32" s="22" t="s">
        <v>170</v>
      </c>
      <c r="G32" s="18" t="s">
        <v>13</v>
      </c>
      <c r="H32" s="19" t="s">
        <v>39</v>
      </c>
      <c r="I32" s="18" t="s">
        <v>38</v>
      </c>
    </row>
    <row r="33" spans="1:9" ht="39.6" x14ac:dyDescent="0.3">
      <c r="A33" s="24">
        <v>31</v>
      </c>
      <c r="B33" s="16" t="s">
        <v>171</v>
      </c>
      <c r="C33" s="16" t="s">
        <v>66</v>
      </c>
      <c r="D33" s="16" t="s">
        <v>172</v>
      </c>
      <c r="E33" s="17" t="s">
        <v>173</v>
      </c>
      <c r="F33" s="16" t="s">
        <v>174</v>
      </c>
      <c r="G33" s="18" t="s">
        <v>13</v>
      </c>
      <c r="H33" s="19" t="s">
        <v>39</v>
      </c>
      <c r="I33" s="18" t="s">
        <v>38</v>
      </c>
    </row>
    <row r="34" spans="1:9" ht="39.6" x14ac:dyDescent="0.3">
      <c r="A34" s="25">
        <v>32</v>
      </c>
      <c r="B34" s="23" t="s">
        <v>175</v>
      </c>
      <c r="C34" s="23" t="s">
        <v>176</v>
      </c>
      <c r="D34" s="23" t="s">
        <v>177</v>
      </c>
      <c r="E34" s="27" t="s">
        <v>178</v>
      </c>
      <c r="F34" s="23" t="s">
        <v>179</v>
      </c>
      <c r="G34" s="18" t="s">
        <v>13</v>
      </c>
      <c r="H34" s="19" t="s">
        <v>39</v>
      </c>
      <c r="I34" s="18" t="s">
        <v>38</v>
      </c>
    </row>
    <row r="35" spans="1:9" ht="39.6" x14ac:dyDescent="0.3">
      <c r="A35" s="25">
        <v>33</v>
      </c>
      <c r="B35" s="23" t="s">
        <v>180</v>
      </c>
      <c r="C35" s="23" t="s">
        <v>176</v>
      </c>
      <c r="D35" s="23" t="s">
        <v>177</v>
      </c>
      <c r="E35" s="27" t="s">
        <v>181</v>
      </c>
      <c r="F35" s="23" t="s">
        <v>182</v>
      </c>
      <c r="G35" s="18" t="s">
        <v>13</v>
      </c>
      <c r="H35" s="19" t="s">
        <v>39</v>
      </c>
      <c r="I35" s="18" t="s">
        <v>38</v>
      </c>
    </row>
    <row r="36" spans="1:9" ht="39.6" x14ac:dyDescent="0.3">
      <c r="A36" s="24">
        <v>34</v>
      </c>
      <c r="B36" s="23" t="s">
        <v>183</v>
      </c>
      <c r="C36" s="23" t="s">
        <v>176</v>
      </c>
      <c r="D36" s="23" t="s">
        <v>177</v>
      </c>
      <c r="E36" s="27" t="s">
        <v>184</v>
      </c>
      <c r="F36" s="23" t="s">
        <v>185</v>
      </c>
      <c r="G36" s="18" t="s">
        <v>13</v>
      </c>
      <c r="H36" s="19" t="s">
        <v>39</v>
      </c>
      <c r="I36" s="18" t="s">
        <v>38</v>
      </c>
    </row>
    <row r="37" spans="1:9" x14ac:dyDescent="0.3">
      <c r="A37" s="25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25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25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25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25"/>
      <c r="B41" s="16"/>
      <c r="C41" s="16"/>
      <c r="D41" s="16"/>
      <c r="E41" s="16"/>
      <c r="F41" s="16"/>
      <c r="G41" s="16"/>
      <c r="H41" s="16"/>
      <c r="I41" s="16"/>
    </row>
  </sheetData>
  <mergeCells count="1">
    <mergeCell ref="A1:I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6" r:id="rId23"/>
    <hyperlink ref="E27" r:id="rId24"/>
    <hyperlink ref="E28" r:id="rId25"/>
    <hyperlink ref="E29" r:id="rId26"/>
    <hyperlink ref="E30" r:id="rId27"/>
    <hyperlink ref="E31" r:id="rId28"/>
    <hyperlink ref="E32" r:id="rId29"/>
    <hyperlink ref="E33" r:id="rId30"/>
    <hyperlink ref="E34" r:id="rId31"/>
    <hyperlink ref="E35" r:id="rId32"/>
    <hyperlink ref="E36" r:id="rId33"/>
  </hyperlinks>
  <pageMargins left="0.7" right="0.7" top="0.75" bottom="0.75" header="0.3" footer="0.3"/>
  <pageSetup paperSize="9" orientation="portrait"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H3" sqref="H3"/>
    </sheetView>
  </sheetViews>
  <sheetFormatPr defaultRowHeight="15.6" x14ac:dyDescent="0.3"/>
  <cols>
    <col min="1" max="1" width="5.09765625" style="14" customWidth="1"/>
    <col min="2" max="2" width="16.19921875" style="70" customWidth="1"/>
    <col min="3" max="3" width="13.59765625" style="70" customWidth="1"/>
    <col min="4" max="4" width="13.19921875" style="70" customWidth="1"/>
    <col min="6" max="6" width="18.5" style="52" bestFit="1" customWidth="1"/>
    <col min="7" max="7" width="12" style="70" customWidth="1"/>
    <col min="8" max="8" width="13.8984375" style="70" customWidth="1"/>
    <col min="9" max="9" width="12.5" style="70" customWidth="1"/>
  </cols>
  <sheetData>
    <row r="1" spans="1:10" ht="29.25" customHeight="1" x14ac:dyDescent="0.3">
      <c r="A1" s="112" t="s">
        <v>26</v>
      </c>
      <c r="B1" s="113"/>
      <c r="C1" s="113"/>
      <c r="D1" s="113"/>
      <c r="E1" s="113"/>
      <c r="F1" s="113"/>
      <c r="G1" s="113"/>
      <c r="H1" s="113"/>
      <c r="I1" s="113"/>
    </row>
    <row r="2" spans="1:10" ht="31.2" x14ac:dyDescent="0.3">
      <c r="A2" s="29" t="s">
        <v>15</v>
      </c>
      <c r="B2" s="71" t="s">
        <v>16</v>
      </c>
      <c r="C2" s="71" t="s">
        <v>17</v>
      </c>
      <c r="D2" s="71" t="s">
        <v>18</v>
      </c>
      <c r="E2" s="53" t="s">
        <v>20</v>
      </c>
      <c r="F2" s="54" t="s">
        <v>19</v>
      </c>
      <c r="G2" s="71" t="s">
        <v>23</v>
      </c>
      <c r="H2" s="71" t="s">
        <v>24</v>
      </c>
      <c r="I2" s="71" t="s">
        <v>25</v>
      </c>
    </row>
    <row r="3" spans="1:10" ht="31.2" x14ac:dyDescent="0.3">
      <c r="A3" s="59">
        <v>1</v>
      </c>
      <c r="B3" s="33" t="s">
        <v>905</v>
      </c>
      <c r="C3" s="33" t="s">
        <v>906</v>
      </c>
      <c r="D3" s="33" t="s">
        <v>907</v>
      </c>
      <c r="E3" s="2" t="s">
        <v>908</v>
      </c>
      <c r="F3" s="77" t="s">
        <v>909</v>
      </c>
      <c r="G3" s="33" t="s">
        <v>910</v>
      </c>
      <c r="H3" s="33" t="s">
        <v>899</v>
      </c>
      <c r="I3" s="33" t="s">
        <v>900</v>
      </c>
      <c r="J3" s="70"/>
    </row>
    <row r="4" spans="1:10" ht="46.8" x14ac:dyDescent="0.3">
      <c r="A4" s="59">
        <f>A3+1</f>
        <v>2</v>
      </c>
      <c r="B4" s="33" t="s">
        <v>911</v>
      </c>
      <c r="C4" s="33" t="s">
        <v>912</v>
      </c>
      <c r="D4" s="33" t="s">
        <v>913</v>
      </c>
      <c r="E4" s="2" t="s">
        <v>908</v>
      </c>
      <c r="F4" s="77" t="s">
        <v>914</v>
      </c>
      <c r="G4" s="33" t="s">
        <v>910</v>
      </c>
      <c r="H4" s="33" t="s">
        <v>899</v>
      </c>
      <c r="I4" s="33" t="s">
        <v>900</v>
      </c>
      <c r="J4" s="70"/>
    </row>
    <row r="5" spans="1:10" ht="31.2" x14ac:dyDescent="0.3">
      <c r="A5" s="59">
        <f t="shared" ref="A5:A36" si="0">A4+1</f>
        <v>3</v>
      </c>
      <c r="B5" s="33" t="s">
        <v>915</v>
      </c>
      <c r="C5" s="33" t="s">
        <v>916</v>
      </c>
      <c r="D5" s="33" t="s">
        <v>917</v>
      </c>
      <c r="E5" s="2" t="s">
        <v>908</v>
      </c>
      <c r="F5" s="77" t="s">
        <v>918</v>
      </c>
      <c r="G5" s="33" t="s">
        <v>910</v>
      </c>
      <c r="H5" s="33" t="s">
        <v>899</v>
      </c>
      <c r="I5" s="33" t="s">
        <v>900</v>
      </c>
      <c r="J5" s="70"/>
    </row>
    <row r="6" spans="1:10" ht="31.2" x14ac:dyDescent="0.3">
      <c r="A6" s="59">
        <f t="shared" si="0"/>
        <v>4</v>
      </c>
      <c r="B6" s="33" t="s">
        <v>919</v>
      </c>
      <c r="C6" s="33" t="s">
        <v>920</v>
      </c>
      <c r="D6" s="33" t="s">
        <v>921</v>
      </c>
      <c r="E6" s="2" t="s">
        <v>908</v>
      </c>
      <c r="F6" s="77" t="s">
        <v>922</v>
      </c>
      <c r="G6" s="33" t="s">
        <v>910</v>
      </c>
      <c r="H6" s="33" t="s">
        <v>899</v>
      </c>
      <c r="I6" s="33" t="s">
        <v>900</v>
      </c>
      <c r="J6" s="70"/>
    </row>
    <row r="7" spans="1:10" ht="31.2" x14ac:dyDescent="0.3">
      <c r="A7" s="59">
        <f t="shared" si="0"/>
        <v>5</v>
      </c>
      <c r="B7" s="33" t="s">
        <v>923</v>
      </c>
      <c r="C7" s="33" t="s">
        <v>924</v>
      </c>
      <c r="D7" s="33" t="s">
        <v>925</v>
      </c>
      <c r="E7" s="2" t="s">
        <v>908</v>
      </c>
      <c r="F7" s="77" t="s">
        <v>926</v>
      </c>
      <c r="G7" s="33" t="s">
        <v>910</v>
      </c>
      <c r="H7" s="33" t="s">
        <v>899</v>
      </c>
      <c r="I7" s="33" t="s">
        <v>900</v>
      </c>
      <c r="J7" s="70"/>
    </row>
    <row r="8" spans="1:10" ht="31.2" x14ac:dyDescent="0.3">
      <c r="A8" s="59">
        <f t="shared" si="0"/>
        <v>6</v>
      </c>
      <c r="B8" s="33" t="s">
        <v>927</v>
      </c>
      <c r="C8" s="33" t="s">
        <v>928</v>
      </c>
      <c r="D8" s="33" t="s">
        <v>929</v>
      </c>
      <c r="E8" s="2" t="s">
        <v>908</v>
      </c>
      <c r="F8" s="77" t="s">
        <v>930</v>
      </c>
      <c r="G8" s="33" t="s">
        <v>910</v>
      </c>
      <c r="H8" s="33" t="s">
        <v>899</v>
      </c>
      <c r="I8" s="33" t="s">
        <v>900</v>
      </c>
      <c r="J8" s="70"/>
    </row>
    <row r="9" spans="1:10" ht="31.2" x14ac:dyDescent="0.3">
      <c r="A9" s="59">
        <f t="shared" si="0"/>
        <v>7</v>
      </c>
      <c r="B9" s="33" t="s">
        <v>931</v>
      </c>
      <c r="C9" s="33" t="s">
        <v>932</v>
      </c>
      <c r="D9" s="33" t="s">
        <v>933</v>
      </c>
      <c r="E9" s="2" t="s">
        <v>908</v>
      </c>
      <c r="F9" s="77" t="s">
        <v>934</v>
      </c>
      <c r="G9" s="33" t="s">
        <v>910</v>
      </c>
      <c r="H9" s="33" t="s">
        <v>899</v>
      </c>
      <c r="I9" s="33" t="s">
        <v>900</v>
      </c>
      <c r="J9" s="70"/>
    </row>
    <row r="10" spans="1:10" ht="31.2" x14ac:dyDescent="0.3">
      <c r="A10" s="59">
        <f t="shared" si="0"/>
        <v>8</v>
      </c>
      <c r="B10" s="33" t="s">
        <v>935</v>
      </c>
      <c r="C10" s="33" t="s">
        <v>928</v>
      </c>
      <c r="D10" s="33" t="s">
        <v>936</v>
      </c>
      <c r="E10" s="2" t="s">
        <v>908</v>
      </c>
      <c r="F10" s="77" t="s">
        <v>937</v>
      </c>
      <c r="G10" s="33" t="s">
        <v>910</v>
      </c>
      <c r="H10" s="33" t="s">
        <v>899</v>
      </c>
      <c r="I10" s="33" t="s">
        <v>900</v>
      </c>
      <c r="J10" s="70"/>
    </row>
    <row r="11" spans="1:10" ht="31.2" x14ac:dyDescent="0.3">
      <c r="A11" s="59">
        <f t="shared" si="0"/>
        <v>9</v>
      </c>
      <c r="B11" s="33" t="s">
        <v>938</v>
      </c>
      <c r="C11" s="33" t="s">
        <v>928</v>
      </c>
      <c r="D11" s="33" t="s">
        <v>936</v>
      </c>
      <c r="E11" s="2" t="s">
        <v>908</v>
      </c>
      <c r="F11" s="77" t="s">
        <v>939</v>
      </c>
      <c r="G11" s="33" t="s">
        <v>910</v>
      </c>
      <c r="H11" s="33" t="s">
        <v>899</v>
      </c>
      <c r="I11" s="33" t="s">
        <v>900</v>
      </c>
      <c r="J11" s="70"/>
    </row>
    <row r="12" spans="1:10" ht="31.2" x14ac:dyDescent="0.3">
      <c r="A12" s="59">
        <f t="shared" si="0"/>
        <v>10</v>
      </c>
      <c r="B12" s="33" t="s">
        <v>940</v>
      </c>
      <c r="C12" s="33" t="s">
        <v>924</v>
      </c>
      <c r="D12" s="33" t="s">
        <v>925</v>
      </c>
      <c r="E12" s="2" t="s">
        <v>908</v>
      </c>
      <c r="F12" s="77" t="s">
        <v>941</v>
      </c>
      <c r="G12" s="33" t="s">
        <v>910</v>
      </c>
      <c r="H12" s="33" t="s">
        <v>899</v>
      </c>
      <c r="I12" s="33" t="s">
        <v>900</v>
      </c>
      <c r="J12" s="70"/>
    </row>
    <row r="13" spans="1:10" ht="31.2" x14ac:dyDescent="0.3">
      <c r="A13" s="59">
        <f t="shared" si="0"/>
        <v>11</v>
      </c>
      <c r="B13" s="33" t="s">
        <v>942</v>
      </c>
      <c r="C13" s="33" t="s">
        <v>916</v>
      </c>
      <c r="D13" s="33" t="s">
        <v>943</v>
      </c>
      <c r="E13" s="2" t="s">
        <v>908</v>
      </c>
      <c r="F13" s="77" t="s">
        <v>944</v>
      </c>
      <c r="G13" s="33" t="s">
        <v>910</v>
      </c>
      <c r="H13" s="33" t="s">
        <v>899</v>
      </c>
      <c r="I13" s="33" t="s">
        <v>900</v>
      </c>
      <c r="J13" s="70"/>
    </row>
    <row r="14" spans="1:10" ht="31.2" x14ac:dyDescent="0.3">
      <c r="A14" s="59">
        <f t="shared" si="0"/>
        <v>12</v>
      </c>
      <c r="B14" s="33" t="s">
        <v>945</v>
      </c>
      <c r="C14" s="33" t="s">
        <v>946</v>
      </c>
      <c r="D14" s="33" t="s">
        <v>947</v>
      </c>
      <c r="E14" s="2" t="s">
        <v>908</v>
      </c>
      <c r="F14" s="78" t="s">
        <v>908</v>
      </c>
      <c r="G14" s="33" t="s">
        <v>910</v>
      </c>
      <c r="H14" s="33" t="s">
        <v>899</v>
      </c>
      <c r="I14" s="33" t="s">
        <v>900</v>
      </c>
      <c r="J14" s="70"/>
    </row>
    <row r="15" spans="1:10" ht="31.2" x14ac:dyDescent="0.3">
      <c r="A15" s="59">
        <f t="shared" si="0"/>
        <v>13</v>
      </c>
      <c r="B15" s="33" t="s">
        <v>948</v>
      </c>
      <c r="C15" s="33" t="s">
        <v>928</v>
      </c>
      <c r="D15" s="33" t="s">
        <v>936</v>
      </c>
      <c r="E15" s="2" t="s">
        <v>908</v>
      </c>
      <c r="F15" s="77" t="s">
        <v>949</v>
      </c>
      <c r="G15" s="33" t="s">
        <v>910</v>
      </c>
      <c r="H15" s="33" t="s">
        <v>899</v>
      </c>
      <c r="I15" s="33" t="s">
        <v>900</v>
      </c>
      <c r="J15" s="70"/>
    </row>
    <row r="16" spans="1:10" ht="31.2" x14ac:dyDescent="0.3">
      <c r="A16" s="59">
        <f t="shared" si="0"/>
        <v>14</v>
      </c>
      <c r="B16" s="33" t="s">
        <v>950</v>
      </c>
      <c r="C16" s="33" t="s">
        <v>928</v>
      </c>
      <c r="D16" s="33" t="s">
        <v>929</v>
      </c>
      <c r="E16" s="2" t="s">
        <v>908</v>
      </c>
      <c r="F16" s="77" t="s">
        <v>949</v>
      </c>
      <c r="G16" s="33" t="s">
        <v>910</v>
      </c>
      <c r="H16" s="33" t="s">
        <v>899</v>
      </c>
      <c r="I16" s="33" t="s">
        <v>900</v>
      </c>
      <c r="J16" s="70"/>
    </row>
    <row r="17" spans="1:10" ht="31.2" x14ac:dyDescent="0.3">
      <c r="A17" s="59">
        <f t="shared" si="0"/>
        <v>15</v>
      </c>
      <c r="B17" s="33" t="s">
        <v>951</v>
      </c>
      <c r="C17" s="33" t="s">
        <v>928</v>
      </c>
      <c r="D17" s="33" t="s">
        <v>936</v>
      </c>
      <c r="E17" s="2" t="s">
        <v>908</v>
      </c>
      <c r="F17" s="77" t="s">
        <v>949</v>
      </c>
      <c r="G17" s="33" t="s">
        <v>910</v>
      </c>
      <c r="H17" s="33" t="s">
        <v>899</v>
      </c>
      <c r="I17" s="33" t="s">
        <v>900</v>
      </c>
      <c r="J17" s="70"/>
    </row>
    <row r="18" spans="1:10" ht="31.2" x14ac:dyDescent="0.3">
      <c r="A18" s="59">
        <f t="shared" si="0"/>
        <v>16</v>
      </c>
      <c r="B18" s="33" t="s">
        <v>952</v>
      </c>
      <c r="C18" s="33" t="s">
        <v>928</v>
      </c>
      <c r="D18" s="33" t="s">
        <v>936</v>
      </c>
      <c r="E18" s="2" t="s">
        <v>908</v>
      </c>
      <c r="F18" s="77" t="s">
        <v>949</v>
      </c>
      <c r="G18" s="33" t="s">
        <v>910</v>
      </c>
      <c r="H18" s="33" t="s">
        <v>899</v>
      </c>
      <c r="I18" s="33" t="s">
        <v>900</v>
      </c>
      <c r="J18" s="70"/>
    </row>
    <row r="19" spans="1:10" ht="31.2" x14ac:dyDescent="0.3">
      <c r="A19" s="59">
        <f t="shared" si="0"/>
        <v>17</v>
      </c>
      <c r="B19" s="33" t="s">
        <v>953</v>
      </c>
      <c r="C19" s="33" t="s">
        <v>954</v>
      </c>
      <c r="D19" s="33" t="s">
        <v>955</v>
      </c>
      <c r="E19" s="2" t="s">
        <v>908</v>
      </c>
      <c r="F19" s="77" t="s">
        <v>956</v>
      </c>
      <c r="G19" s="33" t="s">
        <v>910</v>
      </c>
      <c r="H19" s="33" t="s">
        <v>899</v>
      </c>
      <c r="I19" s="33" t="s">
        <v>900</v>
      </c>
      <c r="J19" s="70"/>
    </row>
    <row r="20" spans="1:10" ht="46.8" x14ac:dyDescent="0.3">
      <c r="A20" s="59">
        <f t="shared" si="0"/>
        <v>18</v>
      </c>
      <c r="B20" s="33" t="s">
        <v>957</v>
      </c>
      <c r="C20" s="33" t="s">
        <v>932</v>
      </c>
      <c r="D20" s="33" t="s">
        <v>958</v>
      </c>
      <c r="E20" s="2" t="s">
        <v>908</v>
      </c>
      <c r="F20" s="77" t="s">
        <v>959</v>
      </c>
      <c r="G20" s="33" t="s">
        <v>910</v>
      </c>
      <c r="H20" s="33" t="s">
        <v>899</v>
      </c>
      <c r="I20" s="33" t="s">
        <v>900</v>
      </c>
      <c r="J20" s="70"/>
    </row>
    <row r="21" spans="1:10" ht="31.2" x14ac:dyDescent="0.3">
      <c r="A21" s="59">
        <f t="shared" si="0"/>
        <v>19</v>
      </c>
      <c r="B21" s="33" t="s">
        <v>960</v>
      </c>
      <c r="C21" s="33" t="s">
        <v>906</v>
      </c>
      <c r="D21" s="33" t="s">
        <v>943</v>
      </c>
      <c r="E21" s="2" t="s">
        <v>908</v>
      </c>
      <c r="F21" s="77" t="s">
        <v>961</v>
      </c>
      <c r="G21" s="33" t="s">
        <v>910</v>
      </c>
      <c r="H21" s="33" t="s">
        <v>899</v>
      </c>
      <c r="I21" s="33" t="s">
        <v>900</v>
      </c>
      <c r="J21" s="70"/>
    </row>
    <row r="22" spans="1:10" ht="31.2" x14ac:dyDescent="0.3">
      <c r="A22" s="59">
        <f t="shared" si="0"/>
        <v>20</v>
      </c>
      <c r="B22" s="33" t="s">
        <v>962</v>
      </c>
      <c r="C22" s="33" t="s">
        <v>928</v>
      </c>
      <c r="D22" s="33" t="s">
        <v>936</v>
      </c>
      <c r="E22" s="2" t="s">
        <v>908</v>
      </c>
      <c r="F22" s="77" t="s">
        <v>963</v>
      </c>
      <c r="G22" s="33" t="s">
        <v>910</v>
      </c>
      <c r="H22" s="33" t="s">
        <v>899</v>
      </c>
      <c r="I22" s="33" t="s">
        <v>900</v>
      </c>
      <c r="J22" s="70"/>
    </row>
    <row r="23" spans="1:10" ht="31.2" x14ac:dyDescent="0.3">
      <c r="A23" s="59">
        <f t="shared" si="0"/>
        <v>21</v>
      </c>
      <c r="B23" s="33" t="s">
        <v>964</v>
      </c>
      <c r="C23" s="33" t="s">
        <v>928</v>
      </c>
      <c r="D23" s="33" t="s">
        <v>936</v>
      </c>
      <c r="E23" s="2" t="s">
        <v>908</v>
      </c>
      <c r="F23" s="77" t="s">
        <v>965</v>
      </c>
      <c r="G23" s="33" t="s">
        <v>910</v>
      </c>
      <c r="H23" s="33" t="s">
        <v>899</v>
      </c>
      <c r="I23" s="33" t="s">
        <v>900</v>
      </c>
      <c r="J23" s="70"/>
    </row>
    <row r="24" spans="1:10" ht="31.2" x14ac:dyDescent="0.3">
      <c r="A24" s="59">
        <f t="shared" si="0"/>
        <v>22</v>
      </c>
      <c r="B24" s="76" t="s">
        <v>966</v>
      </c>
      <c r="C24" s="76" t="s">
        <v>954</v>
      </c>
      <c r="D24" s="76" t="s">
        <v>967</v>
      </c>
      <c r="E24" s="74" t="s">
        <v>908</v>
      </c>
      <c r="F24" s="79" t="s">
        <v>968</v>
      </c>
      <c r="G24" s="33" t="s">
        <v>910</v>
      </c>
      <c r="H24" s="33" t="s">
        <v>899</v>
      </c>
      <c r="I24" s="33" t="s">
        <v>900</v>
      </c>
      <c r="J24" s="70"/>
    </row>
    <row r="25" spans="1:10" ht="31.2" x14ac:dyDescent="0.3">
      <c r="A25" s="59">
        <f t="shared" si="0"/>
        <v>23</v>
      </c>
      <c r="B25" s="33" t="s">
        <v>969</v>
      </c>
      <c r="C25" s="33" t="s">
        <v>928</v>
      </c>
      <c r="D25" s="33" t="s">
        <v>936</v>
      </c>
      <c r="E25" s="2" t="s">
        <v>908</v>
      </c>
      <c r="F25" s="77" t="s">
        <v>970</v>
      </c>
      <c r="G25" s="33" t="s">
        <v>910</v>
      </c>
      <c r="H25" s="33" t="s">
        <v>899</v>
      </c>
      <c r="I25" s="33" t="s">
        <v>900</v>
      </c>
    </row>
    <row r="26" spans="1:10" ht="31.2" x14ac:dyDescent="0.3">
      <c r="A26" s="59">
        <f t="shared" si="0"/>
        <v>24</v>
      </c>
      <c r="B26" s="33" t="s">
        <v>971</v>
      </c>
      <c r="C26" s="33" t="s">
        <v>928</v>
      </c>
      <c r="D26" s="33" t="s">
        <v>936</v>
      </c>
      <c r="E26" s="2" t="s">
        <v>908</v>
      </c>
      <c r="F26" s="77" t="s">
        <v>972</v>
      </c>
      <c r="G26" s="33" t="s">
        <v>910</v>
      </c>
      <c r="H26" s="33" t="s">
        <v>899</v>
      </c>
      <c r="I26" s="33" t="s">
        <v>900</v>
      </c>
    </row>
    <row r="27" spans="1:10" ht="31.2" x14ac:dyDescent="0.3">
      <c r="A27" s="59">
        <f t="shared" si="0"/>
        <v>25</v>
      </c>
      <c r="B27" s="33" t="s">
        <v>973</v>
      </c>
      <c r="C27" s="33" t="s">
        <v>946</v>
      </c>
      <c r="D27" s="33" t="s">
        <v>943</v>
      </c>
      <c r="E27" s="2" t="s">
        <v>908</v>
      </c>
      <c r="F27" s="77" t="s">
        <v>974</v>
      </c>
      <c r="G27" s="33" t="s">
        <v>910</v>
      </c>
      <c r="H27" s="33" t="s">
        <v>899</v>
      </c>
      <c r="I27" s="33" t="s">
        <v>900</v>
      </c>
    </row>
    <row r="28" spans="1:10" ht="31.2" x14ac:dyDescent="0.3">
      <c r="A28" s="59">
        <f t="shared" si="0"/>
        <v>26</v>
      </c>
      <c r="B28" s="33" t="s">
        <v>975</v>
      </c>
      <c r="C28" s="33" t="s">
        <v>928</v>
      </c>
      <c r="D28" s="33" t="s">
        <v>936</v>
      </c>
      <c r="E28" s="2" t="s">
        <v>908</v>
      </c>
      <c r="F28" s="77" t="s">
        <v>949</v>
      </c>
      <c r="G28" s="33" t="s">
        <v>910</v>
      </c>
      <c r="H28" s="33" t="s">
        <v>899</v>
      </c>
      <c r="I28" s="33" t="s">
        <v>900</v>
      </c>
    </row>
    <row r="29" spans="1:10" ht="31.2" x14ac:dyDescent="0.3">
      <c r="A29" s="59">
        <f t="shared" si="0"/>
        <v>27</v>
      </c>
      <c r="B29" s="33" t="s">
        <v>976</v>
      </c>
      <c r="C29" s="33" t="s">
        <v>924</v>
      </c>
      <c r="D29" s="33" t="s">
        <v>977</v>
      </c>
      <c r="E29" s="2" t="s">
        <v>908</v>
      </c>
      <c r="F29" s="77" t="s">
        <v>978</v>
      </c>
      <c r="G29" s="33" t="s">
        <v>910</v>
      </c>
      <c r="H29" s="33" t="s">
        <v>899</v>
      </c>
      <c r="I29" s="33" t="s">
        <v>900</v>
      </c>
    </row>
    <row r="30" spans="1:10" ht="31.2" x14ac:dyDescent="0.3">
      <c r="A30" s="59">
        <f t="shared" si="0"/>
        <v>28</v>
      </c>
      <c r="B30" s="76" t="s">
        <v>979</v>
      </c>
      <c r="C30" s="76" t="s">
        <v>924</v>
      </c>
      <c r="D30" s="76" t="s">
        <v>977</v>
      </c>
      <c r="E30" s="74" t="s">
        <v>908</v>
      </c>
      <c r="F30" s="79" t="s">
        <v>980</v>
      </c>
      <c r="G30" s="33" t="s">
        <v>910</v>
      </c>
      <c r="H30" s="33" t="s">
        <v>899</v>
      </c>
      <c r="I30" s="33" t="s">
        <v>900</v>
      </c>
    </row>
    <row r="31" spans="1:10" ht="31.2" x14ac:dyDescent="0.3">
      <c r="A31" s="59">
        <f t="shared" si="0"/>
        <v>29</v>
      </c>
      <c r="B31" s="76" t="s">
        <v>981</v>
      </c>
      <c r="C31" s="76" t="s">
        <v>982</v>
      </c>
      <c r="D31" s="76" t="s">
        <v>983</v>
      </c>
      <c r="E31" s="74" t="s">
        <v>908</v>
      </c>
      <c r="F31" s="79" t="s">
        <v>984</v>
      </c>
      <c r="G31" s="33" t="s">
        <v>910</v>
      </c>
      <c r="H31" s="33" t="s">
        <v>899</v>
      </c>
      <c r="I31" s="33" t="s">
        <v>900</v>
      </c>
    </row>
    <row r="32" spans="1:10" ht="46.8" x14ac:dyDescent="0.3">
      <c r="A32" s="59">
        <f t="shared" si="0"/>
        <v>30</v>
      </c>
      <c r="B32" s="33" t="s">
        <v>985</v>
      </c>
      <c r="C32" s="33" t="s">
        <v>928</v>
      </c>
      <c r="D32" s="33" t="s">
        <v>986</v>
      </c>
      <c r="E32" s="2" t="s">
        <v>908</v>
      </c>
      <c r="F32" s="77" t="s">
        <v>987</v>
      </c>
      <c r="G32" s="33" t="s">
        <v>910</v>
      </c>
      <c r="H32" s="33" t="s">
        <v>899</v>
      </c>
      <c r="I32" s="33" t="s">
        <v>900</v>
      </c>
    </row>
    <row r="33" spans="1:9" ht="31.2" x14ac:dyDescent="0.3">
      <c r="A33" s="59">
        <f t="shared" si="0"/>
        <v>31</v>
      </c>
      <c r="B33" s="33" t="s">
        <v>988</v>
      </c>
      <c r="C33" s="33" t="s">
        <v>928</v>
      </c>
      <c r="D33" s="33" t="s">
        <v>929</v>
      </c>
      <c r="E33" s="2" t="s">
        <v>908</v>
      </c>
      <c r="F33" s="77" t="s">
        <v>989</v>
      </c>
      <c r="G33" s="33" t="s">
        <v>910</v>
      </c>
      <c r="H33" s="33" t="s">
        <v>899</v>
      </c>
      <c r="I33" s="33" t="s">
        <v>900</v>
      </c>
    </row>
    <row r="34" spans="1:9" ht="31.2" x14ac:dyDescent="0.3">
      <c r="A34" s="59">
        <f t="shared" si="0"/>
        <v>32</v>
      </c>
      <c r="B34" s="33" t="s">
        <v>990</v>
      </c>
      <c r="C34" s="33" t="s">
        <v>991</v>
      </c>
      <c r="D34" s="33" t="s">
        <v>992</v>
      </c>
      <c r="E34" s="2" t="s">
        <v>908</v>
      </c>
      <c r="F34" s="78" t="s">
        <v>908</v>
      </c>
      <c r="G34" s="33" t="s">
        <v>910</v>
      </c>
      <c r="H34" s="33" t="s">
        <v>899</v>
      </c>
      <c r="I34" s="33" t="s">
        <v>900</v>
      </c>
    </row>
    <row r="35" spans="1:9" ht="31.2" x14ac:dyDescent="0.3">
      <c r="A35" s="59">
        <f t="shared" si="0"/>
        <v>33</v>
      </c>
      <c r="B35" s="33" t="s">
        <v>993</v>
      </c>
      <c r="C35" s="33" t="s">
        <v>994</v>
      </c>
      <c r="D35" s="33" t="s">
        <v>995</v>
      </c>
      <c r="E35" s="2" t="s">
        <v>908</v>
      </c>
      <c r="F35" s="77" t="s">
        <v>996</v>
      </c>
      <c r="G35" s="33" t="s">
        <v>910</v>
      </c>
      <c r="H35" s="33" t="s">
        <v>899</v>
      </c>
      <c r="I35" s="33" t="s">
        <v>900</v>
      </c>
    </row>
    <row r="36" spans="1:9" ht="31.2" x14ac:dyDescent="0.3">
      <c r="A36" s="59">
        <f t="shared" si="0"/>
        <v>34</v>
      </c>
      <c r="B36" s="33" t="s">
        <v>997</v>
      </c>
      <c r="C36" s="33" t="s">
        <v>991</v>
      </c>
      <c r="D36" s="33" t="s">
        <v>998</v>
      </c>
      <c r="E36" s="2" t="s">
        <v>908</v>
      </c>
      <c r="F36" s="77" t="s">
        <v>999</v>
      </c>
      <c r="G36" s="33" t="s">
        <v>910</v>
      </c>
      <c r="H36" s="33" t="s">
        <v>899</v>
      </c>
      <c r="I36" s="33" t="s">
        <v>900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1" workbookViewId="0">
      <selection activeCell="C5" sqref="C5"/>
    </sheetView>
  </sheetViews>
  <sheetFormatPr defaultRowHeight="15.6" x14ac:dyDescent="0.3"/>
  <cols>
    <col min="1" max="1" width="5.5" customWidth="1"/>
    <col min="2" max="2" width="11.8984375" customWidth="1"/>
    <col min="3" max="3" width="17.296875" customWidth="1"/>
    <col min="4" max="4" width="17.5" customWidth="1"/>
    <col min="5" max="5" width="23.69921875" customWidth="1"/>
    <col min="6" max="6" width="15.3984375" customWidth="1"/>
    <col min="7" max="7" width="14.796875" customWidth="1"/>
    <col min="8" max="8" width="10.296875" customWidth="1"/>
    <col min="9" max="9" width="25.59765625" customWidth="1"/>
  </cols>
  <sheetData>
    <row r="1" spans="1:9" ht="29.25" customHeight="1" x14ac:dyDescent="0.3">
      <c r="A1" s="112" t="s">
        <v>26</v>
      </c>
      <c r="B1" s="113"/>
      <c r="C1" s="113"/>
      <c r="D1" s="113"/>
      <c r="E1" s="113"/>
      <c r="F1" s="113"/>
      <c r="G1" s="113"/>
      <c r="H1" s="113"/>
      <c r="I1" s="113"/>
    </row>
    <row r="2" spans="1:9" ht="31.2" x14ac:dyDescent="0.3">
      <c r="A2" s="29" t="s">
        <v>15</v>
      </c>
      <c r="B2" s="37" t="s">
        <v>16</v>
      </c>
      <c r="C2" s="37" t="s">
        <v>17</v>
      </c>
      <c r="D2" s="37" t="s">
        <v>18</v>
      </c>
      <c r="E2" s="37" t="s">
        <v>20</v>
      </c>
      <c r="F2" s="37" t="s">
        <v>19</v>
      </c>
      <c r="G2" s="37" t="s">
        <v>23</v>
      </c>
      <c r="H2" s="37" t="s">
        <v>24</v>
      </c>
      <c r="I2" s="37" t="s">
        <v>25</v>
      </c>
    </row>
    <row r="3" spans="1:9" s="72" customFormat="1" ht="28.8" customHeight="1" x14ac:dyDescent="0.6">
      <c r="A3" s="117" t="s">
        <v>28</v>
      </c>
      <c r="B3" s="118"/>
      <c r="C3" s="118"/>
      <c r="D3" s="118"/>
      <c r="E3" s="118"/>
      <c r="F3" s="118"/>
      <c r="G3" s="118"/>
      <c r="H3" s="118"/>
      <c r="I3" s="119"/>
    </row>
    <row r="4" spans="1:9" ht="43.8" customHeight="1" x14ac:dyDescent="0.3">
      <c r="A4" s="35">
        <v>1</v>
      </c>
      <c r="B4" s="30" t="s">
        <v>189</v>
      </c>
      <c r="C4" s="31" t="s">
        <v>190</v>
      </c>
      <c r="D4" s="30" t="s">
        <v>191</v>
      </c>
      <c r="E4" s="32" t="s">
        <v>192</v>
      </c>
      <c r="F4" s="34" t="s">
        <v>193</v>
      </c>
      <c r="G4" s="36" t="s">
        <v>21</v>
      </c>
      <c r="H4" s="30" t="s">
        <v>28</v>
      </c>
      <c r="I4" s="61" t="s">
        <v>187</v>
      </c>
    </row>
    <row r="5" spans="1:9" ht="43.8" customHeight="1" x14ac:dyDescent="0.3">
      <c r="A5" s="35">
        <v>2</v>
      </c>
      <c r="B5" s="30" t="s">
        <v>194</v>
      </c>
      <c r="C5" s="30" t="s">
        <v>195</v>
      </c>
      <c r="D5" s="30" t="s">
        <v>52</v>
      </c>
      <c r="E5" s="32" t="s">
        <v>196</v>
      </c>
      <c r="F5" s="34" t="s">
        <v>197</v>
      </c>
      <c r="G5" s="36" t="s">
        <v>198</v>
      </c>
      <c r="H5" s="30" t="s">
        <v>28</v>
      </c>
      <c r="I5" s="61" t="s">
        <v>187</v>
      </c>
    </row>
    <row r="6" spans="1:9" ht="43.8" customHeight="1" x14ac:dyDescent="0.3">
      <c r="A6" s="35">
        <v>3</v>
      </c>
      <c r="B6" s="30" t="s">
        <v>199</v>
      </c>
      <c r="C6" s="30" t="s">
        <v>190</v>
      </c>
      <c r="D6" s="30" t="s">
        <v>200</v>
      </c>
      <c r="E6" s="32" t="s">
        <v>201</v>
      </c>
      <c r="F6" s="34"/>
      <c r="G6" s="36" t="s">
        <v>202</v>
      </c>
      <c r="H6" s="30" t="s">
        <v>28</v>
      </c>
      <c r="I6" s="61" t="s">
        <v>187</v>
      </c>
    </row>
    <row r="7" spans="1:9" ht="43.8" customHeight="1" x14ac:dyDescent="0.3">
      <c r="A7" s="35">
        <v>4</v>
      </c>
      <c r="B7" s="30" t="s">
        <v>203</v>
      </c>
      <c r="C7" s="30" t="s">
        <v>204</v>
      </c>
      <c r="D7" s="30" t="s">
        <v>205</v>
      </c>
      <c r="E7" s="32" t="s">
        <v>206</v>
      </c>
      <c r="F7" s="34"/>
      <c r="G7" s="36" t="s">
        <v>207</v>
      </c>
      <c r="H7" s="30" t="s">
        <v>28</v>
      </c>
      <c r="I7" s="61" t="s">
        <v>187</v>
      </c>
    </row>
    <row r="8" spans="1:9" ht="43.8" customHeight="1" x14ac:dyDescent="0.3">
      <c r="A8" s="35">
        <v>5</v>
      </c>
      <c r="B8" s="30" t="s">
        <v>208</v>
      </c>
      <c r="C8" s="30" t="s">
        <v>209</v>
      </c>
      <c r="D8" s="30" t="s">
        <v>205</v>
      </c>
      <c r="E8" s="30"/>
      <c r="F8" s="34" t="s">
        <v>210</v>
      </c>
      <c r="G8" s="36" t="s">
        <v>211</v>
      </c>
      <c r="H8" s="30" t="s">
        <v>28</v>
      </c>
      <c r="I8" s="61" t="s">
        <v>187</v>
      </c>
    </row>
    <row r="9" spans="1:9" ht="43.8" customHeight="1" x14ac:dyDescent="0.3">
      <c r="A9" s="35">
        <v>6</v>
      </c>
      <c r="B9" s="30" t="s">
        <v>212</v>
      </c>
      <c r="C9" s="30" t="s">
        <v>213</v>
      </c>
      <c r="D9" s="30" t="s">
        <v>214</v>
      </c>
      <c r="E9" s="32" t="s">
        <v>215</v>
      </c>
      <c r="F9" s="34" t="s">
        <v>216</v>
      </c>
      <c r="G9" s="36" t="s">
        <v>217</v>
      </c>
      <c r="H9" s="30" t="s">
        <v>28</v>
      </c>
      <c r="I9" s="61" t="s">
        <v>187</v>
      </c>
    </row>
    <row r="10" spans="1:9" ht="43.8" customHeight="1" x14ac:dyDescent="0.3">
      <c r="A10" s="35">
        <v>7</v>
      </c>
      <c r="B10" s="30" t="s">
        <v>218</v>
      </c>
      <c r="C10" s="30" t="s">
        <v>204</v>
      </c>
      <c r="D10" s="30" t="s">
        <v>205</v>
      </c>
      <c r="E10" s="32" t="s">
        <v>219</v>
      </c>
      <c r="F10" s="34" t="s">
        <v>220</v>
      </c>
      <c r="G10" s="36" t="s">
        <v>221</v>
      </c>
      <c r="H10" s="30" t="s">
        <v>28</v>
      </c>
      <c r="I10" s="61" t="s">
        <v>187</v>
      </c>
    </row>
    <row r="11" spans="1:9" ht="43.8" customHeight="1" x14ac:dyDescent="0.3">
      <c r="A11" s="35">
        <v>8</v>
      </c>
      <c r="B11" s="30" t="s">
        <v>222</v>
      </c>
      <c r="C11" s="30" t="s">
        <v>223</v>
      </c>
      <c r="D11" s="30" t="s">
        <v>224</v>
      </c>
      <c r="E11" s="32" t="s">
        <v>225</v>
      </c>
      <c r="F11" s="34" t="s">
        <v>226</v>
      </c>
      <c r="G11" s="36" t="s">
        <v>227</v>
      </c>
      <c r="H11" s="30" t="s">
        <v>28</v>
      </c>
      <c r="I11" s="61" t="s">
        <v>187</v>
      </c>
    </row>
    <row r="12" spans="1:9" ht="43.8" customHeight="1" x14ac:dyDescent="0.3">
      <c r="A12" s="35">
        <v>9</v>
      </c>
      <c r="B12" s="30" t="s">
        <v>228</v>
      </c>
      <c r="C12" s="30" t="s">
        <v>229</v>
      </c>
      <c r="D12" s="30" t="s">
        <v>230</v>
      </c>
      <c r="E12" s="32" t="s">
        <v>231</v>
      </c>
      <c r="F12" s="34"/>
      <c r="G12" s="36" t="s">
        <v>232</v>
      </c>
      <c r="H12" s="30" t="s">
        <v>28</v>
      </c>
      <c r="I12" s="61" t="s">
        <v>187</v>
      </c>
    </row>
    <row r="13" spans="1:9" ht="43.8" customHeight="1" x14ac:dyDescent="0.3">
      <c r="A13" s="35">
        <v>10</v>
      </c>
      <c r="B13" s="30" t="s">
        <v>233</v>
      </c>
      <c r="C13" s="30" t="s">
        <v>229</v>
      </c>
      <c r="D13" s="30" t="s">
        <v>234</v>
      </c>
      <c r="E13" s="32" t="s">
        <v>235</v>
      </c>
      <c r="F13" s="34" t="s">
        <v>236</v>
      </c>
      <c r="G13" s="36" t="s">
        <v>237</v>
      </c>
      <c r="H13" s="30" t="s">
        <v>28</v>
      </c>
      <c r="I13" s="61" t="s">
        <v>187</v>
      </c>
    </row>
    <row r="14" spans="1:9" ht="43.8" customHeight="1" x14ac:dyDescent="0.3">
      <c r="A14" s="35">
        <v>11</v>
      </c>
      <c r="B14" s="30" t="s">
        <v>238</v>
      </c>
      <c r="C14" s="30" t="s">
        <v>239</v>
      </c>
      <c r="D14" s="30" t="s">
        <v>240</v>
      </c>
      <c r="E14" s="32" t="s">
        <v>241</v>
      </c>
      <c r="F14" s="34" t="s">
        <v>242</v>
      </c>
      <c r="G14" s="36" t="s">
        <v>243</v>
      </c>
      <c r="H14" s="30" t="s">
        <v>28</v>
      </c>
      <c r="I14" s="61" t="s">
        <v>187</v>
      </c>
    </row>
    <row r="15" spans="1:9" ht="43.8" customHeight="1" x14ac:dyDescent="0.3">
      <c r="A15" s="35">
        <v>12</v>
      </c>
      <c r="B15" s="30" t="s">
        <v>244</v>
      </c>
      <c r="C15" s="30" t="s">
        <v>245</v>
      </c>
      <c r="D15" s="30" t="s">
        <v>52</v>
      </c>
      <c r="E15" s="32" t="s">
        <v>246</v>
      </c>
      <c r="F15" s="34" t="s">
        <v>247</v>
      </c>
      <c r="G15" s="36" t="s">
        <v>248</v>
      </c>
      <c r="H15" s="30" t="s">
        <v>28</v>
      </c>
      <c r="I15" s="61" t="s">
        <v>187</v>
      </c>
    </row>
    <row r="16" spans="1:9" ht="43.8" customHeight="1" x14ac:dyDescent="0.3">
      <c r="A16" s="35">
        <v>13</v>
      </c>
      <c r="B16" s="30" t="s">
        <v>249</v>
      </c>
      <c r="C16" s="30" t="s">
        <v>245</v>
      </c>
      <c r="D16" s="30" t="s">
        <v>52</v>
      </c>
      <c r="E16" s="32" t="s">
        <v>250</v>
      </c>
      <c r="F16" s="34" t="s">
        <v>251</v>
      </c>
      <c r="G16" s="36" t="s">
        <v>252</v>
      </c>
      <c r="H16" s="30" t="s">
        <v>28</v>
      </c>
      <c r="I16" s="61" t="s">
        <v>187</v>
      </c>
    </row>
    <row r="17" spans="1:9" ht="43.8" customHeight="1" x14ac:dyDescent="0.3">
      <c r="A17" s="35">
        <v>14</v>
      </c>
      <c r="B17" s="30" t="s">
        <v>253</v>
      </c>
      <c r="C17" s="30" t="s">
        <v>254</v>
      </c>
      <c r="D17" s="30" t="s">
        <v>57</v>
      </c>
      <c r="E17" s="32" t="s">
        <v>255</v>
      </c>
      <c r="F17" s="34" t="s">
        <v>256</v>
      </c>
      <c r="G17" s="36" t="s">
        <v>257</v>
      </c>
      <c r="H17" s="30" t="s">
        <v>28</v>
      </c>
      <c r="I17" s="61" t="s">
        <v>187</v>
      </c>
    </row>
    <row r="18" spans="1:9" ht="43.8" customHeight="1" x14ac:dyDescent="0.3">
      <c r="A18" s="35">
        <v>15</v>
      </c>
      <c r="B18" s="30" t="s">
        <v>258</v>
      </c>
      <c r="C18" s="30" t="s">
        <v>259</v>
      </c>
      <c r="D18" s="30" t="s">
        <v>52</v>
      </c>
      <c r="E18" s="32" t="s">
        <v>260</v>
      </c>
      <c r="F18" s="34" t="s">
        <v>261</v>
      </c>
      <c r="G18" s="36" t="s">
        <v>262</v>
      </c>
      <c r="H18" s="30" t="s">
        <v>28</v>
      </c>
      <c r="I18" s="61" t="s">
        <v>187</v>
      </c>
    </row>
    <row r="19" spans="1:9" ht="43.8" customHeight="1" x14ac:dyDescent="0.3">
      <c r="A19" s="35">
        <v>16</v>
      </c>
      <c r="B19" s="30" t="s">
        <v>263</v>
      </c>
      <c r="C19" s="30" t="s">
        <v>264</v>
      </c>
      <c r="D19" s="30" t="s">
        <v>57</v>
      </c>
      <c r="E19" s="32" t="s">
        <v>265</v>
      </c>
      <c r="F19" s="34" t="s">
        <v>266</v>
      </c>
      <c r="G19" s="36" t="s">
        <v>267</v>
      </c>
      <c r="H19" s="30" t="s">
        <v>28</v>
      </c>
      <c r="I19" s="61" t="s">
        <v>187</v>
      </c>
    </row>
    <row r="20" spans="1:9" ht="43.8" customHeight="1" x14ac:dyDescent="0.3">
      <c r="A20" s="35">
        <v>17</v>
      </c>
      <c r="B20" s="30" t="s">
        <v>268</v>
      </c>
      <c r="C20" s="30" t="s">
        <v>264</v>
      </c>
      <c r="D20" s="30" t="s">
        <v>269</v>
      </c>
      <c r="E20" s="32" t="s">
        <v>270</v>
      </c>
      <c r="F20" s="34" t="s">
        <v>271</v>
      </c>
      <c r="G20" s="36" t="s">
        <v>272</v>
      </c>
      <c r="H20" s="30" t="s">
        <v>28</v>
      </c>
      <c r="I20" s="61" t="s">
        <v>187</v>
      </c>
    </row>
    <row r="21" spans="1:9" ht="43.8" customHeight="1" x14ac:dyDescent="0.3">
      <c r="A21" s="35">
        <v>18</v>
      </c>
      <c r="B21" s="30" t="s">
        <v>273</v>
      </c>
      <c r="C21" s="30" t="s">
        <v>274</v>
      </c>
      <c r="D21" s="30" t="s">
        <v>275</v>
      </c>
      <c r="E21" s="32" t="s">
        <v>276</v>
      </c>
      <c r="F21" s="34" t="s">
        <v>277</v>
      </c>
      <c r="G21" s="36" t="s">
        <v>278</v>
      </c>
      <c r="H21" s="30" t="s">
        <v>28</v>
      </c>
      <c r="I21" s="61" t="s">
        <v>187</v>
      </c>
    </row>
    <row r="22" spans="1:9" ht="43.8" customHeight="1" x14ac:dyDescent="0.3">
      <c r="A22" s="35">
        <v>19</v>
      </c>
      <c r="B22" s="30" t="s">
        <v>279</v>
      </c>
      <c r="C22" s="30" t="s">
        <v>71</v>
      </c>
      <c r="D22" s="30" t="s">
        <v>280</v>
      </c>
      <c r="E22" s="32" t="s">
        <v>281</v>
      </c>
      <c r="F22" s="34" t="s">
        <v>282</v>
      </c>
      <c r="G22" s="36" t="s">
        <v>283</v>
      </c>
      <c r="H22" s="30" t="s">
        <v>28</v>
      </c>
      <c r="I22" s="61" t="s">
        <v>187</v>
      </c>
    </row>
    <row r="23" spans="1:9" ht="43.8" customHeight="1" x14ac:dyDescent="0.3">
      <c r="A23" s="35">
        <v>20</v>
      </c>
      <c r="B23" s="30" t="s">
        <v>284</v>
      </c>
      <c r="C23" s="30" t="s">
        <v>213</v>
      </c>
      <c r="D23" s="30" t="s">
        <v>200</v>
      </c>
      <c r="E23" s="32" t="s">
        <v>285</v>
      </c>
      <c r="F23" s="34" t="s">
        <v>286</v>
      </c>
      <c r="G23" s="36" t="s">
        <v>287</v>
      </c>
      <c r="H23" s="30" t="s">
        <v>28</v>
      </c>
      <c r="I23" s="61" t="s">
        <v>187</v>
      </c>
    </row>
    <row r="24" spans="1:9" ht="43.8" customHeight="1" x14ac:dyDescent="0.3">
      <c r="A24" s="35">
        <v>21</v>
      </c>
      <c r="B24" s="30" t="s">
        <v>288</v>
      </c>
      <c r="C24" s="30" t="s">
        <v>254</v>
      </c>
      <c r="D24" s="30" t="s">
        <v>57</v>
      </c>
      <c r="E24" s="32" t="s">
        <v>289</v>
      </c>
      <c r="F24" s="34" t="s">
        <v>290</v>
      </c>
      <c r="G24" s="36" t="s">
        <v>291</v>
      </c>
      <c r="H24" s="30" t="s">
        <v>28</v>
      </c>
      <c r="I24" s="61" t="s">
        <v>187</v>
      </c>
    </row>
    <row r="25" spans="1:9" ht="43.8" customHeight="1" x14ac:dyDescent="0.3">
      <c r="A25" s="35">
        <v>22</v>
      </c>
      <c r="B25" s="30" t="s">
        <v>292</v>
      </c>
      <c r="C25" s="30" t="s">
        <v>293</v>
      </c>
      <c r="D25" s="30" t="s">
        <v>61</v>
      </c>
      <c r="E25" s="32" t="s">
        <v>294</v>
      </c>
      <c r="F25" s="34" t="s">
        <v>295</v>
      </c>
      <c r="G25" s="36" t="s">
        <v>296</v>
      </c>
      <c r="H25" s="30" t="s">
        <v>28</v>
      </c>
      <c r="I25" s="61" t="s">
        <v>187</v>
      </c>
    </row>
    <row r="26" spans="1:9" ht="43.8" customHeight="1" x14ac:dyDescent="0.3">
      <c r="A26" s="35">
        <v>23</v>
      </c>
      <c r="B26" s="30" t="s">
        <v>297</v>
      </c>
      <c r="C26" s="30" t="s">
        <v>209</v>
      </c>
      <c r="D26" s="30" t="s">
        <v>298</v>
      </c>
      <c r="E26" s="32" t="s">
        <v>299</v>
      </c>
      <c r="F26" s="34" t="s">
        <v>300</v>
      </c>
      <c r="G26" s="36" t="s">
        <v>301</v>
      </c>
      <c r="H26" s="30" t="s">
        <v>28</v>
      </c>
      <c r="I26" s="61" t="s">
        <v>187</v>
      </c>
    </row>
    <row r="27" spans="1:9" ht="43.8" customHeight="1" x14ac:dyDescent="0.3">
      <c r="A27" s="35">
        <v>24</v>
      </c>
      <c r="B27" s="30" t="s">
        <v>302</v>
      </c>
      <c r="C27" s="30" t="s">
        <v>303</v>
      </c>
      <c r="D27" s="30" t="s">
        <v>304</v>
      </c>
      <c r="E27" s="32" t="s">
        <v>305</v>
      </c>
      <c r="F27" s="34" t="s">
        <v>306</v>
      </c>
      <c r="G27" s="36" t="s">
        <v>307</v>
      </c>
      <c r="H27" s="30" t="s">
        <v>28</v>
      </c>
      <c r="I27" s="61" t="s">
        <v>187</v>
      </c>
    </row>
    <row r="28" spans="1:9" ht="43.8" customHeight="1" x14ac:dyDescent="0.3">
      <c r="A28" s="35">
        <v>25</v>
      </c>
      <c r="B28" s="30" t="s">
        <v>308</v>
      </c>
      <c r="C28" s="30" t="s">
        <v>303</v>
      </c>
      <c r="D28" s="30" t="s">
        <v>309</v>
      </c>
      <c r="E28" s="32" t="s">
        <v>310</v>
      </c>
      <c r="F28" s="34" t="s">
        <v>311</v>
      </c>
      <c r="G28" s="36" t="s">
        <v>312</v>
      </c>
      <c r="H28" s="30" t="s">
        <v>28</v>
      </c>
      <c r="I28" s="61" t="s">
        <v>187</v>
      </c>
    </row>
    <row r="29" spans="1:9" ht="43.8" customHeight="1" x14ac:dyDescent="0.3">
      <c r="A29" s="35">
        <v>26</v>
      </c>
      <c r="B29" s="30" t="s">
        <v>313</v>
      </c>
      <c r="C29" s="30" t="s">
        <v>259</v>
      </c>
      <c r="D29" s="30"/>
      <c r="E29" s="30"/>
      <c r="F29" s="34" t="s">
        <v>314</v>
      </c>
      <c r="G29" s="36" t="s">
        <v>315</v>
      </c>
      <c r="H29" s="30" t="s">
        <v>28</v>
      </c>
      <c r="I29" s="61" t="s">
        <v>187</v>
      </c>
    </row>
    <row r="30" spans="1:9" ht="43.8" customHeight="1" x14ac:dyDescent="0.3">
      <c r="A30" s="35">
        <v>27</v>
      </c>
      <c r="B30" s="30" t="s">
        <v>316</v>
      </c>
      <c r="C30" s="30" t="s">
        <v>71</v>
      </c>
      <c r="D30" s="30" t="s">
        <v>280</v>
      </c>
      <c r="E30" s="32" t="s">
        <v>317</v>
      </c>
      <c r="F30" s="34" t="s">
        <v>318</v>
      </c>
      <c r="G30" s="36" t="s">
        <v>319</v>
      </c>
      <c r="H30" s="30" t="s">
        <v>28</v>
      </c>
      <c r="I30" s="61" t="s">
        <v>187</v>
      </c>
    </row>
    <row r="31" spans="1:9" ht="43.8" customHeight="1" x14ac:dyDescent="0.3">
      <c r="A31" s="35">
        <v>28</v>
      </c>
      <c r="B31" s="30" t="s">
        <v>320</v>
      </c>
      <c r="C31" s="30" t="s">
        <v>321</v>
      </c>
      <c r="D31" s="30" t="s">
        <v>322</v>
      </c>
      <c r="E31" s="32" t="s">
        <v>323</v>
      </c>
      <c r="F31" s="34" t="s">
        <v>324</v>
      </c>
      <c r="G31" s="36" t="s">
        <v>325</v>
      </c>
      <c r="H31" s="30" t="s">
        <v>28</v>
      </c>
      <c r="I31" s="61" t="s">
        <v>187</v>
      </c>
    </row>
    <row r="32" spans="1:9" ht="28.8" customHeight="1" x14ac:dyDescent="0.65">
      <c r="A32" s="114" t="s">
        <v>748</v>
      </c>
      <c r="B32" s="115"/>
      <c r="C32" s="115"/>
      <c r="D32" s="115"/>
      <c r="E32" s="115"/>
      <c r="F32" s="115"/>
      <c r="G32" s="115"/>
      <c r="H32" s="115"/>
      <c r="I32" s="116"/>
    </row>
    <row r="33" spans="1:9" ht="28.8" x14ac:dyDescent="0.3">
      <c r="A33" s="34">
        <v>29</v>
      </c>
      <c r="B33" s="34" t="s">
        <v>749</v>
      </c>
      <c r="C33" s="34" t="s">
        <v>750</v>
      </c>
      <c r="D33" s="34" t="s">
        <v>751</v>
      </c>
      <c r="E33" s="34"/>
      <c r="F33" s="34" t="s">
        <v>752</v>
      </c>
      <c r="G33" s="36" t="s">
        <v>587</v>
      </c>
      <c r="H33" s="34" t="s">
        <v>748</v>
      </c>
      <c r="I33" s="34" t="s">
        <v>753</v>
      </c>
    </row>
    <row r="34" spans="1:9" ht="28.8" x14ac:dyDescent="0.3">
      <c r="A34" s="34" t="s">
        <v>754</v>
      </c>
      <c r="B34" s="34" t="s">
        <v>755</v>
      </c>
      <c r="C34" s="34" t="s">
        <v>750</v>
      </c>
      <c r="D34" s="34" t="s">
        <v>756</v>
      </c>
      <c r="E34" s="34"/>
      <c r="F34" s="34" t="s">
        <v>757</v>
      </c>
      <c r="G34" s="36" t="s">
        <v>758</v>
      </c>
      <c r="H34" s="34" t="s">
        <v>748</v>
      </c>
      <c r="I34" s="34" t="s">
        <v>753</v>
      </c>
    </row>
    <row r="35" spans="1:9" ht="28.8" x14ac:dyDescent="0.3">
      <c r="A35" s="34" t="s">
        <v>759</v>
      </c>
      <c r="B35" s="34" t="s">
        <v>760</v>
      </c>
      <c r="C35" s="34" t="s">
        <v>750</v>
      </c>
      <c r="D35" s="34" t="s">
        <v>761</v>
      </c>
      <c r="E35" s="34"/>
      <c r="F35" s="34" t="s">
        <v>762</v>
      </c>
      <c r="G35" s="36" t="s">
        <v>763</v>
      </c>
      <c r="H35" s="34" t="s">
        <v>748</v>
      </c>
      <c r="I35" s="34" t="s">
        <v>753</v>
      </c>
    </row>
    <row r="36" spans="1:9" ht="28.8" x14ac:dyDescent="0.3">
      <c r="A36" s="34" t="s">
        <v>764</v>
      </c>
      <c r="B36" s="34" t="s">
        <v>765</v>
      </c>
      <c r="C36" s="34" t="s">
        <v>750</v>
      </c>
      <c r="D36" s="34" t="s">
        <v>766</v>
      </c>
      <c r="E36" s="34"/>
      <c r="F36" s="34" t="s">
        <v>767</v>
      </c>
      <c r="G36" s="36" t="s">
        <v>768</v>
      </c>
      <c r="H36" s="34" t="s">
        <v>748</v>
      </c>
      <c r="I36" s="34" t="s">
        <v>753</v>
      </c>
    </row>
    <row r="37" spans="1:9" ht="28.8" x14ac:dyDescent="0.3">
      <c r="A37" s="34" t="s">
        <v>769</v>
      </c>
      <c r="B37" s="34" t="s">
        <v>770</v>
      </c>
      <c r="C37" s="34" t="s">
        <v>771</v>
      </c>
      <c r="D37" s="34" t="s">
        <v>772</v>
      </c>
      <c r="E37" s="34"/>
      <c r="F37" s="34"/>
      <c r="G37" s="36" t="s">
        <v>773</v>
      </c>
      <c r="H37" s="34" t="s">
        <v>748</v>
      </c>
      <c r="I37" s="34" t="s">
        <v>753</v>
      </c>
    </row>
    <row r="38" spans="1:9" ht="28.8" x14ac:dyDescent="0.3">
      <c r="A38" s="34" t="s">
        <v>774</v>
      </c>
      <c r="B38" s="34" t="s">
        <v>775</v>
      </c>
      <c r="C38" s="34" t="s">
        <v>776</v>
      </c>
      <c r="D38" s="34" t="s">
        <v>777</v>
      </c>
      <c r="E38" s="34"/>
      <c r="F38" s="34" t="s">
        <v>778</v>
      </c>
      <c r="G38" s="36" t="s">
        <v>779</v>
      </c>
      <c r="H38" s="34" t="s">
        <v>748</v>
      </c>
      <c r="I38" s="34" t="s">
        <v>753</v>
      </c>
    </row>
    <row r="39" spans="1:9" ht="31.2" x14ac:dyDescent="0.3">
      <c r="A39" s="34" t="s">
        <v>780</v>
      </c>
      <c r="B39" s="34" t="s">
        <v>781</v>
      </c>
      <c r="C39" s="34" t="s">
        <v>782</v>
      </c>
      <c r="D39" s="34" t="s">
        <v>783</v>
      </c>
      <c r="E39" s="68" t="s">
        <v>784</v>
      </c>
      <c r="F39" s="34" t="s">
        <v>785</v>
      </c>
      <c r="G39" s="36" t="s">
        <v>786</v>
      </c>
      <c r="H39" s="34" t="s">
        <v>748</v>
      </c>
      <c r="I39" s="34" t="s">
        <v>753</v>
      </c>
    </row>
    <row r="40" spans="1:9" ht="28.8" x14ac:dyDescent="0.3">
      <c r="A40" s="34" t="s">
        <v>787</v>
      </c>
      <c r="B40" s="34" t="s">
        <v>788</v>
      </c>
      <c r="C40" s="34" t="s">
        <v>782</v>
      </c>
      <c r="D40" s="34" t="s">
        <v>205</v>
      </c>
      <c r="E40" s="68" t="s">
        <v>789</v>
      </c>
      <c r="F40" s="34" t="s">
        <v>790</v>
      </c>
      <c r="G40" s="36" t="s">
        <v>791</v>
      </c>
      <c r="H40" s="34" t="s">
        <v>748</v>
      </c>
      <c r="I40" s="34" t="s">
        <v>753</v>
      </c>
    </row>
    <row r="41" spans="1:9" ht="28.8" x14ac:dyDescent="0.3">
      <c r="A41" s="34" t="s">
        <v>792</v>
      </c>
      <c r="B41" s="34" t="s">
        <v>793</v>
      </c>
      <c r="C41" s="34" t="s">
        <v>776</v>
      </c>
      <c r="D41" s="34" t="s">
        <v>309</v>
      </c>
      <c r="E41" s="68" t="s">
        <v>794</v>
      </c>
      <c r="F41" s="34" t="s">
        <v>795</v>
      </c>
      <c r="G41" s="36" t="s">
        <v>796</v>
      </c>
      <c r="H41" s="34" t="s">
        <v>748</v>
      </c>
      <c r="I41" s="34" t="s">
        <v>753</v>
      </c>
    </row>
    <row r="42" spans="1:9" ht="28.8" x14ac:dyDescent="0.3">
      <c r="A42" s="34" t="s">
        <v>797</v>
      </c>
      <c r="B42" s="34" t="s">
        <v>798</v>
      </c>
      <c r="C42" s="34" t="s">
        <v>750</v>
      </c>
      <c r="D42" s="34" t="s">
        <v>799</v>
      </c>
      <c r="E42" s="34"/>
      <c r="F42" s="34" t="s">
        <v>800</v>
      </c>
      <c r="G42" s="36" t="s">
        <v>801</v>
      </c>
      <c r="H42" s="34" t="s">
        <v>748</v>
      </c>
      <c r="I42" s="34" t="s">
        <v>753</v>
      </c>
    </row>
    <row r="43" spans="1:9" ht="28.8" x14ac:dyDescent="0.3">
      <c r="A43" s="34" t="s">
        <v>802</v>
      </c>
      <c r="B43" s="34" t="s">
        <v>803</v>
      </c>
      <c r="C43" s="34" t="s">
        <v>750</v>
      </c>
      <c r="D43" s="34" t="s">
        <v>804</v>
      </c>
      <c r="E43" s="34"/>
      <c r="F43" s="34" t="s">
        <v>805</v>
      </c>
      <c r="G43" s="36" t="s">
        <v>806</v>
      </c>
      <c r="H43" s="34" t="s">
        <v>748</v>
      </c>
      <c r="I43" s="34" t="s">
        <v>753</v>
      </c>
    </row>
    <row r="44" spans="1:9" ht="28.8" x14ac:dyDescent="0.3">
      <c r="A44" s="34" t="s">
        <v>807</v>
      </c>
      <c r="B44" s="34" t="s">
        <v>808</v>
      </c>
      <c r="C44" s="34" t="s">
        <v>750</v>
      </c>
      <c r="D44" s="34" t="s">
        <v>809</v>
      </c>
      <c r="E44" s="34"/>
      <c r="F44" s="34" t="s">
        <v>810</v>
      </c>
      <c r="G44" s="36" t="s">
        <v>811</v>
      </c>
      <c r="H44" s="34" t="s">
        <v>748</v>
      </c>
      <c r="I44" s="34" t="s">
        <v>753</v>
      </c>
    </row>
    <row r="45" spans="1:9" ht="28.8" x14ac:dyDescent="0.3">
      <c r="A45" s="34" t="s">
        <v>812</v>
      </c>
      <c r="B45" s="34" t="s">
        <v>813</v>
      </c>
      <c r="C45" s="34" t="s">
        <v>750</v>
      </c>
      <c r="D45" s="34" t="s">
        <v>804</v>
      </c>
      <c r="E45" s="34"/>
      <c r="F45" s="34" t="s">
        <v>814</v>
      </c>
      <c r="G45" s="36" t="s">
        <v>815</v>
      </c>
      <c r="H45" s="34" t="s">
        <v>748</v>
      </c>
      <c r="I45" s="34" t="s">
        <v>753</v>
      </c>
    </row>
    <row r="46" spans="1:9" ht="28.8" x14ac:dyDescent="0.3">
      <c r="A46" s="34" t="s">
        <v>816</v>
      </c>
      <c r="B46" s="34" t="s">
        <v>817</v>
      </c>
      <c r="C46" s="34" t="s">
        <v>750</v>
      </c>
      <c r="D46" s="34" t="s">
        <v>799</v>
      </c>
      <c r="E46" s="34"/>
      <c r="F46" s="34" t="s">
        <v>818</v>
      </c>
      <c r="G46" s="36" t="s">
        <v>819</v>
      </c>
      <c r="H46" s="34" t="s">
        <v>748</v>
      </c>
      <c r="I46" s="34" t="s">
        <v>753</v>
      </c>
    </row>
    <row r="47" spans="1:9" ht="28.8" x14ac:dyDescent="0.3">
      <c r="A47" s="34" t="s">
        <v>820</v>
      </c>
      <c r="B47" s="34" t="s">
        <v>821</v>
      </c>
      <c r="C47" s="34" t="s">
        <v>822</v>
      </c>
      <c r="D47" s="34" t="s">
        <v>823</v>
      </c>
      <c r="E47" s="34"/>
      <c r="F47" s="34" t="s">
        <v>824</v>
      </c>
      <c r="G47" s="36" t="s">
        <v>825</v>
      </c>
      <c r="H47" s="34" t="s">
        <v>748</v>
      </c>
      <c r="I47" s="34" t="s">
        <v>753</v>
      </c>
    </row>
    <row r="48" spans="1:9" ht="28.8" x14ac:dyDescent="0.3">
      <c r="A48" s="34" t="s">
        <v>826</v>
      </c>
      <c r="B48" s="34" t="s">
        <v>827</v>
      </c>
      <c r="C48" s="34" t="s">
        <v>750</v>
      </c>
      <c r="D48" s="34" t="s">
        <v>804</v>
      </c>
      <c r="E48" s="34"/>
      <c r="F48" s="34" t="s">
        <v>828</v>
      </c>
      <c r="G48" s="36" t="s">
        <v>829</v>
      </c>
      <c r="H48" s="34" t="s">
        <v>748</v>
      </c>
      <c r="I48" s="34" t="s">
        <v>753</v>
      </c>
    </row>
    <row r="49" spans="1:9" ht="28.8" x14ac:dyDescent="0.3">
      <c r="A49" s="34" t="s">
        <v>830</v>
      </c>
      <c r="B49" s="34" t="s">
        <v>831</v>
      </c>
      <c r="C49" s="34" t="s">
        <v>750</v>
      </c>
      <c r="D49" s="34" t="s">
        <v>832</v>
      </c>
      <c r="E49" s="34"/>
      <c r="F49" s="34" t="s">
        <v>833</v>
      </c>
      <c r="G49" s="36" t="s">
        <v>834</v>
      </c>
      <c r="H49" s="34" t="s">
        <v>748</v>
      </c>
      <c r="I49" s="34" t="s">
        <v>753</v>
      </c>
    </row>
    <row r="50" spans="1:9" ht="28.8" x14ac:dyDescent="0.3">
      <c r="A50" s="34" t="s">
        <v>835</v>
      </c>
      <c r="B50" s="34" t="s">
        <v>396</v>
      </c>
      <c r="C50" s="34" t="s">
        <v>750</v>
      </c>
      <c r="D50" s="34" t="s">
        <v>836</v>
      </c>
      <c r="E50" s="34"/>
      <c r="F50" s="34" t="s">
        <v>837</v>
      </c>
      <c r="G50" s="36" t="s">
        <v>838</v>
      </c>
      <c r="H50" s="34" t="s">
        <v>748</v>
      </c>
      <c r="I50" s="34" t="s">
        <v>753</v>
      </c>
    </row>
    <row r="51" spans="1:9" ht="28.8" x14ac:dyDescent="0.3">
      <c r="A51" s="34" t="s">
        <v>839</v>
      </c>
      <c r="B51" s="34" t="s">
        <v>840</v>
      </c>
      <c r="C51" s="34" t="s">
        <v>750</v>
      </c>
      <c r="D51" s="34" t="s">
        <v>836</v>
      </c>
      <c r="E51" s="34"/>
      <c r="F51" s="34" t="s">
        <v>841</v>
      </c>
      <c r="G51" s="36" t="s">
        <v>842</v>
      </c>
      <c r="H51" s="34" t="s">
        <v>748</v>
      </c>
      <c r="I51" s="34" t="s">
        <v>753</v>
      </c>
    </row>
    <row r="52" spans="1:9" ht="28.8" x14ac:dyDescent="0.3">
      <c r="A52" s="34" t="s">
        <v>843</v>
      </c>
      <c r="B52" s="34" t="s">
        <v>844</v>
      </c>
      <c r="C52" s="34" t="s">
        <v>750</v>
      </c>
      <c r="D52" s="34" t="s">
        <v>845</v>
      </c>
      <c r="E52" s="34"/>
      <c r="F52" s="34" t="s">
        <v>846</v>
      </c>
      <c r="G52" s="36" t="s">
        <v>847</v>
      </c>
      <c r="H52" s="34" t="s">
        <v>748</v>
      </c>
      <c r="I52" s="34" t="s">
        <v>753</v>
      </c>
    </row>
    <row r="53" spans="1:9" ht="28.8" x14ac:dyDescent="0.3">
      <c r="A53" s="34" t="s">
        <v>848</v>
      </c>
      <c r="B53" s="34" t="s">
        <v>849</v>
      </c>
      <c r="C53" s="34" t="s">
        <v>750</v>
      </c>
      <c r="D53" s="34" t="s">
        <v>804</v>
      </c>
      <c r="E53" s="34"/>
      <c r="F53" s="34" t="s">
        <v>850</v>
      </c>
      <c r="G53" s="36" t="s">
        <v>851</v>
      </c>
      <c r="H53" s="34" t="s">
        <v>748</v>
      </c>
      <c r="I53" s="34" t="s">
        <v>753</v>
      </c>
    </row>
    <row r="54" spans="1:9" ht="28.8" x14ac:dyDescent="0.3">
      <c r="A54" s="34" t="s">
        <v>852</v>
      </c>
      <c r="B54" s="34" t="s">
        <v>853</v>
      </c>
      <c r="C54" s="34" t="s">
        <v>139</v>
      </c>
      <c r="D54" s="34" t="s">
        <v>771</v>
      </c>
      <c r="E54" s="68" t="s">
        <v>854</v>
      </c>
      <c r="F54" s="34" t="s">
        <v>855</v>
      </c>
      <c r="G54" s="36" t="s">
        <v>856</v>
      </c>
      <c r="H54" s="34" t="s">
        <v>748</v>
      </c>
      <c r="I54" s="34" t="s">
        <v>753</v>
      </c>
    </row>
    <row r="55" spans="1:9" ht="31.2" x14ac:dyDescent="0.3">
      <c r="A55" s="34" t="s">
        <v>857</v>
      </c>
      <c r="B55" s="34" t="s">
        <v>858</v>
      </c>
      <c r="C55" s="34" t="s">
        <v>859</v>
      </c>
      <c r="D55" s="34" t="s">
        <v>223</v>
      </c>
      <c r="E55" s="68" t="s">
        <v>860</v>
      </c>
      <c r="F55" s="34" t="s">
        <v>861</v>
      </c>
      <c r="G55" s="36" t="s">
        <v>862</v>
      </c>
      <c r="H55" s="34" t="s">
        <v>748</v>
      </c>
      <c r="I55" s="34" t="s">
        <v>753</v>
      </c>
    </row>
    <row r="56" spans="1:9" ht="28.8" x14ac:dyDescent="0.3">
      <c r="A56" s="34" t="s">
        <v>863</v>
      </c>
      <c r="B56" s="34" t="s">
        <v>864</v>
      </c>
      <c r="C56" s="34" t="s">
        <v>865</v>
      </c>
      <c r="D56" s="34" t="s">
        <v>223</v>
      </c>
      <c r="E56" s="68" t="s">
        <v>866</v>
      </c>
      <c r="F56" s="34" t="s">
        <v>867</v>
      </c>
      <c r="G56" s="36" t="s">
        <v>868</v>
      </c>
      <c r="H56" s="34" t="s">
        <v>748</v>
      </c>
      <c r="I56" s="34" t="s">
        <v>753</v>
      </c>
    </row>
    <row r="57" spans="1:9" ht="43.2" x14ac:dyDescent="0.3">
      <c r="A57" s="34" t="s">
        <v>869</v>
      </c>
      <c r="B57" s="34" t="s">
        <v>870</v>
      </c>
      <c r="C57" s="34" t="s">
        <v>750</v>
      </c>
      <c r="D57" s="34" t="s">
        <v>871</v>
      </c>
      <c r="E57" s="34"/>
      <c r="F57" s="34" t="s">
        <v>872</v>
      </c>
      <c r="G57" s="36" t="s">
        <v>873</v>
      </c>
      <c r="H57" s="34" t="s">
        <v>748</v>
      </c>
      <c r="I57" s="34" t="s">
        <v>753</v>
      </c>
    </row>
    <row r="58" spans="1:9" ht="28.8" x14ac:dyDescent="0.3">
      <c r="A58" s="34" t="s">
        <v>874</v>
      </c>
      <c r="B58" s="34" t="s">
        <v>875</v>
      </c>
      <c r="C58" s="34" t="s">
        <v>750</v>
      </c>
      <c r="D58" s="34" t="s">
        <v>582</v>
      </c>
      <c r="E58" s="34"/>
      <c r="F58" s="34" t="s">
        <v>876</v>
      </c>
      <c r="G58" s="36" t="s">
        <v>877</v>
      </c>
      <c r="H58" s="34" t="s">
        <v>748</v>
      </c>
      <c r="I58" s="34" t="s">
        <v>753</v>
      </c>
    </row>
    <row r="59" spans="1:9" ht="28.8" x14ac:dyDescent="0.3">
      <c r="A59" s="34" t="s">
        <v>878</v>
      </c>
      <c r="B59" s="34" t="s">
        <v>879</v>
      </c>
      <c r="C59" s="34" t="s">
        <v>750</v>
      </c>
      <c r="D59" s="34" t="s">
        <v>804</v>
      </c>
      <c r="E59" s="34"/>
      <c r="F59" s="34" t="s">
        <v>880</v>
      </c>
      <c r="G59" s="36" t="s">
        <v>881</v>
      </c>
      <c r="H59" s="34" t="s">
        <v>748</v>
      </c>
      <c r="I59" s="34" t="s">
        <v>753</v>
      </c>
    </row>
    <row r="60" spans="1:9" ht="28.8" x14ac:dyDescent="0.3">
      <c r="A60" s="34" t="s">
        <v>882</v>
      </c>
      <c r="B60" s="34" t="s">
        <v>883</v>
      </c>
      <c r="C60" s="34" t="s">
        <v>750</v>
      </c>
      <c r="D60" s="34" t="s">
        <v>832</v>
      </c>
      <c r="E60" s="34"/>
      <c r="F60" s="34" t="s">
        <v>884</v>
      </c>
      <c r="G60" s="36" t="s">
        <v>885</v>
      </c>
      <c r="H60" s="34" t="s">
        <v>748</v>
      </c>
      <c r="I60" s="34" t="s">
        <v>753</v>
      </c>
    </row>
    <row r="61" spans="1:9" ht="28.8" x14ac:dyDescent="0.3">
      <c r="A61" s="34" t="s">
        <v>886</v>
      </c>
      <c r="B61" s="34" t="s">
        <v>887</v>
      </c>
      <c r="C61" s="34" t="s">
        <v>750</v>
      </c>
      <c r="D61" s="34" t="s">
        <v>845</v>
      </c>
      <c r="E61" s="34"/>
      <c r="F61" s="34" t="s">
        <v>888</v>
      </c>
      <c r="G61" s="36" t="s">
        <v>889</v>
      </c>
      <c r="H61" s="34" t="s">
        <v>748</v>
      </c>
      <c r="I61" s="34" t="s">
        <v>753</v>
      </c>
    </row>
    <row r="62" spans="1:9" ht="28.8" x14ac:dyDescent="0.3">
      <c r="A62" s="34" t="s">
        <v>890</v>
      </c>
      <c r="B62" s="34" t="s">
        <v>891</v>
      </c>
      <c r="C62" s="34" t="s">
        <v>750</v>
      </c>
      <c r="D62" s="34" t="s">
        <v>892</v>
      </c>
      <c r="E62" s="34"/>
      <c r="F62" s="34" t="s">
        <v>893</v>
      </c>
      <c r="G62" s="36" t="s">
        <v>894</v>
      </c>
      <c r="H62" s="34" t="s">
        <v>748</v>
      </c>
      <c r="I62" s="34" t="s">
        <v>753</v>
      </c>
    </row>
    <row r="63" spans="1:9" ht="28.8" x14ac:dyDescent="0.3">
      <c r="A63" s="34" t="s">
        <v>895</v>
      </c>
      <c r="B63" s="34" t="s">
        <v>896</v>
      </c>
      <c r="C63" s="34" t="s">
        <v>750</v>
      </c>
      <c r="D63" s="34" t="s">
        <v>845</v>
      </c>
      <c r="E63" s="34"/>
      <c r="F63" s="34" t="s">
        <v>897</v>
      </c>
      <c r="G63" s="36" t="s">
        <v>898</v>
      </c>
      <c r="H63" s="34" t="s">
        <v>748</v>
      </c>
      <c r="I63" s="34" t="s">
        <v>753</v>
      </c>
    </row>
    <row r="64" spans="1:9" x14ac:dyDescent="0.3">
      <c r="A64" s="34"/>
      <c r="B64" s="34"/>
      <c r="C64" s="34"/>
      <c r="D64" s="34"/>
      <c r="E64" s="34"/>
      <c r="F64" s="34"/>
      <c r="G64" s="34"/>
      <c r="H64" s="34"/>
      <c r="I64" s="34"/>
    </row>
  </sheetData>
  <mergeCells count="3">
    <mergeCell ref="A1:I1"/>
    <mergeCell ref="A32:I32"/>
    <mergeCell ref="A3:I3"/>
  </mergeCells>
  <hyperlinks>
    <hyperlink ref="E4" r:id="rId1"/>
    <hyperlink ref="E5" r:id="rId2"/>
    <hyperlink ref="E6" r:id="rId3"/>
    <hyperlink ref="E7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  <hyperlink ref="E25" r:id="rId20"/>
    <hyperlink ref="E26" r:id="rId21"/>
    <hyperlink ref="E27" r:id="rId22"/>
    <hyperlink ref="E28" r:id="rId23"/>
    <hyperlink ref="E30" r:id="rId24"/>
    <hyperlink ref="E31" r:id="rId25"/>
    <hyperlink ref="E24" r:id="rId26"/>
    <hyperlink ref="E39" r:id="rId27"/>
    <hyperlink ref="E40" r:id="rId28"/>
    <hyperlink ref="E41" r:id="rId29"/>
    <hyperlink ref="E56" r:id="rId30"/>
    <hyperlink ref="E55" r:id="rId31"/>
    <hyperlink ref="E54" r:id="rId32"/>
  </hyperlinks>
  <pageMargins left="0.7" right="0.7" top="0.75" bottom="0.75" header="0.3" footer="0.3"/>
  <pageSetup paperSize="9"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workbookViewId="0">
      <selection activeCell="C74" sqref="C74"/>
    </sheetView>
  </sheetViews>
  <sheetFormatPr defaultRowHeight="15.6" x14ac:dyDescent="0.3"/>
  <cols>
    <col min="1" max="1" width="5.59765625" customWidth="1"/>
    <col min="2" max="2" width="16.19921875" style="70" customWidth="1"/>
    <col min="3" max="3" width="13.59765625" style="85" customWidth="1"/>
    <col min="4" max="4" width="16.19921875" style="70" customWidth="1"/>
    <col min="5" max="5" width="29.3984375" style="70" customWidth="1"/>
    <col min="6" max="6" width="18.5" style="85" bestFit="1" customWidth="1"/>
    <col min="7" max="7" width="12" style="70" customWidth="1"/>
    <col min="8" max="8" width="13.8984375" style="70" customWidth="1"/>
    <col min="9" max="9" width="16.5" style="85" customWidth="1"/>
  </cols>
  <sheetData>
    <row r="1" spans="1:9" ht="29.25" customHeight="1" x14ac:dyDescent="0.25">
      <c r="A1" s="112" t="s">
        <v>26</v>
      </c>
      <c r="B1" s="113"/>
      <c r="C1" s="113"/>
      <c r="D1" s="113"/>
      <c r="E1" s="113"/>
      <c r="F1" s="113"/>
      <c r="G1" s="113"/>
      <c r="H1" s="113"/>
      <c r="I1" s="113"/>
    </row>
    <row r="2" spans="1:9" ht="31.2" x14ac:dyDescent="0.3">
      <c r="A2" s="3" t="s">
        <v>15</v>
      </c>
      <c r="B2" s="75" t="s">
        <v>16</v>
      </c>
      <c r="C2" s="84" t="s">
        <v>17</v>
      </c>
      <c r="D2" s="75" t="s">
        <v>18</v>
      </c>
      <c r="E2" s="75" t="s">
        <v>20</v>
      </c>
      <c r="F2" s="84" t="s">
        <v>19</v>
      </c>
      <c r="G2" s="75" t="s">
        <v>23</v>
      </c>
      <c r="H2" s="75" t="s">
        <v>24</v>
      </c>
      <c r="I2" s="84" t="s">
        <v>25</v>
      </c>
    </row>
    <row r="3" spans="1:9" ht="31.2" x14ac:dyDescent="0.3">
      <c r="A3" s="59">
        <v>1</v>
      </c>
      <c r="B3" s="83" t="s">
        <v>1149</v>
      </c>
      <c r="C3" s="83" t="s">
        <v>1150</v>
      </c>
      <c r="D3" s="33" t="s">
        <v>1151</v>
      </c>
      <c r="E3" s="86" t="s">
        <v>1152</v>
      </c>
      <c r="F3" s="83" t="s">
        <v>1153</v>
      </c>
      <c r="G3" s="83" t="s">
        <v>1154</v>
      </c>
      <c r="H3" s="83" t="s">
        <v>1155</v>
      </c>
      <c r="I3" s="81" t="s">
        <v>1046</v>
      </c>
    </row>
    <row r="4" spans="1:9" ht="46.8" x14ac:dyDescent="0.3">
      <c r="A4" s="59">
        <v>2</v>
      </c>
      <c r="B4" s="83" t="s">
        <v>1156</v>
      </c>
      <c r="C4" s="83" t="s">
        <v>1157</v>
      </c>
      <c r="D4" s="33" t="s">
        <v>1158</v>
      </c>
      <c r="E4" s="86" t="s">
        <v>1159</v>
      </c>
      <c r="F4" s="83" t="s">
        <v>1160</v>
      </c>
      <c r="G4" s="83" t="s">
        <v>1161</v>
      </c>
      <c r="H4" s="83" t="s">
        <v>1155</v>
      </c>
      <c r="I4" s="81" t="s">
        <v>1046</v>
      </c>
    </row>
    <row r="5" spans="1:9" ht="31.2" x14ac:dyDescent="0.3">
      <c r="A5" s="59">
        <v>3</v>
      </c>
      <c r="B5" s="83" t="s">
        <v>1162</v>
      </c>
      <c r="C5" s="83" t="s">
        <v>1163</v>
      </c>
      <c r="D5" s="83" t="s">
        <v>1164</v>
      </c>
      <c r="E5" s="83" t="s">
        <v>1165</v>
      </c>
      <c r="F5" s="83" t="s">
        <v>1166</v>
      </c>
      <c r="G5" s="83" t="s">
        <v>1167</v>
      </c>
      <c r="H5" s="83" t="s">
        <v>1155</v>
      </c>
      <c r="I5" s="81" t="s">
        <v>1046</v>
      </c>
    </row>
    <row r="6" spans="1:9" ht="31.2" x14ac:dyDescent="0.3">
      <c r="A6" s="59">
        <v>4</v>
      </c>
      <c r="B6" s="83" t="s">
        <v>1168</v>
      </c>
      <c r="C6" s="83" t="s">
        <v>1169</v>
      </c>
      <c r="D6" s="83" t="s">
        <v>1170</v>
      </c>
      <c r="E6" s="33"/>
      <c r="F6" s="83" t="s">
        <v>1171</v>
      </c>
      <c r="G6" s="83" t="s">
        <v>1172</v>
      </c>
      <c r="H6" s="83" t="s">
        <v>1155</v>
      </c>
      <c r="I6" s="81" t="s">
        <v>1046</v>
      </c>
    </row>
    <row r="7" spans="1:9" ht="31.2" x14ac:dyDescent="0.3">
      <c r="A7" s="59">
        <v>5</v>
      </c>
      <c r="B7" s="83" t="s">
        <v>1173</v>
      </c>
      <c r="C7" s="83" t="s">
        <v>1035</v>
      </c>
      <c r="D7" s="83" t="s">
        <v>1174</v>
      </c>
      <c r="E7" s="87" t="s">
        <v>1175</v>
      </c>
      <c r="F7" s="83" t="s">
        <v>1176</v>
      </c>
      <c r="G7" s="83" t="s">
        <v>1177</v>
      </c>
      <c r="H7" s="83" t="s">
        <v>1155</v>
      </c>
      <c r="I7" s="81" t="s">
        <v>1046</v>
      </c>
    </row>
    <row r="8" spans="1:9" ht="31.2" x14ac:dyDescent="0.3">
      <c r="A8" s="59">
        <v>6</v>
      </c>
      <c r="B8" s="83" t="s">
        <v>1178</v>
      </c>
      <c r="C8" s="83" t="s">
        <v>1179</v>
      </c>
      <c r="D8" s="83" t="s">
        <v>892</v>
      </c>
      <c r="E8" s="33"/>
      <c r="F8" s="83" t="s">
        <v>1180</v>
      </c>
      <c r="G8" s="83" t="s">
        <v>1181</v>
      </c>
      <c r="H8" s="83" t="s">
        <v>1155</v>
      </c>
      <c r="I8" s="81" t="s">
        <v>1046</v>
      </c>
    </row>
    <row r="9" spans="1:9" ht="31.2" x14ac:dyDescent="0.3">
      <c r="A9" s="59">
        <v>7</v>
      </c>
      <c r="B9" s="83" t="s">
        <v>1182</v>
      </c>
      <c r="C9" s="83" t="s">
        <v>1183</v>
      </c>
      <c r="D9" s="83" t="s">
        <v>1184</v>
      </c>
      <c r="E9" s="33"/>
      <c r="F9" s="83" t="s">
        <v>1185</v>
      </c>
      <c r="G9" s="83" t="s">
        <v>1186</v>
      </c>
      <c r="H9" s="83" t="s">
        <v>1155</v>
      </c>
      <c r="I9" s="81" t="s">
        <v>1046</v>
      </c>
    </row>
    <row r="10" spans="1:9" ht="31.2" x14ac:dyDescent="0.3">
      <c r="A10" s="59">
        <v>8</v>
      </c>
      <c r="B10" s="83" t="s">
        <v>1187</v>
      </c>
      <c r="C10" s="83" t="s">
        <v>692</v>
      </c>
      <c r="D10" s="83" t="s">
        <v>1188</v>
      </c>
      <c r="E10" s="87" t="s">
        <v>1189</v>
      </c>
      <c r="F10" s="83" t="s">
        <v>1190</v>
      </c>
      <c r="G10" s="83" t="s">
        <v>1191</v>
      </c>
      <c r="H10" s="83" t="s">
        <v>1155</v>
      </c>
      <c r="I10" s="81" t="s">
        <v>1046</v>
      </c>
    </row>
    <row r="11" spans="1:9" ht="31.2" x14ac:dyDescent="0.3">
      <c r="A11" s="59">
        <v>9</v>
      </c>
      <c r="B11" s="83" t="s">
        <v>1192</v>
      </c>
      <c r="C11" s="83" t="s">
        <v>1193</v>
      </c>
      <c r="D11" s="83" t="s">
        <v>1194</v>
      </c>
      <c r="E11" s="87" t="s">
        <v>1195</v>
      </c>
      <c r="F11" s="83" t="s">
        <v>1196</v>
      </c>
      <c r="G11" s="83" t="s">
        <v>1197</v>
      </c>
      <c r="H11" s="83" t="s">
        <v>1155</v>
      </c>
      <c r="I11" s="81" t="s">
        <v>1046</v>
      </c>
    </row>
    <row r="12" spans="1:9" ht="31.2" x14ac:dyDescent="0.3">
      <c r="A12" s="59">
        <v>10</v>
      </c>
      <c r="B12" s="83" t="s">
        <v>1198</v>
      </c>
      <c r="C12" s="83" t="s">
        <v>692</v>
      </c>
      <c r="D12" s="83" t="s">
        <v>1199</v>
      </c>
      <c r="E12" s="87" t="s">
        <v>1200</v>
      </c>
      <c r="F12" s="83" t="s">
        <v>1201</v>
      </c>
      <c r="G12" s="83" t="s">
        <v>1202</v>
      </c>
      <c r="H12" s="83" t="s">
        <v>1155</v>
      </c>
      <c r="I12" s="81" t="s">
        <v>1046</v>
      </c>
    </row>
    <row r="13" spans="1:9" ht="31.2" x14ac:dyDescent="0.3">
      <c r="A13" s="59">
        <v>11</v>
      </c>
      <c r="B13" s="83" t="s">
        <v>1203</v>
      </c>
      <c r="C13" s="83" t="s">
        <v>1204</v>
      </c>
      <c r="D13" s="83" t="s">
        <v>1205</v>
      </c>
      <c r="E13" s="87" t="s">
        <v>1206</v>
      </c>
      <c r="F13" s="83" t="s">
        <v>1207</v>
      </c>
      <c r="G13" s="83" t="s">
        <v>1208</v>
      </c>
      <c r="H13" s="83" t="s">
        <v>1155</v>
      </c>
      <c r="I13" s="81" t="s">
        <v>1046</v>
      </c>
    </row>
    <row r="14" spans="1:9" ht="31.2" x14ac:dyDescent="0.3">
      <c r="A14" s="59">
        <v>12</v>
      </c>
      <c r="B14" s="83" t="s">
        <v>1209</v>
      </c>
      <c r="C14" s="83" t="s">
        <v>1169</v>
      </c>
      <c r="D14" s="83" t="s">
        <v>1210</v>
      </c>
      <c r="E14" s="87" t="s">
        <v>1211</v>
      </c>
      <c r="F14" s="83" t="s">
        <v>1212</v>
      </c>
      <c r="G14" s="83" t="s">
        <v>1213</v>
      </c>
      <c r="H14" s="83" t="s">
        <v>1155</v>
      </c>
      <c r="I14" s="81" t="s">
        <v>1046</v>
      </c>
    </row>
    <row r="15" spans="1:9" ht="31.2" x14ac:dyDescent="0.3">
      <c r="A15" s="59">
        <v>13</v>
      </c>
      <c r="B15" s="83" t="s">
        <v>1214</v>
      </c>
      <c r="C15" s="83" t="s">
        <v>1215</v>
      </c>
      <c r="D15" s="83" t="s">
        <v>52</v>
      </c>
      <c r="E15" s="87" t="s">
        <v>1216</v>
      </c>
      <c r="F15" s="83" t="s">
        <v>1217</v>
      </c>
      <c r="G15" s="83" t="s">
        <v>1218</v>
      </c>
      <c r="H15" s="83" t="s">
        <v>1155</v>
      </c>
      <c r="I15" s="81" t="s">
        <v>1046</v>
      </c>
    </row>
    <row r="16" spans="1:9" ht="31.2" x14ac:dyDescent="0.3">
      <c r="A16" s="59">
        <v>14</v>
      </c>
      <c r="B16" s="83" t="s">
        <v>1219</v>
      </c>
      <c r="C16" s="83" t="s">
        <v>1220</v>
      </c>
      <c r="D16" s="83" t="s">
        <v>1205</v>
      </c>
      <c r="E16" s="33"/>
      <c r="F16" s="83" t="s">
        <v>1221</v>
      </c>
      <c r="G16" s="83" t="s">
        <v>1222</v>
      </c>
      <c r="H16" s="83" t="s">
        <v>1155</v>
      </c>
      <c r="I16" s="81" t="s">
        <v>1046</v>
      </c>
    </row>
    <row r="17" spans="1:9" ht="31.2" x14ac:dyDescent="0.3">
      <c r="A17" s="59">
        <v>15</v>
      </c>
      <c r="B17" s="83" t="s">
        <v>1223</v>
      </c>
      <c r="C17" s="83" t="s">
        <v>1224</v>
      </c>
      <c r="D17" s="83" t="s">
        <v>1225</v>
      </c>
      <c r="E17" s="33"/>
      <c r="F17" s="83" t="s">
        <v>1226</v>
      </c>
      <c r="G17" s="83" t="s">
        <v>1227</v>
      </c>
      <c r="H17" s="83" t="s">
        <v>1155</v>
      </c>
      <c r="I17" s="81" t="s">
        <v>1046</v>
      </c>
    </row>
    <row r="18" spans="1:9" ht="31.2" x14ac:dyDescent="0.3">
      <c r="A18" s="59">
        <v>16</v>
      </c>
      <c r="B18" s="83" t="s">
        <v>1228</v>
      </c>
      <c r="C18" s="83" t="s">
        <v>1229</v>
      </c>
      <c r="D18" s="83" t="s">
        <v>1164</v>
      </c>
      <c r="E18" s="87" t="s">
        <v>1230</v>
      </c>
      <c r="F18" s="83" t="s">
        <v>1231</v>
      </c>
      <c r="G18" s="83" t="s">
        <v>1232</v>
      </c>
      <c r="H18" s="83" t="s">
        <v>1155</v>
      </c>
      <c r="I18" s="81" t="s">
        <v>1046</v>
      </c>
    </row>
    <row r="19" spans="1:9" ht="31.2" x14ac:dyDescent="0.3">
      <c r="A19" s="59">
        <v>17</v>
      </c>
      <c r="B19" s="83" t="s">
        <v>1233</v>
      </c>
      <c r="C19" s="83" t="s">
        <v>750</v>
      </c>
      <c r="D19" s="33"/>
      <c r="E19" s="86" t="s">
        <v>1234</v>
      </c>
      <c r="F19" s="83" t="s">
        <v>1235</v>
      </c>
      <c r="G19" s="83" t="s">
        <v>1236</v>
      </c>
      <c r="H19" s="83" t="s">
        <v>1155</v>
      </c>
      <c r="I19" s="81" t="s">
        <v>1046</v>
      </c>
    </row>
    <row r="20" spans="1:9" ht="31.2" x14ac:dyDescent="0.3">
      <c r="A20" s="59">
        <v>18</v>
      </c>
      <c r="B20" s="83" t="s">
        <v>1237</v>
      </c>
      <c r="C20" s="83" t="s">
        <v>66</v>
      </c>
      <c r="D20" s="83" t="s">
        <v>1068</v>
      </c>
      <c r="E20" s="87" t="s">
        <v>1238</v>
      </c>
      <c r="F20" s="83" t="s">
        <v>1239</v>
      </c>
      <c r="G20" s="83" t="s">
        <v>1240</v>
      </c>
      <c r="H20" s="83" t="s">
        <v>1155</v>
      </c>
      <c r="I20" s="81" t="s">
        <v>1046</v>
      </c>
    </row>
    <row r="21" spans="1:9" ht="31.2" x14ac:dyDescent="0.3">
      <c r="A21" s="59">
        <v>19</v>
      </c>
      <c r="B21" s="83" t="s">
        <v>1241</v>
      </c>
      <c r="C21" s="83" t="s">
        <v>692</v>
      </c>
      <c r="D21" s="83" t="s">
        <v>1188</v>
      </c>
      <c r="E21" s="87" t="s">
        <v>1242</v>
      </c>
      <c r="F21" s="83" t="s">
        <v>1243</v>
      </c>
      <c r="G21" s="83" t="s">
        <v>1244</v>
      </c>
      <c r="H21" s="83" t="s">
        <v>1155</v>
      </c>
      <c r="I21" s="81" t="s">
        <v>1046</v>
      </c>
    </row>
    <row r="22" spans="1:9" ht="31.2" x14ac:dyDescent="0.3">
      <c r="A22" s="59">
        <v>20</v>
      </c>
      <c r="B22" s="83" t="s">
        <v>1245</v>
      </c>
      <c r="C22" s="83" t="s">
        <v>1246</v>
      </c>
      <c r="D22" s="83" t="s">
        <v>1247</v>
      </c>
      <c r="E22" s="87" t="s">
        <v>1248</v>
      </c>
      <c r="F22" s="83" t="s">
        <v>1249</v>
      </c>
      <c r="G22" s="83" t="s">
        <v>1250</v>
      </c>
      <c r="H22" s="83" t="s">
        <v>1155</v>
      </c>
      <c r="I22" s="81" t="s">
        <v>1046</v>
      </c>
    </row>
    <row r="23" spans="1:9" ht="46.8" x14ac:dyDescent="0.3">
      <c r="A23" s="59">
        <v>21</v>
      </c>
      <c r="B23" s="83" t="s">
        <v>1251</v>
      </c>
      <c r="C23" s="83" t="s">
        <v>1246</v>
      </c>
      <c r="D23" s="83" t="s">
        <v>1252</v>
      </c>
      <c r="E23" s="87" t="s">
        <v>1253</v>
      </c>
      <c r="F23" s="83" t="s">
        <v>1254</v>
      </c>
      <c r="G23" s="83" t="s">
        <v>1255</v>
      </c>
      <c r="H23" s="83" t="s">
        <v>1155</v>
      </c>
      <c r="I23" s="81" t="s">
        <v>1046</v>
      </c>
    </row>
    <row r="24" spans="1:9" ht="31.2" x14ac:dyDescent="0.3">
      <c r="A24" s="59">
        <v>22</v>
      </c>
      <c r="B24" s="83" t="s">
        <v>1256</v>
      </c>
      <c r="C24" s="83" t="s">
        <v>1257</v>
      </c>
      <c r="D24" s="83" t="s">
        <v>280</v>
      </c>
      <c r="E24" s="87" t="s">
        <v>1258</v>
      </c>
      <c r="F24" s="83" t="s">
        <v>1259</v>
      </c>
      <c r="G24" s="83" t="s">
        <v>1260</v>
      </c>
      <c r="H24" s="83" t="s">
        <v>1155</v>
      </c>
      <c r="I24" s="81" t="s">
        <v>1046</v>
      </c>
    </row>
    <row r="25" spans="1:9" ht="31.2" x14ac:dyDescent="0.3">
      <c r="A25" s="59">
        <v>23</v>
      </c>
      <c r="B25" s="83" t="s">
        <v>1261</v>
      </c>
      <c r="C25" s="83" t="s">
        <v>1262</v>
      </c>
      <c r="D25" s="83" t="s">
        <v>86</v>
      </c>
      <c r="E25" s="87" t="s">
        <v>1263</v>
      </c>
      <c r="F25" s="83" t="s">
        <v>1264</v>
      </c>
      <c r="G25" s="83" t="s">
        <v>1265</v>
      </c>
      <c r="H25" s="83" t="s">
        <v>1155</v>
      </c>
      <c r="I25" s="81" t="s">
        <v>1046</v>
      </c>
    </row>
    <row r="26" spans="1:9" ht="31.2" x14ac:dyDescent="0.3">
      <c r="A26" s="59">
        <v>24</v>
      </c>
      <c r="B26" s="83" t="s">
        <v>1266</v>
      </c>
      <c r="C26" s="83" t="s">
        <v>1267</v>
      </c>
      <c r="D26" s="83" t="s">
        <v>1210</v>
      </c>
      <c r="E26" s="87" t="s">
        <v>1268</v>
      </c>
      <c r="F26" s="83"/>
      <c r="G26" s="83" t="s">
        <v>1269</v>
      </c>
      <c r="H26" s="83" t="s">
        <v>1155</v>
      </c>
      <c r="I26" s="81" t="s">
        <v>1046</v>
      </c>
    </row>
    <row r="27" spans="1:9" ht="31.2" x14ac:dyDescent="0.3">
      <c r="A27" s="59">
        <v>25</v>
      </c>
      <c r="B27" s="83" t="s">
        <v>1270</v>
      </c>
      <c r="C27" s="83" t="s">
        <v>1271</v>
      </c>
      <c r="D27" s="83" t="s">
        <v>200</v>
      </c>
      <c r="E27" s="83"/>
      <c r="F27" s="83" t="s">
        <v>1272</v>
      </c>
      <c r="G27" s="83" t="s">
        <v>1273</v>
      </c>
      <c r="H27" s="83" t="s">
        <v>1155</v>
      </c>
      <c r="I27" s="81" t="s">
        <v>1046</v>
      </c>
    </row>
    <row r="28" spans="1:9" ht="31.2" x14ac:dyDescent="0.3">
      <c r="A28" s="59">
        <v>26</v>
      </c>
      <c r="B28" s="83" t="s">
        <v>1274</v>
      </c>
      <c r="C28" s="83" t="s">
        <v>1275</v>
      </c>
      <c r="D28" s="83" t="s">
        <v>1164</v>
      </c>
      <c r="E28" s="87" t="s">
        <v>1276</v>
      </c>
      <c r="F28" s="83" t="s">
        <v>1277</v>
      </c>
      <c r="G28" s="83" t="s">
        <v>1278</v>
      </c>
      <c r="H28" s="83" t="s">
        <v>1155</v>
      </c>
      <c r="I28" s="81" t="s">
        <v>1046</v>
      </c>
    </row>
    <row r="29" spans="1:9" ht="46.8" x14ac:dyDescent="0.3">
      <c r="A29" s="59">
        <v>27</v>
      </c>
      <c r="B29" s="81" t="s">
        <v>1041</v>
      </c>
      <c r="C29" s="81" t="s">
        <v>1035</v>
      </c>
      <c r="D29" s="81" t="s">
        <v>1003</v>
      </c>
      <c r="E29" s="88" t="s">
        <v>1042</v>
      </c>
      <c r="F29" s="81" t="s">
        <v>1043</v>
      </c>
      <c r="G29" s="81" t="s">
        <v>1044</v>
      </c>
      <c r="H29" s="81" t="s">
        <v>1045</v>
      </c>
      <c r="I29" s="81" t="s">
        <v>1046</v>
      </c>
    </row>
    <row r="30" spans="1:9" ht="46.8" x14ac:dyDescent="0.3">
      <c r="A30" s="59">
        <v>28</v>
      </c>
      <c r="B30" s="81" t="s">
        <v>1047</v>
      </c>
      <c r="C30" s="81" t="s">
        <v>66</v>
      </c>
      <c r="D30" s="81" t="s">
        <v>1048</v>
      </c>
      <c r="E30" s="88" t="s">
        <v>1008</v>
      </c>
      <c r="F30" s="81" t="s">
        <v>157</v>
      </c>
      <c r="G30" s="81" t="s">
        <v>1044</v>
      </c>
      <c r="H30" s="81" t="s">
        <v>1045</v>
      </c>
      <c r="I30" s="81" t="s">
        <v>1046</v>
      </c>
    </row>
    <row r="31" spans="1:9" ht="46.8" x14ac:dyDescent="0.3">
      <c r="A31" s="59">
        <v>29</v>
      </c>
      <c r="B31" s="81" t="s">
        <v>1010</v>
      </c>
      <c r="C31" s="81" t="s">
        <v>1011</v>
      </c>
      <c r="D31" s="81" t="s">
        <v>1049</v>
      </c>
      <c r="E31" s="88" t="s">
        <v>135</v>
      </c>
      <c r="F31" s="81" t="s">
        <v>136</v>
      </c>
      <c r="G31" s="81" t="s">
        <v>1044</v>
      </c>
      <c r="H31" s="81" t="s">
        <v>1045</v>
      </c>
      <c r="I31" s="81" t="s">
        <v>1046</v>
      </c>
    </row>
    <row r="32" spans="1:9" ht="46.8" x14ac:dyDescent="0.3">
      <c r="A32" s="59">
        <v>30</v>
      </c>
      <c r="B32" s="81" t="s">
        <v>1050</v>
      </c>
      <c r="C32" s="81" t="s">
        <v>1051</v>
      </c>
      <c r="D32" s="81" t="s">
        <v>234</v>
      </c>
      <c r="E32" s="88" t="s">
        <v>1052</v>
      </c>
      <c r="F32" s="81" t="s">
        <v>1053</v>
      </c>
      <c r="G32" s="81" t="s">
        <v>1044</v>
      </c>
      <c r="H32" s="81" t="s">
        <v>1045</v>
      </c>
      <c r="I32" s="81" t="s">
        <v>1046</v>
      </c>
    </row>
    <row r="33" spans="1:9" ht="46.8" x14ac:dyDescent="0.3">
      <c r="A33" s="59">
        <v>31</v>
      </c>
      <c r="B33" s="81" t="s">
        <v>1054</v>
      </c>
      <c r="C33" s="81" t="s">
        <v>1055</v>
      </c>
      <c r="D33" s="81" t="s">
        <v>61</v>
      </c>
      <c r="E33" s="88" t="s">
        <v>1056</v>
      </c>
      <c r="F33" s="81" t="s">
        <v>1057</v>
      </c>
      <c r="G33" s="81" t="s">
        <v>1044</v>
      </c>
      <c r="H33" s="81" t="s">
        <v>1045</v>
      </c>
      <c r="I33" s="81" t="s">
        <v>1046</v>
      </c>
    </row>
    <row r="34" spans="1:9" ht="46.8" x14ac:dyDescent="0.3">
      <c r="A34" s="59">
        <v>32</v>
      </c>
      <c r="B34" s="81" t="s">
        <v>1058</v>
      </c>
      <c r="C34" s="81"/>
      <c r="D34" s="81" t="s">
        <v>1059</v>
      </c>
      <c r="E34" s="88" t="s">
        <v>1060</v>
      </c>
      <c r="F34" s="81" t="s">
        <v>1061</v>
      </c>
      <c r="G34" s="81" t="s">
        <v>1044</v>
      </c>
      <c r="H34" s="81" t="s">
        <v>1045</v>
      </c>
      <c r="I34" s="81" t="s">
        <v>1046</v>
      </c>
    </row>
    <row r="35" spans="1:9" ht="46.8" x14ac:dyDescent="0.3">
      <c r="A35" s="59">
        <v>33</v>
      </c>
      <c r="B35" s="83" t="s">
        <v>1062</v>
      </c>
      <c r="C35" s="83" t="s">
        <v>1063</v>
      </c>
      <c r="D35" s="83" t="s">
        <v>1064</v>
      </c>
      <c r="E35" s="87" t="s">
        <v>1065</v>
      </c>
      <c r="F35" s="83" t="s">
        <v>1066</v>
      </c>
      <c r="G35" s="81" t="s">
        <v>1044</v>
      </c>
      <c r="H35" s="81" t="s">
        <v>1045</v>
      </c>
      <c r="I35" s="81" t="s">
        <v>1046</v>
      </c>
    </row>
    <row r="36" spans="1:9" ht="46.8" x14ac:dyDescent="0.3">
      <c r="A36" s="59">
        <v>34</v>
      </c>
      <c r="B36" s="83" t="s">
        <v>1067</v>
      </c>
      <c r="C36" s="83" t="s">
        <v>66</v>
      </c>
      <c r="D36" s="83" t="s">
        <v>1068</v>
      </c>
      <c r="E36" s="87" t="s">
        <v>1069</v>
      </c>
      <c r="F36" s="83" t="s">
        <v>1070</v>
      </c>
      <c r="G36" s="81" t="s">
        <v>1044</v>
      </c>
      <c r="H36" s="81" t="s">
        <v>1045</v>
      </c>
      <c r="I36" s="81" t="s">
        <v>1046</v>
      </c>
    </row>
    <row r="37" spans="1:9" ht="46.8" x14ac:dyDescent="0.3">
      <c r="A37" s="59">
        <v>35</v>
      </c>
      <c r="B37" s="83" t="s">
        <v>1071</v>
      </c>
      <c r="C37" s="83" t="s">
        <v>1072</v>
      </c>
      <c r="D37" s="81"/>
      <c r="E37" s="88" t="s">
        <v>1073</v>
      </c>
      <c r="F37" s="83" t="s">
        <v>1074</v>
      </c>
      <c r="G37" s="81" t="s">
        <v>1044</v>
      </c>
      <c r="H37" s="81" t="s">
        <v>1045</v>
      </c>
      <c r="I37" s="81" t="s">
        <v>1046</v>
      </c>
    </row>
    <row r="38" spans="1:9" ht="46.8" x14ac:dyDescent="0.3">
      <c r="A38" s="59">
        <v>36</v>
      </c>
      <c r="B38" s="83" t="s">
        <v>1075</v>
      </c>
      <c r="C38" s="83" t="s">
        <v>1076</v>
      </c>
      <c r="D38" s="81"/>
      <c r="E38" s="88" t="s">
        <v>1077</v>
      </c>
      <c r="F38" s="83" t="s">
        <v>1078</v>
      </c>
      <c r="G38" s="81" t="s">
        <v>1044</v>
      </c>
      <c r="H38" s="81" t="s">
        <v>1045</v>
      </c>
      <c r="I38" s="81" t="s">
        <v>1046</v>
      </c>
    </row>
    <row r="39" spans="1:9" ht="46.8" x14ac:dyDescent="0.3">
      <c r="A39" s="59">
        <v>37</v>
      </c>
      <c r="B39" s="83" t="s">
        <v>1079</v>
      </c>
      <c r="C39" s="83" t="s">
        <v>66</v>
      </c>
      <c r="D39" s="81" t="s">
        <v>1080</v>
      </c>
      <c r="E39" s="88" t="s">
        <v>1081</v>
      </c>
      <c r="F39" s="83" t="s">
        <v>1082</v>
      </c>
      <c r="G39" s="81" t="s">
        <v>1044</v>
      </c>
      <c r="H39" s="81" t="s">
        <v>1045</v>
      </c>
      <c r="I39" s="81" t="s">
        <v>1046</v>
      </c>
    </row>
    <row r="40" spans="1:9" ht="46.8" x14ac:dyDescent="0.3">
      <c r="A40" s="59">
        <v>38</v>
      </c>
      <c r="B40" s="83" t="s">
        <v>1083</v>
      </c>
      <c r="C40" s="83" t="s">
        <v>66</v>
      </c>
      <c r="D40" s="81" t="s">
        <v>1068</v>
      </c>
      <c r="E40" s="88" t="s">
        <v>1084</v>
      </c>
      <c r="F40" s="83" t="s">
        <v>1085</v>
      </c>
      <c r="G40" s="81" t="s">
        <v>1044</v>
      </c>
      <c r="H40" s="81" t="s">
        <v>1045</v>
      </c>
      <c r="I40" s="81" t="s">
        <v>1046</v>
      </c>
    </row>
    <row r="41" spans="1:9" ht="46.8" x14ac:dyDescent="0.3">
      <c r="A41" s="59">
        <v>39</v>
      </c>
      <c r="B41" s="83" t="s">
        <v>1086</v>
      </c>
      <c r="C41" s="83" t="s">
        <v>692</v>
      </c>
      <c r="D41" s="81"/>
      <c r="E41" s="88" t="s">
        <v>1087</v>
      </c>
      <c r="F41" s="83" t="s">
        <v>1088</v>
      </c>
      <c r="G41" s="81" t="s">
        <v>1044</v>
      </c>
      <c r="H41" s="81" t="s">
        <v>1045</v>
      </c>
      <c r="I41" s="81" t="s">
        <v>1046</v>
      </c>
    </row>
    <row r="42" spans="1:9" ht="46.8" x14ac:dyDescent="0.3">
      <c r="A42" s="59">
        <v>40</v>
      </c>
      <c r="B42" s="83" t="s">
        <v>1089</v>
      </c>
      <c r="C42" s="83" t="s">
        <v>1051</v>
      </c>
      <c r="D42" s="81" t="s">
        <v>1090</v>
      </c>
      <c r="E42" s="88" t="s">
        <v>1052</v>
      </c>
      <c r="F42" s="83" t="s">
        <v>1091</v>
      </c>
      <c r="G42" s="81" t="s">
        <v>1044</v>
      </c>
      <c r="H42" s="81" t="s">
        <v>1045</v>
      </c>
      <c r="I42" s="81" t="s">
        <v>1046</v>
      </c>
    </row>
    <row r="43" spans="1:9" ht="46.8" x14ac:dyDescent="0.3">
      <c r="A43" s="59">
        <v>41</v>
      </c>
      <c r="B43" s="83" t="s">
        <v>137</v>
      </c>
      <c r="C43" s="83" t="s">
        <v>1051</v>
      </c>
      <c r="D43" s="81" t="s">
        <v>1092</v>
      </c>
      <c r="E43" s="88" t="s">
        <v>1093</v>
      </c>
      <c r="F43" s="83" t="s">
        <v>141</v>
      </c>
      <c r="G43" s="81" t="s">
        <v>1044</v>
      </c>
      <c r="H43" s="81" t="s">
        <v>1045</v>
      </c>
      <c r="I43" s="81" t="s">
        <v>1046</v>
      </c>
    </row>
    <row r="44" spans="1:9" ht="46.8" x14ac:dyDescent="0.3">
      <c r="A44" s="59">
        <v>42</v>
      </c>
      <c r="B44" s="83" t="s">
        <v>1094</v>
      </c>
      <c r="C44" s="83" t="s">
        <v>1095</v>
      </c>
      <c r="D44" s="81" t="s">
        <v>532</v>
      </c>
      <c r="E44" s="88" t="s">
        <v>1096</v>
      </c>
      <c r="F44" s="83" t="s">
        <v>1097</v>
      </c>
      <c r="G44" s="81" t="s">
        <v>1044</v>
      </c>
      <c r="H44" s="81" t="s">
        <v>1045</v>
      </c>
      <c r="I44" s="81" t="s">
        <v>1046</v>
      </c>
    </row>
    <row r="45" spans="1:9" ht="46.8" x14ac:dyDescent="0.3">
      <c r="A45" s="59">
        <v>43</v>
      </c>
      <c r="B45" s="83" t="s">
        <v>1098</v>
      </c>
      <c r="C45" s="83" t="s">
        <v>1099</v>
      </c>
      <c r="D45" s="81" t="s">
        <v>205</v>
      </c>
      <c r="E45" s="88" t="s">
        <v>1100</v>
      </c>
      <c r="F45" s="83" t="s">
        <v>1101</v>
      </c>
      <c r="G45" s="81" t="s">
        <v>1044</v>
      </c>
      <c r="H45" s="81" t="s">
        <v>1045</v>
      </c>
      <c r="I45" s="81" t="s">
        <v>1046</v>
      </c>
    </row>
    <row r="46" spans="1:9" ht="46.8" x14ac:dyDescent="0.3">
      <c r="A46" s="59">
        <v>44</v>
      </c>
      <c r="B46" s="83" t="s">
        <v>1102</v>
      </c>
      <c r="C46" s="83" t="s">
        <v>1099</v>
      </c>
      <c r="D46" s="81"/>
      <c r="E46" s="88" t="s">
        <v>1100</v>
      </c>
      <c r="F46" s="83" t="s">
        <v>1103</v>
      </c>
      <c r="G46" s="81" t="s">
        <v>1044</v>
      </c>
      <c r="H46" s="81" t="s">
        <v>1045</v>
      </c>
      <c r="I46" s="81" t="s">
        <v>1046</v>
      </c>
    </row>
    <row r="47" spans="1:9" ht="46.8" x14ac:dyDescent="0.3">
      <c r="A47" s="59">
        <v>45</v>
      </c>
      <c r="B47" s="83" t="s">
        <v>1104</v>
      </c>
      <c r="C47" s="83" t="s">
        <v>1105</v>
      </c>
      <c r="D47" s="81"/>
      <c r="E47" s="88" t="s">
        <v>1106</v>
      </c>
      <c r="F47" s="83" t="s">
        <v>1107</v>
      </c>
      <c r="G47" s="81" t="s">
        <v>1044</v>
      </c>
      <c r="H47" s="81" t="s">
        <v>1045</v>
      </c>
      <c r="I47" s="81" t="s">
        <v>1046</v>
      </c>
    </row>
    <row r="48" spans="1:9" ht="46.8" x14ac:dyDescent="0.3">
      <c r="A48" s="59">
        <v>46</v>
      </c>
      <c r="B48" s="83" t="s">
        <v>1108</v>
      </c>
      <c r="C48" s="83" t="s">
        <v>1109</v>
      </c>
      <c r="D48" s="81"/>
      <c r="E48" s="88" t="s">
        <v>1110</v>
      </c>
      <c r="F48" s="83" t="s">
        <v>1111</v>
      </c>
      <c r="G48" s="81" t="s">
        <v>1044</v>
      </c>
      <c r="H48" s="81" t="s">
        <v>1045</v>
      </c>
      <c r="I48" s="81" t="s">
        <v>1046</v>
      </c>
    </row>
    <row r="49" spans="1:9" ht="46.8" x14ac:dyDescent="0.3">
      <c r="A49" s="59">
        <v>47</v>
      </c>
      <c r="B49" s="83" t="s">
        <v>1112</v>
      </c>
      <c r="C49" s="83" t="s">
        <v>1113</v>
      </c>
      <c r="D49" s="81" t="s">
        <v>1114</v>
      </c>
      <c r="E49" s="88" t="s">
        <v>1115</v>
      </c>
      <c r="F49" s="83" t="s">
        <v>1116</v>
      </c>
      <c r="G49" s="81" t="s">
        <v>1044</v>
      </c>
      <c r="H49" s="81" t="s">
        <v>1045</v>
      </c>
      <c r="I49" s="81" t="s">
        <v>1046</v>
      </c>
    </row>
    <row r="50" spans="1:9" ht="46.8" x14ac:dyDescent="0.3">
      <c r="A50" s="59">
        <v>48</v>
      </c>
      <c r="B50" s="83" t="s">
        <v>1117</v>
      </c>
      <c r="C50" s="83" t="s">
        <v>1099</v>
      </c>
      <c r="D50" s="81" t="s">
        <v>745</v>
      </c>
      <c r="E50" s="81" t="s">
        <v>1003</v>
      </c>
      <c r="F50" s="83" t="s">
        <v>1118</v>
      </c>
      <c r="G50" s="81" t="s">
        <v>1044</v>
      </c>
      <c r="H50" s="81" t="s">
        <v>1045</v>
      </c>
      <c r="I50" s="81" t="s">
        <v>1046</v>
      </c>
    </row>
    <row r="51" spans="1:9" ht="46.8" x14ac:dyDescent="0.3">
      <c r="A51" s="59">
        <v>49</v>
      </c>
      <c r="B51" s="83" t="s">
        <v>1119</v>
      </c>
      <c r="C51" s="83" t="s">
        <v>1120</v>
      </c>
      <c r="D51" s="81"/>
      <c r="E51" s="81" t="s">
        <v>1003</v>
      </c>
      <c r="F51" s="83" t="s">
        <v>1121</v>
      </c>
      <c r="G51" s="81" t="s">
        <v>1044</v>
      </c>
      <c r="H51" s="81" t="s">
        <v>1045</v>
      </c>
      <c r="I51" s="81" t="s">
        <v>1046</v>
      </c>
    </row>
    <row r="52" spans="1:9" ht="46.8" x14ac:dyDescent="0.3">
      <c r="A52" s="59">
        <v>50</v>
      </c>
      <c r="B52" s="83" t="s">
        <v>1122</v>
      </c>
      <c r="C52" s="83" t="s">
        <v>1123</v>
      </c>
      <c r="D52" s="81"/>
      <c r="E52" s="88" t="s">
        <v>1124</v>
      </c>
      <c r="F52" s="83" t="s">
        <v>1125</v>
      </c>
      <c r="G52" s="81" t="s">
        <v>1044</v>
      </c>
      <c r="H52" s="81" t="s">
        <v>1045</v>
      </c>
      <c r="I52" s="81" t="s">
        <v>1046</v>
      </c>
    </row>
    <row r="53" spans="1:9" ht="46.8" x14ac:dyDescent="0.3">
      <c r="A53" s="59">
        <v>51</v>
      </c>
      <c r="B53" s="83" t="s">
        <v>1126</v>
      </c>
      <c r="C53" s="83" t="s">
        <v>66</v>
      </c>
      <c r="D53" s="81" t="s">
        <v>1127</v>
      </c>
      <c r="E53" s="88" t="s">
        <v>1128</v>
      </c>
      <c r="F53" s="83" t="s">
        <v>1129</v>
      </c>
      <c r="G53" s="81" t="s">
        <v>1044</v>
      </c>
      <c r="H53" s="81" t="s">
        <v>1045</v>
      </c>
      <c r="I53" s="81" t="s">
        <v>1046</v>
      </c>
    </row>
    <row r="54" spans="1:9" ht="46.8" x14ac:dyDescent="0.3">
      <c r="A54" s="59">
        <v>52</v>
      </c>
      <c r="B54" s="83" t="s">
        <v>1130</v>
      </c>
      <c r="C54" s="83" t="s">
        <v>1131</v>
      </c>
      <c r="D54" s="81" t="s">
        <v>1132</v>
      </c>
      <c r="E54" s="89" t="s">
        <v>1003</v>
      </c>
      <c r="F54" s="83" t="s">
        <v>1133</v>
      </c>
      <c r="G54" s="81" t="s">
        <v>1044</v>
      </c>
      <c r="H54" s="81" t="s">
        <v>1045</v>
      </c>
      <c r="I54" s="81" t="s">
        <v>1046</v>
      </c>
    </row>
    <row r="55" spans="1:9" ht="46.8" x14ac:dyDescent="0.3">
      <c r="A55" s="59">
        <v>53</v>
      </c>
      <c r="B55" s="83" t="s">
        <v>1134</v>
      </c>
      <c r="C55" s="83" t="s">
        <v>1135</v>
      </c>
      <c r="D55" s="81"/>
      <c r="E55" s="89" t="s">
        <v>1003</v>
      </c>
      <c r="F55" s="83" t="s">
        <v>1136</v>
      </c>
      <c r="G55" s="81" t="s">
        <v>1044</v>
      </c>
      <c r="H55" s="81" t="s">
        <v>1045</v>
      </c>
      <c r="I55" s="81" t="s">
        <v>1046</v>
      </c>
    </row>
    <row r="56" spans="1:9" ht="46.8" x14ac:dyDescent="0.3">
      <c r="A56" s="59">
        <v>54</v>
      </c>
      <c r="B56" s="83" t="s">
        <v>1137</v>
      </c>
      <c r="C56" s="83" t="s">
        <v>1135</v>
      </c>
      <c r="D56" s="81"/>
      <c r="E56" s="89" t="s">
        <v>1003</v>
      </c>
      <c r="F56" s="83" t="s">
        <v>1138</v>
      </c>
      <c r="G56" s="81" t="s">
        <v>1044</v>
      </c>
      <c r="H56" s="81" t="s">
        <v>1045</v>
      </c>
      <c r="I56" s="81" t="s">
        <v>1046</v>
      </c>
    </row>
    <row r="57" spans="1:9" ht="46.8" x14ac:dyDescent="0.3">
      <c r="A57" s="59">
        <v>55</v>
      </c>
      <c r="B57" s="83" t="s">
        <v>1139</v>
      </c>
      <c r="C57" s="83" t="s">
        <v>1003</v>
      </c>
      <c r="D57" s="81" t="s">
        <v>1140</v>
      </c>
      <c r="E57" s="89" t="s">
        <v>1003</v>
      </c>
      <c r="F57" s="83" t="s">
        <v>1141</v>
      </c>
      <c r="G57" s="81" t="s">
        <v>1044</v>
      </c>
      <c r="H57" s="81" t="s">
        <v>1045</v>
      </c>
      <c r="I57" s="81" t="s">
        <v>1046</v>
      </c>
    </row>
    <row r="58" spans="1:9" ht="46.8" x14ac:dyDescent="0.3">
      <c r="A58" s="59">
        <v>56</v>
      </c>
      <c r="B58" s="83" t="s">
        <v>1142</v>
      </c>
      <c r="C58" s="83" t="s">
        <v>1035</v>
      </c>
      <c r="D58" s="81"/>
      <c r="E58" s="88" t="s">
        <v>1143</v>
      </c>
      <c r="F58" s="83" t="s">
        <v>1144</v>
      </c>
      <c r="G58" s="81" t="s">
        <v>1044</v>
      </c>
      <c r="H58" s="81" t="s">
        <v>1045</v>
      </c>
      <c r="I58" s="81" t="s">
        <v>1046</v>
      </c>
    </row>
    <row r="59" spans="1:9" ht="46.8" x14ac:dyDescent="0.3">
      <c r="A59" s="59">
        <v>57</v>
      </c>
      <c r="B59" s="83" t="s">
        <v>1145</v>
      </c>
      <c r="C59" s="83" t="s">
        <v>1146</v>
      </c>
      <c r="D59" s="81"/>
      <c r="E59" s="88" t="s">
        <v>1147</v>
      </c>
      <c r="F59" s="83" t="s">
        <v>1148</v>
      </c>
      <c r="G59" s="81" t="s">
        <v>1044</v>
      </c>
      <c r="H59" s="81" t="s">
        <v>1045</v>
      </c>
      <c r="I59" s="81" t="s">
        <v>1046</v>
      </c>
    </row>
    <row r="60" spans="1:9" ht="46.8" x14ac:dyDescent="0.3">
      <c r="A60" s="59">
        <v>58</v>
      </c>
      <c r="B60" s="81" t="s">
        <v>161</v>
      </c>
      <c r="C60" s="81" t="s">
        <v>66</v>
      </c>
      <c r="D60" s="81" t="s">
        <v>1002</v>
      </c>
      <c r="E60" s="88" t="s">
        <v>162</v>
      </c>
      <c r="F60" s="81" t="s">
        <v>1003</v>
      </c>
      <c r="G60" s="90" t="s">
        <v>1004</v>
      </c>
      <c r="H60" s="81" t="s">
        <v>1005</v>
      </c>
      <c r="I60" s="81" t="s">
        <v>1006</v>
      </c>
    </row>
    <row r="61" spans="1:9" ht="46.8" x14ac:dyDescent="0.3">
      <c r="A61" s="59">
        <v>59</v>
      </c>
      <c r="B61" s="82" t="s">
        <v>1007</v>
      </c>
      <c r="C61" s="81" t="s">
        <v>66</v>
      </c>
      <c r="D61" s="81" t="s">
        <v>1002</v>
      </c>
      <c r="E61" s="88" t="s">
        <v>1008</v>
      </c>
      <c r="F61" s="81" t="s">
        <v>1003</v>
      </c>
      <c r="G61" s="90" t="s">
        <v>1004</v>
      </c>
      <c r="H61" s="81" t="s">
        <v>1005</v>
      </c>
      <c r="I61" s="81" t="s">
        <v>1009</v>
      </c>
    </row>
    <row r="62" spans="1:9" ht="46.8" x14ac:dyDescent="0.3">
      <c r="A62" s="59">
        <v>60</v>
      </c>
      <c r="B62" s="80" t="s">
        <v>1010</v>
      </c>
      <c r="C62" s="81" t="s">
        <v>1011</v>
      </c>
      <c r="D62" s="81" t="s">
        <v>1002</v>
      </c>
      <c r="E62" s="88" t="s">
        <v>135</v>
      </c>
      <c r="F62" s="81" t="s">
        <v>1003</v>
      </c>
      <c r="G62" s="90" t="s">
        <v>1004</v>
      </c>
      <c r="H62" s="81" t="s">
        <v>1005</v>
      </c>
      <c r="I62" s="81" t="s">
        <v>1009</v>
      </c>
    </row>
    <row r="63" spans="1:9" ht="46.8" x14ac:dyDescent="0.3">
      <c r="A63" s="59">
        <v>61</v>
      </c>
      <c r="B63" s="80" t="s">
        <v>1012</v>
      </c>
      <c r="C63" s="81" t="s">
        <v>1013</v>
      </c>
      <c r="D63" s="81" t="s">
        <v>1002</v>
      </c>
      <c r="E63" s="81" t="s">
        <v>1014</v>
      </c>
      <c r="F63" s="81" t="s">
        <v>1003</v>
      </c>
      <c r="G63" s="90" t="s">
        <v>1004</v>
      </c>
      <c r="H63" s="81" t="s">
        <v>1005</v>
      </c>
      <c r="I63" s="81" t="s">
        <v>1009</v>
      </c>
    </row>
    <row r="64" spans="1:9" ht="46.8" x14ac:dyDescent="0.3">
      <c r="A64" s="59">
        <v>62</v>
      </c>
      <c r="B64" s="80" t="s">
        <v>1015</v>
      </c>
      <c r="C64" s="81" t="s">
        <v>1011</v>
      </c>
      <c r="D64" s="81" t="s">
        <v>1002</v>
      </c>
      <c r="E64" s="81" t="s">
        <v>1014</v>
      </c>
      <c r="F64" s="81" t="s">
        <v>1003</v>
      </c>
      <c r="G64" s="90" t="s">
        <v>1004</v>
      </c>
      <c r="H64" s="81" t="s">
        <v>1005</v>
      </c>
      <c r="I64" s="81" t="s">
        <v>1009</v>
      </c>
    </row>
    <row r="65" spans="1:9" ht="46.8" x14ac:dyDescent="0.3">
      <c r="A65" s="59">
        <v>63</v>
      </c>
      <c r="B65" s="80" t="s">
        <v>1016</v>
      </c>
      <c r="C65" s="81" t="s">
        <v>1017</v>
      </c>
      <c r="D65" s="81" t="s">
        <v>1002</v>
      </c>
      <c r="E65" s="81" t="s">
        <v>1014</v>
      </c>
      <c r="F65" s="81" t="s">
        <v>1003</v>
      </c>
      <c r="G65" s="90" t="s">
        <v>1004</v>
      </c>
      <c r="H65" s="81" t="s">
        <v>1005</v>
      </c>
      <c r="I65" s="81" t="s">
        <v>1009</v>
      </c>
    </row>
    <row r="66" spans="1:9" ht="46.8" x14ac:dyDescent="0.3">
      <c r="A66" s="59">
        <v>64</v>
      </c>
      <c r="B66" s="80" t="s">
        <v>1018</v>
      </c>
      <c r="C66" s="81" t="s">
        <v>1017</v>
      </c>
      <c r="D66" s="81" t="s">
        <v>1002</v>
      </c>
      <c r="E66" s="81" t="s">
        <v>1014</v>
      </c>
      <c r="F66" s="81" t="s">
        <v>1003</v>
      </c>
      <c r="G66" s="90" t="s">
        <v>1004</v>
      </c>
      <c r="H66" s="81" t="s">
        <v>1005</v>
      </c>
      <c r="I66" s="81" t="s">
        <v>1009</v>
      </c>
    </row>
    <row r="67" spans="1:9" ht="46.8" x14ac:dyDescent="0.3">
      <c r="A67" s="59">
        <v>65</v>
      </c>
      <c r="B67" s="80" t="s">
        <v>1019</v>
      </c>
      <c r="C67" s="81" t="s">
        <v>1017</v>
      </c>
      <c r="D67" s="81" t="s">
        <v>1002</v>
      </c>
      <c r="E67" s="81" t="s">
        <v>1014</v>
      </c>
      <c r="F67" s="81" t="s">
        <v>1003</v>
      </c>
      <c r="G67" s="90" t="s">
        <v>1004</v>
      </c>
      <c r="H67" s="81" t="s">
        <v>1005</v>
      </c>
      <c r="I67" s="81" t="s">
        <v>1009</v>
      </c>
    </row>
    <row r="68" spans="1:9" ht="46.8" x14ac:dyDescent="0.3">
      <c r="A68" s="59">
        <v>66</v>
      </c>
      <c r="B68" s="80" t="s">
        <v>1020</v>
      </c>
      <c r="C68" s="81" t="s">
        <v>1021</v>
      </c>
      <c r="D68" s="81" t="s">
        <v>1002</v>
      </c>
      <c r="E68" s="81" t="s">
        <v>1014</v>
      </c>
      <c r="F68" s="81" t="s">
        <v>1003</v>
      </c>
      <c r="G68" s="90" t="s">
        <v>1004</v>
      </c>
      <c r="H68" s="81" t="s">
        <v>1005</v>
      </c>
      <c r="I68" s="81" t="s">
        <v>1009</v>
      </c>
    </row>
    <row r="69" spans="1:9" ht="46.8" x14ac:dyDescent="0.3">
      <c r="A69" s="59">
        <v>67</v>
      </c>
      <c r="B69" s="80" t="s">
        <v>1022</v>
      </c>
      <c r="C69" s="81" t="s">
        <v>1023</v>
      </c>
      <c r="D69" s="81" t="s">
        <v>1002</v>
      </c>
      <c r="E69" s="81" t="s">
        <v>1014</v>
      </c>
      <c r="F69" s="81" t="s">
        <v>1003</v>
      </c>
      <c r="G69" s="90" t="s">
        <v>1004</v>
      </c>
      <c r="H69" s="81" t="s">
        <v>1005</v>
      </c>
      <c r="I69" s="81" t="s">
        <v>1009</v>
      </c>
    </row>
    <row r="70" spans="1:9" ht="46.8" x14ac:dyDescent="0.3">
      <c r="A70" s="59">
        <v>68</v>
      </c>
      <c r="B70" s="80" t="s">
        <v>1024</v>
      </c>
      <c r="C70" s="81" t="s">
        <v>1021</v>
      </c>
      <c r="D70" s="81" t="s">
        <v>1002</v>
      </c>
      <c r="E70" s="81" t="s">
        <v>1014</v>
      </c>
      <c r="F70" s="81" t="s">
        <v>1003</v>
      </c>
      <c r="G70" s="90" t="s">
        <v>1004</v>
      </c>
      <c r="H70" s="81" t="s">
        <v>1005</v>
      </c>
      <c r="I70" s="81" t="s">
        <v>1009</v>
      </c>
    </row>
    <row r="71" spans="1:9" ht="46.8" x14ac:dyDescent="0.3">
      <c r="A71" s="59">
        <v>69</v>
      </c>
      <c r="B71" s="80" t="s">
        <v>1025</v>
      </c>
      <c r="C71" s="81" t="s">
        <v>1021</v>
      </c>
      <c r="D71" s="81" t="s">
        <v>1002</v>
      </c>
      <c r="E71" s="81" t="s">
        <v>1014</v>
      </c>
      <c r="F71" s="81" t="s">
        <v>1003</v>
      </c>
      <c r="G71" s="90" t="s">
        <v>1004</v>
      </c>
      <c r="H71" s="81" t="s">
        <v>1005</v>
      </c>
      <c r="I71" s="81" t="s">
        <v>1009</v>
      </c>
    </row>
    <row r="72" spans="1:9" ht="46.8" x14ac:dyDescent="0.3">
      <c r="A72" s="59">
        <v>70</v>
      </c>
      <c r="B72" s="80" t="s">
        <v>1026</v>
      </c>
      <c r="C72" s="81" t="s">
        <v>1021</v>
      </c>
      <c r="D72" s="81" t="s">
        <v>1002</v>
      </c>
      <c r="E72" s="81" t="s">
        <v>1014</v>
      </c>
      <c r="F72" s="81" t="s">
        <v>1003</v>
      </c>
      <c r="G72" s="90" t="s">
        <v>1004</v>
      </c>
      <c r="H72" s="81" t="s">
        <v>1005</v>
      </c>
      <c r="I72" s="81" t="s">
        <v>1009</v>
      </c>
    </row>
    <row r="73" spans="1:9" ht="46.8" x14ac:dyDescent="0.3">
      <c r="A73" s="59">
        <v>71</v>
      </c>
      <c r="B73" s="80" t="s">
        <v>1027</v>
      </c>
      <c r="C73" s="81" t="s">
        <v>1023</v>
      </c>
      <c r="D73" s="81" t="s">
        <v>1002</v>
      </c>
      <c r="E73" s="81" t="s">
        <v>1014</v>
      </c>
      <c r="F73" s="81" t="s">
        <v>1003</v>
      </c>
      <c r="G73" s="90" t="s">
        <v>1004</v>
      </c>
      <c r="H73" s="81" t="s">
        <v>1005</v>
      </c>
      <c r="I73" s="81" t="s">
        <v>1009</v>
      </c>
    </row>
    <row r="74" spans="1:9" ht="46.8" x14ac:dyDescent="0.3">
      <c r="A74" s="59">
        <v>72</v>
      </c>
      <c r="B74" s="80" t="s">
        <v>1028</v>
      </c>
      <c r="C74" s="81" t="s">
        <v>1023</v>
      </c>
      <c r="D74" s="81" t="s">
        <v>1002</v>
      </c>
      <c r="E74" s="81" t="s">
        <v>1014</v>
      </c>
      <c r="F74" s="81" t="s">
        <v>1003</v>
      </c>
      <c r="G74" s="90" t="s">
        <v>1004</v>
      </c>
      <c r="H74" s="81" t="s">
        <v>1005</v>
      </c>
      <c r="I74" s="81" t="s">
        <v>1009</v>
      </c>
    </row>
    <row r="75" spans="1:9" ht="46.8" x14ac:dyDescent="0.3">
      <c r="A75" s="59">
        <v>73</v>
      </c>
      <c r="B75" s="80" t="s">
        <v>1029</v>
      </c>
      <c r="C75" s="81" t="s">
        <v>1023</v>
      </c>
      <c r="D75" s="81" t="s">
        <v>1002</v>
      </c>
      <c r="E75" s="81" t="s">
        <v>1014</v>
      </c>
      <c r="F75" s="81" t="s">
        <v>1003</v>
      </c>
      <c r="G75" s="90" t="s">
        <v>1004</v>
      </c>
      <c r="H75" s="81" t="s">
        <v>1005</v>
      </c>
      <c r="I75" s="81" t="s">
        <v>1009</v>
      </c>
    </row>
    <row r="76" spans="1:9" ht="46.8" x14ac:dyDescent="0.3">
      <c r="A76" s="59">
        <v>74</v>
      </c>
      <c r="B76" s="80" t="s">
        <v>1030</v>
      </c>
      <c r="C76" s="81" t="s">
        <v>66</v>
      </c>
      <c r="D76" s="81" t="s">
        <v>1002</v>
      </c>
      <c r="E76" s="81" t="s">
        <v>1014</v>
      </c>
      <c r="F76" s="81" t="s">
        <v>1003</v>
      </c>
      <c r="G76" s="90" t="s">
        <v>1004</v>
      </c>
      <c r="H76" s="81" t="s">
        <v>1005</v>
      </c>
      <c r="I76" s="81" t="s">
        <v>1009</v>
      </c>
    </row>
    <row r="77" spans="1:9" ht="46.8" x14ac:dyDescent="0.3">
      <c r="A77" s="59">
        <v>75</v>
      </c>
      <c r="B77" s="80" t="s">
        <v>1031</v>
      </c>
      <c r="C77" s="81" t="s">
        <v>1032</v>
      </c>
      <c r="D77" s="81" t="s">
        <v>1002</v>
      </c>
      <c r="E77" s="81" t="s">
        <v>1014</v>
      </c>
      <c r="F77" s="81" t="s">
        <v>1003</v>
      </c>
      <c r="G77" s="90" t="s">
        <v>1004</v>
      </c>
      <c r="H77" s="81" t="s">
        <v>1005</v>
      </c>
      <c r="I77" s="81" t="s">
        <v>1009</v>
      </c>
    </row>
    <row r="78" spans="1:9" ht="46.8" x14ac:dyDescent="0.3">
      <c r="A78" s="59">
        <v>76</v>
      </c>
      <c r="B78" s="80" t="s">
        <v>1033</v>
      </c>
      <c r="C78" s="81" t="s">
        <v>1032</v>
      </c>
      <c r="D78" s="81" t="s">
        <v>1002</v>
      </c>
      <c r="E78" s="81" t="s">
        <v>1014</v>
      </c>
      <c r="F78" s="81" t="s">
        <v>1003</v>
      </c>
      <c r="G78" s="90" t="s">
        <v>1004</v>
      </c>
      <c r="H78" s="81" t="s">
        <v>1005</v>
      </c>
      <c r="I78" s="81" t="s">
        <v>1009</v>
      </c>
    </row>
    <row r="79" spans="1:9" ht="46.8" x14ac:dyDescent="0.3">
      <c r="A79" s="59">
        <v>77</v>
      </c>
      <c r="B79" s="80" t="s">
        <v>1034</v>
      </c>
      <c r="C79" s="81" t="s">
        <v>1035</v>
      </c>
      <c r="D79" s="81" t="s">
        <v>1002</v>
      </c>
      <c r="E79" s="81" t="s">
        <v>1014</v>
      </c>
      <c r="F79" s="81" t="s">
        <v>1003</v>
      </c>
      <c r="G79" s="90" t="s">
        <v>1004</v>
      </c>
      <c r="H79" s="81" t="s">
        <v>1005</v>
      </c>
      <c r="I79" s="81" t="s">
        <v>1009</v>
      </c>
    </row>
    <row r="80" spans="1:9" ht="46.8" x14ac:dyDescent="0.3">
      <c r="A80" s="59">
        <v>78</v>
      </c>
      <c r="B80" s="80" t="s">
        <v>1036</v>
      </c>
      <c r="C80" s="81" t="s">
        <v>97</v>
      </c>
      <c r="D80" s="81" t="s">
        <v>1002</v>
      </c>
      <c r="E80" s="81" t="s">
        <v>1014</v>
      </c>
      <c r="F80" s="81" t="s">
        <v>1003</v>
      </c>
      <c r="G80" s="90" t="s">
        <v>1004</v>
      </c>
      <c r="H80" s="81" t="s">
        <v>1005</v>
      </c>
      <c r="I80" s="81" t="s">
        <v>1009</v>
      </c>
    </row>
    <row r="81" spans="1:9" ht="46.8" x14ac:dyDescent="0.3">
      <c r="A81" s="59">
        <v>79</v>
      </c>
      <c r="B81" s="80" t="s">
        <v>1037</v>
      </c>
      <c r="C81" s="81" t="s">
        <v>1035</v>
      </c>
      <c r="D81" s="81" t="s">
        <v>1002</v>
      </c>
      <c r="E81" s="81" t="s">
        <v>1014</v>
      </c>
      <c r="F81" s="81" t="s">
        <v>1003</v>
      </c>
      <c r="G81" s="90" t="s">
        <v>1004</v>
      </c>
      <c r="H81" s="81" t="s">
        <v>1005</v>
      </c>
      <c r="I81" s="81" t="s">
        <v>1009</v>
      </c>
    </row>
    <row r="82" spans="1:9" ht="46.8" x14ac:dyDescent="0.3">
      <c r="A82" s="59">
        <v>80</v>
      </c>
      <c r="B82" s="80" t="s">
        <v>1038</v>
      </c>
      <c r="C82" s="81"/>
      <c r="D82" s="81" t="s">
        <v>1002</v>
      </c>
      <c r="E82" s="81" t="s">
        <v>1014</v>
      </c>
      <c r="F82" s="81" t="s">
        <v>1003</v>
      </c>
      <c r="G82" s="90" t="s">
        <v>1004</v>
      </c>
      <c r="H82" s="81" t="s">
        <v>1039</v>
      </c>
      <c r="I82" s="81" t="s">
        <v>1009</v>
      </c>
    </row>
    <row r="83" spans="1:9" x14ac:dyDescent="0.3">
      <c r="A83" s="59">
        <v>81</v>
      </c>
      <c r="B83" s="80" t="s">
        <v>1040</v>
      </c>
      <c r="C83" s="81" t="s">
        <v>1023</v>
      </c>
      <c r="D83" s="81" t="s">
        <v>1002</v>
      </c>
      <c r="E83" s="81" t="s">
        <v>1014</v>
      </c>
      <c r="F83" s="81" t="s">
        <v>1003</v>
      </c>
      <c r="G83" s="81"/>
      <c r="H83" s="81"/>
      <c r="I83" s="81"/>
    </row>
  </sheetData>
  <mergeCells count="1">
    <mergeCell ref="A1:I1"/>
  </mergeCells>
  <hyperlinks>
    <hyperlink ref="E60" r:id="rId1"/>
    <hyperlink ref="E61" r:id="rId2"/>
    <hyperlink ref="E62" r:id="rId3"/>
    <hyperlink ref="E3" r:id="rId4"/>
    <hyperlink ref="E4" r:id="rId5"/>
    <hyperlink ref="E7" r:id="rId6"/>
    <hyperlink ref="E10" r:id="rId7"/>
    <hyperlink ref="E11" r:id="rId8"/>
    <hyperlink ref="E12" r:id="rId9"/>
    <hyperlink ref="E13" r:id="rId10"/>
    <hyperlink ref="E14" r:id="rId11"/>
    <hyperlink ref="E15" r:id="rId12"/>
    <hyperlink ref="E18" r:id="rId13"/>
    <hyperlink ref="E19" r:id="rId14"/>
    <hyperlink ref="E20" r:id="rId15"/>
    <hyperlink ref="E21" r:id="rId16"/>
    <hyperlink ref="E22" r:id="rId17"/>
    <hyperlink ref="E23" r:id="rId18"/>
    <hyperlink ref="E24" r:id="rId19"/>
    <hyperlink ref="E25" r:id="rId20"/>
    <hyperlink ref="E26" r:id="rId21"/>
    <hyperlink ref="E28" r:id="rId22"/>
    <hyperlink ref="E29" r:id="rId23"/>
    <hyperlink ref="E30" r:id="rId24"/>
    <hyperlink ref="E31" r:id="rId25"/>
    <hyperlink ref="E32" r:id="rId26"/>
    <hyperlink ref="E33" r:id="rId27"/>
    <hyperlink ref="E34" r:id="rId28"/>
    <hyperlink ref="E35" r:id="rId29"/>
    <hyperlink ref="E36" r:id="rId30"/>
    <hyperlink ref="E37" r:id="rId31"/>
    <hyperlink ref="E38" r:id="rId32"/>
    <hyperlink ref="E39" r:id="rId33"/>
    <hyperlink ref="E40" r:id="rId34"/>
    <hyperlink ref="E41" r:id="rId35"/>
    <hyperlink ref="E42" r:id="rId36"/>
    <hyperlink ref="E43" r:id="rId37"/>
    <hyperlink ref="E44" r:id="rId38"/>
    <hyperlink ref="E45" r:id="rId39"/>
    <hyperlink ref="E46" r:id="rId40"/>
    <hyperlink ref="E47" r:id="rId41"/>
    <hyperlink ref="E48" r:id="rId42"/>
    <hyperlink ref="E49" r:id="rId43"/>
    <hyperlink ref="E52" r:id="rId44"/>
    <hyperlink ref="E53" r:id="rId45"/>
    <hyperlink ref="E54" r:id="rId46" display="naeem_kalwar@yahoo.com"/>
    <hyperlink ref="E55" r:id="rId47" display="naeem_kalwar@yahoo.com"/>
    <hyperlink ref="E56:E57" r:id="rId48" display="naeem_kalwar@yahoo.com"/>
    <hyperlink ref="E58" r:id="rId49"/>
    <hyperlink ref="E59" r:id="rId5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topLeftCell="A127" workbookViewId="0">
      <selection activeCell="A129" sqref="A129:I129"/>
    </sheetView>
  </sheetViews>
  <sheetFormatPr defaultRowHeight="15.6" x14ac:dyDescent="0.3"/>
  <cols>
    <col min="1" max="1" width="5.3984375" style="51" customWidth="1"/>
    <col min="2" max="2" width="11.8984375" style="159" customWidth="1"/>
    <col min="3" max="3" width="13.59765625" style="159" customWidth="1"/>
    <col min="4" max="4" width="13.19921875" style="159" customWidth="1"/>
    <col min="5" max="5" width="23.59765625" style="160" customWidth="1"/>
    <col min="6" max="6" width="18.5" style="52" bestFit="1" customWidth="1"/>
    <col min="7" max="7" width="13.5" customWidth="1"/>
    <col min="8" max="8" width="13.8984375" style="70" customWidth="1"/>
    <col min="9" max="9" width="15.09765625" style="70" customWidth="1"/>
  </cols>
  <sheetData>
    <row r="1" spans="1:9" ht="29.25" customHeight="1" x14ac:dyDescent="0.3">
      <c r="A1" s="120" t="s">
        <v>26</v>
      </c>
      <c r="B1" s="121"/>
      <c r="C1" s="121"/>
      <c r="D1" s="121"/>
      <c r="E1" s="121"/>
      <c r="F1" s="121"/>
      <c r="G1" s="121"/>
      <c r="H1" s="121"/>
      <c r="I1" s="121"/>
    </row>
    <row r="2" spans="1:9" ht="31.8" customHeight="1" x14ac:dyDescent="0.3">
      <c r="A2" s="50" t="s">
        <v>15</v>
      </c>
      <c r="B2" s="54" t="s">
        <v>16</v>
      </c>
      <c r="C2" s="54" t="s">
        <v>17</v>
      </c>
      <c r="D2" s="54" t="s">
        <v>18</v>
      </c>
      <c r="E2" s="142" t="s">
        <v>20</v>
      </c>
      <c r="F2" s="54" t="s">
        <v>19</v>
      </c>
      <c r="G2" s="53" t="s">
        <v>23</v>
      </c>
      <c r="H2" s="71" t="s">
        <v>24</v>
      </c>
      <c r="I2" s="71" t="s">
        <v>25</v>
      </c>
    </row>
    <row r="3" spans="1:9" ht="31.8" customHeight="1" x14ac:dyDescent="0.3">
      <c r="A3" s="122" t="s">
        <v>903</v>
      </c>
      <c r="B3" s="123"/>
      <c r="C3" s="123"/>
      <c r="D3" s="123"/>
      <c r="E3" s="123"/>
      <c r="F3" s="123"/>
      <c r="G3" s="123"/>
      <c r="H3" s="123"/>
      <c r="I3" s="124"/>
    </row>
    <row r="4" spans="1:9" ht="52.8" x14ac:dyDescent="0.3">
      <c r="A4" s="24">
        <v>1</v>
      </c>
      <c r="B4" s="143" t="s">
        <v>55</v>
      </c>
      <c r="C4" s="143" t="s">
        <v>345</v>
      </c>
      <c r="D4" s="143" t="s">
        <v>346</v>
      </c>
      <c r="E4" s="49" t="s">
        <v>347</v>
      </c>
      <c r="F4" s="49" t="s">
        <v>348</v>
      </c>
      <c r="G4" s="19" t="s">
        <v>349</v>
      </c>
      <c r="H4" s="21" t="s">
        <v>585</v>
      </c>
      <c r="I4" s="21" t="s">
        <v>586</v>
      </c>
    </row>
    <row r="5" spans="1:9" ht="52.8" x14ac:dyDescent="0.3">
      <c r="A5" s="24">
        <v>2</v>
      </c>
      <c r="B5" s="143" t="s">
        <v>350</v>
      </c>
      <c r="C5" s="143" t="s">
        <v>345</v>
      </c>
      <c r="D5" s="143" t="s">
        <v>346</v>
      </c>
      <c r="E5" s="144" t="s">
        <v>351</v>
      </c>
      <c r="F5" s="19" t="s">
        <v>352</v>
      </c>
      <c r="G5" s="19" t="s">
        <v>349</v>
      </c>
      <c r="H5" s="21" t="s">
        <v>585</v>
      </c>
      <c r="I5" s="21" t="s">
        <v>586</v>
      </c>
    </row>
    <row r="6" spans="1:9" ht="52.8" x14ac:dyDescent="0.3">
      <c r="A6" s="24">
        <v>3</v>
      </c>
      <c r="B6" s="143" t="s">
        <v>353</v>
      </c>
      <c r="C6" s="143" t="s">
        <v>345</v>
      </c>
      <c r="D6" s="143" t="s">
        <v>346</v>
      </c>
      <c r="E6" s="144" t="s">
        <v>354</v>
      </c>
      <c r="F6" s="19" t="s">
        <v>355</v>
      </c>
      <c r="G6" s="19" t="s">
        <v>349</v>
      </c>
      <c r="H6" s="21" t="s">
        <v>585</v>
      </c>
      <c r="I6" s="21" t="s">
        <v>586</v>
      </c>
    </row>
    <row r="7" spans="1:9" ht="52.8" x14ac:dyDescent="0.3">
      <c r="A7" s="24">
        <v>4</v>
      </c>
      <c r="B7" s="143" t="s">
        <v>356</v>
      </c>
      <c r="C7" s="143" t="s">
        <v>357</v>
      </c>
      <c r="D7" s="143" t="s">
        <v>358</v>
      </c>
      <c r="E7" s="144" t="s">
        <v>359</v>
      </c>
      <c r="F7" s="19" t="s">
        <v>360</v>
      </c>
      <c r="G7" s="19" t="s">
        <v>349</v>
      </c>
      <c r="H7" s="21" t="s">
        <v>585</v>
      </c>
      <c r="I7" s="21" t="s">
        <v>586</v>
      </c>
    </row>
    <row r="8" spans="1:9" ht="52.8" x14ac:dyDescent="0.3">
      <c r="A8" s="24">
        <v>5</v>
      </c>
      <c r="B8" s="143" t="s">
        <v>361</v>
      </c>
      <c r="C8" s="143" t="s">
        <v>357</v>
      </c>
      <c r="D8" s="143" t="s">
        <v>362</v>
      </c>
      <c r="E8" s="144"/>
      <c r="F8" s="19" t="s">
        <v>363</v>
      </c>
      <c r="G8" s="19" t="s">
        <v>349</v>
      </c>
      <c r="H8" s="21" t="s">
        <v>585</v>
      </c>
      <c r="I8" s="21" t="s">
        <v>586</v>
      </c>
    </row>
    <row r="9" spans="1:9" ht="52.8" x14ac:dyDescent="0.3">
      <c r="A9" s="24">
        <v>6</v>
      </c>
      <c r="B9" s="143" t="s">
        <v>364</v>
      </c>
      <c r="C9" s="143" t="s">
        <v>365</v>
      </c>
      <c r="D9" s="143" t="s">
        <v>86</v>
      </c>
      <c r="E9" s="144" t="s">
        <v>366</v>
      </c>
      <c r="F9" s="19" t="s">
        <v>367</v>
      </c>
      <c r="G9" s="19" t="s">
        <v>349</v>
      </c>
      <c r="H9" s="21" t="s">
        <v>585</v>
      </c>
      <c r="I9" s="21" t="s">
        <v>586</v>
      </c>
    </row>
    <row r="10" spans="1:9" ht="52.8" x14ac:dyDescent="0.3">
      <c r="A10" s="24">
        <v>7</v>
      </c>
      <c r="B10" s="143" t="s">
        <v>368</v>
      </c>
      <c r="C10" s="143" t="s">
        <v>345</v>
      </c>
      <c r="D10" s="143" t="s">
        <v>346</v>
      </c>
      <c r="E10" s="144" t="s">
        <v>369</v>
      </c>
      <c r="F10" s="19" t="s">
        <v>370</v>
      </c>
      <c r="G10" s="19" t="s">
        <v>349</v>
      </c>
      <c r="H10" s="21" t="s">
        <v>585</v>
      </c>
      <c r="I10" s="21" t="s">
        <v>586</v>
      </c>
    </row>
    <row r="11" spans="1:9" ht="52.8" x14ac:dyDescent="0.3">
      <c r="A11" s="24">
        <v>8</v>
      </c>
      <c r="B11" s="143" t="s">
        <v>371</v>
      </c>
      <c r="C11" s="143" t="s">
        <v>372</v>
      </c>
      <c r="D11" s="143" t="s">
        <v>373</v>
      </c>
      <c r="E11" s="144"/>
      <c r="F11" s="19" t="s">
        <v>374</v>
      </c>
      <c r="G11" s="19" t="s">
        <v>349</v>
      </c>
      <c r="H11" s="21" t="s">
        <v>585</v>
      </c>
      <c r="I11" s="21" t="s">
        <v>586</v>
      </c>
    </row>
    <row r="12" spans="1:9" ht="52.8" x14ac:dyDescent="0.3">
      <c r="A12" s="24">
        <v>9</v>
      </c>
      <c r="B12" s="143" t="s">
        <v>375</v>
      </c>
      <c r="C12" s="143" t="s">
        <v>376</v>
      </c>
      <c r="D12" s="143" t="s">
        <v>86</v>
      </c>
      <c r="E12" s="144" t="s">
        <v>377</v>
      </c>
      <c r="F12" s="19" t="s">
        <v>378</v>
      </c>
      <c r="G12" s="19" t="s">
        <v>349</v>
      </c>
      <c r="H12" s="21" t="s">
        <v>585</v>
      </c>
      <c r="I12" s="21" t="s">
        <v>586</v>
      </c>
    </row>
    <row r="13" spans="1:9" ht="52.8" x14ac:dyDescent="0.3">
      <c r="A13" s="24">
        <v>10</v>
      </c>
      <c r="B13" s="143" t="s">
        <v>379</v>
      </c>
      <c r="C13" s="143" t="s">
        <v>380</v>
      </c>
      <c r="D13" s="143" t="s">
        <v>122</v>
      </c>
      <c r="E13" s="144" t="s">
        <v>381</v>
      </c>
      <c r="F13" s="19" t="s">
        <v>382</v>
      </c>
      <c r="G13" s="19" t="s">
        <v>349</v>
      </c>
      <c r="H13" s="21" t="s">
        <v>585</v>
      </c>
      <c r="I13" s="21" t="s">
        <v>586</v>
      </c>
    </row>
    <row r="14" spans="1:9" ht="52.8" x14ac:dyDescent="0.3">
      <c r="A14" s="24">
        <v>11</v>
      </c>
      <c r="B14" s="143" t="s">
        <v>383</v>
      </c>
      <c r="C14" s="143" t="s">
        <v>384</v>
      </c>
      <c r="D14" s="143" t="s">
        <v>122</v>
      </c>
      <c r="E14" s="144" t="s">
        <v>385</v>
      </c>
      <c r="F14" s="19" t="s">
        <v>386</v>
      </c>
      <c r="G14" s="19" t="s">
        <v>349</v>
      </c>
      <c r="H14" s="21" t="s">
        <v>585</v>
      </c>
      <c r="I14" s="21" t="s">
        <v>586</v>
      </c>
    </row>
    <row r="15" spans="1:9" ht="52.8" x14ac:dyDescent="0.3">
      <c r="A15" s="24">
        <v>12</v>
      </c>
      <c r="B15" s="143" t="s">
        <v>387</v>
      </c>
      <c r="C15" s="143" t="s">
        <v>388</v>
      </c>
      <c r="D15" s="143" t="s">
        <v>389</v>
      </c>
      <c r="E15" s="144" t="s">
        <v>390</v>
      </c>
      <c r="F15" s="19" t="s">
        <v>391</v>
      </c>
      <c r="G15" s="19" t="s">
        <v>349</v>
      </c>
      <c r="H15" s="21" t="s">
        <v>585</v>
      </c>
      <c r="I15" s="21" t="s">
        <v>586</v>
      </c>
    </row>
    <row r="16" spans="1:9" ht="52.8" x14ac:dyDescent="0.3">
      <c r="A16" s="24">
        <v>13</v>
      </c>
      <c r="B16" s="143" t="s">
        <v>392</v>
      </c>
      <c r="C16" s="143" t="s">
        <v>372</v>
      </c>
      <c r="D16" s="143" t="s">
        <v>393</v>
      </c>
      <c r="E16" s="144" t="s">
        <v>394</v>
      </c>
      <c r="F16" s="19" t="s">
        <v>395</v>
      </c>
      <c r="G16" s="19" t="s">
        <v>349</v>
      </c>
      <c r="H16" s="21" t="s">
        <v>585</v>
      </c>
      <c r="I16" s="21" t="s">
        <v>586</v>
      </c>
    </row>
    <row r="17" spans="1:9" ht="52.8" x14ac:dyDescent="0.3">
      <c r="A17" s="24">
        <v>14</v>
      </c>
      <c r="B17" s="143" t="s">
        <v>396</v>
      </c>
      <c r="C17" s="143" t="s">
        <v>372</v>
      </c>
      <c r="D17" s="143" t="s">
        <v>397</v>
      </c>
      <c r="E17" s="144"/>
      <c r="F17" s="19" t="s">
        <v>398</v>
      </c>
      <c r="G17" s="19" t="s">
        <v>349</v>
      </c>
      <c r="H17" s="21" t="s">
        <v>585</v>
      </c>
      <c r="I17" s="21" t="s">
        <v>586</v>
      </c>
    </row>
    <row r="18" spans="1:9" ht="52.8" x14ac:dyDescent="0.3">
      <c r="A18" s="24">
        <v>15</v>
      </c>
      <c r="B18" s="143" t="s">
        <v>399</v>
      </c>
      <c r="C18" s="143" t="s">
        <v>372</v>
      </c>
      <c r="D18" s="143" t="s">
        <v>400</v>
      </c>
      <c r="E18" s="144"/>
      <c r="F18" s="19" t="s">
        <v>401</v>
      </c>
      <c r="G18" s="19" t="s">
        <v>349</v>
      </c>
      <c r="H18" s="21" t="s">
        <v>585</v>
      </c>
      <c r="I18" s="21" t="s">
        <v>586</v>
      </c>
    </row>
    <row r="19" spans="1:9" ht="52.8" x14ac:dyDescent="0.3">
      <c r="A19" s="24">
        <v>16</v>
      </c>
      <c r="B19" s="143" t="s">
        <v>402</v>
      </c>
      <c r="C19" s="143" t="s">
        <v>403</v>
      </c>
      <c r="D19" s="143" t="s">
        <v>346</v>
      </c>
      <c r="E19" s="144" t="s">
        <v>404</v>
      </c>
      <c r="F19" s="19" t="s">
        <v>405</v>
      </c>
      <c r="G19" s="19" t="s">
        <v>349</v>
      </c>
      <c r="H19" s="21" t="s">
        <v>585</v>
      </c>
      <c r="I19" s="21" t="s">
        <v>586</v>
      </c>
    </row>
    <row r="20" spans="1:9" ht="52.8" x14ac:dyDescent="0.3">
      <c r="A20" s="24">
        <v>17</v>
      </c>
      <c r="B20" s="143" t="s">
        <v>406</v>
      </c>
      <c r="C20" s="143" t="s">
        <v>403</v>
      </c>
      <c r="D20" s="143" t="s">
        <v>346</v>
      </c>
      <c r="E20" s="144" t="s">
        <v>407</v>
      </c>
      <c r="F20" s="19" t="s">
        <v>408</v>
      </c>
      <c r="G20" s="19" t="s">
        <v>349</v>
      </c>
      <c r="H20" s="21" t="s">
        <v>585</v>
      </c>
      <c r="I20" s="21" t="s">
        <v>586</v>
      </c>
    </row>
    <row r="21" spans="1:9" ht="52.8" x14ac:dyDescent="0.3">
      <c r="A21" s="24">
        <v>18</v>
      </c>
      <c r="B21" s="143" t="s">
        <v>409</v>
      </c>
      <c r="C21" s="143" t="s">
        <v>403</v>
      </c>
      <c r="D21" s="143" t="s">
        <v>346</v>
      </c>
      <c r="E21" s="144" t="s">
        <v>410</v>
      </c>
      <c r="F21" s="19" t="s">
        <v>411</v>
      </c>
      <c r="G21" s="19" t="s">
        <v>349</v>
      </c>
      <c r="H21" s="21" t="s">
        <v>585</v>
      </c>
      <c r="I21" s="21" t="s">
        <v>586</v>
      </c>
    </row>
    <row r="22" spans="1:9" ht="52.8" x14ac:dyDescent="0.3">
      <c r="A22" s="24">
        <v>19</v>
      </c>
      <c r="B22" s="143" t="s">
        <v>412</v>
      </c>
      <c r="C22" s="143" t="s">
        <v>372</v>
      </c>
      <c r="D22" s="143" t="s">
        <v>413</v>
      </c>
      <c r="E22" s="144" t="s">
        <v>414</v>
      </c>
      <c r="F22" s="19" t="s">
        <v>415</v>
      </c>
      <c r="G22" s="63">
        <v>40800</v>
      </c>
      <c r="H22" s="21" t="s">
        <v>585</v>
      </c>
      <c r="I22" s="21" t="s">
        <v>586</v>
      </c>
    </row>
    <row r="23" spans="1:9" ht="52.8" x14ac:dyDescent="0.3">
      <c r="A23" s="24">
        <v>20</v>
      </c>
      <c r="B23" s="143" t="s">
        <v>416</v>
      </c>
      <c r="C23" s="143" t="s">
        <v>66</v>
      </c>
      <c r="D23" s="143" t="s">
        <v>417</v>
      </c>
      <c r="E23" s="144" t="s">
        <v>418</v>
      </c>
      <c r="F23" s="19" t="s">
        <v>419</v>
      </c>
      <c r="G23" s="19" t="s">
        <v>349</v>
      </c>
      <c r="H23" s="21" t="s">
        <v>585</v>
      </c>
      <c r="I23" s="21" t="s">
        <v>586</v>
      </c>
    </row>
    <row r="24" spans="1:9" ht="52.8" x14ac:dyDescent="0.3">
      <c r="A24" s="24">
        <v>21</v>
      </c>
      <c r="B24" s="143" t="s">
        <v>420</v>
      </c>
      <c r="C24" s="143" t="s">
        <v>66</v>
      </c>
      <c r="D24" s="143" t="s">
        <v>421</v>
      </c>
      <c r="E24" s="144" t="s">
        <v>422</v>
      </c>
      <c r="F24" s="19" t="s">
        <v>423</v>
      </c>
      <c r="G24" s="19" t="s">
        <v>349</v>
      </c>
      <c r="H24" s="21" t="s">
        <v>585</v>
      </c>
      <c r="I24" s="21" t="s">
        <v>586</v>
      </c>
    </row>
    <row r="25" spans="1:9" ht="52.8" x14ac:dyDescent="0.3">
      <c r="A25" s="24">
        <v>22</v>
      </c>
      <c r="B25" s="143" t="s">
        <v>424</v>
      </c>
      <c r="C25" s="143" t="s">
        <v>345</v>
      </c>
      <c r="D25" s="143" t="s">
        <v>346</v>
      </c>
      <c r="E25" s="144" t="s">
        <v>425</v>
      </c>
      <c r="F25" s="19" t="s">
        <v>426</v>
      </c>
      <c r="G25" s="19" t="s">
        <v>349</v>
      </c>
      <c r="H25" s="21" t="s">
        <v>585</v>
      </c>
      <c r="I25" s="21" t="s">
        <v>586</v>
      </c>
    </row>
    <row r="26" spans="1:9" ht="52.8" x14ac:dyDescent="0.3">
      <c r="A26" s="24">
        <v>23</v>
      </c>
      <c r="B26" s="143" t="s">
        <v>427</v>
      </c>
      <c r="C26" s="143" t="s">
        <v>345</v>
      </c>
      <c r="D26" s="143" t="s">
        <v>346</v>
      </c>
      <c r="E26" s="144" t="s">
        <v>428</v>
      </c>
      <c r="F26" s="19" t="s">
        <v>429</v>
      </c>
      <c r="G26" s="19" t="s">
        <v>349</v>
      </c>
      <c r="H26" s="21" t="s">
        <v>585</v>
      </c>
      <c r="I26" s="21" t="s">
        <v>586</v>
      </c>
    </row>
    <row r="27" spans="1:9" ht="52.8" x14ac:dyDescent="0.3">
      <c r="A27" s="24">
        <v>24</v>
      </c>
      <c r="B27" s="143" t="s">
        <v>430</v>
      </c>
      <c r="C27" s="143" t="s">
        <v>372</v>
      </c>
      <c r="D27" s="143" t="s">
        <v>431</v>
      </c>
      <c r="E27" s="144"/>
      <c r="F27" s="19" t="s">
        <v>432</v>
      </c>
      <c r="G27" s="19" t="s">
        <v>349</v>
      </c>
      <c r="H27" s="21" t="s">
        <v>585</v>
      </c>
      <c r="I27" s="21" t="s">
        <v>586</v>
      </c>
    </row>
    <row r="28" spans="1:9" ht="52.8" x14ac:dyDescent="0.3">
      <c r="A28" s="24">
        <v>25</v>
      </c>
      <c r="B28" s="143" t="s">
        <v>433</v>
      </c>
      <c r="C28" s="143" t="s">
        <v>345</v>
      </c>
      <c r="D28" s="143" t="s">
        <v>346</v>
      </c>
      <c r="E28" s="144" t="s">
        <v>434</v>
      </c>
      <c r="F28" s="19" t="s">
        <v>435</v>
      </c>
      <c r="G28" s="19" t="s">
        <v>349</v>
      </c>
      <c r="H28" s="21" t="s">
        <v>585</v>
      </c>
      <c r="I28" s="21" t="s">
        <v>586</v>
      </c>
    </row>
    <row r="29" spans="1:9" ht="52.8" x14ac:dyDescent="0.3">
      <c r="A29" s="24">
        <v>26</v>
      </c>
      <c r="B29" s="143" t="s">
        <v>436</v>
      </c>
      <c r="C29" s="143" t="s">
        <v>66</v>
      </c>
      <c r="D29" s="143" t="s">
        <v>437</v>
      </c>
      <c r="E29" s="144" t="s">
        <v>438</v>
      </c>
      <c r="F29" s="19" t="s">
        <v>439</v>
      </c>
      <c r="G29" s="19" t="s">
        <v>349</v>
      </c>
      <c r="H29" s="21" t="s">
        <v>585</v>
      </c>
      <c r="I29" s="21" t="s">
        <v>586</v>
      </c>
    </row>
    <row r="30" spans="1:9" ht="52.8" x14ac:dyDescent="0.3">
      <c r="A30" s="24">
        <v>27</v>
      </c>
      <c r="B30" s="143" t="s">
        <v>440</v>
      </c>
      <c r="C30" s="143" t="s">
        <v>372</v>
      </c>
      <c r="D30" s="143" t="s">
        <v>441</v>
      </c>
      <c r="E30" s="144" t="s">
        <v>442</v>
      </c>
      <c r="F30" s="19" t="s">
        <v>443</v>
      </c>
      <c r="G30" s="19" t="s">
        <v>349</v>
      </c>
      <c r="H30" s="21" t="s">
        <v>585</v>
      </c>
      <c r="I30" s="21" t="s">
        <v>586</v>
      </c>
    </row>
    <row r="31" spans="1:9" ht="52.8" x14ac:dyDescent="0.3">
      <c r="A31" s="24">
        <v>28</v>
      </c>
      <c r="B31" s="143" t="s">
        <v>444</v>
      </c>
      <c r="C31" s="143" t="s">
        <v>372</v>
      </c>
      <c r="D31" s="143" t="s">
        <v>445</v>
      </c>
      <c r="E31" s="144" t="s">
        <v>446</v>
      </c>
      <c r="F31" s="19" t="s">
        <v>447</v>
      </c>
      <c r="G31" s="19" t="s">
        <v>349</v>
      </c>
      <c r="H31" s="21" t="s">
        <v>585</v>
      </c>
      <c r="I31" s="21" t="s">
        <v>586</v>
      </c>
    </row>
    <row r="32" spans="1:9" ht="25.2" x14ac:dyDescent="0.3">
      <c r="A32" s="125" t="s">
        <v>596</v>
      </c>
      <c r="B32" s="126"/>
      <c r="C32" s="126"/>
      <c r="D32" s="126"/>
      <c r="E32" s="126"/>
      <c r="F32" s="126"/>
      <c r="G32" s="126"/>
      <c r="H32" s="126"/>
      <c r="I32" s="127"/>
    </row>
    <row r="33" spans="1:9" ht="39.6" x14ac:dyDescent="0.3">
      <c r="A33" s="24">
        <v>29</v>
      </c>
      <c r="B33" s="143" t="s">
        <v>448</v>
      </c>
      <c r="C33" s="143" t="s">
        <v>449</v>
      </c>
      <c r="D33" s="143" t="s">
        <v>450</v>
      </c>
      <c r="E33" s="144" t="s">
        <v>451</v>
      </c>
      <c r="F33" s="19">
        <v>3334474423</v>
      </c>
      <c r="G33" s="19" t="s">
        <v>452</v>
      </c>
      <c r="H33" s="21" t="s">
        <v>600</v>
      </c>
      <c r="I33" s="21" t="s">
        <v>601</v>
      </c>
    </row>
    <row r="34" spans="1:9" ht="39.6" x14ac:dyDescent="0.3">
      <c r="A34" s="24">
        <v>30</v>
      </c>
      <c r="B34" s="143" t="s">
        <v>453</v>
      </c>
      <c r="C34" s="143" t="s">
        <v>454</v>
      </c>
      <c r="D34" s="143" t="s">
        <v>455</v>
      </c>
      <c r="E34" s="144"/>
      <c r="F34" s="19">
        <v>3006081626</v>
      </c>
      <c r="G34" s="19" t="s">
        <v>452</v>
      </c>
      <c r="H34" s="21" t="s">
        <v>600</v>
      </c>
      <c r="I34" s="21" t="s">
        <v>601</v>
      </c>
    </row>
    <row r="35" spans="1:9" ht="39.6" x14ac:dyDescent="0.3">
      <c r="A35" s="24">
        <v>31</v>
      </c>
      <c r="B35" s="143" t="s">
        <v>456</v>
      </c>
      <c r="C35" s="143" t="s">
        <v>388</v>
      </c>
      <c r="D35" s="143" t="s">
        <v>450</v>
      </c>
      <c r="E35" s="144" t="s">
        <v>457</v>
      </c>
      <c r="F35" s="19">
        <v>3007356214</v>
      </c>
      <c r="G35" s="19" t="s">
        <v>452</v>
      </c>
      <c r="H35" s="21" t="s">
        <v>600</v>
      </c>
      <c r="I35" s="21" t="s">
        <v>601</v>
      </c>
    </row>
    <row r="36" spans="1:9" ht="39.6" x14ac:dyDescent="0.3">
      <c r="A36" s="24">
        <v>32</v>
      </c>
      <c r="B36" s="143" t="s">
        <v>458</v>
      </c>
      <c r="C36" s="143" t="s">
        <v>388</v>
      </c>
      <c r="D36" s="143" t="s">
        <v>450</v>
      </c>
      <c r="E36" s="144" t="s">
        <v>390</v>
      </c>
      <c r="F36" s="19">
        <v>3336034728</v>
      </c>
      <c r="G36" s="19" t="s">
        <v>452</v>
      </c>
      <c r="H36" s="21" t="s">
        <v>600</v>
      </c>
      <c r="I36" s="21" t="s">
        <v>601</v>
      </c>
    </row>
    <row r="37" spans="1:9" ht="39.6" x14ac:dyDescent="0.3">
      <c r="A37" s="24">
        <v>33</v>
      </c>
      <c r="B37" s="143" t="s">
        <v>459</v>
      </c>
      <c r="C37" s="143" t="s">
        <v>388</v>
      </c>
      <c r="D37" s="143" t="s">
        <v>450</v>
      </c>
      <c r="E37" s="144"/>
      <c r="F37" s="19">
        <v>3007340963</v>
      </c>
      <c r="G37" s="19" t="s">
        <v>452</v>
      </c>
      <c r="H37" s="21" t="s">
        <v>600</v>
      </c>
      <c r="I37" s="21" t="s">
        <v>601</v>
      </c>
    </row>
    <row r="38" spans="1:9" ht="39.6" x14ac:dyDescent="0.3">
      <c r="A38" s="24">
        <v>34</v>
      </c>
      <c r="B38" s="143" t="s">
        <v>460</v>
      </c>
      <c r="C38" s="143" t="s">
        <v>388</v>
      </c>
      <c r="D38" s="143" t="s">
        <v>122</v>
      </c>
      <c r="E38" s="144" t="s">
        <v>461</v>
      </c>
      <c r="F38" s="19">
        <v>3219052993</v>
      </c>
      <c r="G38" s="19" t="s">
        <v>452</v>
      </c>
      <c r="H38" s="21" t="s">
        <v>600</v>
      </c>
      <c r="I38" s="21" t="s">
        <v>601</v>
      </c>
    </row>
    <row r="39" spans="1:9" ht="39.6" x14ac:dyDescent="0.3">
      <c r="A39" s="24">
        <v>35</v>
      </c>
      <c r="B39" s="143" t="s">
        <v>462</v>
      </c>
      <c r="C39" s="143" t="s">
        <v>463</v>
      </c>
      <c r="D39" s="143" t="s">
        <v>464</v>
      </c>
      <c r="E39" s="144" t="s">
        <v>465</v>
      </c>
      <c r="F39" s="19">
        <v>3217119475</v>
      </c>
      <c r="G39" s="19" t="s">
        <v>452</v>
      </c>
      <c r="H39" s="21" t="s">
        <v>600</v>
      </c>
      <c r="I39" s="21" t="s">
        <v>601</v>
      </c>
    </row>
    <row r="40" spans="1:9" ht="39.6" x14ac:dyDescent="0.3">
      <c r="A40" s="24">
        <v>36</v>
      </c>
      <c r="B40" s="143" t="s">
        <v>466</v>
      </c>
      <c r="C40" s="143" t="s">
        <v>467</v>
      </c>
      <c r="D40" s="143" t="s">
        <v>468</v>
      </c>
      <c r="E40" s="144" t="s">
        <v>469</v>
      </c>
      <c r="F40" s="19">
        <v>3017803705</v>
      </c>
      <c r="G40" s="19" t="s">
        <v>452</v>
      </c>
      <c r="H40" s="21" t="s">
        <v>600</v>
      </c>
      <c r="I40" s="21" t="s">
        <v>601</v>
      </c>
    </row>
    <row r="41" spans="1:9" ht="39.6" x14ac:dyDescent="0.3">
      <c r="A41" s="24">
        <v>37</v>
      </c>
      <c r="B41" s="143" t="s">
        <v>470</v>
      </c>
      <c r="C41" s="143" t="s">
        <v>471</v>
      </c>
      <c r="D41" s="143" t="s">
        <v>472</v>
      </c>
      <c r="E41" s="144" t="s">
        <v>473</v>
      </c>
      <c r="F41" s="19">
        <v>3335171372</v>
      </c>
      <c r="G41" s="19" t="s">
        <v>452</v>
      </c>
      <c r="H41" s="21" t="s">
        <v>600</v>
      </c>
      <c r="I41" s="21" t="s">
        <v>601</v>
      </c>
    </row>
    <row r="42" spans="1:9" ht="39.6" x14ac:dyDescent="0.3">
      <c r="A42" s="24">
        <v>38</v>
      </c>
      <c r="B42" s="143" t="s">
        <v>474</v>
      </c>
      <c r="C42" s="143" t="s">
        <v>372</v>
      </c>
      <c r="D42" s="143" t="s">
        <v>475</v>
      </c>
      <c r="E42" s="144"/>
      <c r="F42" s="19">
        <v>3037511710</v>
      </c>
      <c r="G42" s="19" t="s">
        <v>452</v>
      </c>
      <c r="H42" s="21" t="s">
        <v>600</v>
      </c>
      <c r="I42" s="21" t="s">
        <v>601</v>
      </c>
    </row>
    <row r="43" spans="1:9" ht="39.6" x14ac:dyDescent="0.3">
      <c r="A43" s="24">
        <v>39</v>
      </c>
      <c r="B43" s="143" t="s">
        <v>476</v>
      </c>
      <c r="C43" s="143" t="s">
        <v>372</v>
      </c>
      <c r="D43" s="143" t="s">
        <v>475</v>
      </c>
      <c r="E43" s="144"/>
      <c r="F43" s="19">
        <v>3336032840</v>
      </c>
      <c r="G43" s="19" t="s">
        <v>452</v>
      </c>
      <c r="H43" s="21" t="s">
        <v>600</v>
      </c>
      <c r="I43" s="21" t="s">
        <v>601</v>
      </c>
    </row>
    <row r="44" spans="1:9" ht="39.6" x14ac:dyDescent="0.3">
      <c r="A44" s="24">
        <v>40</v>
      </c>
      <c r="B44" s="143" t="s">
        <v>477</v>
      </c>
      <c r="C44" s="143" t="s">
        <v>372</v>
      </c>
      <c r="D44" s="143" t="s">
        <v>475</v>
      </c>
      <c r="E44" s="144"/>
      <c r="F44" s="19">
        <v>3465520633</v>
      </c>
      <c r="G44" s="19" t="s">
        <v>452</v>
      </c>
      <c r="H44" s="21" t="s">
        <v>600</v>
      </c>
      <c r="I44" s="21" t="s">
        <v>601</v>
      </c>
    </row>
    <row r="45" spans="1:9" ht="39.6" x14ac:dyDescent="0.3">
      <c r="A45" s="24">
        <v>41</v>
      </c>
      <c r="B45" s="143" t="s">
        <v>478</v>
      </c>
      <c r="C45" s="143" t="s">
        <v>372</v>
      </c>
      <c r="D45" s="143" t="s">
        <v>479</v>
      </c>
      <c r="E45" s="144"/>
      <c r="F45" s="19">
        <v>3159836194</v>
      </c>
      <c r="G45" s="19" t="s">
        <v>452</v>
      </c>
      <c r="H45" s="21" t="s">
        <v>600</v>
      </c>
      <c r="I45" s="21" t="s">
        <v>601</v>
      </c>
    </row>
    <row r="46" spans="1:9" ht="39.6" x14ac:dyDescent="0.3">
      <c r="A46" s="24">
        <v>42</v>
      </c>
      <c r="B46" s="143" t="s">
        <v>480</v>
      </c>
      <c r="C46" s="143" t="s">
        <v>372</v>
      </c>
      <c r="D46" s="143" t="s">
        <v>481</v>
      </c>
      <c r="E46" s="144"/>
      <c r="F46" s="19">
        <v>3455821082</v>
      </c>
      <c r="G46" s="19" t="s">
        <v>452</v>
      </c>
      <c r="H46" s="21" t="s">
        <v>600</v>
      </c>
      <c r="I46" s="21" t="s">
        <v>601</v>
      </c>
    </row>
    <row r="47" spans="1:9" ht="39.6" x14ac:dyDescent="0.3">
      <c r="A47" s="24">
        <v>43</v>
      </c>
      <c r="B47" s="143" t="s">
        <v>482</v>
      </c>
      <c r="C47" s="143" t="s">
        <v>85</v>
      </c>
      <c r="D47" s="143" t="s">
        <v>483</v>
      </c>
      <c r="E47" s="144"/>
      <c r="F47" s="19">
        <v>3339837999</v>
      </c>
      <c r="G47" s="19" t="s">
        <v>452</v>
      </c>
      <c r="H47" s="21" t="s">
        <v>600</v>
      </c>
      <c r="I47" s="21" t="s">
        <v>601</v>
      </c>
    </row>
    <row r="48" spans="1:9" ht="39.6" x14ac:dyDescent="0.3">
      <c r="A48" s="24">
        <v>44</v>
      </c>
      <c r="B48" s="143" t="s">
        <v>484</v>
      </c>
      <c r="C48" s="143" t="s">
        <v>372</v>
      </c>
      <c r="D48" s="143" t="s">
        <v>485</v>
      </c>
      <c r="E48" s="144"/>
      <c r="F48" s="19">
        <v>459920076</v>
      </c>
      <c r="G48" s="19" t="s">
        <v>452</v>
      </c>
      <c r="H48" s="21" t="s">
        <v>600</v>
      </c>
      <c r="I48" s="21" t="s">
        <v>601</v>
      </c>
    </row>
    <row r="49" spans="1:9" ht="39.6" x14ac:dyDescent="0.3">
      <c r="A49" s="24">
        <v>45</v>
      </c>
      <c r="B49" s="143" t="s">
        <v>486</v>
      </c>
      <c r="C49" s="143" t="s">
        <v>372</v>
      </c>
      <c r="D49" s="143" t="s">
        <v>475</v>
      </c>
      <c r="E49" s="144"/>
      <c r="F49" s="19">
        <v>3201724856</v>
      </c>
      <c r="G49" s="19" t="s">
        <v>452</v>
      </c>
      <c r="H49" s="21" t="s">
        <v>600</v>
      </c>
      <c r="I49" s="21" t="s">
        <v>601</v>
      </c>
    </row>
    <row r="50" spans="1:9" ht="39.6" x14ac:dyDescent="0.3">
      <c r="A50" s="24">
        <v>46</v>
      </c>
      <c r="B50" s="143" t="s">
        <v>487</v>
      </c>
      <c r="C50" s="143" t="s">
        <v>372</v>
      </c>
      <c r="D50" s="143" t="s">
        <v>475</v>
      </c>
      <c r="E50" s="144"/>
      <c r="F50" s="19">
        <v>3446893756</v>
      </c>
      <c r="G50" s="19" t="s">
        <v>452</v>
      </c>
      <c r="H50" s="21" t="s">
        <v>600</v>
      </c>
      <c r="I50" s="21" t="s">
        <v>601</v>
      </c>
    </row>
    <row r="51" spans="1:9" ht="39.6" x14ac:dyDescent="0.3">
      <c r="A51" s="24">
        <v>47</v>
      </c>
      <c r="B51" s="143" t="s">
        <v>488</v>
      </c>
      <c r="C51" s="143" t="s">
        <v>372</v>
      </c>
      <c r="D51" s="143" t="s">
        <v>475</v>
      </c>
      <c r="E51" s="144"/>
      <c r="F51" s="19">
        <v>3006092953</v>
      </c>
      <c r="G51" s="19" t="s">
        <v>452</v>
      </c>
      <c r="H51" s="21" t="s">
        <v>600</v>
      </c>
      <c r="I51" s="21" t="s">
        <v>601</v>
      </c>
    </row>
    <row r="52" spans="1:9" ht="39.6" x14ac:dyDescent="0.3">
      <c r="A52" s="24">
        <v>48</v>
      </c>
      <c r="B52" s="143" t="s">
        <v>489</v>
      </c>
      <c r="C52" s="143" t="s">
        <v>372</v>
      </c>
      <c r="D52" s="143" t="s">
        <v>481</v>
      </c>
      <c r="E52" s="144"/>
      <c r="F52" s="19">
        <v>3465511690</v>
      </c>
      <c r="G52" s="19" t="s">
        <v>452</v>
      </c>
      <c r="H52" s="21" t="s">
        <v>600</v>
      </c>
      <c r="I52" s="21" t="s">
        <v>601</v>
      </c>
    </row>
    <row r="53" spans="1:9" ht="39.6" x14ac:dyDescent="0.3">
      <c r="A53" s="24">
        <v>49</v>
      </c>
      <c r="B53" s="143" t="s">
        <v>490</v>
      </c>
      <c r="C53" s="143" t="s">
        <v>85</v>
      </c>
      <c r="D53" s="143" t="s">
        <v>483</v>
      </c>
      <c r="E53" s="144"/>
      <c r="F53" s="19">
        <v>3006084995</v>
      </c>
      <c r="G53" s="19" t="s">
        <v>452</v>
      </c>
      <c r="H53" s="21" t="s">
        <v>600</v>
      </c>
      <c r="I53" s="21" t="s">
        <v>601</v>
      </c>
    </row>
    <row r="54" spans="1:9" ht="39.6" x14ac:dyDescent="0.3">
      <c r="A54" s="24">
        <v>50</v>
      </c>
      <c r="B54" s="143" t="s">
        <v>491</v>
      </c>
      <c r="C54" s="143" t="s">
        <v>85</v>
      </c>
      <c r="D54" s="143" t="s">
        <v>483</v>
      </c>
      <c r="E54" s="144"/>
      <c r="F54" s="19">
        <v>3338049182</v>
      </c>
      <c r="G54" s="19" t="s">
        <v>452</v>
      </c>
      <c r="H54" s="21" t="s">
        <v>600</v>
      </c>
      <c r="I54" s="21" t="s">
        <v>601</v>
      </c>
    </row>
    <row r="55" spans="1:9" ht="39.6" x14ac:dyDescent="0.3">
      <c r="A55" s="24">
        <v>51</v>
      </c>
      <c r="B55" s="143" t="s">
        <v>492</v>
      </c>
      <c r="C55" s="143" t="s">
        <v>372</v>
      </c>
      <c r="D55" s="143" t="s">
        <v>475</v>
      </c>
      <c r="E55" s="144"/>
      <c r="F55" s="19">
        <v>3317246154</v>
      </c>
      <c r="G55" s="19" t="s">
        <v>452</v>
      </c>
      <c r="H55" s="21" t="s">
        <v>600</v>
      </c>
      <c r="I55" s="21" t="s">
        <v>601</v>
      </c>
    </row>
    <row r="56" spans="1:9" ht="39.6" x14ac:dyDescent="0.3">
      <c r="A56" s="24">
        <v>52</v>
      </c>
      <c r="B56" s="143" t="s">
        <v>493</v>
      </c>
      <c r="C56" s="143" t="s">
        <v>372</v>
      </c>
      <c r="D56" s="143" t="s">
        <v>481</v>
      </c>
      <c r="E56" s="144"/>
      <c r="F56" s="19">
        <v>3336831942</v>
      </c>
      <c r="G56" s="19" t="s">
        <v>452</v>
      </c>
      <c r="H56" s="21" t="s">
        <v>600</v>
      </c>
      <c r="I56" s="21" t="s">
        <v>601</v>
      </c>
    </row>
    <row r="57" spans="1:9" ht="39.6" x14ac:dyDescent="0.3">
      <c r="A57" s="24">
        <v>53</v>
      </c>
      <c r="B57" s="143" t="s">
        <v>494</v>
      </c>
      <c r="C57" s="143" t="s">
        <v>372</v>
      </c>
      <c r="D57" s="143" t="s">
        <v>481</v>
      </c>
      <c r="E57" s="144"/>
      <c r="F57" s="19">
        <v>3446879856</v>
      </c>
      <c r="G57" s="19" t="s">
        <v>452</v>
      </c>
      <c r="H57" s="21" t="s">
        <v>600</v>
      </c>
      <c r="I57" s="21" t="s">
        <v>601</v>
      </c>
    </row>
    <row r="58" spans="1:9" ht="39.6" x14ac:dyDescent="0.3">
      <c r="A58" s="24">
        <v>54</v>
      </c>
      <c r="B58" s="143" t="s">
        <v>495</v>
      </c>
      <c r="C58" s="143" t="s">
        <v>372</v>
      </c>
      <c r="D58" s="143" t="s">
        <v>481</v>
      </c>
      <c r="E58" s="144"/>
      <c r="F58" s="19">
        <v>3465512479</v>
      </c>
      <c r="G58" s="19" t="s">
        <v>452</v>
      </c>
      <c r="H58" s="21" t="s">
        <v>600</v>
      </c>
      <c r="I58" s="21" t="s">
        <v>601</v>
      </c>
    </row>
    <row r="59" spans="1:9" ht="39.6" x14ac:dyDescent="0.3">
      <c r="A59" s="24">
        <v>55</v>
      </c>
      <c r="B59" s="143" t="s">
        <v>496</v>
      </c>
      <c r="C59" s="143" t="s">
        <v>372</v>
      </c>
      <c r="D59" s="143" t="s">
        <v>475</v>
      </c>
      <c r="E59" s="144"/>
      <c r="F59" s="19">
        <v>3468735264</v>
      </c>
      <c r="G59" s="19" t="s">
        <v>452</v>
      </c>
      <c r="H59" s="21" t="s">
        <v>600</v>
      </c>
      <c r="I59" s="21" t="s">
        <v>601</v>
      </c>
    </row>
    <row r="60" spans="1:9" ht="39.6" x14ac:dyDescent="0.3">
      <c r="A60" s="24">
        <v>56</v>
      </c>
      <c r="B60" s="143" t="s">
        <v>497</v>
      </c>
      <c r="C60" s="143" t="s">
        <v>498</v>
      </c>
      <c r="D60" s="143" t="s">
        <v>499</v>
      </c>
      <c r="E60" s="144"/>
      <c r="F60" s="19"/>
      <c r="G60" s="19" t="s">
        <v>452</v>
      </c>
      <c r="H60" s="21" t="s">
        <v>600</v>
      </c>
      <c r="I60" s="21" t="s">
        <v>601</v>
      </c>
    </row>
    <row r="61" spans="1:9" ht="39.6" x14ac:dyDescent="0.3">
      <c r="A61" s="24">
        <v>57</v>
      </c>
      <c r="B61" s="143" t="s">
        <v>500</v>
      </c>
      <c r="C61" s="143" t="s">
        <v>372</v>
      </c>
      <c r="D61" s="144" t="s">
        <v>501</v>
      </c>
      <c r="E61" s="144"/>
      <c r="F61" s="19"/>
      <c r="G61" s="19" t="s">
        <v>452</v>
      </c>
      <c r="H61" s="21" t="s">
        <v>600</v>
      </c>
      <c r="I61" s="21" t="s">
        <v>601</v>
      </c>
    </row>
    <row r="62" spans="1:9" ht="22.8" x14ac:dyDescent="0.3">
      <c r="A62" s="128" t="s">
        <v>328</v>
      </c>
      <c r="B62" s="129"/>
      <c r="C62" s="129"/>
      <c r="D62" s="129"/>
      <c r="E62" s="129"/>
      <c r="F62" s="129"/>
      <c r="G62" s="129"/>
      <c r="H62" s="129"/>
      <c r="I62" s="130"/>
    </row>
    <row r="63" spans="1:9" ht="39.6" x14ac:dyDescent="0.3">
      <c r="A63" s="24">
        <v>58</v>
      </c>
      <c r="B63" s="143" t="s">
        <v>502</v>
      </c>
      <c r="C63" s="143" t="s">
        <v>345</v>
      </c>
      <c r="D63" s="143" t="s">
        <v>481</v>
      </c>
      <c r="E63" s="144"/>
      <c r="F63" s="19" t="s">
        <v>503</v>
      </c>
      <c r="G63" s="19" t="s">
        <v>504</v>
      </c>
      <c r="H63" s="21" t="s">
        <v>602</v>
      </c>
      <c r="I63" s="21" t="s">
        <v>603</v>
      </c>
    </row>
    <row r="64" spans="1:9" ht="39.6" x14ac:dyDescent="0.3">
      <c r="A64" s="24">
        <v>59</v>
      </c>
      <c r="B64" s="143" t="s">
        <v>505</v>
      </c>
      <c r="C64" s="143" t="s">
        <v>345</v>
      </c>
      <c r="D64" s="143" t="s">
        <v>481</v>
      </c>
      <c r="E64" s="144"/>
      <c r="F64" s="19" t="s">
        <v>506</v>
      </c>
      <c r="G64" s="19" t="s">
        <v>504</v>
      </c>
      <c r="H64" s="21" t="s">
        <v>602</v>
      </c>
      <c r="I64" s="21" t="s">
        <v>603</v>
      </c>
    </row>
    <row r="65" spans="1:9" ht="39.6" x14ac:dyDescent="0.3">
      <c r="A65" s="24">
        <v>60</v>
      </c>
      <c r="B65" s="143" t="s">
        <v>507</v>
      </c>
      <c r="C65" s="143" t="s">
        <v>345</v>
      </c>
      <c r="D65" s="143" t="s">
        <v>481</v>
      </c>
      <c r="E65" s="144"/>
      <c r="F65" s="19" t="s">
        <v>508</v>
      </c>
      <c r="G65" s="19" t="s">
        <v>504</v>
      </c>
      <c r="H65" s="21" t="s">
        <v>602</v>
      </c>
      <c r="I65" s="21" t="s">
        <v>603</v>
      </c>
    </row>
    <row r="66" spans="1:9" ht="39.6" x14ac:dyDescent="0.3">
      <c r="A66" s="24">
        <v>61</v>
      </c>
      <c r="B66" s="143" t="s">
        <v>509</v>
      </c>
      <c r="C66" s="143" t="s">
        <v>345</v>
      </c>
      <c r="D66" s="143" t="s">
        <v>481</v>
      </c>
      <c r="E66" s="144"/>
      <c r="F66" s="19" t="s">
        <v>510</v>
      </c>
      <c r="G66" s="19" t="s">
        <v>504</v>
      </c>
      <c r="H66" s="21" t="s">
        <v>602</v>
      </c>
      <c r="I66" s="21" t="s">
        <v>603</v>
      </c>
    </row>
    <row r="67" spans="1:9" ht="39.6" x14ac:dyDescent="0.3">
      <c r="A67" s="24">
        <v>62</v>
      </c>
      <c r="B67" s="143" t="s">
        <v>511</v>
      </c>
      <c r="C67" s="143" t="s">
        <v>345</v>
      </c>
      <c r="D67" s="143" t="s">
        <v>481</v>
      </c>
      <c r="E67" s="144"/>
      <c r="F67" s="19" t="s">
        <v>512</v>
      </c>
      <c r="G67" s="19" t="s">
        <v>504</v>
      </c>
      <c r="H67" s="21" t="s">
        <v>602</v>
      </c>
      <c r="I67" s="21" t="s">
        <v>603</v>
      </c>
    </row>
    <row r="68" spans="1:9" ht="39.6" x14ac:dyDescent="0.3">
      <c r="A68" s="24">
        <v>63</v>
      </c>
      <c r="B68" s="143" t="s">
        <v>513</v>
      </c>
      <c r="C68" s="143" t="s">
        <v>514</v>
      </c>
      <c r="D68" s="144" t="s">
        <v>515</v>
      </c>
      <c r="E68" s="144"/>
      <c r="F68" s="19" t="s">
        <v>516</v>
      </c>
      <c r="G68" s="19" t="s">
        <v>504</v>
      </c>
      <c r="H68" s="21" t="s">
        <v>602</v>
      </c>
      <c r="I68" s="21" t="s">
        <v>603</v>
      </c>
    </row>
    <row r="69" spans="1:9" ht="39.6" x14ac:dyDescent="0.3">
      <c r="A69" s="24">
        <v>64</v>
      </c>
      <c r="B69" s="143" t="s">
        <v>517</v>
      </c>
      <c r="C69" s="143" t="s">
        <v>514</v>
      </c>
      <c r="D69" s="143" t="s">
        <v>518</v>
      </c>
      <c r="E69" s="144"/>
      <c r="F69" s="19" t="s">
        <v>519</v>
      </c>
      <c r="G69" s="19" t="s">
        <v>504</v>
      </c>
      <c r="H69" s="21" t="s">
        <v>602</v>
      </c>
      <c r="I69" s="21" t="s">
        <v>603</v>
      </c>
    </row>
    <row r="70" spans="1:9" ht="39.6" x14ac:dyDescent="0.3">
      <c r="A70" s="24">
        <v>65</v>
      </c>
      <c r="B70" s="143" t="s">
        <v>520</v>
      </c>
      <c r="C70" s="143" t="s">
        <v>514</v>
      </c>
      <c r="D70" s="143" t="s">
        <v>518</v>
      </c>
      <c r="E70" s="144"/>
      <c r="F70" s="19" t="s">
        <v>521</v>
      </c>
      <c r="G70" s="19" t="s">
        <v>504</v>
      </c>
      <c r="H70" s="21" t="s">
        <v>602</v>
      </c>
      <c r="I70" s="21" t="s">
        <v>603</v>
      </c>
    </row>
    <row r="71" spans="1:9" ht="39.6" x14ac:dyDescent="0.3">
      <c r="A71" s="24">
        <v>66</v>
      </c>
      <c r="B71" s="143" t="s">
        <v>522</v>
      </c>
      <c r="C71" s="143" t="s">
        <v>523</v>
      </c>
      <c r="D71" s="144" t="s">
        <v>524</v>
      </c>
      <c r="E71" s="144"/>
      <c r="F71" s="19" t="s">
        <v>525</v>
      </c>
      <c r="G71" s="19" t="s">
        <v>504</v>
      </c>
      <c r="H71" s="21" t="s">
        <v>602</v>
      </c>
      <c r="I71" s="21" t="s">
        <v>603</v>
      </c>
    </row>
    <row r="72" spans="1:9" ht="39.6" x14ac:dyDescent="0.3">
      <c r="A72" s="24">
        <v>67</v>
      </c>
      <c r="B72" s="143" t="s">
        <v>526</v>
      </c>
      <c r="C72" s="143" t="s">
        <v>365</v>
      </c>
      <c r="D72" s="143" t="s">
        <v>61</v>
      </c>
      <c r="E72" s="144"/>
      <c r="F72" s="19" t="s">
        <v>527</v>
      </c>
      <c r="G72" s="19" t="s">
        <v>504</v>
      </c>
      <c r="H72" s="21" t="s">
        <v>602</v>
      </c>
      <c r="I72" s="21" t="s">
        <v>603</v>
      </c>
    </row>
    <row r="73" spans="1:9" ht="39.6" x14ac:dyDescent="0.3">
      <c r="A73" s="24">
        <v>68</v>
      </c>
      <c r="B73" s="143" t="s">
        <v>528</v>
      </c>
      <c r="C73" s="143" t="s">
        <v>365</v>
      </c>
      <c r="D73" s="144" t="s">
        <v>529</v>
      </c>
      <c r="E73" s="144"/>
      <c r="F73" s="19" t="s">
        <v>530</v>
      </c>
      <c r="G73" s="19" t="s">
        <v>504</v>
      </c>
      <c r="H73" s="21" t="s">
        <v>602</v>
      </c>
      <c r="I73" s="21" t="s">
        <v>603</v>
      </c>
    </row>
    <row r="74" spans="1:9" ht="39.6" x14ac:dyDescent="0.3">
      <c r="A74" s="24">
        <v>69</v>
      </c>
      <c r="B74" s="143" t="s">
        <v>531</v>
      </c>
      <c r="C74" s="143" t="s">
        <v>449</v>
      </c>
      <c r="D74" s="143" t="s">
        <v>532</v>
      </c>
      <c r="E74" s="144"/>
      <c r="F74" s="19" t="s">
        <v>533</v>
      </c>
      <c r="G74" s="19" t="s">
        <v>504</v>
      </c>
      <c r="H74" s="21" t="s">
        <v>602</v>
      </c>
      <c r="I74" s="21" t="s">
        <v>603</v>
      </c>
    </row>
    <row r="75" spans="1:9" ht="39.6" x14ac:dyDescent="0.3">
      <c r="A75" s="24">
        <v>70</v>
      </c>
      <c r="B75" s="143" t="s">
        <v>534</v>
      </c>
      <c r="C75" s="143" t="s">
        <v>449</v>
      </c>
      <c r="D75" s="143" t="s">
        <v>532</v>
      </c>
      <c r="E75" s="144"/>
      <c r="F75" s="19" t="s">
        <v>535</v>
      </c>
      <c r="G75" s="19" t="s">
        <v>504</v>
      </c>
      <c r="H75" s="21" t="s">
        <v>602</v>
      </c>
      <c r="I75" s="21" t="s">
        <v>603</v>
      </c>
    </row>
    <row r="76" spans="1:9" ht="39.6" x14ac:dyDescent="0.3">
      <c r="A76" s="24">
        <v>71</v>
      </c>
      <c r="B76" s="143" t="s">
        <v>536</v>
      </c>
      <c r="C76" s="143" t="s">
        <v>376</v>
      </c>
      <c r="D76" s="143" t="s">
        <v>537</v>
      </c>
      <c r="E76" s="144"/>
      <c r="F76" s="19" t="s">
        <v>538</v>
      </c>
      <c r="G76" s="19" t="s">
        <v>504</v>
      </c>
      <c r="H76" s="21" t="s">
        <v>602</v>
      </c>
      <c r="I76" s="21" t="s">
        <v>603</v>
      </c>
    </row>
    <row r="77" spans="1:9" ht="39.6" x14ac:dyDescent="0.3">
      <c r="A77" s="24">
        <v>72</v>
      </c>
      <c r="B77" s="143" t="s">
        <v>539</v>
      </c>
      <c r="C77" s="143" t="s">
        <v>376</v>
      </c>
      <c r="D77" s="143" t="s">
        <v>205</v>
      </c>
      <c r="E77" s="144"/>
      <c r="F77" s="19" t="s">
        <v>540</v>
      </c>
      <c r="G77" s="19" t="s">
        <v>504</v>
      </c>
      <c r="H77" s="21" t="s">
        <v>602</v>
      </c>
      <c r="I77" s="21" t="s">
        <v>603</v>
      </c>
    </row>
    <row r="78" spans="1:9" ht="39.6" x14ac:dyDescent="0.3">
      <c r="A78" s="24">
        <v>73</v>
      </c>
      <c r="B78" s="143" t="s">
        <v>541</v>
      </c>
      <c r="C78" s="143" t="s">
        <v>542</v>
      </c>
      <c r="D78" s="143" t="s">
        <v>205</v>
      </c>
      <c r="E78" s="144"/>
      <c r="F78" s="19" t="s">
        <v>543</v>
      </c>
      <c r="G78" s="19" t="s">
        <v>504</v>
      </c>
      <c r="H78" s="21" t="s">
        <v>602</v>
      </c>
      <c r="I78" s="21" t="s">
        <v>603</v>
      </c>
    </row>
    <row r="79" spans="1:9" ht="39.6" x14ac:dyDescent="0.3">
      <c r="A79" s="24">
        <v>74</v>
      </c>
      <c r="B79" s="143" t="s">
        <v>544</v>
      </c>
      <c r="C79" s="143" t="s">
        <v>372</v>
      </c>
      <c r="D79" s="143" t="s">
        <v>545</v>
      </c>
      <c r="E79" s="144"/>
      <c r="F79" s="19" t="s">
        <v>546</v>
      </c>
      <c r="G79" s="19" t="s">
        <v>504</v>
      </c>
      <c r="H79" s="21" t="s">
        <v>602</v>
      </c>
      <c r="I79" s="21" t="s">
        <v>603</v>
      </c>
    </row>
    <row r="80" spans="1:9" ht="39.6" x14ac:dyDescent="0.3">
      <c r="A80" s="24">
        <v>75</v>
      </c>
      <c r="B80" s="143" t="s">
        <v>547</v>
      </c>
      <c r="C80" s="143" t="s">
        <v>372</v>
      </c>
      <c r="D80" s="143" t="s">
        <v>475</v>
      </c>
      <c r="E80" s="144"/>
      <c r="F80" s="19" t="s">
        <v>548</v>
      </c>
      <c r="G80" s="19" t="s">
        <v>504</v>
      </c>
      <c r="H80" s="21" t="s">
        <v>602</v>
      </c>
      <c r="I80" s="21" t="s">
        <v>603</v>
      </c>
    </row>
    <row r="81" spans="1:9" ht="39.6" x14ac:dyDescent="0.3">
      <c r="A81" s="24">
        <v>76</v>
      </c>
      <c r="B81" s="143" t="s">
        <v>549</v>
      </c>
      <c r="C81" s="143" t="s">
        <v>372</v>
      </c>
      <c r="D81" s="143" t="s">
        <v>475</v>
      </c>
      <c r="E81" s="144"/>
      <c r="F81" s="19" t="s">
        <v>550</v>
      </c>
      <c r="G81" s="19" t="s">
        <v>504</v>
      </c>
      <c r="H81" s="21" t="s">
        <v>602</v>
      </c>
      <c r="I81" s="21" t="s">
        <v>603</v>
      </c>
    </row>
    <row r="82" spans="1:9" ht="39.6" x14ac:dyDescent="0.3">
      <c r="A82" s="24">
        <v>77</v>
      </c>
      <c r="B82" s="143" t="s">
        <v>551</v>
      </c>
      <c r="C82" s="143" t="s">
        <v>552</v>
      </c>
      <c r="D82" s="143" t="s">
        <v>553</v>
      </c>
      <c r="E82" s="144"/>
      <c r="F82" s="19" t="s">
        <v>554</v>
      </c>
      <c r="G82" s="19" t="s">
        <v>504</v>
      </c>
      <c r="H82" s="21" t="s">
        <v>602</v>
      </c>
      <c r="I82" s="21" t="s">
        <v>603</v>
      </c>
    </row>
    <row r="83" spans="1:9" ht="39.6" x14ac:dyDescent="0.3">
      <c r="A83" s="24">
        <v>78</v>
      </c>
      <c r="B83" s="143" t="s">
        <v>555</v>
      </c>
      <c r="C83" s="143" t="s">
        <v>552</v>
      </c>
      <c r="D83" s="143" t="s">
        <v>556</v>
      </c>
      <c r="E83" s="144"/>
      <c r="F83" s="19" t="s">
        <v>557</v>
      </c>
      <c r="G83" s="19" t="s">
        <v>504</v>
      </c>
      <c r="H83" s="21" t="s">
        <v>602</v>
      </c>
      <c r="I83" s="21" t="s">
        <v>603</v>
      </c>
    </row>
    <row r="84" spans="1:9" ht="39.6" x14ac:dyDescent="0.3">
      <c r="A84" s="24">
        <v>79</v>
      </c>
      <c r="B84" s="143" t="s">
        <v>558</v>
      </c>
      <c r="C84" s="143" t="s">
        <v>552</v>
      </c>
      <c r="D84" s="143" t="s">
        <v>559</v>
      </c>
      <c r="E84" s="144"/>
      <c r="F84" s="19" t="s">
        <v>560</v>
      </c>
      <c r="G84" s="19" t="s">
        <v>504</v>
      </c>
      <c r="H84" s="21" t="s">
        <v>602</v>
      </c>
      <c r="I84" s="21" t="s">
        <v>603</v>
      </c>
    </row>
    <row r="85" spans="1:9" ht="39.6" x14ac:dyDescent="0.3">
      <c r="A85" s="24">
        <v>80</v>
      </c>
      <c r="B85" s="143" t="s">
        <v>561</v>
      </c>
      <c r="C85" s="143" t="s">
        <v>562</v>
      </c>
      <c r="D85" s="143" t="s">
        <v>52</v>
      </c>
      <c r="E85" s="144"/>
      <c r="F85" s="19" t="s">
        <v>563</v>
      </c>
      <c r="G85" s="19" t="s">
        <v>504</v>
      </c>
      <c r="H85" s="21" t="s">
        <v>602</v>
      </c>
      <c r="I85" s="21" t="s">
        <v>603</v>
      </c>
    </row>
    <row r="86" spans="1:9" ht="39.6" x14ac:dyDescent="0.3">
      <c r="A86" s="24">
        <v>81</v>
      </c>
      <c r="B86" s="143" t="s">
        <v>564</v>
      </c>
      <c r="C86" s="143" t="s">
        <v>372</v>
      </c>
      <c r="D86" s="143" t="s">
        <v>565</v>
      </c>
      <c r="E86" s="144"/>
      <c r="F86" s="19" t="s">
        <v>566</v>
      </c>
      <c r="G86" s="19" t="s">
        <v>504</v>
      </c>
      <c r="H86" s="21" t="s">
        <v>602</v>
      </c>
      <c r="I86" s="21" t="s">
        <v>603</v>
      </c>
    </row>
    <row r="87" spans="1:9" ht="39.6" x14ac:dyDescent="0.3">
      <c r="A87" s="24">
        <v>82</v>
      </c>
      <c r="B87" s="143" t="s">
        <v>567</v>
      </c>
      <c r="C87" s="143" t="s">
        <v>365</v>
      </c>
      <c r="D87" s="143" t="s">
        <v>205</v>
      </c>
      <c r="E87" s="144"/>
      <c r="F87" s="19" t="s">
        <v>568</v>
      </c>
      <c r="G87" s="19" t="s">
        <v>504</v>
      </c>
      <c r="H87" s="21" t="s">
        <v>602</v>
      </c>
      <c r="I87" s="21" t="s">
        <v>603</v>
      </c>
    </row>
    <row r="88" spans="1:9" ht="39.6" x14ac:dyDescent="0.3">
      <c r="A88" s="24">
        <v>83</v>
      </c>
      <c r="B88" s="143" t="s">
        <v>569</v>
      </c>
      <c r="C88" s="143" t="s">
        <v>449</v>
      </c>
      <c r="D88" s="143" t="s">
        <v>52</v>
      </c>
      <c r="E88" s="144"/>
      <c r="F88" s="19" t="s">
        <v>570</v>
      </c>
      <c r="G88" s="63">
        <v>40841</v>
      </c>
      <c r="H88" s="21" t="s">
        <v>602</v>
      </c>
      <c r="I88" s="21" t="s">
        <v>603</v>
      </c>
    </row>
    <row r="89" spans="1:9" ht="39.6" x14ac:dyDescent="0.3">
      <c r="A89" s="24">
        <v>84</v>
      </c>
      <c r="B89" s="143" t="s">
        <v>571</v>
      </c>
      <c r="C89" s="143" t="s">
        <v>372</v>
      </c>
      <c r="D89" s="143" t="s">
        <v>572</v>
      </c>
      <c r="E89" s="144"/>
      <c r="F89" s="19" t="s">
        <v>573</v>
      </c>
      <c r="G89" s="63">
        <v>40842</v>
      </c>
      <c r="H89" s="21" t="s">
        <v>602</v>
      </c>
      <c r="I89" s="21" t="s">
        <v>603</v>
      </c>
    </row>
    <row r="90" spans="1:9" ht="39.6" x14ac:dyDescent="0.3">
      <c r="A90" s="24">
        <v>85</v>
      </c>
      <c r="B90" s="143" t="s">
        <v>574</v>
      </c>
      <c r="C90" s="143" t="s">
        <v>372</v>
      </c>
      <c r="D90" s="143" t="s">
        <v>575</v>
      </c>
      <c r="E90" s="144"/>
      <c r="F90" s="19" t="s">
        <v>576</v>
      </c>
      <c r="G90" s="63">
        <v>40842</v>
      </c>
      <c r="H90" s="21" t="s">
        <v>602</v>
      </c>
      <c r="I90" s="21" t="s">
        <v>603</v>
      </c>
    </row>
    <row r="91" spans="1:9" ht="39.6" x14ac:dyDescent="0.3">
      <c r="A91" s="24">
        <v>86</v>
      </c>
      <c r="B91" s="143" t="s">
        <v>577</v>
      </c>
      <c r="C91" s="143" t="s">
        <v>578</v>
      </c>
      <c r="D91" s="144" t="s">
        <v>579</v>
      </c>
      <c r="E91" s="144"/>
      <c r="F91" s="19" t="s">
        <v>580</v>
      </c>
      <c r="G91" s="63">
        <v>40842</v>
      </c>
      <c r="H91" s="21" t="s">
        <v>602</v>
      </c>
      <c r="I91" s="21" t="s">
        <v>603</v>
      </c>
    </row>
    <row r="92" spans="1:9" ht="39.6" x14ac:dyDescent="0.3">
      <c r="A92" s="24">
        <v>87</v>
      </c>
      <c r="B92" s="143" t="s">
        <v>581</v>
      </c>
      <c r="C92" s="143" t="s">
        <v>372</v>
      </c>
      <c r="D92" s="143" t="s">
        <v>582</v>
      </c>
      <c r="E92" s="144"/>
      <c r="F92" s="19" t="s">
        <v>583</v>
      </c>
      <c r="G92" s="19" t="s">
        <v>504</v>
      </c>
      <c r="H92" s="21" t="s">
        <v>602</v>
      </c>
      <c r="I92" s="21" t="s">
        <v>603</v>
      </c>
    </row>
    <row r="93" spans="1:9" ht="39.6" x14ac:dyDescent="0.3">
      <c r="A93" s="24">
        <v>88</v>
      </c>
      <c r="B93" s="145" t="s">
        <v>584</v>
      </c>
      <c r="C93" s="146" t="s">
        <v>372</v>
      </c>
      <c r="D93" s="146" t="s">
        <v>475</v>
      </c>
      <c r="E93" s="147"/>
      <c r="F93" s="64"/>
      <c r="G93" s="19" t="s">
        <v>604</v>
      </c>
      <c r="H93" s="21" t="s">
        <v>602</v>
      </c>
      <c r="I93" s="21" t="s">
        <v>603</v>
      </c>
    </row>
    <row r="94" spans="1:9" ht="28.2" x14ac:dyDescent="0.3">
      <c r="A94" s="131" t="s">
        <v>597</v>
      </c>
      <c r="B94" s="132"/>
      <c r="C94" s="132"/>
      <c r="D94" s="132"/>
      <c r="E94" s="132"/>
      <c r="F94" s="132"/>
      <c r="G94" s="132"/>
      <c r="H94" s="132"/>
      <c r="I94" s="133"/>
    </row>
    <row r="95" spans="1:9" ht="52.8" x14ac:dyDescent="0.3">
      <c r="A95" s="24">
        <v>89</v>
      </c>
      <c r="B95" s="145" t="s">
        <v>605</v>
      </c>
      <c r="C95" s="67" t="s">
        <v>372</v>
      </c>
      <c r="D95" s="147" t="s">
        <v>606</v>
      </c>
      <c r="E95" s="147"/>
      <c r="F95" s="64" t="s">
        <v>607</v>
      </c>
      <c r="G95" s="65" t="s">
        <v>608</v>
      </c>
      <c r="H95" s="73" t="s">
        <v>609</v>
      </c>
      <c r="I95" s="66" t="s">
        <v>610</v>
      </c>
    </row>
    <row r="96" spans="1:9" ht="52.8" x14ac:dyDescent="0.3">
      <c r="A96" s="24">
        <v>90</v>
      </c>
      <c r="B96" s="67" t="s">
        <v>611</v>
      </c>
      <c r="C96" s="67" t="s">
        <v>612</v>
      </c>
      <c r="D96" s="148" t="s">
        <v>613</v>
      </c>
      <c r="E96" s="147"/>
      <c r="F96" s="65" t="s">
        <v>614</v>
      </c>
      <c r="G96" s="65" t="s">
        <v>608</v>
      </c>
      <c r="H96" s="73" t="s">
        <v>609</v>
      </c>
      <c r="I96" s="66" t="s">
        <v>610</v>
      </c>
    </row>
    <row r="97" spans="1:9" ht="52.8" x14ac:dyDescent="0.3">
      <c r="A97" s="24">
        <v>91</v>
      </c>
      <c r="B97" s="67" t="s">
        <v>615</v>
      </c>
      <c r="C97" s="67" t="s">
        <v>612</v>
      </c>
      <c r="D97" s="67" t="s">
        <v>616</v>
      </c>
      <c r="E97" s="147"/>
      <c r="F97" s="65" t="s">
        <v>617</v>
      </c>
      <c r="G97" s="65" t="s">
        <v>618</v>
      </c>
      <c r="H97" s="73" t="s">
        <v>609</v>
      </c>
      <c r="I97" s="66" t="s">
        <v>610</v>
      </c>
    </row>
    <row r="98" spans="1:9" ht="52.8" x14ac:dyDescent="0.3">
      <c r="A98" s="24">
        <v>92</v>
      </c>
      <c r="B98" s="67" t="s">
        <v>619</v>
      </c>
      <c r="C98" s="67" t="s">
        <v>612</v>
      </c>
      <c r="D98" s="67" t="s">
        <v>620</v>
      </c>
      <c r="E98" s="147"/>
      <c r="F98" s="65" t="s">
        <v>621</v>
      </c>
      <c r="G98" s="65" t="s">
        <v>622</v>
      </c>
      <c r="H98" s="73" t="s">
        <v>609</v>
      </c>
      <c r="I98" s="66" t="s">
        <v>610</v>
      </c>
    </row>
    <row r="99" spans="1:9" ht="52.8" x14ac:dyDescent="0.3">
      <c r="A99" s="24">
        <v>93</v>
      </c>
      <c r="B99" s="67" t="s">
        <v>623</v>
      </c>
      <c r="C99" s="67" t="s">
        <v>612</v>
      </c>
      <c r="D99" s="67" t="s">
        <v>624</v>
      </c>
      <c r="E99" s="147"/>
      <c r="F99" s="65" t="s">
        <v>625</v>
      </c>
      <c r="G99" s="65" t="s">
        <v>626</v>
      </c>
      <c r="H99" s="73" t="s">
        <v>609</v>
      </c>
      <c r="I99" s="66" t="s">
        <v>610</v>
      </c>
    </row>
    <row r="100" spans="1:9" ht="52.8" x14ac:dyDescent="0.3">
      <c r="A100" s="24">
        <v>94</v>
      </c>
      <c r="B100" s="67" t="s">
        <v>627</v>
      </c>
      <c r="C100" s="67" t="s">
        <v>628</v>
      </c>
      <c r="D100" s="67" t="s">
        <v>629</v>
      </c>
      <c r="E100" s="147"/>
      <c r="F100" s="65" t="s">
        <v>630</v>
      </c>
      <c r="G100" s="65" t="s">
        <v>631</v>
      </c>
      <c r="H100" s="73" t="s">
        <v>609</v>
      </c>
      <c r="I100" s="66" t="s">
        <v>610</v>
      </c>
    </row>
    <row r="101" spans="1:9" ht="52.8" x14ac:dyDescent="0.3">
      <c r="A101" s="24">
        <v>95</v>
      </c>
      <c r="B101" s="67" t="s">
        <v>632</v>
      </c>
      <c r="C101" s="67" t="s">
        <v>372</v>
      </c>
      <c r="D101" s="67" t="s">
        <v>633</v>
      </c>
      <c r="E101" s="147"/>
      <c r="F101" s="65" t="s">
        <v>634</v>
      </c>
      <c r="G101" s="65" t="s">
        <v>635</v>
      </c>
      <c r="H101" s="73" t="s">
        <v>609</v>
      </c>
      <c r="I101" s="66" t="s">
        <v>610</v>
      </c>
    </row>
    <row r="102" spans="1:9" ht="52.8" x14ac:dyDescent="0.3">
      <c r="A102" s="24">
        <v>96</v>
      </c>
      <c r="B102" s="67" t="s">
        <v>636</v>
      </c>
      <c r="C102" s="67" t="s">
        <v>372</v>
      </c>
      <c r="D102" s="67" t="s">
        <v>637</v>
      </c>
      <c r="E102" s="147"/>
      <c r="F102" s="65" t="s">
        <v>638</v>
      </c>
      <c r="G102" s="65" t="s">
        <v>639</v>
      </c>
      <c r="H102" s="73" t="s">
        <v>609</v>
      </c>
      <c r="I102" s="66" t="s">
        <v>610</v>
      </c>
    </row>
    <row r="103" spans="1:9" ht="52.8" x14ac:dyDescent="0.3">
      <c r="A103" s="24">
        <v>97</v>
      </c>
      <c r="B103" s="67" t="s">
        <v>640</v>
      </c>
      <c r="C103" s="67" t="s">
        <v>372</v>
      </c>
      <c r="D103" s="67" t="s">
        <v>641</v>
      </c>
      <c r="E103" s="147"/>
      <c r="F103" s="67">
        <v>30466507481</v>
      </c>
      <c r="G103" s="65" t="s">
        <v>642</v>
      </c>
      <c r="H103" s="73" t="s">
        <v>609</v>
      </c>
      <c r="I103" s="66" t="s">
        <v>610</v>
      </c>
    </row>
    <row r="104" spans="1:9" ht="52.8" x14ac:dyDescent="0.3">
      <c r="A104" s="24">
        <v>98</v>
      </c>
      <c r="B104" s="67" t="s">
        <v>643</v>
      </c>
      <c r="C104" s="67" t="s">
        <v>628</v>
      </c>
      <c r="D104" s="67" t="s">
        <v>481</v>
      </c>
      <c r="E104" s="147"/>
      <c r="F104" s="65" t="s">
        <v>644</v>
      </c>
      <c r="G104" s="65" t="s">
        <v>645</v>
      </c>
      <c r="H104" s="73" t="s">
        <v>609</v>
      </c>
      <c r="I104" s="66" t="s">
        <v>610</v>
      </c>
    </row>
    <row r="105" spans="1:9" ht="52.8" x14ac:dyDescent="0.3">
      <c r="A105" s="24">
        <v>99</v>
      </c>
      <c r="B105" s="67" t="s">
        <v>646</v>
      </c>
      <c r="C105" s="67" t="s">
        <v>628</v>
      </c>
      <c r="D105" s="67" t="s">
        <v>481</v>
      </c>
      <c r="E105" s="147"/>
      <c r="F105" s="65" t="s">
        <v>647</v>
      </c>
      <c r="G105" s="65" t="s">
        <v>648</v>
      </c>
      <c r="H105" s="73" t="s">
        <v>609</v>
      </c>
      <c r="I105" s="66" t="s">
        <v>610</v>
      </c>
    </row>
    <row r="106" spans="1:9" ht="52.8" x14ac:dyDescent="0.3">
      <c r="A106" s="24">
        <v>100</v>
      </c>
      <c r="B106" s="67" t="s">
        <v>649</v>
      </c>
      <c r="C106" s="67" t="s">
        <v>628</v>
      </c>
      <c r="D106" s="67" t="s">
        <v>481</v>
      </c>
      <c r="E106" s="147"/>
      <c r="F106" s="65" t="s">
        <v>650</v>
      </c>
      <c r="G106" s="65" t="s">
        <v>651</v>
      </c>
      <c r="H106" s="73" t="s">
        <v>609</v>
      </c>
      <c r="I106" s="66" t="s">
        <v>610</v>
      </c>
    </row>
    <row r="107" spans="1:9" ht="52.8" x14ac:dyDescent="0.3">
      <c r="A107" s="24">
        <v>101</v>
      </c>
      <c r="B107" s="67" t="s">
        <v>652</v>
      </c>
      <c r="C107" s="67" t="s">
        <v>653</v>
      </c>
      <c r="D107" s="67" t="s">
        <v>654</v>
      </c>
      <c r="E107" s="147"/>
      <c r="F107" s="65" t="s">
        <v>655</v>
      </c>
      <c r="G107" s="65" t="s">
        <v>656</v>
      </c>
      <c r="H107" s="73" t="s">
        <v>609</v>
      </c>
      <c r="I107" s="66" t="s">
        <v>610</v>
      </c>
    </row>
    <row r="108" spans="1:9" ht="52.8" x14ac:dyDescent="0.3">
      <c r="A108" s="24">
        <v>102</v>
      </c>
      <c r="B108" s="67" t="s">
        <v>657</v>
      </c>
      <c r="C108" s="67" t="s">
        <v>606</v>
      </c>
      <c r="D108" s="149" t="s">
        <v>658</v>
      </c>
      <c r="E108" s="147"/>
      <c r="F108" s="65" t="s">
        <v>659</v>
      </c>
      <c r="G108" s="65" t="s">
        <v>660</v>
      </c>
      <c r="H108" s="73" t="s">
        <v>609</v>
      </c>
      <c r="I108" s="66" t="s">
        <v>610</v>
      </c>
    </row>
    <row r="109" spans="1:9" ht="52.8" x14ac:dyDescent="0.3">
      <c r="A109" s="24">
        <v>103</v>
      </c>
      <c r="B109" s="67" t="s">
        <v>433</v>
      </c>
      <c r="C109" s="67" t="s">
        <v>606</v>
      </c>
      <c r="D109" s="67" t="s">
        <v>661</v>
      </c>
      <c r="E109" s="147"/>
      <c r="F109" s="65" t="s">
        <v>662</v>
      </c>
      <c r="G109" s="65" t="s">
        <v>663</v>
      </c>
      <c r="H109" s="73" t="s">
        <v>609</v>
      </c>
      <c r="I109" s="66" t="s">
        <v>610</v>
      </c>
    </row>
    <row r="110" spans="1:9" ht="52.8" x14ac:dyDescent="0.3">
      <c r="A110" s="24">
        <v>104</v>
      </c>
      <c r="B110" s="67" t="s">
        <v>664</v>
      </c>
      <c r="C110" s="67" t="s">
        <v>606</v>
      </c>
      <c r="D110" s="67" t="s">
        <v>665</v>
      </c>
      <c r="E110" s="147"/>
      <c r="F110" s="65" t="s">
        <v>666</v>
      </c>
      <c r="G110" s="65" t="s">
        <v>667</v>
      </c>
      <c r="H110" s="73" t="s">
        <v>609</v>
      </c>
      <c r="I110" s="66" t="s">
        <v>610</v>
      </c>
    </row>
    <row r="111" spans="1:9" ht="52.8" x14ac:dyDescent="0.3">
      <c r="A111" s="24">
        <v>105</v>
      </c>
      <c r="B111" s="67" t="s">
        <v>668</v>
      </c>
      <c r="C111" s="67" t="s">
        <v>372</v>
      </c>
      <c r="D111" s="67" t="s">
        <v>669</v>
      </c>
      <c r="E111" s="147"/>
      <c r="F111" s="65" t="s">
        <v>670</v>
      </c>
      <c r="G111" s="65" t="s">
        <v>671</v>
      </c>
      <c r="H111" s="73" t="s">
        <v>609</v>
      </c>
      <c r="I111" s="66" t="s">
        <v>610</v>
      </c>
    </row>
    <row r="112" spans="1:9" ht="52.8" x14ac:dyDescent="0.3">
      <c r="A112" s="24">
        <v>106</v>
      </c>
      <c r="B112" s="67" t="s">
        <v>672</v>
      </c>
      <c r="C112" s="67" t="s">
        <v>673</v>
      </c>
      <c r="D112" s="67" t="s">
        <v>674</v>
      </c>
      <c r="E112" s="147"/>
      <c r="F112" s="65" t="s">
        <v>675</v>
      </c>
      <c r="G112" s="65" t="s">
        <v>676</v>
      </c>
      <c r="H112" s="73" t="s">
        <v>609</v>
      </c>
      <c r="I112" s="66" t="s">
        <v>610</v>
      </c>
    </row>
    <row r="113" spans="1:9" ht="52.8" x14ac:dyDescent="0.3">
      <c r="A113" s="24">
        <v>107</v>
      </c>
      <c r="B113" s="67" t="s">
        <v>677</v>
      </c>
      <c r="C113" s="67" t="s">
        <v>372</v>
      </c>
      <c r="D113" s="67" t="s">
        <v>678</v>
      </c>
      <c r="E113" s="147"/>
      <c r="F113" s="65" t="s">
        <v>679</v>
      </c>
      <c r="G113" s="65" t="s">
        <v>680</v>
      </c>
      <c r="H113" s="73" t="s">
        <v>609</v>
      </c>
      <c r="I113" s="66" t="s">
        <v>610</v>
      </c>
    </row>
    <row r="114" spans="1:9" ht="52.8" x14ac:dyDescent="0.3">
      <c r="A114" s="24">
        <v>108</v>
      </c>
      <c r="B114" s="67" t="s">
        <v>681</v>
      </c>
      <c r="C114" s="67" t="s">
        <v>682</v>
      </c>
      <c r="D114" s="67" t="s">
        <v>683</v>
      </c>
      <c r="E114" s="147"/>
      <c r="F114" s="65" t="s">
        <v>684</v>
      </c>
      <c r="G114" s="65" t="s">
        <v>685</v>
      </c>
      <c r="H114" s="73" t="s">
        <v>609</v>
      </c>
      <c r="I114" s="66" t="s">
        <v>610</v>
      </c>
    </row>
    <row r="115" spans="1:9" ht="52.8" x14ac:dyDescent="0.3">
      <c r="A115" s="24">
        <v>109</v>
      </c>
      <c r="B115" s="67" t="s">
        <v>686</v>
      </c>
      <c r="C115" s="67" t="s">
        <v>682</v>
      </c>
      <c r="D115" s="67" t="s">
        <v>687</v>
      </c>
      <c r="E115" s="150" t="s">
        <v>688</v>
      </c>
      <c r="F115" s="65" t="s">
        <v>689</v>
      </c>
      <c r="G115" s="65" t="s">
        <v>690</v>
      </c>
      <c r="H115" s="73" t="s">
        <v>609</v>
      </c>
      <c r="I115" s="66" t="s">
        <v>610</v>
      </c>
    </row>
    <row r="116" spans="1:9" ht="52.8" x14ac:dyDescent="0.3">
      <c r="A116" s="24">
        <v>110</v>
      </c>
      <c r="B116" s="67" t="s">
        <v>691</v>
      </c>
      <c r="C116" s="67" t="s">
        <v>692</v>
      </c>
      <c r="D116" s="67" t="s">
        <v>693</v>
      </c>
      <c r="E116" s="150" t="s">
        <v>694</v>
      </c>
      <c r="F116" s="65" t="s">
        <v>695</v>
      </c>
      <c r="G116" s="65" t="s">
        <v>696</v>
      </c>
      <c r="H116" s="73" t="s">
        <v>609</v>
      </c>
      <c r="I116" s="66" t="s">
        <v>610</v>
      </c>
    </row>
    <row r="117" spans="1:9" ht="52.8" x14ac:dyDescent="0.3">
      <c r="A117" s="24">
        <v>111</v>
      </c>
      <c r="B117" s="67" t="s">
        <v>697</v>
      </c>
      <c r="C117" s="67" t="s">
        <v>372</v>
      </c>
      <c r="D117" s="67" t="s">
        <v>698</v>
      </c>
      <c r="E117" s="150" t="s">
        <v>699</v>
      </c>
      <c r="F117" s="65" t="s">
        <v>700</v>
      </c>
      <c r="G117" s="65" t="s">
        <v>701</v>
      </c>
      <c r="H117" s="73" t="s">
        <v>609</v>
      </c>
      <c r="I117" s="66" t="s">
        <v>610</v>
      </c>
    </row>
    <row r="118" spans="1:9" ht="52.8" x14ac:dyDescent="0.3">
      <c r="A118" s="24">
        <v>112</v>
      </c>
      <c r="B118" s="67" t="s">
        <v>702</v>
      </c>
      <c r="C118" s="67" t="s">
        <v>372</v>
      </c>
      <c r="D118" s="67" t="s">
        <v>703</v>
      </c>
      <c r="E118" s="150" t="s">
        <v>704</v>
      </c>
      <c r="F118" s="65" t="s">
        <v>705</v>
      </c>
      <c r="G118" s="65" t="s">
        <v>706</v>
      </c>
      <c r="H118" s="73" t="s">
        <v>609</v>
      </c>
      <c r="I118" s="66" t="s">
        <v>610</v>
      </c>
    </row>
    <row r="119" spans="1:9" ht="52.8" x14ac:dyDescent="0.3">
      <c r="A119" s="24">
        <v>113</v>
      </c>
      <c r="B119" s="67" t="s">
        <v>707</v>
      </c>
      <c r="C119" s="67" t="s">
        <v>372</v>
      </c>
      <c r="D119" s="67" t="s">
        <v>708</v>
      </c>
      <c r="E119" s="147"/>
      <c r="F119" s="65" t="s">
        <v>709</v>
      </c>
      <c r="G119" s="65" t="s">
        <v>710</v>
      </c>
      <c r="H119" s="73" t="s">
        <v>609</v>
      </c>
      <c r="I119" s="66" t="s">
        <v>610</v>
      </c>
    </row>
    <row r="120" spans="1:9" ht="52.8" x14ac:dyDescent="0.3">
      <c r="A120" s="24">
        <v>114</v>
      </c>
      <c r="B120" s="67" t="s">
        <v>711</v>
      </c>
      <c r="C120" s="67" t="s">
        <v>372</v>
      </c>
      <c r="D120" s="67" t="s">
        <v>712</v>
      </c>
      <c r="E120" s="147"/>
      <c r="F120" s="65" t="s">
        <v>713</v>
      </c>
      <c r="G120" s="65" t="s">
        <v>714</v>
      </c>
      <c r="H120" s="73" t="s">
        <v>609</v>
      </c>
      <c r="I120" s="66" t="s">
        <v>610</v>
      </c>
    </row>
    <row r="121" spans="1:9" ht="52.8" x14ac:dyDescent="0.3">
      <c r="A121" s="24">
        <v>115</v>
      </c>
      <c r="B121" s="67" t="s">
        <v>715</v>
      </c>
      <c r="C121" s="67" t="s">
        <v>372</v>
      </c>
      <c r="D121" s="67" t="s">
        <v>716</v>
      </c>
      <c r="E121" s="147"/>
      <c r="F121" s="65" t="s">
        <v>717</v>
      </c>
      <c r="G121" s="65" t="s">
        <v>718</v>
      </c>
      <c r="H121" s="73" t="s">
        <v>609</v>
      </c>
      <c r="I121" s="66" t="s">
        <v>610</v>
      </c>
    </row>
    <row r="122" spans="1:9" ht="52.8" x14ac:dyDescent="0.3">
      <c r="A122" s="24">
        <v>116</v>
      </c>
      <c r="B122" s="67" t="s">
        <v>719</v>
      </c>
      <c r="C122" s="67" t="s">
        <v>372</v>
      </c>
      <c r="D122" s="67" t="s">
        <v>720</v>
      </c>
      <c r="E122" s="147"/>
      <c r="F122" s="65" t="s">
        <v>721</v>
      </c>
      <c r="G122" s="65" t="s">
        <v>722</v>
      </c>
      <c r="H122" s="73" t="s">
        <v>609</v>
      </c>
      <c r="I122" s="66" t="s">
        <v>610</v>
      </c>
    </row>
    <row r="123" spans="1:9" ht="52.8" x14ac:dyDescent="0.3">
      <c r="A123" s="24">
        <v>117</v>
      </c>
      <c r="B123" s="67" t="s">
        <v>723</v>
      </c>
      <c r="C123" s="67" t="s">
        <v>724</v>
      </c>
      <c r="D123" s="67" t="s">
        <v>725</v>
      </c>
      <c r="E123" s="150" t="s">
        <v>726</v>
      </c>
      <c r="F123" s="65" t="s">
        <v>727</v>
      </c>
      <c r="G123" s="65" t="s">
        <v>728</v>
      </c>
      <c r="H123" s="73" t="s">
        <v>609</v>
      </c>
      <c r="I123" s="66" t="s">
        <v>610</v>
      </c>
    </row>
    <row r="124" spans="1:9" ht="52.8" x14ac:dyDescent="0.3">
      <c r="A124" s="24">
        <v>118</v>
      </c>
      <c r="B124" s="67" t="s">
        <v>729</v>
      </c>
      <c r="C124" s="67" t="s">
        <v>730</v>
      </c>
      <c r="D124" s="67" t="s">
        <v>731</v>
      </c>
      <c r="E124" s="150"/>
      <c r="F124" s="65" t="s">
        <v>732</v>
      </c>
      <c r="G124" s="65" t="s">
        <v>733</v>
      </c>
      <c r="H124" s="73" t="s">
        <v>609</v>
      </c>
      <c r="I124" s="66" t="s">
        <v>610</v>
      </c>
    </row>
    <row r="125" spans="1:9" ht="52.8" x14ac:dyDescent="0.3">
      <c r="A125" s="24">
        <v>119</v>
      </c>
      <c r="B125" s="67" t="s">
        <v>677</v>
      </c>
      <c r="C125" s="67" t="s">
        <v>628</v>
      </c>
      <c r="D125" s="67" t="s">
        <v>716</v>
      </c>
      <c r="E125" s="147"/>
      <c r="F125" s="65" t="s">
        <v>734</v>
      </c>
      <c r="G125" s="65" t="s">
        <v>735</v>
      </c>
      <c r="H125" s="73" t="s">
        <v>609</v>
      </c>
      <c r="I125" s="66" t="s">
        <v>610</v>
      </c>
    </row>
    <row r="126" spans="1:9" ht="52.8" x14ac:dyDescent="0.3">
      <c r="A126" s="24">
        <v>120</v>
      </c>
      <c r="B126" s="67" t="s">
        <v>460</v>
      </c>
      <c r="C126" s="67" t="s">
        <v>388</v>
      </c>
      <c r="D126" s="146"/>
      <c r="E126" s="151" t="s">
        <v>736</v>
      </c>
      <c r="F126" s="65" t="s">
        <v>737</v>
      </c>
      <c r="G126" s="65" t="s">
        <v>738</v>
      </c>
      <c r="H126" s="73" t="s">
        <v>609</v>
      </c>
      <c r="I126" s="66" t="s">
        <v>610</v>
      </c>
    </row>
    <row r="127" spans="1:9" ht="52.8" x14ac:dyDescent="0.3">
      <c r="A127" s="24">
        <v>121</v>
      </c>
      <c r="B127" s="67" t="s">
        <v>739</v>
      </c>
      <c r="C127" s="67" t="s">
        <v>692</v>
      </c>
      <c r="D127" s="67" t="s">
        <v>740</v>
      </c>
      <c r="E127" s="150" t="s">
        <v>741</v>
      </c>
      <c r="F127" s="65" t="s">
        <v>742</v>
      </c>
      <c r="G127" s="65" t="s">
        <v>743</v>
      </c>
      <c r="H127" s="73" t="s">
        <v>609</v>
      </c>
      <c r="I127" s="66" t="s">
        <v>610</v>
      </c>
    </row>
    <row r="128" spans="1:9" ht="52.8" x14ac:dyDescent="0.3">
      <c r="A128" s="24">
        <v>122</v>
      </c>
      <c r="B128" s="67" t="s">
        <v>744</v>
      </c>
      <c r="C128" s="67" t="s">
        <v>745</v>
      </c>
      <c r="D128" s="146"/>
      <c r="E128" s="147"/>
      <c r="F128" s="65" t="s">
        <v>746</v>
      </c>
      <c r="G128" s="65" t="s">
        <v>747</v>
      </c>
      <c r="H128" s="73" t="s">
        <v>609</v>
      </c>
      <c r="I128" s="66" t="s">
        <v>610</v>
      </c>
    </row>
    <row r="129" spans="1:9" ht="28.2" x14ac:dyDescent="0.3">
      <c r="A129" s="131" t="s">
        <v>29</v>
      </c>
      <c r="B129" s="132"/>
      <c r="C129" s="132"/>
      <c r="D129" s="132"/>
      <c r="E129" s="132"/>
      <c r="F129" s="132"/>
      <c r="G129" s="132"/>
      <c r="H129" s="132"/>
      <c r="I129" s="133"/>
    </row>
    <row r="130" spans="1:9" ht="66.599999999999994" x14ac:dyDescent="0.3">
      <c r="A130" s="141">
        <v>123</v>
      </c>
      <c r="B130" s="152" t="s">
        <v>1279</v>
      </c>
      <c r="C130" s="152" t="s">
        <v>1280</v>
      </c>
      <c r="D130" s="152" t="s">
        <v>224</v>
      </c>
      <c r="E130" s="153" t="s">
        <v>1286</v>
      </c>
      <c r="F130" s="138" t="s">
        <v>1281</v>
      </c>
      <c r="G130" s="138" t="s">
        <v>1282</v>
      </c>
      <c r="H130" s="139" t="s">
        <v>1283</v>
      </c>
      <c r="I130" s="139" t="s">
        <v>1284</v>
      </c>
    </row>
    <row r="131" spans="1:9" ht="66.599999999999994" x14ac:dyDescent="0.3">
      <c r="A131" s="141">
        <v>124</v>
      </c>
      <c r="B131" s="152" t="s">
        <v>1285</v>
      </c>
      <c r="C131" s="152" t="s">
        <v>1280</v>
      </c>
      <c r="D131" s="154" t="s">
        <v>224</v>
      </c>
      <c r="E131" s="155" t="s">
        <v>1288</v>
      </c>
      <c r="F131" s="138" t="s">
        <v>1287</v>
      </c>
      <c r="G131" s="138" t="s">
        <v>1282</v>
      </c>
      <c r="H131" s="139" t="s">
        <v>1283</v>
      </c>
      <c r="I131" s="139" t="s">
        <v>1284</v>
      </c>
    </row>
    <row r="132" spans="1:9" ht="66.599999999999994" x14ac:dyDescent="0.3">
      <c r="A132" s="141">
        <v>125</v>
      </c>
      <c r="B132" s="152" t="s">
        <v>1289</v>
      </c>
      <c r="C132" s="152" t="s">
        <v>1290</v>
      </c>
      <c r="D132" s="152" t="s">
        <v>1291</v>
      </c>
      <c r="E132" s="153" t="s">
        <v>1292</v>
      </c>
      <c r="F132" s="138" t="s">
        <v>1293</v>
      </c>
      <c r="G132" s="138" t="s">
        <v>1282</v>
      </c>
      <c r="H132" s="139" t="s">
        <v>1283</v>
      </c>
      <c r="I132" s="139" t="s">
        <v>1284</v>
      </c>
    </row>
    <row r="133" spans="1:9" ht="66.599999999999994" x14ac:dyDescent="0.3">
      <c r="A133" s="141">
        <v>126</v>
      </c>
      <c r="B133" s="152" t="s">
        <v>1294</v>
      </c>
      <c r="C133" s="152" t="s">
        <v>1290</v>
      </c>
      <c r="D133" s="154" t="s">
        <v>86</v>
      </c>
      <c r="E133" s="155" t="s">
        <v>1295</v>
      </c>
      <c r="F133" s="138" t="s">
        <v>1296</v>
      </c>
      <c r="G133" s="138" t="s">
        <v>1282</v>
      </c>
      <c r="H133" s="139" t="s">
        <v>1283</v>
      </c>
      <c r="I133" s="139" t="s">
        <v>1284</v>
      </c>
    </row>
    <row r="134" spans="1:9" ht="66.599999999999994" x14ac:dyDescent="0.3">
      <c r="A134" s="141">
        <v>127</v>
      </c>
      <c r="B134" s="152" t="s">
        <v>1297</v>
      </c>
      <c r="C134" s="152" t="s">
        <v>376</v>
      </c>
      <c r="D134" s="152" t="s">
        <v>450</v>
      </c>
      <c r="E134" s="153" t="s">
        <v>1298</v>
      </c>
      <c r="F134" s="138" t="s">
        <v>1299</v>
      </c>
      <c r="G134" s="138" t="s">
        <v>1282</v>
      </c>
      <c r="H134" s="139" t="s">
        <v>1283</v>
      </c>
      <c r="I134" s="139" t="s">
        <v>1284</v>
      </c>
    </row>
    <row r="135" spans="1:9" ht="66.599999999999994" x14ac:dyDescent="0.3">
      <c r="A135" s="141">
        <v>128</v>
      </c>
      <c r="B135" s="152" t="s">
        <v>1300</v>
      </c>
      <c r="C135" s="152" t="s">
        <v>376</v>
      </c>
      <c r="D135" s="154" t="s">
        <v>450</v>
      </c>
      <c r="E135" s="155" t="s">
        <v>1301</v>
      </c>
      <c r="F135" s="138" t="s">
        <v>1299</v>
      </c>
      <c r="G135" s="138" t="s">
        <v>1282</v>
      </c>
      <c r="H135" s="139" t="s">
        <v>1283</v>
      </c>
      <c r="I135" s="139" t="s">
        <v>1284</v>
      </c>
    </row>
    <row r="136" spans="1:9" ht="66.599999999999994" x14ac:dyDescent="0.3">
      <c r="A136" s="141">
        <v>129</v>
      </c>
      <c r="B136" s="152" t="s">
        <v>1302</v>
      </c>
      <c r="C136" s="152" t="s">
        <v>85</v>
      </c>
      <c r="D136" s="152" t="s">
        <v>1303</v>
      </c>
      <c r="E136" s="153" t="s">
        <v>1325</v>
      </c>
      <c r="F136" s="138" t="s">
        <v>1304</v>
      </c>
      <c r="G136" s="138" t="s">
        <v>1282</v>
      </c>
      <c r="H136" s="139" t="s">
        <v>1283</v>
      </c>
      <c r="I136" s="139" t="s">
        <v>1284</v>
      </c>
    </row>
    <row r="137" spans="1:9" ht="66.599999999999994" x14ac:dyDescent="0.3">
      <c r="A137" s="141">
        <v>130</v>
      </c>
      <c r="B137" s="152" t="s">
        <v>1305</v>
      </c>
      <c r="C137" s="152" t="s">
        <v>85</v>
      </c>
      <c r="D137" s="156" t="s">
        <v>1306</v>
      </c>
      <c r="E137" s="155" t="s">
        <v>1307</v>
      </c>
      <c r="F137" s="138" t="s">
        <v>1308</v>
      </c>
      <c r="G137" s="138" t="s">
        <v>1282</v>
      </c>
      <c r="H137" s="139" t="s">
        <v>1283</v>
      </c>
      <c r="I137" s="139" t="s">
        <v>1284</v>
      </c>
    </row>
    <row r="138" spans="1:9" ht="66.599999999999994" x14ac:dyDescent="0.3">
      <c r="A138" s="141">
        <v>131</v>
      </c>
      <c r="B138" s="152" t="s">
        <v>1309</v>
      </c>
      <c r="C138" s="152" t="s">
        <v>1310</v>
      </c>
      <c r="D138" s="157" t="s">
        <v>1311</v>
      </c>
      <c r="E138" s="155" t="s">
        <v>1313</v>
      </c>
      <c r="F138" s="138" t="s">
        <v>1312</v>
      </c>
      <c r="G138" s="138" t="s">
        <v>1282</v>
      </c>
      <c r="H138" s="139" t="s">
        <v>1283</v>
      </c>
      <c r="I138" s="139" t="s">
        <v>1284</v>
      </c>
    </row>
    <row r="139" spans="1:9" ht="66.599999999999994" x14ac:dyDescent="0.3">
      <c r="A139" s="141">
        <v>132</v>
      </c>
      <c r="B139" s="152" t="s">
        <v>1314</v>
      </c>
      <c r="C139" s="152" t="s">
        <v>523</v>
      </c>
      <c r="D139" s="157" t="s">
        <v>1315</v>
      </c>
      <c r="E139" s="155" t="s">
        <v>1316</v>
      </c>
      <c r="F139" s="138" t="s">
        <v>1317</v>
      </c>
      <c r="G139" s="138" t="s">
        <v>1282</v>
      </c>
      <c r="H139" s="139" t="s">
        <v>1283</v>
      </c>
      <c r="I139" s="139" t="s">
        <v>1284</v>
      </c>
    </row>
    <row r="140" spans="1:9" ht="66.599999999999994" x14ac:dyDescent="0.3">
      <c r="A140" s="141">
        <v>133</v>
      </c>
      <c r="B140" s="152" t="s">
        <v>1318</v>
      </c>
      <c r="C140" s="152" t="s">
        <v>523</v>
      </c>
      <c r="D140" s="157" t="s">
        <v>1303</v>
      </c>
      <c r="E140" s="155" t="s">
        <v>1320</v>
      </c>
      <c r="F140" s="138" t="s">
        <v>1319</v>
      </c>
      <c r="G140" s="138" t="s">
        <v>1282</v>
      </c>
      <c r="H140" s="139" t="s">
        <v>1283</v>
      </c>
      <c r="I140" s="139" t="s">
        <v>1284</v>
      </c>
    </row>
    <row r="141" spans="1:9" ht="66.599999999999994" x14ac:dyDescent="0.3">
      <c r="A141" s="141">
        <v>134</v>
      </c>
      <c r="B141" s="152" t="s">
        <v>1321</v>
      </c>
      <c r="C141" s="152" t="s">
        <v>1322</v>
      </c>
      <c r="D141" s="157" t="s">
        <v>205</v>
      </c>
      <c r="E141" s="155" t="s">
        <v>1324</v>
      </c>
      <c r="F141" s="138" t="s">
        <v>1323</v>
      </c>
      <c r="G141" s="138" t="s">
        <v>1282</v>
      </c>
      <c r="H141" s="139" t="s">
        <v>1283</v>
      </c>
      <c r="I141" s="139" t="s">
        <v>1284</v>
      </c>
    </row>
    <row r="142" spans="1:9" ht="66.599999999999994" x14ac:dyDescent="0.3">
      <c r="A142" s="141">
        <v>135</v>
      </c>
      <c r="B142" s="152" t="s">
        <v>1326</v>
      </c>
      <c r="C142" s="152" t="s">
        <v>112</v>
      </c>
      <c r="D142" s="157" t="s">
        <v>172</v>
      </c>
      <c r="E142" s="155" t="s">
        <v>1327</v>
      </c>
      <c r="F142" s="138" t="s">
        <v>1367</v>
      </c>
      <c r="G142" s="138" t="s">
        <v>1282</v>
      </c>
      <c r="H142" s="139" t="s">
        <v>1283</v>
      </c>
      <c r="I142" s="139" t="s">
        <v>1284</v>
      </c>
    </row>
    <row r="143" spans="1:9" ht="66.599999999999994" x14ac:dyDescent="0.3">
      <c r="A143" s="141">
        <v>136</v>
      </c>
      <c r="B143" s="152" t="s">
        <v>1328</v>
      </c>
      <c r="C143" s="152" t="s">
        <v>1322</v>
      </c>
      <c r="D143" s="154" t="s">
        <v>450</v>
      </c>
      <c r="E143" s="155" t="s">
        <v>1329</v>
      </c>
      <c r="F143" s="138" t="s">
        <v>1330</v>
      </c>
      <c r="G143" s="138" t="s">
        <v>1282</v>
      </c>
      <c r="H143" s="139" t="s">
        <v>1283</v>
      </c>
      <c r="I143" s="139" t="s">
        <v>1284</v>
      </c>
    </row>
    <row r="144" spans="1:9" ht="66.599999999999994" x14ac:dyDescent="0.3">
      <c r="A144" s="141">
        <v>137</v>
      </c>
      <c r="B144" s="152" t="s">
        <v>1331</v>
      </c>
      <c r="C144" s="152" t="s">
        <v>71</v>
      </c>
      <c r="D144" s="154" t="s">
        <v>1332</v>
      </c>
      <c r="E144" s="155" t="s">
        <v>1333</v>
      </c>
      <c r="F144" s="138" t="s">
        <v>1334</v>
      </c>
      <c r="G144" s="138" t="s">
        <v>1282</v>
      </c>
      <c r="H144" s="139" t="s">
        <v>1283</v>
      </c>
      <c r="I144" s="139" t="s">
        <v>1284</v>
      </c>
    </row>
    <row r="145" spans="1:9" ht="66.599999999999994" x14ac:dyDescent="0.3">
      <c r="A145" s="141">
        <v>138</v>
      </c>
      <c r="B145" s="152" t="s">
        <v>1309</v>
      </c>
      <c r="C145" s="152" t="s">
        <v>384</v>
      </c>
      <c r="D145" s="154" t="s">
        <v>450</v>
      </c>
      <c r="E145" s="155" t="s">
        <v>1335</v>
      </c>
      <c r="F145" s="138" t="s">
        <v>1336</v>
      </c>
      <c r="G145" s="138" t="s">
        <v>1282</v>
      </c>
      <c r="H145" s="139" t="s">
        <v>1283</v>
      </c>
      <c r="I145" s="139" t="s">
        <v>1284</v>
      </c>
    </row>
    <row r="146" spans="1:9" ht="66.599999999999994" x14ac:dyDescent="0.3">
      <c r="A146" s="141">
        <v>139</v>
      </c>
      <c r="B146" s="152" t="s">
        <v>1337</v>
      </c>
      <c r="C146" s="152" t="s">
        <v>384</v>
      </c>
      <c r="D146" s="154" t="s">
        <v>450</v>
      </c>
      <c r="E146" s="155" t="s">
        <v>1339</v>
      </c>
      <c r="F146" s="138" t="s">
        <v>1338</v>
      </c>
      <c r="G146" s="138" t="s">
        <v>1282</v>
      </c>
      <c r="H146" s="139" t="s">
        <v>1283</v>
      </c>
      <c r="I146" s="139" t="s">
        <v>1284</v>
      </c>
    </row>
    <row r="147" spans="1:9" ht="66.599999999999994" x14ac:dyDescent="0.3">
      <c r="A147" s="141">
        <v>140</v>
      </c>
      <c r="B147" s="152" t="s">
        <v>1340</v>
      </c>
      <c r="C147" s="152" t="s">
        <v>1280</v>
      </c>
      <c r="D147" s="154" t="s">
        <v>224</v>
      </c>
      <c r="E147" s="155" t="s">
        <v>1341</v>
      </c>
      <c r="F147" s="140">
        <v>3337648556</v>
      </c>
      <c r="G147" s="138" t="s">
        <v>1282</v>
      </c>
      <c r="H147" s="139" t="s">
        <v>1283</v>
      </c>
      <c r="I147" s="139" t="s">
        <v>1284</v>
      </c>
    </row>
    <row r="148" spans="1:9" ht="66.599999999999994" x14ac:dyDescent="0.3">
      <c r="A148" s="141">
        <v>141</v>
      </c>
      <c r="B148" s="152" t="s">
        <v>1342</v>
      </c>
      <c r="C148" s="152" t="s">
        <v>1343</v>
      </c>
      <c r="D148" s="154" t="s">
        <v>29</v>
      </c>
      <c r="E148" s="153" t="s">
        <v>1344</v>
      </c>
      <c r="F148" s="138" t="s">
        <v>1345</v>
      </c>
      <c r="G148" s="138" t="s">
        <v>1282</v>
      </c>
      <c r="H148" s="139" t="s">
        <v>1283</v>
      </c>
      <c r="I148" s="139" t="s">
        <v>1284</v>
      </c>
    </row>
    <row r="149" spans="1:9" ht="66.599999999999994" x14ac:dyDescent="0.3">
      <c r="A149" s="141">
        <v>142</v>
      </c>
      <c r="B149" s="152" t="s">
        <v>1346</v>
      </c>
      <c r="C149" s="152" t="s">
        <v>1351</v>
      </c>
      <c r="D149" s="152" t="s">
        <v>1347</v>
      </c>
      <c r="E149" s="153" t="s">
        <v>1366</v>
      </c>
      <c r="F149" s="138" t="s">
        <v>1348</v>
      </c>
      <c r="G149" s="138" t="s">
        <v>1282</v>
      </c>
      <c r="H149" s="139" t="s">
        <v>1283</v>
      </c>
      <c r="I149" s="139" t="s">
        <v>1284</v>
      </c>
    </row>
    <row r="150" spans="1:9" ht="66.599999999999994" x14ac:dyDescent="0.3">
      <c r="A150" s="141">
        <v>143</v>
      </c>
      <c r="B150" s="152" t="s">
        <v>1349</v>
      </c>
      <c r="C150" s="152" t="s">
        <v>1131</v>
      </c>
      <c r="D150" s="152" t="s">
        <v>1350</v>
      </c>
      <c r="E150" s="153" t="s">
        <v>1352</v>
      </c>
      <c r="F150" s="138" t="s">
        <v>1353</v>
      </c>
      <c r="G150" s="138" t="s">
        <v>1282</v>
      </c>
      <c r="H150" s="139" t="s">
        <v>1283</v>
      </c>
      <c r="I150" s="139" t="s">
        <v>1284</v>
      </c>
    </row>
    <row r="151" spans="1:9" ht="66.599999999999994" x14ac:dyDescent="0.3">
      <c r="A151" s="141">
        <v>144</v>
      </c>
      <c r="B151" s="152" t="s">
        <v>1354</v>
      </c>
      <c r="C151" s="152" t="s">
        <v>1322</v>
      </c>
      <c r="D151" s="154" t="s">
        <v>1355</v>
      </c>
      <c r="E151" s="155" t="s">
        <v>1356</v>
      </c>
      <c r="F151" s="138" t="s">
        <v>1357</v>
      </c>
      <c r="G151" s="138" t="s">
        <v>1282</v>
      </c>
      <c r="H151" s="139" t="s">
        <v>1283</v>
      </c>
      <c r="I151" s="139" t="s">
        <v>1284</v>
      </c>
    </row>
    <row r="152" spans="1:9" ht="66.599999999999994" x14ac:dyDescent="0.3">
      <c r="A152" s="141">
        <v>145</v>
      </c>
      <c r="B152" s="152" t="s">
        <v>1358</v>
      </c>
      <c r="C152" s="152" t="s">
        <v>1131</v>
      </c>
      <c r="D152" s="154" t="s">
        <v>1360</v>
      </c>
      <c r="E152" s="158"/>
      <c r="F152" s="138" t="s">
        <v>1359</v>
      </c>
      <c r="G152" s="138" t="s">
        <v>1282</v>
      </c>
      <c r="H152" s="139" t="s">
        <v>1283</v>
      </c>
      <c r="I152" s="139" t="s">
        <v>1284</v>
      </c>
    </row>
    <row r="153" spans="1:9" ht="66.599999999999994" x14ac:dyDescent="0.3">
      <c r="A153" s="141">
        <v>146</v>
      </c>
      <c r="B153" s="152" t="s">
        <v>1361</v>
      </c>
      <c r="C153" s="152" t="s">
        <v>1362</v>
      </c>
      <c r="D153" s="154" t="s">
        <v>1363</v>
      </c>
      <c r="E153" s="155" t="s">
        <v>1365</v>
      </c>
      <c r="F153" s="138" t="s">
        <v>1364</v>
      </c>
      <c r="G153" s="138" t="s">
        <v>1282</v>
      </c>
      <c r="H153" s="139" t="s">
        <v>1283</v>
      </c>
      <c r="I153" s="139" t="s">
        <v>1284</v>
      </c>
    </row>
    <row r="154" spans="1:9" ht="66.599999999999994" x14ac:dyDescent="0.3">
      <c r="A154" s="141">
        <v>147</v>
      </c>
      <c r="B154" s="152" t="s">
        <v>1368</v>
      </c>
      <c r="C154" s="152" t="s">
        <v>475</v>
      </c>
      <c r="D154" s="157"/>
      <c r="E154" s="158"/>
      <c r="F154" s="138" t="s">
        <v>1369</v>
      </c>
      <c r="G154" s="138" t="s">
        <v>1282</v>
      </c>
      <c r="H154" s="139" t="s">
        <v>1283</v>
      </c>
      <c r="I154" s="139" t="s">
        <v>1284</v>
      </c>
    </row>
    <row r="155" spans="1:9" ht="66.599999999999994" x14ac:dyDescent="0.3">
      <c r="A155" s="141">
        <v>148</v>
      </c>
      <c r="B155" s="152" t="s">
        <v>1370</v>
      </c>
      <c r="C155" s="152" t="s">
        <v>1373</v>
      </c>
      <c r="D155" s="157" t="s">
        <v>1205</v>
      </c>
      <c r="E155" s="155" t="s">
        <v>1371</v>
      </c>
      <c r="F155" s="138" t="s">
        <v>1372</v>
      </c>
      <c r="G155" s="138" t="s">
        <v>1282</v>
      </c>
      <c r="H155" s="139" t="s">
        <v>1283</v>
      </c>
      <c r="I155" s="139" t="s">
        <v>1284</v>
      </c>
    </row>
  </sheetData>
  <mergeCells count="6">
    <mergeCell ref="A129:I129"/>
    <mergeCell ref="A1:I1"/>
    <mergeCell ref="A3:I3"/>
    <mergeCell ref="A32:I32"/>
    <mergeCell ref="A62:I62"/>
    <mergeCell ref="A94:I94"/>
  </mergeCells>
  <hyperlinks>
    <hyperlink ref="E33" r:id="rId1"/>
    <hyperlink ref="E35" r:id="rId2"/>
    <hyperlink ref="E36" r:id="rId3" display="farzanahayat@hotmail.com"/>
    <hyperlink ref="E38" r:id="rId4" display="isajid89@yahoo.com"/>
    <hyperlink ref="E39" r:id="rId5" display="hammadabbasi2000@yahoo.com_x000a_"/>
    <hyperlink ref="E40" r:id="rId6"/>
    <hyperlink ref="E41" r:id="rId7" display="waqar@hrdn.net_x000a_"/>
    <hyperlink ref="E115" r:id="rId8"/>
    <hyperlink ref="E116" r:id="rId9" display="tariqkaror@hotmail.com"/>
    <hyperlink ref="E117" r:id="rId10" display="sirajnaseem@yahoo.com"/>
    <hyperlink ref="E118" r:id="rId11" display="tariqhabib2011@hotmail.com"/>
    <hyperlink ref="E123" r:id="rId12"/>
    <hyperlink ref="E126" r:id="rId13"/>
    <hyperlink ref="E127" r:id="rId14" display="waqar@hrdn.net "/>
    <hyperlink ref="E42" r:id="rId15" display="gender.org1@gmail.com"/>
    <hyperlink ref="E43" r:id="rId16" display="naziabibi786@gmail.com"/>
    <hyperlink ref="E44" r:id="rId17" display="mehmoodqu@yahoo.com"/>
    <hyperlink ref="E119" r:id="rId18" display="gamjad_1972@yahoo.com"/>
    <hyperlink ref="E124" r:id="rId19" display="irshad.sumra@hotmail.com"/>
    <hyperlink ref="E128" r:id="rId20" display="mudassarkhan_masscom@yahoo.com"/>
    <hyperlink ref="E130" r:id="rId21"/>
    <hyperlink ref="E131" r:id="rId22"/>
    <hyperlink ref="E132" r:id="rId23"/>
    <hyperlink ref="E133" r:id="rId24"/>
    <hyperlink ref="E134" r:id="rId25"/>
    <hyperlink ref="E135" r:id="rId26"/>
    <hyperlink ref="E136" r:id="rId27"/>
    <hyperlink ref="E137" r:id="rId28"/>
    <hyperlink ref="E138" r:id="rId29"/>
    <hyperlink ref="E139" r:id="rId30"/>
    <hyperlink ref="E140" r:id="rId31"/>
    <hyperlink ref="E141" r:id="rId32"/>
    <hyperlink ref="E142" r:id="rId33"/>
    <hyperlink ref="E143" r:id="rId34"/>
    <hyperlink ref="E144" r:id="rId35"/>
    <hyperlink ref="E145" r:id="rId36"/>
    <hyperlink ref="E146" r:id="rId37"/>
    <hyperlink ref="E147" r:id="rId38"/>
    <hyperlink ref="E148" r:id="rId39"/>
    <hyperlink ref="E150" r:id="rId40"/>
    <hyperlink ref="E151" r:id="rId41"/>
    <hyperlink ref="E153" r:id="rId42"/>
    <hyperlink ref="E149" r:id="rId43"/>
    <hyperlink ref="E155" r:id="rId44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Summury</vt:lpstr>
      <vt:lpstr>Islamabad</vt:lpstr>
      <vt:lpstr>KP</vt:lpstr>
      <vt:lpstr>Balochistan</vt:lpstr>
      <vt:lpstr>Sindh</vt:lpstr>
      <vt:lpstr>Punjab</vt:lpstr>
      <vt:lpstr>Summury!Print_Area</vt:lpstr>
    </vt:vector>
  </TitlesOfParts>
  <Company>UNICEF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</dc:creator>
  <cp:lastModifiedBy>UNICEF</cp:lastModifiedBy>
  <cp:lastPrinted>2011-11-10T05:06:33Z</cp:lastPrinted>
  <dcterms:created xsi:type="dcterms:W3CDTF">2011-10-26T04:27:31Z</dcterms:created>
  <dcterms:modified xsi:type="dcterms:W3CDTF">2011-12-19T04:21:09Z</dcterms:modified>
</cp:coreProperties>
</file>