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<sst xmlns="http://schemas.openxmlformats.org/spreadsheetml/2006/main" count="86" uniqueCount="86">
  <si>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</si>
  <si>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</si>
  <si>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100041126</t>
  </si>
  <si>
    <t>Notes/Supplemental Information:</t>
  </si>
  <si>
    <t>REIT Name:</t>
  </si>
  <si>
    <t>American Realty Capital New York Recovery REIT,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</si>
  <si>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</si>
  <si>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</si>
  <si>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</si>
  <si>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</si>
  <si>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</si>
  <si>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</si>
  <si>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</si>
  <si>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</si>
  <si>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</si>
  <si>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</si>
  <si>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</si>
  <si>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</si>
  <si>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</si>
  <si>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</si>
  <si>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</si>
  <si>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</si>
  <si>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</si>
  <si>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</si>
  <si>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</si>
  <si>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</si>
  <si>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</si>
  <si>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</si>
  <si>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</si>
  <si>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</si>
  <si>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</si>
  <si>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</si>
  <si>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</si>
  <si>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</si>
  <si>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</si>
  <si>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</si>
  <si>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</si>
  <si>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</si>
  <si>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</si>
  <si>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</si>
  <si>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</si>
  <si>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</si>
  <si>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</si>
  <si>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</si>
  <si>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</si>
  <si>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</si>
  <si>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</si>
  <si>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</si>
  <si>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</si>
  <si>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</si>
  <si>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</si>
  <si>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</si>
  <si>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</si>
  <si>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</si>
  <si>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</si>
  <si>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</si>
  <si>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</si>
  <si>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</si>
  <si>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</si>
  <si>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</si>
  <si>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</si>
  <si>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</si>
  <si>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</si>
  <si>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</si>
  <si>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</si>
  <si>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</si>
  <si>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</si>
  <si>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</si>
  <si>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</si>
  <si>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</si>
  <si>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</si>
  <si>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</si>
  <si>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</si>
  <si>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</si>
  <si>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</si>
  <si>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</si>
  <si>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</si>
  <si>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</si>
  <si>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</si>
  <si>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</si>
  <si>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</si>
  <si>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</si>
  <si>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</si>
  <si>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</si>
  <si>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American Realty Capital New York Recovery REIT, Inc - Common</t>
  </si>
  <si>
    <t>02918C100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</si>
</sst>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quot;$&quot;* #,##0.000000_);_(&quot;$&quot;* \(#,##0.000000\);_(&quot;$&quot;* &quot;-&quot;??_);_(@_)"/>
    <numFmt numFmtId="165" formatCode="_(* #,##0_);_(* \(#,##0\);_(* &quot;-&quot;??_);_(@_)"/>
    <numFmt numFmtId="166" formatCode="_(* #,##0.0000_);_(* \(#,##0.0000\);_(* &quot;-&quot;??_);_(@_)"/>
    <numFmt numFmtId="170" formatCode="_(* #,##0.0000000_);_(* \(#,##0.0000000\);_(* &quot;-&quot;??_);_(@_)"/>
  </numFmts>
  <fonts count="11">
    <font>
      <sz val="11"/>
      <color theme="1" tint="0"/>
      <name val="Calibri"/>
      <family val="2"/>
      <scheme val="minor"/>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Calibri"/>
      <family val="2"/>
      <scheme val="minor"/>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theme="7" tint="0.39997558519241921"/>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43" fontId="0" fillId="0" borderId="0"/>
    <xf numFmtId="0" fontId="1" fillId="0" borderId="0"/>
  </cellStyleXfs>
  <cellXfs count="114">
    <xf numFmtId="43" fontId="0" fillId="0" borderId="0" xfId="0"/>
    <xf numFmtId="0" fontId="1" fillId="0" borderId="0" xfId="1"/>
    <xf numFmtId="0" fontId="1" fillId="0" borderId="0" xfId="1"/>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0" fontId="10" fillId="0" borderId="0" xfId="1">
      <protection locked="0"/>
    </xf>
    <xf numFmtId="0" fontId="10" fillId="0" borderId="0" xfId="1">
      <alignment horizontal="center"/>
      <protection locked="0"/>
    </xf>
    <xf numFmtId="0" fontId="2" fillId="0" borderId="33" xfId="1">
      <protection locked="0"/>
    </xf>
    <xf numFmtId="0" fontId="2" fillId="2" borderId="29" xfId="1">
      <protection locked="0"/>
    </xf>
    <xf numFmtId="165" fontId="10" fillId="0" borderId="0" xfId="0">
      <protection locked="0"/>
    </xf>
    <xf numFmtId="14" fontId="10" fillId="0" borderId="0" xfId="1">
      <protection locked="0"/>
    </xf>
    <xf numFmtId="166" fontId="10" fillId="6" borderId="0" xfId="1">
      <protection locked="0"/>
    </xf>
    <xf numFmtId="16" fontId="2" fillId="0" borderId="18" xfId="1">
      <alignment horizontal="left"/>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xf numFmtId="170" fontId="10" fillId="0" borderId="35" xfId="0">
      <protection locked="0"/>
    </xf>
  </cellXfs>
  <cellStyles count="2">
    <cellStyle name="Comma" xfId="0" builtinId="3"/>
    <cellStyle name="Normal" xfId="1"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M27" sqref="M27"/>
    </sheetView>
  </sheetViews>
  <sheetFormatPr defaultRowHeight="15" x14ac:dyDescent="0.25"/>
  <cols>
    <col min="1" max="1" bestFit="1" width="43.85546875" customWidth="1" style="4"/>
    <col min="2" max="2" bestFit="1" width="12.42578125" customWidth="1" style="4"/>
    <col min="3"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14" bestFit="1" width="15.5703125" customWidth="1" style="4"/>
    <col min="15" max="16" width="13.85546875" customWidth="1" style="4"/>
    <col min="17" max="17" bestFit="1" width="15.5703125" customWidth="1" style="4"/>
    <col min="18"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bestFit="1" width="15.5703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0.15" s="90" customFormat="1">
      <c r="B1" s="89" t="s">
        <v>0</v>
      </c>
    </row>
    <row r="2">
      <c r="A2" s="5" t="s">
        <v>1</v>
      </c>
      <c r="B2" s="6" t="s">
        <v>2</v>
      </c>
      <c r="C2" s="7"/>
      <c r="D2" s="7"/>
      <c r="E2" s="7"/>
      <c r="F2" s="7"/>
      <c r="G2" s="8"/>
      <c r="J2" s="9" t="s">
        <v>3</v>
      </c>
      <c r="K2" s="99"/>
      <c r="L2" s="100"/>
      <c r="M2" s="100"/>
      <c r="N2" s="100"/>
      <c r="O2" s="100"/>
      <c r="P2" s="100"/>
      <c r="Q2" s="101"/>
    </row>
    <row r="3">
      <c r="A3" s="5" t="s">
        <v>4</v>
      </c>
      <c r="B3" s="10" t="s">
        <v>5</v>
      </c>
      <c r="C3" s="11"/>
      <c r="D3" s="11"/>
      <c r="E3" s="11"/>
      <c r="F3" s="12"/>
      <c r="G3" s="13"/>
      <c r="H3" s="14"/>
      <c r="J3" s="14"/>
      <c r="K3" s="102"/>
      <c r="L3" s="103"/>
      <c r="M3" s="103"/>
      <c r="N3" s="103"/>
      <c r="O3" s="103"/>
      <c r="P3" s="103"/>
      <c r="Q3" s="104"/>
      <c r="R3" s="14"/>
      <c r="S3" s="14"/>
      <c r="T3" s="14"/>
      <c r="U3" s="14"/>
      <c r="V3" s="14"/>
      <c r="W3" s="14"/>
      <c r="X3" s="14"/>
      <c r="Y3" s="14"/>
      <c r="Z3" s="14"/>
      <c r="AA3" s="14"/>
      <c r="AB3" s="14"/>
      <c r="AC3" s="14"/>
      <c r="AD3" s="14"/>
    </row>
    <row r="4">
      <c r="A4" s="5" t="s">
        <v>6</v>
      </c>
      <c r="B4" s="15">
        <v>2012</v>
      </c>
      <c r="C4" s="16"/>
      <c r="D4" s="16"/>
      <c r="E4" s="16"/>
      <c r="F4" s="16"/>
      <c r="G4" s="17"/>
      <c r="K4" s="102"/>
      <c r="L4" s="103"/>
      <c r="M4" s="103"/>
      <c r="N4" s="103"/>
      <c r="O4" s="103"/>
      <c r="P4" s="103"/>
      <c r="Q4" s="104"/>
    </row>
    <row r="5">
      <c r="A5" s="14"/>
      <c r="B5" s="14"/>
      <c r="C5" s="14"/>
      <c r="D5" s="14"/>
      <c r="E5" s="14"/>
      <c r="F5" s="14"/>
      <c r="G5" s="14"/>
      <c r="H5" s="14"/>
      <c r="J5" s="14"/>
      <c r="K5" s="105"/>
      <c r="L5" s="106"/>
      <c r="M5" s="106"/>
      <c r="N5" s="106"/>
      <c r="O5" s="106"/>
      <c r="P5" s="106"/>
      <c r="Q5" s="107"/>
      <c r="R5" s="14"/>
      <c r="S5" s="14"/>
      <c r="T5" s="14"/>
      <c r="U5" s="14"/>
      <c r="V5" s="14"/>
      <c r="W5" s="14"/>
      <c r="X5" s="14"/>
      <c r="Y5" s="14"/>
      <c r="Z5" s="14"/>
      <c r="AA5" s="14"/>
      <c r="AB5" s="14"/>
      <c r="AC5" s="14"/>
      <c r="AD5" s="14"/>
    </row>
    <row r="6" ht="14.45">
      <c r="A6" s="9" t="s">
        <v>7</v>
      </c>
      <c r="B6" s="98">
        <v>41297</v>
      </c>
      <c r="C6" s="14"/>
      <c r="D6" s="18" t="s">
        <v>8</v>
      </c>
      <c r="E6" s="19"/>
      <c r="G6" s="14"/>
      <c r="H6" s="14"/>
      <c r="I6" s="14"/>
      <c r="Q6" s="14"/>
      <c r="R6" s="14"/>
      <c r="S6" s="14"/>
      <c r="T6" s="14"/>
      <c r="U6" s="14"/>
      <c r="V6" s="14"/>
      <c r="W6" s="14"/>
      <c r="X6" s="14"/>
      <c r="Y6" s="14"/>
      <c r="Z6" s="14"/>
      <c r="AA6" s="14"/>
      <c r="AB6" s="14"/>
      <c r="AC6" s="14"/>
      <c r="AD6" s="14"/>
    </row>
    <row r="7" ht="14.45">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ht="14.45">
      <c r="A8" s="14"/>
      <c r="B8" s="14"/>
      <c r="C8" s="14"/>
      <c r="D8" s="14"/>
      <c r="E8" s="14"/>
      <c r="F8" s="14"/>
      <c r="G8" s="14"/>
      <c r="H8" s="14"/>
      <c r="I8" s="14"/>
      <c r="Q8" s="14"/>
      <c r="R8" s="14"/>
      <c r="S8" s="14"/>
      <c r="T8" s="14"/>
      <c r="U8" s="14"/>
      <c r="V8" s="14"/>
      <c r="W8" s="14"/>
      <c r="X8" s="14"/>
      <c r="Y8" s="14"/>
      <c r="Z8" s="14"/>
      <c r="AA8" s="14"/>
      <c r="AB8" s="14"/>
      <c r="AC8" s="14"/>
      <c r="AD8" s="14"/>
    </row>
    <row r="9">
      <c r="A9" s="108" t="s">
        <v>9</v>
      </c>
      <c r="B9" s="108"/>
      <c r="C9" s="108"/>
      <c r="D9" s="108"/>
      <c r="E9" s="108"/>
      <c r="F9" s="108"/>
      <c r="G9" s="108"/>
      <c r="H9" s="108"/>
      <c r="I9" s="108"/>
      <c r="J9" s="108"/>
      <c r="K9" s="108"/>
      <c r="L9" s="108"/>
      <c r="M9" s="108"/>
      <c r="N9" s="21"/>
      <c r="O9" s="21"/>
      <c r="P9" s="21"/>
      <c r="Q9" s="14"/>
      <c r="R9" s="14"/>
      <c r="S9" s="14"/>
      <c r="T9" s="14"/>
      <c r="U9" s="14"/>
      <c r="V9" s="14"/>
      <c r="W9" s="14"/>
      <c r="X9" s="14"/>
      <c r="Y9" s="14"/>
      <c r="Z9" s="14"/>
      <c r="AA9" s="14"/>
      <c r="AB9" s="14"/>
      <c r="AC9" s="14"/>
      <c r="AD9" s="14"/>
    </row>
    <row r="10">
      <c r="A10" s="108"/>
      <c r="B10" s="108"/>
      <c r="C10" s="108"/>
      <c r="D10" s="108"/>
      <c r="E10" s="108"/>
      <c r="F10" s="108"/>
      <c r="G10" s="108"/>
      <c r="H10" s="108"/>
      <c r="I10" s="108"/>
      <c r="J10" s="108"/>
      <c r="K10" s="108"/>
      <c r="L10" s="108"/>
      <c r="M10" s="108"/>
      <c r="N10" s="21"/>
      <c r="O10" s="21"/>
      <c r="P10" s="21"/>
      <c r="Q10" s="14"/>
      <c r="R10" s="14"/>
      <c r="S10" s="14"/>
      <c r="T10" s="14"/>
      <c r="U10" s="14"/>
      <c r="V10" s="14"/>
      <c r="W10" s="14"/>
      <c r="X10" s="14"/>
      <c r="Y10" s="14"/>
      <c r="Z10" s="14"/>
      <c r="AA10" s="14"/>
      <c r="AB10" s="14"/>
      <c r="AC10" s="14"/>
      <c r="AD10" s="14"/>
    </row>
    <row r="11" ht="14.45">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ht="14.45">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ht="14.45">
      <c r="A13" s="109" t="s">
        <v>10</v>
      </c>
      <c r="B13" s="109"/>
      <c r="C13" s="109"/>
      <c r="D13" s="109"/>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ht="14.45">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ht="14.45">
      <c r="A15" s="27"/>
      <c r="B15" s="28"/>
      <c r="C15" s="28"/>
      <c r="D15" s="28"/>
      <c r="E15" s="28"/>
      <c r="F15" s="28"/>
      <c r="G15" s="28"/>
      <c r="H15" s="28"/>
      <c r="I15" s="28"/>
      <c r="J15" s="29" t="s">
        <v>11</v>
      </c>
      <c r="K15" s="110" t="s">
        <v>12</v>
      </c>
      <c r="L15" s="111"/>
      <c r="M15" s="112"/>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ht="14.45">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ht="14.45">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ht="14.45">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ht="14.45" s="3" customFormat="1">
      <c r="A20" s="91" t="s">
        <v>84</v>
      </c>
      <c r="B20" s="92" t="s">
        <v>85</v>
      </c>
      <c r="C20" s="62"/>
      <c r="D20" s="95"/>
      <c r="E20" s="93"/>
      <c r="F20" s="93"/>
      <c r="G20" s="96">
        <v>40908</v>
      </c>
      <c r="H20" s="93"/>
      <c r="I20" s="96">
        <f>G20+1</f>
      </c>
      <c r="J20" s="97">
        <v>0.0514</v>
      </c>
      <c r="K20" s="55"/>
      <c r="L20" s="55"/>
      <c r="M20" s="113">
        <f>+N20+O20+V20+Z20+AB20</f>
      </c>
      <c r="N20" s="113">
        <f>J20*16.17431%</f>
      </c>
      <c r="O20" s="66"/>
      <c r="P20" s="57"/>
      <c r="Q20" s="113">
        <f>+N20+O20+P20</f>
      </c>
      <c r="R20" s="65"/>
      <c r="S20" s="94"/>
      <c r="T20" s="94"/>
      <c r="U20" s="65"/>
      <c r="V20" s="65"/>
      <c r="W20" s="65"/>
      <c r="X20" s="94"/>
      <c r="Y20" s="65"/>
      <c r="Z20" s="113">
        <f>J20*83.82569%</f>
      </c>
      <c r="AA20" s="94"/>
      <c r="AB20" s="65"/>
      <c r="AC20" s="65"/>
      <c r="AD20" s="94"/>
      <c r="AE20" s="94"/>
      <c r="AF20" s="68"/>
      <c r="AG20" s="60"/>
    </row>
    <row r="21" ht="14.45" s="3" customFormat="1">
      <c r="A21" s="91" t="s">
        <v>84</v>
      </c>
      <c r="B21" s="92" t="s">
        <v>85</v>
      </c>
      <c r="C21" s="62"/>
      <c r="D21" s="95"/>
      <c r="E21" s="93"/>
      <c r="F21" s="93"/>
      <c r="G21" s="96">
        <v>40939</v>
      </c>
      <c r="H21" s="93"/>
      <c r="I21" s="96">
        <f ref="I21:I31" t="shared" si="1">G21+1</f>
      </c>
      <c r="J21" s="97">
        <v>0.0512</v>
      </c>
      <c r="K21" s="55"/>
      <c r="L21" s="55"/>
      <c r="M21" s="113">
        <f ref="M21:M31" t="shared" si="2">+N21+O21+V21+Z21+AB21</f>
      </c>
      <c r="N21" s="113">
        <f ref="N21:N31" t="shared" si="3">J21*16.17431%</f>
      </c>
      <c r="O21" s="66"/>
      <c r="P21" s="57"/>
      <c r="Q21" s="113">
        <f ref="Q21:Q31" t="shared" si="4">+N21+O21+P21</f>
      </c>
      <c r="R21" s="65"/>
      <c r="S21" s="94"/>
      <c r="T21" s="94"/>
      <c r="U21" s="65"/>
      <c r="V21" s="65"/>
      <c r="W21" s="65"/>
      <c r="X21" s="94"/>
      <c r="Y21" s="65"/>
      <c r="Z21" s="113">
        <f ref="Z21:Z31" t="shared" si="5">J21*83.82569%</f>
      </c>
      <c r="AA21" s="94"/>
      <c r="AB21" s="65"/>
      <c r="AC21" s="65"/>
      <c r="AD21" s="94"/>
      <c r="AE21" s="94"/>
      <c r="AF21" s="68"/>
      <c r="AG21" s="60"/>
    </row>
    <row r="22" ht="14.45" s="3" customFormat="1">
      <c r="A22" s="91" t="s">
        <v>84</v>
      </c>
      <c r="B22" s="92" t="s">
        <v>85</v>
      </c>
      <c r="C22" s="62"/>
      <c r="D22" s="95"/>
      <c r="E22" s="93"/>
      <c r="F22" s="93"/>
      <c r="G22" s="96">
        <v>40968</v>
      </c>
      <c r="H22" s="93"/>
      <c r="I22" s="96">
        <f t="shared" si="1"/>
      </c>
      <c r="J22" s="97">
        <v>0.0479</v>
      </c>
      <c r="K22" s="55"/>
      <c r="L22" s="55"/>
      <c r="M22" s="113">
        <f t="shared" si="2"/>
      </c>
      <c r="N22" s="113">
        <f t="shared" si="3"/>
      </c>
      <c r="O22" s="66"/>
      <c r="P22" s="57"/>
      <c r="Q22" s="113">
        <f t="shared" si="4"/>
      </c>
      <c r="R22" s="65"/>
      <c r="S22" s="94"/>
      <c r="T22" s="94"/>
      <c r="U22" s="65"/>
      <c r="V22" s="65"/>
      <c r="W22" s="65"/>
      <c r="X22" s="94"/>
      <c r="Y22" s="65"/>
      <c r="Z22" s="113">
        <f t="shared" si="5"/>
      </c>
      <c r="AA22" s="94"/>
      <c r="AB22" s="65"/>
      <c r="AC22" s="65"/>
      <c r="AD22" s="94"/>
      <c r="AE22" s="94"/>
      <c r="AF22" s="68"/>
      <c r="AG22" s="60"/>
    </row>
    <row r="23" ht="14.45" s="3" customFormat="1">
      <c r="A23" s="91" t="s">
        <v>84</v>
      </c>
      <c r="B23" s="92" t="s">
        <v>85</v>
      </c>
      <c r="C23" s="62"/>
      <c r="D23" s="95"/>
      <c r="E23" s="93"/>
      <c r="F23" s="93"/>
      <c r="G23" s="96">
        <v>40999</v>
      </c>
      <c r="H23" s="93"/>
      <c r="I23" s="96">
        <f t="shared" si="1"/>
      </c>
      <c r="J23" s="97">
        <v>0.0512</v>
      </c>
      <c r="K23" s="55"/>
      <c r="L23" s="55"/>
      <c r="M23" s="113">
        <f t="shared" si="2"/>
      </c>
      <c r="N23" s="113">
        <f t="shared" si="3"/>
      </c>
      <c r="O23" s="66"/>
      <c r="P23" s="57"/>
      <c r="Q23" s="113">
        <f t="shared" si="4"/>
      </c>
      <c r="R23" s="65"/>
      <c r="S23" s="94"/>
      <c r="T23" s="94"/>
      <c r="U23" s="65"/>
      <c r="V23" s="65"/>
      <c r="W23" s="65"/>
      <c r="X23" s="94"/>
      <c r="Y23" s="65"/>
      <c r="Z23" s="113">
        <f t="shared" si="5"/>
      </c>
      <c r="AA23" s="94"/>
      <c r="AB23" s="65"/>
      <c r="AC23" s="65"/>
      <c r="AD23" s="94"/>
      <c r="AE23" s="94"/>
      <c r="AF23" s="68"/>
      <c r="AG23" s="60"/>
    </row>
    <row r="24" ht="14.45" s="3" customFormat="1">
      <c r="A24" s="91" t="s">
        <v>84</v>
      </c>
      <c r="B24" s="92" t="s">
        <v>85</v>
      </c>
      <c r="C24" s="62"/>
      <c r="D24" s="95"/>
      <c r="E24" s="93"/>
      <c r="F24" s="93"/>
      <c r="G24" s="96">
        <v>41029</v>
      </c>
      <c r="H24" s="93"/>
      <c r="I24" s="96">
        <f t="shared" si="1"/>
      </c>
      <c r="J24" s="97">
        <v>0.0496</v>
      </c>
      <c r="K24" s="55"/>
      <c r="L24" s="55"/>
      <c r="M24" s="113">
        <f t="shared" si="2"/>
      </c>
      <c r="N24" s="113">
        <f t="shared" si="3"/>
      </c>
      <c r="O24" s="66"/>
      <c r="P24" s="57"/>
      <c r="Q24" s="113">
        <f t="shared" si="4"/>
      </c>
      <c r="R24" s="65"/>
      <c r="S24" s="94"/>
      <c r="T24" s="94"/>
      <c r="U24" s="65"/>
      <c r="V24" s="65"/>
      <c r="W24" s="65"/>
      <c r="X24" s="94"/>
      <c r="Y24" s="65"/>
      <c r="Z24" s="113">
        <f t="shared" si="5"/>
      </c>
      <c r="AA24" s="94"/>
      <c r="AB24" s="65"/>
      <c r="AC24" s="65"/>
      <c r="AD24" s="94"/>
      <c r="AE24" s="94"/>
      <c r="AF24" s="68"/>
      <c r="AG24" s="60"/>
    </row>
    <row r="25" ht="14.45" s="3" customFormat="1">
      <c r="A25" s="91" t="s">
        <v>84</v>
      </c>
      <c r="B25" s="92" t="s">
        <v>85</v>
      </c>
      <c r="C25" s="62"/>
      <c r="D25" s="95"/>
      <c r="E25" s="93"/>
      <c r="F25" s="93"/>
      <c r="G25" s="96">
        <v>41060</v>
      </c>
      <c r="H25" s="93"/>
      <c r="I25" s="96">
        <f t="shared" si="1"/>
      </c>
      <c r="J25" s="97">
        <v>0.0512</v>
      </c>
      <c r="K25" s="55"/>
      <c r="L25" s="55"/>
      <c r="M25" s="113">
        <f t="shared" si="2"/>
      </c>
      <c r="N25" s="113">
        <f t="shared" si="3"/>
      </c>
      <c r="O25" s="66"/>
      <c r="P25" s="57"/>
      <c r="Q25" s="113">
        <f t="shared" si="4"/>
      </c>
      <c r="R25" s="65"/>
      <c r="S25" s="94"/>
      <c r="T25" s="94"/>
      <c r="U25" s="65"/>
      <c r="V25" s="65"/>
      <c r="W25" s="65"/>
      <c r="X25" s="94"/>
      <c r="Y25" s="65"/>
      <c r="Z25" s="113">
        <f t="shared" si="5"/>
      </c>
      <c r="AA25" s="94"/>
      <c r="AB25" s="65"/>
      <c r="AC25" s="65"/>
      <c r="AD25" s="94"/>
      <c r="AE25" s="94"/>
      <c r="AF25" s="68"/>
      <c r="AG25" s="60"/>
    </row>
    <row r="26" ht="14.45" s="3" customFormat="1">
      <c r="A26" s="91" t="s">
        <v>84</v>
      </c>
      <c r="B26" s="92" t="s">
        <v>85</v>
      </c>
      <c r="C26" s="62"/>
      <c r="D26" s="95"/>
      <c r="E26" s="93"/>
      <c r="F26" s="93"/>
      <c r="G26" s="96">
        <v>41090</v>
      </c>
      <c r="H26" s="93"/>
      <c r="I26" s="96">
        <f t="shared" si="1"/>
      </c>
      <c r="J26" s="97">
        <v>0.0496</v>
      </c>
      <c r="K26" s="55"/>
      <c r="L26" s="55"/>
      <c r="M26" s="113">
        <f t="shared" si="2"/>
      </c>
      <c r="N26" s="113">
        <f t="shared" si="3"/>
      </c>
      <c r="O26" s="66"/>
      <c r="P26" s="57"/>
      <c r="Q26" s="113">
        <f t="shared" si="4"/>
      </c>
      <c r="R26" s="65"/>
      <c r="S26" s="94"/>
      <c r="T26" s="94"/>
      <c r="U26" s="65"/>
      <c r="V26" s="65"/>
      <c r="W26" s="65"/>
      <c r="X26" s="94"/>
      <c r="Y26" s="65"/>
      <c r="Z26" s="113">
        <f t="shared" si="5"/>
      </c>
      <c r="AA26" s="94"/>
      <c r="AB26" s="65"/>
      <c r="AC26" s="65"/>
      <c r="AD26" s="94"/>
      <c r="AE26" s="94"/>
      <c r="AF26" s="68"/>
      <c r="AG26" s="60"/>
    </row>
    <row r="27" ht="14.45" s="3" customFormat="1">
      <c r="A27" s="91" t="s">
        <v>84</v>
      </c>
      <c r="B27" s="92" t="s">
        <v>85</v>
      </c>
      <c r="C27" s="62"/>
      <c r="D27" s="95"/>
      <c r="E27" s="93"/>
      <c r="F27" s="93"/>
      <c r="G27" s="96">
        <v>41121</v>
      </c>
      <c r="H27" s="93"/>
      <c r="I27" s="96">
        <f t="shared" si="1"/>
      </c>
      <c r="J27" s="97">
        <v>0.0512</v>
      </c>
      <c r="K27" s="55"/>
      <c r="L27" s="55"/>
      <c r="M27" s="113">
        <f t="shared" si="2"/>
      </c>
      <c r="N27" s="113">
        <f t="shared" si="3"/>
      </c>
      <c r="O27" s="66"/>
      <c r="P27" s="57"/>
      <c r="Q27" s="113">
        <f t="shared" si="4"/>
      </c>
      <c r="R27" s="65"/>
      <c r="S27" s="94"/>
      <c r="T27" s="94"/>
      <c r="U27" s="65"/>
      <c r="V27" s="65"/>
      <c r="W27" s="65"/>
      <c r="X27" s="94"/>
      <c r="Y27" s="65"/>
      <c r="Z27" s="113">
        <f t="shared" si="5"/>
      </c>
      <c r="AA27" s="94"/>
      <c r="AB27" s="65"/>
      <c r="AC27" s="65"/>
      <c r="AD27" s="94"/>
      <c r="AE27" s="94"/>
      <c r="AF27" s="68"/>
      <c r="AG27" s="60"/>
    </row>
    <row r="28" ht="14.45">
      <c r="A28" s="91" t="s">
        <v>84</v>
      </c>
      <c r="B28" s="92" t="s">
        <v>85</v>
      </c>
      <c r="C28" s="62"/>
      <c r="D28" s="95"/>
      <c r="E28" s="63"/>
      <c r="F28" s="63"/>
      <c r="G28" s="96">
        <v>41152</v>
      </c>
      <c r="H28" s="64"/>
      <c r="I28" s="96">
        <f t="shared" si="1"/>
      </c>
      <c r="J28" s="97">
        <v>0.0512</v>
      </c>
      <c r="K28" s="55"/>
      <c r="L28" s="55"/>
      <c r="M28" s="113">
        <f t="shared" si="2"/>
      </c>
      <c r="N28" s="113">
        <f t="shared" si="3"/>
      </c>
      <c r="O28" s="66"/>
      <c r="P28" s="57"/>
      <c r="Q28" s="113">
        <f t="shared" si="4"/>
      </c>
      <c r="R28" s="65"/>
      <c r="S28" s="57"/>
      <c r="T28" s="57"/>
      <c r="U28" s="65"/>
      <c r="V28" s="65"/>
      <c r="W28" s="65"/>
      <c r="X28" s="57"/>
      <c r="Y28" s="65"/>
      <c r="Z28" s="113">
        <f t="shared" si="5"/>
      </c>
      <c r="AA28" s="57"/>
      <c r="AB28" s="65"/>
      <c r="AC28" s="65"/>
      <c r="AD28" s="57"/>
      <c r="AE28" s="57"/>
      <c r="AF28" s="68"/>
      <c r="AG28" s="39"/>
    </row>
    <row r="29" ht="14.45">
      <c r="A29" s="91" t="s">
        <v>84</v>
      </c>
      <c r="B29" s="92" t="s">
        <v>85</v>
      </c>
      <c r="C29" s="62"/>
      <c r="D29" s="95"/>
      <c r="E29" s="63"/>
      <c r="F29" s="63"/>
      <c r="G29" s="96">
        <v>41182</v>
      </c>
      <c r="H29" s="64"/>
      <c r="I29" s="96">
        <f t="shared" si="1"/>
      </c>
      <c r="J29" s="97">
        <v>0.0496</v>
      </c>
      <c r="K29" s="55"/>
      <c r="L29" s="55"/>
      <c r="M29" s="113">
        <f t="shared" si="2"/>
      </c>
      <c r="N29" s="113">
        <f t="shared" si="3"/>
      </c>
      <c r="O29" s="66"/>
      <c r="P29" s="57"/>
      <c r="Q29" s="113">
        <f t="shared" si="4"/>
      </c>
      <c r="R29" s="65"/>
      <c r="S29" s="57"/>
      <c r="T29" s="57"/>
      <c r="U29" s="65"/>
      <c r="V29" s="65"/>
      <c r="W29" s="65"/>
      <c r="X29" s="57"/>
      <c r="Y29" s="65"/>
      <c r="Z29" s="113">
        <f t="shared" si="5"/>
      </c>
      <c r="AA29" s="57"/>
      <c r="AB29" s="65"/>
      <c r="AC29" s="65"/>
      <c r="AD29" s="57"/>
      <c r="AE29" s="57"/>
      <c r="AF29" s="68"/>
      <c r="AG29" s="39"/>
    </row>
    <row r="30" ht="14.45">
      <c r="A30" s="91" t="s">
        <v>84</v>
      </c>
      <c r="B30" s="92" t="s">
        <v>85</v>
      </c>
      <c r="C30" s="62"/>
      <c r="D30" s="95"/>
      <c r="E30" s="63"/>
      <c r="F30" s="63"/>
      <c r="G30" s="96">
        <v>41213</v>
      </c>
      <c r="H30" s="64"/>
      <c r="I30" s="96">
        <f t="shared" si="1"/>
      </c>
      <c r="J30" s="97">
        <v>0.0512</v>
      </c>
      <c r="K30" s="55"/>
      <c r="L30" s="55"/>
      <c r="M30" s="113">
        <f t="shared" si="2"/>
      </c>
      <c r="N30" s="113">
        <f t="shared" si="3"/>
      </c>
      <c r="O30" s="69"/>
      <c r="P30" s="70"/>
      <c r="Q30" s="113">
        <f t="shared" si="4"/>
      </c>
      <c r="R30" s="55"/>
      <c r="S30" s="70"/>
      <c r="T30" s="70"/>
      <c r="U30" s="55"/>
      <c r="V30" s="55"/>
      <c r="W30" s="55"/>
      <c r="X30" s="70"/>
      <c r="Y30" s="55"/>
      <c r="Z30" s="113">
        <f t="shared" si="5"/>
      </c>
      <c r="AA30" s="70"/>
      <c r="AB30" s="55"/>
      <c r="AC30" s="55"/>
      <c r="AD30" s="70"/>
      <c r="AE30" s="70"/>
      <c r="AF30" s="72"/>
      <c r="AG30" s="39"/>
    </row>
    <row r="31" ht="14.45">
      <c r="A31" s="91" t="s">
        <v>84</v>
      </c>
      <c r="B31" s="92" t="s">
        <v>85</v>
      </c>
      <c r="C31" s="74"/>
      <c r="D31" s="95"/>
      <c r="E31" s="75"/>
      <c r="F31" s="75"/>
      <c r="G31" s="96">
        <v>41243</v>
      </c>
      <c r="H31" s="76"/>
      <c r="I31" s="96">
        <f t="shared" si="1"/>
      </c>
      <c r="J31" s="97">
        <v>0.0496</v>
      </c>
      <c r="K31" s="55"/>
      <c r="L31" s="55"/>
      <c r="M31" s="113">
        <f t="shared" si="2"/>
      </c>
      <c r="N31" s="113">
        <f t="shared" si="3"/>
      </c>
      <c r="O31" s="69"/>
      <c r="P31" s="70"/>
      <c r="Q31" s="113">
        <f t="shared" si="4"/>
      </c>
      <c r="R31" s="55"/>
      <c r="S31" s="70"/>
      <c r="T31" s="70"/>
      <c r="U31" s="55"/>
      <c r="V31" s="55"/>
      <c r="W31" s="55"/>
      <c r="X31" s="70"/>
      <c r="Y31" s="55"/>
      <c r="Z31" s="113">
        <f t="shared" si="5"/>
      </c>
      <c r="AA31" s="70"/>
      <c r="AB31" s="55"/>
      <c r="AC31" s="55"/>
      <c r="AD31" s="70"/>
      <c r="AE31" s="70"/>
      <c r="AF31" s="72"/>
      <c r="AG31" s="39"/>
    </row>
    <row r="32" ht="14.45">
      <c r="A32" s="85">
        <f>IF(COUNTA(M28:M31)=0,"",IF(COUNTA(F28:F31)=0,IF(COUNTA(D28:D31)=0,"Totals - Final","Totals - Estimated"),"Totals - Corrected"))</f>
      </c>
      <c r="B32" s="88">
        <f>IF(ISNA(INDEX(B28:B31,MAX(MATCH(REPT("z",255),B28:B31)))),"",INDEX(B28:B31,MAX(MATCH(REPT("z",255),B28:B31))))</f>
      </c>
      <c r="C32" s="88">
        <f>IF(ISNA(INDEX(C28:C31,MAX(MATCH(REPT("z",255),C28:C31)))),"",INDEX(C28:C31,MAX(MATCH(REPT("z",255),C28:C31))))</f>
      </c>
      <c r="D32" s="88">
        <f>IF(ISNA(INDEX(A28:A31,MAX(MATCH(REPT("z",255),A28:A31)))),"",INDEX(A28:A31,MAX(MATCH(REPT("z",255),A28:A31))))</f>
      </c>
      <c r="E32" s="86"/>
      <c r="F32" s="86"/>
      <c r="G32" s="87"/>
      <c r="H32" s="87"/>
      <c r="I32" s="87"/>
      <c r="J32" s="77">
        <f>SUM(IF(NOT(ISBLANK($B19:$B31)),J19:J31,""))</f>
      </c>
      <c r="K32" s="77">
        <f ref="K32:K32" t="array">SUM(IF(NOT(ISBLANK($B19:$B31)),K19:K31,""))</f>
      </c>
      <c r="L32" s="77">
        <f ref="L32:L32" t="array">SUM(IF(NOT(ISBLANK($B19:$B31)),L19:L31,""))</f>
      </c>
      <c r="M32" s="77">
        <f ref="M32:M32" t="array">SUM(IF(NOT(ISBLANK($B19:$B31)),M19:M31,""))</f>
      </c>
      <c r="N32" s="77">
        <f ref="N32:N32" t="array">SUM(IF(NOT(ISBLANK($B19:$B31)),N19:N31,""))</f>
      </c>
      <c r="O32" s="77">
        <f ref="O32:O32" t="array">SUM(IF(NOT(ISBLANK($B19:$B31)),O19:O31,""))</f>
      </c>
      <c r="P32" s="78"/>
      <c r="Q32" s="77">
        <f ref="Q32:Q32" t="array">SUM(IF(NOT(ISBLANK($B19:$B31)),Q19:Q31,""))</f>
      </c>
      <c r="R32" s="77">
        <f ref="R32:R32" t="array">SUM(IF(NOT(ISBLANK($B19:$B31)),R19:R31,""))</f>
      </c>
      <c r="S32" s="78"/>
      <c r="T32" s="78"/>
      <c r="U32" s="77">
        <f ref="U32:U32" t="array">SUM(IF(NOT(ISBLANK($B19:$B31)),U19:U31,""))</f>
      </c>
      <c r="V32" s="77">
        <f ref="V32:V32" t="array">SUM(IF(NOT(ISBLANK($B19:$B31)),V19:V31,""))</f>
      </c>
      <c r="W32" s="77">
        <f ref="W32:W32" t="array">SUM(IF(NOT(ISBLANK($B19:$B31)),W19:W31,""))</f>
      </c>
      <c r="X32" s="78"/>
      <c r="Y32" s="77">
        <f ref="Y32:Y32" t="array">SUM(IF(NOT(ISBLANK($B19:$B31)),Y19:Y31,""))</f>
      </c>
      <c r="Z32" s="77">
        <f ref="Z32:Z32" t="array">SUM(IF(NOT(ISBLANK($B19:$B31)),Z19:Z31,""))</f>
      </c>
      <c r="AA32" s="78"/>
      <c r="AB32" s="77">
        <f ref="AB32:AB32" t="array">SUM(IF(NOT(ISBLANK($B19:$B31)),AB19:AB31,""))</f>
      </c>
      <c r="AC32" s="77">
        <f ref="AC32:AC32" t="array">SUM(IF(NOT(ISBLANK($B19:$B31)),AC19:AC31,""))</f>
      </c>
      <c r="AD32" s="78"/>
      <c r="AE32" s="78"/>
      <c r="AF32" s="79"/>
      <c r="AG32" s="80">
        <v>1</v>
      </c>
    </row>
    <row r="33" ht="0" hidden="1">
      <c r="A33" s="51"/>
      <c r="B33" s="52"/>
      <c r="C33" s="52"/>
      <c r="D33" s="81"/>
      <c r="E33" s="81"/>
      <c r="F33" s="81"/>
      <c r="G33" s="82"/>
      <c r="H33" s="82"/>
      <c r="I33" s="82"/>
      <c r="J33" s="54"/>
      <c r="K33" s="55"/>
      <c r="L33" s="55"/>
      <c r="M33" s="55"/>
      <c r="N33" s="54"/>
      <c r="O33" s="56"/>
      <c r="P33" s="83"/>
      <c r="Q33" s="58"/>
      <c r="R33" s="54"/>
      <c r="S33" s="83"/>
      <c r="T33" s="83"/>
      <c r="U33" s="54"/>
      <c r="V33" s="54"/>
      <c r="W33" s="54"/>
      <c r="X33" s="83"/>
      <c r="Y33" s="54"/>
      <c r="Z33" s="54"/>
      <c r="AA33" s="83"/>
      <c r="AB33" s="54"/>
      <c r="AC33" s="54"/>
      <c r="AD33" s="83"/>
      <c r="AE33" s="83"/>
      <c r="AF33" s="84"/>
      <c r="AG33" s="39"/>
    </row>
    <row r="34" ht="14.45">
      <c r="A34" s="61"/>
      <c r="B34" s="62"/>
      <c r="C34" s="62"/>
      <c r="D34" s="63"/>
      <c r="E34" s="63"/>
      <c r="F34" s="63"/>
      <c r="G34" s="64"/>
      <c r="H34" s="64"/>
      <c r="I34" s="64"/>
      <c r="J34" s="65"/>
      <c r="K34" s="55"/>
      <c r="L34" s="55"/>
      <c r="M34" s="55"/>
      <c r="N34" s="65"/>
      <c r="O34" s="66"/>
      <c r="P34" s="57"/>
      <c r="Q34" s="67"/>
      <c r="R34" s="65"/>
      <c r="S34" s="57"/>
      <c r="T34" s="57"/>
      <c r="U34" s="65"/>
      <c r="V34" s="65"/>
      <c r="W34" s="65"/>
      <c r="X34" s="57"/>
      <c r="Y34" s="65"/>
      <c r="Z34" s="65"/>
      <c r="AA34" s="57"/>
      <c r="AB34" s="65"/>
      <c r="AC34" s="65"/>
      <c r="AD34" s="57"/>
      <c r="AE34" s="57"/>
      <c r="AF34" s="68"/>
      <c r="AG34" s="39"/>
    </row>
    <row r="35" ht="14.45">
      <c r="A35" s="61"/>
      <c r="B35" s="62"/>
      <c r="C35" s="62"/>
      <c r="D35" s="63"/>
      <c r="E35" s="63"/>
      <c r="F35" s="63"/>
      <c r="G35" s="64"/>
      <c r="H35" s="64"/>
      <c r="I35" s="64"/>
      <c r="J35" s="65"/>
      <c r="K35" s="55"/>
      <c r="L35" s="55"/>
      <c r="M35" s="55"/>
      <c r="N35" s="65"/>
      <c r="O35" s="66"/>
      <c r="P35" s="57"/>
      <c r="Q35" s="67"/>
      <c r="R35" s="65"/>
      <c r="S35" s="57"/>
      <c r="T35" s="57"/>
      <c r="U35" s="65"/>
      <c r="V35" s="65"/>
      <c r="W35" s="65"/>
      <c r="X35" s="57"/>
      <c r="Y35" s="65"/>
      <c r="Z35" s="65"/>
      <c r="AA35" s="57"/>
      <c r="AB35" s="65"/>
      <c r="AC35" s="65"/>
      <c r="AD35" s="57"/>
      <c r="AE35" s="57"/>
      <c r="AF35" s="68"/>
      <c r="AG35" s="39"/>
    </row>
    <row r="36" ht="14.45">
      <c r="A36" s="61"/>
      <c r="B36" s="62"/>
      <c r="C36" s="62"/>
      <c r="D36" s="63"/>
      <c r="E36" s="63"/>
      <c r="F36" s="63"/>
      <c r="G36" s="64"/>
      <c r="H36" s="64"/>
      <c r="I36" s="64"/>
      <c r="J36" s="65"/>
      <c r="K36" s="55"/>
      <c r="L36" s="55"/>
      <c r="M36" s="55"/>
      <c r="N36" s="55"/>
      <c r="O36" s="69"/>
      <c r="P36" s="70"/>
      <c r="Q36" s="71"/>
      <c r="R36" s="55"/>
      <c r="S36" s="70"/>
      <c r="T36" s="70"/>
      <c r="U36" s="55"/>
      <c r="V36" s="55"/>
      <c r="W36" s="55"/>
      <c r="X36" s="70"/>
      <c r="Y36" s="55"/>
      <c r="Z36" s="55"/>
      <c r="AA36" s="70"/>
      <c r="AB36" s="55"/>
      <c r="AC36" s="55"/>
      <c r="AD36" s="70"/>
      <c r="AE36" s="70"/>
      <c r="AF36" s="72"/>
      <c r="AG36" s="39"/>
    </row>
    <row r="37" ht="14.45">
      <c r="A37" s="73"/>
      <c r="B37" s="74"/>
      <c r="C37" s="74"/>
      <c r="D37" s="75"/>
      <c r="E37" s="75"/>
      <c r="F37" s="75"/>
      <c r="G37" s="76"/>
      <c r="H37" s="76"/>
      <c r="I37" s="76"/>
      <c r="J37" s="55"/>
      <c r="K37" s="55"/>
      <c r="L37" s="55"/>
      <c r="M37" s="55"/>
      <c r="N37" s="55"/>
      <c r="O37" s="69"/>
      <c r="P37" s="70"/>
      <c r="Q37" s="71"/>
      <c r="R37" s="55"/>
      <c r="S37" s="70"/>
      <c r="T37" s="70"/>
      <c r="U37" s="55"/>
      <c r="V37" s="55"/>
      <c r="W37" s="55"/>
      <c r="X37" s="70"/>
      <c r="Y37" s="55"/>
      <c r="Z37" s="55"/>
      <c r="AA37" s="70"/>
      <c r="AB37" s="55"/>
      <c r="AC37" s="55"/>
      <c r="AD37" s="70"/>
      <c r="AE37" s="70"/>
      <c r="AF37" s="72"/>
      <c r="AG37" s="39"/>
    </row>
    <row r="38" ht="14.45">
      <c r="A38" s="85">
        <f>IF(COUNTA(M34:M37)=0,"",IF(COUNTA(F34:F37)=0,IF(COUNTA(D34:D37)=0,"Totals - Final","Totals - Estimated"),"Totals - Corrected"))</f>
      </c>
      <c r="B38" s="88">
        <f>IF(ISNA(INDEX(B34:B37,MAX(MATCH(REPT("z",255),B34:B37)))),"",INDEX(B34:B37,MAX(MATCH(REPT("z",255),B34:B37))))</f>
      </c>
      <c r="C38" s="88">
        <f>IF(ISNA(INDEX(C34:C37,MAX(MATCH(REPT("z",255),C34:C37)))),"",INDEX(C34:C37,MAX(MATCH(REPT("z",255),C34:C37))))</f>
      </c>
      <c r="D38" s="88">
        <f>IF(ISNA(INDEX(A34:A37,MAX(MATCH(REPT("z",255),A34:A37)))),"",INDEX(A34:A37,MAX(MATCH(REPT("z",255),A34:A37))))</f>
      </c>
      <c r="E38" s="86"/>
      <c r="F38" s="86"/>
      <c r="G38" s="87"/>
      <c r="H38" s="87"/>
      <c r="I38" s="87"/>
      <c r="J38" s="77">
        <f ref="J38:J38" t="array">SUM(IF(NOT(ISBLANK($B33:$B37)),J33:J37,""))</f>
      </c>
      <c r="K38" s="77">
        <f ref="K38:K38" t="array">SUM(IF(NOT(ISBLANK($B33:$B37)),K33:K37,""))</f>
      </c>
      <c r="L38" s="77">
        <f ref="L38:L38" t="array">SUM(IF(NOT(ISBLANK($B33:$B37)),L33:L37,""))</f>
      </c>
      <c r="M38" s="77">
        <f ref="M38:M38" t="array">SUM(IF(NOT(ISBLANK($B33:$B37)),M33:M37,""))</f>
      </c>
      <c r="N38" s="77">
        <f ref="N38:N38" t="array">SUM(IF(NOT(ISBLANK($B33:$B37)),N33:N37,""))</f>
      </c>
      <c r="O38" s="77">
        <f ref="O38:O38" t="array">SUM(IF(NOT(ISBLANK($B33:$B37)),O33:O37,""))</f>
      </c>
      <c r="P38" s="78"/>
      <c r="Q38" s="77">
        <f ref="Q38:Q38" t="array">SUM(IF(NOT(ISBLANK($B33:$B37)),Q33:Q37,""))</f>
      </c>
      <c r="R38" s="77">
        <f ref="R38:R38" t="array">SUM(IF(NOT(ISBLANK($B33:$B37)),R33:R37,""))</f>
      </c>
      <c r="S38" s="78"/>
      <c r="T38" s="78"/>
      <c r="U38" s="77">
        <f ref="U38:U38" t="array">SUM(IF(NOT(ISBLANK($B33:$B37)),U33:U37,""))</f>
      </c>
      <c r="V38" s="77">
        <f ref="V38:V38" t="array">SUM(IF(NOT(ISBLANK($B33:$B37)),V33:V37,""))</f>
      </c>
      <c r="W38" s="77">
        <f ref="W38:W38" t="array">SUM(IF(NOT(ISBLANK($B33:$B37)),W33:W37,""))</f>
      </c>
      <c r="X38" s="78"/>
      <c r="Y38" s="77">
        <f ref="Y38:Y38" t="array">SUM(IF(NOT(ISBLANK($B33:$B37)),Y33:Y37,""))</f>
      </c>
      <c r="Z38" s="77">
        <f ref="Z38:Z38" t="array">SUM(IF(NOT(ISBLANK($B33:$B37)),Z33:Z37,""))</f>
      </c>
      <c r="AA38" s="78"/>
      <c r="AB38" s="77">
        <f ref="AB38:AB38" t="array">SUM(IF(NOT(ISBLANK($B33:$B37)),AB33:AB37,""))</f>
      </c>
      <c r="AC38" s="77">
        <f ref="AC38:AC38" t="array">SUM(IF(NOT(ISBLANK($B33:$B37)),AC33:AC37,""))</f>
      </c>
      <c r="AD38" s="78"/>
      <c r="AE38" s="78"/>
      <c r="AF38" s="79"/>
      <c r="AG38" s="80">
        <v>1</v>
      </c>
    </row>
    <row r="39" ht="0" hidden="1">
      <c r="A39" s="51"/>
      <c r="B39" s="52"/>
      <c r="C39" s="52"/>
      <c r="D39" s="81"/>
      <c r="E39" s="81"/>
      <c r="F39" s="81"/>
      <c r="G39" s="82"/>
      <c r="H39" s="82"/>
      <c r="I39" s="82"/>
      <c r="J39" s="54"/>
      <c r="K39" s="55"/>
      <c r="L39" s="55"/>
      <c r="M39" s="55"/>
      <c r="N39" s="54"/>
      <c r="O39" s="56"/>
      <c r="P39" s="83"/>
      <c r="Q39" s="58"/>
      <c r="R39" s="54"/>
      <c r="S39" s="83"/>
      <c r="T39" s="83"/>
      <c r="U39" s="54"/>
      <c r="V39" s="54"/>
      <c r="W39" s="54"/>
      <c r="X39" s="83"/>
      <c r="Y39" s="54"/>
      <c r="Z39" s="54"/>
      <c r="AA39" s="83"/>
      <c r="AB39" s="54"/>
      <c r="AC39" s="54"/>
      <c r="AD39" s="83"/>
      <c r="AE39" s="83"/>
      <c r="AF39" s="84"/>
      <c r="AG39" s="39"/>
    </row>
    <row r="40" ht="14.45">
      <c r="A40" s="61"/>
      <c r="B40" s="62"/>
      <c r="C40" s="62"/>
      <c r="D40" s="63"/>
      <c r="E40" s="63"/>
      <c r="F40" s="63"/>
      <c r="G40" s="64"/>
      <c r="H40" s="64"/>
      <c r="I40" s="64"/>
      <c r="J40" s="65"/>
      <c r="K40" s="55"/>
      <c r="L40" s="55"/>
      <c r="M40" s="55"/>
      <c r="N40" s="65"/>
      <c r="O40" s="66"/>
      <c r="P40" s="57"/>
      <c r="Q40" s="67"/>
      <c r="R40" s="65"/>
      <c r="S40" s="57"/>
      <c r="T40" s="57"/>
      <c r="U40" s="65"/>
      <c r="V40" s="65"/>
      <c r="W40" s="65"/>
      <c r="X40" s="57"/>
      <c r="Y40" s="65"/>
      <c r="Z40" s="65"/>
      <c r="AA40" s="57"/>
      <c r="AB40" s="65"/>
      <c r="AC40" s="65"/>
      <c r="AD40" s="57"/>
      <c r="AE40" s="57"/>
      <c r="AF40" s="68"/>
      <c r="AG40" s="39"/>
    </row>
    <row r="41" ht="14.45">
      <c r="A41" s="61"/>
      <c r="B41" s="62"/>
      <c r="C41" s="62"/>
      <c r="D41" s="63"/>
      <c r="E41" s="63"/>
      <c r="F41" s="63"/>
      <c r="G41" s="64"/>
      <c r="H41" s="64"/>
      <c r="I41" s="64"/>
      <c r="J41" s="65"/>
      <c r="K41" s="55"/>
      <c r="L41" s="55"/>
      <c r="M41" s="55"/>
      <c r="N41" s="65"/>
      <c r="O41" s="66"/>
      <c r="P41" s="57"/>
      <c r="Q41" s="67"/>
      <c r="R41" s="65"/>
      <c r="S41" s="57"/>
      <c r="T41" s="57"/>
      <c r="U41" s="65"/>
      <c r="V41" s="65"/>
      <c r="W41" s="65"/>
      <c r="X41" s="57"/>
      <c r="Y41" s="65"/>
      <c r="Z41" s="65"/>
      <c r="AA41" s="57"/>
      <c r="AB41" s="65"/>
      <c r="AC41" s="65"/>
      <c r="AD41" s="57"/>
      <c r="AE41" s="57"/>
      <c r="AF41" s="68"/>
      <c r="AG41" s="39"/>
    </row>
    <row r="42" ht="14.45">
      <c r="A42" s="73"/>
      <c r="B42" s="74"/>
      <c r="C42" s="74"/>
      <c r="D42" s="75"/>
      <c r="E42" s="75"/>
      <c r="F42" s="75"/>
      <c r="G42" s="76"/>
      <c r="H42" s="76"/>
      <c r="I42" s="76"/>
      <c r="J42" s="55"/>
      <c r="K42" s="55"/>
      <c r="L42" s="55"/>
      <c r="M42" s="55"/>
      <c r="N42" s="55"/>
      <c r="O42" s="69"/>
      <c r="P42" s="70"/>
      <c r="Q42" s="71"/>
      <c r="R42" s="55"/>
      <c r="S42" s="70"/>
      <c r="T42" s="70"/>
      <c r="U42" s="55"/>
      <c r="V42" s="55"/>
      <c r="W42" s="55"/>
      <c r="X42" s="70"/>
      <c r="Y42" s="55"/>
      <c r="Z42" s="55"/>
      <c r="AA42" s="70"/>
      <c r="AB42" s="55"/>
      <c r="AC42" s="55"/>
      <c r="AD42" s="70"/>
      <c r="AE42" s="70"/>
      <c r="AF42" s="72"/>
      <c r="AG42" s="39"/>
    </row>
    <row r="43" ht="14.45">
      <c r="A43" s="73"/>
      <c r="B43" s="74"/>
      <c r="C43" s="74"/>
      <c r="D43" s="75"/>
      <c r="E43" s="75"/>
      <c r="F43" s="75"/>
      <c r="G43" s="76"/>
      <c r="H43" s="76"/>
      <c r="I43" s="76"/>
      <c r="J43" s="55"/>
      <c r="K43" s="55"/>
      <c r="L43" s="55"/>
      <c r="M43" s="55"/>
      <c r="N43" s="55"/>
      <c r="O43" s="69"/>
      <c r="P43" s="70"/>
      <c r="Q43" s="71"/>
      <c r="R43" s="55"/>
      <c r="S43" s="70"/>
      <c r="T43" s="70"/>
      <c r="U43" s="55"/>
      <c r="V43" s="55"/>
      <c r="W43" s="55"/>
      <c r="X43" s="70"/>
      <c r="Y43" s="55"/>
      <c r="Z43" s="55"/>
      <c r="AA43" s="70"/>
      <c r="AB43" s="55"/>
      <c r="AC43" s="55"/>
      <c r="AD43" s="70"/>
      <c r="AE43" s="70"/>
      <c r="AF43" s="72"/>
      <c r="AG43" s="39"/>
    </row>
    <row r="44" ht="14.45">
      <c r="A44" s="85">
        <f>IF(COUNTA(M40:M43)=0,"",IF(COUNTA(F40:F43)=0,IF(COUNTA(D40:D43)=0,"Totals - Final","Totals - Estimated"),"Totals - Corrected"))</f>
      </c>
      <c r="B44" s="88">
        <f>IF(ISNA(INDEX(B40:B43,MAX(MATCH(REPT("z",255),B40:B43)))),"",INDEX(B40:B43,MAX(MATCH(REPT("z",255),B40:B43))))</f>
      </c>
      <c r="C44" s="88">
        <f>IF(ISNA(INDEX(C40:C43,MAX(MATCH(REPT("z",255),C40:C43)))),"",INDEX(C40:C43,MAX(MATCH(REPT("z",255),C40:C43))))</f>
      </c>
      <c r="D44" s="88">
        <f>IF(ISNA(INDEX(A40:A43,MAX(MATCH(REPT("z",255),A40:A43)))),"",INDEX(A40:A43,MAX(MATCH(REPT("z",255),A40:A43))))</f>
      </c>
      <c r="E44" s="86"/>
      <c r="F44" s="86"/>
      <c r="G44" s="87"/>
      <c r="H44" s="87"/>
      <c r="I44" s="87"/>
      <c r="J44" s="77">
        <f ref="J44:J44" t="array">SUM(IF(NOT(ISBLANK($B39:$B43)),J39:J43,""))</f>
      </c>
      <c r="K44" s="77">
        <f ref="K44:K44" t="array">SUM(IF(NOT(ISBLANK($B39:$B43)),K39:K43,""))</f>
      </c>
      <c r="L44" s="77">
        <f ref="L44:L44" t="array">SUM(IF(NOT(ISBLANK($B39:$B43)),L39:L43,""))</f>
      </c>
      <c r="M44" s="77">
        <f ref="M44:M44" t="array">SUM(IF(NOT(ISBLANK($B39:$B43)),M39:M43,""))</f>
      </c>
      <c r="N44" s="77">
        <f ref="N44:N44" t="array">SUM(IF(NOT(ISBLANK($B39:$B43)),N39:N43,""))</f>
      </c>
      <c r="O44" s="77">
        <f ref="O44:O44" t="array">SUM(IF(NOT(ISBLANK($B39:$B43)),O39:O43,""))</f>
      </c>
      <c r="P44" s="78"/>
      <c r="Q44" s="77">
        <f ref="Q44:Q44" t="array">SUM(IF(NOT(ISBLANK($B39:$B43)),Q39:Q43,""))</f>
      </c>
      <c r="R44" s="77">
        <f ref="R44:R44" t="array">SUM(IF(NOT(ISBLANK($B39:$B43)),R39:R43,""))</f>
      </c>
      <c r="S44" s="78"/>
      <c r="T44" s="78"/>
      <c r="U44" s="77">
        <f ref="U44:U44" t="array">SUM(IF(NOT(ISBLANK($B39:$B43)),U39:U43,""))</f>
      </c>
      <c r="V44" s="77">
        <f ref="V44:V44" t="array">SUM(IF(NOT(ISBLANK($B39:$B43)),V39:V43,""))</f>
      </c>
      <c r="W44" s="77">
        <f ref="W44:W44" t="array">SUM(IF(NOT(ISBLANK($B39:$B43)),W39:W43,""))</f>
      </c>
      <c r="X44" s="78"/>
      <c r="Y44" s="77">
        <f ref="Y44:Y44" t="array">SUM(IF(NOT(ISBLANK($B39:$B43)),Y39:Y43,""))</f>
      </c>
      <c r="Z44" s="77">
        <f ref="Z44:Z44" t="array">SUM(IF(NOT(ISBLANK($B39:$B43)),Z39:Z43,""))</f>
      </c>
      <c r="AA44" s="78"/>
      <c r="AB44" s="77">
        <f ref="AB44:AB44" t="array">SUM(IF(NOT(ISBLANK($B39:$B43)),AB39:AB43,""))</f>
      </c>
      <c r="AC44" s="77">
        <f ref="AC44:AC44" t="array">SUM(IF(NOT(ISBLANK($B39:$B43)),AC39:AC43,""))</f>
      </c>
      <c r="AD44" s="78"/>
      <c r="AE44" s="78"/>
      <c r="AF44" s="79"/>
      <c r="AG44" s="80">
        <v>1</v>
      </c>
    </row>
    <row r="45" ht="0" hidden="1">
      <c r="A45" s="51"/>
      <c r="B45" s="52"/>
      <c r="C45" s="52"/>
      <c r="D45" s="81"/>
      <c r="E45" s="81"/>
      <c r="F45" s="81"/>
      <c r="G45" s="82"/>
      <c r="H45" s="82"/>
      <c r="I45" s="82"/>
      <c r="J45" s="54"/>
      <c r="K45" s="55"/>
      <c r="L45" s="55"/>
      <c r="M45" s="55"/>
      <c r="N45" s="54"/>
      <c r="O45" s="56"/>
      <c r="P45" s="83"/>
      <c r="Q45" s="58"/>
      <c r="R45" s="54"/>
      <c r="S45" s="83"/>
      <c r="T45" s="83"/>
      <c r="U45" s="54"/>
      <c r="V45" s="54"/>
      <c r="W45" s="54"/>
      <c r="X45" s="83"/>
      <c r="Y45" s="54"/>
      <c r="Z45" s="54"/>
      <c r="AA45" s="83"/>
      <c r="AB45" s="54"/>
      <c r="AC45" s="54"/>
      <c r="AD45" s="83"/>
      <c r="AE45" s="83"/>
      <c r="AF45" s="84"/>
      <c r="AG45" s="39"/>
    </row>
    <row r="46" ht="14.45">
      <c r="A46" s="61"/>
      <c r="B46" s="62"/>
      <c r="C46" s="62"/>
      <c r="D46" s="63"/>
      <c r="E46" s="63"/>
      <c r="F46" s="63"/>
      <c r="G46" s="64"/>
      <c r="H46" s="64"/>
      <c r="I46" s="64"/>
      <c r="J46" s="65"/>
      <c r="K46" s="55"/>
      <c r="L46" s="55"/>
      <c r="M46" s="55"/>
      <c r="N46" s="65"/>
      <c r="O46" s="66"/>
      <c r="P46" s="57"/>
      <c r="Q46" s="67"/>
      <c r="R46" s="65"/>
      <c r="S46" s="57"/>
      <c r="T46" s="57"/>
      <c r="U46" s="65"/>
      <c r="V46" s="65"/>
      <c r="W46" s="65"/>
      <c r="X46" s="57"/>
      <c r="Y46" s="65"/>
      <c r="Z46" s="65"/>
      <c r="AA46" s="57"/>
      <c r="AB46" s="65"/>
      <c r="AC46" s="65"/>
      <c r="AD46" s="57"/>
      <c r="AE46" s="57"/>
      <c r="AF46" s="68"/>
      <c r="AG46" s="39"/>
    </row>
    <row r="47" ht="14.45">
      <c r="A47" s="61"/>
      <c r="B47" s="62"/>
      <c r="C47" s="62"/>
      <c r="D47" s="63"/>
      <c r="E47" s="63"/>
      <c r="F47" s="63"/>
      <c r="G47" s="64"/>
      <c r="H47" s="64"/>
      <c r="I47" s="64"/>
      <c r="J47" s="65"/>
      <c r="K47" s="55"/>
      <c r="L47" s="55"/>
      <c r="M47" s="55"/>
      <c r="N47" s="65"/>
      <c r="O47" s="66"/>
      <c r="P47" s="57"/>
      <c r="Q47" s="67"/>
      <c r="R47" s="65"/>
      <c r="S47" s="57"/>
      <c r="T47" s="57"/>
      <c r="U47" s="65"/>
      <c r="V47" s="65"/>
      <c r="W47" s="65"/>
      <c r="X47" s="57"/>
      <c r="Y47" s="65"/>
      <c r="Z47" s="65"/>
      <c r="AA47" s="57"/>
      <c r="AB47" s="65"/>
      <c r="AC47" s="65"/>
      <c r="AD47" s="57"/>
      <c r="AE47" s="57"/>
      <c r="AF47" s="68"/>
      <c r="AG47" s="39"/>
    </row>
    <row r="48" ht="14.45">
      <c r="A48" s="73"/>
      <c r="B48" s="74"/>
      <c r="C48" s="74"/>
      <c r="D48" s="75"/>
      <c r="E48" s="75"/>
      <c r="F48" s="75"/>
      <c r="G48" s="76"/>
      <c r="H48" s="76"/>
      <c r="I48" s="76"/>
      <c r="J48" s="55"/>
      <c r="K48" s="55"/>
      <c r="L48" s="55"/>
      <c r="M48" s="55"/>
      <c r="N48" s="55"/>
      <c r="O48" s="69"/>
      <c r="P48" s="70"/>
      <c r="Q48" s="71"/>
      <c r="R48" s="55"/>
      <c r="S48" s="70"/>
      <c r="T48" s="70"/>
      <c r="U48" s="55"/>
      <c r="V48" s="55"/>
      <c r="W48" s="55"/>
      <c r="X48" s="70"/>
      <c r="Y48" s="55"/>
      <c r="Z48" s="55"/>
      <c r="AA48" s="70"/>
      <c r="AB48" s="55"/>
      <c r="AC48" s="55"/>
      <c r="AD48" s="70"/>
      <c r="AE48" s="70"/>
      <c r="AF48" s="72"/>
      <c r="AG48" s="39"/>
    </row>
    <row r="49" ht="14.45">
      <c r="A49" s="73"/>
      <c r="B49" s="74"/>
      <c r="C49" s="74"/>
      <c r="D49" s="75"/>
      <c r="E49" s="75"/>
      <c r="F49" s="75"/>
      <c r="G49" s="76"/>
      <c r="H49" s="76"/>
      <c r="I49" s="76"/>
      <c r="J49" s="55"/>
      <c r="K49" s="55"/>
      <c r="L49" s="55"/>
      <c r="M49" s="55"/>
      <c r="N49" s="55"/>
      <c r="O49" s="69"/>
      <c r="P49" s="70"/>
      <c r="Q49" s="71"/>
      <c r="R49" s="55"/>
      <c r="S49" s="70"/>
      <c r="T49" s="70"/>
      <c r="U49" s="55"/>
      <c r="V49" s="55"/>
      <c r="W49" s="55"/>
      <c r="X49" s="70"/>
      <c r="Y49" s="55"/>
      <c r="Z49" s="55"/>
      <c r="AA49" s="70"/>
      <c r="AB49" s="55"/>
      <c r="AC49" s="55"/>
      <c r="AD49" s="70"/>
      <c r="AE49" s="70"/>
      <c r="AF49" s="72"/>
      <c r="AG49" s="39"/>
    </row>
    <row r="50" ht="14.45">
      <c r="A50" s="85">
        <f>IF(COUNTA(M46:M49)=0,"",IF(COUNTA(F46:F49)=0,IF(COUNTA(D46:D49)=0,"Totals - Final","Totals - Estimated"),"Totals - Corrected"))</f>
      </c>
      <c r="B50" s="88">
        <f>IF(ISNA(INDEX(B46:B49,MAX(MATCH(REPT("z",255),B46:B49)))),"",INDEX(B46:B49,MAX(MATCH(REPT("z",255),B46:B49))))</f>
      </c>
      <c r="C50" s="88">
        <f>IF(ISNA(INDEX(C46:C49,MAX(MATCH(REPT("z",255),C46:C49)))),"",INDEX(C46:C49,MAX(MATCH(REPT("z",255),C46:C49))))</f>
      </c>
      <c r="D50" s="88">
        <f>IF(ISNA(INDEX(A46:A49,MAX(MATCH(REPT("z",255),A46:A49)))),"",INDEX(A46:A49,MAX(MATCH(REPT("z",255),A46:A49))))</f>
      </c>
      <c r="E50" s="86"/>
      <c r="F50" s="86"/>
      <c r="G50" s="87"/>
      <c r="H50" s="87"/>
      <c r="I50" s="87"/>
      <c r="J50" s="77">
        <f ref="J50:J50" t="array">SUM(IF(NOT(ISBLANK($B45:$B49)),J45:J49,""))</f>
      </c>
      <c r="K50" s="77">
        <f ref="K50:K50" t="array">SUM(IF(NOT(ISBLANK($B45:$B49)),K45:K49,""))</f>
      </c>
      <c r="L50" s="77">
        <f ref="L50:L50" t="array">SUM(IF(NOT(ISBLANK($B45:$B49)),L45:L49,""))</f>
      </c>
      <c r="M50" s="77">
        <f ref="M50:M50" t="array">SUM(IF(NOT(ISBLANK($B45:$B49)),M45:M49,""))</f>
      </c>
      <c r="N50" s="77">
        <f ref="N50:N50" t="array">SUM(IF(NOT(ISBLANK($B45:$B49)),N45:N49,""))</f>
      </c>
      <c r="O50" s="77">
        <f ref="O50:O50" t="array">SUM(IF(NOT(ISBLANK($B45:$B49)),O45:O49,""))</f>
      </c>
      <c r="P50" s="78"/>
      <c r="Q50" s="77">
        <f ref="Q50:Q50" t="array">SUM(IF(NOT(ISBLANK($B45:$B49)),Q45:Q49,""))</f>
      </c>
      <c r="R50" s="77">
        <f ref="R50:R50" t="array">SUM(IF(NOT(ISBLANK($B45:$B49)),R45:R49,""))</f>
      </c>
      <c r="S50" s="78"/>
      <c r="T50" s="78"/>
      <c r="U50" s="77">
        <f ref="U50:U50" t="array">SUM(IF(NOT(ISBLANK($B45:$B49)),U45:U49,""))</f>
      </c>
      <c r="V50" s="77">
        <f ref="V50:V50" t="array">SUM(IF(NOT(ISBLANK($B45:$B49)),V45:V49,""))</f>
      </c>
      <c r="W50" s="77">
        <f ref="W50:W50" t="array">SUM(IF(NOT(ISBLANK($B45:$B49)),W45:W49,""))</f>
      </c>
      <c r="X50" s="78"/>
      <c r="Y50" s="77">
        <f ref="Y50:Y50" t="array">SUM(IF(NOT(ISBLANK($B45:$B49)),Y45:Y49,""))</f>
      </c>
      <c r="Z50" s="77">
        <f ref="Z50:Z50" t="array">SUM(IF(NOT(ISBLANK($B45:$B49)),Z45:Z49,""))</f>
      </c>
      <c r="AA50" s="78"/>
      <c r="AB50" s="77">
        <f ref="AB50:AB50" t="array">SUM(IF(NOT(ISBLANK($B45:$B49)),AB45:AB49,""))</f>
      </c>
      <c r="AC50" s="77">
        <f ref="AC50:AC50" t="array">SUM(IF(NOT(ISBLANK($B45:$B49)),AC45:AC49,""))</f>
      </c>
      <c r="AD50" s="78"/>
      <c r="AE50" s="78"/>
      <c r="AF50" s="79"/>
      <c r="AG50" s="80">
        <v>1</v>
      </c>
    </row>
    <row r="51" ht="0" hidden="1">
      <c r="A51" s="51"/>
      <c r="B51" s="52"/>
      <c r="C51" s="52"/>
      <c r="D51" s="81"/>
      <c r="E51" s="81"/>
      <c r="F51" s="81"/>
      <c r="G51" s="82"/>
      <c r="H51" s="82"/>
      <c r="I51" s="82"/>
      <c r="J51" s="54"/>
      <c r="K51" s="55"/>
      <c r="L51" s="55"/>
      <c r="M51" s="55"/>
      <c r="N51" s="54"/>
      <c r="O51" s="56"/>
      <c r="P51" s="83"/>
      <c r="Q51" s="58"/>
      <c r="R51" s="54"/>
      <c r="S51" s="83"/>
      <c r="T51" s="83"/>
      <c r="U51" s="54"/>
      <c r="V51" s="54"/>
      <c r="W51" s="54"/>
      <c r="X51" s="83"/>
      <c r="Y51" s="54"/>
      <c r="Z51" s="54"/>
      <c r="AA51" s="83"/>
      <c r="AB51" s="54"/>
      <c r="AC51" s="54"/>
      <c r="AD51" s="83"/>
      <c r="AE51" s="83"/>
      <c r="AF51" s="84"/>
      <c r="AG51" s="39"/>
    </row>
    <row r="52" ht="14.45">
      <c r="A52" s="61"/>
      <c r="B52" s="62"/>
      <c r="C52" s="62"/>
      <c r="D52" s="63"/>
      <c r="E52" s="63"/>
      <c r="F52" s="63"/>
      <c r="G52" s="64"/>
      <c r="H52" s="64"/>
      <c r="I52" s="64"/>
      <c r="J52" s="65"/>
      <c r="K52" s="55"/>
      <c r="L52" s="55"/>
      <c r="M52" s="55"/>
      <c r="N52" s="65"/>
      <c r="O52" s="66"/>
      <c r="P52" s="57"/>
      <c r="Q52" s="67"/>
      <c r="R52" s="65"/>
      <c r="S52" s="57"/>
      <c r="T52" s="57"/>
      <c r="U52" s="65"/>
      <c r="V52" s="65"/>
      <c r="W52" s="65"/>
      <c r="X52" s="57"/>
      <c r="Y52" s="65"/>
      <c r="Z52" s="65"/>
      <c r="AA52" s="57"/>
      <c r="AB52" s="65"/>
      <c r="AC52" s="65"/>
      <c r="AD52" s="57"/>
      <c r="AE52" s="57"/>
      <c r="AF52" s="68"/>
      <c r="AG52" s="39"/>
    </row>
    <row r="53" ht="14.45">
      <c r="A53" s="61"/>
      <c r="B53" s="62"/>
      <c r="C53" s="62"/>
      <c r="D53" s="63"/>
      <c r="E53" s="63"/>
      <c r="F53" s="63"/>
      <c r="G53" s="64"/>
      <c r="H53" s="64"/>
      <c r="I53" s="64"/>
      <c r="J53" s="65"/>
      <c r="K53" s="55"/>
      <c r="L53" s="55"/>
      <c r="M53" s="55"/>
      <c r="N53" s="65"/>
      <c r="O53" s="66"/>
      <c r="P53" s="57"/>
      <c r="Q53" s="67"/>
      <c r="R53" s="65"/>
      <c r="S53" s="57"/>
      <c r="T53" s="57"/>
      <c r="U53" s="65"/>
      <c r="V53" s="65"/>
      <c r="W53" s="65"/>
      <c r="X53" s="57"/>
      <c r="Y53" s="65"/>
      <c r="Z53" s="65"/>
      <c r="AA53" s="57"/>
      <c r="AB53" s="65"/>
      <c r="AC53" s="65"/>
      <c r="AD53" s="57"/>
      <c r="AE53" s="57"/>
      <c r="AF53" s="68"/>
      <c r="AG53" s="39"/>
    </row>
    <row r="54" ht="14.45">
      <c r="A54" s="73"/>
      <c r="B54" s="74"/>
      <c r="C54" s="74"/>
      <c r="D54" s="75"/>
      <c r="E54" s="75"/>
      <c r="F54" s="75"/>
      <c r="G54" s="76"/>
      <c r="H54" s="76"/>
      <c r="I54" s="76"/>
      <c r="J54" s="55"/>
      <c r="K54" s="55"/>
      <c r="L54" s="55"/>
      <c r="M54" s="55"/>
      <c r="N54" s="55"/>
      <c r="O54" s="69"/>
      <c r="P54" s="70"/>
      <c r="Q54" s="71"/>
      <c r="R54" s="55"/>
      <c r="S54" s="70"/>
      <c r="T54" s="70"/>
      <c r="U54" s="55"/>
      <c r="V54" s="55"/>
      <c r="W54" s="55"/>
      <c r="X54" s="70"/>
      <c r="Y54" s="55"/>
      <c r="Z54" s="55"/>
      <c r="AA54" s="70"/>
      <c r="AB54" s="55"/>
      <c r="AC54" s="55"/>
      <c r="AD54" s="70"/>
      <c r="AE54" s="70"/>
      <c r="AF54" s="72"/>
      <c r="AG54" s="39"/>
    </row>
    <row r="55" ht="14.45">
      <c r="A55" s="73"/>
      <c r="B55" s="74"/>
      <c r="C55" s="74"/>
      <c r="D55" s="75"/>
      <c r="E55" s="75"/>
      <c r="F55" s="75"/>
      <c r="G55" s="76"/>
      <c r="H55" s="76"/>
      <c r="I55" s="76"/>
      <c r="J55" s="55"/>
      <c r="K55" s="55"/>
      <c r="L55" s="55"/>
      <c r="M55" s="55"/>
      <c r="N55" s="55"/>
      <c r="O55" s="69"/>
      <c r="P55" s="70"/>
      <c r="Q55" s="71"/>
      <c r="R55" s="55"/>
      <c r="S55" s="70"/>
      <c r="T55" s="70"/>
      <c r="U55" s="55"/>
      <c r="V55" s="55"/>
      <c r="W55" s="55"/>
      <c r="X55" s="70"/>
      <c r="Y55" s="55"/>
      <c r="Z55" s="55"/>
      <c r="AA55" s="70"/>
      <c r="AB55" s="55"/>
      <c r="AC55" s="55"/>
      <c r="AD55" s="70"/>
      <c r="AE55" s="70"/>
      <c r="AF55" s="72"/>
      <c r="AG55" s="39"/>
    </row>
    <row r="56" ht="14.45">
      <c r="A56" s="85">
        <f>IF(COUNTA(M52:M55)=0,"",IF(COUNTA(F52:F55)=0,IF(COUNTA(D52:D55)=0,"Totals - Final","Totals - Estimated"),"Totals - Corrected"))</f>
      </c>
      <c r="B56" s="88">
        <f>IF(ISNA(INDEX(B52:B55,MAX(MATCH(REPT("z",255),B52:B55)))),"",INDEX(B52:B55,MAX(MATCH(REPT("z",255),B52:B55))))</f>
      </c>
      <c r="C56" s="88">
        <f>IF(ISNA(INDEX(C52:C55,MAX(MATCH(REPT("z",255),C52:C55)))),"",INDEX(C52:C55,MAX(MATCH(REPT("z",255),C52:C55))))</f>
      </c>
      <c r="D56" s="88">
        <f>IF(ISNA(INDEX(A52:A55,MAX(MATCH(REPT("z",255),A52:A55)))),"",INDEX(A52:A55,MAX(MATCH(REPT("z",255),A52:A55))))</f>
      </c>
      <c r="E56" s="86"/>
      <c r="F56" s="86"/>
      <c r="G56" s="87"/>
      <c r="H56" s="87"/>
      <c r="I56" s="87"/>
      <c r="J56" s="77">
        <f ref="J56:J56" t="array">SUM(IF(NOT(ISBLANK($B51:$B55)),J51:J55,""))</f>
      </c>
      <c r="K56" s="77">
        <f ref="K56:K56" t="array">SUM(IF(NOT(ISBLANK($B51:$B55)),K51:K55,""))</f>
      </c>
      <c r="L56" s="77">
        <f ref="L56:L56" t="array">SUM(IF(NOT(ISBLANK($B51:$B55)),L51:L55,""))</f>
      </c>
      <c r="M56" s="77">
        <f ref="M56:M56" t="array">SUM(IF(NOT(ISBLANK($B51:$B55)),M51:M55,""))</f>
      </c>
      <c r="N56" s="77">
        <f ref="N56:N56" t="array">SUM(IF(NOT(ISBLANK($B51:$B55)),N51:N55,""))</f>
      </c>
      <c r="O56" s="77">
        <f ref="O56:O56" t="array">SUM(IF(NOT(ISBLANK($B51:$B55)),O51:O55,""))</f>
      </c>
      <c r="P56" s="78"/>
      <c r="Q56" s="77">
        <f ref="Q56:Q56" t="array">SUM(IF(NOT(ISBLANK($B51:$B55)),Q51:Q55,""))</f>
      </c>
      <c r="R56" s="77">
        <f ref="R56:R56" t="array">SUM(IF(NOT(ISBLANK($B51:$B55)),R51:R55,""))</f>
      </c>
      <c r="S56" s="78"/>
      <c r="T56" s="78"/>
      <c r="U56" s="77">
        <f ref="U56:U56" t="array">SUM(IF(NOT(ISBLANK($B51:$B55)),U51:U55,""))</f>
      </c>
      <c r="V56" s="77">
        <f ref="V56:V56" t="array">SUM(IF(NOT(ISBLANK($B51:$B55)),V51:V55,""))</f>
      </c>
      <c r="W56" s="77">
        <f ref="W56:W56" t="array">SUM(IF(NOT(ISBLANK($B51:$B55)),W51:W55,""))</f>
      </c>
      <c r="X56" s="78"/>
      <c r="Y56" s="77">
        <f ref="Y56:Y56" t="array">SUM(IF(NOT(ISBLANK($B51:$B55)),Y51:Y55,""))</f>
      </c>
      <c r="Z56" s="77">
        <f ref="Z56:Z56" t="array">SUM(IF(NOT(ISBLANK($B51:$B55)),Z51:Z55,""))</f>
      </c>
      <c r="AA56" s="78"/>
      <c r="AB56" s="77">
        <f ref="AB56:AB56" t="array">SUM(IF(NOT(ISBLANK($B51:$B55)),AB51:AB55,""))</f>
      </c>
      <c r="AC56" s="77">
        <f ref="AC56:AC56" t="array">SUM(IF(NOT(ISBLANK($B51:$B55)),AC51:AC55,""))</f>
      </c>
      <c r="AD56" s="78"/>
      <c r="AE56" s="78"/>
      <c r="AF56" s="79"/>
      <c r="AG56" s="80">
        <v>1</v>
      </c>
    </row>
    <row r="57" ht="0" hidden="1">
      <c r="A57" s="51"/>
      <c r="B57" s="52"/>
      <c r="C57" s="52"/>
      <c r="D57" s="81"/>
      <c r="E57" s="81"/>
      <c r="F57" s="81"/>
      <c r="G57" s="82"/>
      <c r="H57" s="82"/>
      <c r="I57" s="82"/>
      <c r="J57" s="54"/>
      <c r="K57" s="55"/>
      <c r="L57" s="55"/>
      <c r="M57" s="55"/>
      <c r="N57" s="54"/>
      <c r="O57" s="56"/>
      <c r="P57" s="83"/>
      <c r="Q57" s="58"/>
      <c r="R57" s="54"/>
      <c r="S57" s="83"/>
      <c r="T57" s="83"/>
      <c r="U57" s="54"/>
      <c r="V57" s="54"/>
      <c r="W57" s="54"/>
      <c r="X57" s="83"/>
      <c r="Y57" s="54"/>
      <c r="Z57" s="54"/>
      <c r="AA57" s="83"/>
      <c r="AB57" s="54"/>
      <c r="AC57" s="54"/>
      <c r="AD57" s="83"/>
      <c r="AE57" s="83"/>
      <c r="AF57" s="84"/>
      <c r="AG57" s="39"/>
    </row>
    <row r="58" ht="14.45">
      <c r="A58" s="61"/>
      <c r="B58" s="62"/>
      <c r="C58" s="62"/>
      <c r="D58" s="63"/>
      <c r="E58" s="63"/>
      <c r="F58" s="63"/>
      <c r="G58" s="64"/>
      <c r="H58" s="64"/>
      <c r="I58" s="64"/>
      <c r="J58" s="65"/>
      <c r="K58" s="55"/>
      <c r="L58" s="55"/>
      <c r="M58" s="55"/>
      <c r="N58" s="65"/>
      <c r="O58" s="66"/>
      <c r="P58" s="57"/>
      <c r="Q58" s="67"/>
      <c r="R58" s="65"/>
      <c r="S58" s="57"/>
      <c r="T58" s="57"/>
      <c r="U58" s="65"/>
      <c r="V58" s="65"/>
      <c r="W58" s="65"/>
      <c r="X58" s="57"/>
      <c r="Y58" s="65"/>
      <c r="Z58" s="65"/>
      <c r="AA58" s="57"/>
      <c r="AB58" s="65"/>
      <c r="AC58" s="65"/>
      <c r="AD58" s="57"/>
      <c r="AE58" s="57"/>
      <c r="AF58" s="68"/>
      <c r="AG58" s="39"/>
    </row>
    <row r="59" ht="14.45">
      <c r="A59" s="61"/>
      <c r="B59" s="62"/>
      <c r="C59" s="62"/>
      <c r="D59" s="63"/>
      <c r="E59" s="63"/>
      <c r="F59" s="63"/>
      <c r="G59" s="64"/>
      <c r="H59" s="64"/>
      <c r="I59" s="64"/>
      <c r="J59" s="65"/>
      <c r="K59" s="55"/>
      <c r="L59" s="55"/>
      <c r="M59" s="55"/>
      <c r="N59" s="65"/>
      <c r="O59" s="66"/>
      <c r="P59" s="57"/>
      <c r="Q59" s="67"/>
      <c r="R59" s="65"/>
      <c r="S59" s="57"/>
      <c r="T59" s="57"/>
      <c r="U59" s="65"/>
      <c r="V59" s="65"/>
      <c r="W59" s="65"/>
      <c r="X59" s="57"/>
      <c r="Y59" s="65"/>
      <c r="Z59" s="65"/>
      <c r="AA59" s="57"/>
      <c r="AB59" s="65"/>
      <c r="AC59" s="65"/>
      <c r="AD59" s="57"/>
      <c r="AE59" s="57"/>
      <c r="AF59" s="68"/>
      <c r="AG59" s="39"/>
    </row>
    <row r="60">
      <c r="A60" s="73"/>
      <c r="B60" s="74"/>
      <c r="C60" s="74"/>
      <c r="D60" s="75"/>
      <c r="E60" s="75"/>
      <c r="F60" s="75"/>
      <c r="G60" s="76"/>
      <c r="H60" s="76"/>
      <c r="I60" s="76"/>
      <c r="J60" s="55"/>
      <c r="K60" s="55"/>
      <c r="L60" s="55"/>
      <c r="M60" s="55"/>
      <c r="N60" s="55"/>
      <c r="O60" s="69"/>
      <c r="P60" s="70"/>
      <c r="Q60" s="71"/>
      <c r="R60" s="55"/>
      <c r="S60" s="70"/>
      <c r="T60" s="70"/>
      <c r="U60" s="55"/>
      <c r="V60" s="55"/>
      <c r="W60" s="55"/>
      <c r="X60" s="70"/>
      <c r="Y60" s="55"/>
      <c r="Z60" s="55"/>
      <c r="AA60" s="70"/>
      <c r="AB60" s="55"/>
      <c r="AC60" s="55"/>
      <c r="AD60" s="70"/>
      <c r="AE60" s="70"/>
      <c r="AF60" s="72"/>
      <c r="AG60" s="39"/>
    </row>
    <row r="61">
      <c r="A61" s="73"/>
      <c r="B61" s="74"/>
      <c r="C61" s="74"/>
      <c r="D61" s="75"/>
      <c r="E61" s="75"/>
      <c r="F61" s="75"/>
      <c r="G61" s="76"/>
      <c r="H61" s="76"/>
      <c r="I61" s="76"/>
      <c r="J61" s="55"/>
      <c r="K61" s="55"/>
      <c r="L61" s="55"/>
      <c r="M61" s="55"/>
      <c r="N61" s="55"/>
      <c r="O61" s="69"/>
      <c r="P61" s="70"/>
      <c r="Q61" s="71"/>
      <c r="R61" s="55"/>
      <c r="S61" s="70"/>
      <c r="T61" s="70"/>
      <c r="U61" s="55"/>
      <c r="V61" s="55"/>
      <c r="W61" s="55"/>
      <c r="X61" s="70"/>
      <c r="Y61" s="55"/>
      <c r="Z61" s="55"/>
      <c r="AA61" s="70"/>
      <c r="AB61" s="55"/>
      <c r="AC61" s="55"/>
      <c r="AD61" s="70"/>
      <c r="AE61" s="70"/>
      <c r="AF61" s="72"/>
      <c r="AG61" s="39"/>
    </row>
    <row r="62">
      <c r="A62" s="85">
        <f>IF(COUNTA(M58:M61)=0,"",IF(COUNTA(F58:F61)=0,IF(COUNTA(D58:D61)=0,"Totals - Final","Totals - Estimated"),"Totals - Corrected"))</f>
      </c>
      <c r="B62" s="88">
        <f>IF(ISNA(INDEX(B58:B61,MAX(MATCH(REPT("z",255),B58:B61)))),"",INDEX(B58:B61,MAX(MATCH(REPT("z",255),B58:B61))))</f>
      </c>
      <c r="C62" s="88">
        <f>IF(ISNA(INDEX(C58:C61,MAX(MATCH(REPT("z",255),C58:C61)))),"",INDEX(C58:C61,MAX(MATCH(REPT("z",255),C58:C61))))</f>
      </c>
      <c r="D62" s="88">
        <f>IF(ISNA(INDEX(A58:A61,MAX(MATCH(REPT("z",255),A58:A61)))),"",INDEX(A58:A61,MAX(MATCH(REPT("z",255),A58:A61))))</f>
      </c>
      <c r="E62" s="86"/>
      <c r="F62" s="86"/>
      <c r="G62" s="87"/>
      <c r="H62" s="87"/>
      <c r="I62" s="87"/>
      <c r="J62" s="77">
        <f ref="J62:J62" t="array">SUM(IF(NOT(ISBLANK($B57:$B61)),J57:J61,""))</f>
      </c>
      <c r="K62" s="77">
        <f ref="K62:K62" t="array">SUM(IF(NOT(ISBLANK($B57:$B61)),K57:K61,""))</f>
      </c>
      <c r="L62" s="77">
        <f ref="L62:L62" t="array">SUM(IF(NOT(ISBLANK($B57:$B61)),L57:L61,""))</f>
      </c>
      <c r="M62" s="77">
        <f ref="M62:M62" t="array">SUM(IF(NOT(ISBLANK($B57:$B61)),M57:M61,""))</f>
      </c>
      <c r="N62" s="77">
        <f ref="N62:N62" t="array">SUM(IF(NOT(ISBLANK($B57:$B61)),N57:N61,""))</f>
      </c>
      <c r="O62" s="77">
        <f ref="O62:O62" t="array">SUM(IF(NOT(ISBLANK($B57:$B61)),O57:O61,""))</f>
      </c>
      <c r="P62" s="78"/>
      <c r="Q62" s="77">
        <f ref="Q62:Q62" t="array">SUM(IF(NOT(ISBLANK($B57:$B61)),Q57:Q61,""))</f>
      </c>
      <c r="R62" s="77">
        <f ref="R62:R62" t="array">SUM(IF(NOT(ISBLANK($B57:$B61)),R57:R61,""))</f>
      </c>
      <c r="S62" s="78"/>
      <c r="T62" s="78"/>
      <c r="U62" s="77">
        <f ref="U62:U62" t="array">SUM(IF(NOT(ISBLANK($B57:$B61)),U57:U61,""))</f>
      </c>
      <c r="V62" s="77">
        <f ref="V62:V62" t="array">SUM(IF(NOT(ISBLANK($B57:$B61)),V57:V61,""))</f>
      </c>
      <c r="W62" s="77">
        <f ref="W62:W62" t="array">SUM(IF(NOT(ISBLANK($B57:$B61)),W57:W61,""))</f>
      </c>
      <c r="X62" s="78"/>
      <c r="Y62" s="77">
        <f ref="Y62:Y62" t="array">SUM(IF(NOT(ISBLANK($B57:$B61)),Y57:Y61,""))</f>
      </c>
      <c r="Z62" s="77">
        <f ref="Z62:Z62" t="array">SUM(IF(NOT(ISBLANK($B57:$B61)),Z57:Z61,""))</f>
      </c>
      <c r="AA62" s="78"/>
      <c r="AB62" s="77">
        <f ref="AB62:AB62" t="array">SUM(IF(NOT(ISBLANK($B57:$B61)),AB57:AB61,""))</f>
      </c>
      <c r="AC62" s="77">
        <f ref="AC62:AC62" t="array">SUM(IF(NOT(ISBLANK($B57:$B61)),AC57:AC61,""))</f>
      </c>
      <c r="AD62" s="78"/>
      <c r="AE62" s="78"/>
      <c r="AF62" s="79"/>
      <c r="AG62" s="80">
        <v>1</v>
      </c>
    </row>
    <row r="63" ht="0" hidden="1">
      <c r="A63" s="51"/>
      <c r="B63" s="52"/>
      <c r="C63" s="52"/>
      <c r="D63" s="81"/>
      <c r="E63" s="81"/>
      <c r="F63" s="81"/>
      <c r="G63" s="82"/>
      <c r="H63" s="82"/>
      <c r="I63" s="82"/>
      <c r="J63" s="54"/>
      <c r="K63" s="55"/>
      <c r="L63" s="55"/>
      <c r="M63" s="55"/>
      <c r="N63" s="54"/>
      <c r="O63" s="56"/>
      <c r="P63" s="83"/>
      <c r="Q63" s="58"/>
      <c r="R63" s="54"/>
      <c r="S63" s="83"/>
      <c r="T63" s="83"/>
      <c r="U63" s="54"/>
      <c r="V63" s="54"/>
      <c r="W63" s="54"/>
      <c r="X63" s="83"/>
      <c r="Y63" s="54"/>
      <c r="Z63" s="54"/>
      <c r="AA63" s="83"/>
      <c r="AB63" s="54"/>
      <c r="AC63" s="54"/>
      <c r="AD63" s="83"/>
      <c r="AE63" s="83"/>
      <c r="AF63" s="84"/>
      <c r="AG63" s="39"/>
    </row>
    <row r="64">
      <c r="A64" s="61"/>
      <c r="B64" s="62"/>
      <c r="C64" s="62"/>
      <c r="D64" s="63"/>
      <c r="E64" s="63"/>
      <c r="F64" s="63"/>
      <c r="G64" s="64"/>
      <c r="H64" s="64"/>
      <c r="I64" s="64"/>
      <c r="J64" s="65"/>
      <c r="K64" s="55"/>
      <c r="L64" s="55"/>
      <c r="M64" s="55"/>
      <c r="N64" s="65"/>
      <c r="O64" s="66"/>
      <c r="P64" s="57"/>
      <c r="Q64" s="67"/>
      <c r="R64" s="65"/>
      <c r="S64" s="57"/>
      <c r="T64" s="57"/>
      <c r="U64" s="65"/>
      <c r="V64" s="65"/>
      <c r="W64" s="65"/>
      <c r="X64" s="57"/>
      <c r="Y64" s="65"/>
      <c r="Z64" s="65"/>
      <c r="AA64" s="57"/>
      <c r="AB64" s="65"/>
      <c r="AC64" s="65"/>
      <c r="AD64" s="57"/>
      <c r="AE64" s="57"/>
      <c r="AF64" s="68"/>
      <c r="AG64" s="39"/>
    </row>
    <row r="65">
      <c r="A65" s="61"/>
      <c r="B65" s="62"/>
      <c r="C65" s="62"/>
      <c r="D65" s="63"/>
      <c r="E65" s="63"/>
      <c r="F65" s="63"/>
      <c r="G65" s="64"/>
      <c r="H65" s="64"/>
      <c r="I65" s="64"/>
      <c r="J65" s="65"/>
      <c r="K65" s="55"/>
      <c r="L65" s="55"/>
      <c r="M65" s="55"/>
      <c r="N65" s="65"/>
      <c r="O65" s="66"/>
      <c r="P65" s="57"/>
      <c r="Q65" s="67"/>
      <c r="R65" s="65"/>
      <c r="S65" s="57"/>
      <c r="T65" s="57"/>
      <c r="U65" s="65"/>
      <c r="V65" s="65"/>
      <c r="W65" s="65"/>
      <c r="X65" s="57"/>
      <c r="Y65" s="65"/>
      <c r="Z65" s="65"/>
      <c r="AA65" s="57"/>
      <c r="AB65" s="65"/>
      <c r="AC65" s="65"/>
      <c r="AD65" s="57"/>
      <c r="AE65" s="57"/>
      <c r="AF65" s="68"/>
      <c r="AG65" s="39"/>
    </row>
    <row r="66">
      <c r="A66" s="73"/>
      <c r="B66" s="74"/>
      <c r="C66" s="74"/>
      <c r="D66" s="75"/>
      <c r="E66" s="75"/>
      <c r="F66" s="75"/>
      <c r="G66" s="76"/>
      <c r="H66" s="76"/>
      <c r="I66" s="76"/>
      <c r="J66" s="55"/>
      <c r="K66" s="55"/>
      <c r="L66" s="55"/>
      <c r="M66" s="55"/>
      <c r="N66" s="55"/>
      <c r="O66" s="69"/>
      <c r="P66" s="70"/>
      <c r="Q66" s="71"/>
      <c r="R66" s="55"/>
      <c r="S66" s="70"/>
      <c r="T66" s="70"/>
      <c r="U66" s="55"/>
      <c r="V66" s="55"/>
      <c r="W66" s="55"/>
      <c r="X66" s="70"/>
      <c r="Y66" s="55"/>
      <c r="Z66" s="55"/>
      <c r="AA66" s="70"/>
      <c r="AB66" s="55"/>
      <c r="AC66" s="55"/>
      <c r="AD66" s="70"/>
      <c r="AE66" s="70"/>
      <c r="AF66" s="72"/>
      <c r="AG66" s="39"/>
    </row>
    <row r="67">
      <c r="A67" s="73"/>
      <c r="B67" s="74"/>
      <c r="C67" s="74"/>
      <c r="D67" s="75"/>
      <c r="E67" s="75"/>
      <c r="F67" s="75"/>
      <c r="G67" s="76"/>
      <c r="H67" s="76"/>
      <c r="I67" s="76"/>
      <c r="J67" s="55"/>
      <c r="K67" s="55"/>
      <c r="L67" s="55"/>
      <c r="M67" s="55"/>
      <c r="N67" s="55"/>
      <c r="O67" s="69"/>
      <c r="P67" s="70"/>
      <c r="Q67" s="71"/>
      <c r="R67" s="55"/>
      <c r="S67" s="70"/>
      <c r="T67" s="70"/>
      <c r="U67" s="55"/>
      <c r="V67" s="55"/>
      <c r="W67" s="55"/>
      <c r="X67" s="70"/>
      <c r="Y67" s="55"/>
      <c r="Z67" s="55"/>
      <c r="AA67" s="70"/>
      <c r="AB67" s="55"/>
      <c r="AC67" s="55"/>
      <c r="AD67" s="70"/>
      <c r="AE67" s="70"/>
      <c r="AF67" s="72"/>
      <c r="AG67" s="39"/>
    </row>
    <row r="68">
      <c r="A68" s="85">
        <f>IF(COUNTA(M64:M67)=0,"",IF(COUNTA(F64:F67)=0,IF(COUNTA(D64:D67)=0,"Totals - Final","Totals - Estimated"),"Totals - Corrected"))</f>
      </c>
      <c r="B68" s="88">
        <f>IF(ISNA(INDEX(B64:B67,MAX(MATCH(REPT("z",255),B64:B67)))),"",INDEX(B64:B67,MAX(MATCH(REPT("z",255),B64:B67))))</f>
      </c>
      <c r="C68" s="88">
        <f>IF(ISNA(INDEX(C64:C67,MAX(MATCH(REPT("z",255),C64:C67)))),"",INDEX(C64:C67,MAX(MATCH(REPT("z",255),C64:C67))))</f>
      </c>
      <c r="D68" s="88">
        <f>IF(ISNA(INDEX(A64:A67,MAX(MATCH(REPT("z",255),A64:A67)))),"",INDEX(A64:A67,MAX(MATCH(REPT("z",255),A64:A67))))</f>
      </c>
      <c r="E68" s="86"/>
      <c r="F68" s="86"/>
      <c r="G68" s="87"/>
      <c r="H68" s="87"/>
      <c r="I68" s="87"/>
      <c r="J68" s="77">
        <f ref="J68:J68" t="array">SUM(IF(NOT(ISBLANK($B63:$B67)),J63:J67,""))</f>
      </c>
      <c r="K68" s="77">
        <f ref="K68:K68" t="array">SUM(IF(NOT(ISBLANK($B63:$B67)),K63:K67,""))</f>
      </c>
      <c r="L68" s="77">
        <f ref="L68:L68" t="array">SUM(IF(NOT(ISBLANK($B63:$B67)),L63:L67,""))</f>
      </c>
      <c r="M68" s="77">
        <f ref="M68:M68" t="array">SUM(IF(NOT(ISBLANK($B63:$B67)),M63:M67,""))</f>
      </c>
      <c r="N68" s="77">
        <f ref="N68:N68" t="array">SUM(IF(NOT(ISBLANK($B63:$B67)),N63:N67,""))</f>
      </c>
      <c r="O68" s="77">
        <f ref="O68:O68" t="array">SUM(IF(NOT(ISBLANK($B63:$B67)),O63:O67,""))</f>
      </c>
      <c r="P68" s="78"/>
      <c r="Q68" s="77">
        <f ref="Q68:Q68" t="array">SUM(IF(NOT(ISBLANK($B63:$B67)),Q63:Q67,""))</f>
      </c>
      <c r="R68" s="77">
        <f ref="R68:R68" t="array">SUM(IF(NOT(ISBLANK($B63:$B67)),R63:R67,""))</f>
      </c>
      <c r="S68" s="78"/>
      <c r="T68" s="78"/>
      <c r="U68" s="77">
        <f ref="U68:U68" t="array">SUM(IF(NOT(ISBLANK($B63:$B67)),U63:U67,""))</f>
      </c>
      <c r="V68" s="77">
        <f ref="V68:V68" t="array">SUM(IF(NOT(ISBLANK($B63:$B67)),V63:V67,""))</f>
      </c>
      <c r="W68" s="77">
        <f ref="W68:W68" t="array">SUM(IF(NOT(ISBLANK($B63:$B67)),W63:W67,""))</f>
      </c>
      <c r="X68" s="78"/>
      <c r="Y68" s="77">
        <f ref="Y68:Y68" t="array">SUM(IF(NOT(ISBLANK($B63:$B67)),Y63:Y67,""))</f>
      </c>
      <c r="Z68" s="77">
        <f ref="Z68:Z68" t="array">SUM(IF(NOT(ISBLANK($B63:$B67)),Z63:Z67,""))</f>
      </c>
      <c r="AA68" s="78"/>
      <c r="AB68" s="77">
        <f ref="AB68:AB68" t="array">SUM(IF(NOT(ISBLANK($B63:$B67)),AB63:AB67,""))</f>
      </c>
      <c r="AC68" s="77">
        <f ref="AC68:AC68" t="array">SUM(IF(NOT(ISBLANK($B63:$B67)),AC63:AC67,""))</f>
      </c>
      <c r="AD68" s="78"/>
      <c r="AE68" s="78"/>
      <c r="AF68" s="79"/>
      <c r="AG68" s="80">
        <v>1</v>
      </c>
    </row>
    <row r="69" ht="0" hidden="1">
      <c r="A69" s="51"/>
      <c r="B69" s="52"/>
      <c r="C69" s="52"/>
      <c r="D69" s="81"/>
      <c r="E69" s="81"/>
      <c r="F69" s="81"/>
      <c r="G69" s="82"/>
      <c r="H69" s="82"/>
      <c r="I69" s="82"/>
      <c r="J69" s="54"/>
      <c r="K69" s="55"/>
      <c r="L69" s="55"/>
      <c r="M69" s="55"/>
      <c r="N69" s="54"/>
      <c r="O69" s="56"/>
      <c r="P69" s="83"/>
      <c r="Q69" s="58"/>
      <c r="R69" s="54"/>
      <c r="S69" s="83"/>
      <c r="T69" s="83"/>
      <c r="U69" s="54"/>
      <c r="V69" s="54"/>
      <c r="W69" s="54"/>
      <c r="X69" s="83"/>
      <c r="Y69" s="54"/>
      <c r="Z69" s="54"/>
      <c r="AA69" s="83"/>
      <c r="AB69" s="54"/>
      <c r="AC69" s="54"/>
      <c r="AD69" s="83"/>
      <c r="AE69" s="83"/>
      <c r="AF69" s="84"/>
      <c r="AG69" s="39"/>
    </row>
    <row r="70">
      <c r="A70" s="61"/>
      <c r="B70" s="62"/>
      <c r="C70" s="62"/>
      <c r="D70" s="63"/>
      <c r="E70" s="63"/>
      <c r="F70" s="63"/>
      <c r="G70" s="64"/>
      <c r="H70" s="64"/>
      <c r="I70" s="64"/>
      <c r="J70" s="65"/>
      <c r="K70" s="55"/>
      <c r="L70" s="55"/>
      <c r="M70" s="55"/>
      <c r="N70" s="65"/>
      <c r="O70" s="66"/>
      <c r="P70" s="57"/>
      <c r="Q70" s="67"/>
      <c r="R70" s="65"/>
      <c r="S70" s="57"/>
      <c r="T70" s="57"/>
      <c r="U70" s="65"/>
      <c r="V70" s="65"/>
      <c r="W70" s="65"/>
      <c r="X70" s="57"/>
      <c r="Y70" s="65"/>
      <c r="Z70" s="65"/>
      <c r="AA70" s="57"/>
      <c r="AB70" s="65"/>
      <c r="AC70" s="65"/>
      <c r="AD70" s="57"/>
      <c r="AE70" s="57"/>
      <c r="AF70" s="68"/>
      <c r="AG70" s="39"/>
    </row>
    <row r="71">
      <c r="A71" s="61"/>
      <c r="B71" s="62"/>
      <c r="C71" s="62"/>
      <c r="D71" s="63"/>
      <c r="E71" s="63"/>
      <c r="F71" s="63"/>
      <c r="G71" s="64"/>
      <c r="H71" s="64"/>
      <c r="I71" s="64"/>
      <c r="J71" s="65"/>
      <c r="K71" s="55"/>
      <c r="L71" s="55"/>
      <c r="M71" s="55"/>
      <c r="N71" s="65"/>
      <c r="O71" s="66"/>
      <c r="P71" s="57"/>
      <c r="Q71" s="67"/>
      <c r="R71" s="65"/>
      <c r="S71" s="57"/>
      <c r="T71" s="57"/>
      <c r="U71" s="65"/>
      <c r="V71" s="65"/>
      <c r="W71" s="65"/>
      <c r="X71" s="57"/>
      <c r="Y71" s="65"/>
      <c r="Z71" s="65"/>
      <c r="AA71" s="57"/>
      <c r="AB71" s="65"/>
      <c r="AC71" s="65"/>
      <c r="AD71" s="57"/>
      <c r="AE71" s="57"/>
      <c r="AF71" s="68"/>
      <c r="AG71" s="39"/>
    </row>
    <row r="72">
      <c r="A72" s="73"/>
      <c r="B72" s="74"/>
      <c r="C72" s="74"/>
      <c r="D72" s="75"/>
      <c r="E72" s="75"/>
      <c r="F72" s="75"/>
      <c r="G72" s="76"/>
      <c r="H72" s="76"/>
      <c r="I72" s="76"/>
      <c r="J72" s="55"/>
      <c r="K72" s="55"/>
      <c r="L72" s="55"/>
      <c r="M72" s="55"/>
      <c r="N72" s="55"/>
      <c r="O72" s="69"/>
      <c r="P72" s="70"/>
      <c r="Q72" s="71"/>
      <c r="R72" s="55"/>
      <c r="S72" s="70"/>
      <c r="T72" s="70"/>
      <c r="U72" s="55"/>
      <c r="V72" s="55"/>
      <c r="W72" s="55"/>
      <c r="X72" s="70"/>
      <c r="Y72" s="55"/>
      <c r="Z72" s="55"/>
      <c r="AA72" s="70"/>
      <c r="AB72" s="55"/>
      <c r="AC72" s="55"/>
      <c r="AD72" s="70"/>
      <c r="AE72" s="70"/>
      <c r="AF72" s="72"/>
      <c r="AG72" s="39"/>
    </row>
    <row r="73">
      <c r="A73" s="73"/>
      <c r="B73" s="74"/>
      <c r="C73" s="74"/>
      <c r="D73" s="75"/>
      <c r="E73" s="75"/>
      <c r="F73" s="75"/>
      <c r="G73" s="76"/>
      <c r="H73" s="76"/>
      <c r="I73" s="76"/>
      <c r="J73" s="55"/>
      <c r="K73" s="55"/>
      <c r="L73" s="55"/>
      <c r="M73" s="55"/>
      <c r="N73" s="55"/>
      <c r="O73" s="69"/>
      <c r="P73" s="70"/>
      <c r="Q73" s="71"/>
      <c r="R73" s="55"/>
      <c r="S73" s="70"/>
      <c r="T73" s="70"/>
      <c r="U73" s="55"/>
      <c r="V73" s="55"/>
      <c r="W73" s="55"/>
      <c r="X73" s="70"/>
      <c r="Y73" s="55"/>
      <c r="Z73" s="55"/>
      <c r="AA73" s="70"/>
      <c r="AB73" s="55"/>
      <c r="AC73" s="55"/>
      <c r="AD73" s="70"/>
      <c r="AE73" s="70"/>
      <c r="AF73" s="72"/>
      <c r="AG73" s="39"/>
    </row>
    <row r="74">
      <c r="A74" s="85">
        <f>IF(COUNTA(M70:M73)=0,"",IF(COUNTA(F70:F73)=0,IF(COUNTA(D70:D73)=0,"Totals - Final","Totals - Estimated"),"Totals - Corrected"))</f>
      </c>
      <c r="B74" s="88">
        <f>IF(ISNA(INDEX(B70:B73,MAX(MATCH(REPT("z",255),B70:B73)))),"",INDEX(B70:B73,MAX(MATCH(REPT("z",255),B70:B73))))</f>
      </c>
      <c r="C74" s="88">
        <f>IF(ISNA(INDEX(C70:C73,MAX(MATCH(REPT("z",255),C70:C73)))),"",INDEX(C70:C73,MAX(MATCH(REPT("z",255),C70:C73))))</f>
      </c>
      <c r="D74" s="88">
        <f>IF(ISNA(INDEX(A70:A73,MAX(MATCH(REPT("z",255),A70:A73)))),"",INDEX(A70:A73,MAX(MATCH(REPT("z",255),A70:A73))))</f>
      </c>
      <c r="E74" s="86"/>
      <c r="F74" s="86"/>
      <c r="G74" s="87"/>
      <c r="H74" s="87"/>
      <c r="I74" s="87"/>
      <c r="J74" s="77">
        <f ref="J74:J74" t="array">SUM(IF(NOT(ISBLANK($B69:$B73)),J69:J73,""))</f>
      </c>
      <c r="K74" s="77">
        <f ref="K74:K74" t="array">SUM(IF(NOT(ISBLANK($B69:$B73)),K69:K73,""))</f>
      </c>
      <c r="L74" s="77">
        <f ref="L74:L74" t="array">SUM(IF(NOT(ISBLANK($B69:$B73)),L69:L73,""))</f>
      </c>
      <c r="M74" s="77">
        <f ref="M74:M74" t="array">SUM(IF(NOT(ISBLANK($B69:$B73)),M69:M73,""))</f>
      </c>
      <c r="N74" s="77">
        <f ref="N74:N74" t="array">SUM(IF(NOT(ISBLANK($B69:$B73)),N69:N73,""))</f>
      </c>
      <c r="O74" s="77">
        <f ref="O74:O74" t="array">SUM(IF(NOT(ISBLANK($B69:$B73)),O69:O73,""))</f>
      </c>
      <c r="P74" s="78"/>
      <c r="Q74" s="77">
        <f ref="Q74:Q74" t="array">SUM(IF(NOT(ISBLANK($B69:$B73)),Q69:Q73,""))</f>
      </c>
      <c r="R74" s="77">
        <f ref="R74:R74" t="array">SUM(IF(NOT(ISBLANK($B69:$B73)),R69:R73,""))</f>
      </c>
      <c r="S74" s="78"/>
      <c r="T74" s="78"/>
      <c r="U74" s="77">
        <f ref="U74:U74" t="array">SUM(IF(NOT(ISBLANK($B69:$B73)),U69:U73,""))</f>
      </c>
      <c r="V74" s="77">
        <f ref="V74:V74" t="array">SUM(IF(NOT(ISBLANK($B69:$B73)),V69:V73,""))</f>
      </c>
      <c r="W74" s="77">
        <f ref="W74:W74" t="array">SUM(IF(NOT(ISBLANK($B69:$B73)),W69:W73,""))</f>
      </c>
      <c r="X74" s="78"/>
      <c r="Y74" s="77">
        <f ref="Y74:Y74" t="array">SUM(IF(NOT(ISBLANK($B69:$B73)),Y69:Y73,""))</f>
      </c>
      <c r="Z74" s="77">
        <f ref="Z74:Z74" t="array">SUM(IF(NOT(ISBLANK($B69:$B73)),Z69:Z73,""))</f>
      </c>
      <c r="AA74" s="78"/>
      <c r="AB74" s="77">
        <f ref="AB74:AB74" t="array">SUM(IF(NOT(ISBLANK($B69:$B73)),AB69:AB73,""))</f>
      </c>
      <c r="AC74" s="77">
        <f ref="AC74:AC74" t="array">SUM(IF(NOT(ISBLANK($B69:$B73)),AC69:AC73,""))</f>
      </c>
      <c r="AD74" s="78"/>
      <c r="AE74" s="78"/>
      <c r="AF74" s="79"/>
      <c r="AG74" s="80">
        <v>1</v>
      </c>
    </row>
    <row r="75" ht="0" hidden="1">
      <c r="A75" s="51"/>
      <c r="B75" s="52"/>
      <c r="C75" s="52"/>
      <c r="D75" s="81"/>
      <c r="E75" s="81"/>
      <c r="F75" s="81"/>
      <c r="G75" s="82"/>
      <c r="H75" s="82"/>
      <c r="I75" s="82"/>
      <c r="J75" s="54"/>
      <c r="K75" s="55"/>
      <c r="L75" s="55"/>
      <c r="M75" s="55"/>
      <c r="N75" s="54"/>
      <c r="O75" s="56"/>
      <c r="P75" s="83"/>
      <c r="Q75" s="58"/>
      <c r="R75" s="54"/>
      <c r="S75" s="83"/>
      <c r="T75" s="83"/>
      <c r="U75" s="54"/>
      <c r="V75" s="54"/>
      <c r="W75" s="54"/>
      <c r="X75" s="83"/>
      <c r="Y75" s="54"/>
      <c r="Z75" s="54"/>
      <c r="AA75" s="83"/>
      <c r="AB75" s="54"/>
      <c r="AC75" s="54"/>
      <c r="AD75" s="83"/>
      <c r="AE75" s="83"/>
      <c r="AF75" s="84"/>
      <c r="AG75" s="39"/>
    </row>
    <row r="76">
      <c r="A76" s="61"/>
      <c r="B76" s="62"/>
      <c r="C76" s="62"/>
      <c r="D76" s="63"/>
      <c r="E76" s="63"/>
      <c r="F76" s="63"/>
      <c r="G76" s="64"/>
      <c r="H76" s="64"/>
      <c r="I76" s="64"/>
      <c r="J76" s="65"/>
      <c r="K76" s="55"/>
      <c r="L76" s="55"/>
      <c r="M76" s="55"/>
      <c r="N76" s="65"/>
      <c r="O76" s="66"/>
      <c r="P76" s="57"/>
      <c r="Q76" s="67"/>
      <c r="R76" s="65"/>
      <c r="S76" s="57"/>
      <c r="T76" s="57"/>
      <c r="U76" s="65"/>
      <c r="V76" s="65"/>
      <c r="W76" s="65"/>
      <c r="X76" s="57"/>
      <c r="Y76" s="65"/>
      <c r="Z76" s="65"/>
      <c r="AA76" s="57"/>
      <c r="AB76" s="65"/>
      <c r="AC76" s="65"/>
      <c r="AD76" s="57"/>
      <c r="AE76" s="57"/>
      <c r="AF76" s="68"/>
      <c r="AG76" s="39"/>
    </row>
    <row r="77">
      <c r="A77" s="61"/>
      <c r="B77" s="62"/>
      <c r="C77" s="62"/>
      <c r="D77" s="63"/>
      <c r="E77" s="63"/>
      <c r="F77" s="63"/>
      <c r="G77" s="64"/>
      <c r="H77" s="64"/>
      <c r="I77" s="64"/>
      <c r="J77" s="65"/>
      <c r="K77" s="55"/>
      <c r="L77" s="55"/>
      <c r="M77" s="55"/>
      <c r="N77" s="65"/>
      <c r="O77" s="66"/>
      <c r="P77" s="57"/>
      <c r="Q77" s="67"/>
      <c r="R77" s="65"/>
      <c r="S77" s="57"/>
      <c r="T77" s="57"/>
      <c r="U77" s="65"/>
      <c r="V77" s="65"/>
      <c r="W77" s="65"/>
      <c r="X77" s="57"/>
      <c r="Y77" s="65"/>
      <c r="Z77" s="65"/>
      <c r="AA77" s="57"/>
      <c r="AB77" s="65"/>
      <c r="AC77" s="65"/>
      <c r="AD77" s="57"/>
      <c r="AE77" s="57"/>
      <c r="AF77" s="68"/>
      <c r="AG77" s="39"/>
    </row>
    <row r="78">
      <c r="A78" s="73"/>
      <c r="B78" s="74"/>
      <c r="C78" s="74"/>
      <c r="D78" s="75"/>
      <c r="E78" s="75"/>
      <c r="F78" s="75"/>
      <c r="G78" s="76"/>
      <c r="H78" s="76"/>
      <c r="I78" s="76"/>
      <c r="J78" s="55"/>
      <c r="K78" s="55"/>
      <c r="L78" s="55"/>
      <c r="M78" s="55"/>
      <c r="N78" s="55"/>
      <c r="O78" s="69"/>
      <c r="P78" s="70"/>
      <c r="Q78" s="71"/>
      <c r="R78" s="55"/>
      <c r="S78" s="70"/>
      <c r="T78" s="70"/>
      <c r="U78" s="55"/>
      <c r="V78" s="55"/>
      <c r="W78" s="55"/>
      <c r="X78" s="70"/>
      <c r="Y78" s="55"/>
      <c r="Z78" s="55"/>
      <c r="AA78" s="70"/>
      <c r="AB78" s="55"/>
      <c r="AC78" s="55"/>
      <c r="AD78" s="70"/>
      <c r="AE78" s="70"/>
      <c r="AF78" s="72"/>
      <c r="AG78" s="39"/>
    </row>
    <row r="79">
      <c r="A79" s="73"/>
      <c r="B79" s="74"/>
      <c r="C79" s="74"/>
      <c r="D79" s="75"/>
      <c r="E79" s="75"/>
      <c r="F79" s="75"/>
      <c r="G79" s="76"/>
      <c r="H79" s="76"/>
      <c r="I79" s="76"/>
      <c r="J79" s="55"/>
      <c r="K79" s="55"/>
      <c r="L79" s="55"/>
      <c r="M79" s="55"/>
      <c r="N79" s="55"/>
      <c r="O79" s="69"/>
      <c r="P79" s="70"/>
      <c r="Q79" s="71"/>
      <c r="R79" s="55"/>
      <c r="S79" s="70"/>
      <c r="T79" s="70"/>
      <c r="U79" s="55"/>
      <c r="V79" s="55"/>
      <c r="W79" s="55"/>
      <c r="X79" s="70"/>
      <c r="Y79" s="55"/>
      <c r="Z79" s="55"/>
      <c r="AA79" s="70"/>
      <c r="AB79" s="55"/>
      <c r="AC79" s="55"/>
      <c r="AD79" s="70"/>
      <c r="AE79" s="70"/>
      <c r="AF79" s="72"/>
      <c r="AG79" s="39"/>
    </row>
    <row r="80">
      <c r="A80" s="85">
        <f>IF(COUNTA(M76:M79)=0,"",IF(COUNTA(F76:F79)=0,IF(COUNTA(D76:D79)=0,"Totals - Final","Totals - Estimated"),"Totals - Corrected"))</f>
      </c>
      <c r="B80" s="88">
        <f>IF(ISNA(INDEX(B76:B79,MAX(MATCH(REPT("z",255),B76:B79)))),"",INDEX(B76:B79,MAX(MATCH(REPT("z",255),B76:B79))))</f>
      </c>
      <c r="C80" s="88">
        <f>IF(ISNA(INDEX(C76:C79,MAX(MATCH(REPT("z",255),C76:C79)))),"",INDEX(C76:C79,MAX(MATCH(REPT("z",255),C76:C79))))</f>
      </c>
      <c r="D80" s="88">
        <f>IF(ISNA(INDEX(A76:A79,MAX(MATCH(REPT("z",255),A76:A79)))),"",INDEX(A76:A79,MAX(MATCH(REPT("z",255),A76:A79))))</f>
      </c>
      <c r="E80" s="86"/>
      <c r="F80" s="86"/>
      <c r="G80" s="87"/>
      <c r="H80" s="87"/>
      <c r="I80" s="87"/>
      <c r="J80" s="77">
        <f ref="J80:J80" t="array">SUM(IF(NOT(ISBLANK($B75:$B79)),J75:J79,""))</f>
      </c>
      <c r="K80" s="77">
        <f ref="K80:K80" t="array">SUM(IF(NOT(ISBLANK($B75:$B79)),K75:K79,""))</f>
      </c>
      <c r="L80" s="77">
        <f ref="L80:L80" t="array">SUM(IF(NOT(ISBLANK($B75:$B79)),L75:L79,""))</f>
      </c>
      <c r="M80" s="77">
        <f ref="M80:M80" t="array">SUM(IF(NOT(ISBLANK($B75:$B79)),M75:M79,""))</f>
      </c>
      <c r="N80" s="77">
        <f ref="N80:N80" t="array">SUM(IF(NOT(ISBLANK($B75:$B79)),N75:N79,""))</f>
      </c>
      <c r="O80" s="77">
        <f ref="O80:O80" t="array">SUM(IF(NOT(ISBLANK($B75:$B79)),O75:O79,""))</f>
      </c>
      <c r="P80" s="78"/>
      <c r="Q80" s="77">
        <f ref="Q80:Q80" t="array">SUM(IF(NOT(ISBLANK($B75:$B79)),Q75:Q79,""))</f>
      </c>
      <c r="R80" s="77">
        <f ref="R80:R80" t="array">SUM(IF(NOT(ISBLANK($B75:$B79)),R75:R79,""))</f>
      </c>
      <c r="S80" s="78"/>
      <c r="T80" s="78"/>
      <c r="U80" s="77">
        <f ref="U80:U80" t="array">SUM(IF(NOT(ISBLANK($B75:$B79)),U75:U79,""))</f>
      </c>
      <c r="V80" s="77">
        <f ref="V80:V80" t="array">SUM(IF(NOT(ISBLANK($B75:$B79)),V75:V79,""))</f>
      </c>
      <c r="W80" s="77">
        <f ref="W80:W80" t="array">SUM(IF(NOT(ISBLANK($B75:$B79)),W75:W79,""))</f>
      </c>
      <c r="X80" s="78"/>
      <c r="Y80" s="77">
        <f ref="Y80:Y80" t="array">SUM(IF(NOT(ISBLANK($B75:$B79)),Y75:Y79,""))</f>
      </c>
      <c r="Z80" s="77">
        <f ref="Z80:Z80" t="array">SUM(IF(NOT(ISBLANK($B75:$B79)),Z75:Z79,""))</f>
      </c>
      <c r="AA80" s="78"/>
      <c r="AB80" s="77">
        <f ref="AB80:AB80" t="array">SUM(IF(NOT(ISBLANK($B75:$B79)),AB75:AB79,""))</f>
      </c>
      <c r="AC80" s="77">
        <f ref="AC80:AC80" t="array">SUM(IF(NOT(ISBLANK($B75:$B79)),AC75:AC79,""))</f>
      </c>
      <c r="AD80" s="78"/>
      <c r="AE80" s="78"/>
      <c r="AF80" s="79"/>
      <c r="AG80" s="80">
        <v>1</v>
      </c>
    </row>
    <row r="81" ht="0" hidden="1">
      <c r="A81" s="51"/>
      <c r="B81" s="52"/>
      <c r="C81" s="52"/>
      <c r="D81" s="81"/>
      <c r="E81" s="81"/>
      <c r="F81" s="81"/>
      <c r="G81" s="82"/>
      <c r="H81" s="82"/>
      <c r="I81" s="82"/>
      <c r="J81" s="54"/>
      <c r="K81" s="55"/>
      <c r="L81" s="55"/>
      <c r="M81" s="55"/>
      <c r="N81" s="54"/>
      <c r="O81" s="56"/>
      <c r="P81" s="83"/>
      <c r="Q81" s="58"/>
      <c r="R81" s="54"/>
      <c r="S81" s="83"/>
      <c r="T81" s="83"/>
      <c r="U81" s="54"/>
      <c r="V81" s="54"/>
      <c r="W81" s="54"/>
      <c r="X81" s="83"/>
      <c r="Y81" s="54"/>
      <c r="Z81" s="54"/>
      <c r="AA81" s="83"/>
      <c r="AB81" s="54"/>
      <c r="AC81" s="54"/>
      <c r="AD81" s="83"/>
      <c r="AE81" s="83"/>
      <c r="AF81" s="84"/>
      <c r="AG81" s="39"/>
    </row>
    <row r="82">
      <c r="A82" s="61"/>
      <c r="B82" s="62"/>
      <c r="C82" s="62"/>
      <c r="D82" s="63"/>
      <c r="E82" s="63"/>
      <c r="F82" s="63"/>
      <c r="G82" s="64"/>
      <c r="H82" s="64"/>
      <c r="I82" s="64"/>
      <c r="J82" s="65"/>
      <c r="K82" s="55"/>
      <c r="L82" s="55"/>
      <c r="M82" s="55"/>
      <c r="N82" s="65"/>
      <c r="O82" s="66"/>
      <c r="P82" s="57"/>
      <c r="Q82" s="67"/>
      <c r="R82" s="65"/>
      <c r="S82" s="57"/>
      <c r="T82" s="57"/>
      <c r="U82" s="65"/>
      <c r="V82" s="65"/>
      <c r="W82" s="65"/>
      <c r="X82" s="57"/>
      <c r="Y82" s="65"/>
      <c r="Z82" s="65"/>
      <c r="AA82" s="57"/>
      <c r="AB82" s="65"/>
      <c r="AC82" s="65"/>
      <c r="AD82" s="57"/>
      <c r="AE82" s="57"/>
      <c r="AF82" s="68"/>
      <c r="AG82" s="39"/>
    </row>
    <row r="83">
      <c r="A83" s="61"/>
      <c r="B83" s="62"/>
      <c r="C83" s="62"/>
      <c r="D83" s="63"/>
      <c r="E83" s="63"/>
      <c r="F83" s="63"/>
      <c r="G83" s="64"/>
      <c r="H83" s="64"/>
      <c r="I83" s="64"/>
      <c r="J83" s="65"/>
      <c r="K83" s="55"/>
      <c r="L83" s="55"/>
      <c r="M83" s="55"/>
      <c r="N83" s="65"/>
      <c r="O83" s="66"/>
      <c r="P83" s="57"/>
      <c r="Q83" s="67"/>
      <c r="R83" s="65"/>
      <c r="S83" s="57"/>
      <c r="T83" s="57"/>
      <c r="U83" s="65"/>
      <c r="V83" s="65"/>
      <c r="W83" s="65"/>
      <c r="X83" s="57"/>
      <c r="Y83" s="65"/>
      <c r="Z83" s="65"/>
      <c r="AA83" s="57"/>
      <c r="AB83" s="65"/>
      <c r="AC83" s="65"/>
      <c r="AD83" s="57"/>
      <c r="AE83" s="57"/>
      <c r="AF83" s="68"/>
      <c r="AG83" s="39"/>
    </row>
    <row r="84">
      <c r="A84" s="73"/>
      <c r="B84" s="74"/>
      <c r="C84" s="74"/>
      <c r="D84" s="75"/>
      <c r="E84" s="75"/>
      <c r="F84" s="75"/>
      <c r="G84" s="76"/>
      <c r="H84" s="76"/>
      <c r="I84" s="76"/>
      <c r="J84" s="55"/>
      <c r="K84" s="55"/>
      <c r="L84" s="55"/>
      <c r="M84" s="55"/>
      <c r="N84" s="55"/>
      <c r="O84" s="69"/>
      <c r="P84" s="70"/>
      <c r="Q84" s="71"/>
      <c r="R84" s="55"/>
      <c r="S84" s="70"/>
      <c r="T84" s="70"/>
      <c r="U84" s="55"/>
      <c r="V84" s="55"/>
      <c r="W84" s="55"/>
      <c r="X84" s="70"/>
      <c r="Y84" s="55"/>
      <c r="Z84" s="55"/>
      <c r="AA84" s="70"/>
      <c r="AB84" s="55"/>
      <c r="AC84" s="55"/>
      <c r="AD84" s="70"/>
      <c r="AE84" s="70"/>
      <c r="AF84" s="72"/>
      <c r="AG84" s="39"/>
    </row>
    <row r="85">
      <c r="A85" s="73"/>
      <c r="B85" s="74"/>
      <c r="C85" s="74"/>
      <c r="D85" s="75"/>
      <c r="E85" s="75"/>
      <c r="F85" s="75"/>
      <c r="G85" s="76"/>
      <c r="H85" s="76"/>
      <c r="I85" s="76"/>
      <c r="J85" s="55"/>
      <c r="K85" s="55"/>
      <c r="L85" s="55"/>
      <c r="M85" s="55"/>
      <c r="N85" s="55"/>
      <c r="O85" s="69"/>
      <c r="P85" s="70"/>
      <c r="Q85" s="71"/>
      <c r="R85" s="55"/>
      <c r="S85" s="70"/>
      <c r="T85" s="70"/>
      <c r="U85" s="55"/>
      <c r="V85" s="55"/>
      <c r="W85" s="55"/>
      <c r="X85" s="70"/>
      <c r="Y85" s="55"/>
      <c r="Z85" s="55"/>
      <c r="AA85" s="70"/>
      <c r="AB85" s="55"/>
      <c r="AC85" s="55"/>
      <c r="AD85" s="70"/>
      <c r="AE85" s="70"/>
      <c r="AF85" s="72"/>
      <c r="AG85" s="39"/>
    </row>
    <row r="86">
      <c r="A86" s="85">
        <f>IF(COUNTA(M82:M85)=0,"",IF(COUNTA(F82:F85)=0,IF(COUNTA(D82:D85)=0,"Totals - Final","Totals - Estimated"),"Totals - Corrected"))</f>
      </c>
      <c r="B86" s="88">
        <f>IF(ISNA(INDEX(B82:B85,MAX(MATCH(REPT("z",255),B82:B85)))),"",INDEX(B82:B85,MAX(MATCH(REPT("z",255),B82:B85))))</f>
      </c>
      <c r="C86" s="88">
        <f>IF(ISNA(INDEX(C82:C85,MAX(MATCH(REPT("z",255),C82:C85)))),"",INDEX(C82:C85,MAX(MATCH(REPT("z",255),C82:C85))))</f>
      </c>
      <c r="D86" s="88">
        <f>IF(ISNA(INDEX(A82:A85,MAX(MATCH(REPT("z",255),A82:A85)))),"",INDEX(A82:A85,MAX(MATCH(REPT("z",255),A82:A85))))</f>
      </c>
      <c r="E86" s="86"/>
      <c r="F86" s="86"/>
      <c r="G86" s="87"/>
      <c r="H86" s="87"/>
      <c r="I86" s="87"/>
      <c r="J86" s="77">
        <f ref="J86:J86" t="array">SUM(IF(NOT(ISBLANK($B81:$B85)),J81:J85,""))</f>
      </c>
      <c r="K86" s="77">
        <f ref="K86:K86" t="array">SUM(IF(NOT(ISBLANK($B81:$B85)),K81:K85,""))</f>
      </c>
      <c r="L86" s="77">
        <f ref="L86:L86" t="array">SUM(IF(NOT(ISBLANK($B81:$B85)),L81:L85,""))</f>
      </c>
      <c r="M86" s="77">
        <f ref="M86:M86" t="array">SUM(IF(NOT(ISBLANK($B81:$B85)),M81:M85,""))</f>
      </c>
      <c r="N86" s="77">
        <f ref="N86:N86" t="array">SUM(IF(NOT(ISBLANK($B81:$B85)),N81:N85,""))</f>
      </c>
      <c r="O86" s="77">
        <f ref="O86:O86" t="array">SUM(IF(NOT(ISBLANK($B81:$B85)),O81:O85,""))</f>
      </c>
      <c r="P86" s="78"/>
      <c r="Q86" s="77">
        <f ref="Q86:Q86" t="array">SUM(IF(NOT(ISBLANK($B81:$B85)),Q81:Q85,""))</f>
      </c>
      <c r="R86" s="77">
        <f ref="R86:R86" t="array">SUM(IF(NOT(ISBLANK($B81:$B85)),R81:R85,""))</f>
      </c>
      <c r="S86" s="78"/>
      <c r="T86" s="78"/>
      <c r="U86" s="77">
        <f ref="U86:U86" t="array">SUM(IF(NOT(ISBLANK($B81:$B85)),U81:U85,""))</f>
      </c>
      <c r="V86" s="77">
        <f ref="V86:V86" t="array">SUM(IF(NOT(ISBLANK($B81:$B85)),V81:V85,""))</f>
      </c>
      <c r="W86" s="77">
        <f ref="W86:W86" t="array">SUM(IF(NOT(ISBLANK($B81:$B85)),W81:W85,""))</f>
      </c>
      <c r="X86" s="78"/>
      <c r="Y86" s="77">
        <f ref="Y86:Y86" t="array">SUM(IF(NOT(ISBLANK($B81:$B85)),Y81:Y85,""))</f>
      </c>
      <c r="Z86" s="77">
        <f ref="Z86:Z86" t="array">SUM(IF(NOT(ISBLANK($B81:$B85)),Z81:Z85,""))</f>
      </c>
      <c r="AA86" s="78"/>
      <c r="AB86" s="77">
        <f ref="AB86:AB86" t="array">SUM(IF(NOT(ISBLANK($B81:$B85)),AB81:AB85,""))</f>
      </c>
      <c r="AC86" s="77">
        <f ref="AC86:AC86" t="array">SUM(IF(NOT(ISBLANK($B81:$B85)),AC81:AC85,""))</f>
      </c>
      <c r="AD86" s="78"/>
      <c r="AE86" s="78"/>
      <c r="AF86" s="79"/>
      <c r="AG86" s="80">
        <v>1</v>
      </c>
    </row>
    <row r="87" ht="0" hidden="1">
      <c r="A87" s="51"/>
      <c r="B87" s="52"/>
      <c r="C87" s="52"/>
      <c r="D87" s="81"/>
      <c r="E87" s="81"/>
      <c r="F87" s="81"/>
      <c r="G87" s="82"/>
      <c r="H87" s="82"/>
      <c r="I87" s="82"/>
      <c r="J87" s="54"/>
      <c r="K87" s="55"/>
      <c r="L87" s="55"/>
      <c r="M87" s="55"/>
      <c r="N87" s="54"/>
      <c r="O87" s="56"/>
      <c r="P87" s="83"/>
      <c r="Q87" s="58"/>
      <c r="R87" s="54"/>
      <c r="S87" s="83"/>
      <c r="T87" s="83"/>
      <c r="U87" s="54"/>
      <c r="V87" s="54"/>
      <c r="W87" s="54"/>
      <c r="X87" s="83"/>
      <c r="Y87" s="54"/>
      <c r="Z87" s="54"/>
      <c r="AA87" s="83"/>
      <c r="AB87" s="54"/>
      <c r="AC87" s="54"/>
      <c r="AD87" s="83"/>
      <c r="AE87" s="83"/>
      <c r="AF87" s="84"/>
      <c r="AG87" s="39"/>
    </row>
    <row r="88">
      <c r="A88" s="61"/>
      <c r="B88" s="62"/>
      <c r="C88" s="62"/>
      <c r="D88" s="63"/>
      <c r="E88" s="63"/>
      <c r="F88" s="63"/>
      <c r="G88" s="64"/>
      <c r="H88" s="64"/>
      <c r="I88" s="64"/>
      <c r="J88" s="65"/>
      <c r="K88" s="55"/>
      <c r="L88" s="55"/>
      <c r="M88" s="55"/>
      <c r="N88" s="65"/>
      <c r="O88" s="66"/>
      <c r="P88" s="57"/>
      <c r="Q88" s="67"/>
      <c r="R88" s="65"/>
      <c r="S88" s="57"/>
      <c r="T88" s="57"/>
      <c r="U88" s="65"/>
      <c r="V88" s="65"/>
      <c r="W88" s="65"/>
      <c r="X88" s="57"/>
      <c r="Y88" s="65"/>
      <c r="Z88" s="65"/>
      <c r="AA88" s="57"/>
      <c r="AB88" s="65"/>
      <c r="AC88" s="65"/>
      <c r="AD88" s="57"/>
      <c r="AE88" s="57"/>
      <c r="AF88" s="68"/>
      <c r="AG88" s="39"/>
    </row>
    <row r="89">
      <c r="A89" s="61"/>
      <c r="B89" s="62"/>
      <c r="C89" s="62"/>
      <c r="D89" s="63"/>
      <c r="E89" s="63"/>
      <c r="F89" s="63"/>
      <c r="G89" s="64"/>
      <c r="H89" s="64"/>
      <c r="I89" s="64"/>
      <c r="J89" s="65"/>
      <c r="K89" s="55"/>
      <c r="L89" s="55"/>
      <c r="M89" s="55"/>
      <c r="N89" s="65"/>
      <c r="O89" s="66"/>
      <c r="P89" s="57"/>
      <c r="Q89" s="67"/>
      <c r="R89" s="65"/>
      <c r="S89" s="57"/>
      <c r="T89" s="57"/>
      <c r="U89" s="65"/>
      <c r="V89" s="65"/>
      <c r="W89" s="65"/>
      <c r="X89" s="57"/>
      <c r="Y89" s="65"/>
      <c r="Z89" s="65"/>
      <c r="AA89" s="57"/>
      <c r="AB89" s="65"/>
      <c r="AC89" s="65"/>
      <c r="AD89" s="57"/>
      <c r="AE89" s="57"/>
      <c r="AF89" s="68"/>
      <c r="AG89" s="39"/>
    </row>
    <row r="90">
      <c r="A90" s="73"/>
      <c r="B90" s="74"/>
      <c r="C90" s="74"/>
      <c r="D90" s="75"/>
      <c r="E90" s="75"/>
      <c r="F90" s="75"/>
      <c r="G90" s="76"/>
      <c r="H90" s="76"/>
      <c r="I90" s="76"/>
      <c r="J90" s="55"/>
      <c r="K90" s="55"/>
      <c r="L90" s="55"/>
      <c r="M90" s="55"/>
      <c r="N90" s="55"/>
      <c r="O90" s="69"/>
      <c r="P90" s="70"/>
      <c r="Q90" s="71"/>
      <c r="R90" s="55"/>
      <c r="S90" s="70"/>
      <c r="T90" s="70"/>
      <c r="U90" s="55"/>
      <c r="V90" s="55"/>
      <c r="W90" s="55"/>
      <c r="X90" s="70"/>
      <c r="Y90" s="55"/>
      <c r="Z90" s="55"/>
      <c r="AA90" s="70"/>
      <c r="AB90" s="55"/>
      <c r="AC90" s="55"/>
      <c r="AD90" s="70"/>
      <c r="AE90" s="70"/>
      <c r="AF90" s="72"/>
      <c r="AG90" s="39"/>
    </row>
    <row r="91">
      <c r="A91" s="73"/>
      <c r="B91" s="74"/>
      <c r="C91" s="74"/>
      <c r="D91" s="75"/>
      <c r="E91" s="75"/>
      <c r="F91" s="75"/>
      <c r="G91" s="76"/>
      <c r="H91" s="76"/>
      <c r="I91" s="76"/>
      <c r="J91" s="55"/>
      <c r="K91" s="55"/>
      <c r="L91" s="55"/>
      <c r="M91" s="55"/>
      <c r="N91" s="55"/>
      <c r="O91" s="69"/>
      <c r="P91" s="70"/>
      <c r="Q91" s="71"/>
      <c r="R91" s="55"/>
      <c r="S91" s="70"/>
      <c r="T91" s="70"/>
      <c r="U91" s="55"/>
      <c r="V91" s="55"/>
      <c r="W91" s="55"/>
      <c r="X91" s="70"/>
      <c r="Y91" s="55"/>
      <c r="Z91" s="55"/>
      <c r="AA91" s="70"/>
      <c r="AB91" s="55"/>
      <c r="AC91" s="55"/>
      <c r="AD91" s="70"/>
      <c r="AE91" s="70"/>
      <c r="AF91" s="72"/>
      <c r="AG91" s="39"/>
    </row>
    <row r="92">
      <c r="A92" s="85">
        <f>IF(COUNTA(M88:M91)=0,"",IF(COUNTA(F88:F91)=0,IF(COUNTA(D88:D91)=0,"Totals - Final","Totals - Estimated"),"Totals - Corrected"))</f>
      </c>
      <c r="B92" s="88">
        <f>IF(ISNA(INDEX(B88:B91,MAX(MATCH(REPT("z",255),B88:B91)))),"",INDEX(B88:B91,MAX(MATCH(REPT("z",255),B88:B91))))</f>
      </c>
      <c r="C92" s="88">
        <f>IF(ISNA(INDEX(C88:C91,MAX(MATCH(REPT("z",255),C88:C91)))),"",INDEX(C88:C91,MAX(MATCH(REPT("z",255),C88:C91))))</f>
      </c>
      <c r="D92" s="88">
        <f>IF(ISNA(INDEX(A88:A91,MAX(MATCH(REPT("z",255),A88:A91)))),"",INDEX(A88:A91,MAX(MATCH(REPT("z",255),A88:A91))))</f>
      </c>
      <c r="E92" s="86"/>
      <c r="F92" s="86"/>
      <c r="G92" s="87"/>
      <c r="H92" s="87"/>
      <c r="I92" s="87"/>
      <c r="J92" s="77">
        <f ref="J92:J92" t="array">SUM(IF(NOT(ISBLANK($B87:$B91)),J87:J91,""))</f>
      </c>
      <c r="K92" s="77">
        <f ref="K92:K92" t="array">SUM(IF(NOT(ISBLANK($B87:$B91)),K87:K91,""))</f>
      </c>
      <c r="L92" s="77">
        <f ref="L92:L92" t="array">SUM(IF(NOT(ISBLANK($B87:$B91)),L87:L91,""))</f>
      </c>
      <c r="M92" s="77">
        <f ref="M92:M92" t="array">SUM(IF(NOT(ISBLANK($B87:$B91)),M87:M91,""))</f>
      </c>
      <c r="N92" s="77">
        <f ref="N92:N92" t="array">SUM(IF(NOT(ISBLANK($B87:$B91)),N87:N91,""))</f>
      </c>
      <c r="O92" s="77">
        <f ref="O92:O92" t="array">SUM(IF(NOT(ISBLANK($B87:$B91)),O87:O91,""))</f>
      </c>
      <c r="P92" s="78"/>
      <c r="Q92" s="77">
        <f ref="Q92:Q92" t="array">SUM(IF(NOT(ISBLANK($B87:$B91)),Q87:Q91,""))</f>
      </c>
      <c r="R92" s="77">
        <f ref="R92:R92" t="array">SUM(IF(NOT(ISBLANK($B87:$B91)),R87:R91,""))</f>
      </c>
      <c r="S92" s="78"/>
      <c r="T92" s="78"/>
      <c r="U92" s="77">
        <f ref="U92:U92" t="array">SUM(IF(NOT(ISBLANK($B87:$B91)),U87:U91,""))</f>
      </c>
      <c r="V92" s="77">
        <f ref="V92:V92" t="array">SUM(IF(NOT(ISBLANK($B87:$B91)),V87:V91,""))</f>
      </c>
      <c r="W92" s="77">
        <f ref="W92:W92" t="array">SUM(IF(NOT(ISBLANK($B87:$B91)),W87:W91,""))</f>
      </c>
      <c r="X92" s="78"/>
      <c r="Y92" s="77">
        <f ref="Y92:Y92" t="array">SUM(IF(NOT(ISBLANK($B87:$B91)),Y87:Y91,""))</f>
      </c>
      <c r="Z92" s="77">
        <f ref="Z92:Z92" t="array">SUM(IF(NOT(ISBLANK($B87:$B91)),Z87:Z91,""))</f>
      </c>
      <c r="AA92" s="78"/>
      <c r="AB92" s="77">
        <f ref="AB92:AB92" t="array">SUM(IF(NOT(ISBLANK($B87:$B91)),AB87:AB91,""))</f>
      </c>
      <c r="AC92" s="77">
        <f ref="AC92:AC92" t="array">SUM(IF(NOT(ISBLANK($B87:$B91)),AC87:AC91,""))</f>
      </c>
      <c r="AD92" s="78"/>
      <c r="AE92" s="78"/>
      <c r="AF92" s="79"/>
      <c r="AG92" s="80">
        <v>1</v>
      </c>
    </row>
    <row r="93" ht="0" hidden="1">
      <c r="A93" s="51"/>
      <c r="B93" s="52"/>
      <c r="C93" s="52"/>
      <c r="D93" s="81"/>
      <c r="E93" s="81"/>
      <c r="F93" s="81"/>
      <c r="G93" s="82"/>
      <c r="H93" s="82"/>
      <c r="I93" s="82"/>
      <c r="J93" s="54"/>
      <c r="K93" s="55"/>
      <c r="L93" s="55"/>
      <c r="M93" s="55"/>
      <c r="N93" s="54"/>
      <c r="O93" s="56"/>
      <c r="P93" s="83"/>
      <c r="Q93" s="58"/>
      <c r="R93" s="54"/>
      <c r="S93" s="83"/>
      <c r="T93" s="83"/>
      <c r="U93" s="54"/>
      <c r="V93" s="54"/>
      <c r="W93" s="54"/>
      <c r="X93" s="83"/>
      <c r="Y93" s="54"/>
      <c r="Z93" s="54"/>
      <c r="AA93" s="83"/>
      <c r="AB93" s="54"/>
      <c r="AC93" s="54"/>
      <c r="AD93" s="83"/>
      <c r="AE93" s="83"/>
      <c r="AF93" s="84"/>
      <c r="AG93" s="39"/>
    </row>
    <row r="94">
      <c r="A94" s="61"/>
      <c r="B94" s="62"/>
      <c r="C94" s="62"/>
      <c r="D94" s="63"/>
      <c r="E94" s="63"/>
      <c r="F94" s="63"/>
      <c r="G94" s="64"/>
      <c r="H94" s="64"/>
      <c r="I94" s="64"/>
      <c r="J94" s="65"/>
      <c r="K94" s="55"/>
      <c r="L94" s="55"/>
      <c r="M94" s="55"/>
      <c r="N94" s="65"/>
      <c r="O94" s="66"/>
      <c r="P94" s="57"/>
      <c r="Q94" s="67"/>
      <c r="R94" s="65"/>
      <c r="S94" s="57"/>
      <c r="T94" s="57"/>
      <c r="U94" s="65"/>
      <c r="V94" s="65"/>
      <c r="W94" s="65"/>
      <c r="X94" s="57"/>
      <c r="Y94" s="65"/>
      <c r="Z94" s="65"/>
      <c r="AA94" s="57"/>
      <c r="AB94" s="65"/>
      <c r="AC94" s="65"/>
      <c r="AD94" s="57"/>
      <c r="AE94" s="57"/>
      <c r="AF94" s="68"/>
      <c r="AG94" s="39"/>
    </row>
    <row r="95">
      <c r="A95" s="61"/>
      <c r="B95" s="62"/>
      <c r="C95" s="62"/>
      <c r="D95" s="63"/>
      <c r="E95" s="63"/>
      <c r="F95" s="63"/>
      <c r="G95" s="64"/>
      <c r="H95" s="64"/>
      <c r="I95" s="64"/>
      <c r="J95" s="65"/>
      <c r="K95" s="55"/>
      <c r="L95" s="55"/>
      <c r="M95" s="55"/>
      <c r="N95" s="65"/>
      <c r="O95" s="66"/>
      <c r="P95" s="57"/>
      <c r="Q95" s="67"/>
      <c r="R95" s="65"/>
      <c r="S95" s="57"/>
      <c r="T95" s="57"/>
      <c r="U95" s="65"/>
      <c r="V95" s="65"/>
      <c r="W95" s="65"/>
      <c r="X95" s="57"/>
      <c r="Y95" s="65"/>
      <c r="Z95" s="65"/>
      <c r="AA95" s="57"/>
      <c r="AB95" s="65"/>
      <c r="AC95" s="65"/>
      <c r="AD95" s="57"/>
      <c r="AE95" s="57"/>
      <c r="AF95" s="68"/>
      <c r="AG95" s="39"/>
    </row>
    <row r="96">
      <c r="A96" s="73"/>
      <c r="B96" s="74"/>
      <c r="C96" s="74"/>
      <c r="D96" s="75"/>
      <c r="E96" s="75"/>
      <c r="F96" s="75"/>
      <c r="G96" s="76"/>
      <c r="H96" s="76"/>
      <c r="I96" s="76"/>
      <c r="J96" s="55"/>
      <c r="K96" s="55"/>
      <c r="L96" s="55"/>
      <c r="M96" s="55"/>
      <c r="N96" s="55"/>
      <c r="O96" s="69"/>
      <c r="P96" s="70"/>
      <c r="Q96" s="71"/>
      <c r="R96" s="55"/>
      <c r="S96" s="70"/>
      <c r="T96" s="70"/>
      <c r="U96" s="55"/>
      <c r="V96" s="55"/>
      <c r="W96" s="55"/>
      <c r="X96" s="70"/>
      <c r="Y96" s="55"/>
      <c r="Z96" s="55"/>
      <c r="AA96" s="70"/>
      <c r="AB96" s="55"/>
      <c r="AC96" s="55"/>
      <c r="AD96" s="70"/>
      <c r="AE96" s="70"/>
      <c r="AF96" s="72"/>
      <c r="AG96" s="39"/>
    </row>
    <row r="97">
      <c r="A97" s="73"/>
      <c r="B97" s="74"/>
      <c r="C97" s="74"/>
      <c r="D97" s="75"/>
      <c r="E97" s="75"/>
      <c r="F97" s="75"/>
      <c r="G97" s="76"/>
      <c r="H97" s="76"/>
      <c r="I97" s="76"/>
      <c r="J97" s="55"/>
      <c r="K97" s="55"/>
      <c r="L97" s="55"/>
      <c r="M97" s="55"/>
      <c r="N97" s="55"/>
      <c r="O97" s="69"/>
      <c r="P97" s="70"/>
      <c r="Q97" s="71"/>
      <c r="R97" s="55"/>
      <c r="S97" s="70"/>
      <c r="T97" s="70"/>
      <c r="U97" s="55"/>
      <c r="V97" s="55"/>
      <c r="W97" s="55"/>
      <c r="X97" s="70"/>
      <c r="Y97" s="55"/>
      <c r="Z97" s="55"/>
      <c r="AA97" s="70"/>
      <c r="AB97" s="55"/>
      <c r="AC97" s="55"/>
      <c r="AD97" s="70"/>
      <c r="AE97" s="70"/>
      <c r="AF97" s="72"/>
      <c r="AG97" s="39"/>
    </row>
    <row r="98">
      <c r="A98" s="85">
        <f>IF(COUNTA(M94:M97)=0,"",IF(COUNTA(F94:F97)=0,IF(COUNTA(D94:D97)=0,"Totals - Final","Totals - Estimated"),"Totals - Corrected"))</f>
      </c>
      <c r="B98" s="88">
        <f>IF(ISNA(INDEX(B94:B97,MAX(MATCH(REPT("z",255),B94:B97)))),"",INDEX(B94:B97,MAX(MATCH(REPT("z",255),B94:B97))))</f>
      </c>
      <c r="C98" s="88">
        <f>IF(ISNA(INDEX(C94:C97,MAX(MATCH(REPT("z",255),C94:C97)))),"",INDEX(C94:C97,MAX(MATCH(REPT("z",255),C94:C97))))</f>
      </c>
      <c r="D98" s="88">
        <f>IF(ISNA(INDEX(A94:A97,MAX(MATCH(REPT("z",255),A94:A97)))),"",INDEX(A94:A97,MAX(MATCH(REPT("z",255),A94:A97))))</f>
      </c>
      <c r="E98" s="86"/>
      <c r="F98" s="86"/>
      <c r="G98" s="87"/>
      <c r="H98" s="87"/>
      <c r="I98" s="87"/>
      <c r="J98" s="77">
        <f ref="J98:J98" t="array">SUM(IF(NOT(ISBLANK($B93:$B97)),J93:J97,""))</f>
      </c>
      <c r="K98" s="77">
        <f ref="K98:K98" t="array">SUM(IF(NOT(ISBLANK($B93:$B97)),K93:K97,""))</f>
      </c>
      <c r="L98" s="77">
        <f ref="L98:L98" t="array">SUM(IF(NOT(ISBLANK($B93:$B97)),L93:L97,""))</f>
      </c>
      <c r="M98" s="77">
        <f ref="M98:M98" t="array">SUM(IF(NOT(ISBLANK($B93:$B97)),M93:M97,""))</f>
      </c>
      <c r="N98" s="77">
        <f ref="N98:N98" t="array">SUM(IF(NOT(ISBLANK($B93:$B97)),N93:N97,""))</f>
      </c>
      <c r="O98" s="77">
        <f ref="O98:O98" t="array">SUM(IF(NOT(ISBLANK($B93:$B97)),O93:O97,""))</f>
      </c>
      <c r="P98" s="78"/>
      <c r="Q98" s="77">
        <f ref="Q98:Q98" t="array">SUM(IF(NOT(ISBLANK($B93:$B97)),Q93:Q97,""))</f>
      </c>
      <c r="R98" s="77">
        <f ref="R98:R98" t="array">SUM(IF(NOT(ISBLANK($B93:$B97)),R93:R97,""))</f>
      </c>
      <c r="S98" s="78"/>
      <c r="T98" s="78"/>
      <c r="U98" s="77">
        <f ref="U98:U98" t="array">SUM(IF(NOT(ISBLANK($B93:$B97)),U93:U97,""))</f>
      </c>
      <c r="V98" s="77">
        <f ref="V98:V98" t="array">SUM(IF(NOT(ISBLANK($B93:$B97)),V93:V97,""))</f>
      </c>
      <c r="W98" s="77">
        <f ref="W98:W98" t="array">SUM(IF(NOT(ISBLANK($B93:$B97)),W93:W97,""))</f>
      </c>
      <c r="X98" s="78"/>
      <c r="Y98" s="77">
        <f ref="Y98:Y98" t="array">SUM(IF(NOT(ISBLANK($B93:$B97)),Y93:Y97,""))</f>
      </c>
      <c r="Z98" s="77">
        <f ref="Z98:Z98" t="array">SUM(IF(NOT(ISBLANK($B93:$B97)),Z93:Z97,""))</f>
      </c>
      <c r="AA98" s="78"/>
      <c r="AB98" s="77">
        <f ref="AB98:AB98" t="array">SUM(IF(NOT(ISBLANK($B93:$B97)),AB93:AB97,""))</f>
      </c>
      <c r="AC98" s="77">
        <f ref="AC98:AC98" t="array">SUM(IF(NOT(ISBLANK($B93:$B97)),AC93:AC97,""))</f>
      </c>
      <c r="AD98" s="78"/>
      <c r="AE98" s="78"/>
      <c r="AF98" s="79"/>
      <c r="AG98" s="80">
        <v>1</v>
      </c>
    </row>
    <row r="99" ht="0" hidden="1">
      <c r="A99" s="51"/>
      <c r="B99" s="52"/>
      <c r="C99" s="52"/>
      <c r="D99" s="81"/>
      <c r="E99" s="81"/>
      <c r="F99" s="81"/>
      <c r="G99" s="82"/>
      <c r="H99" s="82"/>
      <c r="I99" s="82"/>
      <c r="J99" s="54"/>
      <c r="K99" s="55"/>
      <c r="L99" s="55"/>
      <c r="M99" s="55"/>
      <c r="N99" s="54"/>
      <c r="O99" s="56"/>
      <c r="P99" s="83"/>
      <c r="Q99" s="58"/>
      <c r="R99" s="54"/>
      <c r="S99" s="83"/>
      <c r="T99" s="83"/>
      <c r="U99" s="54"/>
      <c r="V99" s="54"/>
      <c r="W99" s="54"/>
      <c r="X99" s="83"/>
      <c r="Y99" s="54"/>
      <c r="Z99" s="54"/>
      <c r="AA99" s="83"/>
      <c r="AB99" s="54"/>
      <c r="AC99" s="54"/>
      <c r="AD99" s="83"/>
      <c r="AE99" s="83"/>
      <c r="AF99" s="84"/>
      <c r="AG99" s="39"/>
    </row>
    <row r="100">
      <c r="A100" s="61"/>
      <c r="B100" s="62"/>
      <c r="C100" s="62"/>
      <c r="D100" s="63"/>
      <c r="E100" s="63"/>
      <c r="F100" s="63"/>
      <c r="G100" s="64"/>
      <c r="H100" s="64"/>
      <c r="I100" s="64"/>
      <c r="J100" s="65"/>
      <c r="K100" s="55"/>
      <c r="L100" s="55"/>
      <c r="M100" s="55"/>
      <c r="N100" s="65"/>
      <c r="O100" s="66"/>
      <c r="P100" s="57"/>
      <c r="Q100" s="67"/>
      <c r="R100" s="65"/>
      <c r="S100" s="57"/>
      <c r="T100" s="57"/>
      <c r="U100" s="65"/>
      <c r="V100" s="65"/>
      <c r="W100" s="65"/>
      <c r="X100" s="57"/>
      <c r="Y100" s="65"/>
      <c r="Z100" s="65"/>
      <c r="AA100" s="57"/>
      <c r="AB100" s="65"/>
      <c r="AC100" s="65"/>
      <c r="AD100" s="57"/>
      <c r="AE100" s="57"/>
      <c r="AF100" s="68"/>
      <c r="AG100" s="39"/>
    </row>
    <row r="101">
      <c r="A101" s="61"/>
      <c r="B101" s="62"/>
      <c r="C101" s="62"/>
      <c r="D101" s="63"/>
      <c r="E101" s="63"/>
      <c r="F101" s="63"/>
      <c r="G101" s="64"/>
      <c r="H101" s="64"/>
      <c r="I101" s="64"/>
      <c r="J101" s="65"/>
      <c r="K101" s="55"/>
      <c r="L101" s="55"/>
      <c r="M101" s="55"/>
      <c r="N101" s="65"/>
      <c r="O101" s="66"/>
      <c r="P101" s="57"/>
      <c r="Q101" s="67"/>
      <c r="R101" s="65"/>
      <c r="S101" s="57"/>
      <c r="T101" s="57"/>
      <c r="U101" s="65"/>
      <c r="V101" s="65"/>
      <c r="W101" s="65"/>
      <c r="X101" s="57"/>
      <c r="Y101" s="65"/>
      <c r="Z101" s="65"/>
      <c r="AA101" s="57"/>
      <c r="AB101" s="65"/>
      <c r="AC101" s="65"/>
      <c r="AD101" s="57"/>
      <c r="AE101" s="57"/>
      <c r="AF101" s="68"/>
      <c r="AG101" s="39"/>
    </row>
    <row r="102">
      <c r="A102" s="73"/>
      <c r="B102" s="74"/>
      <c r="C102" s="74"/>
      <c r="D102" s="75"/>
      <c r="E102" s="75"/>
      <c r="F102" s="75"/>
      <c r="G102" s="76"/>
      <c r="H102" s="76"/>
      <c r="I102" s="76"/>
      <c r="J102" s="55"/>
      <c r="K102" s="55"/>
      <c r="L102" s="55"/>
      <c r="M102" s="55"/>
      <c r="N102" s="55"/>
      <c r="O102" s="69"/>
      <c r="P102" s="70"/>
      <c r="Q102" s="71"/>
      <c r="R102" s="55"/>
      <c r="S102" s="70"/>
      <c r="T102" s="70"/>
      <c r="U102" s="55"/>
      <c r="V102" s="55"/>
      <c r="W102" s="55"/>
      <c r="X102" s="70"/>
      <c r="Y102" s="55"/>
      <c r="Z102" s="55"/>
      <c r="AA102" s="70"/>
      <c r="AB102" s="55"/>
      <c r="AC102" s="55"/>
      <c r="AD102" s="70"/>
      <c r="AE102" s="70"/>
      <c r="AF102" s="72"/>
      <c r="AG102" s="39"/>
    </row>
    <row r="103">
      <c r="A103" s="73"/>
      <c r="B103" s="74"/>
      <c r="C103" s="74"/>
      <c r="D103" s="75"/>
      <c r="E103" s="75"/>
      <c r="F103" s="75"/>
      <c r="G103" s="76"/>
      <c r="H103" s="76"/>
      <c r="I103" s="76"/>
      <c r="J103" s="55"/>
      <c r="K103" s="55"/>
      <c r="L103" s="55"/>
      <c r="M103" s="55"/>
      <c r="N103" s="55"/>
      <c r="O103" s="69"/>
      <c r="P103" s="70"/>
      <c r="Q103" s="71"/>
      <c r="R103" s="55"/>
      <c r="S103" s="70"/>
      <c r="T103" s="70"/>
      <c r="U103" s="55"/>
      <c r="V103" s="55"/>
      <c r="W103" s="55"/>
      <c r="X103" s="70"/>
      <c r="Y103" s="55"/>
      <c r="Z103" s="55"/>
      <c r="AA103" s="70"/>
      <c r="AB103" s="55"/>
      <c r="AC103" s="55"/>
      <c r="AD103" s="70"/>
      <c r="AE103" s="70"/>
      <c r="AF103" s="72"/>
      <c r="AG103" s="39"/>
    </row>
    <row r="104">
      <c r="A104" s="85">
        <f>IF(COUNTA(M100:M103)=0,"",IF(COUNTA(F100:F103)=0,IF(COUNTA(D100:D103)=0,"Totals - Final","Totals - Estimated"),"Totals - Corrected"))</f>
      </c>
      <c r="B104" s="88">
        <f>IF(ISNA(INDEX(B100:B103,MAX(MATCH(REPT("z",255),B100:B103)))),"",INDEX(B100:B103,MAX(MATCH(REPT("z",255),B100:B103))))</f>
      </c>
      <c r="C104" s="88">
        <f>IF(ISNA(INDEX(C100:C103,MAX(MATCH(REPT("z",255),C100:C103)))),"",INDEX(C100:C103,MAX(MATCH(REPT("z",255),C100:C103))))</f>
      </c>
      <c r="D104" s="88">
        <f>IF(ISNA(INDEX(A100:A103,MAX(MATCH(REPT("z",255),A100:A103)))),"",INDEX(A100:A103,MAX(MATCH(REPT("z",255),A100:A103))))</f>
      </c>
      <c r="E104" s="86"/>
      <c r="F104" s="86"/>
      <c r="G104" s="87"/>
      <c r="H104" s="87"/>
      <c r="I104" s="87"/>
      <c r="J104" s="77">
        <f ref="J104:J104" t="array">SUM(IF(NOT(ISBLANK($B99:$B103)),J99:J103,""))</f>
      </c>
      <c r="K104" s="77">
        <f ref="K104:K104" t="array">SUM(IF(NOT(ISBLANK($B99:$B103)),K99:K103,""))</f>
      </c>
      <c r="L104" s="77">
        <f ref="L104:L104" t="array">SUM(IF(NOT(ISBLANK($B99:$B103)),L99:L103,""))</f>
      </c>
      <c r="M104" s="77">
        <f ref="M104:M104" t="array">SUM(IF(NOT(ISBLANK($B99:$B103)),M99:M103,""))</f>
      </c>
      <c r="N104" s="77">
        <f ref="N104:N104" t="array">SUM(IF(NOT(ISBLANK($B99:$B103)),N99:N103,""))</f>
      </c>
      <c r="O104" s="77">
        <f ref="O104:O104" t="array">SUM(IF(NOT(ISBLANK($B99:$B103)),O99:O103,""))</f>
      </c>
      <c r="P104" s="78"/>
      <c r="Q104" s="77">
        <f ref="Q104:Q104" t="array">SUM(IF(NOT(ISBLANK($B99:$B103)),Q99:Q103,""))</f>
      </c>
      <c r="R104" s="77">
        <f ref="R104:R104" t="array">SUM(IF(NOT(ISBLANK($B99:$B103)),R99:R103,""))</f>
      </c>
      <c r="S104" s="78"/>
      <c r="T104" s="78"/>
      <c r="U104" s="77">
        <f ref="U104:U104" t="array">SUM(IF(NOT(ISBLANK($B99:$B103)),U99:U103,""))</f>
      </c>
      <c r="V104" s="77">
        <f ref="V104:V104" t="array">SUM(IF(NOT(ISBLANK($B99:$B103)),V99:V103,""))</f>
      </c>
      <c r="W104" s="77">
        <f ref="W104:W104" t="array">SUM(IF(NOT(ISBLANK($B99:$B103)),W99:W103,""))</f>
      </c>
      <c r="X104" s="78"/>
      <c r="Y104" s="77">
        <f ref="Y104:Y104" t="array">SUM(IF(NOT(ISBLANK($B99:$B103)),Y99:Y103,""))</f>
      </c>
      <c r="Z104" s="77">
        <f ref="Z104:Z104" t="array">SUM(IF(NOT(ISBLANK($B99:$B103)),Z99:Z103,""))</f>
      </c>
      <c r="AA104" s="78"/>
      <c r="AB104" s="77">
        <f ref="AB104:AB104" t="array">SUM(IF(NOT(ISBLANK($B99:$B103)),AB99:AB103,""))</f>
      </c>
      <c r="AC104" s="77">
        <f ref="AC104:AC104" t="array">SUM(IF(NOT(ISBLANK($B99:$B103)),AC99:AC103,""))</f>
      </c>
      <c r="AD104" s="78"/>
      <c r="AE104" s="78"/>
      <c r="AF104" s="79"/>
      <c r="AG104" s="80">
        <v>1</v>
      </c>
    </row>
    <row r="105" ht="0" hidden="1">
      <c r="A105" s="51"/>
      <c r="B105" s="52"/>
      <c r="C105" s="52"/>
      <c r="D105" s="81"/>
      <c r="E105" s="81"/>
      <c r="F105" s="81"/>
      <c r="G105" s="82"/>
      <c r="H105" s="82"/>
      <c r="I105" s="82"/>
      <c r="J105" s="54"/>
      <c r="K105" s="55"/>
      <c r="L105" s="55"/>
      <c r="M105" s="55"/>
      <c r="N105" s="54"/>
      <c r="O105" s="56"/>
      <c r="P105" s="83"/>
      <c r="Q105" s="58"/>
      <c r="R105" s="54"/>
      <c r="S105" s="83"/>
      <c r="T105" s="83"/>
      <c r="U105" s="54"/>
      <c r="V105" s="54"/>
      <c r="W105" s="54"/>
      <c r="X105" s="83"/>
      <c r="Y105" s="54"/>
      <c r="Z105" s="54"/>
      <c r="AA105" s="83"/>
      <c r="AB105" s="54"/>
      <c r="AC105" s="54"/>
      <c r="AD105" s="83"/>
      <c r="AE105" s="83"/>
      <c r="AF105" s="84"/>
      <c r="AG105" s="39"/>
    </row>
    <row r="106">
      <c r="A106" s="61"/>
      <c r="B106" s="62"/>
      <c r="C106" s="62"/>
      <c r="D106" s="63"/>
      <c r="E106" s="63"/>
      <c r="F106" s="63"/>
      <c r="G106" s="64"/>
      <c r="H106" s="64"/>
      <c r="I106" s="64"/>
      <c r="J106" s="65"/>
      <c r="K106" s="55"/>
      <c r="L106" s="55"/>
      <c r="M106" s="55"/>
      <c r="N106" s="65"/>
      <c r="O106" s="66"/>
      <c r="P106" s="57"/>
      <c r="Q106" s="67"/>
      <c r="R106" s="65"/>
      <c r="S106" s="57"/>
      <c r="T106" s="57"/>
      <c r="U106" s="65"/>
      <c r="V106" s="65"/>
      <c r="W106" s="65"/>
      <c r="X106" s="57"/>
      <c r="Y106" s="65"/>
      <c r="Z106" s="65"/>
      <c r="AA106" s="57"/>
      <c r="AB106" s="65"/>
      <c r="AC106" s="65"/>
      <c r="AD106" s="57"/>
      <c r="AE106" s="57"/>
      <c r="AF106" s="68"/>
      <c r="AG106" s="39"/>
    </row>
    <row r="107">
      <c r="A107" s="61"/>
      <c r="B107" s="62"/>
      <c r="C107" s="62"/>
      <c r="D107" s="63"/>
      <c r="E107" s="63"/>
      <c r="F107" s="63"/>
      <c r="G107" s="64"/>
      <c r="H107" s="64"/>
      <c r="I107" s="64"/>
      <c r="J107" s="65"/>
      <c r="K107" s="55"/>
      <c r="L107" s="55"/>
      <c r="M107" s="55"/>
      <c r="N107" s="65"/>
      <c r="O107" s="66"/>
      <c r="P107" s="57"/>
      <c r="Q107" s="67"/>
      <c r="R107" s="65"/>
      <c r="S107" s="57"/>
      <c r="T107" s="57"/>
      <c r="U107" s="65"/>
      <c r="V107" s="65"/>
      <c r="W107" s="65"/>
      <c r="X107" s="57"/>
      <c r="Y107" s="65"/>
      <c r="Z107" s="65"/>
      <c r="AA107" s="57"/>
      <c r="AB107" s="65"/>
      <c r="AC107" s="65"/>
      <c r="AD107" s="57"/>
      <c r="AE107" s="57"/>
      <c r="AF107" s="68"/>
      <c r="AG107" s="39"/>
    </row>
    <row r="108">
      <c r="A108" s="73"/>
      <c r="B108" s="74"/>
      <c r="C108" s="74"/>
      <c r="D108" s="75"/>
      <c r="E108" s="75"/>
      <c r="F108" s="75"/>
      <c r="G108" s="76"/>
      <c r="H108" s="76"/>
      <c r="I108" s="76"/>
      <c r="J108" s="55"/>
      <c r="K108" s="55"/>
      <c r="L108" s="55"/>
      <c r="M108" s="55"/>
      <c r="N108" s="55"/>
      <c r="O108" s="69"/>
      <c r="P108" s="70"/>
      <c r="Q108" s="71"/>
      <c r="R108" s="55"/>
      <c r="S108" s="70"/>
      <c r="T108" s="70"/>
      <c r="U108" s="55"/>
      <c r="V108" s="55"/>
      <c r="W108" s="55"/>
      <c r="X108" s="70"/>
      <c r="Y108" s="55"/>
      <c r="Z108" s="55"/>
      <c r="AA108" s="70"/>
      <c r="AB108" s="55"/>
      <c r="AC108" s="55"/>
      <c r="AD108" s="70"/>
      <c r="AE108" s="70"/>
      <c r="AF108" s="72"/>
      <c r="AG108" s="39"/>
    </row>
    <row r="109">
      <c r="A109" s="73"/>
      <c r="B109" s="74"/>
      <c r="C109" s="74"/>
      <c r="D109" s="75"/>
      <c r="E109" s="75"/>
      <c r="F109" s="75"/>
      <c r="G109" s="76"/>
      <c r="H109" s="76"/>
      <c r="I109" s="76"/>
      <c r="J109" s="55"/>
      <c r="K109" s="55"/>
      <c r="L109" s="55"/>
      <c r="M109" s="55"/>
      <c r="N109" s="55"/>
      <c r="O109" s="69"/>
      <c r="P109" s="70"/>
      <c r="Q109" s="71"/>
      <c r="R109" s="55"/>
      <c r="S109" s="70"/>
      <c r="T109" s="70"/>
      <c r="U109" s="55"/>
      <c r="V109" s="55"/>
      <c r="W109" s="55"/>
      <c r="X109" s="70"/>
      <c r="Y109" s="55"/>
      <c r="Z109" s="55"/>
      <c r="AA109" s="70"/>
      <c r="AB109" s="55"/>
      <c r="AC109" s="55"/>
      <c r="AD109" s="70"/>
      <c r="AE109" s="70"/>
      <c r="AF109" s="72"/>
      <c r="AG109" s="39"/>
    </row>
    <row r="110">
      <c r="A110" s="85">
        <f>IF(COUNTA(M106:M109)=0,"",IF(COUNTA(F106:F109)=0,IF(COUNTA(D106:D109)=0,"Totals - Final","Totals - Estimated"),"Totals - Corrected"))</f>
      </c>
      <c r="B110" s="88">
        <f>IF(ISNA(INDEX(B106:B109,MAX(MATCH(REPT("z",255),B106:B109)))),"",INDEX(B106:B109,MAX(MATCH(REPT("z",255),B106:B109))))</f>
      </c>
      <c r="C110" s="88">
        <f>IF(ISNA(INDEX(C106:C109,MAX(MATCH(REPT("z",255),C106:C109)))),"",INDEX(C106:C109,MAX(MATCH(REPT("z",255),C106:C109))))</f>
      </c>
      <c r="D110" s="88">
        <f>IF(ISNA(INDEX(A106:A109,MAX(MATCH(REPT("z",255),A106:A109)))),"",INDEX(A106:A109,MAX(MATCH(REPT("z",255),A106:A109))))</f>
      </c>
      <c r="E110" s="86"/>
      <c r="F110" s="86"/>
      <c r="G110" s="87"/>
      <c r="H110" s="87"/>
      <c r="I110" s="87"/>
      <c r="J110" s="77">
        <f ref="J110:J110" t="array">SUM(IF(NOT(ISBLANK($B105:$B109)),J105:J109,""))</f>
      </c>
      <c r="K110" s="77">
        <f ref="K110:K110" t="array">SUM(IF(NOT(ISBLANK($B105:$B109)),K105:K109,""))</f>
      </c>
      <c r="L110" s="77">
        <f ref="L110:L110" t="array">SUM(IF(NOT(ISBLANK($B105:$B109)),L105:L109,""))</f>
      </c>
      <c r="M110" s="77">
        <f ref="M110:M110" t="array">SUM(IF(NOT(ISBLANK($B105:$B109)),M105:M109,""))</f>
      </c>
      <c r="N110" s="77">
        <f ref="N110:N110" t="array">SUM(IF(NOT(ISBLANK($B105:$B109)),N105:N109,""))</f>
      </c>
      <c r="O110" s="77">
        <f ref="O110:O110" t="array">SUM(IF(NOT(ISBLANK($B105:$B109)),O105:O109,""))</f>
      </c>
      <c r="P110" s="78"/>
      <c r="Q110" s="77">
        <f ref="Q110:Q110" t="array">SUM(IF(NOT(ISBLANK($B105:$B109)),Q105:Q109,""))</f>
      </c>
      <c r="R110" s="77">
        <f ref="R110:R110" t="array">SUM(IF(NOT(ISBLANK($B105:$B109)),R105:R109,""))</f>
      </c>
      <c r="S110" s="78"/>
      <c r="T110" s="78"/>
      <c r="U110" s="77">
        <f ref="U110:U110" t="array">SUM(IF(NOT(ISBLANK($B105:$B109)),U105:U109,""))</f>
      </c>
      <c r="V110" s="77">
        <f ref="V110:V110" t="array">SUM(IF(NOT(ISBLANK($B105:$B109)),V105:V109,""))</f>
      </c>
      <c r="W110" s="77">
        <f ref="W110:W110" t="array">SUM(IF(NOT(ISBLANK($B105:$B109)),W105:W109,""))</f>
      </c>
      <c r="X110" s="78"/>
      <c r="Y110" s="77">
        <f ref="Y110:Y110" t="array">SUM(IF(NOT(ISBLANK($B105:$B109)),Y105:Y109,""))</f>
      </c>
      <c r="Z110" s="77">
        <f ref="Z110:Z110" t="array">SUM(IF(NOT(ISBLANK($B105:$B109)),Z105:Z109,""))</f>
      </c>
      <c r="AA110" s="78"/>
      <c r="AB110" s="77">
        <f ref="AB110:AB110" t="array">SUM(IF(NOT(ISBLANK($B105:$B109)),AB105:AB109,""))</f>
      </c>
      <c r="AC110" s="77">
        <f ref="AC110:AC110" t="array">SUM(IF(NOT(ISBLANK($B105:$B109)),AC105:AC109,""))</f>
      </c>
      <c r="AD110" s="78"/>
      <c r="AE110" s="78"/>
      <c r="AF110" s="79"/>
      <c r="AG110" s="80">
        <v>1</v>
      </c>
    </row>
    <row r="111" ht="0" hidden="1">
      <c r="A111" s="51"/>
      <c r="B111" s="52"/>
      <c r="C111" s="52"/>
      <c r="D111" s="81"/>
      <c r="E111" s="81"/>
      <c r="F111" s="81"/>
      <c r="G111" s="82"/>
      <c r="H111" s="82"/>
      <c r="I111" s="82"/>
      <c r="J111" s="54"/>
      <c r="K111" s="55"/>
      <c r="L111" s="55"/>
      <c r="M111" s="55"/>
      <c r="N111" s="54"/>
      <c r="O111" s="56"/>
      <c r="P111" s="83"/>
      <c r="Q111" s="58"/>
      <c r="R111" s="54"/>
      <c r="S111" s="83"/>
      <c r="T111" s="83"/>
      <c r="U111" s="54"/>
      <c r="V111" s="54"/>
      <c r="W111" s="54"/>
      <c r="X111" s="83"/>
      <c r="Y111" s="54"/>
      <c r="Z111" s="54"/>
      <c r="AA111" s="83"/>
      <c r="AB111" s="54"/>
      <c r="AC111" s="54"/>
      <c r="AD111" s="83"/>
      <c r="AE111" s="83"/>
      <c r="AF111" s="84"/>
      <c r="AG111" s="39"/>
    </row>
    <row r="112">
      <c r="A112" s="61"/>
      <c r="B112" s="62"/>
      <c r="C112" s="62"/>
      <c r="D112" s="63"/>
      <c r="E112" s="63"/>
      <c r="F112" s="63"/>
      <c r="G112" s="64"/>
      <c r="H112" s="64"/>
      <c r="I112" s="64"/>
      <c r="J112" s="65"/>
      <c r="K112" s="55"/>
      <c r="L112" s="55"/>
      <c r="M112" s="55"/>
      <c r="N112" s="65"/>
      <c r="O112" s="66"/>
      <c r="P112" s="57"/>
      <c r="Q112" s="67"/>
      <c r="R112" s="65"/>
      <c r="S112" s="57"/>
      <c r="T112" s="57"/>
      <c r="U112" s="65"/>
      <c r="V112" s="65"/>
      <c r="W112" s="65"/>
      <c r="X112" s="57"/>
      <c r="Y112" s="65"/>
      <c r="Z112" s="65"/>
      <c r="AA112" s="57"/>
      <c r="AB112" s="65"/>
      <c r="AC112" s="65"/>
      <c r="AD112" s="57"/>
      <c r="AE112" s="57"/>
      <c r="AF112" s="68"/>
      <c r="AG112" s="39"/>
    </row>
    <row r="113">
      <c r="A113" s="61"/>
      <c r="B113" s="62"/>
      <c r="C113" s="62"/>
      <c r="D113" s="63"/>
      <c r="E113" s="63"/>
      <c r="F113" s="63"/>
      <c r="G113" s="64"/>
      <c r="H113" s="64"/>
      <c r="I113" s="64"/>
      <c r="J113" s="65"/>
      <c r="K113" s="55"/>
      <c r="L113" s="55"/>
      <c r="M113" s="55"/>
      <c r="N113" s="65"/>
      <c r="O113" s="66"/>
      <c r="P113" s="57"/>
      <c r="Q113" s="67"/>
      <c r="R113" s="65"/>
      <c r="S113" s="57"/>
      <c r="T113" s="57"/>
      <c r="U113" s="65"/>
      <c r="V113" s="65"/>
      <c r="W113" s="65"/>
      <c r="X113" s="57"/>
      <c r="Y113" s="65"/>
      <c r="Z113" s="65"/>
      <c r="AA113" s="57"/>
      <c r="AB113" s="65"/>
      <c r="AC113" s="65"/>
      <c r="AD113" s="57"/>
      <c r="AE113" s="57"/>
      <c r="AF113" s="68"/>
      <c r="AG113" s="39"/>
    </row>
    <row r="114">
      <c r="A114" s="73"/>
      <c r="B114" s="74"/>
      <c r="C114" s="74"/>
      <c r="D114" s="75"/>
      <c r="E114" s="75"/>
      <c r="F114" s="75"/>
      <c r="G114" s="76"/>
      <c r="H114" s="76"/>
      <c r="I114" s="76"/>
      <c r="J114" s="55"/>
      <c r="K114" s="55"/>
      <c r="L114" s="55"/>
      <c r="M114" s="55"/>
      <c r="N114" s="55"/>
      <c r="O114" s="69"/>
      <c r="P114" s="70"/>
      <c r="Q114" s="71"/>
      <c r="R114" s="55"/>
      <c r="S114" s="70"/>
      <c r="T114" s="70"/>
      <c r="U114" s="55"/>
      <c r="V114" s="55"/>
      <c r="W114" s="55"/>
      <c r="X114" s="70"/>
      <c r="Y114" s="55"/>
      <c r="Z114" s="55"/>
      <c r="AA114" s="70"/>
      <c r="AB114" s="55"/>
      <c r="AC114" s="55"/>
      <c r="AD114" s="70"/>
      <c r="AE114" s="70"/>
      <c r="AF114" s="72"/>
      <c r="AG114" s="39"/>
    </row>
    <row r="115">
      <c r="A115" s="73"/>
      <c r="B115" s="74"/>
      <c r="C115" s="74"/>
      <c r="D115" s="75"/>
      <c r="E115" s="75"/>
      <c r="F115" s="75"/>
      <c r="G115" s="76"/>
      <c r="H115" s="76"/>
      <c r="I115" s="76"/>
      <c r="J115" s="55"/>
      <c r="K115" s="55"/>
      <c r="L115" s="55"/>
      <c r="M115" s="55"/>
      <c r="N115" s="55"/>
      <c r="O115" s="69"/>
      <c r="P115" s="70"/>
      <c r="Q115" s="71"/>
      <c r="R115" s="55"/>
      <c r="S115" s="70"/>
      <c r="T115" s="70"/>
      <c r="U115" s="55"/>
      <c r="V115" s="55"/>
      <c r="W115" s="55"/>
      <c r="X115" s="70"/>
      <c r="Y115" s="55"/>
      <c r="Z115" s="55"/>
      <c r="AA115" s="70"/>
      <c r="AB115" s="55"/>
      <c r="AC115" s="55"/>
      <c r="AD115" s="70"/>
      <c r="AE115" s="70"/>
      <c r="AF115" s="72"/>
      <c r="AG115" s="39"/>
    </row>
    <row r="116">
      <c r="A116" s="85">
        <f>IF(COUNTA(M112:M115)=0,"",IF(COUNTA(F112:F115)=0,IF(COUNTA(D112:D115)=0,"Totals - Final","Totals - Estimated"),"Totals - Corrected"))</f>
      </c>
      <c r="B116" s="88">
        <f>IF(ISNA(INDEX(B112:B115,MAX(MATCH(REPT("z",255),B112:B115)))),"",INDEX(B112:B115,MAX(MATCH(REPT("z",255),B112:B115))))</f>
      </c>
      <c r="C116" s="88">
        <f>IF(ISNA(INDEX(C112:C115,MAX(MATCH(REPT("z",255),C112:C115)))),"",INDEX(C112:C115,MAX(MATCH(REPT("z",255),C112:C115))))</f>
      </c>
      <c r="D116" s="88">
        <f>IF(ISNA(INDEX(A112:A115,MAX(MATCH(REPT("z",255),A112:A115)))),"",INDEX(A112:A115,MAX(MATCH(REPT("z",255),A112:A115))))</f>
      </c>
      <c r="E116" s="86"/>
      <c r="F116" s="86"/>
      <c r="G116" s="87"/>
      <c r="H116" s="87"/>
      <c r="I116" s="87"/>
      <c r="J116" s="77">
        <f ref="J116:J116" t="array">SUM(IF(NOT(ISBLANK($B111:$B115)),J111:J115,""))</f>
      </c>
      <c r="K116" s="77">
        <f ref="K116:K116" t="array">SUM(IF(NOT(ISBLANK($B111:$B115)),K111:K115,""))</f>
      </c>
      <c r="L116" s="77">
        <f ref="L116:L116" t="array">SUM(IF(NOT(ISBLANK($B111:$B115)),L111:L115,""))</f>
      </c>
      <c r="M116" s="77">
        <f ref="M116:M116" t="array">SUM(IF(NOT(ISBLANK($B111:$B115)),M111:M115,""))</f>
      </c>
      <c r="N116" s="77">
        <f ref="N116:N116" t="array">SUM(IF(NOT(ISBLANK($B111:$B115)),N111:N115,""))</f>
      </c>
      <c r="O116" s="77">
        <f ref="O116:O116" t="array">SUM(IF(NOT(ISBLANK($B111:$B115)),O111:O115,""))</f>
      </c>
      <c r="P116" s="78"/>
      <c r="Q116" s="77">
        <f ref="Q116:Q116" t="array">SUM(IF(NOT(ISBLANK($B111:$B115)),Q111:Q115,""))</f>
      </c>
      <c r="R116" s="77">
        <f ref="R116:R116" t="array">SUM(IF(NOT(ISBLANK($B111:$B115)),R111:R115,""))</f>
      </c>
      <c r="S116" s="78"/>
      <c r="T116" s="78"/>
      <c r="U116" s="77">
        <f ref="U116:U116" t="array">SUM(IF(NOT(ISBLANK($B111:$B115)),U111:U115,""))</f>
      </c>
      <c r="V116" s="77">
        <f ref="V116:V116" t="array">SUM(IF(NOT(ISBLANK($B111:$B115)),V111:V115,""))</f>
      </c>
      <c r="W116" s="77">
        <f ref="W116:W116" t="array">SUM(IF(NOT(ISBLANK($B111:$B115)),W111:W115,""))</f>
      </c>
      <c r="X116" s="78"/>
      <c r="Y116" s="77">
        <f ref="Y116:Y116" t="array">SUM(IF(NOT(ISBLANK($B111:$B115)),Y111:Y115,""))</f>
      </c>
      <c r="Z116" s="77">
        <f ref="Z116:Z116" t="array">SUM(IF(NOT(ISBLANK($B111:$B115)),Z111:Z115,""))</f>
      </c>
      <c r="AA116" s="78"/>
      <c r="AB116" s="77">
        <f ref="AB116:AB116" t="array">SUM(IF(NOT(ISBLANK($B111:$B115)),AB111:AB115,""))</f>
      </c>
      <c r="AC116" s="77">
        <f ref="AC116:AC116" t="array">SUM(IF(NOT(ISBLANK($B111:$B115)),AC111:AC115,""))</f>
      </c>
      <c r="AD116" s="78"/>
      <c r="AE116" s="78"/>
      <c r="AF116" s="79"/>
      <c r="AG116" s="80">
        <v>1</v>
      </c>
    </row>
    <row r="117" ht="0" hidden="1">
      <c r="A117" s="51"/>
      <c r="B117" s="52"/>
      <c r="C117" s="52"/>
      <c r="D117" s="81"/>
      <c r="E117" s="81"/>
      <c r="F117" s="81"/>
      <c r="G117" s="82"/>
      <c r="H117" s="82"/>
      <c r="I117" s="82"/>
      <c r="J117" s="54"/>
      <c r="K117" s="55"/>
      <c r="L117" s="55"/>
      <c r="M117" s="55"/>
      <c r="N117" s="54"/>
      <c r="O117" s="56"/>
      <c r="P117" s="83"/>
      <c r="Q117" s="58"/>
      <c r="R117" s="54"/>
      <c r="S117" s="83"/>
      <c r="T117" s="83"/>
      <c r="U117" s="54"/>
      <c r="V117" s="54"/>
      <c r="W117" s="54"/>
      <c r="X117" s="83"/>
      <c r="Y117" s="54"/>
      <c r="Z117" s="54"/>
      <c r="AA117" s="83"/>
      <c r="AB117" s="54"/>
      <c r="AC117" s="54"/>
      <c r="AD117" s="83"/>
      <c r="AE117" s="83"/>
      <c r="AF117" s="84"/>
      <c r="AG117" s="39"/>
    </row>
    <row r="118">
      <c r="A118" s="61"/>
      <c r="B118" s="62"/>
      <c r="C118" s="62"/>
      <c r="D118" s="63"/>
      <c r="E118" s="63"/>
      <c r="F118" s="63"/>
      <c r="G118" s="64"/>
      <c r="H118" s="64"/>
      <c r="I118" s="64"/>
      <c r="J118" s="65"/>
      <c r="K118" s="55"/>
      <c r="L118" s="55"/>
      <c r="M118" s="55"/>
      <c r="N118" s="65"/>
      <c r="O118" s="66"/>
      <c r="P118" s="57"/>
      <c r="Q118" s="67"/>
      <c r="R118" s="65"/>
      <c r="S118" s="57"/>
      <c r="T118" s="57"/>
      <c r="U118" s="65"/>
      <c r="V118" s="65"/>
      <c r="W118" s="65"/>
      <c r="X118" s="57"/>
      <c r="Y118" s="65"/>
      <c r="Z118" s="65"/>
      <c r="AA118" s="57"/>
      <c r="AB118" s="65"/>
      <c r="AC118" s="65"/>
      <c r="AD118" s="57"/>
      <c r="AE118" s="57"/>
      <c r="AF118" s="68"/>
      <c r="AG118" s="39"/>
    </row>
    <row r="119">
      <c r="A119" s="61"/>
      <c r="B119" s="62"/>
      <c r="C119" s="62"/>
      <c r="D119" s="63"/>
      <c r="E119" s="63"/>
      <c r="F119" s="63"/>
      <c r="G119" s="64"/>
      <c r="H119" s="64"/>
      <c r="I119" s="64"/>
      <c r="J119" s="65"/>
      <c r="K119" s="55"/>
      <c r="L119" s="55"/>
      <c r="M119" s="55"/>
      <c r="N119" s="65"/>
      <c r="O119" s="66"/>
      <c r="P119" s="57"/>
      <c r="Q119" s="67"/>
      <c r="R119" s="65"/>
      <c r="S119" s="57"/>
      <c r="T119" s="57"/>
      <c r="U119" s="65"/>
      <c r="V119" s="65"/>
      <c r="W119" s="65"/>
      <c r="X119" s="57"/>
      <c r="Y119" s="65"/>
      <c r="Z119" s="65"/>
      <c r="AA119" s="57"/>
      <c r="AB119" s="65"/>
      <c r="AC119" s="65"/>
      <c r="AD119" s="57"/>
      <c r="AE119" s="57"/>
      <c r="AF119" s="68"/>
      <c r="AG119" s="39"/>
    </row>
    <row r="120">
      <c r="A120" s="73"/>
      <c r="B120" s="74"/>
      <c r="C120" s="74"/>
      <c r="D120" s="75"/>
      <c r="E120" s="75"/>
      <c r="F120" s="75"/>
      <c r="G120" s="76"/>
      <c r="H120" s="76"/>
      <c r="I120" s="76"/>
      <c r="J120" s="55"/>
      <c r="K120" s="55"/>
      <c r="L120" s="55"/>
      <c r="M120" s="55"/>
      <c r="N120" s="55"/>
      <c r="O120" s="69"/>
      <c r="P120" s="70"/>
      <c r="Q120" s="71"/>
      <c r="R120" s="55"/>
      <c r="S120" s="70"/>
      <c r="T120" s="70"/>
      <c r="U120" s="55"/>
      <c r="V120" s="55"/>
      <c r="W120" s="55"/>
      <c r="X120" s="70"/>
      <c r="Y120" s="55"/>
      <c r="Z120" s="55"/>
      <c r="AA120" s="70"/>
      <c r="AB120" s="55"/>
      <c r="AC120" s="55"/>
      <c r="AD120" s="70"/>
      <c r="AE120" s="70"/>
      <c r="AF120" s="72"/>
      <c r="AG120" s="39"/>
    </row>
    <row r="121">
      <c r="A121" s="73"/>
      <c r="B121" s="74"/>
      <c r="C121" s="74"/>
      <c r="D121" s="75"/>
      <c r="E121" s="75"/>
      <c r="F121" s="75"/>
      <c r="G121" s="76"/>
      <c r="H121" s="76"/>
      <c r="I121" s="76"/>
      <c r="J121" s="55"/>
      <c r="K121" s="55"/>
      <c r="L121" s="55"/>
      <c r="M121" s="55"/>
      <c r="N121" s="55"/>
      <c r="O121" s="69"/>
      <c r="P121" s="70"/>
      <c r="Q121" s="71"/>
      <c r="R121" s="55"/>
      <c r="S121" s="70"/>
      <c r="T121" s="70"/>
      <c r="U121" s="55"/>
      <c r="V121" s="55"/>
      <c r="W121" s="55"/>
      <c r="X121" s="70"/>
      <c r="Y121" s="55"/>
      <c r="Z121" s="55"/>
      <c r="AA121" s="70"/>
      <c r="AB121" s="55"/>
      <c r="AC121" s="55"/>
      <c r="AD121" s="70"/>
      <c r="AE121" s="70"/>
      <c r="AF121" s="72"/>
      <c r="AG121" s="39"/>
    </row>
    <row r="122">
      <c r="A122" s="85">
        <f>IF(COUNTA(M118:M121)=0,"",IF(COUNTA(F118:F121)=0,IF(COUNTA(D118:D121)=0,"Totals - Final","Totals - Estimated"),"Totals - Corrected"))</f>
      </c>
      <c r="B122" s="88">
        <f>IF(ISNA(INDEX(B118:B121,MAX(MATCH(REPT("z",255),B118:B121)))),"",INDEX(B118:B121,MAX(MATCH(REPT("z",255),B118:B121))))</f>
      </c>
      <c r="C122" s="88">
        <f>IF(ISNA(INDEX(C118:C121,MAX(MATCH(REPT("z",255),C118:C121)))),"",INDEX(C118:C121,MAX(MATCH(REPT("z",255),C118:C121))))</f>
      </c>
      <c r="D122" s="88">
        <f>IF(ISNA(INDEX(A118:A121,MAX(MATCH(REPT("z",255),A118:A121)))),"",INDEX(A118:A121,MAX(MATCH(REPT("z",255),A118:A121))))</f>
      </c>
      <c r="E122" s="86"/>
      <c r="F122" s="86"/>
      <c r="G122" s="87"/>
      <c r="H122" s="87"/>
      <c r="I122" s="87"/>
      <c r="J122" s="77">
        <f ref="J122:J122" t="array">SUM(IF(NOT(ISBLANK($B117:$B121)),J117:J121,""))</f>
      </c>
      <c r="K122" s="77">
        <f ref="K122:K122" t="array">SUM(IF(NOT(ISBLANK($B117:$B121)),K117:K121,""))</f>
      </c>
      <c r="L122" s="77">
        <f ref="L122:L122" t="array">SUM(IF(NOT(ISBLANK($B117:$B121)),L117:L121,""))</f>
      </c>
      <c r="M122" s="77">
        <f ref="M122:M122" t="array">SUM(IF(NOT(ISBLANK($B117:$B121)),M117:M121,""))</f>
      </c>
      <c r="N122" s="77">
        <f ref="N122:N122" t="array">SUM(IF(NOT(ISBLANK($B117:$B121)),N117:N121,""))</f>
      </c>
      <c r="O122" s="77">
        <f ref="O122:O122" t="array">SUM(IF(NOT(ISBLANK($B117:$B121)),O117:O121,""))</f>
      </c>
      <c r="P122" s="78"/>
      <c r="Q122" s="77">
        <f ref="Q122:Q122" t="array">SUM(IF(NOT(ISBLANK($B117:$B121)),Q117:Q121,""))</f>
      </c>
      <c r="R122" s="77">
        <f ref="R122:R122" t="array">SUM(IF(NOT(ISBLANK($B117:$B121)),R117:R121,""))</f>
      </c>
      <c r="S122" s="78"/>
      <c r="T122" s="78"/>
      <c r="U122" s="77">
        <f ref="U122:U122" t="array">SUM(IF(NOT(ISBLANK($B117:$B121)),U117:U121,""))</f>
      </c>
      <c r="V122" s="77">
        <f ref="V122:V122" t="array">SUM(IF(NOT(ISBLANK($B117:$B121)),V117:V121,""))</f>
      </c>
      <c r="W122" s="77">
        <f ref="W122:W122" t="array">SUM(IF(NOT(ISBLANK($B117:$B121)),W117:W121,""))</f>
      </c>
      <c r="X122" s="78"/>
      <c r="Y122" s="77">
        <f ref="Y122:Y122" t="array">SUM(IF(NOT(ISBLANK($B117:$B121)),Y117:Y121,""))</f>
      </c>
      <c r="Z122" s="77">
        <f ref="Z122:Z122" t="array">SUM(IF(NOT(ISBLANK($B117:$B121)),Z117:Z121,""))</f>
      </c>
      <c r="AA122" s="78"/>
      <c r="AB122" s="77">
        <f ref="AB122:AB122" t="array">SUM(IF(NOT(ISBLANK($B117:$B121)),AB117:AB121,""))</f>
      </c>
      <c r="AC122" s="77">
        <f ref="AC122:AC122" t="array">SUM(IF(NOT(ISBLANK($B117:$B121)),AC117:AC121,""))</f>
      </c>
      <c r="AD122" s="78"/>
      <c r="AE122" s="78"/>
      <c r="AF122" s="79"/>
      <c r="AG122" s="80">
        <v>1</v>
      </c>
    </row>
    <row r="123" ht="0" hidden="1">
      <c r="A123" s="51"/>
      <c r="B123" s="52"/>
      <c r="C123" s="52"/>
      <c r="D123" s="81"/>
      <c r="E123" s="81"/>
      <c r="F123" s="81"/>
      <c r="G123" s="82"/>
      <c r="H123" s="82"/>
      <c r="I123" s="82"/>
      <c r="J123" s="54"/>
      <c r="K123" s="55"/>
      <c r="L123" s="55"/>
      <c r="M123" s="55"/>
      <c r="N123" s="54"/>
      <c r="O123" s="56"/>
      <c r="P123" s="83"/>
      <c r="Q123" s="58"/>
      <c r="R123" s="54"/>
      <c r="S123" s="83"/>
      <c r="T123" s="83"/>
      <c r="U123" s="54"/>
      <c r="V123" s="54"/>
      <c r="W123" s="54"/>
      <c r="X123" s="83"/>
      <c r="Y123" s="54"/>
      <c r="Z123" s="54"/>
      <c r="AA123" s="83"/>
      <c r="AB123" s="54"/>
      <c r="AC123" s="54"/>
      <c r="AD123" s="83"/>
      <c r="AE123" s="83"/>
      <c r="AF123" s="84"/>
      <c r="AG123" s="39"/>
    </row>
    <row r="124">
      <c r="A124" s="61"/>
      <c r="B124" s="62"/>
      <c r="C124" s="62"/>
      <c r="D124" s="63"/>
      <c r="E124" s="63"/>
      <c r="F124" s="63"/>
      <c r="G124" s="64"/>
      <c r="H124" s="64"/>
      <c r="I124" s="64"/>
      <c r="J124" s="65"/>
      <c r="K124" s="55"/>
      <c r="L124" s="55"/>
      <c r="M124" s="55"/>
      <c r="N124" s="65"/>
      <c r="O124" s="66"/>
      <c r="P124" s="57"/>
      <c r="Q124" s="67"/>
      <c r="R124" s="65"/>
      <c r="S124" s="57"/>
      <c r="T124" s="57"/>
      <c r="U124" s="65"/>
      <c r="V124" s="65"/>
      <c r="W124" s="65"/>
      <c r="X124" s="57"/>
      <c r="Y124" s="65"/>
      <c r="Z124" s="65"/>
      <c r="AA124" s="57"/>
      <c r="AB124" s="65"/>
      <c r="AC124" s="65"/>
      <c r="AD124" s="57"/>
      <c r="AE124" s="57"/>
      <c r="AF124" s="68"/>
      <c r="AG124" s="39"/>
    </row>
    <row r="125">
      <c r="A125" s="61"/>
      <c r="B125" s="62"/>
      <c r="C125" s="62"/>
      <c r="D125" s="63"/>
      <c r="E125" s="63"/>
      <c r="F125" s="63"/>
      <c r="G125" s="64"/>
      <c r="H125" s="64"/>
      <c r="I125" s="64"/>
      <c r="J125" s="65"/>
      <c r="K125" s="55"/>
      <c r="L125" s="55"/>
      <c r="M125" s="55"/>
      <c r="N125" s="65"/>
      <c r="O125" s="66"/>
      <c r="P125" s="57"/>
      <c r="Q125" s="67"/>
      <c r="R125" s="65"/>
      <c r="S125" s="57"/>
      <c r="T125" s="57"/>
      <c r="U125" s="65"/>
      <c r="V125" s="65"/>
      <c r="W125" s="65"/>
      <c r="X125" s="57"/>
      <c r="Y125" s="65"/>
      <c r="Z125" s="65"/>
      <c r="AA125" s="57"/>
      <c r="AB125" s="65"/>
      <c r="AC125" s="65"/>
      <c r="AD125" s="57"/>
      <c r="AE125" s="57"/>
      <c r="AF125" s="68"/>
      <c r="AG125" s="39"/>
    </row>
    <row r="126">
      <c r="A126" s="73"/>
      <c r="B126" s="74"/>
      <c r="C126" s="74"/>
      <c r="D126" s="75"/>
      <c r="E126" s="75"/>
      <c r="F126" s="75"/>
      <c r="G126" s="76"/>
      <c r="H126" s="76"/>
      <c r="I126" s="76"/>
      <c r="J126" s="55"/>
      <c r="K126" s="55"/>
      <c r="L126" s="55"/>
      <c r="M126" s="55"/>
      <c r="N126" s="55"/>
      <c r="O126" s="69"/>
      <c r="P126" s="70"/>
      <c r="Q126" s="71"/>
      <c r="R126" s="55"/>
      <c r="S126" s="70"/>
      <c r="T126" s="70"/>
      <c r="U126" s="55"/>
      <c r="V126" s="55"/>
      <c r="W126" s="55"/>
      <c r="X126" s="70"/>
      <c r="Y126" s="55"/>
      <c r="Z126" s="55"/>
      <c r="AA126" s="70"/>
      <c r="AB126" s="55"/>
      <c r="AC126" s="55"/>
      <c r="AD126" s="70"/>
      <c r="AE126" s="70"/>
      <c r="AF126" s="72"/>
      <c r="AG126" s="39"/>
    </row>
    <row r="127">
      <c r="A127" s="73"/>
      <c r="B127" s="74"/>
      <c r="C127" s="74"/>
      <c r="D127" s="75"/>
      <c r="E127" s="75"/>
      <c r="F127" s="75"/>
      <c r="G127" s="76"/>
      <c r="H127" s="76"/>
      <c r="I127" s="76"/>
      <c r="J127" s="55"/>
      <c r="K127" s="55"/>
      <c r="L127" s="55"/>
      <c r="M127" s="55"/>
      <c r="N127" s="55"/>
      <c r="O127" s="69"/>
      <c r="P127" s="70"/>
      <c r="Q127" s="71"/>
      <c r="R127" s="55"/>
      <c r="S127" s="70"/>
      <c r="T127" s="70"/>
      <c r="U127" s="55"/>
      <c r="V127" s="55"/>
      <c r="W127" s="55"/>
      <c r="X127" s="70"/>
      <c r="Y127" s="55"/>
      <c r="Z127" s="55"/>
      <c r="AA127" s="70"/>
      <c r="AB127" s="55"/>
      <c r="AC127" s="55"/>
      <c r="AD127" s="70"/>
      <c r="AE127" s="70"/>
      <c r="AF127" s="72"/>
      <c r="AG127" s="39"/>
    </row>
    <row r="128">
      <c r="A128" s="85">
        <f>IF(COUNTA(M124:M127)=0,"",IF(COUNTA(F124:F127)=0,IF(COUNTA(D124:D127)=0,"Totals - Final","Totals - Estimated"),"Totals - Corrected"))</f>
      </c>
      <c r="B128" s="88">
        <f>IF(ISNA(INDEX(B124:B127,MAX(MATCH(REPT("z",255),B124:B127)))),"",INDEX(B124:B127,MAX(MATCH(REPT("z",255),B124:B127))))</f>
      </c>
      <c r="C128" s="88">
        <f>IF(ISNA(INDEX(C124:C127,MAX(MATCH(REPT("z",255),C124:C127)))),"",INDEX(C124:C127,MAX(MATCH(REPT("z",255),C124:C127))))</f>
      </c>
      <c r="D128" s="88">
        <f>IF(ISNA(INDEX(A124:A127,MAX(MATCH(REPT("z",255),A124:A127)))),"",INDEX(A124:A127,MAX(MATCH(REPT("z",255),A124:A127))))</f>
      </c>
      <c r="E128" s="86"/>
      <c r="F128" s="86"/>
      <c r="G128" s="87"/>
      <c r="H128" s="87"/>
      <c r="I128" s="87"/>
      <c r="J128" s="77">
        <f ref="J128:J128" t="array">SUM(IF(NOT(ISBLANK($B123:$B127)),J123:J127,""))</f>
      </c>
      <c r="K128" s="77">
        <f ref="K128:K128" t="array">SUM(IF(NOT(ISBLANK($B123:$B127)),K123:K127,""))</f>
      </c>
      <c r="L128" s="77">
        <f ref="L128:L128" t="array">SUM(IF(NOT(ISBLANK($B123:$B127)),L123:L127,""))</f>
      </c>
      <c r="M128" s="77">
        <f ref="M128:M128" t="array">SUM(IF(NOT(ISBLANK($B123:$B127)),M123:M127,""))</f>
      </c>
      <c r="N128" s="77">
        <f ref="N128:N128" t="array">SUM(IF(NOT(ISBLANK($B123:$B127)),N123:N127,""))</f>
      </c>
      <c r="O128" s="77">
        <f ref="O128:O128" t="array">SUM(IF(NOT(ISBLANK($B123:$B127)),O123:O127,""))</f>
      </c>
      <c r="P128" s="78"/>
      <c r="Q128" s="77">
        <f ref="Q128:Q128" t="array">SUM(IF(NOT(ISBLANK($B123:$B127)),Q123:Q127,""))</f>
      </c>
      <c r="R128" s="77">
        <f ref="R128:R128" t="array">SUM(IF(NOT(ISBLANK($B123:$B127)),R123:R127,""))</f>
      </c>
      <c r="S128" s="78"/>
      <c r="T128" s="78"/>
      <c r="U128" s="77">
        <f ref="U128:U128" t="array">SUM(IF(NOT(ISBLANK($B123:$B127)),U123:U127,""))</f>
      </c>
      <c r="V128" s="77">
        <f ref="V128:V128" t="array">SUM(IF(NOT(ISBLANK($B123:$B127)),V123:V127,""))</f>
      </c>
      <c r="W128" s="77">
        <f ref="W128:W128" t="array">SUM(IF(NOT(ISBLANK($B123:$B127)),W123:W127,""))</f>
      </c>
      <c r="X128" s="78"/>
      <c r="Y128" s="77">
        <f ref="Y128:Y128" t="array">SUM(IF(NOT(ISBLANK($B123:$B127)),Y123:Y127,""))</f>
      </c>
      <c r="Z128" s="77">
        <f ref="Z128:Z128" t="array">SUM(IF(NOT(ISBLANK($B123:$B127)),Z123:Z127,""))</f>
      </c>
      <c r="AA128" s="78"/>
      <c r="AB128" s="77">
        <f ref="AB128:AB128" t="array">SUM(IF(NOT(ISBLANK($B123:$B127)),AB123:AB127,""))</f>
      </c>
      <c r="AC128" s="77">
        <f ref="AC128:AC128" t="array">SUM(IF(NOT(ISBLANK($B123:$B127)),AC123:AC127,""))</f>
      </c>
      <c r="AD128" s="78"/>
      <c r="AE128" s="78"/>
      <c r="AF128" s="79"/>
      <c r="AG128" s="80">
        <v>1</v>
      </c>
    </row>
    <row r="129" ht="0" hidden="1">
      <c r="A129" s="51"/>
      <c r="B129" s="52"/>
      <c r="C129" s="52"/>
      <c r="D129" s="81"/>
      <c r="E129" s="81"/>
      <c r="F129" s="81"/>
      <c r="G129" s="82"/>
      <c r="H129" s="82"/>
      <c r="I129" s="82"/>
      <c r="J129" s="54"/>
      <c r="K129" s="55"/>
      <c r="L129" s="55"/>
      <c r="M129" s="55"/>
      <c r="N129" s="54"/>
      <c r="O129" s="56"/>
      <c r="P129" s="83"/>
      <c r="Q129" s="58"/>
      <c r="R129" s="54"/>
      <c r="S129" s="83"/>
      <c r="T129" s="83"/>
      <c r="U129" s="54"/>
      <c r="V129" s="54"/>
      <c r="W129" s="54"/>
      <c r="X129" s="83"/>
      <c r="Y129" s="54"/>
      <c r="Z129" s="54"/>
      <c r="AA129" s="83"/>
      <c r="AB129" s="54"/>
      <c r="AC129" s="54"/>
      <c r="AD129" s="83"/>
      <c r="AE129" s="83"/>
      <c r="AF129" s="84"/>
      <c r="AG129" s="39"/>
    </row>
    <row r="130">
      <c r="A130" s="61"/>
      <c r="B130" s="62"/>
      <c r="C130" s="62"/>
      <c r="D130" s="63"/>
      <c r="E130" s="63"/>
      <c r="F130" s="63"/>
      <c r="G130" s="64"/>
      <c r="H130" s="64"/>
      <c r="I130" s="64"/>
      <c r="J130" s="65"/>
      <c r="K130" s="55"/>
      <c r="L130" s="55"/>
      <c r="M130" s="55"/>
      <c r="N130" s="65"/>
      <c r="O130" s="66"/>
      <c r="P130" s="57"/>
      <c r="Q130" s="67"/>
      <c r="R130" s="65"/>
      <c r="S130" s="57"/>
      <c r="T130" s="57"/>
      <c r="U130" s="65"/>
      <c r="V130" s="65"/>
      <c r="W130" s="65"/>
      <c r="X130" s="57"/>
      <c r="Y130" s="65"/>
      <c r="Z130" s="65"/>
      <c r="AA130" s="57"/>
      <c r="AB130" s="65"/>
      <c r="AC130" s="65"/>
      <c r="AD130" s="57"/>
      <c r="AE130" s="57"/>
      <c r="AF130" s="68"/>
      <c r="AG130" s="39"/>
    </row>
    <row r="131">
      <c r="A131" s="61"/>
      <c r="B131" s="62"/>
      <c r="C131" s="62"/>
      <c r="D131" s="63"/>
      <c r="E131" s="63"/>
      <c r="F131" s="63"/>
      <c r="G131" s="64"/>
      <c r="H131" s="64"/>
      <c r="I131" s="64"/>
      <c r="J131" s="65"/>
      <c r="K131" s="55"/>
      <c r="L131" s="55"/>
      <c r="M131" s="55"/>
      <c r="N131" s="65"/>
      <c r="O131" s="66"/>
      <c r="P131" s="57"/>
      <c r="Q131" s="67"/>
      <c r="R131" s="65"/>
      <c r="S131" s="57"/>
      <c r="T131" s="57"/>
      <c r="U131" s="65"/>
      <c r="V131" s="65"/>
      <c r="W131" s="65"/>
      <c r="X131" s="57"/>
      <c r="Y131" s="65"/>
      <c r="Z131" s="65"/>
      <c r="AA131" s="57"/>
      <c r="AB131" s="65"/>
      <c r="AC131" s="65"/>
      <c r="AD131" s="57"/>
      <c r="AE131" s="57"/>
      <c r="AF131" s="68"/>
      <c r="AG131" s="39"/>
    </row>
    <row r="132">
      <c r="A132" s="73"/>
      <c r="B132" s="74"/>
      <c r="C132" s="74"/>
      <c r="D132" s="75"/>
      <c r="E132" s="75"/>
      <c r="F132" s="75"/>
      <c r="G132" s="76"/>
      <c r="H132" s="76"/>
      <c r="I132" s="76"/>
      <c r="J132" s="55"/>
      <c r="K132" s="55"/>
      <c r="L132" s="55"/>
      <c r="M132" s="55"/>
      <c r="N132" s="55"/>
      <c r="O132" s="69"/>
      <c r="P132" s="70"/>
      <c r="Q132" s="71"/>
      <c r="R132" s="55"/>
      <c r="S132" s="70"/>
      <c r="T132" s="70"/>
      <c r="U132" s="55"/>
      <c r="V132" s="55"/>
      <c r="W132" s="55"/>
      <c r="X132" s="70"/>
      <c r="Y132" s="55"/>
      <c r="Z132" s="55"/>
      <c r="AA132" s="70"/>
      <c r="AB132" s="55"/>
      <c r="AC132" s="55"/>
      <c r="AD132" s="70"/>
      <c r="AE132" s="70"/>
      <c r="AF132" s="72"/>
      <c r="AG132" s="39"/>
    </row>
    <row r="133">
      <c r="A133" s="73"/>
      <c r="B133" s="74"/>
      <c r="C133" s="74"/>
      <c r="D133" s="75"/>
      <c r="E133" s="75"/>
      <c r="F133" s="75"/>
      <c r="G133" s="76"/>
      <c r="H133" s="76"/>
      <c r="I133" s="76"/>
      <c r="J133" s="55"/>
      <c r="K133" s="55"/>
      <c r="L133" s="55"/>
      <c r="M133" s="55"/>
      <c r="N133" s="55"/>
      <c r="O133" s="69"/>
      <c r="P133" s="70"/>
      <c r="Q133" s="71"/>
      <c r="R133" s="55"/>
      <c r="S133" s="70"/>
      <c r="T133" s="70"/>
      <c r="U133" s="55"/>
      <c r="V133" s="55"/>
      <c r="W133" s="55"/>
      <c r="X133" s="70"/>
      <c r="Y133" s="55"/>
      <c r="Z133" s="55"/>
      <c r="AA133" s="70"/>
      <c r="AB133" s="55"/>
      <c r="AC133" s="55"/>
      <c r="AD133" s="70"/>
      <c r="AE133" s="70"/>
      <c r="AF133" s="72"/>
      <c r="AG133" s="39"/>
    </row>
    <row r="134">
      <c r="A134" s="85">
        <f>IF(COUNTA(M130:M133)=0,"",IF(COUNTA(F130:F133)=0,IF(COUNTA(D130:D133)=0,"Totals - Final","Totals - Estimated"),"Totals - Corrected"))</f>
      </c>
      <c r="B134" s="88">
        <f>IF(ISNA(INDEX(B130:B133,MAX(MATCH(REPT("z",255),B130:B133)))),"",INDEX(B130:B133,MAX(MATCH(REPT("z",255),B130:B133))))</f>
      </c>
      <c r="C134" s="88">
        <f>IF(ISNA(INDEX(C130:C133,MAX(MATCH(REPT("z",255),C130:C133)))),"",INDEX(C130:C133,MAX(MATCH(REPT("z",255),C130:C133))))</f>
      </c>
      <c r="D134" s="88">
        <f>IF(ISNA(INDEX(A130:A133,MAX(MATCH(REPT("z",255),A130:A133)))),"",INDEX(A130:A133,MAX(MATCH(REPT("z",255),A130:A133))))</f>
      </c>
      <c r="E134" s="86"/>
      <c r="F134" s="86"/>
      <c r="G134" s="87"/>
      <c r="H134" s="87"/>
      <c r="I134" s="87"/>
      <c r="J134" s="77">
        <f ref="J134:J134" t="array">SUM(IF(NOT(ISBLANK($B129:$B133)),J129:J133,""))</f>
      </c>
      <c r="K134" s="77">
        <f ref="K134:K134" t="array">SUM(IF(NOT(ISBLANK($B129:$B133)),K129:K133,""))</f>
      </c>
      <c r="L134" s="77">
        <f ref="L134:L134" t="array">SUM(IF(NOT(ISBLANK($B129:$B133)),L129:L133,""))</f>
      </c>
      <c r="M134" s="77">
        <f ref="M134:M134" t="array">SUM(IF(NOT(ISBLANK($B129:$B133)),M129:M133,""))</f>
      </c>
      <c r="N134" s="77">
        <f ref="N134:N134" t="array">SUM(IF(NOT(ISBLANK($B129:$B133)),N129:N133,""))</f>
      </c>
      <c r="O134" s="77">
        <f ref="O134:O134" t="array">SUM(IF(NOT(ISBLANK($B129:$B133)),O129:O133,""))</f>
      </c>
      <c r="P134" s="78"/>
      <c r="Q134" s="77">
        <f ref="Q134:Q134" t="array">SUM(IF(NOT(ISBLANK($B129:$B133)),Q129:Q133,""))</f>
      </c>
      <c r="R134" s="77">
        <f ref="R134:R134" t="array">SUM(IF(NOT(ISBLANK($B129:$B133)),R129:R133,""))</f>
      </c>
      <c r="S134" s="78"/>
      <c r="T134" s="78"/>
      <c r="U134" s="77">
        <f ref="U134:U134" t="array">SUM(IF(NOT(ISBLANK($B129:$B133)),U129:U133,""))</f>
      </c>
      <c r="V134" s="77">
        <f ref="V134:V134" t="array">SUM(IF(NOT(ISBLANK($B129:$B133)),V129:V133,""))</f>
      </c>
      <c r="W134" s="77">
        <f ref="W134:W134" t="array">SUM(IF(NOT(ISBLANK($B129:$B133)),W129:W133,""))</f>
      </c>
      <c r="X134" s="78"/>
      <c r="Y134" s="77">
        <f ref="Y134:Y134" t="array">SUM(IF(NOT(ISBLANK($B129:$B133)),Y129:Y133,""))</f>
      </c>
      <c r="Z134" s="77">
        <f ref="Z134:Z134" t="array">SUM(IF(NOT(ISBLANK($B129:$B133)),Z129:Z133,""))</f>
      </c>
      <c r="AA134" s="78"/>
      <c r="AB134" s="77">
        <f ref="AB134:AB134" t="array">SUM(IF(NOT(ISBLANK($B129:$B133)),AB129:AB133,""))</f>
      </c>
      <c r="AC134" s="77">
        <f ref="AC134:AC134" t="array">SUM(IF(NOT(ISBLANK($B129:$B133)),AC129:AC133,""))</f>
      </c>
      <c r="AD134" s="78"/>
      <c r="AE134" s="78"/>
      <c r="AF134" s="79"/>
      <c r="AG134" s="80">
        <v>1</v>
      </c>
    </row>
    <row r="135" ht="0" hidden="1">
      <c r="A135" s="51"/>
      <c r="B135" s="52"/>
      <c r="C135" s="52"/>
      <c r="D135" s="81"/>
      <c r="E135" s="81"/>
      <c r="F135" s="81"/>
      <c r="G135" s="82"/>
      <c r="H135" s="82"/>
      <c r="I135" s="82"/>
      <c r="J135" s="54"/>
      <c r="K135" s="55"/>
      <c r="L135" s="55"/>
      <c r="M135" s="55"/>
      <c r="N135" s="54"/>
      <c r="O135" s="56"/>
      <c r="P135" s="83"/>
      <c r="Q135" s="58"/>
      <c r="R135" s="54"/>
      <c r="S135" s="83"/>
      <c r="T135" s="83"/>
      <c r="U135" s="54"/>
      <c r="V135" s="54"/>
      <c r="W135" s="54"/>
      <c r="X135" s="83"/>
      <c r="Y135" s="54"/>
      <c r="Z135" s="54"/>
      <c r="AA135" s="83"/>
      <c r="AB135" s="54"/>
      <c r="AC135" s="54"/>
      <c r="AD135" s="83"/>
      <c r="AE135" s="83"/>
      <c r="AF135" s="84"/>
      <c r="AG135" s="39"/>
    </row>
    <row r="136">
      <c r="A136" s="61"/>
      <c r="B136" s="62"/>
      <c r="C136" s="62"/>
      <c r="D136" s="63"/>
      <c r="E136" s="63"/>
      <c r="F136" s="63"/>
      <c r="G136" s="64"/>
      <c r="H136" s="64"/>
      <c r="I136" s="64"/>
      <c r="J136" s="65"/>
      <c r="K136" s="55"/>
      <c r="L136" s="55"/>
      <c r="M136" s="55"/>
      <c r="N136" s="65"/>
      <c r="O136" s="66"/>
      <c r="P136" s="57"/>
      <c r="Q136" s="67"/>
      <c r="R136" s="65"/>
      <c r="S136" s="57"/>
      <c r="T136" s="57"/>
      <c r="U136" s="65"/>
      <c r="V136" s="65"/>
      <c r="W136" s="65"/>
      <c r="X136" s="57"/>
      <c r="Y136" s="65"/>
      <c r="Z136" s="65"/>
      <c r="AA136" s="57"/>
      <c r="AB136" s="65"/>
      <c r="AC136" s="65"/>
      <c r="AD136" s="57"/>
      <c r="AE136" s="57"/>
      <c r="AF136" s="68"/>
      <c r="AG136" s="39"/>
    </row>
    <row r="137">
      <c r="A137" s="61"/>
      <c r="B137" s="62"/>
      <c r="C137" s="62"/>
      <c r="D137" s="63"/>
      <c r="E137" s="63"/>
      <c r="F137" s="63"/>
      <c r="G137" s="64"/>
      <c r="H137" s="64"/>
      <c r="I137" s="64"/>
      <c r="J137" s="65"/>
      <c r="K137" s="55"/>
      <c r="L137" s="55"/>
      <c r="M137" s="55"/>
      <c r="N137" s="65"/>
      <c r="O137" s="66"/>
      <c r="P137" s="57"/>
      <c r="Q137" s="67"/>
      <c r="R137" s="65"/>
      <c r="S137" s="57"/>
      <c r="T137" s="57"/>
      <c r="U137" s="65"/>
      <c r="V137" s="65"/>
      <c r="W137" s="65"/>
      <c r="X137" s="57"/>
      <c r="Y137" s="65"/>
      <c r="Z137" s="65"/>
      <c r="AA137" s="57"/>
      <c r="AB137" s="65"/>
      <c r="AC137" s="65"/>
      <c r="AD137" s="57"/>
      <c r="AE137" s="57"/>
      <c r="AF137" s="68"/>
      <c r="AG137" s="39"/>
    </row>
    <row r="138">
      <c r="A138" s="73"/>
      <c r="B138" s="74"/>
      <c r="C138" s="74"/>
      <c r="D138" s="75"/>
      <c r="E138" s="75"/>
      <c r="F138" s="75"/>
      <c r="G138" s="76"/>
      <c r="H138" s="76"/>
      <c r="I138" s="76"/>
      <c r="J138" s="55"/>
      <c r="K138" s="55"/>
      <c r="L138" s="55"/>
      <c r="M138" s="55"/>
      <c r="N138" s="55"/>
      <c r="O138" s="69"/>
      <c r="P138" s="70"/>
      <c r="Q138" s="71"/>
      <c r="R138" s="55"/>
      <c r="S138" s="70"/>
      <c r="T138" s="70"/>
      <c r="U138" s="55"/>
      <c r="V138" s="55"/>
      <c r="W138" s="55"/>
      <c r="X138" s="70"/>
      <c r="Y138" s="55"/>
      <c r="Z138" s="55"/>
      <c r="AA138" s="70"/>
      <c r="AB138" s="55"/>
      <c r="AC138" s="55"/>
      <c r="AD138" s="70"/>
      <c r="AE138" s="70"/>
      <c r="AF138" s="72"/>
      <c r="AG138" s="39"/>
    </row>
    <row r="139">
      <c r="A139" s="73"/>
      <c r="B139" s="74"/>
      <c r="C139" s="74"/>
      <c r="D139" s="75"/>
      <c r="E139" s="75"/>
      <c r="F139" s="75"/>
      <c r="G139" s="76"/>
      <c r="H139" s="76"/>
      <c r="I139" s="76"/>
      <c r="J139" s="55"/>
      <c r="K139" s="55"/>
      <c r="L139" s="55"/>
      <c r="M139" s="55"/>
      <c r="N139" s="55"/>
      <c r="O139" s="69"/>
      <c r="P139" s="70"/>
      <c r="Q139" s="71"/>
      <c r="R139" s="55"/>
      <c r="S139" s="70"/>
      <c r="T139" s="70"/>
      <c r="U139" s="55"/>
      <c r="V139" s="55"/>
      <c r="W139" s="55"/>
      <c r="X139" s="70"/>
      <c r="Y139" s="55"/>
      <c r="Z139" s="55"/>
      <c r="AA139" s="70"/>
      <c r="AB139" s="55"/>
      <c r="AC139" s="55"/>
      <c r="AD139" s="70"/>
      <c r="AE139" s="70"/>
      <c r="AF139" s="72"/>
      <c r="AG139" s="39"/>
    </row>
    <row r="140">
      <c r="A140" s="85">
        <f>IF(COUNTA(M136:M139)=0,"",IF(COUNTA(F136:F139)=0,IF(COUNTA(D136:D139)=0,"Totals - Final","Totals - Estimated"),"Totals - Corrected"))</f>
      </c>
      <c r="B140" s="88">
        <f>IF(ISNA(INDEX(B136:B139,MAX(MATCH(REPT("z",255),B136:B139)))),"",INDEX(B136:B139,MAX(MATCH(REPT("z",255),B136:B139))))</f>
      </c>
      <c r="C140" s="88">
        <f>IF(ISNA(INDEX(C136:C139,MAX(MATCH(REPT("z",255),C136:C139)))),"",INDEX(C136:C139,MAX(MATCH(REPT("z",255),C136:C139))))</f>
      </c>
      <c r="D140" s="88">
        <f>IF(ISNA(INDEX(A136:A139,MAX(MATCH(REPT("z",255),A136:A139)))),"",INDEX(A136:A139,MAX(MATCH(REPT("z",255),A136:A139))))</f>
      </c>
      <c r="E140" s="86"/>
      <c r="F140" s="86"/>
      <c r="G140" s="87"/>
      <c r="H140" s="87"/>
      <c r="I140" s="87"/>
      <c r="J140" s="77">
        <f ref="J140:J140" t="array">SUM(IF(NOT(ISBLANK($B135:$B139)),J135:J139,""))</f>
      </c>
      <c r="K140" s="77">
        <f ref="K140:K140" t="array">SUM(IF(NOT(ISBLANK($B135:$B139)),K135:K139,""))</f>
      </c>
      <c r="L140" s="77">
        <f ref="L140:L140" t="array">SUM(IF(NOT(ISBLANK($B135:$B139)),L135:L139,""))</f>
      </c>
      <c r="M140" s="77">
        <f ref="M140:M140" t="array">SUM(IF(NOT(ISBLANK($B135:$B139)),M135:M139,""))</f>
      </c>
      <c r="N140" s="77">
        <f ref="N140:N140" t="array">SUM(IF(NOT(ISBLANK($B135:$B139)),N135:N139,""))</f>
      </c>
      <c r="O140" s="77">
        <f ref="O140:O140" t="array">SUM(IF(NOT(ISBLANK($B135:$B139)),O135:O139,""))</f>
      </c>
      <c r="P140" s="78"/>
      <c r="Q140" s="77">
        <f ref="Q140:Q140" t="array">SUM(IF(NOT(ISBLANK($B135:$B139)),Q135:Q139,""))</f>
      </c>
      <c r="R140" s="77">
        <f ref="R140:R140" t="array">SUM(IF(NOT(ISBLANK($B135:$B139)),R135:R139,""))</f>
      </c>
      <c r="S140" s="78"/>
      <c r="T140" s="78"/>
      <c r="U140" s="77">
        <f ref="U140:U140" t="array">SUM(IF(NOT(ISBLANK($B135:$B139)),U135:U139,""))</f>
      </c>
      <c r="V140" s="77">
        <f ref="V140:V140" t="array">SUM(IF(NOT(ISBLANK($B135:$B139)),V135:V139,""))</f>
      </c>
      <c r="W140" s="77">
        <f ref="W140:W140" t="array">SUM(IF(NOT(ISBLANK($B135:$B139)),W135:W139,""))</f>
      </c>
      <c r="X140" s="78"/>
      <c r="Y140" s="77">
        <f ref="Y140:Y140" t="array">SUM(IF(NOT(ISBLANK($B135:$B139)),Y135:Y139,""))</f>
      </c>
      <c r="Z140" s="77">
        <f ref="Z140:Z140" t="array">SUM(IF(NOT(ISBLANK($B135:$B139)),Z135:Z139,""))</f>
      </c>
      <c r="AA140" s="78"/>
      <c r="AB140" s="77">
        <f ref="AB140:AB140" t="array">SUM(IF(NOT(ISBLANK($B135:$B139)),AB135:AB139,""))</f>
      </c>
      <c r="AC140" s="77">
        <f ref="AC140:AC140" t="array">SUM(IF(NOT(ISBLANK($B135:$B139)),AC135:AC139,""))</f>
      </c>
      <c r="AD140" s="78"/>
      <c r="AE140" s="78"/>
      <c r="AF140" s="79"/>
      <c r="AG140" s="80">
        <v>1</v>
      </c>
    </row>
    <row r="141" ht="0" hidden="1">
      <c r="A141" s="51"/>
      <c r="B141" s="52"/>
      <c r="C141" s="52"/>
      <c r="D141" s="81"/>
      <c r="E141" s="81"/>
      <c r="F141" s="81"/>
      <c r="G141" s="82"/>
      <c r="H141" s="82"/>
      <c r="I141" s="82"/>
      <c r="J141" s="54"/>
      <c r="K141" s="55"/>
      <c r="L141" s="55"/>
      <c r="M141" s="55"/>
      <c r="N141" s="54"/>
      <c r="O141" s="56"/>
      <c r="P141" s="83"/>
      <c r="Q141" s="58"/>
      <c r="R141" s="54"/>
      <c r="S141" s="83"/>
      <c r="T141" s="83"/>
      <c r="U141" s="54"/>
      <c r="V141" s="54"/>
      <c r="W141" s="54"/>
      <c r="X141" s="83"/>
      <c r="Y141" s="54"/>
      <c r="Z141" s="54"/>
      <c r="AA141" s="83"/>
      <c r="AB141" s="54"/>
      <c r="AC141" s="54"/>
      <c r="AD141" s="83"/>
      <c r="AE141" s="83"/>
      <c r="AF141" s="84"/>
      <c r="AG141" s="39"/>
    </row>
    <row r="142">
      <c r="A142" s="61"/>
      <c r="B142" s="62"/>
      <c r="C142" s="62"/>
      <c r="D142" s="63"/>
      <c r="E142" s="63"/>
      <c r="F142" s="63"/>
      <c r="G142" s="64"/>
      <c r="H142" s="64"/>
      <c r="I142" s="64"/>
      <c r="J142" s="65"/>
      <c r="K142" s="55"/>
      <c r="L142" s="55"/>
      <c r="M142" s="55"/>
      <c r="N142" s="65"/>
      <c r="O142" s="66"/>
      <c r="P142" s="57"/>
      <c r="Q142" s="67"/>
      <c r="R142" s="65"/>
      <c r="S142" s="57"/>
      <c r="T142" s="57"/>
      <c r="U142" s="65"/>
      <c r="V142" s="65"/>
      <c r="W142" s="65"/>
      <c r="X142" s="57"/>
      <c r="Y142" s="65"/>
      <c r="Z142" s="65"/>
      <c r="AA142" s="57"/>
      <c r="AB142" s="65"/>
      <c r="AC142" s="65"/>
      <c r="AD142" s="57"/>
      <c r="AE142" s="57"/>
      <c r="AF142" s="68"/>
      <c r="AG142" s="39"/>
    </row>
    <row r="143">
      <c r="A143" s="61"/>
      <c r="B143" s="62"/>
      <c r="C143" s="62"/>
      <c r="D143" s="63"/>
      <c r="E143" s="63"/>
      <c r="F143" s="63"/>
      <c r="G143" s="64"/>
      <c r="H143" s="64"/>
      <c r="I143" s="64"/>
      <c r="J143" s="65"/>
      <c r="K143" s="55"/>
      <c r="L143" s="55"/>
      <c r="M143" s="55"/>
      <c r="N143" s="65"/>
      <c r="O143" s="66"/>
      <c r="P143" s="57"/>
      <c r="Q143" s="67"/>
      <c r="R143" s="65"/>
      <c r="S143" s="57"/>
      <c r="T143" s="57"/>
      <c r="U143" s="65"/>
      <c r="V143" s="65"/>
      <c r="W143" s="65"/>
      <c r="X143" s="57"/>
      <c r="Y143" s="65"/>
      <c r="Z143" s="65"/>
      <c r="AA143" s="57"/>
      <c r="AB143" s="65"/>
      <c r="AC143" s="65"/>
      <c r="AD143" s="57"/>
      <c r="AE143" s="57"/>
      <c r="AF143" s="68"/>
      <c r="AG143" s="39"/>
    </row>
    <row r="144">
      <c r="A144" s="73"/>
      <c r="B144" s="74"/>
      <c r="C144" s="74"/>
      <c r="D144" s="75"/>
      <c r="E144" s="75"/>
      <c r="F144" s="75"/>
      <c r="G144" s="76"/>
      <c r="H144" s="76"/>
      <c r="I144" s="76"/>
      <c r="J144" s="55"/>
      <c r="K144" s="55"/>
      <c r="L144" s="55"/>
      <c r="M144" s="55"/>
      <c r="N144" s="55"/>
      <c r="O144" s="69"/>
      <c r="P144" s="70"/>
      <c r="Q144" s="71"/>
      <c r="R144" s="55"/>
      <c r="S144" s="70"/>
      <c r="T144" s="70"/>
      <c r="U144" s="55"/>
      <c r="V144" s="55"/>
      <c r="W144" s="55"/>
      <c r="X144" s="70"/>
      <c r="Y144" s="55"/>
      <c r="Z144" s="55"/>
      <c r="AA144" s="70"/>
      <c r="AB144" s="55"/>
      <c r="AC144" s="55"/>
      <c r="AD144" s="70"/>
      <c r="AE144" s="70"/>
      <c r="AF144" s="72"/>
      <c r="AG144" s="39"/>
    </row>
    <row r="145">
      <c r="A145" s="73"/>
      <c r="B145" s="74"/>
      <c r="C145" s="74"/>
      <c r="D145" s="75"/>
      <c r="E145" s="75"/>
      <c r="F145" s="75"/>
      <c r="G145" s="76"/>
      <c r="H145" s="76"/>
      <c r="I145" s="76"/>
      <c r="J145" s="55"/>
      <c r="K145" s="55"/>
      <c r="L145" s="55"/>
      <c r="M145" s="55"/>
      <c r="N145" s="55"/>
      <c r="O145" s="69"/>
      <c r="P145" s="70"/>
      <c r="Q145" s="71"/>
      <c r="R145" s="55"/>
      <c r="S145" s="70"/>
      <c r="T145" s="70"/>
      <c r="U145" s="55"/>
      <c r="V145" s="55"/>
      <c r="W145" s="55"/>
      <c r="X145" s="70"/>
      <c r="Y145" s="55"/>
      <c r="Z145" s="55"/>
      <c r="AA145" s="70"/>
      <c r="AB145" s="55"/>
      <c r="AC145" s="55"/>
      <c r="AD145" s="70"/>
      <c r="AE145" s="70"/>
      <c r="AF145" s="72"/>
      <c r="AG145" s="39"/>
    </row>
    <row r="146">
      <c r="A146" s="85">
        <f>IF(COUNTA(M142:M145)=0,"",IF(COUNTA(F142:F145)=0,IF(COUNTA(D142:D145)=0,"Totals - Final","Totals - Estimated"),"Totals - Corrected"))</f>
      </c>
      <c r="B146" s="88">
        <f>IF(ISNA(INDEX(B142:B145,MAX(MATCH(REPT("z",255),B142:B145)))),"",INDEX(B142:B145,MAX(MATCH(REPT("z",255),B142:B145))))</f>
      </c>
      <c r="C146" s="88">
        <f>IF(ISNA(INDEX(C142:C145,MAX(MATCH(REPT("z",255),C142:C145)))),"",INDEX(C142:C145,MAX(MATCH(REPT("z",255),C142:C145))))</f>
      </c>
      <c r="D146" s="88">
        <f>IF(ISNA(INDEX(A142:A145,MAX(MATCH(REPT("z",255),A142:A145)))),"",INDEX(A142:A145,MAX(MATCH(REPT("z",255),A142:A145))))</f>
      </c>
      <c r="E146" s="86"/>
      <c r="F146" s="86"/>
      <c r="G146" s="87"/>
      <c r="H146" s="87"/>
      <c r="I146" s="87"/>
      <c r="J146" s="77">
        <f ref="J146:J146" t="array">SUM(IF(NOT(ISBLANK($B141:$B145)),J141:J145,""))</f>
      </c>
      <c r="K146" s="77">
        <f ref="K146:K146" t="array">SUM(IF(NOT(ISBLANK($B141:$B145)),K141:K145,""))</f>
      </c>
      <c r="L146" s="77">
        <f ref="L146:L146" t="array">SUM(IF(NOT(ISBLANK($B141:$B145)),L141:L145,""))</f>
      </c>
      <c r="M146" s="77">
        <f ref="M146:M146" t="array">SUM(IF(NOT(ISBLANK($B141:$B145)),M141:M145,""))</f>
      </c>
      <c r="N146" s="77">
        <f ref="N146:N146" t="array">SUM(IF(NOT(ISBLANK($B141:$B145)),N141:N145,""))</f>
      </c>
      <c r="O146" s="77">
        <f ref="O146:O146" t="array">SUM(IF(NOT(ISBLANK($B141:$B145)),O141:O145,""))</f>
      </c>
      <c r="P146" s="78"/>
      <c r="Q146" s="77">
        <f ref="Q146:Q146" t="array">SUM(IF(NOT(ISBLANK($B141:$B145)),Q141:Q145,""))</f>
      </c>
      <c r="R146" s="77">
        <f ref="R146:R146" t="array">SUM(IF(NOT(ISBLANK($B141:$B145)),R141:R145,""))</f>
      </c>
      <c r="S146" s="78"/>
      <c r="T146" s="78"/>
      <c r="U146" s="77">
        <f ref="U146:U146" t="array">SUM(IF(NOT(ISBLANK($B141:$B145)),U141:U145,""))</f>
      </c>
      <c r="V146" s="77">
        <f ref="V146:V146" t="array">SUM(IF(NOT(ISBLANK($B141:$B145)),V141:V145,""))</f>
      </c>
      <c r="W146" s="77">
        <f ref="W146:W146" t="array">SUM(IF(NOT(ISBLANK($B141:$B145)),W141:W145,""))</f>
      </c>
      <c r="X146" s="78"/>
      <c r="Y146" s="77">
        <f ref="Y146:Y146" t="array">SUM(IF(NOT(ISBLANK($B141:$B145)),Y141:Y145,""))</f>
      </c>
      <c r="Z146" s="77">
        <f ref="Z146:Z146" t="array">SUM(IF(NOT(ISBLANK($B141:$B145)),Z141:Z145,""))</f>
      </c>
      <c r="AA146" s="78"/>
      <c r="AB146" s="77">
        <f ref="AB146:AB146" t="array">SUM(IF(NOT(ISBLANK($B141:$B145)),AB141:AB145,""))</f>
      </c>
      <c r="AC146" s="77">
        <f ref="AC146:AC146" t="array">SUM(IF(NOT(ISBLANK($B141:$B145)),AC141:AC145,""))</f>
      </c>
      <c r="AD146" s="78"/>
      <c r="AE146" s="78"/>
      <c r="AF146" s="79"/>
      <c r="AG146" s="80">
        <v>1</v>
      </c>
    </row>
    <row r="147" ht="0" hidden="1">
      <c r="A147" s="51"/>
      <c r="B147" s="52"/>
      <c r="C147" s="52"/>
      <c r="D147" s="81"/>
      <c r="E147" s="81"/>
      <c r="F147" s="81"/>
      <c r="G147" s="82"/>
      <c r="H147" s="82"/>
      <c r="I147" s="82"/>
      <c r="J147" s="54"/>
      <c r="K147" s="55"/>
      <c r="L147" s="55"/>
      <c r="M147" s="55"/>
      <c r="N147" s="54"/>
      <c r="O147" s="56"/>
      <c r="P147" s="83"/>
      <c r="Q147" s="58"/>
      <c r="R147" s="54"/>
      <c r="S147" s="83"/>
      <c r="T147" s="83"/>
      <c r="U147" s="54"/>
      <c r="V147" s="54"/>
      <c r="W147" s="54"/>
      <c r="X147" s="83"/>
      <c r="Y147" s="54"/>
      <c r="Z147" s="54"/>
      <c r="AA147" s="83"/>
      <c r="AB147" s="54"/>
      <c r="AC147" s="54"/>
      <c r="AD147" s="83"/>
      <c r="AE147" s="83"/>
      <c r="AF147" s="84"/>
      <c r="AG147" s="39"/>
    </row>
    <row r="148">
      <c r="A148" s="61"/>
      <c r="B148" s="62"/>
      <c r="C148" s="62"/>
      <c r="D148" s="63"/>
      <c r="E148" s="63"/>
      <c r="F148" s="63"/>
      <c r="G148" s="64"/>
      <c r="H148" s="64"/>
      <c r="I148" s="64"/>
      <c r="J148" s="65"/>
      <c r="K148" s="55"/>
      <c r="L148" s="55"/>
      <c r="M148" s="55"/>
      <c r="N148" s="65"/>
      <c r="O148" s="66"/>
      <c r="P148" s="57"/>
      <c r="Q148" s="67"/>
      <c r="R148" s="65"/>
      <c r="S148" s="57"/>
      <c r="T148" s="57"/>
      <c r="U148" s="65"/>
      <c r="V148" s="65"/>
      <c r="W148" s="65"/>
      <c r="X148" s="57"/>
      <c r="Y148" s="65"/>
      <c r="Z148" s="65"/>
      <c r="AA148" s="57"/>
      <c r="AB148" s="65"/>
      <c r="AC148" s="65"/>
      <c r="AD148" s="57"/>
      <c r="AE148" s="57"/>
      <c r="AF148" s="68"/>
      <c r="AG148" s="39"/>
    </row>
    <row r="149">
      <c r="A149" s="61"/>
      <c r="B149" s="62"/>
      <c r="C149" s="62"/>
      <c r="D149" s="63"/>
      <c r="E149" s="63"/>
      <c r="F149" s="63"/>
      <c r="G149" s="64"/>
      <c r="H149" s="64"/>
      <c r="I149" s="64"/>
      <c r="J149" s="65"/>
      <c r="K149" s="55"/>
      <c r="L149" s="55"/>
      <c r="M149" s="55"/>
      <c r="N149" s="65"/>
      <c r="O149" s="66"/>
      <c r="P149" s="57"/>
      <c r="Q149" s="67"/>
      <c r="R149" s="65"/>
      <c r="S149" s="57"/>
      <c r="T149" s="57"/>
      <c r="U149" s="65"/>
      <c r="V149" s="65"/>
      <c r="W149" s="65"/>
      <c r="X149" s="57"/>
      <c r="Y149" s="65"/>
      <c r="Z149" s="65"/>
      <c r="AA149" s="57"/>
      <c r="AB149" s="65"/>
      <c r="AC149" s="65"/>
      <c r="AD149" s="57"/>
      <c r="AE149" s="57"/>
      <c r="AF149" s="68"/>
      <c r="AG149" s="39"/>
    </row>
    <row r="150">
      <c r="A150" s="73"/>
      <c r="B150" s="74"/>
      <c r="C150" s="74"/>
      <c r="D150" s="75"/>
      <c r="E150" s="75"/>
      <c r="F150" s="75"/>
      <c r="G150" s="76"/>
      <c r="H150" s="76"/>
      <c r="I150" s="76"/>
      <c r="J150" s="55"/>
      <c r="K150" s="55"/>
      <c r="L150" s="55"/>
      <c r="M150" s="55"/>
      <c r="N150" s="55"/>
      <c r="O150" s="69"/>
      <c r="P150" s="70"/>
      <c r="Q150" s="71"/>
      <c r="R150" s="55"/>
      <c r="S150" s="70"/>
      <c r="T150" s="70"/>
      <c r="U150" s="55"/>
      <c r="V150" s="55"/>
      <c r="W150" s="55"/>
      <c r="X150" s="70"/>
      <c r="Y150" s="55"/>
      <c r="Z150" s="55"/>
      <c r="AA150" s="70"/>
      <c r="AB150" s="55"/>
      <c r="AC150" s="55"/>
      <c r="AD150" s="70"/>
      <c r="AE150" s="70"/>
      <c r="AF150" s="72"/>
      <c r="AG150" s="39"/>
    </row>
    <row r="151">
      <c r="A151" s="73"/>
      <c r="B151" s="74"/>
      <c r="C151" s="74"/>
      <c r="D151" s="75"/>
      <c r="E151" s="75"/>
      <c r="F151" s="75"/>
      <c r="G151" s="76"/>
      <c r="H151" s="76"/>
      <c r="I151" s="76"/>
      <c r="J151" s="55"/>
      <c r="K151" s="55"/>
      <c r="L151" s="55"/>
      <c r="M151" s="55"/>
      <c r="N151" s="55"/>
      <c r="O151" s="69"/>
      <c r="P151" s="70"/>
      <c r="Q151" s="71"/>
      <c r="R151" s="55"/>
      <c r="S151" s="70"/>
      <c r="T151" s="70"/>
      <c r="U151" s="55"/>
      <c r="V151" s="55"/>
      <c r="W151" s="55"/>
      <c r="X151" s="70"/>
      <c r="Y151" s="55"/>
      <c r="Z151" s="55"/>
      <c r="AA151" s="70"/>
      <c r="AB151" s="55"/>
      <c r="AC151" s="55"/>
      <c r="AD151" s="70"/>
      <c r="AE151" s="70"/>
      <c r="AF151" s="72"/>
      <c r="AG151" s="39"/>
    </row>
    <row r="152">
      <c r="A152" s="85">
        <f>IF(COUNTA(M148:M151)=0,"",IF(COUNTA(F148:F151)=0,IF(COUNTA(D148:D151)=0,"Totals - Final","Totals - Estimated"),"Totals - Corrected"))</f>
      </c>
      <c r="B152" s="88">
        <f>IF(ISNA(INDEX(B148:B151,MAX(MATCH(REPT("z",255),B148:B151)))),"",INDEX(B148:B151,MAX(MATCH(REPT("z",255),B148:B151))))</f>
      </c>
      <c r="C152" s="88">
        <f>IF(ISNA(INDEX(C148:C151,MAX(MATCH(REPT("z",255),C148:C151)))),"",INDEX(C148:C151,MAX(MATCH(REPT("z",255),C148:C151))))</f>
      </c>
      <c r="D152" s="88">
        <f>IF(ISNA(INDEX(A148:A151,MAX(MATCH(REPT("z",255),A148:A151)))),"",INDEX(A148:A151,MAX(MATCH(REPT("z",255),A148:A151))))</f>
      </c>
      <c r="E152" s="86"/>
      <c r="F152" s="86"/>
      <c r="G152" s="87"/>
      <c r="H152" s="87"/>
      <c r="I152" s="87"/>
      <c r="J152" s="77">
        <f ref="J152:J152" t="array">SUM(IF(NOT(ISBLANK($B147:$B151)),J147:J151,""))</f>
      </c>
      <c r="K152" s="77">
        <f ref="K152:K152" t="array">SUM(IF(NOT(ISBLANK($B147:$B151)),K147:K151,""))</f>
      </c>
      <c r="L152" s="77">
        <f ref="L152:L152" t="array">SUM(IF(NOT(ISBLANK($B147:$B151)),L147:L151,""))</f>
      </c>
      <c r="M152" s="77">
        <f ref="M152:M152" t="array">SUM(IF(NOT(ISBLANK($B147:$B151)),M147:M151,""))</f>
      </c>
      <c r="N152" s="77">
        <f ref="N152:N152" t="array">SUM(IF(NOT(ISBLANK($B147:$B151)),N147:N151,""))</f>
      </c>
      <c r="O152" s="77">
        <f ref="O152:O152" t="array">SUM(IF(NOT(ISBLANK($B147:$B151)),O147:O151,""))</f>
      </c>
      <c r="P152" s="78"/>
      <c r="Q152" s="77">
        <f ref="Q152:Q152" t="array">SUM(IF(NOT(ISBLANK($B147:$B151)),Q147:Q151,""))</f>
      </c>
      <c r="R152" s="77">
        <f ref="R152:R152" t="array">SUM(IF(NOT(ISBLANK($B147:$B151)),R147:R151,""))</f>
      </c>
      <c r="S152" s="78"/>
      <c r="T152" s="78"/>
      <c r="U152" s="77">
        <f ref="U152:U152" t="array">SUM(IF(NOT(ISBLANK($B147:$B151)),U147:U151,""))</f>
      </c>
      <c r="V152" s="77">
        <f ref="V152:V152" t="array">SUM(IF(NOT(ISBLANK($B147:$B151)),V147:V151,""))</f>
      </c>
      <c r="W152" s="77">
        <f ref="W152:W152" t="array">SUM(IF(NOT(ISBLANK($B147:$B151)),W147:W151,""))</f>
      </c>
      <c r="X152" s="78"/>
      <c r="Y152" s="77">
        <f ref="Y152:Y152" t="array">SUM(IF(NOT(ISBLANK($B147:$B151)),Y147:Y151,""))</f>
      </c>
      <c r="Z152" s="77">
        <f ref="Z152:Z152" t="array">SUM(IF(NOT(ISBLANK($B147:$B151)),Z147:Z151,""))</f>
      </c>
      <c r="AA152" s="78"/>
      <c r="AB152" s="77">
        <f ref="AB152:AB152" t="array">SUM(IF(NOT(ISBLANK($B147:$B151)),AB147:AB151,""))</f>
      </c>
      <c r="AC152" s="77">
        <f ref="AC152:AC152" t="array">SUM(IF(NOT(ISBLANK($B147:$B151)),AC147:AC151,""))</f>
      </c>
      <c r="AD152" s="78"/>
      <c r="AE152" s="78"/>
      <c r="AF152" s="79"/>
      <c r="AG152" s="80">
        <v>1</v>
      </c>
    </row>
    <row r="153" ht="0" hidden="1">
      <c r="A153" s="51"/>
      <c r="B153" s="52"/>
      <c r="C153" s="52"/>
      <c r="D153" s="81"/>
      <c r="E153" s="81"/>
      <c r="F153" s="81"/>
      <c r="G153" s="82"/>
      <c r="H153" s="82"/>
      <c r="I153" s="82"/>
      <c r="J153" s="54"/>
      <c r="K153" s="55"/>
      <c r="L153" s="55"/>
      <c r="M153" s="55"/>
      <c r="N153" s="54"/>
      <c r="O153" s="56"/>
      <c r="P153" s="83"/>
      <c r="Q153" s="58"/>
      <c r="R153" s="54"/>
      <c r="S153" s="83"/>
      <c r="T153" s="83"/>
      <c r="U153" s="54"/>
      <c r="V153" s="54"/>
      <c r="W153" s="54"/>
      <c r="X153" s="83"/>
      <c r="Y153" s="54"/>
      <c r="Z153" s="54"/>
      <c r="AA153" s="83"/>
      <c r="AB153" s="54"/>
      <c r="AC153" s="54"/>
      <c r="AD153" s="83"/>
      <c r="AE153" s="83"/>
      <c r="AF153" s="84"/>
      <c r="AG153" s="39"/>
    </row>
    <row r="154">
      <c r="A154" s="61"/>
      <c r="B154" s="62"/>
      <c r="C154" s="62"/>
      <c r="D154" s="63"/>
      <c r="E154" s="63"/>
      <c r="F154" s="63"/>
      <c r="G154" s="64"/>
      <c r="H154" s="64"/>
      <c r="I154" s="64"/>
      <c r="J154" s="65"/>
      <c r="K154" s="55"/>
      <c r="L154" s="55"/>
      <c r="M154" s="55"/>
      <c r="N154" s="65"/>
      <c r="O154" s="66"/>
      <c r="P154" s="57"/>
      <c r="Q154" s="67"/>
      <c r="R154" s="65"/>
      <c r="S154" s="57"/>
      <c r="T154" s="57"/>
      <c r="U154" s="65"/>
      <c r="V154" s="65"/>
      <c r="W154" s="65"/>
      <c r="X154" s="57"/>
      <c r="Y154" s="65"/>
      <c r="Z154" s="65"/>
      <c r="AA154" s="57"/>
      <c r="AB154" s="65"/>
      <c r="AC154" s="65"/>
      <c r="AD154" s="57"/>
      <c r="AE154" s="57"/>
      <c r="AF154" s="68"/>
      <c r="AG154" s="39"/>
    </row>
    <row r="155">
      <c r="A155" s="61"/>
      <c r="B155" s="62"/>
      <c r="C155" s="62"/>
      <c r="D155" s="63"/>
      <c r="E155" s="63"/>
      <c r="F155" s="63"/>
      <c r="G155" s="64"/>
      <c r="H155" s="64"/>
      <c r="I155" s="64"/>
      <c r="J155" s="65"/>
      <c r="K155" s="55"/>
      <c r="L155" s="55"/>
      <c r="M155" s="55"/>
      <c r="N155" s="65"/>
      <c r="O155" s="66"/>
      <c r="P155" s="57"/>
      <c r="Q155" s="67"/>
      <c r="R155" s="65"/>
      <c r="S155" s="57"/>
      <c r="T155" s="57"/>
      <c r="U155" s="65"/>
      <c r="V155" s="65"/>
      <c r="W155" s="65"/>
      <c r="X155" s="57"/>
      <c r="Y155" s="65"/>
      <c r="Z155" s="65"/>
      <c r="AA155" s="57"/>
      <c r="AB155" s="65"/>
      <c r="AC155" s="65"/>
      <c r="AD155" s="57"/>
      <c r="AE155" s="57"/>
      <c r="AF155" s="68"/>
      <c r="AG155" s="39"/>
    </row>
    <row r="156">
      <c r="A156" s="73"/>
      <c r="B156" s="74"/>
      <c r="C156" s="74"/>
      <c r="D156" s="75"/>
      <c r="E156" s="75"/>
      <c r="F156" s="75"/>
      <c r="G156" s="76"/>
      <c r="H156" s="76"/>
      <c r="I156" s="76"/>
      <c r="J156" s="55"/>
      <c r="K156" s="55"/>
      <c r="L156" s="55"/>
      <c r="M156" s="55"/>
      <c r="N156" s="55"/>
      <c r="O156" s="69"/>
      <c r="P156" s="70"/>
      <c r="Q156" s="71"/>
      <c r="R156" s="55"/>
      <c r="S156" s="70"/>
      <c r="T156" s="70"/>
      <c r="U156" s="55"/>
      <c r="V156" s="55"/>
      <c r="W156" s="55"/>
      <c r="X156" s="70"/>
      <c r="Y156" s="55"/>
      <c r="Z156" s="55"/>
      <c r="AA156" s="70"/>
      <c r="AB156" s="55"/>
      <c r="AC156" s="55"/>
      <c r="AD156" s="70"/>
      <c r="AE156" s="70"/>
      <c r="AF156" s="72"/>
      <c r="AG156" s="39"/>
    </row>
    <row r="157">
      <c r="A157" s="73"/>
      <c r="B157" s="74"/>
      <c r="C157" s="74"/>
      <c r="D157" s="75"/>
      <c r="E157" s="75"/>
      <c r="F157" s="75"/>
      <c r="G157" s="76"/>
      <c r="H157" s="76"/>
      <c r="I157" s="76"/>
      <c r="J157" s="55"/>
      <c r="K157" s="55"/>
      <c r="L157" s="55"/>
      <c r="M157" s="55"/>
      <c r="N157" s="55"/>
      <c r="O157" s="69"/>
      <c r="P157" s="70"/>
      <c r="Q157" s="71"/>
      <c r="R157" s="55"/>
      <c r="S157" s="70"/>
      <c r="T157" s="70"/>
      <c r="U157" s="55"/>
      <c r="V157" s="55"/>
      <c r="W157" s="55"/>
      <c r="X157" s="70"/>
      <c r="Y157" s="55"/>
      <c r="Z157" s="55"/>
      <c r="AA157" s="70"/>
      <c r="AB157" s="55"/>
      <c r="AC157" s="55"/>
      <c r="AD157" s="70"/>
      <c r="AE157" s="70"/>
      <c r="AF157" s="72"/>
      <c r="AG157" s="39"/>
    </row>
    <row r="158">
      <c r="A158" s="85">
        <f>IF(COUNTA(M154:M157)=0,"",IF(COUNTA(F154:F157)=0,IF(COUNTA(D154:D157)=0,"Totals - Final","Totals - Estimated"),"Totals - Corrected"))</f>
      </c>
      <c r="B158" s="88">
        <f>IF(ISNA(INDEX(B154:B157,MAX(MATCH(REPT("z",255),B154:B157)))),"",INDEX(B154:B157,MAX(MATCH(REPT("z",255),B154:B157))))</f>
      </c>
      <c r="C158" s="88">
        <f>IF(ISNA(INDEX(C154:C157,MAX(MATCH(REPT("z",255),C154:C157)))),"",INDEX(C154:C157,MAX(MATCH(REPT("z",255),C154:C157))))</f>
      </c>
      <c r="D158" s="88">
        <f>IF(ISNA(INDEX(A154:A157,MAX(MATCH(REPT("z",255),A154:A157)))),"",INDEX(A154:A157,MAX(MATCH(REPT("z",255),A154:A157))))</f>
      </c>
      <c r="E158" s="86"/>
      <c r="F158" s="86"/>
      <c r="G158" s="87"/>
      <c r="H158" s="87"/>
      <c r="I158" s="87"/>
      <c r="J158" s="77">
        <f ref="J158:J158" t="array">SUM(IF(NOT(ISBLANK($B153:$B157)),J153:J157,""))</f>
      </c>
      <c r="K158" s="77">
        <f ref="K158:K158" t="array">SUM(IF(NOT(ISBLANK($B153:$B157)),K153:K157,""))</f>
      </c>
      <c r="L158" s="77">
        <f ref="L158:L158" t="array">SUM(IF(NOT(ISBLANK($B153:$B157)),L153:L157,""))</f>
      </c>
      <c r="M158" s="77">
        <f ref="M158:M158" t="array">SUM(IF(NOT(ISBLANK($B153:$B157)),M153:M157,""))</f>
      </c>
      <c r="N158" s="77">
        <f ref="N158:N158" t="array">SUM(IF(NOT(ISBLANK($B153:$B157)),N153:N157,""))</f>
      </c>
      <c r="O158" s="77">
        <f ref="O158:O158" t="array">SUM(IF(NOT(ISBLANK($B153:$B157)),O153:O157,""))</f>
      </c>
      <c r="P158" s="78"/>
      <c r="Q158" s="77">
        <f ref="Q158:Q158" t="array">SUM(IF(NOT(ISBLANK($B153:$B157)),Q153:Q157,""))</f>
      </c>
      <c r="R158" s="77">
        <f ref="R158:R158" t="array">SUM(IF(NOT(ISBLANK($B153:$B157)),R153:R157,""))</f>
      </c>
      <c r="S158" s="78"/>
      <c r="T158" s="78"/>
      <c r="U158" s="77">
        <f ref="U158:U158" t="array">SUM(IF(NOT(ISBLANK($B153:$B157)),U153:U157,""))</f>
      </c>
      <c r="V158" s="77">
        <f ref="V158:V158" t="array">SUM(IF(NOT(ISBLANK($B153:$B157)),V153:V157,""))</f>
      </c>
      <c r="W158" s="77">
        <f ref="W158:W158" t="array">SUM(IF(NOT(ISBLANK($B153:$B157)),W153:W157,""))</f>
      </c>
      <c r="X158" s="78"/>
      <c r="Y158" s="77">
        <f ref="Y158:Y158" t="array">SUM(IF(NOT(ISBLANK($B153:$B157)),Y153:Y157,""))</f>
      </c>
      <c r="Z158" s="77">
        <f ref="Z158:Z158" t="array">SUM(IF(NOT(ISBLANK($B153:$B157)),Z153:Z157,""))</f>
      </c>
      <c r="AA158" s="78"/>
      <c r="AB158" s="77">
        <f ref="AB158:AB158" t="array">SUM(IF(NOT(ISBLANK($B153:$B157)),AB153:AB157,""))</f>
      </c>
      <c r="AC158" s="77">
        <f ref="AC158:AC158" t="array">SUM(IF(NOT(ISBLANK($B153:$B157)),AC153:AC157,""))</f>
      </c>
      <c r="AD158" s="78"/>
      <c r="AE158" s="78"/>
      <c r="AF158" s="79"/>
      <c r="AG158" s="80">
        <v>1</v>
      </c>
    </row>
    <row r="159" ht="0" hidden="1">
      <c r="A159" s="51"/>
      <c r="B159" s="52"/>
      <c r="C159" s="52"/>
      <c r="D159" s="81"/>
      <c r="E159" s="81"/>
      <c r="F159" s="81"/>
      <c r="G159" s="82"/>
      <c r="H159" s="82"/>
      <c r="I159" s="82"/>
      <c r="J159" s="54"/>
      <c r="K159" s="55"/>
      <c r="L159" s="55"/>
      <c r="M159" s="55"/>
      <c r="N159" s="54"/>
      <c r="O159" s="56"/>
      <c r="P159" s="83"/>
      <c r="Q159" s="58"/>
      <c r="R159" s="54"/>
      <c r="S159" s="83"/>
      <c r="T159" s="83"/>
      <c r="U159" s="54"/>
      <c r="V159" s="54"/>
      <c r="W159" s="54"/>
      <c r="X159" s="83"/>
      <c r="Y159" s="54"/>
      <c r="Z159" s="54"/>
      <c r="AA159" s="83"/>
      <c r="AB159" s="54"/>
      <c r="AC159" s="54"/>
      <c r="AD159" s="83"/>
      <c r="AE159" s="83"/>
      <c r="AF159" s="84"/>
      <c r="AG159" s="39"/>
    </row>
    <row r="160">
      <c r="A160" s="61"/>
      <c r="B160" s="62"/>
      <c r="C160" s="62"/>
      <c r="D160" s="63"/>
      <c r="E160" s="63"/>
      <c r="F160" s="63"/>
      <c r="G160" s="64"/>
      <c r="H160" s="64"/>
      <c r="I160" s="64"/>
      <c r="J160" s="65"/>
      <c r="K160" s="55"/>
      <c r="L160" s="55"/>
      <c r="M160" s="55"/>
      <c r="N160" s="65"/>
      <c r="O160" s="66"/>
      <c r="P160" s="57"/>
      <c r="Q160" s="67"/>
      <c r="R160" s="65"/>
      <c r="S160" s="57"/>
      <c r="T160" s="57"/>
      <c r="U160" s="65"/>
      <c r="V160" s="65"/>
      <c r="W160" s="65"/>
      <c r="X160" s="57"/>
      <c r="Y160" s="65"/>
      <c r="Z160" s="65"/>
      <c r="AA160" s="57"/>
      <c r="AB160" s="65"/>
      <c r="AC160" s="65"/>
      <c r="AD160" s="57"/>
      <c r="AE160" s="57"/>
      <c r="AF160" s="68"/>
      <c r="AG160" s="39"/>
    </row>
    <row r="161">
      <c r="A161" s="61"/>
      <c r="B161" s="62"/>
      <c r="C161" s="62"/>
      <c r="D161" s="63"/>
      <c r="E161" s="63"/>
      <c r="F161" s="63"/>
      <c r="G161" s="64"/>
      <c r="H161" s="64"/>
      <c r="I161" s="64"/>
      <c r="J161" s="65"/>
      <c r="K161" s="55"/>
      <c r="L161" s="55"/>
      <c r="M161" s="55"/>
      <c r="N161" s="65"/>
      <c r="O161" s="66"/>
      <c r="P161" s="57"/>
      <c r="Q161" s="67"/>
      <c r="R161" s="65"/>
      <c r="S161" s="57"/>
      <c r="T161" s="57"/>
      <c r="U161" s="65"/>
      <c r="V161" s="65"/>
      <c r="W161" s="65"/>
      <c r="X161" s="57"/>
      <c r="Y161" s="65"/>
      <c r="Z161" s="65"/>
      <c r="AA161" s="57"/>
      <c r="AB161" s="65"/>
      <c r="AC161" s="65"/>
      <c r="AD161" s="57"/>
      <c r="AE161" s="57"/>
      <c r="AF161" s="68"/>
      <c r="AG161" s="39"/>
    </row>
    <row r="162">
      <c r="A162" s="73"/>
      <c r="B162" s="74"/>
      <c r="C162" s="74"/>
      <c r="D162" s="75"/>
      <c r="E162" s="75"/>
      <c r="F162" s="75"/>
      <c r="G162" s="76"/>
      <c r="H162" s="76"/>
      <c r="I162" s="76"/>
      <c r="J162" s="55"/>
      <c r="K162" s="55"/>
      <c r="L162" s="55"/>
      <c r="M162" s="55"/>
      <c r="N162" s="55"/>
      <c r="O162" s="69"/>
      <c r="P162" s="70"/>
      <c r="Q162" s="71"/>
      <c r="R162" s="55"/>
      <c r="S162" s="70"/>
      <c r="T162" s="70"/>
      <c r="U162" s="55"/>
      <c r="V162" s="55"/>
      <c r="W162" s="55"/>
      <c r="X162" s="70"/>
      <c r="Y162" s="55"/>
      <c r="Z162" s="55"/>
      <c r="AA162" s="70"/>
      <c r="AB162" s="55"/>
      <c r="AC162" s="55"/>
      <c r="AD162" s="70"/>
      <c r="AE162" s="70"/>
      <c r="AF162" s="72"/>
      <c r="AG162" s="39"/>
    </row>
    <row r="163">
      <c r="A163" s="73"/>
      <c r="B163" s="74"/>
      <c r="C163" s="74"/>
      <c r="D163" s="75"/>
      <c r="E163" s="75"/>
      <c r="F163" s="75"/>
      <c r="G163" s="76"/>
      <c r="H163" s="76"/>
      <c r="I163" s="76"/>
      <c r="J163" s="55"/>
      <c r="K163" s="55"/>
      <c r="L163" s="55"/>
      <c r="M163" s="55"/>
      <c r="N163" s="55"/>
      <c r="O163" s="69"/>
      <c r="P163" s="70"/>
      <c r="Q163" s="71"/>
      <c r="R163" s="55"/>
      <c r="S163" s="70"/>
      <c r="T163" s="70"/>
      <c r="U163" s="55"/>
      <c r="V163" s="55"/>
      <c r="W163" s="55"/>
      <c r="X163" s="70"/>
      <c r="Y163" s="55"/>
      <c r="Z163" s="55"/>
      <c r="AA163" s="70"/>
      <c r="AB163" s="55"/>
      <c r="AC163" s="55"/>
      <c r="AD163" s="70"/>
      <c r="AE163" s="70"/>
      <c r="AF163" s="72"/>
      <c r="AG163" s="39"/>
    </row>
    <row r="164">
      <c r="A164" s="85">
        <f>IF(COUNTA(M160:M163)=0,"",IF(COUNTA(F160:F163)=0,IF(COUNTA(D160:D163)=0,"Totals - Final","Totals - Estimated"),"Totals - Corrected"))</f>
      </c>
      <c r="B164" s="88">
        <f>IF(ISNA(INDEX(B160:B163,MAX(MATCH(REPT("z",255),B160:B163)))),"",INDEX(B160:B163,MAX(MATCH(REPT("z",255),B160:B163))))</f>
      </c>
      <c r="C164" s="88">
        <f>IF(ISNA(INDEX(C160:C163,MAX(MATCH(REPT("z",255),C160:C163)))),"",INDEX(C160:C163,MAX(MATCH(REPT("z",255),C160:C163))))</f>
      </c>
      <c r="D164" s="88">
        <f>IF(ISNA(INDEX(A160:A163,MAX(MATCH(REPT("z",255),A160:A163)))),"",INDEX(A160:A163,MAX(MATCH(REPT("z",255),A160:A163))))</f>
      </c>
      <c r="E164" s="86"/>
      <c r="F164" s="86"/>
      <c r="G164" s="87"/>
      <c r="H164" s="87"/>
      <c r="I164" s="87"/>
      <c r="J164" s="77">
        <f ref="J164:J164" t="array">SUM(IF(NOT(ISBLANK($B159:$B163)),J159:J163,""))</f>
      </c>
      <c r="K164" s="77">
        <f ref="K164:K164" t="array">SUM(IF(NOT(ISBLANK($B159:$B163)),K159:K163,""))</f>
      </c>
      <c r="L164" s="77">
        <f ref="L164:L164" t="array">SUM(IF(NOT(ISBLANK($B159:$B163)),L159:L163,""))</f>
      </c>
      <c r="M164" s="77">
        <f ref="M164:M164" t="array">SUM(IF(NOT(ISBLANK($B159:$B163)),M159:M163,""))</f>
      </c>
      <c r="N164" s="77">
        <f ref="N164:N164" t="array">SUM(IF(NOT(ISBLANK($B159:$B163)),N159:N163,""))</f>
      </c>
      <c r="O164" s="77">
        <f ref="O164:O164" t="array">SUM(IF(NOT(ISBLANK($B159:$B163)),O159:O163,""))</f>
      </c>
      <c r="P164" s="78"/>
      <c r="Q164" s="77">
        <f ref="Q164:Q164" t="array">SUM(IF(NOT(ISBLANK($B159:$B163)),Q159:Q163,""))</f>
      </c>
      <c r="R164" s="77">
        <f ref="R164:R164" t="array">SUM(IF(NOT(ISBLANK($B159:$B163)),R159:R163,""))</f>
      </c>
      <c r="S164" s="78"/>
      <c r="T164" s="78"/>
      <c r="U164" s="77">
        <f ref="U164:U164" t="array">SUM(IF(NOT(ISBLANK($B159:$B163)),U159:U163,""))</f>
      </c>
      <c r="V164" s="77">
        <f ref="V164:V164" t="array">SUM(IF(NOT(ISBLANK($B159:$B163)),V159:V163,""))</f>
      </c>
      <c r="W164" s="77">
        <f ref="W164:W164" t="array">SUM(IF(NOT(ISBLANK($B159:$B163)),W159:W163,""))</f>
      </c>
      <c r="X164" s="78"/>
      <c r="Y164" s="77">
        <f ref="Y164:Y164" t="array">SUM(IF(NOT(ISBLANK($B159:$B163)),Y159:Y163,""))</f>
      </c>
      <c r="Z164" s="77">
        <f ref="Z164:Z164" t="array">SUM(IF(NOT(ISBLANK($B159:$B163)),Z159:Z163,""))</f>
      </c>
      <c r="AA164" s="78"/>
      <c r="AB164" s="77">
        <f ref="AB164:AB164" t="array">SUM(IF(NOT(ISBLANK($B159:$B163)),AB159:AB163,""))</f>
      </c>
      <c r="AC164" s="77">
        <f ref="AC164:AC164" t="array">SUM(IF(NOT(ISBLANK($B159:$B163)),AC159:AC163,""))</f>
      </c>
      <c r="AD164" s="78"/>
      <c r="AE164" s="78"/>
      <c r="AF164" s="79"/>
      <c r="AG164" s="80">
        <v>1</v>
      </c>
    </row>
    <row r="165" ht="0" hidden="1">
      <c r="A165" s="51"/>
      <c r="B165" s="52"/>
      <c r="C165" s="52"/>
      <c r="D165" s="81"/>
      <c r="E165" s="81"/>
      <c r="F165" s="81"/>
      <c r="G165" s="82"/>
      <c r="H165" s="82"/>
      <c r="I165" s="82"/>
      <c r="J165" s="54"/>
      <c r="K165" s="55"/>
      <c r="L165" s="55"/>
      <c r="M165" s="55"/>
      <c r="N165" s="54"/>
      <c r="O165" s="56"/>
      <c r="P165" s="83"/>
      <c r="Q165" s="58"/>
      <c r="R165" s="54"/>
      <c r="S165" s="83"/>
      <c r="T165" s="83"/>
      <c r="U165" s="54"/>
      <c r="V165" s="54"/>
      <c r="W165" s="54"/>
      <c r="X165" s="83"/>
      <c r="Y165" s="54"/>
      <c r="Z165" s="54"/>
      <c r="AA165" s="83"/>
      <c r="AB165" s="54"/>
      <c r="AC165" s="54"/>
      <c r="AD165" s="83"/>
      <c r="AE165" s="83"/>
      <c r="AF165" s="84"/>
      <c r="AG165" s="39"/>
    </row>
    <row r="166">
      <c r="A166" s="61"/>
      <c r="B166" s="62"/>
      <c r="C166" s="62"/>
      <c r="D166" s="63"/>
      <c r="E166" s="63"/>
      <c r="F166" s="63"/>
      <c r="G166" s="64"/>
      <c r="H166" s="64"/>
      <c r="I166" s="64"/>
      <c r="J166" s="65"/>
      <c r="K166" s="55"/>
      <c r="L166" s="55"/>
      <c r="M166" s="55"/>
      <c r="N166" s="65"/>
      <c r="O166" s="66"/>
      <c r="P166" s="57"/>
      <c r="Q166" s="67"/>
      <c r="R166" s="65"/>
      <c r="S166" s="57"/>
      <c r="T166" s="57"/>
      <c r="U166" s="65"/>
      <c r="V166" s="65"/>
      <c r="W166" s="65"/>
      <c r="X166" s="57"/>
      <c r="Y166" s="65"/>
      <c r="Z166" s="65"/>
      <c r="AA166" s="57"/>
      <c r="AB166" s="65"/>
      <c r="AC166" s="65"/>
      <c r="AD166" s="57"/>
      <c r="AE166" s="57"/>
      <c r="AF166" s="68"/>
      <c r="AG166" s="39"/>
    </row>
    <row r="167">
      <c r="A167" s="61"/>
      <c r="B167" s="62"/>
      <c r="C167" s="62"/>
      <c r="D167" s="63"/>
      <c r="E167" s="63"/>
      <c r="F167" s="63"/>
      <c r="G167" s="64"/>
      <c r="H167" s="64"/>
      <c r="I167" s="64"/>
      <c r="J167" s="65"/>
      <c r="K167" s="55"/>
      <c r="L167" s="55"/>
      <c r="M167" s="55"/>
      <c r="N167" s="65"/>
      <c r="O167" s="66"/>
      <c r="P167" s="57"/>
      <c r="Q167" s="67"/>
      <c r="R167" s="65"/>
      <c r="S167" s="57"/>
      <c r="T167" s="57"/>
      <c r="U167" s="65"/>
      <c r="V167" s="65"/>
      <c r="W167" s="65"/>
      <c r="X167" s="57"/>
      <c r="Y167" s="65"/>
      <c r="Z167" s="65"/>
      <c r="AA167" s="57"/>
      <c r="AB167" s="65"/>
      <c r="AC167" s="65"/>
      <c r="AD167" s="57"/>
      <c r="AE167" s="57"/>
      <c r="AF167" s="68"/>
      <c r="AG167" s="39"/>
    </row>
    <row r="168">
      <c r="A168" s="73"/>
      <c r="B168" s="74"/>
      <c r="C168" s="74"/>
      <c r="D168" s="75"/>
      <c r="E168" s="75"/>
      <c r="F168" s="75"/>
      <c r="G168" s="76"/>
      <c r="H168" s="76"/>
      <c r="I168" s="76"/>
      <c r="J168" s="55"/>
      <c r="K168" s="55"/>
      <c r="L168" s="55"/>
      <c r="M168" s="55"/>
      <c r="N168" s="55"/>
      <c r="O168" s="69"/>
      <c r="P168" s="70"/>
      <c r="Q168" s="71"/>
      <c r="R168" s="55"/>
      <c r="S168" s="70"/>
      <c r="T168" s="70"/>
      <c r="U168" s="55"/>
      <c r="V168" s="55"/>
      <c r="W168" s="55"/>
      <c r="X168" s="70"/>
      <c r="Y168" s="55"/>
      <c r="Z168" s="55"/>
      <c r="AA168" s="70"/>
      <c r="AB168" s="55"/>
      <c r="AC168" s="55"/>
      <c r="AD168" s="70"/>
      <c r="AE168" s="70"/>
      <c r="AF168" s="72"/>
      <c r="AG168" s="39"/>
    </row>
    <row r="169">
      <c r="A169" s="73"/>
      <c r="B169" s="74"/>
      <c r="C169" s="74"/>
      <c r="D169" s="75"/>
      <c r="E169" s="75"/>
      <c r="F169" s="75"/>
      <c r="G169" s="76"/>
      <c r="H169" s="76"/>
      <c r="I169" s="76"/>
      <c r="J169" s="55"/>
      <c r="K169" s="55"/>
      <c r="L169" s="55"/>
      <c r="M169" s="55"/>
      <c r="N169" s="55"/>
      <c r="O169" s="69"/>
      <c r="P169" s="70"/>
      <c r="Q169" s="71"/>
      <c r="R169" s="55"/>
      <c r="S169" s="70"/>
      <c r="T169" s="70"/>
      <c r="U169" s="55"/>
      <c r="V169" s="55"/>
      <c r="W169" s="55"/>
      <c r="X169" s="70"/>
      <c r="Y169" s="55"/>
      <c r="Z169" s="55"/>
      <c r="AA169" s="70"/>
      <c r="AB169" s="55"/>
      <c r="AC169" s="55"/>
      <c r="AD169" s="70"/>
      <c r="AE169" s="70"/>
      <c r="AF169" s="72"/>
      <c r="AG169" s="39"/>
    </row>
    <row r="170">
      <c r="A170" s="85">
        <f>IF(COUNTA(M166:M169)=0,"",IF(COUNTA(F166:F169)=0,IF(COUNTA(D166:D169)=0,"Totals - Final","Totals - Estimated"),"Totals - Corrected"))</f>
      </c>
      <c r="B170" s="88">
        <f>IF(ISNA(INDEX(B166:B169,MAX(MATCH(REPT("z",255),B166:B169)))),"",INDEX(B166:B169,MAX(MATCH(REPT("z",255),B166:B169))))</f>
      </c>
      <c r="C170" s="88">
        <f>IF(ISNA(INDEX(C166:C169,MAX(MATCH(REPT("z",255),C166:C169)))),"",INDEX(C166:C169,MAX(MATCH(REPT("z",255),C166:C169))))</f>
      </c>
      <c r="D170" s="88">
        <f>IF(ISNA(INDEX(A166:A169,MAX(MATCH(REPT("z",255),A166:A169)))),"",INDEX(A166:A169,MAX(MATCH(REPT("z",255),A166:A169))))</f>
      </c>
      <c r="E170" s="86"/>
      <c r="F170" s="86"/>
      <c r="G170" s="87"/>
      <c r="H170" s="87"/>
      <c r="I170" s="87"/>
      <c r="J170" s="77">
        <f ref="J170:J170" t="array">SUM(IF(NOT(ISBLANK($B165:$B169)),J165:J169,""))</f>
      </c>
      <c r="K170" s="77">
        <f ref="K170:K170" t="array">SUM(IF(NOT(ISBLANK($B165:$B169)),K165:K169,""))</f>
      </c>
      <c r="L170" s="77">
        <f ref="L170:L170" t="array">SUM(IF(NOT(ISBLANK($B165:$B169)),L165:L169,""))</f>
      </c>
      <c r="M170" s="77">
        <f ref="M170:M170" t="array">SUM(IF(NOT(ISBLANK($B165:$B169)),M165:M169,""))</f>
      </c>
      <c r="N170" s="77">
        <f ref="N170:N170" t="array">SUM(IF(NOT(ISBLANK($B165:$B169)),N165:N169,""))</f>
      </c>
      <c r="O170" s="77">
        <f ref="O170:O170" t="array">SUM(IF(NOT(ISBLANK($B165:$B169)),O165:O169,""))</f>
      </c>
      <c r="P170" s="78"/>
      <c r="Q170" s="77">
        <f ref="Q170:Q170" t="array">SUM(IF(NOT(ISBLANK($B165:$B169)),Q165:Q169,""))</f>
      </c>
      <c r="R170" s="77">
        <f ref="R170:R170" t="array">SUM(IF(NOT(ISBLANK($B165:$B169)),R165:R169,""))</f>
      </c>
      <c r="S170" s="78"/>
      <c r="T170" s="78"/>
      <c r="U170" s="77">
        <f ref="U170:U170" t="array">SUM(IF(NOT(ISBLANK($B165:$B169)),U165:U169,""))</f>
      </c>
      <c r="V170" s="77">
        <f ref="V170:V170" t="array">SUM(IF(NOT(ISBLANK($B165:$B169)),V165:V169,""))</f>
      </c>
      <c r="W170" s="77">
        <f ref="W170:W170" t="array">SUM(IF(NOT(ISBLANK($B165:$B169)),W165:W169,""))</f>
      </c>
      <c r="X170" s="78"/>
      <c r="Y170" s="77">
        <f ref="Y170:Y170" t="array">SUM(IF(NOT(ISBLANK($B165:$B169)),Y165:Y169,""))</f>
      </c>
      <c r="Z170" s="77">
        <f ref="Z170:Z170" t="array">SUM(IF(NOT(ISBLANK($B165:$B169)),Z165:Z169,""))</f>
      </c>
      <c r="AA170" s="78"/>
      <c r="AB170" s="77">
        <f ref="AB170:AB170" t="array">SUM(IF(NOT(ISBLANK($B165:$B169)),AB165:AB169,""))</f>
      </c>
      <c r="AC170" s="77">
        <f ref="AC170:AC170" t="array">SUM(IF(NOT(ISBLANK($B165:$B169)),AC165:AC169,""))</f>
      </c>
      <c r="AD170" s="78"/>
      <c r="AE170" s="78"/>
      <c r="AF170" s="79"/>
      <c r="AG170" s="80">
        <v>1</v>
      </c>
    </row>
    <row r="171" ht="0" hidden="1">
      <c r="A171" s="51"/>
      <c r="B171" s="52"/>
      <c r="C171" s="52"/>
      <c r="D171" s="81"/>
      <c r="E171" s="81"/>
      <c r="F171" s="81"/>
      <c r="G171" s="82"/>
      <c r="H171" s="82"/>
      <c r="I171" s="82"/>
      <c r="J171" s="54"/>
      <c r="K171" s="55"/>
      <c r="L171" s="55"/>
      <c r="M171" s="55"/>
      <c r="N171" s="54"/>
      <c r="O171" s="56"/>
      <c r="P171" s="83"/>
      <c r="Q171" s="58"/>
      <c r="R171" s="54"/>
      <c r="S171" s="83"/>
      <c r="T171" s="83"/>
      <c r="U171" s="54"/>
      <c r="V171" s="54"/>
      <c r="W171" s="54"/>
      <c r="X171" s="83"/>
      <c r="Y171" s="54"/>
      <c r="Z171" s="54"/>
      <c r="AA171" s="83"/>
      <c r="AB171" s="54"/>
      <c r="AC171" s="54"/>
      <c r="AD171" s="83"/>
      <c r="AE171" s="83"/>
      <c r="AF171" s="84"/>
      <c r="AG171" s="39"/>
    </row>
    <row r="172">
      <c r="A172" s="61"/>
      <c r="B172" s="62"/>
      <c r="C172" s="62"/>
      <c r="D172" s="63"/>
      <c r="E172" s="63"/>
      <c r="F172" s="63"/>
      <c r="G172" s="64"/>
      <c r="H172" s="64"/>
      <c r="I172" s="64"/>
      <c r="J172" s="65"/>
      <c r="K172" s="55"/>
      <c r="L172" s="55"/>
      <c r="M172" s="55"/>
      <c r="N172" s="65"/>
      <c r="O172" s="66"/>
      <c r="P172" s="57"/>
      <c r="Q172" s="67"/>
      <c r="R172" s="65"/>
      <c r="S172" s="57"/>
      <c r="T172" s="57"/>
      <c r="U172" s="65"/>
      <c r="V172" s="65"/>
      <c r="W172" s="65"/>
      <c r="X172" s="57"/>
      <c r="Y172" s="65"/>
      <c r="Z172" s="65"/>
      <c r="AA172" s="57"/>
      <c r="AB172" s="65"/>
      <c r="AC172" s="65"/>
      <c r="AD172" s="57"/>
      <c r="AE172" s="57"/>
      <c r="AF172" s="68"/>
      <c r="AG172" s="39"/>
    </row>
    <row r="173">
      <c r="A173" s="61"/>
      <c r="B173" s="62"/>
      <c r="C173" s="62"/>
      <c r="D173" s="63"/>
      <c r="E173" s="63"/>
      <c r="F173" s="63"/>
      <c r="G173" s="64"/>
      <c r="H173" s="64"/>
      <c r="I173" s="64"/>
      <c r="J173" s="65"/>
      <c r="K173" s="55"/>
      <c r="L173" s="55"/>
      <c r="M173" s="55"/>
      <c r="N173" s="65"/>
      <c r="O173" s="66"/>
      <c r="P173" s="57"/>
      <c r="Q173" s="67"/>
      <c r="R173" s="65"/>
      <c r="S173" s="57"/>
      <c r="T173" s="57"/>
      <c r="U173" s="65"/>
      <c r="V173" s="65"/>
      <c r="W173" s="65"/>
      <c r="X173" s="57"/>
      <c r="Y173" s="65"/>
      <c r="Z173" s="65"/>
      <c r="AA173" s="57"/>
      <c r="AB173" s="65"/>
      <c r="AC173" s="65"/>
      <c r="AD173" s="57"/>
      <c r="AE173" s="57"/>
      <c r="AF173" s="68"/>
      <c r="AG173" s="39"/>
    </row>
    <row r="174">
      <c r="A174" s="73"/>
      <c r="B174" s="74"/>
      <c r="C174" s="74"/>
      <c r="D174" s="75"/>
      <c r="E174" s="75"/>
      <c r="F174" s="75"/>
      <c r="G174" s="76"/>
      <c r="H174" s="76"/>
      <c r="I174" s="76"/>
      <c r="J174" s="55"/>
      <c r="K174" s="55"/>
      <c r="L174" s="55"/>
      <c r="M174" s="55"/>
      <c r="N174" s="55"/>
      <c r="O174" s="69"/>
      <c r="P174" s="70"/>
      <c r="Q174" s="71"/>
      <c r="R174" s="55"/>
      <c r="S174" s="70"/>
      <c r="T174" s="70"/>
      <c r="U174" s="55"/>
      <c r="V174" s="55"/>
      <c r="W174" s="55"/>
      <c r="X174" s="70"/>
      <c r="Y174" s="55"/>
      <c r="Z174" s="55"/>
      <c r="AA174" s="70"/>
      <c r="AB174" s="55"/>
      <c r="AC174" s="55"/>
      <c r="AD174" s="70"/>
      <c r="AE174" s="70"/>
      <c r="AF174" s="72"/>
      <c r="AG174" s="39"/>
    </row>
    <row r="175">
      <c r="A175" s="73"/>
      <c r="B175" s="74"/>
      <c r="C175" s="74"/>
      <c r="D175" s="75"/>
      <c r="E175" s="75"/>
      <c r="F175" s="75"/>
      <c r="G175" s="76"/>
      <c r="H175" s="76"/>
      <c r="I175" s="76"/>
      <c r="J175" s="55"/>
      <c r="K175" s="55"/>
      <c r="L175" s="55"/>
      <c r="M175" s="55"/>
      <c r="N175" s="55"/>
      <c r="O175" s="69"/>
      <c r="P175" s="70"/>
      <c r="Q175" s="71"/>
      <c r="R175" s="55"/>
      <c r="S175" s="70"/>
      <c r="T175" s="70"/>
      <c r="U175" s="55"/>
      <c r="V175" s="55"/>
      <c r="W175" s="55"/>
      <c r="X175" s="70"/>
      <c r="Y175" s="55"/>
      <c r="Z175" s="55"/>
      <c r="AA175" s="70"/>
      <c r="AB175" s="55"/>
      <c r="AC175" s="55"/>
      <c r="AD175" s="70"/>
      <c r="AE175" s="70"/>
      <c r="AF175" s="72"/>
      <c r="AG175" s="39"/>
    </row>
    <row r="176">
      <c r="A176" s="85">
        <f>IF(COUNTA(M172:M175)=0,"",IF(COUNTA(F172:F175)=0,IF(COUNTA(D172:D175)=0,"Totals - Final","Totals - Estimated"),"Totals - Corrected"))</f>
      </c>
      <c r="B176" s="88">
        <f>IF(ISNA(INDEX(B172:B175,MAX(MATCH(REPT("z",255),B172:B175)))),"",INDEX(B172:B175,MAX(MATCH(REPT("z",255),B172:B175))))</f>
      </c>
      <c r="C176" s="88">
        <f>IF(ISNA(INDEX(C172:C175,MAX(MATCH(REPT("z",255),C172:C175)))),"",INDEX(C172:C175,MAX(MATCH(REPT("z",255),C172:C175))))</f>
      </c>
      <c r="D176" s="88">
        <f>IF(ISNA(INDEX(A172:A175,MAX(MATCH(REPT("z",255),A172:A175)))),"",INDEX(A172:A175,MAX(MATCH(REPT("z",255),A172:A175))))</f>
      </c>
      <c r="E176" s="86"/>
      <c r="F176" s="86"/>
      <c r="G176" s="87"/>
      <c r="H176" s="87"/>
      <c r="I176" s="87"/>
      <c r="J176" s="77">
        <f ref="J176:J176" t="array">SUM(IF(NOT(ISBLANK($B171:$B175)),J171:J175,""))</f>
      </c>
      <c r="K176" s="77">
        <f ref="K176:K176" t="array">SUM(IF(NOT(ISBLANK($B171:$B175)),K171:K175,""))</f>
      </c>
      <c r="L176" s="77">
        <f ref="L176:L176" t="array">SUM(IF(NOT(ISBLANK($B171:$B175)),L171:L175,""))</f>
      </c>
      <c r="M176" s="77">
        <f ref="M176:M176" t="array">SUM(IF(NOT(ISBLANK($B171:$B175)),M171:M175,""))</f>
      </c>
      <c r="N176" s="77">
        <f ref="N176:N176" t="array">SUM(IF(NOT(ISBLANK($B171:$B175)),N171:N175,""))</f>
      </c>
      <c r="O176" s="77">
        <f ref="O176:O176" t="array">SUM(IF(NOT(ISBLANK($B171:$B175)),O171:O175,""))</f>
      </c>
      <c r="P176" s="78"/>
      <c r="Q176" s="77">
        <f ref="Q176:Q176" t="array">SUM(IF(NOT(ISBLANK($B171:$B175)),Q171:Q175,""))</f>
      </c>
      <c r="R176" s="77">
        <f ref="R176:R176" t="array">SUM(IF(NOT(ISBLANK($B171:$B175)),R171:R175,""))</f>
      </c>
      <c r="S176" s="78"/>
      <c r="T176" s="78"/>
      <c r="U176" s="77">
        <f ref="U176:U176" t="array">SUM(IF(NOT(ISBLANK($B171:$B175)),U171:U175,""))</f>
      </c>
      <c r="V176" s="77">
        <f ref="V176:V176" t="array">SUM(IF(NOT(ISBLANK($B171:$B175)),V171:V175,""))</f>
      </c>
      <c r="W176" s="77">
        <f ref="W176:W176" t="array">SUM(IF(NOT(ISBLANK($B171:$B175)),W171:W175,""))</f>
      </c>
      <c r="X176" s="78"/>
      <c r="Y176" s="77">
        <f ref="Y176:Y176" t="array">SUM(IF(NOT(ISBLANK($B171:$B175)),Y171:Y175,""))</f>
      </c>
      <c r="Z176" s="77">
        <f ref="Z176:Z176" t="array">SUM(IF(NOT(ISBLANK($B171:$B175)),Z171:Z175,""))</f>
      </c>
      <c r="AA176" s="78"/>
      <c r="AB176" s="77">
        <f ref="AB176:AB176" t="array">SUM(IF(NOT(ISBLANK($B171:$B175)),AB171:AB175,""))</f>
      </c>
      <c r="AC176" s="77">
        <f ref="AC176:AC176" t="array">SUM(IF(NOT(ISBLANK($B171:$B175)),AC171:AC175,""))</f>
      </c>
      <c r="AD176" s="78"/>
      <c r="AE176" s="78"/>
      <c r="AF176" s="79"/>
      <c r="AG176" s="80">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Sheila Fash</cp:lastModifiedBy>
  <dcterms:created xsi:type="dcterms:W3CDTF">2012-11-27T14:14:45Z</dcterms:created>
  <dcterms:modified xsi:type="dcterms:W3CDTF">2013-01-29T13:48:15Z</dcterms:modified>
</cp:coreProperties>
</file>