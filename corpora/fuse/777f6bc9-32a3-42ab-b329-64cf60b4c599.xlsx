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8615" windowHeight="11475"/>
  </bookViews>
  <sheets>
    <sheet name="Aprobados Bluefields" sheetId="5" r:id="rId1"/>
    <sheet name="Aprobados Boaco" sheetId="6" r:id="rId2"/>
    <sheet name="Aprobados Chontales" sheetId="7" r:id="rId3"/>
    <sheet name="Aprobados RAAN" sheetId="8" r:id="rId4"/>
  </sheets>
  <definedNames>
    <definedName name="_xlnm.Print_Area" localSheetId="0">'Aprobados Bluefields'!$A$1:$P$84</definedName>
    <definedName name="_xlnm.Print_Area" localSheetId="1">'Aprobados Boaco'!$A$1:$P$64</definedName>
    <definedName name="_xlnm.Print_Area" localSheetId="2">'Aprobados Chontales'!$A$1:$P$80</definedName>
    <definedName name="_xlnm.Print_Area" localSheetId="3">'Aprobados RAAN'!$A$1:$P$44</definedName>
  </definedNames>
  <calcPr calcId="124519"/>
</workbook>
</file>

<file path=xl/calcChain.xml><?xml version="1.0" encoding="utf-8"?>
<calcChain xmlns="http://schemas.openxmlformats.org/spreadsheetml/2006/main">
  <c r="O44" i="8"/>
  <c r="P44"/>
  <c r="N44"/>
  <c r="O80" i="7"/>
  <c r="P80"/>
  <c r="N80"/>
  <c r="O64" i="6"/>
  <c r="P64"/>
  <c r="N64"/>
  <c r="O83" i="5"/>
  <c r="P83"/>
  <c r="N83"/>
</calcChain>
</file>

<file path=xl/comments1.xml><?xml version="1.0" encoding="utf-8"?>
<comments xmlns="http://schemas.openxmlformats.org/spreadsheetml/2006/main">
  <authors>
    <author>lalegria</author>
  </authors>
  <commentList>
    <comment ref="B32" authorId="0">
      <text>
        <r>
          <rPr>
            <b/>
            <sz val="9"/>
            <color indexed="81"/>
            <rFont val="Tahoma"/>
            <family val="2"/>
          </rPr>
          <t>lalegria:</t>
        </r>
        <r>
          <rPr>
            <sz val="9"/>
            <color indexed="81"/>
            <rFont val="Tahoma"/>
            <family val="2"/>
          </rPr>
          <t xml:space="preserve">
OJO CON ESTE CODIGO CON EL MES DE APROBACION 
</t>
        </r>
      </text>
    </comment>
  </commentList>
</comments>
</file>

<file path=xl/sharedStrings.xml><?xml version="1.0" encoding="utf-8"?>
<sst xmlns="http://schemas.openxmlformats.org/spreadsheetml/2006/main" count="1734" uniqueCount="766">
  <si>
    <t xml:space="preserve">CÓDIGO </t>
  </si>
  <si>
    <t xml:space="preserve">NOMBRE DEL BENEFICIARIO </t>
  </si>
  <si>
    <t>NOMBRE DE LA MIPYME</t>
  </si>
  <si>
    <t xml:space="preserve">RAMA PRODUCTIVA </t>
  </si>
  <si>
    <t xml:space="preserve">DEPARTAMENTO </t>
  </si>
  <si>
    <t xml:space="preserve">MICRO </t>
  </si>
  <si>
    <t xml:space="preserve">PEQUEÑA </t>
  </si>
  <si>
    <t xml:space="preserve">COOPERATIVA </t>
  </si>
  <si>
    <t xml:space="preserve">HOMBRE </t>
  </si>
  <si>
    <t xml:space="preserve">MUJER </t>
  </si>
  <si>
    <t xml:space="preserve">FECHA DE APROBACIÓN </t>
  </si>
  <si>
    <t xml:space="preserve">APORTE DEL GOBIERNO </t>
  </si>
  <si>
    <t xml:space="preserve">APORTE DEL EMPRESARIO </t>
  </si>
  <si>
    <t xml:space="preserve">MONTO TOTAL </t>
  </si>
  <si>
    <t>MM-02-1011-212</t>
  </si>
  <si>
    <t xml:space="preserve">FRANCISCO JAVIER JAIME </t>
  </si>
  <si>
    <t xml:space="preserve">TALLER DE CARPINTERÍA FRANCISCO JAYME </t>
  </si>
  <si>
    <t xml:space="preserve">MADERA MUEBLE </t>
  </si>
  <si>
    <t xml:space="preserve">CHONTALES </t>
  </si>
  <si>
    <t>AI-02-1011-196</t>
  </si>
  <si>
    <t xml:space="preserve">CLAUDIA AZUCENA LACAYO MORALES </t>
  </si>
  <si>
    <t xml:space="preserve">REPOSTERÍA YULI </t>
  </si>
  <si>
    <t xml:space="preserve">AGROINDUSTRIA </t>
  </si>
  <si>
    <t>AI-02-1011-116</t>
  </si>
  <si>
    <t xml:space="preserve">LILLIETH UNIZER DÍAZ GARCÍA </t>
  </si>
  <si>
    <t xml:space="preserve">REPOSTERÍA LEO </t>
  </si>
  <si>
    <t>AI-02-1011-211</t>
  </si>
  <si>
    <t xml:space="preserve">PILAR DEL CARMEN FONSECA CHAVARRÍA </t>
  </si>
  <si>
    <t xml:space="preserve">REPOSTERÍA FONSECA </t>
  </si>
  <si>
    <t>TV-02-1011-223</t>
  </si>
  <si>
    <t xml:space="preserve">YESSENIA DEL CARMEN MURILLO BLANDÓN </t>
  </si>
  <si>
    <t xml:space="preserve">LA CASA DEL UNIFORME </t>
  </si>
  <si>
    <t xml:space="preserve">TEXTIL VESTUARIO </t>
  </si>
  <si>
    <t>TV-02-1111-217</t>
  </si>
  <si>
    <t xml:space="preserve">ANA AURORA MIRANDA BÁEZ </t>
  </si>
  <si>
    <t xml:space="preserve">CREACIONES ANA PATRICIA </t>
  </si>
  <si>
    <t>TV-02-1011-213</t>
  </si>
  <si>
    <t xml:space="preserve">ERMISENDA DEL CARMEN CLRERO DÍAZ </t>
  </si>
  <si>
    <t xml:space="preserve">CASA DE MODA CARMEN </t>
  </si>
  <si>
    <t>TV-02-1011-220</t>
  </si>
  <si>
    <t xml:space="preserve">FÁTIMA DEL SOCORRO CÓRDOBAS SUAZO </t>
  </si>
  <si>
    <t xml:space="preserve">CREACIONES EL MILAGRO </t>
  </si>
  <si>
    <t>TV-02-1111-218</t>
  </si>
  <si>
    <t xml:space="preserve">LIBIA OLIVIA CHAVARRÍA BÁEZ </t>
  </si>
  <si>
    <t xml:space="preserve">CONFECCIONES LIBIA </t>
  </si>
  <si>
    <t>TV-02-1111-221</t>
  </si>
  <si>
    <t xml:space="preserve">MARÍA TERESA RAMÍREZ PÉREZ </t>
  </si>
  <si>
    <t xml:space="preserve">CREACIONES RAMÍREZ </t>
  </si>
  <si>
    <t>AI-02-1011-181</t>
  </si>
  <si>
    <t xml:space="preserve">DORA BARRILLAS AROSTEGUÍ </t>
  </si>
  <si>
    <t xml:space="preserve">REPOSTERÍA DORIS </t>
  </si>
  <si>
    <t>AI-02-1011-182</t>
  </si>
  <si>
    <t xml:space="preserve">ANA SIMONA CAMPOS SOLÍS </t>
  </si>
  <si>
    <t xml:space="preserve">REPOSTERÍA EL BUEN GUSTO </t>
  </si>
  <si>
    <t>AI-02-1011-185</t>
  </si>
  <si>
    <t xml:space="preserve">YINETTE AMBROSIA UGARTE AROSTEGUÍ </t>
  </si>
  <si>
    <t xml:space="preserve">REPOSTERÍA OCÓN </t>
  </si>
  <si>
    <t>TV-02-1011-191</t>
  </si>
  <si>
    <t xml:space="preserve">ESTANISLAA DEL SOCORRO HUETE PÉREZ </t>
  </si>
  <si>
    <t>CC-02-1111-216</t>
  </si>
  <si>
    <t xml:space="preserve">GENARO GABRIEL SEQUEIRA </t>
  </si>
  <si>
    <t xml:space="preserve">CUERO CALZADO </t>
  </si>
  <si>
    <t>TV-02-1011-125</t>
  </si>
  <si>
    <t xml:space="preserve">GERTRUDIS DE JESÚS RIVAS DÁVILA </t>
  </si>
  <si>
    <t>AI-02-1111-226</t>
  </si>
  <si>
    <t xml:space="preserve">MARÍA ELENA CANO </t>
  </si>
  <si>
    <t xml:space="preserve">LÁCTEOS EL SOCORRO </t>
  </si>
  <si>
    <t>AI-02-1111-214</t>
  </si>
  <si>
    <t xml:space="preserve">BYRON ANTONIO FERNÁNDEZ FLORES </t>
  </si>
  <si>
    <t xml:space="preserve">LÁCTEOS GETSEMANÍ </t>
  </si>
  <si>
    <t>AI-02-1011-195</t>
  </si>
  <si>
    <t xml:space="preserve">JUANA MARÍA CASTRO BELLO </t>
  </si>
  <si>
    <t xml:space="preserve">LÁCTEOS JUANITO </t>
  </si>
  <si>
    <t>AI-02-1111-215</t>
  </si>
  <si>
    <t xml:space="preserve">ROGER FROILAN RUÍZ MEJÍA </t>
  </si>
  <si>
    <t xml:space="preserve">LÁCTEOS KEVIN </t>
  </si>
  <si>
    <t>AI-02-1011-227</t>
  </si>
  <si>
    <t xml:space="preserve">LEONARDO ANTONIO RAUDEZ CRUZ </t>
  </si>
  <si>
    <t xml:space="preserve">LÁCTEOS RAUDEZ </t>
  </si>
  <si>
    <t>TV-02-1011-124</t>
  </si>
  <si>
    <t xml:space="preserve">EMÉRITA ONDINA CRUZ CASTILLO </t>
  </si>
  <si>
    <t xml:space="preserve">MODAS ONDINA </t>
  </si>
  <si>
    <t>MM-02-1011-130</t>
  </si>
  <si>
    <t xml:space="preserve">PERFECTO JARQUÍN BERMÚDEZ </t>
  </si>
  <si>
    <t xml:space="preserve">MUEBLERÍA JARQUÍN </t>
  </si>
  <si>
    <t>AI-02-1011-132</t>
  </si>
  <si>
    <t xml:space="preserve">DIJANA DE LA CRUZ BLANDINO </t>
  </si>
  <si>
    <t xml:space="preserve">REPOSTERÍA HOBLAN </t>
  </si>
  <si>
    <t>AI-02-1011-117</t>
  </si>
  <si>
    <t xml:space="preserve">MANUELA OPORTA GARCÍA </t>
  </si>
  <si>
    <t>REPOSTERÍA HOSANNA</t>
  </si>
  <si>
    <t>CC-02-1011-222</t>
  </si>
  <si>
    <t xml:space="preserve">RUFINO ERNESTO TRUJILLO HERRERA </t>
  </si>
  <si>
    <t xml:space="preserve">TALLER GILBERTH </t>
  </si>
  <si>
    <t>CC-02-1111-219</t>
  </si>
  <si>
    <t xml:space="preserve">OLMAN MEJÍA CUNDANO </t>
  </si>
  <si>
    <t xml:space="preserve">TALABARTERÍA MEJÍA </t>
  </si>
  <si>
    <t>TV-02-1011-123</t>
  </si>
  <si>
    <t xml:space="preserve">BERNARDINA DEL CARMEN LAZO </t>
  </si>
  <si>
    <t xml:space="preserve">CREACIONES LAZO SOVALVARRO </t>
  </si>
  <si>
    <t>TV-02-1011-225</t>
  </si>
  <si>
    <t xml:space="preserve">ISIDRA RIVAS RUÍZ </t>
  </si>
  <si>
    <t xml:space="preserve">SASTRERÍA SEQUEIRA RIVAS </t>
  </si>
  <si>
    <t>TV-02-1111-224</t>
  </si>
  <si>
    <t xml:space="preserve">NELLY ACEVEDO </t>
  </si>
  <si>
    <t xml:space="preserve">NELLY SFACHION </t>
  </si>
  <si>
    <t>TV-02-1011-228</t>
  </si>
  <si>
    <t xml:space="preserve">MARINA CENELIA REYES CAMACHO </t>
  </si>
  <si>
    <t xml:space="preserve">VARIEDADES MUNDO INFANTIL </t>
  </si>
  <si>
    <t>AI-02-1011-229</t>
  </si>
  <si>
    <t xml:space="preserve">EFRAIN PÉREZ SUÁREZ </t>
  </si>
  <si>
    <t xml:space="preserve">PANADERÍA JUIGALPA </t>
  </si>
  <si>
    <t>AI-02-1011-131</t>
  </si>
  <si>
    <t xml:space="preserve">MARÍA EVIS MEYNAR </t>
  </si>
  <si>
    <t xml:space="preserve">REPOSTERÍA EVIS </t>
  </si>
  <si>
    <t>MM-02-1011-200</t>
  </si>
  <si>
    <t xml:space="preserve">MARÍA ISABEL DUARTE LÓPEZ  </t>
  </si>
  <si>
    <t xml:space="preserve">El PORVENIR </t>
  </si>
  <si>
    <t xml:space="preserve">BOACO </t>
  </si>
  <si>
    <t>TV-02-1011-178</t>
  </si>
  <si>
    <t xml:space="preserve">DOMINGA JEANNETTE FERNÁNDEZ </t>
  </si>
  <si>
    <t>CREACIONES DANIESKA</t>
  </si>
  <si>
    <t>CC-02-1011-210</t>
  </si>
  <si>
    <t xml:space="preserve">ESTANISLADO BORGE SOLANO </t>
  </si>
  <si>
    <t xml:space="preserve">EL ESFUERZO </t>
  </si>
  <si>
    <t>AI-02-1011-204</t>
  </si>
  <si>
    <t xml:space="preserve">ADELAYDA DEL CARMEN BLANDÓN GUZMÁN </t>
  </si>
  <si>
    <t xml:space="preserve">LÁCTEOS JORLING </t>
  </si>
  <si>
    <t>AI-02-1011-206</t>
  </si>
  <si>
    <t xml:space="preserve">NORA ANGELINA RODRÍGUEZ HOYES </t>
  </si>
  <si>
    <t xml:space="preserve">LÁCTEOS NORITA </t>
  </si>
  <si>
    <t>AI-02-1011-205</t>
  </si>
  <si>
    <t xml:space="preserve">SOCORRO BORGE ORTEGA </t>
  </si>
  <si>
    <t xml:space="preserve">LÁCTEOS JUNELCO </t>
  </si>
  <si>
    <t>TV-02-1011-203</t>
  </si>
  <si>
    <t xml:space="preserve">MARÍA CONCEPCIÓN GUZMÁN SEQUEIRA </t>
  </si>
  <si>
    <t xml:space="preserve">COSTURA CONCEPCIÓN </t>
  </si>
  <si>
    <t>TV-02-1011-207</t>
  </si>
  <si>
    <t xml:space="preserve">OLGA FLORES ÁLVAREZ </t>
  </si>
  <si>
    <t xml:space="preserve">COSTURA OLGA </t>
  </si>
  <si>
    <t>AI-02-1211-233</t>
  </si>
  <si>
    <t xml:space="preserve">FRANCISCO JOSÉ GUZMÁN RODRÍGUEZ </t>
  </si>
  <si>
    <t xml:space="preserve">UN REGALO DE DIOS </t>
  </si>
  <si>
    <t>AI-02-1011-187</t>
  </si>
  <si>
    <t xml:space="preserve">RUTH VARGAS </t>
  </si>
  <si>
    <t xml:space="preserve">SAMBAR </t>
  </si>
  <si>
    <t>AI-02-1011-186</t>
  </si>
  <si>
    <t xml:space="preserve">ERIKA ELIOMARA GARCÍA DUARTE </t>
  </si>
  <si>
    <t xml:space="preserve">LA NIÑA DE TUS OJOS </t>
  </si>
  <si>
    <t>CC-02-1011-199</t>
  </si>
  <si>
    <t xml:space="preserve">RENÉ ANTONIO GARCÍA URBINA </t>
  </si>
  <si>
    <t xml:space="preserve">TALLER EL ARTE </t>
  </si>
  <si>
    <t>CC-02-1011-197</t>
  </si>
  <si>
    <t xml:space="preserve">FERNANDO FABIO MEJÍA MEJÍA </t>
  </si>
  <si>
    <t xml:space="preserve">TALLER DE ARTESANÍA MEJÍA </t>
  </si>
  <si>
    <t>TV-02-1011-209</t>
  </si>
  <si>
    <t xml:space="preserve">LIDIA DEL ROSARIO ROJAS TÓRREZ </t>
  </si>
  <si>
    <t>TALLER TELA MODA</t>
  </si>
  <si>
    <t>AI-02-1211-232</t>
  </si>
  <si>
    <t xml:space="preserve">PERLA AZUCENA GUZMÁN SEQUEIRA </t>
  </si>
  <si>
    <t xml:space="preserve">LÁCTEO SAN JUAN </t>
  </si>
  <si>
    <t>CC-02-1011-202</t>
  </si>
  <si>
    <t xml:space="preserve">VICENTE RODRÍGUEZ QUINTERO </t>
  </si>
  <si>
    <t xml:space="preserve">APEROS CABALLAR </t>
  </si>
  <si>
    <t>CC-02-1011-208</t>
  </si>
  <si>
    <t xml:space="preserve">JOEL GARCÍA ESPINOZA </t>
  </si>
  <si>
    <t xml:space="preserve">TALLER HERMANOS GARCÍA </t>
  </si>
  <si>
    <t>AI-02-1211-235</t>
  </si>
  <si>
    <t xml:space="preserve">MARVIN JOSÉ POVEDA ROBLES </t>
  </si>
  <si>
    <t xml:space="preserve">QUESERA LOS ROBLES </t>
  </si>
  <si>
    <t>CC-02-1211-234</t>
  </si>
  <si>
    <t xml:space="preserve">GABRIEL  ANTONIO LIZANO </t>
  </si>
  <si>
    <t xml:space="preserve">CALZADO LIZANO </t>
  </si>
  <si>
    <t>TV-02-1011-201</t>
  </si>
  <si>
    <t xml:space="preserve">TANIA SCARLETH FERNÁNDEZ GÁMEZ </t>
  </si>
  <si>
    <t xml:space="preserve">TRAJES TANIA </t>
  </si>
  <si>
    <t>CC-02-1011-155</t>
  </si>
  <si>
    <t xml:space="preserve">BISMARK DÍAZ SEQUEIRA </t>
  </si>
  <si>
    <t xml:space="preserve">APEROS CABALLAR DÍAZ </t>
  </si>
  <si>
    <t>TV-02-1211-236</t>
  </si>
  <si>
    <t xml:space="preserve">MARÍA EUFEMIA COREA GONZÁLEZ </t>
  </si>
  <si>
    <t xml:space="preserve">CREACIONES ZAMARIEL </t>
  </si>
  <si>
    <t>AI-02-1211-237</t>
  </si>
  <si>
    <t xml:space="preserve">FLOR DE MARÍA GUZMÁN GUDIEL </t>
  </si>
  <si>
    <t xml:space="preserve">LOS COQUITOS </t>
  </si>
  <si>
    <t>AI-02-1011-189</t>
  </si>
  <si>
    <t xml:space="preserve">FRANCISCA PAULA TAPIA GONZÁLEZ </t>
  </si>
  <si>
    <t xml:space="preserve">PANADERÍA FRANCYS </t>
  </si>
  <si>
    <t>TV-02-1211-242</t>
  </si>
  <si>
    <t xml:space="preserve">MARÍA CRISTINA TREMINIO MATAMOROS </t>
  </si>
  <si>
    <t xml:space="preserve">COOP. MULTISECTORIAL EL JORDAN/ MULJORCOOP R.L. </t>
  </si>
  <si>
    <t>AI-02-1011-146</t>
  </si>
  <si>
    <t xml:space="preserve">BLENDA LUCIA MURRY LUWIN </t>
  </si>
  <si>
    <t xml:space="preserve">PEQUEÑA PANADERÍA </t>
  </si>
  <si>
    <t xml:space="preserve">RAAS </t>
  </si>
  <si>
    <t>AI-02-1211-239</t>
  </si>
  <si>
    <t>ESTER CASTRO RODRÍGUEZ</t>
  </si>
  <si>
    <t xml:space="preserve">PANADERÍA LA FE </t>
  </si>
  <si>
    <t>AI-02-1011-141</t>
  </si>
  <si>
    <t xml:space="preserve">CLEMENTINA MOORE CASILDO </t>
  </si>
  <si>
    <t xml:space="preserve">PANADERÍA LA ESTRELLA </t>
  </si>
  <si>
    <t>AI-02-1011-142</t>
  </si>
  <si>
    <t xml:space="preserve">FANNY MARIE HULSE DAVIS </t>
  </si>
  <si>
    <t xml:space="preserve">MINI PANADERÍA KEYSHA </t>
  </si>
  <si>
    <t>AI-02-1011-172</t>
  </si>
  <si>
    <t xml:space="preserve">GUMERCINDA MARINA CHAMORRO RODRÍGUEZ </t>
  </si>
  <si>
    <t xml:space="preserve">PANADERÍA JUANITA </t>
  </si>
  <si>
    <t>AI-02-1011-170</t>
  </si>
  <si>
    <t xml:space="preserve">ELSA ZEFERINA QUINN HODGSON </t>
  </si>
  <si>
    <t xml:space="preserve">PANADERÍA MARANATA </t>
  </si>
  <si>
    <t>AI-02-1211-238</t>
  </si>
  <si>
    <t xml:space="preserve">DAVID ERNESTO ALVARADO ROSALES </t>
  </si>
  <si>
    <t xml:space="preserve">PANADERÍA PAN DE BLUEFIELDS </t>
  </si>
  <si>
    <t>AI-02-1011-173</t>
  </si>
  <si>
    <t xml:space="preserve">GLORIA ISABEL LÓPEZ HERNÁNDEZ </t>
  </si>
  <si>
    <t xml:space="preserve">PANADERÍA DOMÍNGUEZ </t>
  </si>
  <si>
    <t>AI-02-1011-147</t>
  </si>
  <si>
    <t xml:space="preserve">GLORIA MARÍA DOMÍNGUEZ LÓPEZ </t>
  </si>
  <si>
    <t>AI-02-1011-136</t>
  </si>
  <si>
    <t>ROSA ARGENTINA ÁLVAREZ SOZA</t>
  </si>
  <si>
    <t xml:space="preserve">PASTELERÍA ROSA MARINA </t>
  </si>
  <si>
    <t>AI-02-1011-162</t>
  </si>
  <si>
    <t xml:space="preserve">CAROL JENE CAMPBELL BROWN </t>
  </si>
  <si>
    <t xml:space="preserve">PANADERÍA CAMPBELL </t>
  </si>
  <si>
    <t>AI-02-1011-144</t>
  </si>
  <si>
    <t>KATTY ISABEL DOMÍNGUEZ LÓPEZ</t>
  </si>
  <si>
    <t xml:space="preserve">PANADERÍA ALVARADO DOMÍNGIEZ </t>
  </si>
  <si>
    <t>AI-02-1011-127</t>
  </si>
  <si>
    <t xml:space="preserve">RENÉ ADOLFO HOGSON SÁENZ </t>
  </si>
  <si>
    <t xml:space="preserve">PANADERÍA LAS DOS HERMANAS </t>
  </si>
  <si>
    <t>AI-02-1011-171</t>
  </si>
  <si>
    <t xml:space="preserve">NELLY CRISTINA HEBBERT MORALES </t>
  </si>
  <si>
    <t xml:space="preserve">PANADERÍA NELLY </t>
  </si>
  <si>
    <t>AI-02-1011-118</t>
  </si>
  <si>
    <t xml:space="preserve">MAYDA AZUCENA QUIRÓZ CASTILLO </t>
  </si>
  <si>
    <t xml:space="preserve">QUEQUES BEL </t>
  </si>
  <si>
    <t>AI-02-1011-150</t>
  </si>
  <si>
    <t xml:space="preserve">VILMA MARIE ANDERSON DIXON </t>
  </si>
  <si>
    <t xml:space="preserve">COCANUT DELITE </t>
  </si>
  <si>
    <t>AI-02-1011-138</t>
  </si>
  <si>
    <t xml:space="preserve">PABLO ALFONSO ROMERO </t>
  </si>
  <si>
    <t xml:space="preserve">PANADERÍA PABLO </t>
  </si>
  <si>
    <t>AI-02-1011-167</t>
  </si>
  <si>
    <t xml:space="preserve">YOLANDA DEL SOCORRO HENRÍQUEZ ALLEN </t>
  </si>
  <si>
    <t xml:space="preserve">PANADERÍA LA ESPERANZA </t>
  </si>
  <si>
    <t>AI-02-1011-121</t>
  </si>
  <si>
    <t>LEYLA DEL SOCORRO MORENO</t>
  </si>
  <si>
    <t xml:space="preserve">PANADERÍA DOÑA LEYLA </t>
  </si>
  <si>
    <t>MM-02-1011-153</t>
  </si>
  <si>
    <t xml:space="preserve">DWIGHT ANTONY TENORIO NIXON </t>
  </si>
  <si>
    <t xml:space="preserve">MUEBLES CARIBE </t>
  </si>
  <si>
    <t>AI-02-1011-137</t>
  </si>
  <si>
    <t xml:space="preserve">AMPARO BERNARDINA BAENA MENDOZA </t>
  </si>
  <si>
    <t xml:space="preserve">PANADERÍA BAENA </t>
  </si>
  <si>
    <t>AI-02-1011-126</t>
  </si>
  <si>
    <t xml:space="preserve">BYRON WINSTON ALLEN HALL </t>
  </si>
  <si>
    <t xml:space="preserve">MAMA GLADYS PLACE </t>
  </si>
  <si>
    <t>AI-02-1011-168</t>
  </si>
  <si>
    <t xml:space="preserve">MARTA IRENE ZAVALA </t>
  </si>
  <si>
    <t xml:space="preserve">PANADERÍA BODDEN </t>
  </si>
  <si>
    <t>MM-02-1011-143</t>
  </si>
  <si>
    <t xml:space="preserve">MARCOS FRANCISCO RIVAS WALKER </t>
  </si>
  <si>
    <t xml:space="preserve">MUEBLERÍA RIVAS </t>
  </si>
  <si>
    <t xml:space="preserve">Micro </t>
  </si>
  <si>
    <t>MM-02-1011-151</t>
  </si>
  <si>
    <t xml:space="preserve">JOSÉ GUILLERMO HALY </t>
  </si>
  <si>
    <t xml:space="preserve">TALLER DE EBANISTERÍA HALY </t>
  </si>
  <si>
    <t>AI-02-1011-159</t>
  </si>
  <si>
    <t xml:space="preserve">LILIA ELIZABETH TENORIO HEBBERT </t>
  </si>
  <si>
    <t xml:space="preserve">PANADERÍA Y REPOSTERÍA LILIS </t>
  </si>
  <si>
    <t>AI-02-0112-240</t>
  </si>
  <si>
    <t xml:space="preserve">ROSA MARÍA HODGSON COOPER </t>
  </si>
  <si>
    <t xml:space="preserve">PANADERÍA NAYSON </t>
  </si>
  <si>
    <t>AI-02-1011-148</t>
  </si>
  <si>
    <t xml:space="preserve">CAROLINA ZELAYA ISAÍAS </t>
  </si>
  <si>
    <t xml:space="preserve">PANADERÍA CAROL </t>
  </si>
  <si>
    <t>AI-02-0112-241</t>
  </si>
  <si>
    <t xml:space="preserve">MARCOLFA ANGÉLICA ÁLVAREZ  </t>
  </si>
  <si>
    <t xml:space="preserve">PANADERÍA LA PROSPERIDAD </t>
  </si>
  <si>
    <t>AI-02-1011-129</t>
  </si>
  <si>
    <t xml:space="preserve">MAGALY AUXILIADORA RODAS </t>
  </si>
  <si>
    <t xml:space="preserve">REFRESQUERÍA MOKACCINO </t>
  </si>
  <si>
    <t>AI-02-1011-145</t>
  </si>
  <si>
    <t xml:space="preserve">RAFAELA LEE MAIRENA ARÁUZ </t>
  </si>
  <si>
    <t xml:space="preserve">PANADERÍA ARÁUZ </t>
  </si>
  <si>
    <t>AI-02-1011-161</t>
  </si>
  <si>
    <t xml:space="preserve">MARÍA AUXILIADORA MÉNDEZ </t>
  </si>
  <si>
    <t xml:space="preserve">PANADERÍA DOÑA CATA </t>
  </si>
  <si>
    <t>TV-02-1011-175</t>
  </si>
  <si>
    <t xml:space="preserve">REYNA DILIA SEQUEIRA LUMBÍ </t>
  </si>
  <si>
    <t xml:space="preserve">TALLER ARELYS </t>
  </si>
  <si>
    <t>TV-02-1011-164</t>
  </si>
  <si>
    <t xml:space="preserve">CELINA ESPINOZA CAJINA </t>
  </si>
  <si>
    <t>TALLER DOÑA CELI</t>
  </si>
  <si>
    <t>AI-02-1011-128</t>
  </si>
  <si>
    <t xml:space="preserve">LUZ DEL CARMEN LAGUNA ESPINOZA </t>
  </si>
  <si>
    <t xml:space="preserve">REPOSTERÍA EDITH </t>
  </si>
  <si>
    <t>CC-02-1011-190</t>
  </si>
  <si>
    <t xml:space="preserve">VICTOR GIOBANY GARCÍA MARTÍNEZ </t>
  </si>
  <si>
    <t xml:space="preserve">VIC GIO </t>
  </si>
  <si>
    <t>TV-02-1211-243</t>
  </si>
  <si>
    <t>JANET JOHANA VANS NYLON</t>
  </si>
  <si>
    <t xml:space="preserve">TALLER DE COSTURA BAMBI </t>
  </si>
  <si>
    <t>TV-02-1011-176</t>
  </si>
  <si>
    <t xml:space="preserve">NIDIA ADELA SANDOVAL ABELLA </t>
  </si>
  <si>
    <t xml:space="preserve">TALLER DE COSTURA KATHERINE </t>
  </si>
  <si>
    <t>TV-02-1011-156</t>
  </si>
  <si>
    <t xml:space="preserve">CECILIA ANTONIA MITCHELL MARTÍNEZ </t>
  </si>
  <si>
    <t xml:space="preserve">ESSENCE OF LOVE </t>
  </si>
  <si>
    <t>TV-02-1011-177</t>
  </si>
  <si>
    <t xml:space="preserve">KATHERINE LILLETTE ESPINOZA SANDOVAL </t>
  </si>
  <si>
    <t xml:space="preserve">TALLER KATHY </t>
  </si>
  <si>
    <t>TV-02-1011-165</t>
  </si>
  <si>
    <t xml:space="preserve">ROSA DEL SOCORRO DÍAZ GONZÁLEZ </t>
  </si>
  <si>
    <t xml:space="preserve">TAPICERÍA Y SASTRERÍA LA ESPERANZA </t>
  </si>
  <si>
    <t>AI-02-0112-245</t>
  </si>
  <si>
    <t xml:space="preserve">YOLANDA EMILIA DÍAZ </t>
  </si>
  <si>
    <t xml:space="preserve">REPOSTERÍA SAN LUIS </t>
  </si>
  <si>
    <t>AI-02-1011-139</t>
  </si>
  <si>
    <t xml:space="preserve">CINTIA ELIZABETH CHOW HODGSON </t>
  </si>
  <si>
    <t xml:space="preserve">PANADERÍA YAHOSKA </t>
  </si>
  <si>
    <t>AI-02-1011-120</t>
  </si>
  <si>
    <t xml:space="preserve">MARISOL CONCEPCIÓN CUADRA TABLADA </t>
  </si>
  <si>
    <t xml:space="preserve">REFRESQUERÍA MARI </t>
  </si>
  <si>
    <t>AI-02-0112-244</t>
  </si>
  <si>
    <t xml:space="preserve">JULIO INOSENCIO LANUZA GRANJA </t>
  </si>
  <si>
    <t xml:space="preserve">PANADERÍA BERNARDO </t>
  </si>
  <si>
    <t>AI-02-1011-140</t>
  </si>
  <si>
    <t xml:space="preserve">EUNICE HOY CAMBELL </t>
  </si>
  <si>
    <t xml:space="preserve">SABOR CARIBEÑO </t>
  </si>
  <si>
    <t>AI-02-1011-134</t>
  </si>
  <si>
    <t xml:space="preserve">RANDY HODGSON CAMACHO </t>
  </si>
  <si>
    <t>PATTY IVONE FOX</t>
  </si>
  <si>
    <t>RAAN</t>
  </si>
  <si>
    <t>TV-02-0112-238</t>
  </si>
  <si>
    <t>NELY LACAYO LLEZETH</t>
  </si>
  <si>
    <t xml:space="preserve">SASTRERÍA NELY </t>
  </si>
  <si>
    <t>TV-02-0112-239</t>
  </si>
  <si>
    <t>MARTHA LORENA JACOBO BEER</t>
  </si>
  <si>
    <t>SASTRERÍA MARTHA JACOBO</t>
  </si>
  <si>
    <t>TV-02-0112-240</t>
  </si>
  <si>
    <t>ZARAINA JACOBO HANSON</t>
  </si>
  <si>
    <t>ZARAINA CREACIONES JACOBO</t>
  </si>
  <si>
    <t>TV-02-0112-247</t>
  </si>
  <si>
    <t>ROXANA CRUZ ABURTO</t>
  </si>
  <si>
    <t>SASTRERÍA ROXANA</t>
  </si>
  <si>
    <t>AR-02-1011-122</t>
  </si>
  <si>
    <t xml:space="preserve">CONCEPCIÓN SILVA FAGOTH </t>
  </si>
  <si>
    <t xml:space="preserve">CREACIONES SILVA </t>
  </si>
  <si>
    <t xml:space="preserve">ARTESANÍA </t>
  </si>
  <si>
    <t>AR-02-0112-250</t>
  </si>
  <si>
    <t>ENEYDA DEL SOCORRO AVELLAN RIVERA</t>
  </si>
  <si>
    <t>ARTESANÍAS EVENEY</t>
  </si>
  <si>
    <t>AR-02-0112-246</t>
  </si>
  <si>
    <t>NURY GILL OPORTA MULLER</t>
  </si>
  <si>
    <t>ARTESANIAS DE TUNO GILL</t>
  </si>
  <si>
    <t>AR-02-0112-245</t>
  </si>
  <si>
    <t>SONIA MULLER LÓPEZ</t>
  </si>
  <si>
    <t>ARTESANIA SONIA</t>
  </si>
  <si>
    <t>TV-02-0112-244</t>
  </si>
  <si>
    <t>ARLET NUBIA LUCAS WOO</t>
  </si>
  <si>
    <t>SASTRERÍA ARLET</t>
  </si>
  <si>
    <t>TV-02-0112-243</t>
  </si>
  <si>
    <t>LUCY DIXON GILL</t>
  </si>
  <si>
    <t>SASTRERÍA LUCY</t>
  </si>
  <si>
    <t>TV-02-0112-258</t>
  </si>
  <si>
    <t xml:space="preserve">ELENA JACOBO HANSEN </t>
  </si>
  <si>
    <t xml:space="preserve">SASTRERÍA ELENA </t>
  </si>
  <si>
    <t>MM-02-0112-242</t>
  </si>
  <si>
    <t>MARVIN VICYTOR JACOBO BEER</t>
  </si>
  <si>
    <t>TALLER DE EBANISTERÍA JACOBO BEER</t>
  </si>
  <si>
    <t>MM-02-0112-241</t>
  </si>
  <si>
    <t>GILBERT HENRY WRGHTS</t>
  </si>
  <si>
    <t>TALLER DE EBANISTERÍA DIOS ME AYUDARÁ</t>
  </si>
  <si>
    <t>MM-02-0112-248</t>
  </si>
  <si>
    <t>DANILO QUINTERO BURK</t>
  </si>
  <si>
    <t>MUEBLERÍA PORTEÑO</t>
  </si>
  <si>
    <t>MM-02-0112-251</t>
  </si>
  <si>
    <t>MELCHOR BORK PADILLA</t>
  </si>
  <si>
    <t>TALLER MELCHOR</t>
  </si>
  <si>
    <t>MM-02-0112-249</t>
  </si>
  <si>
    <t>ANTONIO ERNESTO WILLIAMS ÁLVAREZ</t>
  </si>
  <si>
    <t>TALLER WILLIAMS</t>
  </si>
  <si>
    <t>MM-02-0112-252</t>
  </si>
  <si>
    <t>PABLO JUSTINIANO WILLIAMS ÁLVAREZ</t>
  </si>
  <si>
    <t>TALLER DE EBANISTERÍA WILLIAMS OMIES</t>
  </si>
  <si>
    <t>MM-02-0112-257</t>
  </si>
  <si>
    <t xml:space="preserve">DAVID MERCADO FLORES </t>
  </si>
  <si>
    <t xml:space="preserve">TALLER DE EBANISTERÍA MERCADO </t>
  </si>
  <si>
    <t>MM-02-0112-253</t>
  </si>
  <si>
    <t>MARIO GARTH PARISTO</t>
  </si>
  <si>
    <t>TALLER DE EBANISTERÍA "LA MADERA"</t>
  </si>
  <si>
    <t>MM-02-0112-255</t>
  </si>
  <si>
    <t>BERNABÉ GREY MC LEAN</t>
  </si>
  <si>
    <t>TALLER DE EBANISTERÍA EL MAYAGNA</t>
  </si>
  <si>
    <t>MM-02-0112-256</t>
  </si>
  <si>
    <t>WEYMAN WAREN WILSON THOMAS</t>
  </si>
  <si>
    <t>TALLER WEYMAN</t>
  </si>
  <si>
    <t>MM-02-0112-254</t>
  </si>
  <si>
    <t>FABIO PÉREZ RIVERA</t>
  </si>
  <si>
    <t>TALLER DE EBANISTERÍA PÉREZ</t>
  </si>
  <si>
    <t>MM-02-0112-260</t>
  </si>
  <si>
    <t>LAWRENCE HODGSON MORALES</t>
  </si>
  <si>
    <t>TALLER MUEBLERIA HODGSON MORALES</t>
  </si>
  <si>
    <t>MM-02-0112-259</t>
  </si>
  <si>
    <t>SALVADOR CONRADO RIVERA</t>
  </si>
  <si>
    <t>TALLER SALVADOR JEPSSA</t>
  </si>
  <si>
    <t>MM-02-0112-261</t>
  </si>
  <si>
    <t>JUAN FRANCISCO CENTENO IRIAS</t>
  </si>
  <si>
    <t>TALLER CENTENO</t>
  </si>
  <si>
    <t>MM-02-1011-119</t>
  </si>
  <si>
    <t xml:space="preserve">ERNESTO MORENO BLANCO </t>
  </si>
  <si>
    <t xml:space="preserve">TALLER MORENO GÓMEZ </t>
  </si>
  <si>
    <t>AI-02-1011-133</t>
  </si>
  <si>
    <t xml:space="preserve">PÍA VANESA MEZA CHOW </t>
  </si>
  <si>
    <t xml:space="preserve">SORBETERÍA Y REPOSTERÍA EL ALMENDRO </t>
  </si>
  <si>
    <t>AI-02-0112-262</t>
  </si>
  <si>
    <t>MODESTA MATAMOROS BUSHEY</t>
  </si>
  <si>
    <t>MODE´S GREADKA</t>
  </si>
  <si>
    <t>MM-02-0112-263</t>
  </si>
  <si>
    <t>ENCARNACIÓN MOODY PETER</t>
  </si>
  <si>
    <t>TALLER MOODY</t>
  </si>
  <si>
    <t>AI-02-0112-264</t>
  </si>
  <si>
    <t>ROSARIO ZULMIRA ELWIN CARRASCO</t>
  </si>
  <si>
    <t>VARIEDADES ZULMIRA</t>
  </si>
  <si>
    <t>AI-02-1011-188</t>
  </si>
  <si>
    <t xml:space="preserve">ALINA AMALIA ORDOÑEZ URBINA </t>
  </si>
  <si>
    <t xml:space="preserve">PANADERÍA ALINA </t>
  </si>
  <si>
    <t>AI-02-0212-272</t>
  </si>
  <si>
    <t>LUZ MARINA GUTIERREZ SAAVEDRA</t>
  </si>
  <si>
    <t>PANADERIA GUTIERREZ</t>
  </si>
  <si>
    <t>TV-02-0212-284</t>
  </si>
  <si>
    <t>ROSA MARIA ALTAMIRANO MENDOZA</t>
  </si>
  <si>
    <t>TV-02-0212-285</t>
  </si>
  <si>
    <t>MARCIA MARTINEZ ROMERO</t>
  </si>
  <si>
    <t>EL COCO</t>
  </si>
  <si>
    <t>TV-02-0212-286</t>
  </si>
  <si>
    <t>MARIANA ALVAREZ</t>
  </si>
  <si>
    <t>CREACIONES KARLA</t>
  </si>
  <si>
    <t>TV-02-0212-287</t>
  </si>
  <si>
    <t>YELBA SILVIA MARTINEZ ANGULO</t>
  </si>
  <si>
    <t>ROPA PARA TODOS</t>
  </si>
  <si>
    <t>CC-02-0212-288</t>
  </si>
  <si>
    <t>PABLO ANTONIO DUARTE SEQUEIRA</t>
  </si>
  <si>
    <t>TALLER SAN PABLO</t>
  </si>
  <si>
    <t>CC-02-0212-289</t>
  </si>
  <si>
    <t>MILAGROS DE LOS ANGELES ALEMAN</t>
  </si>
  <si>
    <t>NUEVO AMANECER</t>
  </si>
  <si>
    <t>MM-02-0212-290</t>
  </si>
  <si>
    <t>ARISTIDES RODRIGUEZ RAMIREZ</t>
  </si>
  <si>
    <t>TALLER EL ALMENDRO</t>
  </si>
  <si>
    <t>MM-02-1211-230</t>
  </si>
  <si>
    <t xml:space="preserve">ALBERTO ANTONIO VARELA OBANDO </t>
  </si>
  <si>
    <t xml:space="preserve">EBANISTERIA VARELA </t>
  </si>
  <si>
    <t>MM-02-0212-283</t>
  </si>
  <si>
    <t>ARTURO MARTINEZ ALVAREZ</t>
  </si>
  <si>
    <t>SANTA LUCIA</t>
  </si>
  <si>
    <t>MM-02-1011-193</t>
  </si>
  <si>
    <t>DENIS ENRIQUE ALVARADO GUTIÉRREZ</t>
  </si>
  <si>
    <t xml:space="preserve">TALLER EL PROGRESO </t>
  </si>
  <si>
    <t>MM-02-1011-179</t>
  </si>
  <si>
    <t xml:space="preserve">PEDRO GÓMEZ MAYORGA </t>
  </si>
  <si>
    <t xml:space="preserve">MUEBLERÍA GÓMEZ </t>
  </si>
  <si>
    <t>MM-02-1011-192</t>
  </si>
  <si>
    <t xml:space="preserve">ELMO SANTIAGO WILSON GARCÍA </t>
  </si>
  <si>
    <t xml:space="preserve">EL BUEN PASTOR </t>
  </si>
  <si>
    <t>MM-02-1011-198</t>
  </si>
  <si>
    <t xml:space="preserve">ENRRIQUE ANTONIO CERDA AMADOR </t>
  </si>
  <si>
    <t xml:space="preserve">TALLER SAN ANTONIO </t>
  </si>
  <si>
    <t>MM-02-1011-194</t>
  </si>
  <si>
    <t xml:space="preserve">IVÁN ANTONIO GARCÍA SALAZAR </t>
  </si>
  <si>
    <t xml:space="preserve">TALLER EL ROBLE </t>
  </si>
  <si>
    <t>TV-02-0212-271</t>
  </si>
  <si>
    <t>MARIA ESTHER MURILLO PICADO</t>
  </si>
  <si>
    <t>TALLER DE COSTURA ESMAKE</t>
  </si>
  <si>
    <t>AI-02-1011-183</t>
  </si>
  <si>
    <t xml:space="preserve">AIXA DEL SOCORRO SANDERS LAGUNA </t>
  </si>
  <si>
    <t xml:space="preserve">REPOSTERÍA EL SOCORRO </t>
  </si>
  <si>
    <t>AI-02-1011-184</t>
  </si>
  <si>
    <t xml:space="preserve">MARÍA GUADALUPE DUARTE </t>
  </si>
  <si>
    <t xml:space="preserve">REPOSTERÍA LOS ÁNGELES </t>
  </si>
  <si>
    <t>AI-02-0212-275</t>
  </si>
  <si>
    <t>ROSIBEL MARTINEZ OPORTA</t>
  </si>
  <si>
    <t>PANADERIA LA FE</t>
  </si>
  <si>
    <t>MM-02-0212-276</t>
  </si>
  <si>
    <t>FELIPE MIGDONIO GARCIA VILLAGRA</t>
  </si>
  <si>
    <t>TALLER GARCIA</t>
  </si>
  <si>
    <t>TV-02-0212-277</t>
  </si>
  <si>
    <t>MARTHA ISABEL VELASQUEZ GARCIA</t>
  </si>
  <si>
    <t>CREACIONES MARTHA</t>
  </si>
  <si>
    <t>TV-02-0212-278</t>
  </si>
  <si>
    <t>ESTELA DEL SOCORRO MORALES FONSECA</t>
  </si>
  <si>
    <t>TALLER LA GANGA</t>
  </si>
  <si>
    <t>TV-02-0212-279</t>
  </si>
  <si>
    <t>JULIA MARIA MURILLO MORAGA</t>
  </si>
  <si>
    <t>MODAS FRANCELY</t>
  </si>
  <si>
    <t>TV-02-0212-280</t>
  </si>
  <si>
    <t>MARIA CRISTINA AGUILAR LEON</t>
  </si>
  <si>
    <t>EL PODER DE LA MODA</t>
  </si>
  <si>
    <t>TV-02-0212-281</t>
  </si>
  <si>
    <t>MARTHA DEL SOCORRO MURILLO MORAGA</t>
  </si>
  <si>
    <t>CASA DE MODA STEVEN</t>
  </si>
  <si>
    <t>CC-02-0212-282</t>
  </si>
  <si>
    <t>ENRIQUE GALEANO CALERO</t>
  </si>
  <si>
    <t>ZAPATERIA GALEANO</t>
  </si>
  <si>
    <t>TV-02-0212-265</t>
  </si>
  <si>
    <t>CARLOS ALFREDO ALVARADO SILVA</t>
  </si>
  <si>
    <t>CREACIONES SUYAPA</t>
  </si>
  <si>
    <t>CC-02-0212-266</t>
  </si>
  <si>
    <t>BARTOLO NOEL OLIVAS SERRANO</t>
  </si>
  <si>
    <t>TALABARTERIA SAN BARTOLO</t>
  </si>
  <si>
    <t>CC-02-0212-267</t>
  </si>
  <si>
    <t>JOSE MARTIN RIOS MIRANDA</t>
  </si>
  <si>
    <t>TALABARTERIA GENESIS</t>
  </si>
  <si>
    <t xml:space="preserve">CC-02-0212-268 </t>
  </si>
  <si>
    <t>ROBERTO JAVIER AMADOR REYES</t>
  </si>
  <si>
    <t>TALABARTERIA EL BRAMADERO</t>
  </si>
  <si>
    <t xml:space="preserve">CC-02-0212-269 </t>
  </si>
  <si>
    <t>TOMAS DARIO MARTINEZ GONZALEZ</t>
  </si>
  <si>
    <t>TALABARTERIA MARTINEZ</t>
  </si>
  <si>
    <t>CC-02-0212-270</t>
  </si>
  <si>
    <t>ALEXIS ANTONIO MARTINEZ GONZALEZ</t>
  </si>
  <si>
    <t>TALABARTERIA MARTINEZ GONZALEZ</t>
  </si>
  <si>
    <t>AI-02-0212-273</t>
  </si>
  <si>
    <t>AUXILIADORA DEL CARMEN RIOS GUTIERREZ</t>
  </si>
  <si>
    <t>VINOS MONTESANO</t>
  </si>
  <si>
    <t>MM-02-0212-291</t>
  </si>
  <si>
    <t>ARMANDO BLADIMIR UGARTE CHAVARRIA</t>
  </si>
  <si>
    <t>CARPINTERIA UGARTE</t>
  </si>
  <si>
    <t>MM-02-1011-152</t>
  </si>
  <si>
    <t xml:space="preserve">GUILLERMO DE JESÚS SOTO TÓRRES </t>
  </si>
  <si>
    <t>MUEBLERÍA LISSETH</t>
  </si>
  <si>
    <t>TV-02-0212-292</t>
  </si>
  <si>
    <t>DAVID MATUTE GONZALEZ</t>
  </si>
  <si>
    <t>SASTRERIA DAVIELSKA</t>
  </si>
  <si>
    <t>TV-02-1011-157</t>
  </si>
  <si>
    <t xml:space="preserve">ROSALÍA MEDINA FLORES </t>
  </si>
  <si>
    <t xml:space="preserve">CASA DE MODA INFANTIL </t>
  </si>
  <si>
    <t>AI-02-1011-160</t>
  </si>
  <si>
    <t xml:space="preserve">NELLY JOHANNA SIU CASSANOVA </t>
  </si>
  <si>
    <t xml:space="preserve">PANADERÍA SIU </t>
  </si>
  <si>
    <t>TV-02-0212-294</t>
  </si>
  <si>
    <t>ERNESTO ALFREDO JIMENEZ CASTELLON</t>
  </si>
  <si>
    <t>SASTRERIA JIMENEZ</t>
  </si>
  <si>
    <t>MM-02-1011-154</t>
  </si>
  <si>
    <t xml:space="preserve">FELIPE VERNI SALGADO BLANDÓN </t>
  </si>
  <si>
    <t xml:space="preserve">FIBRÁN MUEBLES </t>
  </si>
  <si>
    <t>MM-02-0212-293</t>
  </si>
  <si>
    <t>ROBERT LINBERG BODDEN DOWNS</t>
  </si>
  <si>
    <t>EBANISTERIA EL JUNIOR</t>
  </si>
  <si>
    <t>TV-02-0212-295</t>
  </si>
  <si>
    <t>JULIO CESAR GODOY CASTILLO</t>
  </si>
  <si>
    <t>TRITON SERIGRAFIA Y ARTE</t>
  </si>
  <si>
    <t>CC-02-0212-300</t>
  </si>
  <si>
    <t>JOSE DEL CARMEN SANCHEZ FERNANDEZ</t>
  </si>
  <si>
    <t>ARTESANIAS EN CUERO EL GUARDIA</t>
  </si>
  <si>
    <t>CC-02-0212-297</t>
  </si>
  <si>
    <t>DOMINGO ANTONIO ALMENDAREZ ALEMAN</t>
  </si>
  <si>
    <t>ALFA Y OMEGA</t>
  </si>
  <si>
    <t>CC-02-0212-298</t>
  </si>
  <si>
    <t>MANUEL SALVADOR ALMENDAREZ ALEMAN</t>
  </si>
  <si>
    <t>EL SHADAI</t>
  </si>
  <si>
    <t>CC-02-0212-296</t>
  </si>
  <si>
    <t>PEDRO JUAN SUAREZ VALLE</t>
  </si>
  <si>
    <t>CRISTO VIENE</t>
  </si>
  <si>
    <t>MM-02-0212-299</t>
  </si>
  <si>
    <t>VIDAL ANTONIO ALONZO MEJIA</t>
  </si>
  <si>
    <t>SAN ANTONIO</t>
  </si>
  <si>
    <t>CC-02-0212-302</t>
  </si>
  <si>
    <t>RAMON ARMANDO SERRANO AMADOR</t>
  </si>
  <si>
    <t>TENERIA SERRANO AMADOR</t>
  </si>
  <si>
    <t>AI-02-0212-301</t>
  </si>
  <si>
    <t>GERMANIA MELINA JARQUIN CRUZ</t>
  </si>
  <si>
    <t>REPOSTERIA LA BARRA</t>
  </si>
  <si>
    <t>MM-02-0212-303</t>
  </si>
  <si>
    <t>BERNARDO JOSE GALVEZ</t>
  </si>
  <si>
    <t>EBANISTERIA CAMILA</t>
  </si>
  <si>
    <t>MM-02-0212-304</t>
  </si>
  <si>
    <t>FELIX ALBERTO ESPINOZA</t>
  </si>
  <si>
    <t>CARPINTERIA ESPINOZA</t>
  </si>
  <si>
    <t>CC-02-0212-274</t>
  </si>
  <si>
    <t>ALVA VICENTA FARGAS SANCHEZ</t>
  </si>
  <si>
    <t>ARTESANIAS DE APERO CABALLAR EL SOCORRO</t>
  </si>
  <si>
    <t>TV-02-0212-310</t>
  </si>
  <si>
    <t>MIRIAM EPIFANIA NICARAGUA ABELLA</t>
  </si>
  <si>
    <t>MODAS NILSSY JANORIS</t>
  </si>
  <si>
    <t>AI-02-0212-313</t>
  </si>
  <si>
    <t>MARIA CELYS MORALES MENDOZA</t>
  </si>
  <si>
    <t>PANADERIA EL RECREO</t>
  </si>
  <si>
    <t>TV-02-1011-169</t>
  </si>
  <si>
    <t xml:space="preserve">MARYURI AZUCENA DELGADILLO OW </t>
  </si>
  <si>
    <t xml:space="preserve">BORDADOS MARHU </t>
  </si>
  <si>
    <t>TV-02-0212-312</t>
  </si>
  <si>
    <t>CATALINA JULIANA BRENES</t>
  </si>
  <si>
    <t>SASTRERIA LA NUEVA JERUSALEN</t>
  </si>
  <si>
    <t>AI-02-0212-311</t>
  </si>
  <si>
    <t>JOSE MIGUEL GRANJA LAZO</t>
  </si>
  <si>
    <t>PANADERIA DEEDAR</t>
  </si>
  <si>
    <t>TV-02-1011-149</t>
  </si>
  <si>
    <t xml:space="preserve">DAISY MARY CARTER JAIME </t>
  </si>
  <si>
    <t xml:space="preserve">SHAYANNIE CROCHET BORDADOS PLACE </t>
  </si>
  <si>
    <t>AI-02-0212-308</t>
  </si>
  <si>
    <t>MARTINA ADELAIDA RUIZ MEYNARD</t>
  </si>
  <si>
    <t>REPOSTERIA LUNIMAR</t>
  </si>
  <si>
    <t>CC-02-1011-180</t>
  </si>
  <si>
    <t xml:space="preserve">LUIS GUILLERMO SÁNCHEZ FERNÁNDEZ </t>
  </si>
  <si>
    <t xml:space="preserve">CREACIONES EN CUERO EL GUARDIA </t>
  </si>
  <si>
    <t>AI-02-0212-306</t>
  </si>
  <si>
    <t>NELSA SUAREZ RODRIGUEZ</t>
  </si>
  <si>
    <t>PANADERIA NELSA</t>
  </si>
  <si>
    <t>CC-02-0212-307</t>
  </si>
  <si>
    <t>MARTIN NOEL ALMENDAREZ ALEMAN</t>
  </si>
  <si>
    <t>TALLER DEL MAESTRO</t>
  </si>
  <si>
    <t>TV-02-0212-305</t>
  </si>
  <si>
    <t>ERENIA DEL CARMEN MENA RAMIREZ</t>
  </si>
  <si>
    <t>CREACIONES MENA</t>
  </si>
  <si>
    <t>TV-02-0212-314</t>
  </si>
  <si>
    <t>ROSALINA CANDA ZAMBRANO</t>
  </si>
  <si>
    <t>SASTRERIA ROSITA</t>
  </si>
  <si>
    <t>AI-02-0212-315</t>
  </si>
  <si>
    <t>RAQUEL LUISA BODDEN SERRATO</t>
  </si>
  <si>
    <t>PANADERIA COSTEÑA</t>
  </si>
  <si>
    <t>MM-02-0212-316</t>
  </si>
  <si>
    <t>JORGE MIGUEL HURTADO VILLALTA</t>
  </si>
  <si>
    <t>JOSELIN</t>
  </si>
  <si>
    <t>MM-02-1011-174</t>
  </si>
  <si>
    <t xml:space="preserve">WALTER ANTONIO MIRANDA RÍOS </t>
  </si>
  <si>
    <t xml:space="preserve">TALLER DE MUEBLES EL MAESTRO </t>
  </si>
  <si>
    <t>AI-02-0212-317</t>
  </si>
  <si>
    <t>FORN MARIE OMEIR</t>
  </si>
  <si>
    <t>PANADERIA OMEIR</t>
  </si>
  <si>
    <t>AI-02-0212-318</t>
  </si>
  <si>
    <t>MARTHA EUGENIA BOLAÑOS SIU</t>
  </si>
  <si>
    <t>SALON Y REPOSTERIA SIU</t>
  </si>
  <si>
    <t>MME-02-0212-325</t>
  </si>
  <si>
    <t>LEAMUEL ALONZO CARTER NAVARRO</t>
  </si>
  <si>
    <t xml:space="preserve">SOLDADURA CARTER </t>
  </si>
  <si>
    <t>METAL MECANICA</t>
  </si>
  <si>
    <t>TV-02-0212-319</t>
  </si>
  <si>
    <t>ALICIA EUFEMIA MULLER PERERA</t>
  </si>
  <si>
    <t>CREACIONES NISSI</t>
  </si>
  <si>
    <t>AI-02-0212-320</t>
  </si>
  <si>
    <t>DENIS ISMAEL RIZO SEVILLA</t>
  </si>
  <si>
    <t>DENYO</t>
  </si>
  <si>
    <t>AI-02-0212-321</t>
  </si>
  <si>
    <t>JACKELINE TEMMA MULLER DIXON</t>
  </si>
  <si>
    <t>PANADERIA JACKELINE</t>
  </si>
  <si>
    <t>TV-02-0212-322</t>
  </si>
  <si>
    <t>DALILA MAIRENA MARTINEZ</t>
  </si>
  <si>
    <t>ANGELOS</t>
  </si>
  <si>
    <t>MM-02-0212-323</t>
  </si>
  <si>
    <t>ALI WATERS GARTH</t>
  </si>
  <si>
    <t>CAWOODS CIA LTD</t>
  </si>
  <si>
    <t>AI-02-0212-324</t>
  </si>
  <si>
    <t>ERNESTINA ZAMORA GARCIA</t>
  </si>
  <si>
    <t>PANADERIA LA BENDICION</t>
  </si>
  <si>
    <t>MM-02-0212-309</t>
  </si>
  <si>
    <t>JIMMY ALBERTH HANZAK IGNACIO</t>
  </si>
  <si>
    <t>TALLER HANZACK</t>
  </si>
  <si>
    <t>AI-02-0212-332</t>
  </si>
  <si>
    <t xml:space="preserve">SONIA BELINDA OSORTO MEDINA </t>
  </si>
  <si>
    <t xml:space="preserve">LICUADOS FRUTTY KATTY </t>
  </si>
  <si>
    <t>TV-02-1011-166</t>
  </si>
  <si>
    <t xml:space="preserve">TELIA ENMA SAMBOLA WILSON </t>
  </si>
  <si>
    <t xml:space="preserve">SASTRERÍA SAMBOLA </t>
  </si>
  <si>
    <t>AI-02-0212-330</t>
  </si>
  <si>
    <t>MAYNOR ANDRES BOJORGE BLANDON</t>
  </si>
  <si>
    <t>PANADERIA LA MARAVILLA</t>
  </si>
  <si>
    <t>AI-02-0212-329</t>
  </si>
  <si>
    <t>MAYBELY HERMION HODGSON OMIER</t>
  </si>
  <si>
    <t>PANADERIA MAYBELY</t>
  </si>
  <si>
    <t>AI-02-0212-328</t>
  </si>
  <si>
    <t>JOSE ELIAS MONTALVAN ACUÑA</t>
  </si>
  <si>
    <t>COOPERATIVA MULTISECTORIAL AUTONOMICA R.L (COOMAUTOM R.L)</t>
  </si>
  <si>
    <t>TV-02-1011-135</t>
  </si>
  <si>
    <t xml:space="preserve">JASON ORLANE DOWNS CARLSON </t>
  </si>
  <si>
    <t>IMPRESIONES Y COMUNICACIONES JL</t>
  </si>
  <si>
    <t>AI-02-0212-327</t>
  </si>
  <si>
    <t>JEANINE DEL ROSARIO MEZA TAPIA</t>
  </si>
  <si>
    <t>PANADERIA FRANCIS</t>
  </si>
  <si>
    <t>MM-02-0212-334</t>
  </si>
  <si>
    <t>JOSE FRANCISCO CHAVARRIA MOLINA</t>
  </si>
  <si>
    <t>MM-02-0212-344</t>
  </si>
  <si>
    <t>JULIO ANTONIO RIVAS</t>
  </si>
  <si>
    <t>TALLER SANTA LUCIA</t>
  </si>
  <si>
    <t>MM-02-1011-231</t>
  </si>
  <si>
    <t xml:space="preserve">DANILO GÓMEZ MAYORGA </t>
  </si>
  <si>
    <t xml:space="preserve">TALLER GÓMEZ </t>
  </si>
  <si>
    <t>TV-02-0212-311</t>
  </si>
  <si>
    <t>SAYONARA DEL CARMEN SEQUEIRA GUTIERREZ</t>
  </si>
  <si>
    <t>TALLER DE COSTURA SEQUEIRA</t>
  </si>
  <si>
    <t>TEXTIL VESTUARIO</t>
  </si>
  <si>
    <t>MUJER</t>
  </si>
  <si>
    <t>TV-02-0212-346</t>
  </si>
  <si>
    <t>GLADYS VICTORIA SEVILLA GATICA</t>
  </si>
  <si>
    <t>MANUALIDADES SEVILLA</t>
  </si>
  <si>
    <t>TV-02-0212-345</t>
  </si>
  <si>
    <t>MARIBEL DEL CARMEN JAYME BARQUERO</t>
  </si>
  <si>
    <t>ESTILO Y MODA ISSANIEL</t>
  </si>
  <si>
    <t>TV-02-0212-340</t>
  </si>
  <si>
    <t>RAMONA IVANIA SILES GONZALEZ</t>
  </si>
  <si>
    <t>MANUALIDADES EL ARTE</t>
  </si>
  <si>
    <t>MM-02-0212-341</t>
  </si>
  <si>
    <t>JOSE ANTONIO SANDOVAL JIMENEZ</t>
  </si>
  <si>
    <t>EBANISTERIA SANDOVAL</t>
  </si>
  <si>
    <t>CC-02-0212-342</t>
  </si>
  <si>
    <t>MARY LIZZEHTT RODRIGUEZ TORREZ</t>
  </si>
  <si>
    <t>TENERIA PUERTO RICO</t>
  </si>
  <si>
    <t>CC-02-0212-336</t>
  </si>
  <si>
    <t>JESUS MARIA AMADOR DUARTE</t>
  </si>
  <si>
    <t>TALABARTERIA SAN MARTIN</t>
  </si>
  <si>
    <t>AI-02-0212-347</t>
  </si>
  <si>
    <t>JUAN JOSE GAGO DUARTE</t>
  </si>
  <si>
    <t>LACTEOS GAGO</t>
  </si>
  <si>
    <t>AI-02-0212-338</t>
  </si>
  <si>
    <t>RUFINO ARAGON MARTINEZ</t>
  </si>
  <si>
    <t>LACTEOS LOS LLANOS</t>
  </si>
  <si>
    <t>AI-02-0212-337</t>
  </si>
  <si>
    <t>SANDRA DOLORES ESPINOZA URBINA</t>
  </si>
  <si>
    <t>VARIEDADES SEUSA</t>
  </si>
  <si>
    <t>TV-02-0212-335</t>
  </si>
  <si>
    <t>OSNEYDA MARIA SEQUEIRA GUTIERREZ</t>
  </si>
  <si>
    <t>VARIEDADES SEQUEIRA</t>
  </si>
  <si>
    <t>TV-02-0212-326</t>
  </si>
  <si>
    <t>JUANITA LUCIA FONSECA</t>
  </si>
  <si>
    <t>MINI COSTURA SAN PEDRO</t>
  </si>
  <si>
    <t>TV-02-0212-343</t>
  </si>
  <si>
    <t>VICTORIANA ESPERANZA OLIVAS SERRANO</t>
  </si>
  <si>
    <t>SASTRERIA OLIVAS</t>
  </si>
  <si>
    <t>TV-02-0212-333</t>
  </si>
  <si>
    <t>MARIA ESTELA OW PEREZ</t>
  </si>
  <si>
    <t>DISEÑOS VIRGEN  DEL FATIMA</t>
  </si>
  <si>
    <t>AI-02-0212-355</t>
  </si>
  <si>
    <t xml:space="preserve">ELIZABETH DEL CARMEN ARAGON LAGUNA </t>
  </si>
  <si>
    <t xml:space="preserve">PANADERÍA ARAGÓN </t>
  </si>
  <si>
    <t>AI-02-0212-354</t>
  </si>
  <si>
    <t>CARLOS MANUEL CARRANZA LAZO</t>
  </si>
  <si>
    <t>COOPROLECHE, R.L.</t>
  </si>
  <si>
    <t>MM-02-0212-353</t>
  </si>
  <si>
    <t>SILVIO JOSE GUERRERO ESTRADA</t>
  </si>
  <si>
    <t>CARPINTERIA GUERRERO</t>
  </si>
  <si>
    <t>AR-02-0212-352</t>
  </si>
  <si>
    <t>WILDER RAMON LUNA SOBALVARRO</t>
  </si>
  <si>
    <t>ARTESANIA LUNA</t>
  </si>
  <si>
    <t>CC-02-0212-351</t>
  </si>
  <si>
    <t>AUGUSTO CESAR ZEPEDA</t>
  </si>
  <si>
    <t>ZAPATERIA JOSUE</t>
  </si>
  <si>
    <t>CC-02-0212-331</t>
  </si>
  <si>
    <t>CATALINA MEJIA BARCIA</t>
  </si>
  <si>
    <t>ARTESANIAS DE APERO SAN JOSE</t>
  </si>
  <si>
    <t>AI-02-0212-348</t>
  </si>
  <si>
    <t>JUNE DARLING LEGALL CAMPBELL</t>
  </si>
  <si>
    <t>PANADERÍA Y REPOSTERÍA DOÑA JUNE</t>
  </si>
  <si>
    <t>MM-02-0212-349</t>
  </si>
  <si>
    <t>ERICK ANTONIO URBINA RIVAS</t>
  </si>
  <si>
    <t>CC-02-0212-350</t>
  </si>
  <si>
    <t>JOSE ANDRES MEJÍA</t>
  </si>
  <si>
    <t>ARTESANÍAS SAN ANDRES</t>
  </si>
  <si>
    <t xml:space="preserve">No  </t>
  </si>
  <si>
    <t>Sesion del Comité No.</t>
  </si>
  <si>
    <t>BOACO</t>
  </si>
  <si>
    <t>CHONTALES</t>
  </si>
  <si>
    <t xml:space="preserve">MINISTERIO DE FOMENTO INDUSTRIA Y COMERCIO </t>
  </si>
  <si>
    <t xml:space="preserve">PROYECTO DE DESARROLLO DE LA MICRO, PEQUEÑA Y MEDIANA EMPRESA </t>
  </si>
  <si>
    <t xml:space="preserve">BENEFICIADOS DE LA SEGUNDA RONDA DE LOS FONDOS COMPARTIDOS </t>
  </si>
  <si>
    <t>RAAS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</si>
</sst>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theme="1"/>
      <name val="Cambria"/>
      <family val="1"/>
      <scheme val="major"/>
    </font>
    <font>
      <sz val="9"/>
      <color rgb="FF0000FF"/>
      <name val="Cambria"/>
      <family val="1"/>
      <scheme val="major"/>
    </font>
    <font>
      <b/>
      <sz val="9"/>
      <color rgb="FF0000FF"/>
      <name val="Cambria"/>
      <family val="1"/>
      <scheme val="major"/>
    </font>
    <font>
      <sz val="9"/>
      <name val="Cambria"/>
      <family val="1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rgb="FF0000FF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14"/>
      <name val="Times New Roman"/>
      <family val="1"/>
    </font>
    <font>
      <b/>
      <i/>
      <sz val="14"/>
      <name val="Cambria"/>
      <family val="1"/>
      <scheme val="major"/>
    </font>
    <font>
      <b/>
      <sz val="10"/>
      <color rgb="FF0000FF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43" fontId="3" fillId="3" borderId="8" xfId="1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43" fontId="3" fillId="3" borderId="13" xfId="1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14" fontId="4" fillId="3" borderId="7" xfId="0" applyNumberFormat="1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left" vertical="center"/>
    </xf>
    <xf numFmtId="14" fontId="4" fillId="3" borderId="13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4" fontId="4" fillId="3" borderId="6" xfId="0" applyNumberFormat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43" fontId="4" fillId="3" borderId="13" xfId="1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left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43" fontId="0" fillId="0" borderId="0" xfId="0" applyNumberFormat="1"/>
    <xf numFmtId="43" fontId="8" fillId="3" borderId="13" xfId="1" applyFont="1" applyFill="1" applyBorder="1" applyAlignment="1">
      <alignment horizontal="center" vertical="center"/>
    </xf>
    <xf numFmtId="0" fontId="9" fillId="0" borderId="0" xfId="0" applyFont="1"/>
    <xf numFmtId="14" fontId="4" fillId="3" borderId="18" xfId="0" applyNumberFormat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11" fillId="0" borderId="0" xfId="0" applyFont="1"/>
    <xf numFmtId="0" fontId="5" fillId="2" borderId="0" xfId="0" applyFont="1" applyFill="1" applyAlignment="1">
      <alignment horizontal="center"/>
    </xf>
    <xf numFmtId="0" fontId="12" fillId="2" borderId="0" xfId="0" applyFont="1" applyFill="1" applyAlignment="1"/>
    <xf numFmtId="0" fontId="12" fillId="2" borderId="0" xfId="0" applyFont="1" applyFill="1" applyBorder="1" applyAlignment="1"/>
    <xf numFmtId="0" fontId="13" fillId="2" borderId="0" xfId="0" applyFont="1" applyFill="1" applyAlignment="1">
      <alignment horizontal="center"/>
    </xf>
    <xf numFmtId="0" fontId="13" fillId="2" borderId="0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left" vertical="center" wrapText="1"/>
    </xf>
    <xf numFmtId="43" fontId="4" fillId="3" borderId="8" xfId="1" applyFont="1" applyFill="1" applyBorder="1" applyAlignment="1">
      <alignment horizontal="center" vertical="center"/>
    </xf>
    <xf numFmtId="43" fontId="4" fillId="3" borderId="6" xfId="1" applyFont="1" applyFill="1" applyBorder="1" applyAlignment="1">
      <alignment horizontal="center" vertical="center"/>
    </xf>
    <xf numFmtId="43" fontId="4" fillId="3" borderId="10" xfId="1" applyFont="1" applyFill="1" applyBorder="1" applyAlignment="1">
      <alignment horizontal="center" vertical="center"/>
    </xf>
    <xf numFmtId="43" fontId="4" fillId="3" borderId="14" xfId="1" applyFont="1" applyFill="1" applyBorder="1" applyAlignment="1">
      <alignment horizontal="center" vertical="center"/>
    </xf>
    <xf numFmtId="43" fontId="4" fillId="3" borderId="17" xfId="1" applyFont="1" applyFill="1" applyBorder="1" applyAlignment="1">
      <alignment horizontal="center" vertical="center"/>
    </xf>
    <xf numFmtId="43" fontId="4" fillId="3" borderId="18" xfId="1" applyFont="1" applyFill="1" applyBorder="1" applyAlignment="1">
      <alignment horizontal="center" vertical="center"/>
    </xf>
    <xf numFmtId="43" fontId="4" fillId="3" borderId="19" xfId="1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left" vertical="center" wrapText="1"/>
    </xf>
    <xf numFmtId="0" fontId="10" fillId="0" borderId="0" xfId="0" applyFont="1"/>
    <xf numFmtId="43" fontId="14" fillId="3" borderId="13" xfId="1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83"/>
  <sheetViews>
    <sheetView tabSelected="1" workbookViewId="0">
      <selection activeCell="A5" sqref="A5"/>
    </sheetView>
  </sheetViews>
  <sheetFormatPr baseColWidth="10" defaultRowHeight="15"/>
  <cols>
    <col min="1" max="1" width="11.42578125" style="38"/>
    <col min="2" max="2" width="30" customWidth="1"/>
    <col min="3" max="3" width="49.85546875" customWidth="1"/>
    <col min="4" max="4" width="49.140625" customWidth="1"/>
    <col min="5" max="5" width="19.42578125" customWidth="1"/>
    <col min="13" max="13" width="15.42578125" customWidth="1"/>
    <col min="14" max="14" width="20.85546875" customWidth="1"/>
    <col min="15" max="15" width="16" customWidth="1"/>
    <col min="16" max="16" width="17" customWidth="1"/>
  </cols>
  <sheetData>
    <row r="1" spans="1:16" ht="18">
      <c r="A1" s="42" t="s">
        <v>762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16" ht="18">
      <c r="A2" s="42" t="s">
        <v>763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</row>
    <row r="3" spans="1:16" ht="18">
      <c r="A3" s="42" t="s">
        <v>764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ht="18.75" thickBot="1">
      <c r="A4" s="42" t="s">
        <v>765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</row>
    <row r="5" spans="1:16" ht="24.75" thickBot="1">
      <c r="A5" s="32" t="s">
        <v>758</v>
      </c>
      <c r="B5" s="3" t="s">
        <v>0</v>
      </c>
      <c r="C5" s="1" t="s">
        <v>1</v>
      </c>
      <c r="D5" s="2" t="s">
        <v>2</v>
      </c>
      <c r="E5" s="1" t="s">
        <v>3</v>
      </c>
      <c r="F5" s="2" t="s">
        <v>4</v>
      </c>
      <c r="G5" s="3" t="s">
        <v>5</v>
      </c>
      <c r="H5" s="2" t="s">
        <v>6</v>
      </c>
      <c r="I5" s="1" t="s">
        <v>7</v>
      </c>
      <c r="J5" s="2" t="s">
        <v>8</v>
      </c>
      <c r="K5" s="2" t="s">
        <v>9</v>
      </c>
      <c r="L5" s="2" t="s">
        <v>759</v>
      </c>
      <c r="M5" s="1" t="s">
        <v>10</v>
      </c>
      <c r="N5" s="1" t="s">
        <v>11</v>
      </c>
      <c r="O5" s="1" t="s">
        <v>12</v>
      </c>
      <c r="P5" s="4" t="s">
        <v>13</v>
      </c>
    </row>
    <row r="6" spans="1:16" ht="15.75" thickBot="1">
      <c r="A6" s="7">
        <v>1</v>
      </c>
      <c r="B6" s="14" t="s">
        <v>191</v>
      </c>
      <c r="C6" s="15" t="s">
        <v>192</v>
      </c>
      <c r="D6" s="15" t="s">
        <v>193</v>
      </c>
      <c r="E6" s="14" t="s">
        <v>22</v>
      </c>
      <c r="F6" s="14" t="s">
        <v>194</v>
      </c>
      <c r="G6" s="14" t="s">
        <v>5</v>
      </c>
      <c r="H6" s="14"/>
      <c r="I6" s="14"/>
      <c r="J6" s="14"/>
      <c r="K6" s="14" t="s">
        <v>9</v>
      </c>
      <c r="L6" s="14">
        <v>18</v>
      </c>
      <c r="M6" s="14">
        <v>40896</v>
      </c>
      <c r="N6" s="1">
        <v>5668.78</v>
      </c>
      <c r="O6" s="1">
        <v>629.86</v>
      </c>
      <c r="P6" s="4">
        <v>6298.6399999999994</v>
      </c>
    </row>
    <row r="7" spans="1:16">
      <c r="A7" s="7">
        <v>2</v>
      </c>
      <c r="B7" s="14" t="s">
        <v>195</v>
      </c>
      <c r="C7" s="15" t="s">
        <v>196</v>
      </c>
      <c r="D7" s="15" t="s">
        <v>197</v>
      </c>
      <c r="E7" s="14" t="s">
        <v>22</v>
      </c>
      <c r="F7" s="14" t="s">
        <v>194</v>
      </c>
      <c r="G7" s="14" t="s">
        <v>5</v>
      </c>
      <c r="H7" s="14"/>
      <c r="I7" s="14"/>
      <c r="J7" s="14"/>
      <c r="K7" s="14" t="s">
        <v>9</v>
      </c>
      <c r="L7" s="14">
        <v>18</v>
      </c>
      <c r="M7" s="14">
        <v>40896</v>
      </c>
      <c r="N7" s="8">
        <v>8994.6299999999992</v>
      </c>
      <c r="O7" s="8">
        <v>999.4</v>
      </c>
      <c r="P7" s="8">
        <v>9994.0299999999988</v>
      </c>
    </row>
    <row r="8" spans="1:16">
      <c r="A8" s="5">
        <v>3</v>
      </c>
      <c r="B8" s="14" t="s">
        <v>198</v>
      </c>
      <c r="C8" s="15" t="s">
        <v>199</v>
      </c>
      <c r="D8" s="15" t="s">
        <v>200</v>
      </c>
      <c r="E8" s="14" t="s">
        <v>22</v>
      </c>
      <c r="F8" s="14" t="s">
        <v>194</v>
      </c>
      <c r="G8" s="14" t="s">
        <v>5</v>
      </c>
      <c r="H8" s="14"/>
      <c r="I8" s="14"/>
      <c r="J8" s="14"/>
      <c r="K8" s="14" t="s">
        <v>9</v>
      </c>
      <c r="L8" s="14">
        <v>18</v>
      </c>
      <c r="M8" s="14">
        <v>40896</v>
      </c>
      <c r="N8" s="8">
        <v>8282.7800000000007</v>
      </c>
      <c r="O8" s="8">
        <v>920.31</v>
      </c>
      <c r="P8" s="8">
        <v>9203.09</v>
      </c>
    </row>
    <row r="9" spans="1:16">
      <c r="A9" s="7">
        <v>4</v>
      </c>
      <c r="B9" s="14" t="s">
        <v>201</v>
      </c>
      <c r="C9" s="15" t="s">
        <v>202</v>
      </c>
      <c r="D9" s="15" t="s">
        <v>203</v>
      </c>
      <c r="E9" s="14" t="s">
        <v>22</v>
      </c>
      <c r="F9" s="14" t="s">
        <v>194</v>
      </c>
      <c r="G9" s="14" t="s">
        <v>5</v>
      </c>
      <c r="H9" s="14"/>
      <c r="I9" s="14"/>
      <c r="J9" s="14"/>
      <c r="K9" s="14" t="s">
        <v>9</v>
      </c>
      <c r="L9" s="14">
        <v>18</v>
      </c>
      <c r="M9" s="14">
        <v>40896</v>
      </c>
      <c r="N9" s="8">
        <v>9066.6</v>
      </c>
      <c r="O9" s="8">
        <v>1007.4</v>
      </c>
      <c r="P9" s="8">
        <v>10074</v>
      </c>
    </row>
    <row r="10" spans="1:16">
      <c r="A10" s="7">
        <v>5</v>
      </c>
      <c r="B10" s="14" t="s">
        <v>204</v>
      </c>
      <c r="C10" s="15" t="s">
        <v>205</v>
      </c>
      <c r="D10" s="15" t="s">
        <v>206</v>
      </c>
      <c r="E10" s="14" t="s">
        <v>22</v>
      </c>
      <c r="F10" s="14" t="s">
        <v>194</v>
      </c>
      <c r="G10" s="14" t="s">
        <v>5</v>
      </c>
      <c r="H10" s="14"/>
      <c r="I10" s="14"/>
      <c r="J10" s="14"/>
      <c r="K10" s="14" t="s">
        <v>9</v>
      </c>
      <c r="L10" s="14">
        <v>18</v>
      </c>
      <c r="M10" s="14">
        <v>40896</v>
      </c>
      <c r="N10" s="8">
        <v>8988.8700000000008</v>
      </c>
      <c r="O10" s="8">
        <v>998.76</v>
      </c>
      <c r="P10" s="8">
        <v>9987.630000000001</v>
      </c>
    </row>
    <row r="11" spans="1:16">
      <c r="A11" s="5">
        <v>6</v>
      </c>
      <c r="B11" s="14" t="s">
        <v>207</v>
      </c>
      <c r="C11" s="15" t="s">
        <v>208</v>
      </c>
      <c r="D11" s="15" t="s">
        <v>209</v>
      </c>
      <c r="E11" s="14" t="s">
        <v>22</v>
      </c>
      <c r="F11" s="14" t="s">
        <v>194</v>
      </c>
      <c r="G11" s="14" t="s">
        <v>5</v>
      </c>
      <c r="H11" s="14"/>
      <c r="I11" s="14"/>
      <c r="J11" s="14"/>
      <c r="K11" s="14" t="s">
        <v>9</v>
      </c>
      <c r="L11" s="14">
        <v>18</v>
      </c>
      <c r="M11" s="14">
        <v>40896</v>
      </c>
      <c r="N11" s="8">
        <v>8599.17</v>
      </c>
      <c r="O11" s="8">
        <v>955.46</v>
      </c>
      <c r="P11" s="8">
        <v>9554.630000000001</v>
      </c>
    </row>
    <row r="12" spans="1:16">
      <c r="A12" s="7">
        <v>7</v>
      </c>
      <c r="B12" s="14" t="s">
        <v>210</v>
      </c>
      <c r="C12" s="15" t="s">
        <v>211</v>
      </c>
      <c r="D12" s="15" t="s">
        <v>212</v>
      </c>
      <c r="E12" s="14" t="s">
        <v>22</v>
      </c>
      <c r="F12" s="14" t="s">
        <v>194</v>
      </c>
      <c r="G12" s="14" t="s">
        <v>5</v>
      </c>
      <c r="H12" s="14"/>
      <c r="I12" s="14"/>
      <c r="J12" s="14" t="s">
        <v>8</v>
      </c>
      <c r="K12" s="14"/>
      <c r="L12" s="14">
        <v>18</v>
      </c>
      <c r="M12" s="14">
        <v>40896</v>
      </c>
      <c r="N12" s="8">
        <v>9563.99</v>
      </c>
      <c r="O12" s="8">
        <v>2391</v>
      </c>
      <c r="P12" s="8">
        <v>11954.99</v>
      </c>
    </row>
    <row r="13" spans="1:16">
      <c r="A13" s="7">
        <v>8</v>
      </c>
      <c r="B13" s="14" t="s">
        <v>213</v>
      </c>
      <c r="C13" s="15" t="s">
        <v>214</v>
      </c>
      <c r="D13" s="15" t="s">
        <v>215</v>
      </c>
      <c r="E13" s="14" t="s">
        <v>22</v>
      </c>
      <c r="F13" s="14" t="s">
        <v>194</v>
      </c>
      <c r="G13" s="14"/>
      <c r="H13" s="14" t="s">
        <v>6</v>
      </c>
      <c r="I13" s="14"/>
      <c r="J13" s="14"/>
      <c r="K13" s="14" t="s">
        <v>9</v>
      </c>
      <c r="L13" s="14">
        <v>21</v>
      </c>
      <c r="M13" s="14">
        <v>40899</v>
      </c>
      <c r="N13" s="8">
        <v>9797.1200000000008</v>
      </c>
      <c r="O13" s="8">
        <v>6531.41</v>
      </c>
      <c r="P13" s="8">
        <v>16328.53</v>
      </c>
    </row>
    <row r="14" spans="1:16">
      <c r="A14" s="5">
        <v>9</v>
      </c>
      <c r="B14" s="14" t="s">
        <v>216</v>
      </c>
      <c r="C14" s="15" t="s">
        <v>217</v>
      </c>
      <c r="D14" s="15" t="s">
        <v>215</v>
      </c>
      <c r="E14" s="14" t="s">
        <v>22</v>
      </c>
      <c r="F14" s="14" t="s">
        <v>194</v>
      </c>
      <c r="G14" s="14" t="s">
        <v>5</v>
      </c>
      <c r="H14" s="14"/>
      <c r="I14" s="14"/>
      <c r="J14" s="14"/>
      <c r="K14" s="14" t="s">
        <v>9</v>
      </c>
      <c r="L14" s="14">
        <v>21</v>
      </c>
      <c r="M14" s="14">
        <v>40899</v>
      </c>
      <c r="N14" s="8">
        <v>9788.4599999999991</v>
      </c>
      <c r="O14" s="8">
        <v>2447.12</v>
      </c>
      <c r="P14" s="8">
        <v>12235.579999999998</v>
      </c>
    </row>
    <row r="15" spans="1:16">
      <c r="A15" s="7">
        <v>10</v>
      </c>
      <c r="B15" s="14" t="s">
        <v>218</v>
      </c>
      <c r="C15" s="15" t="s">
        <v>219</v>
      </c>
      <c r="D15" s="15" t="s">
        <v>220</v>
      </c>
      <c r="E15" s="14" t="s">
        <v>22</v>
      </c>
      <c r="F15" s="14" t="s">
        <v>194</v>
      </c>
      <c r="G15" s="14" t="s">
        <v>5</v>
      </c>
      <c r="H15" s="14"/>
      <c r="I15" s="14"/>
      <c r="J15" s="14"/>
      <c r="K15" s="14" t="s">
        <v>9</v>
      </c>
      <c r="L15" s="14">
        <v>21</v>
      </c>
      <c r="M15" s="14">
        <v>40899</v>
      </c>
      <c r="N15" s="8">
        <v>5324.91</v>
      </c>
      <c r="O15" s="8">
        <v>1331.23</v>
      </c>
      <c r="P15" s="8">
        <v>6656.1399999999994</v>
      </c>
    </row>
    <row r="16" spans="1:16">
      <c r="A16" s="7">
        <v>11</v>
      </c>
      <c r="B16" s="14" t="s">
        <v>221</v>
      </c>
      <c r="C16" s="15" t="s">
        <v>222</v>
      </c>
      <c r="D16" s="15" t="s">
        <v>223</v>
      </c>
      <c r="E16" s="14" t="s">
        <v>22</v>
      </c>
      <c r="F16" s="14" t="s">
        <v>194</v>
      </c>
      <c r="G16" s="14" t="s">
        <v>5</v>
      </c>
      <c r="H16" s="14"/>
      <c r="I16" s="14"/>
      <c r="J16" s="14"/>
      <c r="K16" s="14" t="s">
        <v>9</v>
      </c>
      <c r="L16" s="14">
        <v>21</v>
      </c>
      <c r="M16" s="14">
        <v>40899</v>
      </c>
      <c r="N16" s="8">
        <v>8812.07</v>
      </c>
      <c r="O16" s="8">
        <v>2203.02</v>
      </c>
      <c r="P16" s="8">
        <v>11015.09</v>
      </c>
    </row>
    <row r="17" spans="1:16">
      <c r="A17" s="5">
        <v>12</v>
      </c>
      <c r="B17" s="14" t="s">
        <v>224</v>
      </c>
      <c r="C17" s="15" t="s">
        <v>225</v>
      </c>
      <c r="D17" s="15" t="s">
        <v>226</v>
      </c>
      <c r="E17" s="14" t="s">
        <v>22</v>
      </c>
      <c r="F17" s="14" t="s">
        <v>194</v>
      </c>
      <c r="G17" s="14" t="s">
        <v>5</v>
      </c>
      <c r="H17" s="14"/>
      <c r="I17" s="14"/>
      <c r="J17" s="14"/>
      <c r="K17" s="14" t="s">
        <v>9</v>
      </c>
      <c r="L17" s="14">
        <v>21</v>
      </c>
      <c r="M17" s="14">
        <v>40899</v>
      </c>
      <c r="N17" s="8">
        <v>10000</v>
      </c>
      <c r="O17" s="8">
        <v>2990.4</v>
      </c>
      <c r="P17" s="8">
        <v>12990.4</v>
      </c>
    </row>
    <row r="18" spans="1:16">
      <c r="A18" s="7">
        <v>13</v>
      </c>
      <c r="B18" s="14" t="s">
        <v>227</v>
      </c>
      <c r="C18" s="15" t="s">
        <v>228</v>
      </c>
      <c r="D18" s="15" t="s">
        <v>229</v>
      </c>
      <c r="E18" s="14" t="s">
        <v>22</v>
      </c>
      <c r="F18" s="14" t="s">
        <v>194</v>
      </c>
      <c r="G18" s="14" t="s">
        <v>5</v>
      </c>
      <c r="H18" s="14"/>
      <c r="I18" s="14"/>
      <c r="J18" s="14" t="s">
        <v>8</v>
      </c>
      <c r="K18" s="14"/>
      <c r="L18" s="14">
        <v>21</v>
      </c>
      <c r="M18" s="14">
        <v>40899</v>
      </c>
      <c r="N18" s="8">
        <v>8098.74</v>
      </c>
      <c r="O18" s="8">
        <v>899.86</v>
      </c>
      <c r="P18" s="8">
        <v>8998.6</v>
      </c>
    </row>
    <row r="19" spans="1:16">
      <c r="A19" s="7">
        <v>14</v>
      </c>
      <c r="B19" s="14" t="s">
        <v>230</v>
      </c>
      <c r="C19" s="15" t="s">
        <v>231</v>
      </c>
      <c r="D19" s="15" t="s">
        <v>232</v>
      </c>
      <c r="E19" s="14" t="s">
        <v>22</v>
      </c>
      <c r="F19" s="14" t="s">
        <v>194</v>
      </c>
      <c r="G19" s="14" t="s">
        <v>5</v>
      </c>
      <c r="H19" s="14"/>
      <c r="I19" s="14"/>
      <c r="J19" s="14"/>
      <c r="K19" s="14" t="s">
        <v>9</v>
      </c>
      <c r="L19" s="14">
        <v>21</v>
      </c>
      <c r="M19" s="14">
        <v>40899</v>
      </c>
      <c r="N19" s="8">
        <v>8488.4699999999993</v>
      </c>
      <c r="O19" s="8">
        <v>943.16</v>
      </c>
      <c r="P19" s="8">
        <v>9431.6299999999992</v>
      </c>
    </row>
    <row r="20" spans="1:16">
      <c r="A20" s="5">
        <v>15</v>
      </c>
      <c r="B20" s="14" t="s">
        <v>233</v>
      </c>
      <c r="C20" s="15" t="s">
        <v>234</v>
      </c>
      <c r="D20" s="15" t="s">
        <v>235</v>
      </c>
      <c r="E20" s="14" t="s">
        <v>22</v>
      </c>
      <c r="F20" s="14" t="s">
        <v>194</v>
      </c>
      <c r="G20" s="14" t="s">
        <v>5</v>
      </c>
      <c r="H20" s="14"/>
      <c r="I20" s="14"/>
      <c r="J20" s="14"/>
      <c r="K20" s="14" t="s">
        <v>9</v>
      </c>
      <c r="L20" s="14">
        <v>21</v>
      </c>
      <c r="M20" s="14">
        <v>40899</v>
      </c>
      <c r="N20" s="8">
        <v>9561.6</v>
      </c>
      <c r="O20" s="8">
        <v>2390.4</v>
      </c>
      <c r="P20" s="8">
        <v>11952</v>
      </c>
    </row>
    <row r="21" spans="1:16">
      <c r="A21" s="7">
        <v>16</v>
      </c>
      <c r="B21" s="14" t="s">
        <v>236</v>
      </c>
      <c r="C21" s="15" t="s">
        <v>237</v>
      </c>
      <c r="D21" s="15" t="s">
        <v>238</v>
      </c>
      <c r="E21" s="14" t="s">
        <v>22</v>
      </c>
      <c r="F21" s="14" t="s">
        <v>194</v>
      </c>
      <c r="G21" s="14" t="s">
        <v>5</v>
      </c>
      <c r="H21" s="14"/>
      <c r="I21" s="14"/>
      <c r="J21" s="14"/>
      <c r="K21" s="14" t="s">
        <v>9</v>
      </c>
      <c r="L21" s="14">
        <v>21</v>
      </c>
      <c r="M21" s="14">
        <v>40899</v>
      </c>
      <c r="N21" s="8">
        <v>9947.1</v>
      </c>
      <c r="O21" s="8">
        <v>1105.23</v>
      </c>
      <c r="P21" s="8">
        <v>11052.33</v>
      </c>
    </row>
    <row r="22" spans="1:16">
      <c r="A22" s="7">
        <v>17</v>
      </c>
      <c r="B22" s="14" t="s">
        <v>239</v>
      </c>
      <c r="C22" s="15" t="s">
        <v>240</v>
      </c>
      <c r="D22" s="15" t="s">
        <v>241</v>
      </c>
      <c r="E22" s="14" t="s">
        <v>22</v>
      </c>
      <c r="F22" s="14" t="s">
        <v>194</v>
      </c>
      <c r="G22" s="14" t="s">
        <v>5</v>
      </c>
      <c r="H22" s="14"/>
      <c r="I22" s="14"/>
      <c r="J22" s="14" t="s">
        <v>8</v>
      </c>
      <c r="K22" s="14"/>
      <c r="L22" s="14">
        <v>22</v>
      </c>
      <c r="M22" s="14">
        <v>40906</v>
      </c>
      <c r="N22" s="8">
        <v>8242.4699999999993</v>
      </c>
      <c r="O22" s="8">
        <v>2060.62</v>
      </c>
      <c r="P22" s="8">
        <v>10303.09</v>
      </c>
    </row>
    <row r="23" spans="1:16">
      <c r="A23" s="5">
        <v>18</v>
      </c>
      <c r="B23" s="14" t="s">
        <v>242</v>
      </c>
      <c r="C23" s="15" t="s">
        <v>243</v>
      </c>
      <c r="D23" s="15" t="s">
        <v>244</v>
      </c>
      <c r="E23" s="14" t="s">
        <v>22</v>
      </c>
      <c r="F23" s="14" t="s">
        <v>194</v>
      </c>
      <c r="G23" s="14" t="s">
        <v>5</v>
      </c>
      <c r="H23" s="14"/>
      <c r="I23" s="14"/>
      <c r="J23" s="14"/>
      <c r="K23" s="14" t="s">
        <v>9</v>
      </c>
      <c r="L23" s="14">
        <v>22</v>
      </c>
      <c r="M23" s="14">
        <v>40906</v>
      </c>
      <c r="N23" s="8">
        <v>5659.27</v>
      </c>
      <c r="O23" s="8">
        <v>628.80999999999995</v>
      </c>
      <c r="P23" s="8">
        <v>6288.08</v>
      </c>
    </row>
    <row r="24" spans="1:16">
      <c r="A24" s="7">
        <v>19</v>
      </c>
      <c r="B24" s="14" t="s">
        <v>245</v>
      </c>
      <c r="C24" s="15" t="s">
        <v>246</v>
      </c>
      <c r="D24" s="15" t="s">
        <v>247</v>
      </c>
      <c r="E24" s="14" t="s">
        <v>22</v>
      </c>
      <c r="F24" s="14" t="s">
        <v>194</v>
      </c>
      <c r="G24" s="14" t="s">
        <v>5</v>
      </c>
      <c r="H24" s="14"/>
      <c r="I24" s="14"/>
      <c r="J24" s="14"/>
      <c r="K24" s="14" t="s">
        <v>9</v>
      </c>
      <c r="L24" s="14">
        <v>22</v>
      </c>
      <c r="M24" s="14">
        <v>40906</v>
      </c>
      <c r="N24" s="8">
        <v>5983.78</v>
      </c>
      <c r="O24" s="8">
        <v>664.86</v>
      </c>
      <c r="P24" s="8">
        <v>6648.6399999999994</v>
      </c>
    </row>
    <row r="25" spans="1:16">
      <c r="A25" s="7">
        <v>20</v>
      </c>
      <c r="B25" s="14" t="s">
        <v>248</v>
      </c>
      <c r="C25" s="15" t="s">
        <v>249</v>
      </c>
      <c r="D25" s="15" t="s">
        <v>250</v>
      </c>
      <c r="E25" s="14" t="s">
        <v>17</v>
      </c>
      <c r="F25" s="14" t="s">
        <v>194</v>
      </c>
      <c r="G25" s="14" t="s">
        <v>5</v>
      </c>
      <c r="H25" s="14"/>
      <c r="I25" s="14"/>
      <c r="J25" s="14" t="s">
        <v>8</v>
      </c>
      <c r="K25" s="14"/>
      <c r="L25" s="14">
        <v>22</v>
      </c>
      <c r="M25" s="14">
        <v>40906</v>
      </c>
      <c r="N25" s="8">
        <v>4424.32</v>
      </c>
      <c r="O25" s="8">
        <v>1106.08</v>
      </c>
      <c r="P25" s="8">
        <v>5530.4</v>
      </c>
    </row>
    <row r="26" spans="1:16">
      <c r="A26" s="5">
        <v>21</v>
      </c>
      <c r="B26" s="14" t="s">
        <v>251</v>
      </c>
      <c r="C26" s="15" t="s">
        <v>252</v>
      </c>
      <c r="D26" s="15" t="s">
        <v>253</v>
      </c>
      <c r="E26" s="14" t="s">
        <v>22</v>
      </c>
      <c r="F26" s="14" t="s">
        <v>194</v>
      </c>
      <c r="G26" s="14"/>
      <c r="H26" s="14" t="s">
        <v>6</v>
      </c>
      <c r="I26" s="14"/>
      <c r="J26" s="14"/>
      <c r="K26" s="14" t="s">
        <v>9</v>
      </c>
      <c r="L26" s="14">
        <v>23</v>
      </c>
      <c r="M26" s="14">
        <v>40914</v>
      </c>
      <c r="N26" s="8">
        <v>6475.64</v>
      </c>
      <c r="O26" s="8">
        <v>4317.1000000000004</v>
      </c>
      <c r="P26" s="8">
        <v>10792.740000000002</v>
      </c>
    </row>
    <row r="27" spans="1:16">
      <c r="A27" s="7">
        <v>22</v>
      </c>
      <c r="B27" s="14" t="s">
        <v>254</v>
      </c>
      <c r="C27" s="15" t="s">
        <v>255</v>
      </c>
      <c r="D27" s="15" t="s">
        <v>256</v>
      </c>
      <c r="E27" s="14" t="s">
        <v>22</v>
      </c>
      <c r="F27" s="14" t="s">
        <v>194</v>
      </c>
      <c r="G27" s="14" t="s">
        <v>5</v>
      </c>
      <c r="H27" s="14"/>
      <c r="I27" s="14"/>
      <c r="J27" s="14" t="s">
        <v>8</v>
      </c>
      <c r="K27" s="14"/>
      <c r="L27" s="14">
        <v>23</v>
      </c>
      <c r="M27" s="14">
        <v>40914</v>
      </c>
      <c r="N27" s="8">
        <v>7148.33</v>
      </c>
      <c r="O27" s="8">
        <v>794.26</v>
      </c>
      <c r="P27" s="8">
        <v>7942.59</v>
      </c>
    </row>
    <row r="28" spans="1:16">
      <c r="A28" s="7">
        <v>23</v>
      </c>
      <c r="B28" s="14" t="s">
        <v>257</v>
      </c>
      <c r="C28" s="15" t="s">
        <v>258</v>
      </c>
      <c r="D28" s="15" t="s">
        <v>259</v>
      </c>
      <c r="E28" s="14" t="s">
        <v>22</v>
      </c>
      <c r="F28" s="14" t="s">
        <v>194</v>
      </c>
      <c r="G28" s="14" t="s">
        <v>5</v>
      </c>
      <c r="H28" s="14"/>
      <c r="I28" s="14"/>
      <c r="J28" s="14"/>
      <c r="K28" s="14" t="s">
        <v>9</v>
      </c>
      <c r="L28" s="14">
        <v>23</v>
      </c>
      <c r="M28" s="14">
        <v>40914</v>
      </c>
      <c r="N28" s="8">
        <v>9775.26</v>
      </c>
      <c r="O28" s="8">
        <v>2443.8200000000002</v>
      </c>
      <c r="P28" s="8">
        <v>12219.08</v>
      </c>
    </row>
    <row r="29" spans="1:16">
      <c r="A29" s="5">
        <v>24</v>
      </c>
      <c r="B29" s="14" t="s">
        <v>260</v>
      </c>
      <c r="C29" s="15" t="s">
        <v>261</v>
      </c>
      <c r="D29" s="15" t="s">
        <v>262</v>
      </c>
      <c r="E29" s="14" t="s">
        <v>17</v>
      </c>
      <c r="F29" s="14" t="s">
        <v>194</v>
      </c>
      <c r="G29" s="14" t="s">
        <v>263</v>
      </c>
      <c r="H29" s="14"/>
      <c r="I29" s="14"/>
      <c r="J29" s="14" t="s">
        <v>8</v>
      </c>
      <c r="K29" s="14"/>
      <c r="L29" s="14">
        <v>23</v>
      </c>
      <c r="M29" s="14">
        <v>40914</v>
      </c>
      <c r="N29" s="8">
        <v>6401.6</v>
      </c>
      <c r="O29" s="8">
        <v>1600.4</v>
      </c>
      <c r="P29" s="8">
        <v>8002</v>
      </c>
    </row>
    <row r="30" spans="1:16">
      <c r="A30" s="7">
        <v>25</v>
      </c>
      <c r="B30" s="14" t="s">
        <v>264</v>
      </c>
      <c r="C30" s="15" t="s">
        <v>265</v>
      </c>
      <c r="D30" s="15" t="s">
        <v>266</v>
      </c>
      <c r="E30" s="14" t="s">
        <v>17</v>
      </c>
      <c r="F30" s="14" t="s">
        <v>194</v>
      </c>
      <c r="G30" s="14" t="s">
        <v>5</v>
      </c>
      <c r="H30" s="14"/>
      <c r="I30" s="14"/>
      <c r="J30" s="14" t="s">
        <v>8</v>
      </c>
      <c r="K30" s="14"/>
      <c r="L30" s="14">
        <v>23</v>
      </c>
      <c r="M30" s="14">
        <v>40914</v>
      </c>
      <c r="N30" s="8">
        <v>5079.4799999999996</v>
      </c>
      <c r="O30" s="8">
        <v>1269.8699999999999</v>
      </c>
      <c r="P30" s="8">
        <v>6349.3499999999995</v>
      </c>
    </row>
    <row r="31" spans="1:16">
      <c r="A31" s="7">
        <v>26</v>
      </c>
      <c r="B31" s="14" t="s">
        <v>267</v>
      </c>
      <c r="C31" s="15" t="s">
        <v>268</v>
      </c>
      <c r="D31" s="15" t="s">
        <v>269</v>
      </c>
      <c r="E31" s="14" t="s">
        <v>22</v>
      </c>
      <c r="F31" s="14" t="s">
        <v>194</v>
      </c>
      <c r="G31" s="14" t="s">
        <v>5</v>
      </c>
      <c r="H31" s="14"/>
      <c r="I31" s="14"/>
      <c r="J31" s="14"/>
      <c r="K31" s="14" t="s">
        <v>9</v>
      </c>
      <c r="L31" s="14">
        <v>23</v>
      </c>
      <c r="M31" s="14">
        <v>40914</v>
      </c>
      <c r="N31" s="8">
        <v>6470.65</v>
      </c>
      <c r="O31" s="8">
        <v>1617.66</v>
      </c>
      <c r="P31" s="8">
        <v>8088.3099999999995</v>
      </c>
    </row>
    <row r="32" spans="1:16">
      <c r="A32" s="5">
        <v>27</v>
      </c>
      <c r="B32" s="14" t="s">
        <v>270</v>
      </c>
      <c r="C32" s="15" t="s">
        <v>271</v>
      </c>
      <c r="D32" s="15" t="s">
        <v>272</v>
      </c>
      <c r="E32" s="14" t="s">
        <v>22</v>
      </c>
      <c r="F32" s="14" t="s">
        <v>194</v>
      </c>
      <c r="G32" s="14" t="s">
        <v>5</v>
      </c>
      <c r="H32" s="14"/>
      <c r="I32" s="14"/>
      <c r="J32" s="14"/>
      <c r="K32" s="14" t="s">
        <v>9</v>
      </c>
      <c r="L32" s="14">
        <v>23</v>
      </c>
      <c r="M32" s="14">
        <v>40914</v>
      </c>
      <c r="N32" s="8">
        <v>9885.66</v>
      </c>
      <c r="O32" s="8">
        <v>2471.42</v>
      </c>
      <c r="P32" s="8">
        <v>12357.08</v>
      </c>
    </row>
    <row r="33" spans="1:16">
      <c r="A33" s="7">
        <v>28</v>
      </c>
      <c r="B33" s="14" t="s">
        <v>273</v>
      </c>
      <c r="C33" s="15" t="s">
        <v>274</v>
      </c>
      <c r="D33" s="15" t="s">
        <v>275</v>
      </c>
      <c r="E33" s="14" t="s">
        <v>22</v>
      </c>
      <c r="F33" s="14" t="s">
        <v>194</v>
      </c>
      <c r="G33" s="14" t="s">
        <v>5</v>
      </c>
      <c r="H33" s="14"/>
      <c r="I33" s="14"/>
      <c r="J33" s="14"/>
      <c r="K33" s="14" t="s">
        <v>9</v>
      </c>
      <c r="L33" s="14">
        <v>23</v>
      </c>
      <c r="M33" s="14">
        <v>40914</v>
      </c>
      <c r="N33" s="8">
        <v>9731.26</v>
      </c>
      <c r="O33" s="8">
        <v>2432.8200000000002</v>
      </c>
      <c r="P33" s="8">
        <v>12164.08</v>
      </c>
    </row>
    <row r="34" spans="1:16">
      <c r="A34" s="7">
        <v>29</v>
      </c>
      <c r="B34" s="14" t="s">
        <v>276</v>
      </c>
      <c r="C34" s="15" t="s">
        <v>277</v>
      </c>
      <c r="D34" s="15" t="s">
        <v>278</v>
      </c>
      <c r="E34" s="14" t="s">
        <v>22</v>
      </c>
      <c r="F34" s="14" t="s">
        <v>194</v>
      </c>
      <c r="G34" s="14" t="s">
        <v>5</v>
      </c>
      <c r="H34" s="14"/>
      <c r="I34" s="14"/>
      <c r="J34" s="14"/>
      <c r="K34" s="14" t="s">
        <v>9</v>
      </c>
      <c r="L34" s="14">
        <v>23</v>
      </c>
      <c r="M34" s="14">
        <v>40914</v>
      </c>
      <c r="N34" s="8">
        <v>5310.9</v>
      </c>
      <c r="O34" s="8">
        <v>1327.73</v>
      </c>
      <c r="P34" s="8">
        <v>6638.6299999999992</v>
      </c>
    </row>
    <row r="35" spans="1:16">
      <c r="A35" s="5">
        <v>30</v>
      </c>
      <c r="B35" s="14" t="s">
        <v>279</v>
      </c>
      <c r="C35" s="15" t="s">
        <v>280</v>
      </c>
      <c r="D35" s="15" t="s">
        <v>281</v>
      </c>
      <c r="E35" s="14" t="s">
        <v>22</v>
      </c>
      <c r="F35" s="14" t="s">
        <v>194</v>
      </c>
      <c r="G35" s="14" t="s">
        <v>5</v>
      </c>
      <c r="H35" s="14"/>
      <c r="I35" s="14"/>
      <c r="J35" s="14"/>
      <c r="K35" s="14" t="s">
        <v>9</v>
      </c>
      <c r="L35" s="14">
        <v>23</v>
      </c>
      <c r="M35" s="14">
        <v>40914</v>
      </c>
      <c r="N35" s="8">
        <v>6293.6</v>
      </c>
      <c r="O35" s="8">
        <v>1573.4</v>
      </c>
      <c r="P35" s="8">
        <v>7867</v>
      </c>
    </row>
    <row r="36" spans="1:16">
      <c r="A36" s="7">
        <v>31</v>
      </c>
      <c r="B36" s="14" t="s">
        <v>282</v>
      </c>
      <c r="C36" s="15" t="s">
        <v>283</v>
      </c>
      <c r="D36" s="15" t="s">
        <v>284</v>
      </c>
      <c r="E36" s="14" t="s">
        <v>22</v>
      </c>
      <c r="F36" s="14" t="s">
        <v>194</v>
      </c>
      <c r="G36" s="14"/>
      <c r="H36" s="14" t="s">
        <v>6</v>
      </c>
      <c r="I36" s="14"/>
      <c r="J36" s="14"/>
      <c r="K36" s="14" t="s">
        <v>9</v>
      </c>
      <c r="L36" s="14">
        <v>23</v>
      </c>
      <c r="M36" s="14">
        <v>40914</v>
      </c>
      <c r="N36" s="8">
        <v>9912</v>
      </c>
      <c r="O36" s="8">
        <v>6608</v>
      </c>
      <c r="P36" s="8">
        <v>16520</v>
      </c>
    </row>
    <row r="37" spans="1:16">
      <c r="A37" s="7">
        <v>32</v>
      </c>
      <c r="B37" s="14" t="s">
        <v>285</v>
      </c>
      <c r="C37" s="15" t="s">
        <v>286</v>
      </c>
      <c r="D37" s="15" t="s">
        <v>287</v>
      </c>
      <c r="E37" s="14" t="s">
        <v>22</v>
      </c>
      <c r="F37" s="14" t="s">
        <v>194</v>
      </c>
      <c r="G37" s="14" t="s">
        <v>5</v>
      </c>
      <c r="H37" s="14"/>
      <c r="I37" s="14"/>
      <c r="J37" s="14"/>
      <c r="K37" s="14" t="s">
        <v>9</v>
      </c>
      <c r="L37" s="14">
        <v>23</v>
      </c>
      <c r="M37" s="14">
        <v>40914</v>
      </c>
      <c r="N37" s="8">
        <v>8364.6299999999992</v>
      </c>
      <c r="O37" s="8">
        <v>929.4</v>
      </c>
      <c r="P37" s="8">
        <v>9294.0299999999988</v>
      </c>
    </row>
    <row r="38" spans="1:16">
      <c r="A38" s="5">
        <v>33</v>
      </c>
      <c r="B38" s="14" t="s">
        <v>288</v>
      </c>
      <c r="C38" s="15" t="s">
        <v>289</v>
      </c>
      <c r="D38" s="15" t="s">
        <v>290</v>
      </c>
      <c r="E38" s="14" t="s">
        <v>32</v>
      </c>
      <c r="F38" s="14" t="s">
        <v>194</v>
      </c>
      <c r="G38" s="14" t="s">
        <v>5</v>
      </c>
      <c r="H38" s="14"/>
      <c r="I38" s="14"/>
      <c r="J38" s="14"/>
      <c r="K38" s="14" t="s">
        <v>9</v>
      </c>
      <c r="L38" s="14">
        <v>23</v>
      </c>
      <c r="M38" s="14">
        <v>40914</v>
      </c>
      <c r="N38" s="8">
        <v>3386.7</v>
      </c>
      <c r="O38" s="8">
        <v>376.3</v>
      </c>
      <c r="P38" s="8">
        <v>3763</v>
      </c>
    </row>
    <row r="39" spans="1:16">
      <c r="A39" s="7">
        <v>34</v>
      </c>
      <c r="B39" s="14" t="s">
        <v>291</v>
      </c>
      <c r="C39" s="15" t="s">
        <v>292</v>
      </c>
      <c r="D39" s="15" t="s">
        <v>293</v>
      </c>
      <c r="E39" s="14" t="s">
        <v>32</v>
      </c>
      <c r="F39" s="14" t="s">
        <v>194</v>
      </c>
      <c r="G39" s="14" t="s">
        <v>5</v>
      </c>
      <c r="H39" s="14"/>
      <c r="I39" s="14"/>
      <c r="J39" s="14"/>
      <c r="K39" s="14" t="s">
        <v>9</v>
      </c>
      <c r="L39" s="14">
        <v>23</v>
      </c>
      <c r="M39" s="14">
        <v>40914</v>
      </c>
      <c r="N39" s="8">
        <v>5929.2</v>
      </c>
      <c r="O39" s="8">
        <v>658.8</v>
      </c>
      <c r="P39" s="8">
        <v>6588</v>
      </c>
    </row>
    <row r="40" spans="1:16">
      <c r="A40" s="7">
        <v>35</v>
      </c>
      <c r="B40" s="14" t="s">
        <v>294</v>
      </c>
      <c r="C40" s="15" t="s">
        <v>295</v>
      </c>
      <c r="D40" s="15" t="s">
        <v>296</v>
      </c>
      <c r="E40" s="14" t="s">
        <v>22</v>
      </c>
      <c r="F40" s="14" t="s">
        <v>194</v>
      </c>
      <c r="G40" s="14" t="s">
        <v>5</v>
      </c>
      <c r="H40" s="14"/>
      <c r="I40" s="14"/>
      <c r="J40" s="14"/>
      <c r="K40" s="14" t="s">
        <v>9</v>
      </c>
      <c r="L40" s="14">
        <v>23</v>
      </c>
      <c r="M40" s="14">
        <v>40914</v>
      </c>
      <c r="N40" s="8">
        <v>9800.1299999999992</v>
      </c>
      <c r="O40" s="8">
        <v>1088.9000000000001</v>
      </c>
      <c r="P40" s="8">
        <v>10889.029999999999</v>
      </c>
    </row>
    <row r="41" spans="1:16">
      <c r="A41" s="5">
        <v>36</v>
      </c>
      <c r="B41" s="14" t="s">
        <v>300</v>
      </c>
      <c r="C41" s="15" t="s">
        <v>301</v>
      </c>
      <c r="D41" s="15" t="s">
        <v>302</v>
      </c>
      <c r="E41" s="14" t="s">
        <v>32</v>
      </c>
      <c r="F41" s="14" t="s">
        <v>194</v>
      </c>
      <c r="G41" s="14" t="s">
        <v>5</v>
      </c>
      <c r="H41" s="14"/>
      <c r="I41" s="14"/>
      <c r="J41" s="14"/>
      <c r="K41" s="14" t="s">
        <v>9</v>
      </c>
      <c r="L41" s="14">
        <v>23</v>
      </c>
      <c r="M41" s="14">
        <v>40914</v>
      </c>
      <c r="N41" s="8">
        <v>3506.4</v>
      </c>
      <c r="O41" s="8">
        <v>389.6</v>
      </c>
      <c r="P41" s="8">
        <v>3896</v>
      </c>
    </row>
    <row r="42" spans="1:16">
      <c r="A42" s="7">
        <v>37</v>
      </c>
      <c r="B42" s="14" t="s">
        <v>303</v>
      </c>
      <c r="C42" s="15" t="s">
        <v>304</v>
      </c>
      <c r="D42" s="15" t="s">
        <v>305</v>
      </c>
      <c r="E42" s="14" t="s">
        <v>32</v>
      </c>
      <c r="F42" s="14" t="s">
        <v>194</v>
      </c>
      <c r="G42" s="14" t="s">
        <v>5</v>
      </c>
      <c r="H42" s="14"/>
      <c r="I42" s="14"/>
      <c r="J42" s="14"/>
      <c r="K42" s="14" t="s">
        <v>9</v>
      </c>
      <c r="L42" s="14">
        <v>23</v>
      </c>
      <c r="M42" s="14">
        <v>40914</v>
      </c>
      <c r="N42" s="8">
        <v>9982.4</v>
      </c>
      <c r="O42" s="8">
        <v>2495.6</v>
      </c>
      <c r="P42" s="8">
        <v>12478</v>
      </c>
    </row>
    <row r="43" spans="1:16">
      <c r="A43" s="7">
        <v>38</v>
      </c>
      <c r="B43" s="14" t="s">
        <v>306</v>
      </c>
      <c r="C43" s="15" t="s">
        <v>307</v>
      </c>
      <c r="D43" s="15" t="s">
        <v>308</v>
      </c>
      <c r="E43" s="14" t="s">
        <v>32</v>
      </c>
      <c r="F43" s="14" t="s">
        <v>194</v>
      </c>
      <c r="G43" s="14" t="s">
        <v>5</v>
      </c>
      <c r="H43" s="14"/>
      <c r="I43" s="14"/>
      <c r="J43" s="14"/>
      <c r="K43" s="14" t="s">
        <v>9</v>
      </c>
      <c r="L43" s="14">
        <v>23</v>
      </c>
      <c r="M43" s="14">
        <v>40914</v>
      </c>
      <c r="N43" s="8">
        <v>8758.4</v>
      </c>
      <c r="O43" s="8">
        <v>2189.6</v>
      </c>
      <c r="P43" s="8">
        <v>10948</v>
      </c>
    </row>
    <row r="44" spans="1:16">
      <c r="A44" s="5">
        <v>39</v>
      </c>
      <c r="B44" s="14" t="s">
        <v>309</v>
      </c>
      <c r="C44" s="15" t="s">
        <v>310</v>
      </c>
      <c r="D44" s="15" t="s">
        <v>311</v>
      </c>
      <c r="E44" s="14" t="s">
        <v>32</v>
      </c>
      <c r="F44" s="14" t="s">
        <v>194</v>
      </c>
      <c r="G44" s="14" t="s">
        <v>5</v>
      </c>
      <c r="H44" s="14"/>
      <c r="I44" s="14"/>
      <c r="J44" s="14"/>
      <c r="K44" s="14" t="s">
        <v>9</v>
      </c>
      <c r="L44" s="14">
        <v>23</v>
      </c>
      <c r="M44" s="14">
        <v>40914</v>
      </c>
      <c r="N44" s="8">
        <v>5276.7</v>
      </c>
      <c r="O44" s="8">
        <v>586.29999999999995</v>
      </c>
      <c r="P44" s="8">
        <v>5863</v>
      </c>
    </row>
    <row r="45" spans="1:16">
      <c r="A45" s="7">
        <v>40</v>
      </c>
      <c r="B45" s="14" t="s">
        <v>312</v>
      </c>
      <c r="C45" s="15" t="s">
        <v>313</v>
      </c>
      <c r="D45" s="15" t="s">
        <v>314</v>
      </c>
      <c r="E45" s="14" t="s">
        <v>32</v>
      </c>
      <c r="F45" s="14" t="s">
        <v>194</v>
      </c>
      <c r="G45" s="14" t="s">
        <v>5</v>
      </c>
      <c r="H45" s="14"/>
      <c r="I45" s="14"/>
      <c r="J45" s="14"/>
      <c r="K45" s="14" t="s">
        <v>9</v>
      </c>
      <c r="L45" s="14">
        <v>23</v>
      </c>
      <c r="M45" s="14">
        <v>40914</v>
      </c>
      <c r="N45" s="6">
        <v>7878.4</v>
      </c>
      <c r="O45" s="6">
        <v>1969.6</v>
      </c>
      <c r="P45" s="6">
        <v>9848</v>
      </c>
    </row>
    <row r="46" spans="1:16">
      <c r="A46" s="7">
        <v>41</v>
      </c>
      <c r="B46" s="14" t="s">
        <v>315</v>
      </c>
      <c r="C46" s="15" t="s">
        <v>316</v>
      </c>
      <c r="D46" s="15" t="s">
        <v>317</v>
      </c>
      <c r="E46" s="14" t="s">
        <v>22</v>
      </c>
      <c r="F46" s="14" t="s">
        <v>194</v>
      </c>
      <c r="G46" s="14" t="s">
        <v>5</v>
      </c>
      <c r="H46" s="14"/>
      <c r="I46" s="14"/>
      <c r="J46" s="14"/>
      <c r="K46" s="14" t="s">
        <v>9</v>
      </c>
      <c r="L46" s="14">
        <v>23</v>
      </c>
      <c r="M46" s="14">
        <v>40914</v>
      </c>
      <c r="N46" s="6">
        <v>9989.9500000000007</v>
      </c>
      <c r="O46" s="6">
        <v>1109.99</v>
      </c>
      <c r="P46" s="6">
        <v>11099.94</v>
      </c>
    </row>
    <row r="47" spans="1:16">
      <c r="A47" s="5">
        <v>42</v>
      </c>
      <c r="B47" s="14" t="s">
        <v>318</v>
      </c>
      <c r="C47" s="15" t="s">
        <v>319</v>
      </c>
      <c r="D47" s="15" t="s">
        <v>320</v>
      </c>
      <c r="E47" s="14" t="s">
        <v>22</v>
      </c>
      <c r="F47" s="14" t="s">
        <v>194</v>
      </c>
      <c r="G47" s="14" t="s">
        <v>5</v>
      </c>
      <c r="H47" s="14"/>
      <c r="I47" s="14"/>
      <c r="J47" s="14"/>
      <c r="K47" s="14" t="s">
        <v>9</v>
      </c>
      <c r="L47" s="14">
        <v>23</v>
      </c>
      <c r="M47" s="14">
        <v>40914</v>
      </c>
      <c r="N47" s="8">
        <v>7489.22</v>
      </c>
      <c r="O47" s="8">
        <v>832.14</v>
      </c>
      <c r="P47" s="8">
        <v>8321.36</v>
      </c>
    </row>
    <row r="48" spans="1:16">
      <c r="A48" s="7">
        <v>43</v>
      </c>
      <c r="B48" s="14" t="s">
        <v>321</v>
      </c>
      <c r="C48" s="15" t="s">
        <v>322</v>
      </c>
      <c r="D48" s="15" t="s">
        <v>323</v>
      </c>
      <c r="E48" s="14" t="s">
        <v>22</v>
      </c>
      <c r="F48" s="14" t="s">
        <v>194</v>
      </c>
      <c r="G48" s="14" t="s">
        <v>5</v>
      </c>
      <c r="H48" s="14"/>
      <c r="I48" s="14"/>
      <c r="J48" s="14"/>
      <c r="K48" s="14" t="s">
        <v>9</v>
      </c>
      <c r="L48" s="14">
        <v>23</v>
      </c>
      <c r="M48" s="14">
        <v>40914</v>
      </c>
      <c r="N48" s="8">
        <v>7193.3</v>
      </c>
      <c r="O48" s="8">
        <v>1798.33</v>
      </c>
      <c r="P48" s="8">
        <v>8991.630000000001</v>
      </c>
    </row>
    <row r="49" spans="1:16">
      <c r="A49" s="7">
        <v>44</v>
      </c>
      <c r="B49" s="14" t="s">
        <v>324</v>
      </c>
      <c r="C49" s="15" t="s">
        <v>325</v>
      </c>
      <c r="D49" s="15" t="s">
        <v>326</v>
      </c>
      <c r="E49" s="14" t="s">
        <v>22</v>
      </c>
      <c r="F49" s="14" t="s">
        <v>194</v>
      </c>
      <c r="G49" s="14" t="s">
        <v>5</v>
      </c>
      <c r="H49" s="14"/>
      <c r="I49" s="14"/>
      <c r="J49" s="14" t="s">
        <v>8</v>
      </c>
      <c r="K49" s="14"/>
      <c r="L49" s="14">
        <v>23</v>
      </c>
      <c r="M49" s="14">
        <v>40914</v>
      </c>
      <c r="N49" s="8">
        <v>8125.77</v>
      </c>
      <c r="O49" s="8">
        <v>902.86</v>
      </c>
      <c r="P49" s="8">
        <v>9028.630000000001</v>
      </c>
    </row>
    <row r="50" spans="1:16">
      <c r="A50" s="5">
        <v>45</v>
      </c>
      <c r="B50" s="14" t="s">
        <v>327</v>
      </c>
      <c r="C50" s="15" t="s">
        <v>328</v>
      </c>
      <c r="D50" s="15" t="s">
        <v>329</v>
      </c>
      <c r="E50" s="14" t="s">
        <v>22</v>
      </c>
      <c r="F50" s="14" t="s">
        <v>194</v>
      </c>
      <c r="G50" s="14" t="s">
        <v>5</v>
      </c>
      <c r="H50" s="14"/>
      <c r="I50" s="14"/>
      <c r="J50" s="14"/>
      <c r="K50" s="14" t="s">
        <v>9</v>
      </c>
      <c r="L50" s="14">
        <v>23</v>
      </c>
      <c r="M50" s="14">
        <v>40914</v>
      </c>
      <c r="N50" s="8">
        <v>5882.4</v>
      </c>
      <c r="O50" s="8">
        <v>653.61</v>
      </c>
      <c r="P50" s="8">
        <v>6536.09</v>
      </c>
    </row>
    <row r="51" spans="1:16">
      <c r="A51" s="7">
        <v>46</v>
      </c>
      <c r="B51" s="14" t="s">
        <v>526</v>
      </c>
      <c r="C51" s="15" t="s">
        <v>527</v>
      </c>
      <c r="D51" s="15" t="s">
        <v>528</v>
      </c>
      <c r="E51" s="14" t="s">
        <v>17</v>
      </c>
      <c r="F51" s="14" t="s">
        <v>194</v>
      </c>
      <c r="G51" s="14" t="s">
        <v>5</v>
      </c>
      <c r="H51" s="14"/>
      <c r="I51" s="14"/>
      <c r="J51" s="14" t="s">
        <v>8</v>
      </c>
      <c r="K51" s="14"/>
      <c r="L51" s="14">
        <v>26</v>
      </c>
      <c r="M51" s="14">
        <v>40947</v>
      </c>
      <c r="N51" s="8">
        <v>7723.68</v>
      </c>
      <c r="O51" s="8">
        <v>1930.92</v>
      </c>
      <c r="P51" s="8">
        <v>9654.6</v>
      </c>
    </row>
    <row r="52" spans="1:16">
      <c r="A52" s="7">
        <v>47</v>
      </c>
      <c r="B52" s="14" t="s">
        <v>529</v>
      </c>
      <c r="C52" s="15" t="s">
        <v>530</v>
      </c>
      <c r="D52" s="15" t="s">
        <v>531</v>
      </c>
      <c r="E52" s="14" t="s">
        <v>17</v>
      </c>
      <c r="F52" s="14" t="s">
        <v>194</v>
      </c>
      <c r="G52" s="14" t="s">
        <v>5</v>
      </c>
      <c r="H52" s="14"/>
      <c r="I52" s="14"/>
      <c r="J52" s="14" t="s">
        <v>8</v>
      </c>
      <c r="K52" s="14"/>
      <c r="L52" s="14">
        <v>26</v>
      </c>
      <c r="M52" s="14">
        <v>40947</v>
      </c>
      <c r="N52" s="8">
        <v>6839.28</v>
      </c>
      <c r="O52" s="8">
        <v>1709.82</v>
      </c>
      <c r="P52" s="8">
        <v>8549.1</v>
      </c>
    </row>
    <row r="53" spans="1:16">
      <c r="A53" s="5">
        <v>48</v>
      </c>
      <c r="B53" s="14" t="s">
        <v>532</v>
      </c>
      <c r="C53" s="15" t="s">
        <v>533</v>
      </c>
      <c r="D53" s="15" t="s">
        <v>534</v>
      </c>
      <c r="E53" s="14" t="s">
        <v>32</v>
      </c>
      <c r="F53" s="14" t="s">
        <v>194</v>
      </c>
      <c r="G53" s="14" t="s">
        <v>5</v>
      </c>
      <c r="H53" s="14"/>
      <c r="I53" s="14"/>
      <c r="J53" s="14" t="s">
        <v>8</v>
      </c>
      <c r="K53" s="14"/>
      <c r="L53" s="14">
        <v>26</v>
      </c>
      <c r="M53" s="14">
        <v>40947</v>
      </c>
      <c r="N53" s="8">
        <v>4814.3999999999996</v>
      </c>
      <c r="O53" s="8">
        <v>1203.5999999999999</v>
      </c>
      <c r="P53" s="8">
        <v>6018</v>
      </c>
    </row>
    <row r="54" spans="1:16">
      <c r="A54" s="7">
        <v>49</v>
      </c>
      <c r="B54" s="14" t="s">
        <v>535</v>
      </c>
      <c r="C54" s="15" t="s">
        <v>536</v>
      </c>
      <c r="D54" s="15" t="s">
        <v>537</v>
      </c>
      <c r="E54" s="14" t="s">
        <v>32</v>
      </c>
      <c r="F54" s="14" t="s">
        <v>194</v>
      </c>
      <c r="G54" s="14" t="s">
        <v>5</v>
      </c>
      <c r="H54" s="14"/>
      <c r="I54" s="14"/>
      <c r="J54" s="14"/>
      <c r="K54" s="14" t="s">
        <v>9</v>
      </c>
      <c r="L54" s="14">
        <v>26</v>
      </c>
      <c r="M54" s="14">
        <v>40947</v>
      </c>
      <c r="N54" s="8">
        <v>10000</v>
      </c>
      <c r="O54" s="8">
        <v>2944.5</v>
      </c>
      <c r="P54" s="8">
        <v>12944.5</v>
      </c>
    </row>
    <row r="55" spans="1:16">
      <c r="A55" s="7">
        <v>50</v>
      </c>
      <c r="B55" s="14" t="s">
        <v>538</v>
      </c>
      <c r="C55" s="15" t="s">
        <v>539</v>
      </c>
      <c r="D55" s="15" t="s">
        <v>540</v>
      </c>
      <c r="E55" s="14" t="s">
        <v>22</v>
      </c>
      <c r="F55" s="14" t="s">
        <v>194</v>
      </c>
      <c r="G55" s="14" t="s">
        <v>5</v>
      </c>
      <c r="H55" s="14"/>
      <c r="I55" s="14"/>
      <c r="J55" s="14"/>
      <c r="K55" s="14" t="s">
        <v>9</v>
      </c>
      <c r="L55" s="14">
        <v>26</v>
      </c>
      <c r="M55" s="14">
        <v>40947</v>
      </c>
      <c r="N55" s="8">
        <v>7310.9</v>
      </c>
      <c r="O55" s="8">
        <v>1827.73</v>
      </c>
      <c r="P55" s="8">
        <v>9138.6299999999992</v>
      </c>
    </row>
    <row r="56" spans="1:16">
      <c r="A56" s="5">
        <v>51</v>
      </c>
      <c r="B56" s="14" t="s">
        <v>541</v>
      </c>
      <c r="C56" s="15" t="s">
        <v>542</v>
      </c>
      <c r="D56" s="15" t="s">
        <v>543</v>
      </c>
      <c r="E56" s="14" t="s">
        <v>32</v>
      </c>
      <c r="F56" s="14" t="s">
        <v>194</v>
      </c>
      <c r="G56" s="14" t="s">
        <v>5</v>
      </c>
      <c r="H56" s="14"/>
      <c r="I56" s="14"/>
      <c r="J56" s="14" t="s">
        <v>8</v>
      </c>
      <c r="K56" s="14"/>
      <c r="L56" s="14">
        <v>26</v>
      </c>
      <c r="M56" s="14">
        <v>40947</v>
      </c>
      <c r="N56" s="8">
        <v>4948.2</v>
      </c>
      <c r="O56" s="8">
        <v>549.79999999999995</v>
      </c>
      <c r="P56" s="8">
        <v>5498</v>
      </c>
    </row>
    <row r="57" spans="1:16">
      <c r="A57" s="7">
        <v>52</v>
      </c>
      <c r="B57" s="14" t="s">
        <v>544</v>
      </c>
      <c r="C57" s="15" t="s">
        <v>545</v>
      </c>
      <c r="D57" s="15" t="s">
        <v>546</v>
      </c>
      <c r="E57" s="14" t="s">
        <v>17</v>
      </c>
      <c r="F57" s="14" t="s">
        <v>194</v>
      </c>
      <c r="G57" s="14" t="s">
        <v>5</v>
      </c>
      <c r="H57" s="14"/>
      <c r="I57" s="14"/>
      <c r="J57" s="14" t="s">
        <v>8</v>
      </c>
      <c r="K57" s="14"/>
      <c r="L57" s="14">
        <v>26</v>
      </c>
      <c r="M57" s="14">
        <v>40947</v>
      </c>
      <c r="N57" s="8">
        <v>10000</v>
      </c>
      <c r="O57" s="8">
        <v>4613.8999999999996</v>
      </c>
      <c r="P57" s="8">
        <v>14613.9</v>
      </c>
    </row>
    <row r="58" spans="1:16">
      <c r="A58" s="7">
        <v>53</v>
      </c>
      <c r="B58" s="14" t="s">
        <v>547</v>
      </c>
      <c r="C58" s="15" t="s">
        <v>548</v>
      </c>
      <c r="D58" s="15" t="s">
        <v>549</v>
      </c>
      <c r="E58" s="14" t="s">
        <v>17</v>
      </c>
      <c r="F58" s="14" t="s">
        <v>194</v>
      </c>
      <c r="G58" s="14" t="s">
        <v>5</v>
      </c>
      <c r="H58" s="14"/>
      <c r="I58" s="14"/>
      <c r="J58" s="14" t="s">
        <v>8</v>
      </c>
      <c r="K58" s="14"/>
      <c r="L58" s="14">
        <v>26</v>
      </c>
      <c r="M58" s="14">
        <v>40947</v>
      </c>
      <c r="N58" s="8">
        <v>7169.09</v>
      </c>
      <c r="O58" s="8">
        <v>796.57</v>
      </c>
      <c r="P58" s="8">
        <v>7965.66</v>
      </c>
    </row>
    <row r="59" spans="1:16">
      <c r="A59" s="5">
        <v>54</v>
      </c>
      <c r="B59" s="14" t="s">
        <v>550</v>
      </c>
      <c r="C59" s="15" t="s">
        <v>551</v>
      </c>
      <c r="D59" s="15" t="s">
        <v>552</v>
      </c>
      <c r="E59" s="14" t="s">
        <v>32</v>
      </c>
      <c r="F59" s="14" t="s">
        <v>194</v>
      </c>
      <c r="G59" s="14"/>
      <c r="H59" s="14"/>
      <c r="I59" s="14"/>
      <c r="J59" s="14"/>
      <c r="K59" s="14" t="s">
        <v>9</v>
      </c>
      <c r="L59" s="14">
        <v>26</v>
      </c>
      <c r="M59" s="14">
        <v>40947</v>
      </c>
      <c r="N59" s="8">
        <v>10000</v>
      </c>
      <c r="O59" s="8">
        <v>2550</v>
      </c>
      <c r="P59" s="8">
        <v>12550</v>
      </c>
    </row>
    <row r="60" spans="1:16">
      <c r="A60" s="7">
        <v>55</v>
      </c>
      <c r="B60" s="14" t="s">
        <v>583</v>
      </c>
      <c r="C60" s="15" t="s">
        <v>584</v>
      </c>
      <c r="D60" s="15" t="s">
        <v>585</v>
      </c>
      <c r="E60" s="14" t="s">
        <v>32</v>
      </c>
      <c r="F60" s="14" t="s">
        <v>194</v>
      </c>
      <c r="G60" s="14"/>
      <c r="H60" s="14"/>
      <c r="I60" s="14"/>
      <c r="J60" s="14"/>
      <c r="K60" s="14"/>
      <c r="L60" s="14">
        <v>27</v>
      </c>
      <c r="M60" s="14">
        <v>40948</v>
      </c>
      <c r="N60" s="8">
        <v>5825.7</v>
      </c>
      <c r="O60" s="8">
        <v>647.29999999999995</v>
      </c>
      <c r="P60" s="8">
        <v>6473</v>
      </c>
    </row>
    <row r="61" spans="1:16">
      <c r="A61" s="7">
        <v>56</v>
      </c>
      <c r="B61" s="14" t="s">
        <v>586</v>
      </c>
      <c r="C61" s="15" t="s">
        <v>587</v>
      </c>
      <c r="D61" s="15" t="s">
        <v>588</v>
      </c>
      <c r="E61" s="14" t="s">
        <v>22</v>
      </c>
      <c r="F61" s="14" t="s">
        <v>194</v>
      </c>
      <c r="G61" s="14"/>
      <c r="H61" s="14"/>
      <c r="I61" s="14"/>
      <c r="J61" s="14"/>
      <c r="K61" s="14"/>
      <c r="L61" s="14">
        <v>27</v>
      </c>
      <c r="M61" s="14">
        <v>40948</v>
      </c>
      <c r="N61" s="8">
        <v>8566.85</v>
      </c>
      <c r="O61" s="8">
        <v>951.87</v>
      </c>
      <c r="P61" s="8">
        <v>9518.7200000000012</v>
      </c>
    </row>
    <row r="62" spans="1:16">
      <c r="A62" s="5">
        <v>57</v>
      </c>
      <c r="B62" s="14" t="s">
        <v>589</v>
      </c>
      <c r="C62" s="15" t="s">
        <v>590</v>
      </c>
      <c r="D62" s="15" t="s">
        <v>591</v>
      </c>
      <c r="E62" s="14" t="s">
        <v>32</v>
      </c>
      <c r="F62" s="14" t="s">
        <v>194</v>
      </c>
      <c r="G62" s="14" t="s">
        <v>5</v>
      </c>
      <c r="H62" s="14"/>
      <c r="I62" s="14"/>
      <c r="J62" s="14"/>
      <c r="K62" s="14" t="s">
        <v>9</v>
      </c>
      <c r="L62" s="14">
        <v>27</v>
      </c>
      <c r="M62" s="14">
        <v>40948</v>
      </c>
      <c r="N62" s="8">
        <v>10000</v>
      </c>
      <c r="O62" s="8">
        <v>5200</v>
      </c>
      <c r="P62" s="8">
        <v>15200</v>
      </c>
    </row>
    <row r="63" spans="1:16">
      <c r="A63" s="7">
        <v>58</v>
      </c>
      <c r="B63" s="14" t="s">
        <v>592</v>
      </c>
      <c r="C63" s="15" t="s">
        <v>593</v>
      </c>
      <c r="D63" s="15" t="s">
        <v>594</v>
      </c>
      <c r="E63" s="14" t="s">
        <v>32</v>
      </c>
      <c r="F63" s="14" t="s">
        <v>194</v>
      </c>
      <c r="G63" s="14"/>
      <c r="H63" s="14"/>
      <c r="I63" s="14"/>
      <c r="J63" s="14"/>
      <c r="K63" s="14"/>
      <c r="L63" s="14">
        <v>27</v>
      </c>
      <c r="M63" s="14">
        <v>40948</v>
      </c>
      <c r="N63" s="8">
        <v>7695.9</v>
      </c>
      <c r="O63" s="8">
        <v>855.1</v>
      </c>
      <c r="P63" s="8">
        <v>8551</v>
      </c>
    </row>
    <row r="64" spans="1:16">
      <c r="A64" s="7">
        <v>59</v>
      </c>
      <c r="B64" s="14" t="s">
        <v>595</v>
      </c>
      <c r="C64" s="15" t="s">
        <v>596</v>
      </c>
      <c r="D64" s="15" t="s">
        <v>597</v>
      </c>
      <c r="E64" s="14" t="s">
        <v>22</v>
      </c>
      <c r="F64" s="14" t="s">
        <v>194</v>
      </c>
      <c r="G64" s="14"/>
      <c r="H64" s="14"/>
      <c r="I64" s="14"/>
      <c r="J64" s="14"/>
      <c r="K64" s="14"/>
      <c r="L64" s="14">
        <v>27</v>
      </c>
      <c r="M64" s="14">
        <v>40948</v>
      </c>
      <c r="N64" s="8">
        <v>5400.5</v>
      </c>
      <c r="O64" s="8">
        <v>600.04999999999995</v>
      </c>
      <c r="P64" s="8">
        <v>6000.55</v>
      </c>
    </row>
    <row r="65" spans="1:16">
      <c r="A65" s="5">
        <v>60</v>
      </c>
      <c r="B65" s="14" t="s">
        <v>598</v>
      </c>
      <c r="C65" s="15" t="s">
        <v>599</v>
      </c>
      <c r="D65" s="15" t="s">
        <v>600</v>
      </c>
      <c r="E65" s="14" t="s">
        <v>32</v>
      </c>
      <c r="F65" s="14" t="s">
        <v>194</v>
      </c>
      <c r="G65" s="14" t="s">
        <v>5</v>
      </c>
      <c r="H65" s="14"/>
      <c r="I65" s="14"/>
      <c r="J65" s="14"/>
      <c r="K65" s="14" t="s">
        <v>9</v>
      </c>
      <c r="L65" s="14">
        <v>27</v>
      </c>
      <c r="M65" s="14">
        <v>40948</v>
      </c>
      <c r="N65" s="8">
        <v>3942.9</v>
      </c>
      <c r="O65" s="8">
        <v>438.1</v>
      </c>
      <c r="P65" s="8">
        <v>4381</v>
      </c>
    </row>
    <row r="66" spans="1:16">
      <c r="A66" s="7">
        <v>61</v>
      </c>
      <c r="B66" s="14" t="s">
        <v>616</v>
      </c>
      <c r="C66" s="15" t="s">
        <v>617</v>
      </c>
      <c r="D66" s="15" t="s">
        <v>618</v>
      </c>
      <c r="E66" s="14" t="s">
        <v>32</v>
      </c>
      <c r="F66" s="14" t="s">
        <v>194</v>
      </c>
      <c r="G66" s="14"/>
      <c r="H66" s="14"/>
      <c r="I66" s="14"/>
      <c r="J66" s="14"/>
      <c r="K66" s="14"/>
      <c r="L66" s="14">
        <v>27</v>
      </c>
      <c r="M66" s="14">
        <v>40948</v>
      </c>
      <c r="N66" s="8">
        <v>3890.7</v>
      </c>
      <c r="O66" s="8">
        <v>432.3</v>
      </c>
      <c r="P66" s="8">
        <v>4323</v>
      </c>
    </row>
    <row r="67" spans="1:16">
      <c r="A67" s="7">
        <v>62</v>
      </c>
      <c r="B67" s="14" t="s">
        <v>619</v>
      </c>
      <c r="C67" s="15" t="s">
        <v>620</v>
      </c>
      <c r="D67" s="15" t="s">
        <v>621</v>
      </c>
      <c r="E67" s="14" t="s">
        <v>22</v>
      </c>
      <c r="F67" s="14" t="s">
        <v>194</v>
      </c>
      <c r="G67" s="14"/>
      <c r="H67" s="14"/>
      <c r="I67" s="14"/>
      <c r="J67" s="14"/>
      <c r="K67" s="14"/>
      <c r="L67" s="14">
        <v>27</v>
      </c>
      <c r="M67" s="14">
        <v>40948</v>
      </c>
      <c r="N67" s="8">
        <v>5286.1</v>
      </c>
      <c r="O67" s="8">
        <v>1321.53</v>
      </c>
      <c r="P67" s="8">
        <v>6607.63</v>
      </c>
    </row>
    <row r="68" spans="1:16">
      <c r="A68" s="5">
        <v>63</v>
      </c>
      <c r="B68" s="14" t="s">
        <v>622</v>
      </c>
      <c r="C68" s="15" t="s">
        <v>623</v>
      </c>
      <c r="D68" s="15" t="s">
        <v>624</v>
      </c>
      <c r="E68" s="14" t="s">
        <v>17</v>
      </c>
      <c r="F68" s="14" t="s">
        <v>194</v>
      </c>
      <c r="G68" s="14"/>
      <c r="H68" s="14"/>
      <c r="I68" s="14"/>
      <c r="J68" s="14"/>
      <c r="K68" s="14"/>
      <c r="L68" s="14">
        <v>27</v>
      </c>
      <c r="M68" s="14">
        <v>40948</v>
      </c>
      <c r="N68" s="8">
        <v>5616.31</v>
      </c>
      <c r="O68" s="8">
        <v>624.04</v>
      </c>
      <c r="P68" s="8">
        <v>6240.35</v>
      </c>
    </row>
    <row r="69" spans="1:16">
      <c r="A69" s="7">
        <v>64</v>
      </c>
      <c r="B69" s="14" t="s">
        <v>625</v>
      </c>
      <c r="C69" s="15" t="s">
        <v>626</v>
      </c>
      <c r="D69" s="15" t="s">
        <v>627</v>
      </c>
      <c r="E69" s="14" t="s">
        <v>17</v>
      </c>
      <c r="F69" s="14" t="s">
        <v>194</v>
      </c>
      <c r="G69" s="14" t="s">
        <v>5</v>
      </c>
      <c r="H69" s="14"/>
      <c r="I69" s="14"/>
      <c r="J69" s="14" t="s">
        <v>8</v>
      </c>
      <c r="K69" s="14"/>
      <c r="L69" s="14">
        <v>27</v>
      </c>
      <c r="M69" s="14">
        <v>40948</v>
      </c>
      <c r="N69" s="8">
        <v>9655.06</v>
      </c>
      <c r="O69" s="8">
        <v>1072.79</v>
      </c>
      <c r="P69" s="8">
        <v>10727.849999999999</v>
      </c>
    </row>
    <row r="70" spans="1:16">
      <c r="A70" s="7">
        <v>65</v>
      </c>
      <c r="B70" s="14" t="s">
        <v>628</v>
      </c>
      <c r="C70" s="15" t="s">
        <v>629</v>
      </c>
      <c r="D70" s="15" t="s">
        <v>630</v>
      </c>
      <c r="E70" s="14" t="s">
        <v>22</v>
      </c>
      <c r="F70" s="14" t="s">
        <v>194</v>
      </c>
      <c r="G70" s="14"/>
      <c r="H70" s="14"/>
      <c r="I70" s="14"/>
      <c r="J70" s="14"/>
      <c r="K70" s="14"/>
      <c r="L70" s="14">
        <v>27</v>
      </c>
      <c r="M70" s="14">
        <v>40948</v>
      </c>
      <c r="N70" s="8">
        <v>8309.69</v>
      </c>
      <c r="O70" s="8">
        <v>923.3</v>
      </c>
      <c r="P70" s="8">
        <v>9232.99</v>
      </c>
    </row>
    <row r="71" spans="1:16">
      <c r="A71" s="5">
        <v>66</v>
      </c>
      <c r="B71" s="14" t="s">
        <v>631</v>
      </c>
      <c r="C71" s="15" t="s">
        <v>632</v>
      </c>
      <c r="D71" s="15" t="s">
        <v>633</v>
      </c>
      <c r="E71" s="14" t="s">
        <v>22</v>
      </c>
      <c r="F71" s="14" t="s">
        <v>194</v>
      </c>
      <c r="G71" s="14"/>
      <c r="H71" s="14"/>
      <c r="I71" s="14"/>
      <c r="J71" s="14"/>
      <c r="K71" s="14"/>
      <c r="L71" s="14">
        <v>27</v>
      </c>
      <c r="M71" s="14">
        <v>40948</v>
      </c>
      <c r="N71" s="8">
        <v>4552</v>
      </c>
      <c r="O71" s="8">
        <v>1138</v>
      </c>
      <c r="P71" s="8">
        <v>5690</v>
      </c>
    </row>
    <row r="72" spans="1:16">
      <c r="A72" s="7">
        <v>67</v>
      </c>
      <c r="B72" s="14" t="s">
        <v>634</v>
      </c>
      <c r="C72" s="15" t="s">
        <v>635</v>
      </c>
      <c r="D72" s="15" t="s">
        <v>636</v>
      </c>
      <c r="E72" s="14" t="s">
        <v>637</v>
      </c>
      <c r="F72" s="14" t="s">
        <v>194</v>
      </c>
      <c r="G72" s="14"/>
      <c r="H72" s="14"/>
      <c r="I72" s="14"/>
      <c r="J72" s="14"/>
      <c r="K72" s="14"/>
      <c r="L72" s="14">
        <v>27</v>
      </c>
      <c r="M72" s="14">
        <v>40948</v>
      </c>
      <c r="N72" s="8">
        <v>2849.5</v>
      </c>
      <c r="O72" s="8">
        <v>316.61</v>
      </c>
      <c r="P72" s="8">
        <v>3166.11</v>
      </c>
    </row>
    <row r="73" spans="1:16">
      <c r="A73" s="7">
        <v>68</v>
      </c>
      <c r="B73" s="14" t="s">
        <v>647</v>
      </c>
      <c r="C73" s="15" t="s">
        <v>648</v>
      </c>
      <c r="D73" s="15" t="s">
        <v>649</v>
      </c>
      <c r="E73" s="14" t="s">
        <v>32</v>
      </c>
      <c r="F73" s="14" t="s">
        <v>194</v>
      </c>
      <c r="G73" s="14"/>
      <c r="H73" s="14"/>
      <c r="I73" s="14"/>
      <c r="J73" s="14"/>
      <c r="K73" s="14"/>
      <c r="L73" s="14">
        <v>27</v>
      </c>
      <c r="M73" s="14">
        <v>40948</v>
      </c>
      <c r="N73" s="8">
        <v>4106.7</v>
      </c>
      <c r="O73" s="8">
        <v>456.3</v>
      </c>
      <c r="P73" s="8">
        <v>4563</v>
      </c>
    </row>
    <row r="74" spans="1:16">
      <c r="A74" s="5">
        <v>69</v>
      </c>
      <c r="B74" s="14" t="s">
        <v>653</v>
      </c>
      <c r="C74" s="15" t="s">
        <v>654</v>
      </c>
      <c r="D74" s="15" t="s">
        <v>655</v>
      </c>
      <c r="E74" s="14" t="s">
        <v>22</v>
      </c>
      <c r="F74" s="14" t="s">
        <v>194</v>
      </c>
      <c r="G74" s="14"/>
      <c r="H74" s="14"/>
      <c r="I74" s="14"/>
      <c r="J74" s="14"/>
      <c r="K74" s="14"/>
      <c r="L74" s="14">
        <v>27</v>
      </c>
      <c r="M74" s="14">
        <v>40948</v>
      </c>
      <c r="N74" s="8">
        <v>7931.77</v>
      </c>
      <c r="O74" s="8">
        <v>881.31</v>
      </c>
      <c r="P74" s="8">
        <v>8813.08</v>
      </c>
    </row>
    <row r="75" spans="1:16">
      <c r="A75" s="7">
        <v>70</v>
      </c>
      <c r="B75" s="14" t="s">
        <v>659</v>
      </c>
      <c r="C75" s="15" t="s">
        <v>660</v>
      </c>
      <c r="D75" s="15" t="s">
        <v>661</v>
      </c>
      <c r="E75" s="14" t="s">
        <v>22</v>
      </c>
      <c r="F75" s="14" t="s">
        <v>194</v>
      </c>
      <c r="G75" s="14" t="s">
        <v>5</v>
      </c>
      <c r="H75" s="14"/>
      <c r="I75" s="14"/>
      <c r="J75" s="14"/>
      <c r="K75" s="14" t="s">
        <v>9</v>
      </c>
      <c r="L75" s="14">
        <v>28</v>
      </c>
      <c r="M75" s="14">
        <v>40953</v>
      </c>
      <c r="N75" s="8">
        <v>7384.69</v>
      </c>
      <c r="O75" s="8">
        <v>1846.17</v>
      </c>
      <c r="P75" s="8">
        <v>9230.86</v>
      </c>
    </row>
    <row r="76" spans="1:16">
      <c r="A76" s="7">
        <v>71</v>
      </c>
      <c r="B76" s="14" t="s">
        <v>662</v>
      </c>
      <c r="C76" s="15" t="s">
        <v>663</v>
      </c>
      <c r="D76" s="15" t="s">
        <v>664</v>
      </c>
      <c r="E76" s="14" t="s">
        <v>32</v>
      </c>
      <c r="F76" s="14" t="s">
        <v>194</v>
      </c>
      <c r="G76" s="14" t="s">
        <v>5</v>
      </c>
      <c r="H76" s="14"/>
      <c r="I76" s="14"/>
      <c r="J76" s="14"/>
      <c r="K76" s="14" t="s">
        <v>9</v>
      </c>
      <c r="L76" s="14">
        <v>28</v>
      </c>
      <c r="M76" s="14">
        <v>40967</v>
      </c>
      <c r="N76" s="8">
        <v>3726</v>
      </c>
      <c r="O76" s="8">
        <v>414</v>
      </c>
      <c r="P76" s="8">
        <v>4140</v>
      </c>
    </row>
    <row r="77" spans="1:16">
      <c r="A77" s="5">
        <v>72</v>
      </c>
      <c r="B77" s="14" t="s">
        <v>665</v>
      </c>
      <c r="C77" s="15" t="s">
        <v>666</v>
      </c>
      <c r="D77" s="15" t="s">
        <v>667</v>
      </c>
      <c r="E77" s="14" t="s">
        <v>22</v>
      </c>
      <c r="F77" s="14" t="s">
        <v>194</v>
      </c>
      <c r="G77" s="14"/>
      <c r="H77" s="14"/>
      <c r="I77" s="14"/>
      <c r="J77" s="14"/>
      <c r="K77" s="14"/>
      <c r="L77" s="14">
        <v>28</v>
      </c>
      <c r="M77" s="14">
        <v>40967</v>
      </c>
      <c r="N77" s="8">
        <v>9293.35</v>
      </c>
      <c r="O77" s="8">
        <v>1032.5999999999999</v>
      </c>
      <c r="P77" s="8">
        <v>10325.950000000001</v>
      </c>
    </row>
    <row r="78" spans="1:16">
      <c r="A78" s="7">
        <v>73</v>
      </c>
      <c r="B78" s="14" t="s">
        <v>668</v>
      </c>
      <c r="C78" s="15" t="s">
        <v>669</v>
      </c>
      <c r="D78" s="15" t="s">
        <v>670</v>
      </c>
      <c r="E78" s="14" t="s">
        <v>22</v>
      </c>
      <c r="F78" s="14" t="s">
        <v>194</v>
      </c>
      <c r="G78" s="14"/>
      <c r="H78" s="14"/>
      <c r="I78" s="14"/>
      <c r="J78" s="14"/>
      <c r="K78" s="14"/>
      <c r="L78" s="14">
        <v>28</v>
      </c>
      <c r="M78" s="14">
        <v>40967</v>
      </c>
      <c r="N78" s="8">
        <v>6459.33</v>
      </c>
      <c r="O78" s="8">
        <v>717.7</v>
      </c>
      <c r="P78" s="8">
        <v>7177.03</v>
      </c>
    </row>
    <row r="79" spans="1:16">
      <c r="A79" s="7">
        <v>74</v>
      </c>
      <c r="B79" s="14" t="s">
        <v>723</v>
      </c>
      <c r="C79" s="15" t="s">
        <v>724</v>
      </c>
      <c r="D79" s="15" t="s">
        <v>725</v>
      </c>
      <c r="E79" s="14" t="s">
        <v>32</v>
      </c>
      <c r="F79" s="14" t="s">
        <v>194</v>
      </c>
      <c r="G79" s="14"/>
      <c r="H79" s="14"/>
      <c r="I79" s="14"/>
      <c r="J79" s="14"/>
      <c r="K79" s="14"/>
      <c r="L79" s="14">
        <v>28</v>
      </c>
      <c r="M79" s="14">
        <v>40967</v>
      </c>
      <c r="N79" s="8">
        <v>3912.66</v>
      </c>
      <c r="O79" s="8">
        <v>434.74</v>
      </c>
      <c r="P79" s="8">
        <v>4347.3999999999996</v>
      </c>
    </row>
    <row r="80" spans="1:16">
      <c r="A80" s="5">
        <v>75</v>
      </c>
      <c r="B80" s="14" t="s">
        <v>729</v>
      </c>
      <c r="C80" s="15" t="s">
        <v>730</v>
      </c>
      <c r="D80" s="15" t="s">
        <v>731</v>
      </c>
      <c r="E80" s="14" t="s">
        <v>691</v>
      </c>
      <c r="F80" s="14" t="s">
        <v>194</v>
      </c>
      <c r="G80" s="14"/>
      <c r="H80" s="14"/>
      <c r="I80" s="14"/>
      <c r="J80" s="14"/>
      <c r="K80" s="14"/>
      <c r="L80" s="14">
        <v>28</v>
      </c>
      <c r="M80" s="14">
        <v>40953</v>
      </c>
      <c r="N80" s="8">
        <v>10000</v>
      </c>
      <c r="O80" s="8">
        <v>6569.35</v>
      </c>
      <c r="P80" s="8">
        <v>16569.349999999999</v>
      </c>
    </row>
    <row r="81" spans="1:16">
      <c r="A81" s="7">
        <v>76</v>
      </c>
      <c r="B81" s="14" t="s">
        <v>732</v>
      </c>
      <c r="C81" s="15" t="s">
        <v>733</v>
      </c>
      <c r="D81" s="15" t="s">
        <v>734</v>
      </c>
      <c r="E81" s="14" t="s">
        <v>22</v>
      </c>
      <c r="F81" s="14" t="s">
        <v>194</v>
      </c>
      <c r="G81" s="14" t="s">
        <v>5</v>
      </c>
      <c r="H81" s="14"/>
      <c r="I81" s="14"/>
      <c r="J81" s="14"/>
      <c r="K81" s="14"/>
      <c r="L81" s="14">
        <v>29</v>
      </c>
      <c r="M81" s="14">
        <v>40967</v>
      </c>
      <c r="N81" s="8">
        <v>8215.27</v>
      </c>
      <c r="O81" s="8">
        <v>912.81</v>
      </c>
      <c r="P81" s="8">
        <v>9128.08</v>
      </c>
    </row>
    <row r="82" spans="1:16">
      <c r="N82" s="33"/>
    </row>
    <row r="83" spans="1:16" ht="15.75"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4">
        <f>SUBTOTAL(9,N6:N81)</f>
        <v>558767.64000000036</v>
      </c>
      <c r="O83" s="34">
        <f t="shared" ref="O83:P83" si="0">SUBTOTAL(9,O6:O81)</f>
        <v>121554.71000000006</v>
      </c>
      <c r="P83" s="34">
        <f t="shared" si="0"/>
        <v>680322.42999999993</v>
      </c>
    </row>
  </sheetData>
  <mergeCells count="4">
    <mergeCell ref="A1:P1"/>
    <mergeCell ref="A2:P2"/>
    <mergeCell ref="A3:P3"/>
    <mergeCell ref="A4:P4"/>
  </mergeCells>
  <pageMargins left="0.70866141732283472" right="0.70866141732283472" top="0.74803149606299213" bottom="0.74803149606299213" header="0.31496062992125984" footer="0.31496062992125984"/>
  <pageSetup scale="3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4"/>
  <sheetViews>
    <sheetView workbookViewId="0">
      <selection activeCell="A5" sqref="A5:P5"/>
    </sheetView>
  </sheetViews>
  <sheetFormatPr baseColWidth="10" defaultRowHeight="15"/>
  <cols>
    <col min="2" max="2" width="21.42578125" customWidth="1"/>
    <col min="3" max="3" width="38" customWidth="1"/>
    <col min="4" max="4" width="36.5703125" customWidth="1"/>
    <col min="5" max="5" width="19.42578125" customWidth="1"/>
    <col min="14" max="14" width="17" customWidth="1"/>
    <col min="15" max="15" width="15" customWidth="1"/>
    <col min="16" max="16" width="14.85546875" customWidth="1"/>
  </cols>
  <sheetData>
    <row r="1" spans="1:16" ht="18">
      <c r="A1" s="42" t="s">
        <v>762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16" ht="18">
      <c r="A2" s="42" t="s">
        <v>763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</row>
    <row r="3" spans="1:16" ht="18">
      <c r="A3" s="42" t="s">
        <v>764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ht="18.75" thickBot="1">
      <c r="A4" s="43" t="s">
        <v>760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</row>
    <row r="5" spans="1:16" ht="36.75" thickBot="1">
      <c r="A5" s="32" t="s">
        <v>758</v>
      </c>
      <c r="B5" s="3" t="s">
        <v>0</v>
      </c>
      <c r="C5" s="1" t="s">
        <v>1</v>
      </c>
      <c r="D5" s="2" t="s">
        <v>2</v>
      </c>
      <c r="E5" s="1" t="s">
        <v>3</v>
      </c>
      <c r="F5" s="2" t="s">
        <v>4</v>
      </c>
      <c r="G5" s="3" t="s">
        <v>5</v>
      </c>
      <c r="H5" s="2" t="s">
        <v>6</v>
      </c>
      <c r="I5" s="1" t="s">
        <v>7</v>
      </c>
      <c r="J5" s="2" t="s">
        <v>8</v>
      </c>
      <c r="K5" s="2" t="s">
        <v>9</v>
      </c>
      <c r="L5" s="2" t="s">
        <v>759</v>
      </c>
      <c r="M5" s="1" t="s">
        <v>10</v>
      </c>
      <c r="N5" s="1" t="s">
        <v>11</v>
      </c>
      <c r="O5" s="1" t="s">
        <v>12</v>
      </c>
      <c r="P5" s="4" t="s">
        <v>13</v>
      </c>
    </row>
    <row r="6" spans="1:16" ht="15.75" thickBot="1">
      <c r="A6" s="24">
        <v>1</v>
      </c>
      <c r="B6" s="9" t="s">
        <v>115</v>
      </c>
      <c r="C6" s="10" t="s">
        <v>116</v>
      </c>
      <c r="D6" s="10" t="s">
        <v>117</v>
      </c>
      <c r="E6" s="11" t="s">
        <v>17</v>
      </c>
      <c r="F6" s="11" t="s">
        <v>118</v>
      </c>
      <c r="G6" s="12" t="s">
        <v>5</v>
      </c>
      <c r="H6" s="11"/>
      <c r="I6" s="11"/>
      <c r="J6" s="11"/>
      <c r="K6" s="11" t="s">
        <v>9</v>
      </c>
      <c r="L6" s="11">
        <v>16</v>
      </c>
      <c r="M6" s="13">
        <v>40883</v>
      </c>
      <c r="N6" s="25">
        <v>6534.85</v>
      </c>
      <c r="O6" s="25">
        <v>1633.71</v>
      </c>
      <c r="P6" s="25">
        <v>8168.56</v>
      </c>
    </row>
    <row r="7" spans="1:16">
      <c r="A7" s="24">
        <v>2</v>
      </c>
      <c r="B7" s="14" t="s">
        <v>122</v>
      </c>
      <c r="C7" s="15" t="s">
        <v>123</v>
      </c>
      <c r="D7" s="15" t="s">
        <v>124</v>
      </c>
      <c r="E7" s="14" t="s">
        <v>61</v>
      </c>
      <c r="F7" s="14" t="s">
        <v>118</v>
      </c>
      <c r="G7" s="14" t="s">
        <v>5</v>
      </c>
      <c r="H7" s="14"/>
      <c r="I7" s="14"/>
      <c r="J7" s="14" t="s">
        <v>8</v>
      </c>
      <c r="K7" s="14"/>
      <c r="L7" s="14">
        <v>17</v>
      </c>
      <c r="M7" s="16">
        <v>40891</v>
      </c>
      <c r="N7" s="25">
        <v>8981</v>
      </c>
      <c r="O7" s="25">
        <v>2245.25</v>
      </c>
      <c r="P7" s="25">
        <v>11226.25</v>
      </c>
    </row>
    <row r="8" spans="1:16">
      <c r="A8" s="44">
        <v>3</v>
      </c>
      <c r="B8" s="14" t="s">
        <v>125</v>
      </c>
      <c r="C8" s="15" t="s">
        <v>126</v>
      </c>
      <c r="D8" s="15" t="s">
        <v>127</v>
      </c>
      <c r="E8" s="14" t="s">
        <v>22</v>
      </c>
      <c r="F8" s="14" t="s">
        <v>118</v>
      </c>
      <c r="G8" s="14"/>
      <c r="H8" s="14" t="s">
        <v>6</v>
      </c>
      <c r="I8" s="14"/>
      <c r="J8" s="14"/>
      <c r="K8" s="14" t="s">
        <v>9</v>
      </c>
      <c r="L8" s="14">
        <v>17</v>
      </c>
      <c r="M8" s="16">
        <v>40891</v>
      </c>
      <c r="N8" s="25">
        <v>10000</v>
      </c>
      <c r="O8" s="25">
        <v>6956.76</v>
      </c>
      <c r="P8" s="25">
        <v>16956.760000000002</v>
      </c>
    </row>
    <row r="9" spans="1:16">
      <c r="A9" s="24">
        <v>4</v>
      </c>
      <c r="B9" s="17" t="s">
        <v>128</v>
      </c>
      <c r="C9" s="18" t="s">
        <v>129</v>
      </c>
      <c r="D9" s="18" t="s">
        <v>130</v>
      </c>
      <c r="E9" s="19" t="s">
        <v>22</v>
      </c>
      <c r="F9" s="19" t="s">
        <v>118</v>
      </c>
      <c r="G9" s="20"/>
      <c r="H9" s="19" t="s">
        <v>6</v>
      </c>
      <c r="I9" s="19"/>
      <c r="J9" s="19"/>
      <c r="K9" s="19" t="s">
        <v>9</v>
      </c>
      <c r="L9" s="19">
        <v>17</v>
      </c>
      <c r="M9" s="21">
        <v>40891</v>
      </c>
      <c r="N9" s="25">
        <v>8897.0300000000007</v>
      </c>
      <c r="O9" s="25">
        <v>5931.35</v>
      </c>
      <c r="P9" s="25">
        <v>14828.380000000001</v>
      </c>
    </row>
    <row r="10" spans="1:16">
      <c r="A10" s="24">
        <v>5</v>
      </c>
      <c r="B10" s="22" t="s">
        <v>131</v>
      </c>
      <c r="C10" s="15" t="s">
        <v>132</v>
      </c>
      <c r="D10" s="15" t="s">
        <v>133</v>
      </c>
      <c r="E10" s="14" t="s">
        <v>22</v>
      </c>
      <c r="F10" s="14" t="s">
        <v>118</v>
      </c>
      <c r="G10" s="23"/>
      <c r="H10" s="14" t="s">
        <v>6</v>
      </c>
      <c r="I10" s="14"/>
      <c r="J10" s="14"/>
      <c r="K10" s="14" t="s">
        <v>9</v>
      </c>
      <c r="L10" s="14">
        <v>17</v>
      </c>
      <c r="M10" s="16">
        <v>40891</v>
      </c>
      <c r="N10" s="25">
        <v>8552.0300000000007</v>
      </c>
      <c r="O10" s="25">
        <v>5701.35</v>
      </c>
      <c r="P10" s="25">
        <v>14253.380000000001</v>
      </c>
    </row>
    <row r="11" spans="1:16">
      <c r="A11" s="44">
        <v>6</v>
      </c>
      <c r="B11" s="22" t="s">
        <v>134</v>
      </c>
      <c r="C11" s="15" t="s">
        <v>135</v>
      </c>
      <c r="D11" s="15" t="s">
        <v>136</v>
      </c>
      <c r="E11" s="14" t="s">
        <v>32</v>
      </c>
      <c r="F11" s="14" t="s">
        <v>118</v>
      </c>
      <c r="G11" s="23" t="s">
        <v>5</v>
      </c>
      <c r="H11" s="14"/>
      <c r="I11" s="14"/>
      <c r="J11" s="14"/>
      <c r="K11" s="14" t="s">
        <v>9</v>
      </c>
      <c r="L11" s="14">
        <v>17</v>
      </c>
      <c r="M11" s="16">
        <v>40891</v>
      </c>
      <c r="N11" s="25">
        <v>4416</v>
      </c>
      <c r="O11" s="25">
        <v>1104</v>
      </c>
      <c r="P11" s="25">
        <v>5520</v>
      </c>
    </row>
    <row r="12" spans="1:16">
      <c r="A12" s="24">
        <v>7</v>
      </c>
      <c r="B12" s="22" t="s">
        <v>137</v>
      </c>
      <c r="C12" s="15" t="s">
        <v>138</v>
      </c>
      <c r="D12" s="15" t="s">
        <v>139</v>
      </c>
      <c r="E12" s="14" t="s">
        <v>32</v>
      </c>
      <c r="F12" s="14" t="s">
        <v>118</v>
      </c>
      <c r="G12" s="23" t="s">
        <v>5</v>
      </c>
      <c r="H12" s="14"/>
      <c r="I12" s="14"/>
      <c r="J12" s="14"/>
      <c r="K12" s="14" t="s">
        <v>9</v>
      </c>
      <c r="L12" s="14">
        <v>17</v>
      </c>
      <c r="M12" s="16">
        <v>40891</v>
      </c>
      <c r="N12" s="25">
        <v>6408</v>
      </c>
      <c r="O12" s="25">
        <v>712</v>
      </c>
      <c r="P12" s="25">
        <v>7120</v>
      </c>
    </row>
    <row r="13" spans="1:16">
      <c r="A13" s="24">
        <v>8</v>
      </c>
      <c r="B13" s="17" t="s">
        <v>140</v>
      </c>
      <c r="C13" s="18" t="s">
        <v>141</v>
      </c>
      <c r="D13" s="15" t="s">
        <v>142</v>
      </c>
      <c r="E13" s="14" t="s">
        <v>22</v>
      </c>
      <c r="F13" s="14" t="s">
        <v>118</v>
      </c>
      <c r="G13" s="23" t="s">
        <v>5</v>
      </c>
      <c r="H13" s="14"/>
      <c r="I13" s="14"/>
      <c r="J13" s="14" t="s">
        <v>8</v>
      </c>
      <c r="K13" s="14"/>
      <c r="L13" s="14">
        <v>17</v>
      </c>
      <c r="M13" s="16">
        <v>40891</v>
      </c>
      <c r="N13" s="25">
        <v>10000</v>
      </c>
      <c r="O13" s="25">
        <v>3966.76</v>
      </c>
      <c r="P13" s="25">
        <v>13966.76</v>
      </c>
    </row>
    <row r="14" spans="1:16">
      <c r="A14" s="44">
        <v>9</v>
      </c>
      <c r="B14" s="22" t="s">
        <v>143</v>
      </c>
      <c r="C14" s="15" t="s">
        <v>144</v>
      </c>
      <c r="D14" s="15" t="s">
        <v>145</v>
      </c>
      <c r="E14" s="14" t="s">
        <v>22</v>
      </c>
      <c r="F14" s="14" t="s">
        <v>118</v>
      </c>
      <c r="G14" s="23" t="s">
        <v>5</v>
      </c>
      <c r="H14" s="14"/>
      <c r="I14" s="14"/>
      <c r="J14" s="14"/>
      <c r="K14" s="14" t="s">
        <v>9</v>
      </c>
      <c r="L14" s="14">
        <v>17</v>
      </c>
      <c r="M14" s="16">
        <v>40891</v>
      </c>
      <c r="N14" s="25">
        <v>9274.7000000000007</v>
      </c>
      <c r="O14" s="25">
        <v>2318.6799999999998</v>
      </c>
      <c r="P14" s="25">
        <v>11593.380000000001</v>
      </c>
    </row>
    <row r="15" spans="1:16">
      <c r="A15" s="24">
        <v>10</v>
      </c>
      <c r="B15" s="22" t="s">
        <v>146</v>
      </c>
      <c r="C15" s="15" t="s">
        <v>147</v>
      </c>
      <c r="D15" s="15" t="s">
        <v>148</v>
      </c>
      <c r="E15" s="14" t="s">
        <v>22</v>
      </c>
      <c r="F15" s="14" t="s">
        <v>118</v>
      </c>
      <c r="G15" s="23" t="s">
        <v>5</v>
      </c>
      <c r="H15" s="14"/>
      <c r="I15" s="14"/>
      <c r="J15" s="14"/>
      <c r="K15" s="14" t="s">
        <v>9</v>
      </c>
      <c r="L15" s="14">
        <v>17</v>
      </c>
      <c r="M15" s="16">
        <v>40891</v>
      </c>
      <c r="N15" s="25">
        <v>10000</v>
      </c>
      <c r="O15" s="25">
        <v>2750</v>
      </c>
      <c r="P15" s="25">
        <v>12750</v>
      </c>
    </row>
    <row r="16" spans="1:16">
      <c r="A16" s="24">
        <v>11</v>
      </c>
      <c r="B16" s="22" t="s">
        <v>149</v>
      </c>
      <c r="C16" s="15" t="s">
        <v>150</v>
      </c>
      <c r="D16" s="15" t="s">
        <v>151</v>
      </c>
      <c r="E16" s="14" t="s">
        <v>61</v>
      </c>
      <c r="F16" s="14" t="s">
        <v>118</v>
      </c>
      <c r="G16" s="23" t="s">
        <v>5</v>
      </c>
      <c r="H16" s="14"/>
      <c r="I16" s="14"/>
      <c r="J16" s="14" t="s">
        <v>8</v>
      </c>
      <c r="K16" s="14"/>
      <c r="L16" s="14">
        <v>17</v>
      </c>
      <c r="M16" s="16">
        <v>40891</v>
      </c>
      <c r="N16" s="25">
        <v>8136</v>
      </c>
      <c r="O16" s="25">
        <v>2034</v>
      </c>
      <c r="P16" s="25">
        <v>10170</v>
      </c>
    </row>
    <row r="17" spans="1:16">
      <c r="A17" s="44">
        <v>12</v>
      </c>
      <c r="B17" s="22" t="s">
        <v>152</v>
      </c>
      <c r="C17" s="15" t="s">
        <v>153</v>
      </c>
      <c r="D17" s="15" t="s">
        <v>154</v>
      </c>
      <c r="E17" s="14" t="s">
        <v>61</v>
      </c>
      <c r="F17" s="14" t="s">
        <v>118</v>
      </c>
      <c r="G17" s="23" t="s">
        <v>5</v>
      </c>
      <c r="H17" s="14"/>
      <c r="I17" s="14"/>
      <c r="J17" s="14" t="s">
        <v>8</v>
      </c>
      <c r="K17" s="14"/>
      <c r="L17" s="14">
        <v>17</v>
      </c>
      <c r="M17" s="16">
        <v>40891</v>
      </c>
      <c r="N17" s="25">
        <v>5870.4</v>
      </c>
      <c r="O17" s="25">
        <v>3913.6</v>
      </c>
      <c r="P17" s="25">
        <v>9784</v>
      </c>
    </row>
    <row r="18" spans="1:16">
      <c r="A18" s="24">
        <v>13</v>
      </c>
      <c r="B18" s="22" t="s">
        <v>155</v>
      </c>
      <c r="C18" s="15" t="s">
        <v>156</v>
      </c>
      <c r="D18" s="15" t="s">
        <v>157</v>
      </c>
      <c r="E18" s="14" t="s">
        <v>32</v>
      </c>
      <c r="F18" s="14" t="s">
        <v>118</v>
      </c>
      <c r="G18" s="23" t="s">
        <v>5</v>
      </c>
      <c r="H18" s="14"/>
      <c r="I18" s="14"/>
      <c r="J18" s="14"/>
      <c r="K18" s="14" t="s">
        <v>9</v>
      </c>
      <c r="L18" s="14">
        <v>17</v>
      </c>
      <c r="M18" s="16">
        <v>40891</v>
      </c>
      <c r="N18" s="25">
        <v>5868</v>
      </c>
      <c r="O18" s="25">
        <v>652</v>
      </c>
      <c r="P18" s="25">
        <v>6520</v>
      </c>
    </row>
    <row r="19" spans="1:16">
      <c r="A19" s="24">
        <v>14</v>
      </c>
      <c r="B19" s="22" t="s">
        <v>158</v>
      </c>
      <c r="C19" s="15" t="s">
        <v>159</v>
      </c>
      <c r="D19" s="15" t="s">
        <v>160</v>
      </c>
      <c r="E19" s="14" t="s">
        <v>22</v>
      </c>
      <c r="F19" s="14" t="s">
        <v>118</v>
      </c>
      <c r="G19" s="23" t="s">
        <v>5</v>
      </c>
      <c r="H19" s="14"/>
      <c r="I19" s="14"/>
      <c r="J19" s="14"/>
      <c r="K19" s="14" t="s">
        <v>9</v>
      </c>
      <c r="L19" s="14">
        <v>17</v>
      </c>
      <c r="M19" s="16">
        <v>40891</v>
      </c>
      <c r="N19" s="25">
        <v>10000</v>
      </c>
      <c r="O19" s="25">
        <v>2713.38</v>
      </c>
      <c r="P19" s="25">
        <v>12713.380000000001</v>
      </c>
    </row>
    <row r="20" spans="1:16">
      <c r="A20" s="44">
        <v>15</v>
      </c>
      <c r="B20" s="22" t="s">
        <v>161</v>
      </c>
      <c r="C20" s="15" t="s">
        <v>162</v>
      </c>
      <c r="D20" s="15" t="s">
        <v>163</v>
      </c>
      <c r="E20" s="14" t="s">
        <v>61</v>
      </c>
      <c r="F20" s="14" t="s">
        <v>118</v>
      </c>
      <c r="G20" s="23" t="s">
        <v>5</v>
      </c>
      <c r="H20" s="14"/>
      <c r="I20" s="14"/>
      <c r="J20" s="14" t="s">
        <v>8</v>
      </c>
      <c r="K20" s="14"/>
      <c r="L20" s="14">
        <v>17</v>
      </c>
      <c r="M20" s="16">
        <v>40891</v>
      </c>
      <c r="N20" s="25">
        <v>7595.2</v>
      </c>
      <c r="O20" s="25">
        <v>1898.8</v>
      </c>
      <c r="P20" s="25">
        <v>9494</v>
      </c>
    </row>
    <row r="21" spans="1:16">
      <c r="A21" s="24">
        <v>16</v>
      </c>
      <c r="B21" s="22" t="s">
        <v>164</v>
      </c>
      <c r="C21" s="15" t="s">
        <v>165</v>
      </c>
      <c r="D21" s="15" t="s">
        <v>166</v>
      </c>
      <c r="E21" s="14" t="s">
        <v>61</v>
      </c>
      <c r="F21" s="14" t="s">
        <v>118</v>
      </c>
      <c r="G21" s="23"/>
      <c r="H21" s="14" t="s">
        <v>6</v>
      </c>
      <c r="I21" s="14"/>
      <c r="J21" s="14" t="s">
        <v>8</v>
      </c>
      <c r="K21" s="14"/>
      <c r="L21" s="14">
        <v>17</v>
      </c>
      <c r="M21" s="16">
        <v>40891</v>
      </c>
      <c r="N21" s="25">
        <v>4050</v>
      </c>
      <c r="O21" s="25">
        <v>2700</v>
      </c>
      <c r="P21" s="25">
        <v>6750</v>
      </c>
    </row>
    <row r="22" spans="1:16">
      <c r="A22" s="24">
        <v>17</v>
      </c>
      <c r="B22" s="22" t="s">
        <v>167</v>
      </c>
      <c r="C22" s="15" t="s">
        <v>168</v>
      </c>
      <c r="D22" s="15" t="s">
        <v>169</v>
      </c>
      <c r="E22" s="14" t="s">
        <v>22</v>
      </c>
      <c r="F22" s="14" t="s">
        <v>118</v>
      </c>
      <c r="G22" s="23"/>
      <c r="H22" s="14" t="s">
        <v>6</v>
      </c>
      <c r="I22" s="14"/>
      <c r="J22" s="14" t="s">
        <v>8</v>
      </c>
      <c r="K22" s="14"/>
      <c r="L22" s="14">
        <v>17</v>
      </c>
      <c r="M22" s="16">
        <v>40891</v>
      </c>
      <c r="N22" s="25">
        <v>7304.03</v>
      </c>
      <c r="O22" s="25">
        <v>4869.3500000000004</v>
      </c>
      <c r="P22" s="25">
        <v>12173.380000000001</v>
      </c>
    </row>
    <row r="23" spans="1:16">
      <c r="A23" s="44">
        <v>18</v>
      </c>
      <c r="B23" s="22" t="s">
        <v>170</v>
      </c>
      <c r="C23" s="15" t="s">
        <v>171</v>
      </c>
      <c r="D23" s="15" t="s">
        <v>172</v>
      </c>
      <c r="E23" s="14" t="s">
        <v>61</v>
      </c>
      <c r="F23" s="14" t="s">
        <v>118</v>
      </c>
      <c r="G23" s="23" t="s">
        <v>5</v>
      </c>
      <c r="H23" s="14"/>
      <c r="I23" s="14"/>
      <c r="J23" s="14" t="s">
        <v>8</v>
      </c>
      <c r="K23" s="14"/>
      <c r="L23" s="14">
        <v>17</v>
      </c>
      <c r="M23" s="16">
        <v>40891</v>
      </c>
      <c r="N23" s="25">
        <v>9687.41</v>
      </c>
      <c r="O23" s="25">
        <v>1076.3800000000001</v>
      </c>
      <c r="P23" s="25">
        <v>10763.79</v>
      </c>
    </row>
    <row r="24" spans="1:16">
      <c r="A24" s="24">
        <v>19</v>
      </c>
      <c r="B24" s="14" t="s">
        <v>173</v>
      </c>
      <c r="C24" s="15" t="s">
        <v>174</v>
      </c>
      <c r="D24" s="15" t="s">
        <v>175</v>
      </c>
      <c r="E24" s="14" t="s">
        <v>32</v>
      </c>
      <c r="F24" s="14" t="s">
        <v>118</v>
      </c>
      <c r="G24" s="14" t="s">
        <v>5</v>
      </c>
      <c r="H24" s="14"/>
      <c r="I24" s="14"/>
      <c r="J24" s="14"/>
      <c r="K24" s="14" t="s">
        <v>9</v>
      </c>
      <c r="L24" s="14">
        <v>17</v>
      </c>
      <c r="M24" s="16">
        <v>40891</v>
      </c>
      <c r="N24" s="25">
        <v>4656</v>
      </c>
      <c r="O24" s="25">
        <v>1164</v>
      </c>
      <c r="P24" s="25">
        <v>5820</v>
      </c>
    </row>
    <row r="25" spans="1:16">
      <c r="A25" s="24">
        <v>20</v>
      </c>
      <c r="B25" s="14" t="s">
        <v>176</v>
      </c>
      <c r="C25" s="15" t="s">
        <v>177</v>
      </c>
      <c r="D25" s="15" t="s">
        <v>178</v>
      </c>
      <c r="E25" s="14" t="s">
        <v>61</v>
      </c>
      <c r="F25" s="14" t="s">
        <v>118</v>
      </c>
      <c r="G25" s="14" t="s">
        <v>5</v>
      </c>
      <c r="H25" s="14"/>
      <c r="I25" s="14"/>
      <c r="J25" s="14" t="s">
        <v>8</v>
      </c>
      <c r="K25" s="14"/>
      <c r="L25" s="14">
        <v>17</v>
      </c>
      <c r="M25" s="16">
        <v>40891</v>
      </c>
      <c r="N25" s="25">
        <v>9048.5</v>
      </c>
      <c r="O25" s="25">
        <v>2262.13</v>
      </c>
      <c r="P25" s="25">
        <v>11310.630000000001</v>
      </c>
    </row>
    <row r="26" spans="1:16">
      <c r="A26" s="44">
        <v>21</v>
      </c>
      <c r="B26" s="22" t="s">
        <v>179</v>
      </c>
      <c r="C26" s="15" t="s">
        <v>180</v>
      </c>
      <c r="D26" s="15" t="s">
        <v>181</v>
      </c>
      <c r="E26" s="14" t="s">
        <v>32</v>
      </c>
      <c r="F26" s="14" t="s">
        <v>118</v>
      </c>
      <c r="G26" s="23" t="s">
        <v>5</v>
      </c>
      <c r="H26" s="14"/>
      <c r="I26" s="14"/>
      <c r="J26" s="14"/>
      <c r="K26" s="14" t="s">
        <v>9</v>
      </c>
      <c r="L26" s="14">
        <v>17</v>
      </c>
      <c r="M26" s="16">
        <v>40891</v>
      </c>
      <c r="N26" s="25">
        <v>7218</v>
      </c>
      <c r="O26" s="25">
        <v>802</v>
      </c>
      <c r="P26" s="25">
        <v>8020</v>
      </c>
    </row>
    <row r="27" spans="1:16">
      <c r="A27" s="24">
        <v>22</v>
      </c>
      <c r="B27" s="22" t="s">
        <v>182</v>
      </c>
      <c r="C27" s="15" t="s">
        <v>183</v>
      </c>
      <c r="D27" s="15" t="s">
        <v>184</v>
      </c>
      <c r="E27" s="14" t="s">
        <v>22</v>
      </c>
      <c r="F27" s="14" t="s">
        <v>118</v>
      </c>
      <c r="G27" s="23" t="s">
        <v>5</v>
      </c>
      <c r="H27" s="14"/>
      <c r="I27" s="14"/>
      <c r="J27" s="14"/>
      <c r="K27" s="14" t="s">
        <v>9</v>
      </c>
      <c r="L27" s="14">
        <v>17</v>
      </c>
      <c r="M27" s="16">
        <v>40891</v>
      </c>
      <c r="N27" s="25">
        <v>3020</v>
      </c>
      <c r="O27" s="25">
        <v>755</v>
      </c>
      <c r="P27" s="25">
        <v>3775</v>
      </c>
    </row>
    <row r="28" spans="1:16" ht="15.75" thickBot="1">
      <c r="A28" s="24">
        <v>23</v>
      </c>
      <c r="B28" s="9" t="s">
        <v>185</v>
      </c>
      <c r="C28" s="10" t="s">
        <v>186</v>
      </c>
      <c r="D28" s="10" t="s">
        <v>187</v>
      </c>
      <c r="E28" s="11" t="s">
        <v>22</v>
      </c>
      <c r="F28" s="11" t="s">
        <v>118</v>
      </c>
      <c r="G28" s="12" t="s">
        <v>5</v>
      </c>
      <c r="H28" s="11"/>
      <c r="I28" s="11"/>
      <c r="J28" s="11"/>
      <c r="K28" s="11" t="s">
        <v>9</v>
      </c>
      <c r="L28" s="11">
        <v>17</v>
      </c>
      <c r="M28" s="13">
        <v>40891</v>
      </c>
      <c r="N28" s="25">
        <v>8216</v>
      </c>
      <c r="O28" s="25">
        <v>2054</v>
      </c>
      <c r="P28" s="25">
        <v>10270</v>
      </c>
    </row>
    <row r="29" spans="1:16">
      <c r="A29" s="44">
        <v>24</v>
      </c>
      <c r="B29" s="22" t="s">
        <v>297</v>
      </c>
      <c r="C29" s="15" t="s">
        <v>298</v>
      </c>
      <c r="D29" s="15" t="s">
        <v>299</v>
      </c>
      <c r="E29" s="14" t="s">
        <v>61</v>
      </c>
      <c r="F29" s="14" t="s">
        <v>118</v>
      </c>
      <c r="G29" s="23" t="s">
        <v>5</v>
      </c>
      <c r="H29" s="14"/>
      <c r="I29" s="14"/>
      <c r="J29" s="14" t="s">
        <v>8</v>
      </c>
      <c r="K29" s="14"/>
      <c r="L29" s="14">
        <v>23</v>
      </c>
      <c r="M29" s="16">
        <v>40914</v>
      </c>
      <c r="N29" s="25">
        <v>9821</v>
      </c>
      <c r="O29" s="25">
        <v>2455.25</v>
      </c>
      <c r="P29" s="25">
        <v>12276.25</v>
      </c>
    </row>
    <row r="30" spans="1:16">
      <c r="A30" s="24">
        <v>25</v>
      </c>
      <c r="B30" s="17" t="s">
        <v>425</v>
      </c>
      <c r="C30" s="18" t="s">
        <v>426</v>
      </c>
      <c r="D30" s="18" t="s">
        <v>427</v>
      </c>
      <c r="E30" s="19" t="s">
        <v>22</v>
      </c>
      <c r="F30" s="19" t="s">
        <v>118</v>
      </c>
      <c r="G30" s="19" t="s">
        <v>5</v>
      </c>
      <c r="H30" s="19"/>
      <c r="I30" s="19"/>
      <c r="J30" s="19"/>
      <c r="K30" s="19" t="s">
        <v>9</v>
      </c>
      <c r="L30" s="19">
        <v>25</v>
      </c>
      <c r="M30" s="21">
        <v>40946</v>
      </c>
      <c r="N30" s="25">
        <v>4565.6000000000004</v>
      </c>
      <c r="O30" s="25">
        <v>1141.4000000000001</v>
      </c>
      <c r="P30" s="25">
        <v>5707</v>
      </c>
    </row>
    <row r="31" spans="1:16">
      <c r="A31" s="24">
        <v>26</v>
      </c>
      <c r="B31" s="22" t="s">
        <v>428</v>
      </c>
      <c r="C31" s="15" t="s">
        <v>429</v>
      </c>
      <c r="D31" s="15" t="s">
        <v>430</v>
      </c>
      <c r="E31" s="14" t="s">
        <v>22</v>
      </c>
      <c r="F31" s="14" t="s">
        <v>118</v>
      </c>
      <c r="G31" s="14"/>
      <c r="H31" s="14" t="s">
        <v>6</v>
      </c>
      <c r="I31" s="14"/>
      <c r="J31" s="14"/>
      <c r="K31" s="14" t="s">
        <v>9</v>
      </c>
      <c r="L31" s="14">
        <v>25</v>
      </c>
      <c r="M31" s="16">
        <v>40946</v>
      </c>
      <c r="N31" s="25">
        <v>9464.1299999999992</v>
      </c>
      <c r="O31" s="25">
        <v>6309.42</v>
      </c>
      <c r="P31" s="25">
        <v>15773.55</v>
      </c>
    </row>
    <row r="32" spans="1:16">
      <c r="A32" s="44">
        <v>27</v>
      </c>
      <c r="B32" s="22" t="s">
        <v>431</v>
      </c>
      <c r="C32" s="15" t="s">
        <v>432</v>
      </c>
      <c r="D32" s="15"/>
      <c r="E32" s="14" t="s">
        <v>32</v>
      </c>
      <c r="F32" s="14" t="s">
        <v>118</v>
      </c>
      <c r="G32" s="14" t="s">
        <v>5</v>
      </c>
      <c r="H32" s="14"/>
      <c r="I32" s="14"/>
      <c r="J32" s="14"/>
      <c r="K32" s="14" t="s">
        <v>9</v>
      </c>
      <c r="L32" s="14">
        <v>25</v>
      </c>
      <c r="M32" s="16">
        <v>40946</v>
      </c>
      <c r="N32" s="25">
        <v>2610</v>
      </c>
      <c r="O32" s="25">
        <v>290</v>
      </c>
      <c r="P32" s="25">
        <v>2900</v>
      </c>
    </row>
    <row r="33" spans="1:16">
      <c r="A33" s="24">
        <v>28</v>
      </c>
      <c r="B33" s="22" t="s">
        <v>433</v>
      </c>
      <c r="C33" s="15" t="s">
        <v>434</v>
      </c>
      <c r="D33" s="15" t="s">
        <v>435</v>
      </c>
      <c r="E33" s="14" t="s">
        <v>32</v>
      </c>
      <c r="F33" s="14" t="s">
        <v>118</v>
      </c>
      <c r="G33" s="14" t="s">
        <v>5</v>
      </c>
      <c r="H33" s="14"/>
      <c r="I33" s="14"/>
      <c r="J33" s="14"/>
      <c r="K33" s="14" t="s">
        <v>9</v>
      </c>
      <c r="L33" s="14">
        <v>25</v>
      </c>
      <c r="M33" s="16">
        <v>40946</v>
      </c>
      <c r="N33" s="25">
        <v>3816.9</v>
      </c>
      <c r="O33" s="25">
        <v>424.1</v>
      </c>
      <c r="P33" s="25">
        <v>4241</v>
      </c>
    </row>
    <row r="34" spans="1:16">
      <c r="A34" s="24">
        <v>29</v>
      </c>
      <c r="B34" s="22" t="s">
        <v>436</v>
      </c>
      <c r="C34" s="15" t="s">
        <v>437</v>
      </c>
      <c r="D34" s="15" t="s">
        <v>438</v>
      </c>
      <c r="E34" s="14" t="s">
        <v>32</v>
      </c>
      <c r="F34" s="14" t="s">
        <v>118</v>
      </c>
      <c r="G34" s="14" t="s">
        <v>5</v>
      </c>
      <c r="H34" s="14"/>
      <c r="I34" s="14"/>
      <c r="J34" s="14"/>
      <c r="K34" s="14" t="s">
        <v>9</v>
      </c>
      <c r="L34" s="14">
        <v>25</v>
      </c>
      <c r="M34" s="16">
        <v>40946</v>
      </c>
      <c r="N34" s="25">
        <v>6858</v>
      </c>
      <c r="O34" s="25">
        <v>762</v>
      </c>
      <c r="P34" s="25">
        <v>7620</v>
      </c>
    </row>
    <row r="35" spans="1:16">
      <c r="A35" s="44">
        <v>30</v>
      </c>
      <c r="B35" s="22" t="s">
        <v>439</v>
      </c>
      <c r="C35" s="15" t="s">
        <v>440</v>
      </c>
      <c r="D35" s="15" t="s">
        <v>441</v>
      </c>
      <c r="E35" s="14" t="s">
        <v>32</v>
      </c>
      <c r="F35" s="14" t="s">
        <v>118</v>
      </c>
      <c r="G35" s="14" t="s">
        <v>5</v>
      </c>
      <c r="H35" s="14"/>
      <c r="I35" s="14"/>
      <c r="J35" s="14"/>
      <c r="K35" s="14" t="s">
        <v>9</v>
      </c>
      <c r="L35" s="14">
        <v>25</v>
      </c>
      <c r="M35" s="16">
        <v>40946</v>
      </c>
      <c r="N35" s="25">
        <v>5868</v>
      </c>
      <c r="O35" s="25">
        <v>652</v>
      </c>
      <c r="P35" s="25">
        <v>6520</v>
      </c>
    </row>
    <row r="36" spans="1:16">
      <c r="A36" s="24">
        <v>31</v>
      </c>
      <c r="B36" s="22" t="s">
        <v>442</v>
      </c>
      <c r="C36" s="15" t="s">
        <v>443</v>
      </c>
      <c r="D36" s="15" t="s">
        <v>444</v>
      </c>
      <c r="E36" s="14" t="s">
        <v>61</v>
      </c>
      <c r="F36" s="14" t="s">
        <v>118</v>
      </c>
      <c r="G36" s="14" t="s">
        <v>5</v>
      </c>
      <c r="H36" s="14"/>
      <c r="I36" s="14"/>
      <c r="J36" s="14" t="s">
        <v>8</v>
      </c>
      <c r="K36" s="14"/>
      <c r="L36" s="14">
        <v>25</v>
      </c>
      <c r="M36" s="16">
        <v>40946</v>
      </c>
      <c r="N36" s="25">
        <v>7616</v>
      </c>
      <c r="O36" s="25">
        <v>1904</v>
      </c>
      <c r="P36" s="25">
        <v>9520</v>
      </c>
    </row>
    <row r="37" spans="1:16">
      <c r="A37" s="24">
        <v>32</v>
      </c>
      <c r="B37" s="22" t="s">
        <v>445</v>
      </c>
      <c r="C37" s="15" t="s">
        <v>446</v>
      </c>
      <c r="D37" s="15" t="s">
        <v>447</v>
      </c>
      <c r="E37" s="14" t="s">
        <v>61</v>
      </c>
      <c r="F37" s="14" t="s">
        <v>118</v>
      </c>
      <c r="G37" s="14" t="s">
        <v>5</v>
      </c>
      <c r="H37" s="14"/>
      <c r="I37" s="14"/>
      <c r="J37" s="14"/>
      <c r="K37" s="14" t="s">
        <v>9</v>
      </c>
      <c r="L37" s="14">
        <v>25</v>
      </c>
      <c r="M37" s="16">
        <v>40946</v>
      </c>
      <c r="N37" s="25">
        <v>7520</v>
      </c>
      <c r="O37" s="25">
        <v>1880</v>
      </c>
      <c r="P37" s="25">
        <v>9400</v>
      </c>
    </row>
    <row r="38" spans="1:16">
      <c r="A38" s="44">
        <v>33</v>
      </c>
      <c r="B38" s="22" t="s">
        <v>448</v>
      </c>
      <c r="C38" s="15" t="s">
        <v>449</v>
      </c>
      <c r="D38" s="15" t="s">
        <v>450</v>
      </c>
      <c r="E38" s="14" t="s">
        <v>17</v>
      </c>
      <c r="F38" s="14" t="s">
        <v>118</v>
      </c>
      <c r="G38" s="14" t="s">
        <v>5</v>
      </c>
      <c r="H38" s="14"/>
      <c r="I38" s="14"/>
      <c r="J38" s="14" t="s">
        <v>8</v>
      </c>
      <c r="K38" s="14"/>
      <c r="L38" s="14">
        <v>25</v>
      </c>
      <c r="M38" s="16">
        <v>40946</v>
      </c>
      <c r="N38" s="25">
        <v>3866.4</v>
      </c>
      <c r="O38" s="25">
        <v>966.6</v>
      </c>
      <c r="P38" s="25">
        <v>4833</v>
      </c>
    </row>
    <row r="39" spans="1:16">
      <c r="A39" s="24">
        <v>34</v>
      </c>
      <c r="B39" s="22" t="s">
        <v>451</v>
      </c>
      <c r="C39" s="15" t="s">
        <v>452</v>
      </c>
      <c r="D39" s="15" t="s">
        <v>453</v>
      </c>
      <c r="E39" s="14" t="s">
        <v>17</v>
      </c>
      <c r="F39" s="14" t="s">
        <v>118</v>
      </c>
      <c r="G39" s="14" t="s">
        <v>5</v>
      </c>
      <c r="H39" s="14"/>
      <c r="I39" s="14"/>
      <c r="J39" s="14" t="s">
        <v>8</v>
      </c>
      <c r="K39" s="14"/>
      <c r="L39" s="14">
        <v>25</v>
      </c>
      <c r="M39" s="16">
        <v>40946</v>
      </c>
      <c r="N39" s="25">
        <v>5289.6</v>
      </c>
      <c r="O39" s="25">
        <v>1322.4</v>
      </c>
      <c r="P39" s="25">
        <v>6612</v>
      </c>
    </row>
    <row r="40" spans="1:16">
      <c r="A40" s="24">
        <v>35</v>
      </c>
      <c r="B40" s="22" t="s">
        <v>454</v>
      </c>
      <c r="C40" s="15" t="s">
        <v>455</v>
      </c>
      <c r="D40" s="15" t="s">
        <v>456</v>
      </c>
      <c r="E40" s="14" t="s">
        <v>17</v>
      </c>
      <c r="F40" s="14" t="s">
        <v>118</v>
      </c>
      <c r="G40" s="14" t="s">
        <v>5</v>
      </c>
      <c r="H40" s="14"/>
      <c r="I40" s="14"/>
      <c r="J40" s="14" t="s">
        <v>8</v>
      </c>
      <c r="K40" s="14"/>
      <c r="L40" s="14">
        <v>25</v>
      </c>
      <c r="M40" s="16">
        <v>40946</v>
      </c>
      <c r="N40" s="25">
        <v>4356.8999999999996</v>
      </c>
      <c r="O40" s="25">
        <v>484.1</v>
      </c>
      <c r="P40" s="25">
        <v>4841</v>
      </c>
    </row>
    <row r="41" spans="1:16">
      <c r="A41" s="44">
        <v>36</v>
      </c>
      <c r="B41" s="22" t="s">
        <v>457</v>
      </c>
      <c r="C41" s="15" t="s">
        <v>458</v>
      </c>
      <c r="D41" s="15" t="s">
        <v>459</v>
      </c>
      <c r="E41" s="14" t="s">
        <v>17</v>
      </c>
      <c r="F41" s="14" t="s">
        <v>118</v>
      </c>
      <c r="G41" s="14" t="s">
        <v>5</v>
      </c>
      <c r="H41" s="14"/>
      <c r="I41" s="14"/>
      <c r="J41" s="14" t="s">
        <v>8</v>
      </c>
      <c r="K41" s="14"/>
      <c r="L41" s="14">
        <v>25</v>
      </c>
      <c r="M41" s="16">
        <v>40946</v>
      </c>
      <c r="N41" s="25">
        <v>3768.8</v>
      </c>
      <c r="O41" s="25">
        <v>942.2</v>
      </c>
      <c r="P41" s="25">
        <v>4711</v>
      </c>
    </row>
    <row r="42" spans="1:16">
      <c r="A42" s="24">
        <v>37</v>
      </c>
      <c r="B42" s="22" t="s">
        <v>460</v>
      </c>
      <c r="C42" s="15" t="s">
        <v>461</v>
      </c>
      <c r="D42" s="15" t="s">
        <v>462</v>
      </c>
      <c r="E42" s="14" t="s">
        <v>17</v>
      </c>
      <c r="F42" s="14" t="s">
        <v>118</v>
      </c>
      <c r="G42" s="14" t="s">
        <v>5</v>
      </c>
      <c r="H42" s="14"/>
      <c r="I42" s="14"/>
      <c r="J42" s="14" t="s">
        <v>8</v>
      </c>
      <c r="K42" s="14"/>
      <c r="L42" s="14">
        <v>25</v>
      </c>
      <c r="M42" s="16">
        <v>40946</v>
      </c>
      <c r="N42" s="25">
        <v>5856.15</v>
      </c>
      <c r="O42" s="25">
        <v>1464.04</v>
      </c>
      <c r="P42" s="25">
        <v>7320.19</v>
      </c>
    </row>
    <row r="43" spans="1:16">
      <c r="A43" s="24">
        <v>38</v>
      </c>
      <c r="B43" s="22" t="s">
        <v>463</v>
      </c>
      <c r="C43" s="15" t="s">
        <v>464</v>
      </c>
      <c r="D43" s="15" t="s">
        <v>465</v>
      </c>
      <c r="E43" s="14" t="s">
        <v>17</v>
      </c>
      <c r="F43" s="14" t="s">
        <v>118</v>
      </c>
      <c r="G43" s="14" t="s">
        <v>5</v>
      </c>
      <c r="H43" s="14"/>
      <c r="I43" s="14"/>
      <c r="J43" s="14" t="s">
        <v>8</v>
      </c>
      <c r="K43" s="14"/>
      <c r="L43" s="14">
        <v>25</v>
      </c>
      <c r="M43" s="16">
        <v>40946</v>
      </c>
      <c r="N43" s="25">
        <v>4239.8999999999996</v>
      </c>
      <c r="O43" s="25">
        <v>471.1</v>
      </c>
      <c r="P43" s="25">
        <v>4711</v>
      </c>
    </row>
    <row r="44" spans="1:16">
      <c r="A44" s="24">
        <v>39</v>
      </c>
      <c r="B44" s="22" t="s">
        <v>466</v>
      </c>
      <c r="C44" s="15" t="s">
        <v>467</v>
      </c>
      <c r="D44" s="15" t="s">
        <v>468</v>
      </c>
      <c r="E44" s="14" t="s">
        <v>17</v>
      </c>
      <c r="F44" s="14" t="s">
        <v>118</v>
      </c>
      <c r="G44" s="14" t="s">
        <v>5</v>
      </c>
      <c r="H44" s="14"/>
      <c r="I44" s="14"/>
      <c r="J44" s="14" t="s">
        <v>8</v>
      </c>
      <c r="K44" s="14"/>
      <c r="L44" s="14">
        <v>25</v>
      </c>
      <c r="M44" s="16">
        <v>40946</v>
      </c>
      <c r="N44" s="25">
        <v>4686.3</v>
      </c>
      <c r="O44" s="25">
        <v>520.70000000000005</v>
      </c>
      <c r="P44" s="25">
        <v>5207</v>
      </c>
    </row>
    <row r="45" spans="1:16">
      <c r="A45" s="44">
        <v>40</v>
      </c>
      <c r="B45" s="22" t="s">
        <v>469</v>
      </c>
      <c r="C45" s="15" t="s">
        <v>470</v>
      </c>
      <c r="D45" s="15" t="s">
        <v>471</v>
      </c>
      <c r="E45" s="14" t="s">
        <v>17</v>
      </c>
      <c r="F45" s="14" t="s">
        <v>118</v>
      </c>
      <c r="G45" s="14" t="s">
        <v>5</v>
      </c>
      <c r="H45" s="14"/>
      <c r="I45" s="14"/>
      <c r="J45" s="14" t="s">
        <v>8</v>
      </c>
      <c r="K45" s="14"/>
      <c r="L45" s="14">
        <v>25</v>
      </c>
      <c r="M45" s="16">
        <v>40946</v>
      </c>
      <c r="N45" s="25">
        <v>4222.3999999999996</v>
      </c>
      <c r="O45" s="25">
        <v>1055.5999999999999</v>
      </c>
      <c r="P45" s="25">
        <v>5278</v>
      </c>
    </row>
    <row r="46" spans="1:16">
      <c r="A46" s="24">
        <v>41</v>
      </c>
      <c r="B46" s="22" t="s">
        <v>472</v>
      </c>
      <c r="C46" s="15" t="s">
        <v>473</v>
      </c>
      <c r="D46" s="15" t="s">
        <v>474</v>
      </c>
      <c r="E46" s="14" t="s">
        <v>32</v>
      </c>
      <c r="F46" s="14" t="s">
        <v>118</v>
      </c>
      <c r="G46" s="14" t="s">
        <v>5</v>
      </c>
      <c r="H46" s="14"/>
      <c r="I46" s="14"/>
      <c r="J46" s="14"/>
      <c r="K46" s="14" t="s">
        <v>9</v>
      </c>
      <c r="L46" s="14">
        <v>25</v>
      </c>
      <c r="M46" s="16">
        <v>40946</v>
      </c>
      <c r="N46" s="25">
        <v>9936</v>
      </c>
      <c r="O46" s="25">
        <v>2484</v>
      </c>
      <c r="P46" s="25">
        <v>12420</v>
      </c>
    </row>
    <row r="47" spans="1:16">
      <c r="A47" s="24">
        <v>42</v>
      </c>
      <c r="B47" s="22" t="s">
        <v>553</v>
      </c>
      <c r="C47" s="15" t="s">
        <v>554</v>
      </c>
      <c r="D47" s="15" t="s">
        <v>555</v>
      </c>
      <c r="E47" s="14" t="s">
        <v>61</v>
      </c>
      <c r="F47" s="14" t="s">
        <v>118</v>
      </c>
      <c r="G47" s="14" t="s">
        <v>5</v>
      </c>
      <c r="H47" s="14"/>
      <c r="I47" s="14"/>
      <c r="J47" s="14" t="s">
        <v>8</v>
      </c>
      <c r="K47" s="14"/>
      <c r="L47" s="14">
        <v>26</v>
      </c>
      <c r="M47" s="16">
        <v>40946</v>
      </c>
      <c r="N47" s="25">
        <v>5355</v>
      </c>
      <c r="O47" s="25">
        <v>595</v>
      </c>
      <c r="P47" s="25">
        <v>5950</v>
      </c>
    </row>
    <row r="48" spans="1:16">
      <c r="A48" s="24">
        <v>43</v>
      </c>
      <c r="B48" s="22" t="s">
        <v>556</v>
      </c>
      <c r="C48" s="15" t="s">
        <v>557</v>
      </c>
      <c r="D48" s="15" t="s">
        <v>558</v>
      </c>
      <c r="E48" s="14" t="s">
        <v>61</v>
      </c>
      <c r="F48" s="14" t="s">
        <v>118</v>
      </c>
      <c r="G48" s="14" t="s">
        <v>5</v>
      </c>
      <c r="H48" s="14"/>
      <c r="I48" s="14"/>
      <c r="J48" s="14" t="s">
        <v>8</v>
      </c>
      <c r="K48" s="14"/>
      <c r="L48" s="14">
        <v>26</v>
      </c>
      <c r="M48" s="16">
        <v>40947</v>
      </c>
      <c r="N48" s="25">
        <v>5376</v>
      </c>
      <c r="O48" s="25">
        <v>1344</v>
      </c>
      <c r="P48" s="25">
        <v>6720</v>
      </c>
    </row>
    <row r="49" spans="1:16">
      <c r="A49" s="44">
        <v>44</v>
      </c>
      <c r="B49" s="22" t="s">
        <v>559</v>
      </c>
      <c r="C49" s="15" t="s">
        <v>560</v>
      </c>
      <c r="D49" s="15" t="s">
        <v>561</v>
      </c>
      <c r="E49" s="14" t="s">
        <v>61</v>
      </c>
      <c r="F49" s="14" t="s">
        <v>118</v>
      </c>
      <c r="G49" s="14" t="s">
        <v>5</v>
      </c>
      <c r="H49" s="14"/>
      <c r="I49" s="14"/>
      <c r="J49" s="14" t="s">
        <v>8</v>
      </c>
      <c r="K49" s="14"/>
      <c r="L49" s="14">
        <v>26</v>
      </c>
      <c r="M49" s="16">
        <v>40947</v>
      </c>
      <c r="N49" s="25">
        <v>6176</v>
      </c>
      <c r="O49" s="25">
        <v>1544</v>
      </c>
      <c r="P49" s="25">
        <v>7720</v>
      </c>
    </row>
    <row r="50" spans="1:16">
      <c r="A50" s="24">
        <v>45</v>
      </c>
      <c r="B50" s="22" t="s">
        <v>562</v>
      </c>
      <c r="C50" s="15" t="s">
        <v>563</v>
      </c>
      <c r="D50" s="15" t="s">
        <v>564</v>
      </c>
      <c r="E50" s="14" t="s">
        <v>61</v>
      </c>
      <c r="F50" s="14" t="s">
        <v>118</v>
      </c>
      <c r="G50" s="14" t="s">
        <v>5</v>
      </c>
      <c r="H50" s="14"/>
      <c r="I50" s="14"/>
      <c r="J50" s="14" t="s">
        <v>8</v>
      </c>
      <c r="K50" s="14"/>
      <c r="L50" s="14">
        <v>26</v>
      </c>
      <c r="M50" s="16">
        <v>40947</v>
      </c>
      <c r="N50" s="25">
        <v>9040.5400000000009</v>
      </c>
      <c r="O50" s="25">
        <v>2260.13</v>
      </c>
      <c r="P50" s="25">
        <v>11300.670000000002</v>
      </c>
    </row>
    <row r="51" spans="1:16">
      <c r="A51" s="24">
        <v>46</v>
      </c>
      <c r="B51" s="22" t="s">
        <v>565</v>
      </c>
      <c r="C51" s="15" t="s">
        <v>566</v>
      </c>
      <c r="D51" s="15" t="s">
        <v>567</v>
      </c>
      <c r="E51" s="14" t="s">
        <v>17</v>
      </c>
      <c r="F51" s="14" t="s">
        <v>118</v>
      </c>
      <c r="G51" s="14" t="s">
        <v>5</v>
      </c>
      <c r="H51" s="14"/>
      <c r="I51" s="14"/>
      <c r="J51" s="14" t="s">
        <v>8</v>
      </c>
      <c r="K51" s="14"/>
      <c r="L51" s="14">
        <v>26</v>
      </c>
      <c r="M51" s="16">
        <v>40947</v>
      </c>
      <c r="N51" s="25">
        <v>4613.6000000000004</v>
      </c>
      <c r="O51" s="25">
        <v>1153.4000000000001</v>
      </c>
      <c r="P51" s="25">
        <v>5767</v>
      </c>
    </row>
    <row r="52" spans="1:16">
      <c r="A52" s="24">
        <v>47</v>
      </c>
      <c r="B52" s="22" t="s">
        <v>580</v>
      </c>
      <c r="C52" s="15" t="s">
        <v>581</v>
      </c>
      <c r="D52" s="15" t="s">
        <v>582</v>
      </c>
      <c r="E52" s="14" t="s">
        <v>61</v>
      </c>
      <c r="F52" s="14" t="s">
        <v>118</v>
      </c>
      <c r="G52" s="14"/>
      <c r="H52" s="14"/>
      <c r="I52" s="14"/>
      <c r="J52" s="26"/>
      <c r="K52" s="14"/>
      <c r="L52" s="14">
        <v>27</v>
      </c>
      <c r="M52" s="16">
        <v>40948</v>
      </c>
      <c r="N52" s="25">
        <v>6971.03</v>
      </c>
      <c r="O52" s="25">
        <v>1742.76</v>
      </c>
      <c r="P52" s="25">
        <v>8713.7899999999991</v>
      </c>
    </row>
    <row r="53" spans="1:16">
      <c r="A53" s="44">
        <v>48</v>
      </c>
      <c r="B53" s="22" t="s">
        <v>604</v>
      </c>
      <c r="C53" s="15" t="s">
        <v>605</v>
      </c>
      <c r="D53" s="27" t="s">
        <v>606</v>
      </c>
      <c r="E53" s="14" t="s">
        <v>61</v>
      </c>
      <c r="F53" s="14" t="s">
        <v>118</v>
      </c>
      <c r="G53" s="14" t="s">
        <v>5</v>
      </c>
      <c r="H53" s="14"/>
      <c r="I53" s="14"/>
      <c r="J53" s="14" t="s">
        <v>8</v>
      </c>
      <c r="K53" s="14"/>
      <c r="L53" s="14">
        <v>27</v>
      </c>
      <c r="M53" s="16">
        <v>40948</v>
      </c>
      <c r="N53" s="25">
        <v>4992</v>
      </c>
      <c r="O53" s="25">
        <v>1248</v>
      </c>
      <c r="P53" s="25">
        <v>6240</v>
      </c>
    </row>
    <row r="54" spans="1:16">
      <c r="A54" s="24">
        <v>49</v>
      </c>
      <c r="B54" s="22" t="s">
        <v>610</v>
      </c>
      <c r="C54" s="15" t="s">
        <v>611</v>
      </c>
      <c r="D54" s="15" t="s">
        <v>612</v>
      </c>
      <c r="E54" s="14" t="s">
        <v>61</v>
      </c>
      <c r="F54" s="14" t="s">
        <v>118</v>
      </c>
      <c r="G54" s="14"/>
      <c r="H54" s="14"/>
      <c r="I54" s="14"/>
      <c r="J54" s="14"/>
      <c r="K54" s="14"/>
      <c r="L54" s="14">
        <v>27</v>
      </c>
      <c r="M54" s="16">
        <v>40948</v>
      </c>
      <c r="N54" s="25">
        <v>6768</v>
      </c>
      <c r="O54" s="25">
        <v>752</v>
      </c>
      <c r="P54" s="25">
        <v>7520</v>
      </c>
    </row>
    <row r="55" spans="1:16">
      <c r="A55" s="24">
        <v>50</v>
      </c>
      <c r="B55" s="22" t="s">
        <v>677</v>
      </c>
      <c r="C55" s="15" t="s">
        <v>678</v>
      </c>
      <c r="D55" s="27" t="s">
        <v>679</v>
      </c>
      <c r="E55" s="14" t="s">
        <v>22</v>
      </c>
      <c r="F55" s="14" t="s">
        <v>118</v>
      </c>
      <c r="G55" s="14"/>
      <c r="H55" s="14"/>
      <c r="I55" s="14"/>
      <c r="J55" s="14"/>
      <c r="K55" s="14"/>
      <c r="L55" s="14">
        <v>28</v>
      </c>
      <c r="M55" s="16">
        <v>40953</v>
      </c>
      <c r="N55" s="25">
        <v>5778</v>
      </c>
      <c r="O55" s="25">
        <v>3852</v>
      </c>
      <c r="P55" s="25">
        <v>9630</v>
      </c>
    </row>
    <row r="56" spans="1:16">
      <c r="A56" s="24">
        <v>51</v>
      </c>
      <c r="B56" s="22" t="s">
        <v>680</v>
      </c>
      <c r="C56" s="15" t="s">
        <v>681</v>
      </c>
      <c r="D56" s="27" t="s">
        <v>471</v>
      </c>
      <c r="E56" s="14" t="s">
        <v>17</v>
      </c>
      <c r="F56" s="14" t="s">
        <v>118</v>
      </c>
      <c r="G56" s="14" t="s">
        <v>5</v>
      </c>
      <c r="H56" s="14"/>
      <c r="I56" s="14"/>
      <c r="J56" s="14" t="s">
        <v>8</v>
      </c>
      <c r="K56" s="14"/>
      <c r="L56" s="14">
        <v>28</v>
      </c>
      <c r="M56" s="16">
        <v>40953</v>
      </c>
      <c r="N56" s="25">
        <v>5341.5</v>
      </c>
      <c r="O56" s="25">
        <v>593.5</v>
      </c>
      <c r="P56" s="25">
        <v>5935</v>
      </c>
    </row>
    <row r="57" spans="1:16">
      <c r="A57" s="44">
        <v>52</v>
      </c>
      <c r="B57" s="22" t="s">
        <v>682</v>
      </c>
      <c r="C57" s="15" t="s">
        <v>683</v>
      </c>
      <c r="D57" s="27" t="s">
        <v>684</v>
      </c>
      <c r="E57" s="14" t="s">
        <v>17</v>
      </c>
      <c r="F57" s="14" t="s">
        <v>118</v>
      </c>
      <c r="G57" s="14" t="s">
        <v>5</v>
      </c>
      <c r="H57" s="14"/>
      <c r="I57" s="14"/>
      <c r="J57" s="14" t="s">
        <v>8</v>
      </c>
      <c r="K57" s="14"/>
      <c r="L57" s="14">
        <v>28</v>
      </c>
      <c r="M57" s="16">
        <v>40953</v>
      </c>
      <c r="N57" s="25">
        <v>5944.34</v>
      </c>
      <c r="O57" s="25">
        <v>1486.08</v>
      </c>
      <c r="P57" s="25">
        <v>7430.42</v>
      </c>
    </row>
    <row r="58" spans="1:16">
      <c r="A58" s="24">
        <v>53</v>
      </c>
      <c r="B58" s="22" t="s">
        <v>685</v>
      </c>
      <c r="C58" s="15" t="s">
        <v>686</v>
      </c>
      <c r="D58" s="27" t="s">
        <v>687</v>
      </c>
      <c r="E58" s="14" t="s">
        <v>17</v>
      </c>
      <c r="F58" s="14" t="s">
        <v>118</v>
      </c>
      <c r="G58" s="14" t="s">
        <v>5</v>
      </c>
      <c r="H58" s="14"/>
      <c r="I58" s="14"/>
      <c r="J58" s="14" t="s">
        <v>8</v>
      </c>
      <c r="K58" s="14"/>
      <c r="L58" s="14">
        <v>28</v>
      </c>
      <c r="M58" s="16">
        <v>40953</v>
      </c>
      <c r="N58" s="25">
        <v>9216</v>
      </c>
      <c r="O58" s="25">
        <v>2304</v>
      </c>
      <c r="P58" s="25">
        <v>11520</v>
      </c>
    </row>
    <row r="59" spans="1:16">
      <c r="A59" s="24">
        <v>54</v>
      </c>
      <c r="B59" s="22" t="s">
        <v>717</v>
      </c>
      <c r="C59" s="15" t="s">
        <v>718</v>
      </c>
      <c r="D59" s="15" t="s">
        <v>719</v>
      </c>
      <c r="E59" s="14" t="s">
        <v>22</v>
      </c>
      <c r="F59" s="14" t="s">
        <v>118</v>
      </c>
      <c r="G59" s="14"/>
      <c r="H59" s="14" t="s">
        <v>6</v>
      </c>
      <c r="I59" s="14"/>
      <c r="J59" s="14"/>
      <c r="K59" s="14" t="s">
        <v>9</v>
      </c>
      <c r="L59" s="14">
        <v>28</v>
      </c>
      <c r="M59" s="16">
        <v>40953</v>
      </c>
      <c r="N59" s="25">
        <v>8472</v>
      </c>
      <c r="O59" s="25">
        <v>5648</v>
      </c>
      <c r="P59" s="25">
        <v>14120</v>
      </c>
    </row>
    <row r="60" spans="1:16">
      <c r="A60" s="24">
        <v>55</v>
      </c>
      <c r="B60" s="22" t="s">
        <v>747</v>
      </c>
      <c r="C60" s="15" t="s">
        <v>748</v>
      </c>
      <c r="D60" s="15" t="s">
        <v>749</v>
      </c>
      <c r="E60" s="14" t="s">
        <v>61</v>
      </c>
      <c r="F60" s="14" t="s">
        <v>118</v>
      </c>
      <c r="G60" s="14"/>
      <c r="H60" s="14"/>
      <c r="I60" s="14"/>
      <c r="J60" s="14"/>
      <c r="K60" s="16"/>
      <c r="L60" s="14">
        <v>29</v>
      </c>
      <c r="M60" s="16">
        <v>40967</v>
      </c>
      <c r="N60" s="25">
        <v>7688.7</v>
      </c>
      <c r="O60" s="25">
        <v>854.3</v>
      </c>
      <c r="P60" s="25">
        <v>8543</v>
      </c>
    </row>
    <row r="61" spans="1:16">
      <c r="A61" s="44">
        <v>56</v>
      </c>
      <c r="B61" s="22" t="s">
        <v>750</v>
      </c>
      <c r="C61" s="15" t="s">
        <v>751</v>
      </c>
      <c r="D61" s="15" t="s">
        <v>752</v>
      </c>
      <c r="E61" s="14" t="s">
        <v>22</v>
      </c>
      <c r="F61" s="14" t="s">
        <v>118</v>
      </c>
      <c r="G61" s="14" t="s">
        <v>5</v>
      </c>
      <c r="H61" s="14"/>
      <c r="I61" s="14"/>
      <c r="J61" s="14"/>
      <c r="K61" s="16"/>
      <c r="L61" s="14">
        <v>29</v>
      </c>
      <c r="M61" s="16">
        <v>40967</v>
      </c>
      <c r="N61" s="25">
        <v>5622</v>
      </c>
      <c r="O61" s="25">
        <v>3748</v>
      </c>
      <c r="P61" s="25">
        <v>9370</v>
      </c>
    </row>
    <row r="62" spans="1:16">
      <c r="A62" s="24">
        <v>57</v>
      </c>
      <c r="B62" s="22" t="s">
        <v>753</v>
      </c>
      <c r="C62" s="15" t="s">
        <v>754</v>
      </c>
      <c r="D62" s="15" t="s">
        <v>684</v>
      </c>
      <c r="E62" s="14" t="s">
        <v>17</v>
      </c>
      <c r="F62" s="14" t="s">
        <v>118</v>
      </c>
      <c r="G62" s="14" t="s">
        <v>5</v>
      </c>
      <c r="H62" s="14"/>
      <c r="I62" s="14"/>
      <c r="J62" s="14" t="s">
        <v>8</v>
      </c>
      <c r="K62" s="16"/>
      <c r="L62" s="14">
        <v>29</v>
      </c>
      <c r="M62" s="16">
        <v>40967</v>
      </c>
      <c r="N62" s="25">
        <v>4557.9399999999996</v>
      </c>
      <c r="O62" s="25">
        <v>1139.48</v>
      </c>
      <c r="P62" s="25">
        <v>5697.42</v>
      </c>
    </row>
    <row r="63" spans="1:16" ht="15.75" thickBot="1">
      <c r="A63" s="24">
        <v>58</v>
      </c>
      <c r="B63" s="9" t="s">
        <v>755</v>
      </c>
      <c r="C63" s="10" t="s">
        <v>756</v>
      </c>
      <c r="D63" s="10" t="s">
        <v>757</v>
      </c>
      <c r="E63" s="11" t="s">
        <v>61</v>
      </c>
      <c r="F63" s="11" t="s">
        <v>118</v>
      </c>
      <c r="G63" s="11" t="s">
        <v>5</v>
      </c>
      <c r="H63" s="11"/>
      <c r="I63" s="11"/>
      <c r="J63" s="11" t="s">
        <v>8</v>
      </c>
      <c r="K63" s="13"/>
      <c r="L63" s="11">
        <v>29</v>
      </c>
      <c r="M63" s="13">
        <v>40967</v>
      </c>
      <c r="N63" s="25">
        <v>6738.4</v>
      </c>
      <c r="O63" s="25">
        <v>1684.6</v>
      </c>
      <c r="P63" s="25">
        <v>8423</v>
      </c>
    </row>
    <row r="64" spans="1:16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6">
        <f>SUM(N6:N63)</f>
        <v>386746.28</v>
      </c>
      <c r="O64" s="56">
        <f t="shared" ref="O64:P64" si="0">SUM(O6:O63)</f>
        <v>117692.66</v>
      </c>
      <c r="P64" s="56">
        <f t="shared" si="0"/>
        <v>504438.94</v>
      </c>
    </row>
  </sheetData>
  <mergeCells count="4">
    <mergeCell ref="A1:P1"/>
    <mergeCell ref="A2:P2"/>
    <mergeCell ref="A3:P3"/>
    <mergeCell ref="A4:P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80"/>
  <sheetViews>
    <sheetView workbookViewId="0">
      <selection activeCell="A5" sqref="A5:P5"/>
    </sheetView>
  </sheetViews>
  <sheetFormatPr baseColWidth="10" defaultRowHeight="15"/>
  <cols>
    <col min="2" max="2" width="17.140625" customWidth="1"/>
    <col min="3" max="3" width="37.42578125" customWidth="1"/>
    <col min="4" max="4" width="36.5703125" customWidth="1"/>
    <col min="5" max="5" width="20.5703125" customWidth="1"/>
    <col min="12" max="12" width="17.140625" customWidth="1"/>
  </cols>
  <sheetData>
    <row r="1" spans="1:20" ht="19.5">
      <c r="A1" s="42" t="s">
        <v>762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0"/>
      <c r="R1" s="40"/>
      <c r="S1" s="40"/>
      <c r="T1" s="40"/>
    </row>
    <row r="2" spans="1:20" ht="19.5">
      <c r="A2" s="42" t="s">
        <v>763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0"/>
      <c r="R2" s="40"/>
      <c r="S2" s="40"/>
      <c r="T2" s="40"/>
    </row>
    <row r="3" spans="1:20" ht="19.5">
      <c r="A3" s="42" t="s">
        <v>764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1"/>
      <c r="R3" s="41"/>
      <c r="S3" s="41"/>
      <c r="T3" s="41"/>
    </row>
    <row r="4" spans="1:20" ht="15.75" customHeight="1" thickBot="1">
      <c r="A4" s="43" t="s">
        <v>761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39"/>
      <c r="R4" s="39"/>
      <c r="S4" s="39"/>
      <c r="T4" s="39"/>
    </row>
    <row r="5" spans="1:20" ht="36.75" thickBot="1">
      <c r="A5" s="32" t="s">
        <v>758</v>
      </c>
      <c r="B5" s="3" t="s">
        <v>0</v>
      </c>
      <c r="C5" s="1" t="s">
        <v>1</v>
      </c>
      <c r="D5" s="2" t="s">
        <v>2</v>
      </c>
      <c r="E5" s="1" t="s">
        <v>3</v>
      </c>
      <c r="F5" s="2" t="s">
        <v>4</v>
      </c>
      <c r="G5" s="3" t="s">
        <v>5</v>
      </c>
      <c r="H5" s="2" t="s">
        <v>6</v>
      </c>
      <c r="I5" s="1" t="s">
        <v>7</v>
      </c>
      <c r="J5" s="2" t="s">
        <v>8</v>
      </c>
      <c r="K5" s="2" t="s">
        <v>9</v>
      </c>
      <c r="L5" s="2" t="s">
        <v>759</v>
      </c>
      <c r="M5" s="1" t="s">
        <v>10</v>
      </c>
      <c r="N5" s="1" t="s">
        <v>11</v>
      </c>
      <c r="O5" s="1" t="s">
        <v>12</v>
      </c>
      <c r="P5" s="4" t="s">
        <v>13</v>
      </c>
    </row>
    <row r="6" spans="1:20" ht="24.75" thickBot="1">
      <c r="A6" s="44">
        <v>1</v>
      </c>
      <c r="B6" s="17" t="s">
        <v>14</v>
      </c>
      <c r="C6" s="18" t="s">
        <v>15</v>
      </c>
      <c r="D6" s="45" t="s">
        <v>16</v>
      </c>
      <c r="E6" s="37" t="s">
        <v>17</v>
      </c>
      <c r="F6" s="19" t="s">
        <v>18</v>
      </c>
      <c r="G6" s="20" t="s">
        <v>5</v>
      </c>
      <c r="H6" s="19"/>
      <c r="I6" s="19"/>
      <c r="J6" s="19"/>
      <c r="K6" s="19"/>
      <c r="L6" s="19">
        <v>14</v>
      </c>
      <c r="M6" s="21">
        <v>40875</v>
      </c>
      <c r="N6" s="46">
        <v>5327.2</v>
      </c>
      <c r="O6" s="47">
        <v>1331.8</v>
      </c>
      <c r="P6" s="48">
        <v>6659</v>
      </c>
    </row>
    <row r="7" spans="1:20">
      <c r="A7" s="24">
        <v>2</v>
      </c>
      <c r="B7" s="22" t="s">
        <v>19</v>
      </c>
      <c r="C7" s="15" t="s">
        <v>20</v>
      </c>
      <c r="D7" s="15" t="s">
        <v>21</v>
      </c>
      <c r="E7" s="14" t="s">
        <v>22</v>
      </c>
      <c r="F7" s="14" t="s">
        <v>18</v>
      </c>
      <c r="G7" s="23" t="s">
        <v>5</v>
      </c>
      <c r="H7" s="14"/>
      <c r="I7" s="14"/>
      <c r="J7" s="14"/>
      <c r="K7" s="14" t="s">
        <v>9</v>
      </c>
      <c r="L7" s="14">
        <v>14</v>
      </c>
      <c r="M7" s="16">
        <v>40875</v>
      </c>
      <c r="N7" s="25">
        <v>7486.4</v>
      </c>
      <c r="O7" s="49">
        <v>1871.6</v>
      </c>
      <c r="P7" s="48">
        <v>9358</v>
      </c>
    </row>
    <row r="8" spans="1:20">
      <c r="A8" s="24">
        <v>3</v>
      </c>
      <c r="B8" s="22" t="s">
        <v>23</v>
      </c>
      <c r="C8" s="15" t="s">
        <v>24</v>
      </c>
      <c r="D8" s="15" t="s">
        <v>25</v>
      </c>
      <c r="E8" s="14" t="s">
        <v>22</v>
      </c>
      <c r="F8" s="14" t="s">
        <v>18</v>
      </c>
      <c r="G8" s="23" t="s">
        <v>5</v>
      </c>
      <c r="H8" s="14"/>
      <c r="I8" s="14"/>
      <c r="J8" s="14"/>
      <c r="K8" s="14" t="s">
        <v>9</v>
      </c>
      <c r="L8" s="14">
        <v>14</v>
      </c>
      <c r="M8" s="16">
        <v>40875</v>
      </c>
      <c r="N8" s="25">
        <v>9991.6200000000008</v>
      </c>
      <c r="O8" s="49">
        <v>2497.91</v>
      </c>
      <c r="P8" s="48">
        <v>12489.53</v>
      </c>
    </row>
    <row r="9" spans="1:20" ht="15.75" thickBot="1">
      <c r="A9" s="44">
        <v>4</v>
      </c>
      <c r="B9" s="9" t="s">
        <v>26</v>
      </c>
      <c r="C9" s="10" t="s">
        <v>27</v>
      </c>
      <c r="D9" s="10" t="s">
        <v>28</v>
      </c>
      <c r="E9" s="11" t="s">
        <v>22</v>
      </c>
      <c r="F9" s="11" t="s">
        <v>18</v>
      </c>
      <c r="G9" s="12" t="s">
        <v>5</v>
      </c>
      <c r="H9" s="11"/>
      <c r="I9" s="11"/>
      <c r="J9" s="11"/>
      <c r="K9" s="11" t="s">
        <v>9</v>
      </c>
      <c r="L9" s="11">
        <v>14</v>
      </c>
      <c r="M9" s="13">
        <v>40875</v>
      </c>
      <c r="N9" s="50">
        <v>10000</v>
      </c>
      <c r="O9" s="51">
        <v>3456</v>
      </c>
      <c r="P9" s="52">
        <v>13456</v>
      </c>
    </row>
    <row r="10" spans="1:20" ht="15.75" thickBot="1">
      <c r="A10" s="24">
        <v>5</v>
      </c>
      <c r="B10" s="19" t="s">
        <v>29</v>
      </c>
      <c r="C10" s="18" t="s">
        <v>30</v>
      </c>
      <c r="D10" s="18" t="s">
        <v>31</v>
      </c>
      <c r="E10" s="19" t="s">
        <v>32</v>
      </c>
      <c r="F10" s="19" t="s">
        <v>18</v>
      </c>
      <c r="G10" s="19" t="s">
        <v>5</v>
      </c>
      <c r="H10" s="19"/>
      <c r="I10" s="19"/>
      <c r="J10" s="19"/>
      <c r="K10" s="11" t="s">
        <v>9</v>
      </c>
      <c r="L10" s="11">
        <v>15</v>
      </c>
      <c r="M10" s="13">
        <v>40877</v>
      </c>
      <c r="N10" s="25">
        <v>7111.8</v>
      </c>
      <c r="O10" s="25">
        <v>790.2</v>
      </c>
      <c r="P10" s="25">
        <v>7902</v>
      </c>
    </row>
    <row r="11" spans="1:20" ht="15.75" thickBot="1">
      <c r="A11" s="24">
        <v>6</v>
      </c>
      <c r="B11" s="14" t="s">
        <v>33</v>
      </c>
      <c r="C11" s="15" t="s">
        <v>34</v>
      </c>
      <c r="D11" s="15" t="s">
        <v>35</v>
      </c>
      <c r="E11" s="14" t="s">
        <v>32</v>
      </c>
      <c r="F11" s="14" t="s">
        <v>18</v>
      </c>
      <c r="G11" s="14" t="s">
        <v>5</v>
      </c>
      <c r="H11" s="14"/>
      <c r="I11" s="14"/>
      <c r="J11" s="14"/>
      <c r="K11" s="11" t="s">
        <v>9</v>
      </c>
      <c r="L11" s="11">
        <v>15</v>
      </c>
      <c r="M11" s="13">
        <v>40877</v>
      </c>
      <c r="N11" s="25">
        <v>10000</v>
      </c>
      <c r="O11" s="25">
        <v>3080.04</v>
      </c>
      <c r="P11" s="25">
        <v>13080.04</v>
      </c>
    </row>
    <row r="12" spans="1:20">
      <c r="A12" s="44">
        <v>7</v>
      </c>
      <c r="B12" s="17" t="s">
        <v>36</v>
      </c>
      <c r="C12" s="18" t="s">
        <v>37</v>
      </c>
      <c r="D12" s="18" t="s">
        <v>38</v>
      </c>
      <c r="E12" s="19" t="s">
        <v>32</v>
      </c>
      <c r="F12" s="19" t="s">
        <v>18</v>
      </c>
      <c r="G12" s="20" t="s">
        <v>5</v>
      </c>
      <c r="H12" s="19"/>
      <c r="I12" s="19"/>
      <c r="J12" s="19"/>
      <c r="K12" s="19" t="s">
        <v>9</v>
      </c>
      <c r="L12" s="19">
        <v>15</v>
      </c>
      <c r="M12" s="21">
        <v>40877</v>
      </c>
      <c r="N12" s="25">
        <v>8436</v>
      </c>
      <c r="O12" s="25">
        <v>2109</v>
      </c>
      <c r="P12" s="25">
        <v>10545</v>
      </c>
    </row>
    <row r="13" spans="1:20">
      <c r="A13" s="24">
        <v>8</v>
      </c>
      <c r="B13" s="22" t="s">
        <v>39</v>
      </c>
      <c r="C13" s="15" t="s">
        <v>40</v>
      </c>
      <c r="D13" s="15" t="s">
        <v>41</v>
      </c>
      <c r="E13" s="14" t="s">
        <v>32</v>
      </c>
      <c r="F13" s="14" t="s">
        <v>18</v>
      </c>
      <c r="G13" s="23" t="s">
        <v>5</v>
      </c>
      <c r="H13" s="14"/>
      <c r="I13" s="14"/>
      <c r="J13" s="14"/>
      <c r="K13" s="14" t="s">
        <v>9</v>
      </c>
      <c r="L13" s="14">
        <v>15</v>
      </c>
      <c r="M13" s="16">
        <v>40877</v>
      </c>
      <c r="N13" s="25">
        <v>10000</v>
      </c>
      <c r="O13" s="25">
        <v>5376</v>
      </c>
      <c r="P13" s="25">
        <v>15376</v>
      </c>
    </row>
    <row r="14" spans="1:20">
      <c r="A14" s="24">
        <v>9</v>
      </c>
      <c r="B14" s="22" t="s">
        <v>42</v>
      </c>
      <c r="C14" s="15" t="s">
        <v>43</v>
      </c>
      <c r="D14" s="15" t="s">
        <v>44</v>
      </c>
      <c r="E14" s="14" t="s">
        <v>32</v>
      </c>
      <c r="F14" s="14" t="s">
        <v>18</v>
      </c>
      <c r="G14" s="23" t="s">
        <v>5</v>
      </c>
      <c r="H14" s="14"/>
      <c r="I14" s="14"/>
      <c r="J14" s="14"/>
      <c r="K14" s="14" t="s">
        <v>9</v>
      </c>
      <c r="L14" s="14">
        <v>15</v>
      </c>
      <c r="M14" s="16">
        <v>40877</v>
      </c>
      <c r="N14" s="25">
        <v>8121.6</v>
      </c>
      <c r="O14" s="25">
        <v>2030.4</v>
      </c>
      <c r="P14" s="25">
        <v>10152</v>
      </c>
    </row>
    <row r="15" spans="1:20">
      <c r="A15" s="44">
        <v>10</v>
      </c>
      <c r="B15" s="22" t="s">
        <v>45</v>
      </c>
      <c r="C15" s="15" t="s">
        <v>46</v>
      </c>
      <c r="D15" s="15" t="s">
        <v>47</v>
      </c>
      <c r="E15" s="14" t="s">
        <v>32</v>
      </c>
      <c r="F15" s="14" t="s">
        <v>18</v>
      </c>
      <c r="G15" s="23" t="s">
        <v>5</v>
      </c>
      <c r="H15" s="14"/>
      <c r="I15" s="14"/>
      <c r="J15" s="14"/>
      <c r="K15" s="14" t="s">
        <v>9</v>
      </c>
      <c r="L15" s="14">
        <v>15</v>
      </c>
      <c r="M15" s="16">
        <v>40877</v>
      </c>
      <c r="N15" s="25">
        <v>8867.2000000000007</v>
      </c>
      <c r="O15" s="25">
        <v>2216.8000000000002</v>
      </c>
      <c r="P15" s="25">
        <v>11084</v>
      </c>
    </row>
    <row r="16" spans="1:20">
      <c r="A16" s="24">
        <v>11</v>
      </c>
      <c r="B16" s="22" t="s">
        <v>48</v>
      </c>
      <c r="C16" s="15" t="s">
        <v>49</v>
      </c>
      <c r="D16" s="15" t="s">
        <v>50</v>
      </c>
      <c r="E16" s="14" t="s">
        <v>22</v>
      </c>
      <c r="F16" s="14" t="s">
        <v>18</v>
      </c>
      <c r="G16" s="23" t="s">
        <v>5</v>
      </c>
      <c r="H16" s="14"/>
      <c r="I16" s="14"/>
      <c r="J16" s="14"/>
      <c r="K16" s="14" t="s">
        <v>9</v>
      </c>
      <c r="L16" s="14">
        <v>15</v>
      </c>
      <c r="M16" s="16">
        <v>40877</v>
      </c>
      <c r="N16" s="25">
        <v>10000</v>
      </c>
      <c r="O16" s="25">
        <v>2829</v>
      </c>
      <c r="P16" s="25">
        <v>12829</v>
      </c>
    </row>
    <row r="17" spans="1:16">
      <c r="A17" s="24">
        <v>12</v>
      </c>
      <c r="B17" s="22" t="s">
        <v>51</v>
      </c>
      <c r="C17" s="15" t="s">
        <v>52</v>
      </c>
      <c r="D17" s="15" t="s">
        <v>53</v>
      </c>
      <c r="E17" s="19" t="s">
        <v>22</v>
      </c>
      <c r="F17" s="19" t="s">
        <v>18</v>
      </c>
      <c r="G17" s="23" t="s">
        <v>5</v>
      </c>
      <c r="H17" s="14"/>
      <c r="I17" s="14"/>
      <c r="J17" s="14"/>
      <c r="K17" s="14" t="s">
        <v>9</v>
      </c>
      <c r="L17" s="14">
        <v>15</v>
      </c>
      <c r="M17" s="16">
        <v>40877</v>
      </c>
      <c r="N17" s="25">
        <v>7527.59</v>
      </c>
      <c r="O17" s="25">
        <v>1881.9</v>
      </c>
      <c r="P17" s="25">
        <v>9409.49</v>
      </c>
    </row>
    <row r="18" spans="1:16">
      <c r="A18" s="44">
        <v>13</v>
      </c>
      <c r="B18" s="22" t="s">
        <v>54</v>
      </c>
      <c r="C18" s="15" t="s">
        <v>55</v>
      </c>
      <c r="D18" s="15" t="s">
        <v>56</v>
      </c>
      <c r="E18" s="14" t="s">
        <v>22</v>
      </c>
      <c r="F18" s="14" t="s">
        <v>18</v>
      </c>
      <c r="G18" s="23" t="s">
        <v>5</v>
      </c>
      <c r="H18" s="14"/>
      <c r="I18" s="14"/>
      <c r="J18" s="14"/>
      <c r="K18" s="14" t="s">
        <v>9</v>
      </c>
      <c r="L18" s="14">
        <v>15</v>
      </c>
      <c r="M18" s="16">
        <v>40877</v>
      </c>
      <c r="N18" s="25">
        <v>9962.4</v>
      </c>
      <c r="O18" s="25">
        <v>2490.6</v>
      </c>
      <c r="P18" s="25">
        <v>12453</v>
      </c>
    </row>
    <row r="19" spans="1:16">
      <c r="A19" s="24">
        <v>14</v>
      </c>
      <c r="B19" s="22" t="s">
        <v>57</v>
      </c>
      <c r="C19" s="15" t="s">
        <v>58</v>
      </c>
      <c r="D19" s="15" t="s">
        <v>58</v>
      </c>
      <c r="E19" s="14" t="s">
        <v>32</v>
      </c>
      <c r="F19" s="14" t="s">
        <v>18</v>
      </c>
      <c r="G19" s="23" t="s">
        <v>5</v>
      </c>
      <c r="H19" s="14"/>
      <c r="I19" s="14"/>
      <c r="J19" s="14"/>
      <c r="K19" s="14" t="s">
        <v>9</v>
      </c>
      <c r="L19" s="14">
        <v>15</v>
      </c>
      <c r="M19" s="16">
        <v>40877</v>
      </c>
      <c r="N19" s="25">
        <v>6550.1</v>
      </c>
      <c r="O19" s="25">
        <v>1637.53</v>
      </c>
      <c r="P19" s="25">
        <v>8187.63</v>
      </c>
    </row>
    <row r="20" spans="1:16">
      <c r="A20" s="24">
        <v>15</v>
      </c>
      <c r="B20" s="22" t="s">
        <v>59</v>
      </c>
      <c r="C20" s="15" t="s">
        <v>60</v>
      </c>
      <c r="D20" s="15" t="s">
        <v>60</v>
      </c>
      <c r="E20" s="30" t="s">
        <v>61</v>
      </c>
      <c r="F20" s="30" t="s">
        <v>18</v>
      </c>
      <c r="G20" s="23" t="s">
        <v>5</v>
      </c>
      <c r="H20" s="14"/>
      <c r="I20" s="14"/>
      <c r="J20" s="14" t="s">
        <v>8</v>
      </c>
      <c r="K20" s="14"/>
      <c r="L20" s="14">
        <v>15</v>
      </c>
      <c r="M20" s="16">
        <v>40877</v>
      </c>
      <c r="N20" s="25">
        <v>5000</v>
      </c>
      <c r="O20" s="25">
        <v>1250</v>
      </c>
      <c r="P20" s="25">
        <v>6250</v>
      </c>
    </row>
    <row r="21" spans="1:16">
      <c r="A21" s="44">
        <v>16</v>
      </c>
      <c r="B21" s="22" t="s">
        <v>62</v>
      </c>
      <c r="C21" s="15" t="s">
        <v>63</v>
      </c>
      <c r="D21" s="15" t="s">
        <v>63</v>
      </c>
      <c r="E21" s="14" t="s">
        <v>32</v>
      </c>
      <c r="F21" s="14" t="s">
        <v>18</v>
      </c>
      <c r="G21" s="23" t="s">
        <v>5</v>
      </c>
      <c r="H21" s="14"/>
      <c r="I21" s="14"/>
      <c r="J21" s="14"/>
      <c r="K21" s="14" t="s">
        <v>9</v>
      </c>
      <c r="L21" s="14">
        <v>15</v>
      </c>
      <c r="M21" s="16">
        <v>40877</v>
      </c>
      <c r="N21" s="25">
        <v>6625.14</v>
      </c>
      <c r="O21" s="25">
        <v>1656.29</v>
      </c>
      <c r="P21" s="25">
        <v>8281.43</v>
      </c>
    </row>
    <row r="22" spans="1:16">
      <c r="A22" s="24">
        <v>17</v>
      </c>
      <c r="B22" s="22" t="s">
        <v>64</v>
      </c>
      <c r="C22" s="15" t="s">
        <v>65</v>
      </c>
      <c r="D22" s="15" t="s">
        <v>66</v>
      </c>
      <c r="E22" s="14" t="s">
        <v>22</v>
      </c>
      <c r="F22" s="14" t="s">
        <v>18</v>
      </c>
      <c r="G22" s="23" t="s">
        <v>5</v>
      </c>
      <c r="H22" s="14"/>
      <c r="I22" s="14"/>
      <c r="J22" s="14"/>
      <c r="K22" s="14" t="s">
        <v>9</v>
      </c>
      <c r="L22" s="14">
        <v>15</v>
      </c>
      <c r="M22" s="16">
        <v>40877</v>
      </c>
      <c r="N22" s="25">
        <v>4859.2</v>
      </c>
      <c r="O22" s="25">
        <v>1214.8</v>
      </c>
      <c r="P22" s="25">
        <v>6074</v>
      </c>
    </row>
    <row r="23" spans="1:16">
      <c r="A23" s="24">
        <v>18</v>
      </c>
      <c r="B23" s="22" t="s">
        <v>67</v>
      </c>
      <c r="C23" s="15" t="s">
        <v>68</v>
      </c>
      <c r="D23" s="15" t="s">
        <v>69</v>
      </c>
      <c r="E23" s="14" t="s">
        <v>22</v>
      </c>
      <c r="F23" s="14" t="s">
        <v>18</v>
      </c>
      <c r="G23" s="23" t="s">
        <v>5</v>
      </c>
      <c r="H23" s="14"/>
      <c r="I23" s="14"/>
      <c r="J23" s="14" t="s">
        <v>8</v>
      </c>
      <c r="K23" s="14"/>
      <c r="L23" s="14">
        <v>15</v>
      </c>
      <c r="M23" s="16">
        <v>40877</v>
      </c>
      <c r="N23" s="25">
        <v>2880</v>
      </c>
      <c r="O23" s="25">
        <v>320</v>
      </c>
      <c r="P23" s="25">
        <v>3200</v>
      </c>
    </row>
    <row r="24" spans="1:16">
      <c r="A24" s="44">
        <v>19</v>
      </c>
      <c r="B24" s="22" t="s">
        <v>70</v>
      </c>
      <c r="C24" s="15" t="s">
        <v>71</v>
      </c>
      <c r="D24" s="15" t="s">
        <v>72</v>
      </c>
      <c r="E24" s="19" t="s">
        <v>22</v>
      </c>
      <c r="F24" s="14" t="s">
        <v>18</v>
      </c>
      <c r="G24" s="23" t="s">
        <v>5</v>
      </c>
      <c r="H24" s="14"/>
      <c r="I24" s="14"/>
      <c r="J24" s="14"/>
      <c r="K24" s="14" t="s">
        <v>9</v>
      </c>
      <c r="L24" s="14">
        <v>15</v>
      </c>
      <c r="M24" s="16">
        <v>40877</v>
      </c>
      <c r="N24" s="25">
        <v>5963.52</v>
      </c>
      <c r="O24" s="25">
        <v>662.61</v>
      </c>
      <c r="P24" s="25">
        <v>6626.13</v>
      </c>
    </row>
    <row r="25" spans="1:16">
      <c r="A25" s="24">
        <v>20</v>
      </c>
      <c r="B25" s="22" t="s">
        <v>73</v>
      </c>
      <c r="C25" s="15" t="s">
        <v>74</v>
      </c>
      <c r="D25" s="15" t="s">
        <v>75</v>
      </c>
      <c r="E25" s="14" t="s">
        <v>22</v>
      </c>
      <c r="F25" s="14" t="s">
        <v>18</v>
      </c>
      <c r="G25" s="23" t="s">
        <v>5</v>
      </c>
      <c r="H25" s="14"/>
      <c r="I25" s="14"/>
      <c r="J25" s="14" t="s">
        <v>8</v>
      </c>
      <c r="K25" s="14"/>
      <c r="L25" s="14">
        <v>15</v>
      </c>
      <c r="M25" s="16">
        <v>40877</v>
      </c>
      <c r="N25" s="25">
        <v>3312</v>
      </c>
      <c r="O25" s="25">
        <v>828</v>
      </c>
      <c r="P25" s="25">
        <v>4140</v>
      </c>
    </row>
    <row r="26" spans="1:16">
      <c r="A26" s="24">
        <v>21</v>
      </c>
      <c r="B26" s="22" t="s">
        <v>76</v>
      </c>
      <c r="C26" s="15" t="s">
        <v>77</v>
      </c>
      <c r="D26" s="15" t="s">
        <v>78</v>
      </c>
      <c r="E26" s="19" t="s">
        <v>22</v>
      </c>
      <c r="F26" s="14" t="s">
        <v>18</v>
      </c>
      <c r="G26" s="23" t="s">
        <v>5</v>
      </c>
      <c r="H26" s="14"/>
      <c r="I26" s="14"/>
      <c r="J26" s="14" t="s">
        <v>8</v>
      </c>
      <c r="K26" s="14"/>
      <c r="L26" s="14">
        <v>15</v>
      </c>
      <c r="M26" s="16">
        <v>40877</v>
      </c>
      <c r="N26" s="25">
        <v>4352.7</v>
      </c>
      <c r="O26" s="25">
        <v>1088.17</v>
      </c>
      <c r="P26" s="25">
        <v>5440.87</v>
      </c>
    </row>
    <row r="27" spans="1:16">
      <c r="A27" s="44">
        <v>22</v>
      </c>
      <c r="B27" s="22" t="s">
        <v>79</v>
      </c>
      <c r="C27" s="15" t="s">
        <v>80</v>
      </c>
      <c r="D27" s="15" t="s">
        <v>81</v>
      </c>
      <c r="E27" s="14" t="s">
        <v>32</v>
      </c>
      <c r="F27" s="14" t="s">
        <v>18</v>
      </c>
      <c r="G27" s="23" t="s">
        <v>5</v>
      </c>
      <c r="H27" s="14"/>
      <c r="I27" s="14"/>
      <c r="J27" s="14"/>
      <c r="K27" s="14" t="s">
        <v>9</v>
      </c>
      <c r="L27" s="14">
        <v>15</v>
      </c>
      <c r="M27" s="16">
        <v>40877</v>
      </c>
      <c r="N27" s="25">
        <v>8332.94</v>
      </c>
      <c r="O27" s="25">
        <v>2083.2399999999998</v>
      </c>
      <c r="P27" s="25">
        <v>10416.18</v>
      </c>
    </row>
    <row r="28" spans="1:16">
      <c r="A28" s="24">
        <v>23</v>
      </c>
      <c r="B28" s="22" t="s">
        <v>82</v>
      </c>
      <c r="C28" s="15" t="s">
        <v>83</v>
      </c>
      <c r="D28" s="15" t="s">
        <v>84</v>
      </c>
      <c r="E28" s="14" t="s">
        <v>17</v>
      </c>
      <c r="F28" s="14" t="s">
        <v>18</v>
      </c>
      <c r="G28" s="23" t="s">
        <v>5</v>
      </c>
      <c r="H28" s="14"/>
      <c r="I28" s="14"/>
      <c r="J28" s="14" t="s">
        <v>8</v>
      </c>
      <c r="K28" s="14"/>
      <c r="L28" s="14">
        <v>15</v>
      </c>
      <c r="M28" s="16">
        <v>40877</v>
      </c>
      <c r="N28" s="25">
        <v>6561</v>
      </c>
      <c r="O28" s="25">
        <v>729</v>
      </c>
      <c r="P28" s="25">
        <v>7290</v>
      </c>
    </row>
    <row r="29" spans="1:16">
      <c r="A29" s="24">
        <v>24</v>
      </c>
      <c r="B29" s="22" t="s">
        <v>85</v>
      </c>
      <c r="C29" s="15" t="s">
        <v>86</v>
      </c>
      <c r="D29" s="15" t="s">
        <v>87</v>
      </c>
      <c r="E29" s="14" t="s">
        <v>22</v>
      </c>
      <c r="F29" s="14" t="s">
        <v>18</v>
      </c>
      <c r="G29" s="23"/>
      <c r="H29" s="14" t="s">
        <v>6</v>
      </c>
      <c r="I29" s="14"/>
      <c r="J29" s="14"/>
      <c r="K29" s="14" t="s">
        <v>9</v>
      </c>
      <c r="L29" s="14">
        <v>15</v>
      </c>
      <c r="M29" s="16">
        <v>40877</v>
      </c>
      <c r="N29" s="25">
        <v>4284.8900000000003</v>
      </c>
      <c r="O29" s="25">
        <v>2856.6</v>
      </c>
      <c r="P29" s="25">
        <v>7141.49</v>
      </c>
    </row>
    <row r="30" spans="1:16">
      <c r="A30" s="44">
        <v>25</v>
      </c>
      <c r="B30" s="22" t="s">
        <v>88</v>
      </c>
      <c r="C30" s="15" t="s">
        <v>89</v>
      </c>
      <c r="D30" s="15" t="s">
        <v>90</v>
      </c>
      <c r="E30" s="14" t="s">
        <v>22</v>
      </c>
      <c r="F30" s="14" t="s">
        <v>18</v>
      </c>
      <c r="G30" s="23" t="s">
        <v>5</v>
      </c>
      <c r="H30" s="14"/>
      <c r="I30" s="14"/>
      <c r="J30" s="14"/>
      <c r="K30" s="14" t="s">
        <v>9</v>
      </c>
      <c r="L30" s="14">
        <v>15</v>
      </c>
      <c r="M30" s="16">
        <v>40877</v>
      </c>
      <c r="N30" s="25">
        <v>6374.76</v>
      </c>
      <c r="O30" s="25">
        <v>1593.69</v>
      </c>
      <c r="P30" s="25">
        <v>7968.4500000000007</v>
      </c>
    </row>
    <row r="31" spans="1:16">
      <c r="A31" s="24">
        <v>26</v>
      </c>
      <c r="B31" s="22" t="s">
        <v>91</v>
      </c>
      <c r="C31" s="15" t="s">
        <v>92</v>
      </c>
      <c r="D31" s="15" t="s">
        <v>93</v>
      </c>
      <c r="E31" s="14" t="s">
        <v>61</v>
      </c>
      <c r="F31" s="14" t="s">
        <v>18</v>
      </c>
      <c r="G31" s="23" t="s">
        <v>5</v>
      </c>
      <c r="H31" s="14"/>
      <c r="I31" s="14"/>
      <c r="J31" s="14" t="s">
        <v>8</v>
      </c>
      <c r="K31" s="14"/>
      <c r="L31" s="14">
        <v>15</v>
      </c>
      <c r="M31" s="16">
        <v>40877</v>
      </c>
      <c r="N31" s="25">
        <v>8845.2000000000007</v>
      </c>
      <c r="O31" s="25">
        <v>982.8</v>
      </c>
      <c r="P31" s="25">
        <v>9828</v>
      </c>
    </row>
    <row r="32" spans="1:16">
      <c r="A32" s="24">
        <v>27</v>
      </c>
      <c r="B32" s="22" t="s">
        <v>94</v>
      </c>
      <c r="C32" s="15" t="s">
        <v>95</v>
      </c>
      <c r="D32" s="15" t="s">
        <v>96</v>
      </c>
      <c r="E32" s="14" t="s">
        <v>61</v>
      </c>
      <c r="F32" s="14" t="s">
        <v>18</v>
      </c>
      <c r="G32" s="23" t="s">
        <v>5</v>
      </c>
      <c r="H32" s="14"/>
      <c r="I32" s="14"/>
      <c r="J32" s="14" t="s">
        <v>8</v>
      </c>
      <c r="K32" s="14"/>
      <c r="L32" s="14">
        <v>15</v>
      </c>
      <c r="M32" s="16">
        <v>40877</v>
      </c>
      <c r="N32" s="25">
        <v>9908</v>
      </c>
      <c r="O32" s="25">
        <v>2477</v>
      </c>
      <c r="P32" s="25">
        <v>12385</v>
      </c>
    </row>
    <row r="33" spans="1:16">
      <c r="A33" s="44">
        <v>28</v>
      </c>
      <c r="B33" s="22" t="s">
        <v>97</v>
      </c>
      <c r="C33" s="15" t="s">
        <v>98</v>
      </c>
      <c r="D33" s="15" t="s">
        <v>99</v>
      </c>
      <c r="E33" s="14" t="s">
        <v>32</v>
      </c>
      <c r="F33" s="14" t="s">
        <v>18</v>
      </c>
      <c r="G33" s="23" t="s">
        <v>5</v>
      </c>
      <c r="H33" s="14"/>
      <c r="I33" s="14"/>
      <c r="J33" s="14"/>
      <c r="K33" s="14" t="s">
        <v>9</v>
      </c>
      <c r="L33" s="14">
        <v>15</v>
      </c>
      <c r="M33" s="16">
        <v>40877</v>
      </c>
      <c r="N33" s="25">
        <v>2880</v>
      </c>
      <c r="O33" s="25">
        <v>320</v>
      </c>
      <c r="P33" s="25">
        <v>3200</v>
      </c>
    </row>
    <row r="34" spans="1:16">
      <c r="A34" s="24">
        <v>29</v>
      </c>
      <c r="B34" s="28" t="s">
        <v>100</v>
      </c>
      <c r="C34" s="29" t="s">
        <v>101</v>
      </c>
      <c r="D34" s="29" t="s">
        <v>102</v>
      </c>
      <c r="E34" s="30" t="s">
        <v>32</v>
      </c>
      <c r="F34" s="30" t="s">
        <v>18</v>
      </c>
      <c r="G34" s="53" t="s">
        <v>5</v>
      </c>
      <c r="H34" s="30"/>
      <c r="I34" s="30"/>
      <c r="J34" s="30"/>
      <c r="K34" s="30" t="s">
        <v>9</v>
      </c>
      <c r="L34" s="30">
        <v>15</v>
      </c>
      <c r="M34" s="36">
        <v>40877</v>
      </c>
      <c r="N34" s="25">
        <v>4617</v>
      </c>
      <c r="O34" s="25">
        <v>513</v>
      </c>
      <c r="P34" s="25">
        <v>5130</v>
      </c>
    </row>
    <row r="35" spans="1:16" ht="15.75" thickBot="1">
      <c r="A35" s="24">
        <v>30</v>
      </c>
      <c r="B35" s="11" t="s">
        <v>103</v>
      </c>
      <c r="C35" s="10" t="s">
        <v>104</v>
      </c>
      <c r="D35" s="10" t="s">
        <v>105</v>
      </c>
      <c r="E35" s="11" t="s">
        <v>32</v>
      </c>
      <c r="F35" s="11" t="s">
        <v>18</v>
      </c>
      <c r="G35" s="11" t="s">
        <v>5</v>
      </c>
      <c r="H35" s="11"/>
      <c r="I35" s="11"/>
      <c r="J35" s="11"/>
      <c r="K35" s="11" t="s">
        <v>9</v>
      </c>
      <c r="L35" s="11">
        <v>15</v>
      </c>
      <c r="M35" s="13">
        <v>40877</v>
      </c>
      <c r="N35" s="25">
        <v>7920</v>
      </c>
      <c r="O35" s="25">
        <v>1980</v>
      </c>
      <c r="P35" s="25">
        <v>9900</v>
      </c>
    </row>
    <row r="36" spans="1:16">
      <c r="A36" s="44">
        <v>31</v>
      </c>
      <c r="B36" s="19" t="s">
        <v>106</v>
      </c>
      <c r="C36" s="18" t="s">
        <v>107</v>
      </c>
      <c r="D36" s="18" t="s">
        <v>108</v>
      </c>
      <c r="E36" s="19" t="s">
        <v>32</v>
      </c>
      <c r="F36" s="19" t="s">
        <v>18</v>
      </c>
      <c r="G36" s="19" t="s">
        <v>5</v>
      </c>
      <c r="H36" s="19"/>
      <c r="I36" s="19"/>
      <c r="J36" s="19"/>
      <c r="K36" s="19" t="s">
        <v>9</v>
      </c>
      <c r="L36" s="19">
        <v>16</v>
      </c>
      <c r="M36" s="21">
        <v>41249</v>
      </c>
      <c r="N36" s="25">
        <v>9648</v>
      </c>
      <c r="O36" s="25">
        <v>2412</v>
      </c>
      <c r="P36" s="25">
        <v>12060</v>
      </c>
    </row>
    <row r="37" spans="1:16">
      <c r="A37" s="24">
        <v>32</v>
      </c>
      <c r="B37" s="14" t="s">
        <v>109</v>
      </c>
      <c r="C37" s="15" t="s">
        <v>110</v>
      </c>
      <c r="D37" s="15" t="s">
        <v>111</v>
      </c>
      <c r="E37" s="14" t="s">
        <v>22</v>
      </c>
      <c r="F37" s="14" t="s">
        <v>18</v>
      </c>
      <c r="G37" s="14" t="s">
        <v>5</v>
      </c>
      <c r="H37" s="14"/>
      <c r="I37" s="14"/>
      <c r="J37" s="14" t="s">
        <v>8</v>
      </c>
      <c r="K37" s="14"/>
      <c r="L37" s="14">
        <v>16</v>
      </c>
      <c r="M37" s="16">
        <v>41249</v>
      </c>
      <c r="N37" s="25">
        <v>8960</v>
      </c>
      <c r="O37" s="25">
        <v>2240</v>
      </c>
      <c r="P37" s="25">
        <v>11200</v>
      </c>
    </row>
    <row r="38" spans="1:16">
      <c r="A38" s="24">
        <v>33</v>
      </c>
      <c r="B38" s="14" t="s">
        <v>112</v>
      </c>
      <c r="C38" s="15" t="s">
        <v>113</v>
      </c>
      <c r="D38" s="15" t="s">
        <v>114</v>
      </c>
      <c r="E38" s="14" t="s">
        <v>22</v>
      </c>
      <c r="F38" s="14" t="s">
        <v>18</v>
      </c>
      <c r="G38" s="14" t="s">
        <v>5</v>
      </c>
      <c r="H38" s="14"/>
      <c r="I38" s="14"/>
      <c r="J38" s="14"/>
      <c r="K38" s="14" t="s">
        <v>9</v>
      </c>
      <c r="L38" s="14">
        <v>16</v>
      </c>
      <c r="M38" s="16">
        <v>40883</v>
      </c>
      <c r="N38" s="25">
        <v>8010.54</v>
      </c>
      <c r="O38" s="25">
        <v>2002.64</v>
      </c>
      <c r="P38" s="25">
        <v>10013.18</v>
      </c>
    </row>
    <row r="39" spans="1:16">
      <c r="A39" s="44">
        <v>34</v>
      </c>
      <c r="B39" s="19" t="s">
        <v>119</v>
      </c>
      <c r="C39" s="18" t="s">
        <v>120</v>
      </c>
      <c r="D39" s="18" t="s">
        <v>121</v>
      </c>
      <c r="E39" s="19" t="s">
        <v>32</v>
      </c>
      <c r="F39" s="19" t="s">
        <v>18</v>
      </c>
      <c r="G39" s="19" t="s">
        <v>5</v>
      </c>
      <c r="H39" s="19"/>
      <c r="I39" s="19"/>
      <c r="J39" s="19"/>
      <c r="K39" s="19" t="s">
        <v>9</v>
      </c>
      <c r="L39" s="19">
        <v>17</v>
      </c>
      <c r="M39" s="21">
        <v>40891</v>
      </c>
      <c r="N39" s="25">
        <v>5769</v>
      </c>
      <c r="O39" s="25">
        <v>641</v>
      </c>
      <c r="P39" s="25">
        <v>6410</v>
      </c>
    </row>
    <row r="40" spans="1:16" ht="18" customHeight="1">
      <c r="A40" s="44">
        <v>35</v>
      </c>
      <c r="B40" s="17" t="s">
        <v>188</v>
      </c>
      <c r="C40" s="18" t="s">
        <v>189</v>
      </c>
      <c r="D40" s="54" t="s">
        <v>190</v>
      </c>
      <c r="E40" s="19" t="s">
        <v>32</v>
      </c>
      <c r="F40" s="19" t="s">
        <v>18</v>
      </c>
      <c r="G40" s="20"/>
      <c r="H40" s="19"/>
      <c r="I40" s="19" t="s">
        <v>7</v>
      </c>
      <c r="J40" s="19"/>
      <c r="K40" s="19" t="s">
        <v>9</v>
      </c>
      <c r="L40" s="19">
        <v>18</v>
      </c>
      <c r="M40" s="21">
        <v>40896</v>
      </c>
      <c r="N40" s="25">
        <v>10704.52</v>
      </c>
      <c r="O40" s="25">
        <v>5767.98</v>
      </c>
      <c r="P40" s="25">
        <v>16472.5</v>
      </c>
    </row>
    <row r="41" spans="1:16">
      <c r="A41" s="24">
        <v>36</v>
      </c>
      <c r="B41" s="22" t="s">
        <v>475</v>
      </c>
      <c r="C41" s="15" t="s">
        <v>476</v>
      </c>
      <c r="D41" s="15" t="s">
        <v>477</v>
      </c>
      <c r="E41" s="14" t="s">
        <v>22</v>
      </c>
      <c r="F41" s="14" t="s">
        <v>18</v>
      </c>
      <c r="G41" s="14" t="s">
        <v>5</v>
      </c>
      <c r="H41" s="14"/>
      <c r="I41" s="14"/>
      <c r="J41" s="14"/>
      <c r="K41" s="14" t="s">
        <v>9</v>
      </c>
      <c r="L41" s="14">
        <v>25</v>
      </c>
      <c r="M41" s="16">
        <v>40946</v>
      </c>
      <c r="N41" s="25">
        <v>10000</v>
      </c>
      <c r="O41" s="25">
        <v>2800</v>
      </c>
      <c r="P41" s="25">
        <v>12800</v>
      </c>
    </row>
    <row r="42" spans="1:16">
      <c r="A42" s="24">
        <v>37</v>
      </c>
      <c r="B42" s="22" t="s">
        <v>478</v>
      </c>
      <c r="C42" s="15" t="s">
        <v>479</v>
      </c>
      <c r="D42" s="15" t="s">
        <v>480</v>
      </c>
      <c r="E42" s="14" t="s">
        <v>22</v>
      </c>
      <c r="F42" s="14" t="s">
        <v>18</v>
      </c>
      <c r="G42" s="14" t="s">
        <v>5</v>
      </c>
      <c r="H42" s="14"/>
      <c r="I42" s="14"/>
      <c r="J42" s="14"/>
      <c r="K42" s="14" t="s">
        <v>9</v>
      </c>
      <c r="L42" s="14">
        <v>25</v>
      </c>
      <c r="M42" s="16">
        <v>40946</v>
      </c>
      <c r="N42" s="25">
        <v>7660.95</v>
      </c>
      <c r="O42" s="25">
        <v>1915.24</v>
      </c>
      <c r="P42" s="25">
        <v>9576.19</v>
      </c>
    </row>
    <row r="43" spans="1:16">
      <c r="A43" s="44">
        <v>38</v>
      </c>
      <c r="B43" s="22" t="s">
        <v>481</v>
      </c>
      <c r="C43" s="15" t="s">
        <v>482</v>
      </c>
      <c r="D43" s="15" t="s">
        <v>483</v>
      </c>
      <c r="E43" s="14" t="s">
        <v>22</v>
      </c>
      <c r="F43" s="14" t="s">
        <v>18</v>
      </c>
      <c r="G43" s="14"/>
      <c r="H43" s="14" t="s">
        <v>6</v>
      </c>
      <c r="I43" s="14"/>
      <c r="J43" s="14"/>
      <c r="K43" s="14" t="s">
        <v>9</v>
      </c>
      <c r="L43" s="14">
        <v>25</v>
      </c>
      <c r="M43" s="16">
        <v>40946</v>
      </c>
      <c r="N43" s="25">
        <v>5514.6</v>
      </c>
      <c r="O43" s="25">
        <v>3676.4</v>
      </c>
      <c r="P43" s="25">
        <v>9191</v>
      </c>
    </row>
    <row r="44" spans="1:16">
      <c r="A44" s="24">
        <v>39</v>
      </c>
      <c r="B44" s="22" t="s">
        <v>484</v>
      </c>
      <c r="C44" s="15" t="s">
        <v>485</v>
      </c>
      <c r="D44" s="15" t="s">
        <v>486</v>
      </c>
      <c r="E44" s="14" t="s">
        <v>17</v>
      </c>
      <c r="F44" s="14" t="s">
        <v>18</v>
      </c>
      <c r="G44" s="14" t="s">
        <v>5</v>
      </c>
      <c r="H44" s="14"/>
      <c r="I44" s="14"/>
      <c r="J44" s="14" t="s">
        <v>8</v>
      </c>
      <c r="K44" s="14"/>
      <c r="L44" s="14">
        <v>25</v>
      </c>
      <c r="M44" s="16">
        <v>40946</v>
      </c>
      <c r="N44" s="25">
        <v>2500.3200000000002</v>
      </c>
      <c r="O44" s="25">
        <v>625.08000000000004</v>
      </c>
      <c r="P44" s="25">
        <v>3125.4</v>
      </c>
    </row>
    <row r="45" spans="1:16">
      <c r="A45" s="24">
        <v>40</v>
      </c>
      <c r="B45" s="22" t="s">
        <v>487</v>
      </c>
      <c r="C45" s="15" t="s">
        <v>488</v>
      </c>
      <c r="D45" s="15" t="s">
        <v>489</v>
      </c>
      <c r="E45" s="14" t="s">
        <v>32</v>
      </c>
      <c r="F45" s="14" t="s">
        <v>18</v>
      </c>
      <c r="G45" s="14" t="s">
        <v>5</v>
      </c>
      <c r="H45" s="14"/>
      <c r="I45" s="14"/>
      <c r="J45" s="14"/>
      <c r="K45" s="14" t="s">
        <v>9</v>
      </c>
      <c r="L45" s="14">
        <v>25</v>
      </c>
      <c r="M45" s="16">
        <v>40946</v>
      </c>
      <c r="N45" s="25">
        <v>6669</v>
      </c>
      <c r="O45" s="25">
        <v>741</v>
      </c>
      <c r="P45" s="25">
        <v>7410</v>
      </c>
    </row>
    <row r="46" spans="1:16">
      <c r="A46" s="44">
        <v>41</v>
      </c>
      <c r="B46" s="22" t="s">
        <v>490</v>
      </c>
      <c r="C46" s="15" t="s">
        <v>491</v>
      </c>
      <c r="D46" s="15" t="s">
        <v>492</v>
      </c>
      <c r="E46" s="14" t="s">
        <v>32</v>
      </c>
      <c r="F46" s="14" t="s">
        <v>18</v>
      </c>
      <c r="G46" s="14" t="s">
        <v>5</v>
      </c>
      <c r="H46" s="14"/>
      <c r="I46" s="14"/>
      <c r="J46" s="14"/>
      <c r="K46" s="14" t="s">
        <v>9</v>
      </c>
      <c r="L46" s="14">
        <v>25</v>
      </c>
      <c r="M46" s="16">
        <v>40946</v>
      </c>
      <c r="N46" s="25">
        <v>9640</v>
      </c>
      <c r="O46" s="25">
        <v>2410</v>
      </c>
      <c r="P46" s="25">
        <v>12050</v>
      </c>
    </row>
    <row r="47" spans="1:16">
      <c r="A47" s="24">
        <v>42</v>
      </c>
      <c r="B47" s="22" t="s">
        <v>493</v>
      </c>
      <c r="C47" s="15" t="s">
        <v>494</v>
      </c>
      <c r="D47" s="15" t="s">
        <v>495</v>
      </c>
      <c r="E47" s="14" t="s">
        <v>32</v>
      </c>
      <c r="F47" s="14" t="s">
        <v>18</v>
      </c>
      <c r="G47" s="14" t="s">
        <v>5</v>
      </c>
      <c r="H47" s="14"/>
      <c r="I47" s="14"/>
      <c r="J47" s="14"/>
      <c r="K47" s="14" t="s">
        <v>9</v>
      </c>
      <c r="L47" s="14">
        <v>25</v>
      </c>
      <c r="M47" s="16">
        <v>40946</v>
      </c>
      <c r="N47" s="25">
        <v>4321.8</v>
      </c>
      <c r="O47" s="25">
        <v>480.2</v>
      </c>
      <c r="P47" s="25">
        <v>4802</v>
      </c>
    </row>
    <row r="48" spans="1:16">
      <c r="A48" s="24">
        <v>43</v>
      </c>
      <c r="B48" s="22" t="s">
        <v>496</v>
      </c>
      <c r="C48" s="15" t="s">
        <v>497</v>
      </c>
      <c r="D48" s="15" t="s">
        <v>498</v>
      </c>
      <c r="E48" s="14" t="s">
        <v>32</v>
      </c>
      <c r="F48" s="14" t="s">
        <v>18</v>
      </c>
      <c r="G48" s="14" t="s">
        <v>5</v>
      </c>
      <c r="H48" s="14"/>
      <c r="I48" s="14"/>
      <c r="J48" s="14"/>
      <c r="K48" s="14" t="s">
        <v>9</v>
      </c>
      <c r="L48" s="14">
        <v>25</v>
      </c>
      <c r="M48" s="16">
        <v>40953</v>
      </c>
      <c r="N48" s="25">
        <v>2926.8</v>
      </c>
      <c r="O48" s="25">
        <v>325.2</v>
      </c>
      <c r="P48" s="25">
        <v>3252</v>
      </c>
    </row>
    <row r="49" spans="1:16">
      <c r="A49" s="44">
        <v>44</v>
      </c>
      <c r="B49" s="22" t="s">
        <v>499</v>
      </c>
      <c r="C49" s="15" t="s">
        <v>500</v>
      </c>
      <c r="D49" s="15" t="s">
        <v>501</v>
      </c>
      <c r="E49" s="14" t="s">
        <v>32</v>
      </c>
      <c r="F49" s="14" t="s">
        <v>18</v>
      </c>
      <c r="G49" s="14" t="s">
        <v>5</v>
      </c>
      <c r="H49" s="14"/>
      <c r="I49" s="14"/>
      <c r="J49" s="14"/>
      <c r="K49" s="14" t="s">
        <v>9</v>
      </c>
      <c r="L49" s="14">
        <v>25</v>
      </c>
      <c r="M49" s="16">
        <v>40953</v>
      </c>
      <c r="N49" s="25">
        <v>6301.8</v>
      </c>
      <c r="O49" s="25">
        <v>700.2</v>
      </c>
      <c r="P49" s="25">
        <v>7002</v>
      </c>
    </row>
    <row r="50" spans="1:16">
      <c r="A50" s="24">
        <v>45</v>
      </c>
      <c r="B50" s="22" t="s">
        <v>502</v>
      </c>
      <c r="C50" s="15" t="s">
        <v>503</v>
      </c>
      <c r="D50" s="15" t="s">
        <v>504</v>
      </c>
      <c r="E50" s="14" t="s">
        <v>61</v>
      </c>
      <c r="F50" s="14" t="s">
        <v>18</v>
      </c>
      <c r="G50" s="14" t="s">
        <v>5</v>
      </c>
      <c r="H50" s="14"/>
      <c r="I50" s="14"/>
      <c r="J50" s="14" t="s">
        <v>8</v>
      </c>
      <c r="K50" s="14"/>
      <c r="L50" s="14">
        <v>25</v>
      </c>
      <c r="M50" s="16">
        <v>40953</v>
      </c>
      <c r="N50" s="25">
        <v>8519.4</v>
      </c>
      <c r="O50" s="25">
        <v>946.6</v>
      </c>
      <c r="P50" s="25">
        <v>9466</v>
      </c>
    </row>
    <row r="51" spans="1:16">
      <c r="A51" s="24">
        <v>46</v>
      </c>
      <c r="B51" s="22" t="s">
        <v>505</v>
      </c>
      <c r="C51" s="15" t="s">
        <v>506</v>
      </c>
      <c r="D51" s="15" t="s">
        <v>507</v>
      </c>
      <c r="E51" s="14" t="s">
        <v>32</v>
      </c>
      <c r="F51" s="14" t="s">
        <v>18</v>
      </c>
      <c r="G51" s="14" t="s">
        <v>5</v>
      </c>
      <c r="H51" s="14"/>
      <c r="I51" s="14"/>
      <c r="J51" s="14" t="s">
        <v>8</v>
      </c>
      <c r="K51" s="14"/>
      <c r="L51" s="14">
        <v>25</v>
      </c>
      <c r="M51" s="16">
        <v>40946</v>
      </c>
      <c r="N51" s="25">
        <v>7636.8</v>
      </c>
      <c r="O51" s="25">
        <v>1909.2</v>
      </c>
      <c r="P51" s="25">
        <v>9546</v>
      </c>
    </row>
    <row r="52" spans="1:16">
      <c r="A52" s="44">
        <v>47</v>
      </c>
      <c r="B52" s="22" t="s">
        <v>508</v>
      </c>
      <c r="C52" s="15" t="s">
        <v>509</v>
      </c>
      <c r="D52" s="15" t="s">
        <v>510</v>
      </c>
      <c r="E52" s="14" t="s">
        <v>61</v>
      </c>
      <c r="F52" s="14" t="s">
        <v>18</v>
      </c>
      <c r="G52" s="14" t="s">
        <v>5</v>
      </c>
      <c r="H52" s="14"/>
      <c r="I52" s="14"/>
      <c r="J52" s="14" t="s">
        <v>8</v>
      </c>
      <c r="K52" s="14"/>
      <c r="L52" s="14">
        <v>25</v>
      </c>
      <c r="M52" s="16">
        <v>40946</v>
      </c>
      <c r="N52" s="25">
        <v>5986.8</v>
      </c>
      <c r="O52" s="25">
        <v>665.2</v>
      </c>
      <c r="P52" s="25">
        <v>6652</v>
      </c>
    </row>
    <row r="53" spans="1:16">
      <c r="A53" s="24">
        <v>48</v>
      </c>
      <c r="B53" s="22" t="s">
        <v>511</v>
      </c>
      <c r="C53" s="15" t="s">
        <v>512</v>
      </c>
      <c r="D53" s="15" t="s">
        <v>513</v>
      </c>
      <c r="E53" s="14" t="s">
        <v>61</v>
      </c>
      <c r="F53" s="14" t="s">
        <v>18</v>
      </c>
      <c r="G53" s="14"/>
      <c r="H53" s="14" t="s">
        <v>6</v>
      </c>
      <c r="I53" s="14"/>
      <c r="J53" s="14" t="s">
        <v>8</v>
      </c>
      <c r="K53" s="14"/>
      <c r="L53" s="14">
        <v>25</v>
      </c>
      <c r="M53" s="16">
        <v>40946</v>
      </c>
      <c r="N53" s="25">
        <v>8911.2000000000007</v>
      </c>
      <c r="O53" s="25">
        <v>5940.8</v>
      </c>
      <c r="P53" s="25">
        <v>14852</v>
      </c>
    </row>
    <row r="54" spans="1:16">
      <c r="A54" s="24">
        <v>49</v>
      </c>
      <c r="B54" s="22" t="s">
        <v>514</v>
      </c>
      <c r="C54" s="15" t="s">
        <v>515</v>
      </c>
      <c r="D54" s="15" t="s">
        <v>516</v>
      </c>
      <c r="E54" s="14" t="s">
        <v>61</v>
      </c>
      <c r="F54" s="14" t="s">
        <v>18</v>
      </c>
      <c r="G54" s="14" t="s">
        <v>5</v>
      </c>
      <c r="H54" s="14"/>
      <c r="I54" s="14"/>
      <c r="J54" s="14" t="s">
        <v>8</v>
      </c>
      <c r="K54" s="14"/>
      <c r="L54" s="14">
        <v>25</v>
      </c>
      <c r="M54" s="16">
        <v>40946</v>
      </c>
      <c r="N54" s="25">
        <v>6525</v>
      </c>
      <c r="O54" s="25">
        <v>1631.25</v>
      </c>
      <c r="P54" s="25">
        <v>8156.25</v>
      </c>
    </row>
    <row r="55" spans="1:16">
      <c r="A55" s="44">
        <v>50</v>
      </c>
      <c r="B55" s="22" t="s">
        <v>517</v>
      </c>
      <c r="C55" s="15" t="s">
        <v>518</v>
      </c>
      <c r="D55" s="15" t="s">
        <v>519</v>
      </c>
      <c r="E55" s="14" t="s">
        <v>61</v>
      </c>
      <c r="F55" s="14" t="s">
        <v>18</v>
      </c>
      <c r="G55" s="14" t="s">
        <v>5</v>
      </c>
      <c r="H55" s="14"/>
      <c r="I55" s="14"/>
      <c r="J55" s="14" t="s">
        <v>8</v>
      </c>
      <c r="K55" s="14"/>
      <c r="L55" s="14">
        <v>25</v>
      </c>
      <c r="M55" s="16">
        <v>40946</v>
      </c>
      <c r="N55" s="25">
        <v>5921.6</v>
      </c>
      <c r="O55" s="25">
        <v>1480.4</v>
      </c>
      <c r="P55" s="25">
        <v>7402</v>
      </c>
    </row>
    <row r="56" spans="1:16">
      <c r="A56" s="24">
        <v>51</v>
      </c>
      <c r="B56" s="22" t="s">
        <v>520</v>
      </c>
      <c r="C56" s="15" t="s">
        <v>521</v>
      </c>
      <c r="D56" s="15" t="s">
        <v>522</v>
      </c>
      <c r="E56" s="14" t="s">
        <v>61</v>
      </c>
      <c r="F56" s="14" t="s">
        <v>18</v>
      </c>
      <c r="G56" s="14" t="s">
        <v>5</v>
      </c>
      <c r="H56" s="14"/>
      <c r="I56" s="14"/>
      <c r="J56" s="14" t="s">
        <v>8</v>
      </c>
      <c r="K56" s="14"/>
      <c r="L56" s="14">
        <v>25</v>
      </c>
      <c r="M56" s="16">
        <v>40946</v>
      </c>
      <c r="N56" s="25">
        <v>5921.6</v>
      </c>
      <c r="O56" s="25">
        <v>1480.4</v>
      </c>
      <c r="P56" s="25">
        <v>7402</v>
      </c>
    </row>
    <row r="57" spans="1:16" ht="15.75" thickBot="1">
      <c r="A57" s="24">
        <v>52</v>
      </c>
      <c r="B57" s="9" t="s">
        <v>523</v>
      </c>
      <c r="C57" s="15" t="s">
        <v>524</v>
      </c>
      <c r="D57" s="10" t="s">
        <v>525</v>
      </c>
      <c r="E57" s="11" t="s">
        <v>22</v>
      </c>
      <c r="F57" s="11" t="s">
        <v>18</v>
      </c>
      <c r="G57" s="11" t="s">
        <v>5</v>
      </c>
      <c r="H57" s="11"/>
      <c r="I57" s="11"/>
      <c r="J57" s="11"/>
      <c r="K57" s="11" t="s">
        <v>9</v>
      </c>
      <c r="L57" s="11">
        <v>25</v>
      </c>
      <c r="M57" s="13">
        <v>40946</v>
      </c>
      <c r="N57" s="25">
        <v>2970</v>
      </c>
      <c r="O57" s="25">
        <v>330</v>
      </c>
      <c r="P57" s="25">
        <v>3300</v>
      </c>
    </row>
    <row r="58" spans="1:16" ht="15.75" thickBot="1">
      <c r="A58" s="44">
        <v>53</v>
      </c>
      <c r="B58" s="9" t="s">
        <v>568</v>
      </c>
      <c r="C58" s="15" t="s">
        <v>569</v>
      </c>
      <c r="D58" s="10" t="s">
        <v>570</v>
      </c>
      <c r="E58" s="11" t="s">
        <v>61</v>
      </c>
      <c r="F58" s="11" t="s">
        <v>18</v>
      </c>
      <c r="G58" s="11"/>
      <c r="H58" s="11"/>
      <c r="I58" s="11"/>
      <c r="J58" s="11"/>
      <c r="K58" s="11"/>
      <c r="L58" s="11">
        <v>26</v>
      </c>
      <c r="M58" s="13">
        <v>40948</v>
      </c>
      <c r="N58" s="25">
        <v>10000</v>
      </c>
      <c r="O58" s="25">
        <v>5820</v>
      </c>
      <c r="P58" s="25">
        <v>15820</v>
      </c>
    </row>
    <row r="59" spans="1:16">
      <c r="A59" s="24">
        <v>54</v>
      </c>
      <c r="B59" s="17" t="s">
        <v>571</v>
      </c>
      <c r="C59" s="15" t="s">
        <v>572</v>
      </c>
      <c r="D59" s="18" t="s">
        <v>573</v>
      </c>
      <c r="E59" s="19" t="s">
        <v>22</v>
      </c>
      <c r="F59" s="19" t="s">
        <v>18</v>
      </c>
      <c r="G59" s="19" t="s">
        <v>5</v>
      </c>
      <c r="H59" s="19"/>
      <c r="I59" s="19"/>
      <c r="J59" s="19"/>
      <c r="K59" s="19"/>
      <c r="L59" s="19">
        <v>27</v>
      </c>
      <c r="M59" s="21">
        <v>40948</v>
      </c>
      <c r="N59" s="25">
        <v>2964</v>
      </c>
      <c r="O59" s="25">
        <v>741</v>
      </c>
      <c r="P59" s="25">
        <v>3705</v>
      </c>
    </row>
    <row r="60" spans="1:16">
      <c r="A60" s="24">
        <v>55</v>
      </c>
      <c r="B60" s="22" t="s">
        <v>574</v>
      </c>
      <c r="C60" s="15" t="s">
        <v>575</v>
      </c>
      <c r="D60" s="15" t="s">
        <v>576</v>
      </c>
      <c r="E60" s="14" t="s">
        <v>17</v>
      </c>
      <c r="F60" s="14" t="s">
        <v>18</v>
      </c>
      <c r="G60" s="14"/>
      <c r="H60" s="14"/>
      <c r="I60" s="14"/>
      <c r="J60" s="14"/>
      <c r="K60" s="14"/>
      <c r="L60" s="14">
        <v>27</v>
      </c>
      <c r="M60" s="16">
        <v>40948</v>
      </c>
      <c r="N60" s="25">
        <v>3405.56</v>
      </c>
      <c r="O60" s="25">
        <v>851.39</v>
      </c>
      <c r="P60" s="25">
        <v>4256.95</v>
      </c>
    </row>
    <row r="61" spans="1:16">
      <c r="A61" s="44">
        <v>56</v>
      </c>
      <c r="B61" s="22" t="s">
        <v>577</v>
      </c>
      <c r="C61" s="15" t="s">
        <v>578</v>
      </c>
      <c r="D61" s="15" t="s">
        <v>579</v>
      </c>
      <c r="E61" s="14" t="s">
        <v>17</v>
      </c>
      <c r="F61" s="14" t="s">
        <v>18</v>
      </c>
      <c r="G61" s="14"/>
      <c r="H61" s="14"/>
      <c r="I61" s="14"/>
      <c r="J61" s="14"/>
      <c r="K61" s="14"/>
      <c r="L61" s="14">
        <v>27</v>
      </c>
      <c r="M61" s="16">
        <v>40948</v>
      </c>
      <c r="N61" s="25">
        <v>4799.99</v>
      </c>
      <c r="O61" s="25">
        <v>1200</v>
      </c>
      <c r="P61" s="25">
        <v>5999.99</v>
      </c>
    </row>
    <row r="62" spans="1:16">
      <c r="A62" s="24">
        <v>57</v>
      </c>
      <c r="B62" s="22" t="s">
        <v>601</v>
      </c>
      <c r="C62" s="15" t="s">
        <v>602</v>
      </c>
      <c r="D62" s="15" t="s">
        <v>603</v>
      </c>
      <c r="E62" s="14" t="s">
        <v>22</v>
      </c>
      <c r="F62" s="14" t="s">
        <v>18</v>
      </c>
      <c r="G62" s="14" t="s">
        <v>5</v>
      </c>
      <c r="H62" s="14"/>
      <c r="I62" s="14"/>
      <c r="J62" s="14"/>
      <c r="K62" s="14"/>
      <c r="L62" s="14">
        <v>27</v>
      </c>
      <c r="M62" s="16">
        <v>40948</v>
      </c>
      <c r="N62" s="25">
        <v>8016</v>
      </c>
      <c r="O62" s="25">
        <v>2004</v>
      </c>
      <c r="P62" s="25">
        <v>10020</v>
      </c>
    </row>
    <row r="63" spans="1:16">
      <c r="A63" s="24">
        <v>58</v>
      </c>
      <c r="B63" s="22" t="s">
        <v>607</v>
      </c>
      <c r="C63" s="15" t="s">
        <v>608</v>
      </c>
      <c r="D63" s="15" t="s">
        <v>609</v>
      </c>
      <c r="E63" s="14" t="s">
        <v>22</v>
      </c>
      <c r="F63" s="14" t="s">
        <v>18</v>
      </c>
      <c r="G63" s="14" t="s">
        <v>5</v>
      </c>
      <c r="H63" s="14"/>
      <c r="I63" s="14"/>
      <c r="J63" s="14"/>
      <c r="K63" s="14"/>
      <c r="L63" s="14">
        <v>27</v>
      </c>
      <c r="M63" s="16">
        <v>40948</v>
      </c>
      <c r="N63" s="25">
        <v>9918</v>
      </c>
      <c r="O63" s="25">
        <v>2479.5</v>
      </c>
      <c r="P63" s="25">
        <v>12397.5</v>
      </c>
    </row>
    <row r="64" spans="1:16">
      <c r="A64" s="44">
        <v>59</v>
      </c>
      <c r="B64" s="22" t="s">
        <v>613</v>
      </c>
      <c r="C64" s="15" t="s">
        <v>614</v>
      </c>
      <c r="D64" s="15" t="s">
        <v>615</v>
      </c>
      <c r="E64" s="14" t="s">
        <v>32</v>
      </c>
      <c r="F64" s="14" t="s">
        <v>18</v>
      </c>
      <c r="G64" s="14"/>
      <c r="H64" s="14"/>
      <c r="I64" s="14"/>
      <c r="J64" s="14"/>
      <c r="K64" s="14"/>
      <c r="L64" s="14">
        <v>27</v>
      </c>
      <c r="M64" s="16">
        <v>40948</v>
      </c>
      <c r="N64" s="25">
        <v>5716.8</v>
      </c>
      <c r="O64" s="25">
        <v>835.2</v>
      </c>
      <c r="P64" s="25">
        <v>6552</v>
      </c>
    </row>
    <row r="65" spans="1:16">
      <c r="A65" s="24">
        <v>60</v>
      </c>
      <c r="B65" s="14" t="s">
        <v>688</v>
      </c>
      <c r="C65" s="15" t="s">
        <v>689</v>
      </c>
      <c r="D65" s="15" t="s">
        <v>690</v>
      </c>
      <c r="E65" s="14" t="s">
        <v>691</v>
      </c>
      <c r="F65" s="14" t="s">
        <v>18</v>
      </c>
      <c r="G65" s="14" t="s">
        <v>5</v>
      </c>
      <c r="H65" s="14"/>
      <c r="I65" s="14"/>
      <c r="J65" s="14"/>
      <c r="K65" s="14" t="s">
        <v>692</v>
      </c>
      <c r="L65" s="14">
        <v>28</v>
      </c>
      <c r="M65" s="16">
        <v>40953</v>
      </c>
      <c r="N65" s="25">
        <v>7920</v>
      </c>
      <c r="O65" s="25">
        <v>880</v>
      </c>
      <c r="P65" s="25">
        <v>8800</v>
      </c>
    </row>
    <row r="66" spans="1:16">
      <c r="A66" s="24">
        <v>61</v>
      </c>
      <c r="B66" s="14" t="s">
        <v>693</v>
      </c>
      <c r="C66" s="15" t="s">
        <v>694</v>
      </c>
      <c r="D66" s="15" t="s">
        <v>695</v>
      </c>
      <c r="E66" s="14" t="s">
        <v>691</v>
      </c>
      <c r="F66" s="14" t="s">
        <v>18</v>
      </c>
      <c r="G66" s="14" t="s">
        <v>5</v>
      </c>
      <c r="H66" s="14"/>
      <c r="I66" s="14"/>
      <c r="J66" s="14"/>
      <c r="K66" s="14" t="s">
        <v>692</v>
      </c>
      <c r="L66" s="14">
        <v>28</v>
      </c>
      <c r="M66" s="16">
        <v>40953</v>
      </c>
      <c r="N66" s="25">
        <v>2926.8</v>
      </c>
      <c r="O66" s="25">
        <v>325.2</v>
      </c>
      <c r="P66" s="25">
        <v>3252</v>
      </c>
    </row>
    <row r="67" spans="1:16">
      <c r="A67" s="44">
        <v>62</v>
      </c>
      <c r="B67" s="17" t="s">
        <v>696</v>
      </c>
      <c r="C67" s="15" t="s">
        <v>697</v>
      </c>
      <c r="D67" s="18" t="s">
        <v>698</v>
      </c>
      <c r="E67" s="14" t="s">
        <v>691</v>
      </c>
      <c r="F67" s="14" t="s">
        <v>18</v>
      </c>
      <c r="G67" s="14" t="s">
        <v>5</v>
      </c>
      <c r="H67" s="14"/>
      <c r="I67" s="19"/>
      <c r="J67" s="19"/>
      <c r="K67" s="19" t="s">
        <v>692</v>
      </c>
      <c r="L67" s="19">
        <v>28</v>
      </c>
      <c r="M67" s="21">
        <v>40953</v>
      </c>
      <c r="N67" s="25">
        <v>3376.8</v>
      </c>
      <c r="O67" s="25">
        <v>375.2</v>
      </c>
      <c r="P67" s="25">
        <v>3752</v>
      </c>
    </row>
    <row r="68" spans="1:16">
      <c r="A68" s="24">
        <v>63</v>
      </c>
      <c r="B68" s="22" t="s">
        <v>699</v>
      </c>
      <c r="C68" s="15" t="s">
        <v>700</v>
      </c>
      <c r="D68" s="15" t="s">
        <v>701</v>
      </c>
      <c r="E68" s="14" t="s">
        <v>17</v>
      </c>
      <c r="F68" s="14" t="s">
        <v>18</v>
      </c>
      <c r="G68" s="14" t="s">
        <v>5</v>
      </c>
      <c r="H68" s="14"/>
      <c r="I68" s="14"/>
      <c r="J68" s="14"/>
      <c r="K68" s="14" t="s">
        <v>692</v>
      </c>
      <c r="L68" s="14">
        <v>28</v>
      </c>
      <c r="M68" s="16">
        <v>40953</v>
      </c>
      <c r="N68" s="25">
        <v>3255.3</v>
      </c>
      <c r="O68" s="25">
        <v>361.7</v>
      </c>
      <c r="P68" s="25">
        <v>3617</v>
      </c>
    </row>
    <row r="69" spans="1:16">
      <c r="A69" s="24">
        <v>64</v>
      </c>
      <c r="B69" s="22" t="s">
        <v>702</v>
      </c>
      <c r="C69" s="15" t="s">
        <v>703</v>
      </c>
      <c r="D69" s="15" t="s">
        <v>704</v>
      </c>
      <c r="E69" s="14" t="s">
        <v>17</v>
      </c>
      <c r="F69" s="14" t="s">
        <v>18</v>
      </c>
      <c r="G69" s="14" t="s">
        <v>5</v>
      </c>
      <c r="H69" s="14"/>
      <c r="I69" s="14"/>
      <c r="J69" s="14" t="s">
        <v>8</v>
      </c>
      <c r="K69" s="14"/>
      <c r="L69" s="14">
        <v>28</v>
      </c>
      <c r="M69" s="16">
        <v>40953</v>
      </c>
      <c r="N69" s="25">
        <v>2625.78</v>
      </c>
      <c r="O69" s="25">
        <v>656.44</v>
      </c>
      <c r="P69" s="25">
        <v>3282.2200000000003</v>
      </c>
    </row>
    <row r="70" spans="1:16">
      <c r="A70" s="44">
        <v>65</v>
      </c>
      <c r="B70" s="22" t="s">
        <v>705</v>
      </c>
      <c r="C70" s="15" t="s">
        <v>706</v>
      </c>
      <c r="D70" s="15" t="s">
        <v>707</v>
      </c>
      <c r="E70" s="14" t="s">
        <v>61</v>
      </c>
      <c r="F70" s="14" t="s">
        <v>18</v>
      </c>
      <c r="G70" s="14" t="s">
        <v>5</v>
      </c>
      <c r="H70" s="14"/>
      <c r="I70" s="14"/>
      <c r="J70" s="14"/>
      <c r="K70" s="14" t="s">
        <v>692</v>
      </c>
      <c r="L70" s="14">
        <v>28</v>
      </c>
      <c r="M70" s="16">
        <v>40953</v>
      </c>
      <c r="N70" s="25">
        <v>10000</v>
      </c>
      <c r="O70" s="25">
        <v>6090</v>
      </c>
      <c r="P70" s="25">
        <v>16090</v>
      </c>
    </row>
    <row r="71" spans="1:16">
      <c r="A71" s="24">
        <v>66</v>
      </c>
      <c r="B71" s="22" t="s">
        <v>708</v>
      </c>
      <c r="C71" s="15" t="s">
        <v>709</v>
      </c>
      <c r="D71" s="15" t="s">
        <v>710</v>
      </c>
      <c r="E71" s="14" t="s">
        <v>61</v>
      </c>
      <c r="F71" s="14" t="s">
        <v>18</v>
      </c>
      <c r="G71" s="14" t="s">
        <v>5</v>
      </c>
      <c r="H71" s="14"/>
      <c r="I71" s="14"/>
      <c r="J71" s="14" t="s">
        <v>8</v>
      </c>
      <c r="K71" s="14"/>
      <c r="L71" s="14">
        <v>28</v>
      </c>
      <c r="M71" s="16">
        <v>40953</v>
      </c>
      <c r="N71" s="25">
        <v>6240</v>
      </c>
      <c r="O71" s="25">
        <v>1560</v>
      </c>
      <c r="P71" s="25">
        <v>7800</v>
      </c>
    </row>
    <row r="72" spans="1:16">
      <c r="A72" s="24">
        <v>67</v>
      </c>
      <c r="B72" s="22" t="s">
        <v>711</v>
      </c>
      <c r="C72" s="15" t="s">
        <v>712</v>
      </c>
      <c r="D72" s="15" t="s">
        <v>713</v>
      </c>
      <c r="E72" s="14" t="s">
        <v>22</v>
      </c>
      <c r="F72" s="14" t="s">
        <v>18</v>
      </c>
      <c r="G72" s="14"/>
      <c r="H72" s="14" t="s">
        <v>6</v>
      </c>
      <c r="I72" s="14"/>
      <c r="J72" s="14" t="s">
        <v>8</v>
      </c>
      <c r="K72" s="14" t="s">
        <v>9</v>
      </c>
      <c r="L72" s="14">
        <v>28</v>
      </c>
      <c r="M72" s="16">
        <v>40953</v>
      </c>
      <c r="N72" s="25">
        <v>6877.2</v>
      </c>
      <c r="O72" s="25">
        <v>4584.8</v>
      </c>
      <c r="P72" s="25">
        <v>11462</v>
      </c>
    </row>
    <row r="73" spans="1:16">
      <c r="A73" s="44">
        <v>68</v>
      </c>
      <c r="B73" s="22" t="s">
        <v>714</v>
      </c>
      <c r="C73" s="15" t="s">
        <v>715</v>
      </c>
      <c r="D73" s="15" t="s">
        <v>716</v>
      </c>
      <c r="E73" s="14" t="s">
        <v>22</v>
      </c>
      <c r="F73" s="14" t="s">
        <v>18</v>
      </c>
      <c r="G73" s="14" t="s">
        <v>5</v>
      </c>
      <c r="H73" s="14"/>
      <c r="I73" s="14"/>
      <c r="J73" s="14" t="s">
        <v>8</v>
      </c>
      <c r="K73" s="14"/>
      <c r="L73" s="14">
        <v>28</v>
      </c>
      <c r="M73" s="16">
        <v>40953</v>
      </c>
      <c r="N73" s="25">
        <v>8244.5</v>
      </c>
      <c r="O73" s="25">
        <v>2061.13</v>
      </c>
      <c r="P73" s="25">
        <v>10305.630000000001</v>
      </c>
    </row>
    <row r="74" spans="1:16">
      <c r="A74" s="44">
        <v>69</v>
      </c>
      <c r="B74" s="22" t="s">
        <v>720</v>
      </c>
      <c r="C74" s="15" t="s">
        <v>721</v>
      </c>
      <c r="D74" s="15" t="s">
        <v>722</v>
      </c>
      <c r="E74" s="14" t="s">
        <v>691</v>
      </c>
      <c r="F74" s="14" t="s">
        <v>18</v>
      </c>
      <c r="G74" s="14" t="s">
        <v>5</v>
      </c>
      <c r="H74" s="14"/>
      <c r="I74" s="14"/>
      <c r="J74" s="14"/>
      <c r="K74" s="14" t="s">
        <v>692</v>
      </c>
      <c r="L74" s="14">
        <v>28</v>
      </c>
      <c r="M74" s="16">
        <v>40953</v>
      </c>
      <c r="N74" s="25">
        <v>9944.1</v>
      </c>
      <c r="O74" s="25">
        <v>1104.9000000000001</v>
      </c>
      <c r="P74" s="25">
        <v>11049</v>
      </c>
    </row>
    <row r="75" spans="1:16">
      <c r="A75" s="24">
        <v>70</v>
      </c>
      <c r="B75" s="14" t="s">
        <v>726</v>
      </c>
      <c r="C75" s="15" t="s">
        <v>727</v>
      </c>
      <c r="D75" s="15" t="s">
        <v>728</v>
      </c>
      <c r="E75" s="14" t="s">
        <v>691</v>
      </c>
      <c r="F75" s="14" t="s">
        <v>18</v>
      </c>
      <c r="G75" s="14" t="s">
        <v>5</v>
      </c>
      <c r="H75" s="14"/>
      <c r="I75" s="14"/>
      <c r="J75" s="14"/>
      <c r="K75" s="14" t="s">
        <v>692</v>
      </c>
      <c r="L75" s="14">
        <v>28</v>
      </c>
      <c r="M75" s="16">
        <v>40967</v>
      </c>
      <c r="N75" s="25">
        <v>3376.8</v>
      </c>
      <c r="O75" s="25">
        <v>375.2</v>
      </c>
      <c r="P75" s="25">
        <v>3752</v>
      </c>
    </row>
    <row r="76" spans="1:16">
      <c r="A76" s="24">
        <v>71</v>
      </c>
      <c r="B76" s="22" t="s">
        <v>735</v>
      </c>
      <c r="C76" s="15" t="s">
        <v>736</v>
      </c>
      <c r="D76" s="15" t="s">
        <v>737</v>
      </c>
      <c r="E76" s="14" t="s">
        <v>22</v>
      </c>
      <c r="F76" s="14" t="s">
        <v>18</v>
      </c>
      <c r="G76" s="14" t="s">
        <v>5</v>
      </c>
      <c r="H76" s="14"/>
      <c r="I76" s="14"/>
      <c r="J76" s="31" t="s">
        <v>8</v>
      </c>
      <c r="K76" s="16"/>
      <c r="L76" s="14">
        <v>29</v>
      </c>
      <c r="M76" s="16">
        <v>40967</v>
      </c>
      <c r="N76" s="25">
        <v>20226.150000000001</v>
      </c>
      <c r="O76" s="25">
        <v>10884.1</v>
      </c>
      <c r="P76" s="25">
        <v>31110.25</v>
      </c>
    </row>
    <row r="77" spans="1:16">
      <c r="A77" s="44">
        <v>72</v>
      </c>
      <c r="B77" s="22" t="s">
        <v>738</v>
      </c>
      <c r="C77" s="15" t="s">
        <v>739</v>
      </c>
      <c r="D77" s="15" t="s">
        <v>740</v>
      </c>
      <c r="E77" s="14" t="s">
        <v>17</v>
      </c>
      <c r="F77" s="14" t="s">
        <v>18</v>
      </c>
      <c r="G77" s="14" t="s">
        <v>5</v>
      </c>
      <c r="H77" s="14"/>
      <c r="I77" s="14"/>
      <c r="J77" s="14"/>
      <c r="K77" s="16"/>
      <c r="L77" s="14">
        <v>29</v>
      </c>
      <c r="M77" s="16">
        <v>40967</v>
      </c>
      <c r="N77" s="25">
        <v>3559.57</v>
      </c>
      <c r="O77" s="25">
        <v>889.89</v>
      </c>
      <c r="P77" s="25">
        <v>4449.46</v>
      </c>
    </row>
    <row r="78" spans="1:16">
      <c r="A78" s="24">
        <v>73</v>
      </c>
      <c r="B78" s="22" t="s">
        <v>741</v>
      </c>
      <c r="C78" s="15" t="s">
        <v>742</v>
      </c>
      <c r="D78" s="15" t="s">
        <v>743</v>
      </c>
      <c r="E78" s="14" t="s">
        <v>349</v>
      </c>
      <c r="F78" s="14" t="s">
        <v>18</v>
      </c>
      <c r="G78" s="14" t="s">
        <v>5</v>
      </c>
      <c r="H78" s="14"/>
      <c r="I78" s="14"/>
      <c r="J78" s="14"/>
      <c r="K78" s="16"/>
      <c r="L78" s="14">
        <v>29</v>
      </c>
      <c r="M78" s="16">
        <v>40967</v>
      </c>
      <c r="N78" s="25">
        <v>4562.1000000000004</v>
      </c>
      <c r="O78" s="25">
        <v>506.9</v>
      </c>
      <c r="P78" s="25">
        <v>5069</v>
      </c>
    </row>
    <row r="79" spans="1:16">
      <c r="A79" s="24">
        <v>74</v>
      </c>
      <c r="B79" s="22" t="s">
        <v>744</v>
      </c>
      <c r="C79" s="15" t="s">
        <v>745</v>
      </c>
      <c r="D79" s="15" t="s">
        <v>746</v>
      </c>
      <c r="E79" s="14" t="s">
        <v>61</v>
      </c>
      <c r="F79" s="14" t="s">
        <v>18</v>
      </c>
      <c r="G79" s="14" t="s">
        <v>5</v>
      </c>
      <c r="H79" s="14"/>
      <c r="I79" s="14"/>
      <c r="J79" s="14" t="s">
        <v>8</v>
      </c>
      <c r="K79" s="16"/>
      <c r="L79" s="14">
        <v>29</v>
      </c>
      <c r="M79" s="16">
        <v>40967</v>
      </c>
      <c r="N79" s="25">
        <v>5301</v>
      </c>
      <c r="O79" s="25">
        <v>589</v>
      </c>
      <c r="P79" s="25">
        <v>5890</v>
      </c>
    </row>
    <row r="80" spans="1:16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6">
        <f>SUM(N6:N79)</f>
        <v>506374.43999999994</v>
      </c>
      <c r="O80" s="56">
        <f t="shared" ref="O80:P80" si="0">SUM(O6:O79)</f>
        <v>140450.31999999998</v>
      </c>
      <c r="P80" s="56">
        <f t="shared" si="0"/>
        <v>646824.75999999989</v>
      </c>
    </row>
  </sheetData>
  <mergeCells count="4">
    <mergeCell ref="A1:P1"/>
    <mergeCell ref="A2:P2"/>
    <mergeCell ref="A3:P3"/>
    <mergeCell ref="A4:P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4"/>
  <sheetViews>
    <sheetView workbookViewId="0">
      <selection activeCell="A5" sqref="A5:P5"/>
    </sheetView>
  </sheetViews>
  <sheetFormatPr baseColWidth="10" defaultRowHeight="15"/>
  <cols>
    <col min="2" max="2" width="19" customWidth="1"/>
    <col min="3" max="3" width="35.28515625" customWidth="1"/>
    <col min="4" max="4" width="38.28515625" customWidth="1"/>
    <col min="5" max="5" width="22.5703125" customWidth="1"/>
  </cols>
  <sheetData>
    <row r="1" spans="1:16" ht="18">
      <c r="A1" s="42" t="s">
        <v>762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16" ht="18">
      <c r="A2" s="42" t="s">
        <v>763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</row>
    <row r="3" spans="1:16" ht="18">
      <c r="A3" s="42" t="s">
        <v>764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ht="18.75" thickBot="1">
      <c r="A4" s="43" t="s">
        <v>333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</row>
    <row r="5" spans="1:16" ht="36.75" thickBot="1">
      <c r="A5" s="32" t="s">
        <v>758</v>
      </c>
      <c r="B5" s="3" t="s">
        <v>0</v>
      </c>
      <c r="C5" s="1" t="s">
        <v>1</v>
      </c>
      <c r="D5" s="2" t="s">
        <v>2</v>
      </c>
      <c r="E5" s="1" t="s">
        <v>3</v>
      </c>
      <c r="F5" s="2" t="s">
        <v>4</v>
      </c>
      <c r="G5" s="3" t="s">
        <v>5</v>
      </c>
      <c r="H5" s="2" t="s">
        <v>6</v>
      </c>
      <c r="I5" s="1" t="s">
        <v>7</v>
      </c>
      <c r="J5" s="2" t="s">
        <v>8</v>
      </c>
      <c r="K5" s="2" t="s">
        <v>9</v>
      </c>
      <c r="L5" s="2" t="s">
        <v>759</v>
      </c>
      <c r="M5" s="1" t="s">
        <v>10</v>
      </c>
      <c r="N5" s="1" t="s">
        <v>11</v>
      </c>
      <c r="O5" s="1" t="s">
        <v>12</v>
      </c>
      <c r="P5" s="4" t="s">
        <v>13</v>
      </c>
    </row>
    <row r="6" spans="1:16">
      <c r="A6" s="24">
        <v>1</v>
      </c>
      <c r="B6" s="17" t="s">
        <v>330</v>
      </c>
      <c r="C6" s="18" t="s">
        <v>331</v>
      </c>
      <c r="D6" s="18" t="s">
        <v>332</v>
      </c>
      <c r="E6" s="19" t="s">
        <v>22</v>
      </c>
      <c r="F6" s="19" t="s">
        <v>333</v>
      </c>
      <c r="G6" s="20" t="s">
        <v>5</v>
      </c>
      <c r="H6" s="19"/>
      <c r="I6" s="19"/>
      <c r="J6" s="19" t="s">
        <v>8</v>
      </c>
      <c r="K6" s="19"/>
      <c r="L6" s="19">
        <v>24</v>
      </c>
      <c r="M6" s="21">
        <v>40932</v>
      </c>
      <c r="N6" s="25">
        <v>3876.03</v>
      </c>
      <c r="O6" s="25">
        <v>430.67</v>
      </c>
      <c r="P6" s="25">
        <v>4306.7</v>
      </c>
    </row>
    <row r="7" spans="1:16">
      <c r="A7" s="44">
        <v>2</v>
      </c>
      <c r="B7" s="22" t="s">
        <v>334</v>
      </c>
      <c r="C7" s="15" t="s">
        <v>335</v>
      </c>
      <c r="D7" s="15" t="s">
        <v>336</v>
      </c>
      <c r="E7" s="14" t="s">
        <v>32</v>
      </c>
      <c r="F7" s="14" t="s">
        <v>333</v>
      </c>
      <c r="G7" s="23" t="s">
        <v>5</v>
      </c>
      <c r="H7" s="14"/>
      <c r="I7" s="14"/>
      <c r="J7" s="14"/>
      <c r="K7" s="14" t="s">
        <v>9</v>
      </c>
      <c r="L7" s="14">
        <v>24</v>
      </c>
      <c r="M7" s="16">
        <v>40932</v>
      </c>
      <c r="N7" s="25">
        <v>5728.5</v>
      </c>
      <c r="O7" s="25">
        <v>636.5</v>
      </c>
      <c r="P7" s="25">
        <v>6365</v>
      </c>
    </row>
    <row r="8" spans="1:16">
      <c r="A8" s="24">
        <v>3</v>
      </c>
      <c r="B8" s="22" t="s">
        <v>337</v>
      </c>
      <c r="C8" s="15" t="s">
        <v>338</v>
      </c>
      <c r="D8" s="15" t="s">
        <v>339</v>
      </c>
      <c r="E8" s="14" t="s">
        <v>32</v>
      </c>
      <c r="F8" s="14" t="s">
        <v>333</v>
      </c>
      <c r="G8" s="23" t="s">
        <v>5</v>
      </c>
      <c r="H8" s="14"/>
      <c r="I8" s="14"/>
      <c r="J8" s="14"/>
      <c r="K8" s="14" t="s">
        <v>9</v>
      </c>
      <c r="L8" s="14">
        <v>24</v>
      </c>
      <c r="M8" s="16">
        <v>40932</v>
      </c>
      <c r="N8" s="25">
        <v>6132</v>
      </c>
      <c r="O8" s="25">
        <v>1533</v>
      </c>
      <c r="P8" s="25">
        <v>7665</v>
      </c>
    </row>
    <row r="9" spans="1:16">
      <c r="A9" s="24">
        <v>4</v>
      </c>
      <c r="B9" s="22" t="s">
        <v>340</v>
      </c>
      <c r="C9" s="15" t="s">
        <v>341</v>
      </c>
      <c r="D9" s="15" t="s">
        <v>342</v>
      </c>
      <c r="E9" s="14" t="s">
        <v>32</v>
      </c>
      <c r="F9" s="14" t="s">
        <v>333</v>
      </c>
      <c r="G9" s="23" t="s">
        <v>5</v>
      </c>
      <c r="H9" s="14"/>
      <c r="I9" s="14"/>
      <c r="J9" s="14"/>
      <c r="K9" s="14" t="s">
        <v>9</v>
      </c>
      <c r="L9" s="14">
        <v>24</v>
      </c>
      <c r="M9" s="16">
        <v>40932</v>
      </c>
      <c r="N9" s="25">
        <v>4837.2299999999996</v>
      </c>
      <c r="O9" s="25">
        <v>537.47</v>
      </c>
      <c r="P9" s="25">
        <v>5374.7</v>
      </c>
    </row>
    <row r="10" spans="1:16">
      <c r="A10" s="44">
        <v>5</v>
      </c>
      <c r="B10" s="22" t="s">
        <v>343</v>
      </c>
      <c r="C10" s="15" t="s">
        <v>344</v>
      </c>
      <c r="D10" s="15" t="s">
        <v>345</v>
      </c>
      <c r="E10" s="14" t="s">
        <v>32</v>
      </c>
      <c r="F10" s="14" t="s">
        <v>333</v>
      </c>
      <c r="G10" s="23" t="s">
        <v>5</v>
      </c>
      <c r="H10" s="14"/>
      <c r="I10" s="14"/>
      <c r="J10" s="14"/>
      <c r="K10" s="14" t="s">
        <v>9</v>
      </c>
      <c r="L10" s="14">
        <v>24</v>
      </c>
      <c r="M10" s="16">
        <v>40933</v>
      </c>
      <c r="N10" s="25">
        <v>7588.53</v>
      </c>
      <c r="O10" s="25">
        <v>843.17</v>
      </c>
      <c r="P10" s="25">
        <v>8431.6999999999989</v>
      </c>
    </row>
    <row r="11" spans="1:16">
      <c r="A11" s="24">
        <v>6</v>
      </c>
      <c r="B11" s="22" t="s">
        <v>346</v>
      </c>
      <c r="C11" s="15" t="s">
        <v>347</v>
      </c>
      <c r="D11" s="15" t="s">
        <v>348</v>
      </c>
      <c r="E11" s="14" t="s">
        <v>349</v>
      </c>
      <c r="F11" s="14" t="s">
        <v>333</v>
      </c>
      <c r="G11" s="23" t="s">
        <v>5</v>
      </c>
      <c r="H11" s="14"/>
      <c r="I11" s="14"/>
      <c r="J11" s="14"/>
      <c r="K11" s="14" t="s">
        <v>9</v>
      </c>
      <c r="L11" s="14">
        <v>24</v>
      </c>
      <c r="M11" s="16">
        <v>40933</v>
      </c>
      <c r="N11" s="25">
        <v>2037.33</v>
      </c>
      <c r="O11" s="25">
        <v>226.37</v>
      </c>
      <c r="P11" s="25">
        <v>2263.6999999999998</v>
      </c>
    </row>
    <row r="12" spans="1:16">
      <c r="A12" s="24">
        <v>7</v>
      </c>
      <c r="B12" s="22" t="s">
        <v>350</v>
      </c>
      <c r="C12" s="15" t="s">
        <v>351</v>
      </c>
      <c r="D12" s="15" t="s">
        <v>352</v>
      </c>
      <c r="E12" s="14" t="s">
        <v>349</v>
      </c>
      <c r="F12" s="14" t="s">
        <v>333</v>
      </c>
      <c r="G12" s="23" t="s">
        <v>5</v>
      </c>
      <c r="H12" s="14"/>
      <c r="I12" s="14"/>
      <c r="J12" s="14"/>
      <c r="K12" s="14" t="s">
        <v>9</v>
      </c>
      <c r="L12" s="14">
        <v>24</v>
      </c>
      <c r="M12" s="16">
        <v>40933</v>
      </c>
      <c r="N12" s="25">
        <v>1691.73</v>
      </c>
      <c r="O12" s="25">
        <v>187.97</v>
      </c>
      <c r="P12" s="25">
        <v>1879.7</v>
      </c>
    </row>
    <row r="13" spans="1:16">
      <c r="A13" s="44">
        <v>8</v>
      </c>
      <c r="B13" s="22" t="s">
        <v>353</v>
      </c>
      <c r="C13" s="15" t="s">
        <v>354</v>
      </c>
      <c r="D13" s="15" t="s">
        <v>355</v>
      </c>
      <c r="E13" s="14" t="s">
        <v>349</v>
      </c>
      <c r="F13" s="14" t="s">
        <v>333</v>
      </c>
      <c r="G13" s="23" t="s">
        <v>5</v>
      </c>
      <c r="H13" s="14"/>
      <c r="I13" s="14"/>
      <c r="J13" s="14"/>
      <c r="K13" s="14" t="s">
        <v>9</v>
      </c>
      <c r="L13" s="14">
        <v>24</v>
      </c>
      <c r="M13" s="16">
        <v>40933</v>
      </c>
      <c r="N13" s="25">
        <v>3125.43</v>
      </c>
      <c r="O13" s="25">
        <v>347.27</v>
      </c>
      <c r="P13" s="25">
        <v>3472.7</v>
      </c>
    </row>
    <row r="14" spans="1:16">
      <c r="A14" s="24">
        <v>9</v>
      </c>
      <c r="B14" s="22" t="s">
        <v>356</v>
      </c>
      <c r="C14" s="15" t="s">
        <v>357</v>
      </c>
      <c r="D14" s="15" t="s">
        <v>358</v>
      </c>
      <c r="E14" s="14" t="s">
        <v>349</v>
      </c>
      <c r="F14" s="14" t="s">
        <v>333</v>
      </c>
      <c r="G14" s="23" t="s">
        <v>5</v>
      </c>
      <c r="H14" s="14"/>
      <c r="I14" s="14"/>
      <c r="J14" s="14"/>
      <c r="K14" s="14" t="s">
        <v>9</v>
      </c>
      <c r="L14" s="14">
        <v>24</v>
      </c>
      <c r="M14" s="16">
        <v>40933</v>
      </c>
      <c r="N14" s="25">
        <v>2797.36</v>
      </c>
      <c r="O14" s="25">
        <v>699.34</v>
      </c>
      <c r="P14" s="25">
        <v>3496.7000000000003</v>
      </c>
    </row>
    <row r="15" spans="1:16">
      <c r="A15" s="24">
        <v>10</v>
      </c>
      <c r="B15" s="22" t="s">
        <v>359</v>
      </c>
      <c r="C15" s="15" t="s">
        <v>360</v>
      </c>
      <c r="D15" s="15" t="s">
        <v>361</v>
      </c>
      <c r="E15" s="14" t="s">
        <v>32</v>
      </c>
      <c r="F15" s="14" t="s">
        <v>333</v>
      </c>
      <c r="G15" s="23" t="s">
        <v>5</v>
      </c>
      <c r="H15" s="14"/>
      <c r="I15" s="14"/>
      <c r="J15" s="14"/>
      <c r="K15" s="14" t="s">
        <v>9</v>
      </c>
      <c r="L15" s="14">
        <v>24</v>
      </c>
      <c r="M15" s="16">
        <v>40933</v>
      </c>
      <c r="N15" s="25">
        <v>2962.53</v>
      </c>
      <c r="O15" s="25">
        <v>329.17</v>
      </c>
      <c r="P15" s="25">
        <v>3291.7000000000003</v>
      </c>
    </row>
    <row r="16" spans="1:16">
      <c r="A16" s="44">
        <v>11</v>
      </c>
      <c r="B16" s="22" t="s">
        <v>362</v>
      </c>
      <c r="C16" s="15" t="s">
        <v>363</v>
      </c>
      <c r="D16" s="15" t="s">
        <v>364</v>
      </c>
      <c r="E16" s="14" t="s">
        <v>32</v>
      </c>
      <c r="F16" s="14" t="s">
        <v>333</v>
      </c>
      <c r="G16" s="23" t="s">
        <v>5</v>
      </c>
      <c r="H16" s="14"/>
      <c r="I16" s="14"/>
      <c r="J16" s="14"/>
      <c r="K16" s="14" t="s">
        <v>9</v>
      </c>
      <c r="L16" s="14">
        <v>24</v>
      </c>
      <c r="M16" s="16">
        <v>40933</v>
      </c>
      <c r="N16" s="25">
        <v>8115.03</v>
      </c>
      <c r="O16" s="25">
        <v>901.67</v>
      </c>
      <c r="P16" s="25">
        <v>9016.6999999999989</v>
      </c>
    </row>
    <row r="17" spans="1:16">
      <c r="A17" s="24">
        <v>12</v>
      </c>
      <c r="B17" s="17" t="s">
        <v>365</v>
      </c>
      <c r="C17" s="15" t="s">
        <v>366</v>
      </c>
      <c r="D17" s="15" t="s">
        <v>367</v>
      </c>
      <c r="E17" s="14" t="s">
        <v>32</v>
      </c>
      <c r="F17" s="14" t="s">
        <v>333</v>
      </c>
      <c r="G17" s="23" t="s">
        <v>5</v>
      </c>
      <c r="H17" s="14"/>
      <c r="I17" s="14"/>
      <c r="J17" s="14"/>
      <c r="K17" s="14" t="s">
        <v>9</v>
      </c>
      <c r="L17" s="14">
        <v>24</v>
      </c>
      <c r="M17" s="16">
        <v>40933</v>
      </c>
      <c r="N17" s="25">
        <v>1976.13</v>
      </c>
      <c r="O17" s="25">
        <v>219.57</v>
      </c>
      <c r="P17" s="25">
        <v>2195.7000000000003</v>
      </c>
    </row>
    <row r="18" spans="1:16">
      <c r="A18" s="24">
        <v>13</v>
      </c>
      <c r="B18" s="22" t="s">
        <v>368</v>
      </c>
      <c r="C18" s="15" t="s">
        <v>369</v>
      </c>
      <c r="D18" s="15" t="s">
        <v>370</v>
      </c>
      <c r="E18" s="14" t="s">
        <v>17</v>
      </c>
      <c r="F18" s="14" t="s">
        <v>333</v>
      </c>
      <c r="G18" s="23" t="s">
        <v>5</v>
      </c>
      <c r="H18" s="14"/>
      <c r="I18" s="14"/>
      <c r="J18" s="14" t="s">
        <v>8</v>
      </c>
      <c r="K18" s="14"/>
      <c r="L18" s="14">
        <v>24</v>
      </c>
      <c r="M18" s="16">
        <v>40933</v>
      </c>
      <c r="N18" s="25">
        <v>5748.16</v>
      </c>
      <c r="O18" s="25">
        <v>1437.04</v>
      </c>
      <c r="P18" s="25">
        <v>7185.2</v>
      </c>
    </row>
    <row r="19" spans="1:16">
      <c r="A19" s="44">
        <v>14</v>
      </c>
      <c r="B19" s="22" t="s">
        <v>371</v>
      </c>
      <c r="C19" s="15" t="s">
        <v>372</v>
      </c>
      <c r="D19" s="15" t="s">
        <v>373</v>
      </c>
      <c r="E19" s="14" t="s">
        <v>17</v>
      </c>
      <c r="F19" s="14" t="s">
        <v>333</v>
      </c>
      <c r="G19" s="23" t="s">
        <v>5</v>
      </c>
      <c r="H19" s="14"/>
      <c r="I19" s="14"/>
      <c r="J19" s="14" t="s">
        <v>8</v>
      </c>
      <c r="K19" s="14"/>
      <c r="L19" s="14">
        <v>24</v>
      </c>
      <c r="M19" s="16">
        <v>40933</v>
      </c>
      <c r="N19" s="25">
        <v>7366.43</v>
      </c>
      <c r="O19" s="25">
        <v>1841.61</v>
      </c>
      <c r="P19" s="25">
        <v>9208.0400000000009</v>
      </c>
    </row>
    <row r="20" spans="1:16">
      <c r="A20" s="24">
        <v>15</v>
      </c>
      <c r="B20" s="22" t="s">
        <v>374</v>
      </c>
      <c r="C20" s="15" t="s">
        <v>375</v>
      </c>
      <c r="D20" s="15" t="s">
        <v>376</v>
      </c>
      <c r="E20" s="14" t="s">
        <v>17</v>
      </c>
      <c r="F20" s="14" t="s">
        <v>333</v>
      </c>
      <c r="G20" s="23"/>
      <c r="H20" s="14" t="s">
        <v>6</v>
      </c>
      <c r="I20" s="14"/>
      <c r="J20" s="14" t="s">
        <v>8</v>
      </c>
      <c r="K20" s="14"/>
      <c r="L20" s="14">
        <v>24</v>
      </c>
      <c r="M20" s="16">
        <v>40933</v>
      </c>
      <c r="N20" s="25">
        <v>6796.63</v>
      </c>
      <c r="O20" s="25">
        <v>4531.09</v>
      </c>
      <c r="P20" s="25">
        <v>11327.720000000001</v>
      </c>
    </row>
    <row r="21" spans="1:16">
      <c r="A21" s="24">
        <v>16</v>
      </c>
      <c r="B21" s="22" t="s">
        <v>377</v>
      </c>
      <c r="C21" s="15" t="s">
        <v>378</v>
      </c>
      <c r="D21" s="15" t="s">
        <v>379</v>
      </c>
      <c r="E21" s="14" t="s">
        <v>17</v>
      </c>
      <c r="F21" s="14" t="s">
        <v>333</v>
      </c>
      <c r="G21" s="23" t="s">
        <v>5</v>
      </c>
      <c r="H21" s="14"/>
      <c r="I21" s="14"/>
      <c r="J21" s="14" t="s">
        <v>8</v>
      </c>
      <c r="K21" s="14"/>
      <c r="L21" s="14">
        <v>24</v>
      </c>
      <c r="M21" s="16">
        <v>40933</v>
      </c>
      <c r="N21" s="25">
        <v>6584.49</v>
      </c>
      <c r="O21" s="25">
        <v>731.61</v>
      </c>
      <c r="P21" s="25">
        <v>7316.0999999999995</v>
      </c>
    </row>
    <row r="22" spans="1:16">
      <c r="A22" s="44">
        <v>17</v>
      </c>
      <c r="B22" s="22" t="s">
        <v>380</v>
      </c>
      <c r="C22" s="15" t="s">
        <v>381</v>
      </c>
      <c r="D22" s="15" t="s">
        <v>382</v>
      </c>
      <c r="E22" s="14" t="s">
        <v>17</v>
      </c>
      <c r="F22" s="14" t="s">
        <v>333</v>
      </c>
      <c r="G22" s="14" t="s">
        <v>5</v>
      </c>
      <c r="H22" s="14"/>
      <c r="I22" s="14"/>
      <c r="J22" s="14" t="s">
        <v>8</v>
      </c>
      <c r="K22" s="14"/>
      <c r="L22" s="14">
        <v>24</v>
      </c>
      <c r="M22" s="16">
        <v>40933</v>
      </c>
      <c r="N22" s="25">
        <v>2601.5100000000002</v>
      </c>
      <c r="O22" s="25">
        <v>650.38</v>
      </c>
      <c r="P22" s="25">
        <v>3251.8900000000003</v>
      </c>
    </row>
    <row r="23" spans="1:16">
      <c r="A23" s="24">
        <v>18</v>
      </c>
      <c r="B23" s="22" t="s">
        <v>383</v>
      </c>
      <c r="C23" s="15" t="s">
        <v>384</v>
      </c>
      <c r="D23" s="15" t="s">
        <v>385</v>
      </c>
      <c r="E23" s="14" t="s">
        <v>17</v>
      </c>
      <c r="F23" s="14" t="s">
        <v>333</v>
      </c>
      <c r="G23" s="23" t="s">
        <v>5</v>
      </c>
      <c r="H23" s="14"/>
      <c r="I23" s="14"/>
      <c r="J23" s="14" t="s">
        <v>8</v>
      </c>
      <c r="K23" s="14"/>
      <c r="L23" s="14">
        <v>24</v>
      </c>
      <c r="M23" s="16">
        <v>40933</v>
      </c>
      <c r="N23" s="25">
        <v>4662.2</v>
      </c>
      <c r="O23" s="25">
        <v>1165.55</v>
      </c>
      <c r="P23" s="25">
        <v>5827.75</v>
      </c>
    </row>
    <row r="24" spans="1:16">
      <c r="A24" s="24">
        <v>19</v>
      </c>
      <c r="B24" s="22" t="s">
        <v>386</v>
      </c>
      <c r="C24" s="15" t="s">
        <v>387</v>
      </c>
      <c r="D24" s="15" t="s">
        <v>388</v>
      </c>
      <c r="E24" s="14" t="s">
        <v>17</v>
      </c>
      <c r="F24" s="14" t="s">
        <v>333</v>
      </c>
      <c r="G24" s="23" t="s">
        <v>5</v>
      </c>
      <c r="H24" s="14"/>
      <c r="I24" s="14"/>
      <c r="J24" s="14" t="s">
        <v>8</v>
      </c>
      <c r="K24" s="14"/>
      <c r="L24" s="14">
        <v>24</v>
      </c>
      <c r="M24" s="16">
        <v>40933</v>
      </c>
      <c r="N24" s="25">
        <v>5795.89</v>
      </c>
      <c r="O24" s="25">
        <v>643.99</v>
      </c>
      <c r="P24" s="25">
        <v>6439.88</v>
      </c>
    </row>
    <row r="25" spans="1:16">
      <c r="A25" s="44">
        <v>20</v>
      </c>
      <c r="B25" s="22" t="s">
        <v>389</v>
      </c>
      <c r="C25" s="15" t="s">
        <v>390</v>
      </c>
      <c r="D25" s="15" t="s">
        <v>391</v>
      </c>
      <c r="E25" s="14" t="s">
        <v>17</v>
      </c>
      <c r="F25" s="14" t="s">
        <v>333</v>
      </c>
      <c r="G25" s="23" t="s">
        <v>5</v>
      </c>
      <c r="H25" s="14"/>
      <c r="I25" s="14"/>
      <c r="J25" s="14" t="s">
        <v>8</v>
      </c>
      <c r="K25" s="14"/>
      <c r="L25" s="14">
        <v>24</v>
      </c>
      <c r="M25" s="16">
        <v>40933</v>
      </c>
      <c r="N25" s="25">
        <v>3498.53</v>
      </c>
      <c r="O25" s="25">
        <v>874.63</v>
      </c>
      <c r="P25" s="25">
        <v>4373.16</v>
      </c>
    </row>
    <row r="26" spans="1:16">
      <c r="A26" s="24">
        <v>21</v>
      </c>
      <c r="B26" s="22" t="s">
        <v>392</v>
      </c>
      <c r="C26" s="15" t="s">
        <v>393</v>
      </c>
      <c r="D26" s="15" t="s">
        <v>394</v>
      </c>
      <c r="E26" s="14" t="s">
        <v>17</v>
      </c>
      <c r="F26" s="14" t="s">
        <v>333</v>
      </c>
      <c r="G26" s="23" t="s">
        <v>5</v>
      </c>
      <c r="H26" s="14"/>
      <c r="I26" s="14"/>
      <c r="J26" s="14" t="s">
        <v>8</v>
      </c>
      <c r="K26" s="14"/>
      <c r="L26" s="14">
        <v>24</v>
      </c>
      <c r="M26" s="16">
        <v>40933</v>
      </c>
      <c r="N26" s="25">
        <v>6838.32</v>
      </c>
      <c r="O26" s="25">
        <v>1709.58</v>
      </c>
      <c r="P26" s="25">
        <v>8547.9</v>
      </c>
    </row>
    <row r="27" spans="1:16">
      <c r="A27" s="24">
        <v>22</v>
      </c>
      <c r="B27" s="22" t="s">
        <v>395</v>
      </c>
      <c r="C27" s="15" t="s">
        <v>396</v>
      </c>
      <c r="D27" s="15" t="s">
        <v>397</v>
      </c>
      <c r="E27" s="14" t="s">
        <v>17</v>
      </c>
      <c r="F27" s="14" t="s">
        <v>333</v>
      </c>
      <c r="G27" s="23" t="s">
        <v>5</v>
      </c>
      <c r="H27" s="14"/>
      <c r="I27" s="14"/>
      <c r="J27" s="14" t="s">
        <v>8</v>
      </c>
      <c r="K27" s="14"/>
      <c r="L27" s="14">
        <v>24</v>
      </c>
      <c r="M27" s="16">
        <v>40933</v>
      </c>
      <c r="N27" s="25">
        <v>3129.52</v>
      </c>
      <c r="O27" s="25">
        <v>782.38</v>
      </c>
      <c r="P27" s="25">
        <v>3911.9</v>
      </c>
    </row>
    <row r="28" spans="1:16">
      <c r="A28" s="44">
        <v>23</v>
      </c>
      <c r="B28" s="22" t="s">
        <v>398</v>
      </c>
      <c r="C28" s="15" t="s">
        <v>399</v>
      </c>
      <c r="D28" s="15" t="s">
        <v>400</v>
      </c>
      <c r="E28" s="14" t="s">
        <v>17</v>
      </c>
      <c r="F28" s="14" t="s">
        <v>333</v>
      </c>
      <c r="G28" s="23" t="s">
        <v>5</v>
      </c>
      <c r="H28" s="14"/>
      <c r="I28" s="14"/>
      <c r="J28" s="14" t="s">
        <v>8</v>
      </c>
      <c r="K28" s="14"/>
      <c r="L28" s="14">
        <v>24</v>
      </c>
      <c r="M28" s="16">
        <v>40933</v>
      </c>
      <c r="N28" s="25">
        <v>3505.99</v>
      </c>
      <c r="O28" s="25">
        <v>876.5</v>
      </c>
      <c r="P28" s="25">
        <v>4382.49</v>
      </c>
    </row>
    <row r="29" spans="1:16">
      <c r="A29" s="24">
        <v>24</v>
      </c>
      <c r="B29" s="22" t="s">
        <v>401</v>
      </c>
      <c r="C29" s="15" t="s">
        <v>402</v>
      </c>
      <c r="D29" s="15" t="s">
        <v>403</v>
      </c>
      <c r="E29" s="14" t="s">
        <v>17</v>
      </c>
      <c r="F29" s="14" t="s">
        <v>333</v>
      </c>
      <c r="G29" s="14" t="s">
        <v>5</v>
      </c>
      <c r="H29" s="14"/>
      <c r="I29" s="14"/>
      <c r="J29" s="14" t="s">
        <v>8</v>
      </c>
      <c r="K29" s="14"/>
      <c r="L29" s="14">
        <v>24</v>
      </c>
      <c r="M29" s="16">
        <v>40933</v>
      </c>
      <c r="N29" s="25">
        <v>5467.55</v>
      </c>
      <c r="O29" s="25">
        <v>607.5</v>
      </c>
      <c r="P29" s="25">
        <v>6075.05</v>
      </c>
    </row>
    <row r="30" spans="1:16">
      <c r="A30" s="24">
        <v>25</v>
      </c>
      <c r="B30" s="22" t="s">
        <v>404</v>
      </c>
      <c r="C30" s="15" t="s">
        <v>405</v>
      </c>
      <c r="D30" s="15" t="s">
        <v>406</v>
      </c>
      <c r="E30" s="14" t="s">
        <v>17</v>
      </c>
      <c r="F30" s="14" t="s">
        <v>333</v>
      </c>
      <c r="G30" s="23" t="s">
        <v>5</v>
      </c>
      <c r="H30" s="14"/>
      <c r="I30" s="14"/>
      <c r="J30" s="14" t="s">
        <v>8</v>
      </c>
      <c r="K30" s="14"/>
      <c r="L30" s="14">
        <v>24</v>
      </c>
      <c r="M30" s="16">
        <v>40933</v>
      </c>
      <c r="N30" s="25">
        <v>6293.51</v>
      </c>
      <c r="O30" s="25">
        <v>1573.38</v>
      </c>
      <c r="P30" s="25">
        <v>7866.89</v>
      </c>
    </row>
    <row r="31" spans="1:16">
      <c r="A31" s="44">
        <v>26</v>
      </c>
      <c r="B31" s="22" t="s">
        <v>407</v>
      </c>
      <c r="C31" s="15" t="s">
        <v>408</v>
      </c>
      <c r="D31" s="15" t="s">
        <v>409</v>
      </c>
      <c r="E31" s="14" t="s">
        <v>17</v>
      </c>
      <c r="F31" s="14" t="s">
        <v>333</v>
      </c>
      <c r="G31" s="23" t="s">
        <v>5</v>
      </c>
      <c r="H31" s="14"/>
      <c r="I31" s="14"/>
      <c r="J31" s="14" t="s">
        <v>8</v>
      </c>
      <c r="K31" s="14"/>
      <c r="L31" s="14">
        <v>24</v>
      </c>
      <c r="M31" s="16">
        <v>40934</v>
      </c>
      <c r="N31" s="25">
        <v>2939.21</v>
      </c>
      <c r="O31" s="25">
        <v>651.79</v>
      </c>
      <c r="P31" s="25">
        <v>3591</v>
      </c>
    </row>
    <row r="32" spans="1:16">
      <c r="A32" s="24">
        <v>27</v>
      </c>
      <c r="B32" s="22" t="s">
        <v>410</v>
      </c>
      <c r="C32" s="15" t="s">
        <v>411</v>
      </c>
      <c r="D32" s="15" t="s">
        <v>412</v>
      </c>
      <c r="E32" s="14" t="s">
        <v>17</v>
      </c>
      <c r="F32" s="14" t="s">
        <v>333</v>
      </c>
      <c r="G32" s="23"/>
      <c r="H32" s="14" t="s">
        <v>6</v>
      </c>
      <c r="I32" s="14"/>
      <c r="J32" s="14" t="s">
        <v>8</v>
      </c>
      <c r="K32" s="14"/>
      <c r="L32" s="14">
        <v>24</v>
      </c>
      <c r="M32" s="16">
        <v>40934</v>
      </c>
      <c r="N32" s="25">
        <v>5211.6899999999996</v>
      </c>
      <c r="O32" s="25">
        <v>3474.46</v>
      </c>
      <c r="P32" s="25">
        <v>8686.15</v>
      </c>
    </row>
    <row r="33" spans="1:16">
      <c r="A33" s="24">
        <v>28</v>
      </c>
      <c r="B33" s="22" t="s">
        <v>413</v>
      </c>
      <c r="C33" s="15" t="s">
        <v>414</v>
      </c>
      <c r="D33" s="15" t="s">
        <v>415</v>
      </c>
      <c r="E33" s="14" t="s">
        <v>22</v>
      </c>
      <c r="F33" s="14" t="s">
        <v>333</v>
      </c>
      <c r="G33" s="14"/>
      <c r="H33" s="14" t="s">
        <v>6</v>
      </c>
      <c r="I33" s="14"/>
      <c r="J33" s="14"/>
      <c r="K33" s="14" t="s">
        <v>9</v>
      </c>
      <c r="L33" s="14">
        <v>24</v>
      </c>
      <c r="M33" s="16">
        <v>40934</v>
      </c>
      <c r="N33" s="25">
        <v>9015.66</v>
      </c>
      <c r="O33" s="25">
        <v>6010.44</v>
      </c>
      <c r="P33" s="25">
        <v>15026.099999999999</v>
      </c>
    </row>
    <row r="34" spans="1:16">
      <c r="A34" s="44">
        <v>29</v>
      </c>
      <c r="B34" s="22" t="s">
        <v>416</v>
      </c>
      <c r="C34" s="15" t="s">
        <v>417</v>
      </c>
      <c r="D34" s="15" t="s">
        <v>418</v>
      </c>
      <c r="E34" s="14" t="s">
        <v>22</v>
      </c>
      <c r="F34" s="14" t="s">
        <v>333</v>
      </c>
      <c r="G34" s="14" t="s">
        <v>5</v>
      </c>
      <c r="H34" s="14"/>
      <c r="I34" s="14"/>
      <c r="J34" s="14"/>
      <c r="K34" s="14" t="s">
        <v>9</v>
      </c>
      <c r="L34" s="14">
        <v>24</v>
      </c>
      <c r="M34" s="16">
        <v>40934</v>
      </c>
      <c r="N34" s="25">
        <v>4836.6400000000003</v>
      </c>
      <c r="O34" s="25">
        <v>1209.1600000000001</v>
      </c>
      <c r="P34" s="25">
        <v>6045.8</v>
      </c>
    </row>
    <row r="35" spans="1:16">
      <c r="A35" s="24">
        <v>30</v>
      </c>
      <c r="B35" s="22" t="s">
        <v>419</v>
      </c>
      <c r="C35" s="15" t="s">
        <v>420</v>
      </c>
      <c r="D35" s="15" t="s">
        <v>421</v>
      </c>
      <c r="E35" s="14" t="s">
        <v>17</v>
      </c>
      <c r="F35" s="14" t="s">
        <v>333</v>
      </c>
      <c r="G35" s="14" t="s">
        <v>5</v>
      </c>
      <c r="H35" s="14"/>
      <c r="I35" s="14"/>
      <c r="J35" s="14" t="s">
        <v>8</v>
      </c>
      <c r="K35" s="14"/>
      <c r="L35" s="14">
        <v>24</v>
      </c>
      <c r="M35" s="16">
        <v>40934</v>
      </c>
      <c r="N35" s="25">
        <v>5655.99</v>
      </c>
      <c r="O35" s="25">
        <v>628.44000000000005</v>
      </c>
      <c r="P35" s="25">
        <v>6284.43</v>
      </c>
    </row>
    <row r="36" spans="1:16" ht="15.75" thickBot="1">
      <c r="A36" s="24">
        <v>31</v>
      </c>
      <c r="B36" s="9" t="s">
        <v>422</v>
      </c>
      <c r="C36" s="10" t="s">
        <v>423</v>
      </c>
      <c r="D36" s="10" t="s">
        <v>424</v>
      </c>
      <c r="E36" s="11" t="s">
        <v>22</v>
      </c>
      <c r="F36" s="11" t="s">
        <v>333</v>
      </c>
      <c r="G36" s="11" t="s">
        <v>5</v>
      </c>
      <c r="H36" s="11"/>
      <c r="I36" s="11"/>
      <c r="J36" s="11"/>
      <c r="K36" s="11" t="s">
        <v>9</v>
      </c>
      <c r="L36" s="11">
        <v>24</v>
      </c>
      <c r="M36" s="13">
        <v>40934</v>
      </c>
      <c r="N36" s="25">
        <v>5977.36</v>
      </c>
      <c r="O36" s="25">
        <v>1494.34</v>
      </c>
      <c r="P36" s="25">
        <v>7471.7</v>
      </c>
    </row>
    <row r="37" spans="1:16">
      <c r="A37" s="44">
        <v>32</v>
      </c>
      <c r="B37" s="22" t="s">
        <v>638</v>
      </c>
      <c r="C37" s="15" t="s">
        <v>639</v>
      </c>
      <c r="D37" s="15" t="s">
        <v>640</v>
      </c>
      <c r="E37" s="14" t="s">
        <v>32</v>
      </c>
      <c r="F37" s="14" t="s">
        <v>333</v>
      </c>
      <c r="G37" s="14"/>
      <c r="H37" s="14"/>
      <c r="I37" s="14"/>
      <c r="J37" s="14"/>
      <c r="K37" s="14"/>
      <c r="L37" s="14">
        <v>27</v>
      </c>
      <c r="M37" s="16">
        <v>40948</v>
      </c>
      <c r="N37" s="25">
        <v>3078.72</v>
      </c>
      <c r="O37" s="25">
        <v>342.08</v>
      </c>
      <c r="P37" s="25">
        <v>3420.7999999999997</v>
      </c>
    </row>
    <row r="38" spans="1:16">
      <c r="A38" s="24">
        <v>33</v>
      </c>
      <c r="B38" s="22" t="s">
        <v>641</v>
      </c>
      <c r="C38" s="15" t="s">
        <v>642</v>
      </c>
      <c r="D38" s="15" t="s">
        <v>643</v>
      </c>
      <c r="E38" s="14" t="s">
        <v>22</v>
      </c>
      <c r="F38" s="14" t="s">
        <v>333</v>
      </c>
      <c r="G38" s="14"/>
      <c r="H38" s="14"/>
      <c r="I38" s="14"/>
      <c r="J38" s="14"/>
      <c r="K38" s="14"/>
      <c r="L38" s="14">
        <v>27</v>
      </c>
      <c r="M38" s="16">
        <v>40948</v>
      </c>
      <c r="N38" s="25">
        <v>5530.04</v>
      </c>
      <c r="O38" s="25">
        <v>1382.51</v>
      </c>
      <c r="P38" s="25">
        <v>6912.55</v>
      </c>
    </row>
    <row r="39" spans="1:16">
      <c r="A39" s="24">
        <v>34</v>
      </c>
      <c r="B39" s="22" t="s">
        <v>644</v>
      </c>
      <c r="C39" s="15" t="s">
        <v>645</v>
      </c>
      <c r="D39" s="15" t="s">
        <v>646</v>
      </c>
      <c r="E39" s="14" t="s">
        <v>22</v>
      </c>
      <c r="F39" s="14" t="s">
        <v>333</v>
      </c>
      <c r="G39" s="14" t="s">
        <v>5</v>
      </c>
      <c r="H39" s="14"/>
      <c r="I39" s="14"/>
      <c r="J39" s="14"/>
      <c r="K39" s="14"/>
      <c r="L39" s="14">
        <v>27</v>
      </c>
      <c r="M39" s="16">
        <v>40948</v>
      </c>
      <c r="N39" s="25">
        <v>4514.22</v>
      </c>
      <c r="O39" s="25">
        <v>501.58</v>
      </c>
      <c r="P39" s="25">
        <v>5015.8</v>
      </c>
    </row>
    <row r="40" spans="1:16">
      <c r="A40" s="44">
        <v>35</v>
      </c>
      <c r="B40" s="22" t="s">
        <v>650</v>
      </c>
      <c r="C40" s="15" t="s">
        <v>651</v>
      </c>
      <c r="D40" s="15" t="s">
        <v>652</v>
      </c>
      <c r="E40" s="14" t="s">
        <v>17</v>
      </c>
      <c r="F40" s="14" t="s">
        <v>333</v>
      </c>
      <c r="G40" s="14"/>
      <c r="H40" s="14"/>
      <c r="I40" s="14"/>
      <c r="J40" s="14"/>
      <c r="K40" s="14"/>
      <c r="L40" s="14">
        <v>27</v>
      </c>
      <c r="M40" s="16">
        <v>40948</v>
      </c>
      <c r="N40" s="25">
        <v>10000</v>
      </c>
      <c r="O40" s="25">
        <v>8350.6200000000008</v>
      </c>
      <c r="P40" s="25">
        <v>18350.620000000003</v>
      </c>
    </row>
    <row r="41" spans="1:16" ht="15.75" thickBot="1">
      <c r="A41" s="24">
        <v>36</v>
      </c>
      <c r="B41" s="9" t="s">
        <v>656</v>
      </c>
      <c r="C41" s="10" t="s">
        <v>657</v>
      </c>
      <c r="D41" s="10" t="s">
        <v>658</v>
      </c>
      <c r="E41" s="11" t="s">
        <v>17</v>
      </c>
      <c r="F41" s="11" t="s">
        <v>333</v>
      </c>
      <c r="G41" s="11"/>
      <c r="H41" s="11"/>
      <c r="I41" s="11"/>
      <c r="J41" s="11"/>
      <c r="K41" s="11"/>
      <c r="L41" s="11">
        <v>27</v>
      </c>
      <c r="M41" s="13">
        <v>40948</v>
      </c>
      <c r="N41" s="25">
        <v>4568.1000000000004</v>
      </c>
      <c r="O41" s="25">
        <v>1142.03</v>
      </c>
      <c r="P41" s="25">
        <v>5710.13</v>
      </c>
    </row>
    <row r="42" spans="1:16" ht="35.25" customHeight="1">
      <c r="A42" s="24">
        <v>37</v>
      </c>
      <c r="B42" s="22" t="s">
        <v>671</v>
      </c>
      <c r="C42" s="15" t="s">
        <v>672</v>
      </c>
      <c r="D42" s="27" t="s">
        <v>673</v>
      </c>
      <c r="E42" s="14" t="s">
        <v>22</v>
      </c>
      <c r="F42" s="14" t="s">
        <v>333</v>
      </c>
      <c r="G42" s="14"/>
      <c r="H42" s="14"/>
      <c r="I42" s="14"/>
      <c r="J42" s="14"/>
      <c r="K42" s="14"/>
      <c r="L42" s="14">
        <v>28</v>
      </c>
      <c r="M42" s="16">
        <v>40953</v>
      </c>
      <c r="N42" s="25">
        <v>16091.09</v>
      </c>
      <c r="O42" s="25">
        <v>9938.06</v>
      </c>
      <c r="P42" s="25">
        <v>26029.15</v>
      </c>
    </row>
    <row r="43" spans="1:16" ht="27.75" customHeight="1">
      <c r="A43" s="44">
        <v>38</v>
      </c>
      <c r="B43" s="22" t="s">
        <v>674</v>
      </c>
      <c r="C43" s="15" t="s">
        <v>675</v>
      </c>
      <c r="D43" s="27" t="s">
        <v>676</v>
      </c>
      <c r="E43" s="14" t="s">
        <v>32</v>
      </c>
      <c r="F43" s="14" t="s">
        <v>333</v>
      </c>
      <c r="G43" s="14"/>
      <c r="H43" s="14" t="s">
        <v>6</v>
      </c>
      <c r="I43" s="14"/>
      <c r="J43" s="14" t="s">
        <v>8</v>
      </c>
      <c r="K43" s="14"/>
      <c r="L43" s="14">
        <v>28</v>
      </c>
      <c r="M43" s="16">
        <v>40953</v>
      </c>
      <c r="N43" s="25">
        <v>6960</v>
      </c>
      <c r="O43" s="25">
        <v>4640</v>
      </c>
      <c r="P43" s="25">
        <v>11600</v>
      </c>
    </row>
    <row r="44" spans="1:16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46">
        <f>SUM(N6:N43)</f>
        <v>203535.28</v>
      </c>
      <c r="O44" s="46">
        <f t="shared" ref="O44:P44" si="0">SUM(O6:O43)</f>
        <v>64082.920000000013</v>
      </c>
      <c r="P44" s="46">
        <f t="shared" si="0"/>
        <v>267618.19999999995</v>
      </c>
    </row>
  </sheetData>
  <mergeCells count="4">
    <mergeCell ref="A1:P1"/>
    <mergeCell ref="A2:P2"/>
    <mergeCell ref="A3:P3"/>
    <mergeCell ref="A4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Aprobados Bluefields</vt:lpstr>
      <vt:lpstr>Aprobados Boaco</vt:lpstr>
      <vt:lpstr>Aprobados Chontales</vt:lpstr>
      <vt:lpstr>Aprobados RAAN</vt:lpstr>
      <vt:lpstr>'Aprobados Bluefields'!Área_de_impresión</vt:lpstr>
      <vt:lpstr>'Aprobados Boaco'!Área_de_impresión</vt:lpstr>
      <vt:lpstr>'Aprobados Chontales'!Área_de_impresión</vt:lpstr>
      <vt:lpstr>'Aprobados RAAN'!Área_de_impresión</vt:lpstr>
    </vt:vector>
  </TitlesOfParts>
  <Company>MIFIC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llanza</dc:creator>
  <cp:lastModifiedBy>llanza</cp:lastModifiedBy>
  <cp:lastPrinted>2012-05-14T22:47:36Z</cp:lastPrinted>
  <dcterms:created xsi:type="dcterms:W3CDTF">2012-03-13T22:05:31Z</dcterms:created>
  <dcterms:modified xsi:type="dcterms:W3CDTF">2012-05-14T23:16:24Z</dcterms:modified>
</cp:coreProperties>
</file>