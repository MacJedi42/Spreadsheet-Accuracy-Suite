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210" windowWidth="24915" windowHeight="12015"/>
  </bookViews>
  <sheets>
    <sheet name="COA CHSS list" sheetId="1" r:id="rId1"/>
  </sheets>
  <definedNames>
    <definedName name="_xlnm._FilterDatabase" localSheetId="0" hidden="1">'COA CHSS list'!$A$2:$J$382</definedName>
    <definedName name="_xlnm.Print_Titles" localSheetId="0">'COA CHSS list'!$1:$2</definedName>
  </definedNames>
  <calcPr calcId="145621"/>
</workbook>
</file>

<file path=xl/calcChain.xml><?xml version="1.0" encoding="utf-8"?>
<calcChain xmlns="http://schemas.openxmlformats.org/spreadsheetml/2006/main">
  <c r="A374" i="1" l="1"/>
  <c r="A380" i="1"/>
  <c r="A379" i="1"/>
  <c r="A378" i="1"/>
  <c r="A377" i="1"/>
  <c r="A376" i="1"/>
  <c r="A375" i="1"/>
  <c r="A58" i="1"/>
  <c r="A351" i="1" l="1"/>
  <c r="A311" i="1"/>
  <c r="A282" i="1"/>
  <c r="A228" i="1"/>
  <c r="A197" i="1"/>
  <c r="A196" i="1"/>
  <c r="A88" i="1"/>
  <c r="A287" i="1" l="1"/>
  <c r="A3" i="1" l="1"/>
  <c r="A92" i="1" l="1"/>
  <c r="A91" i="1"/>
  <c r="A90" i="1"/>
  <c r="A89" i="1"/>
  <c r="A231" i="1" l="1"/>
  <c r="A66" i="1" l="1"/>
  <c r="A80" i="1"/>
  <c r="A188" i="1"/>
  <c r="A191" i="1"/>
  <c r="A367" i="1"/>
  <c r="A365" i="1"/>
  <c r="A358" i="1"/>
  <c r="A352" i="1"/>
  <c r="A347" i="1"/>
  <c r="A343" i="1"/>
  <c r="A341" i="1"/>
  <c r="A336" i="1"/>
  <c r="A307" i="1"/>
  <c r="A295" i="1"/>
  <c r="A288" i="1"/>
  <c r="A286" i="1"/>
  <c r="A285" i="1"/>
  <c r="A281" i="1"/>
  <c r="A280" i="1"/>
  <c r="A276" i="1"/>
  <c r="A272" i="1"/>
  <c r="A263" i="1"/>
  <c r="A251" i="1"/>
  <c r="A200" i="1"/>
  <c r="A195" i="1"/>
  <c r="A180" i="1"/>
  <c r="A181" i="1"/>
  <c r="A119" i="1"/>
  <c r="A109" i="1"/>
  <c r="A102" i="1"/>
  <c r="A93" i="1"/>
  <c r="A87" i="1"/>
  <c r="A84" i="1"/>
  <c r="A74" i="1"/>
  <c r="A65" i="1"/>
  <c r="A64" i="1"/>
  <c r="A51" i="1"/>
  <c r="A46" i="1"/>
  <c r="A294" i="1"/>
  <c r="A381" i="1"/>
  <c r="A262" i="1"/>
  <c r="A179" i="1"/>
  <c r="A177" i="1"/>
  <c r="A178" i="1"/>
  <c r="A176" i="1"/>
  <c r="A75" i="1"/>
  <c r="A41" i="1"/>
  <c r="A38" i="1"/>
  <c r="A37" i="1"/>
  <c r="A36" i="1"/>
  <c r="A382" i="1"/>
  <c r="A360" i="1"/>
  <c r="A361" i="1"/>
  <c r="A362" i="1"/>
  <c r="A363" i="1"/>
  <c r="A364" i="1"/>
  <c r="A359" i="1"/>
  <c r="A369" i="1"/>
  <c r="A370" i="1"/>
  <c r="A371" i="1"/>
  <c r="A372" i="1"/>
  <c r="A373" i="1"/>
  <c r="A354" i="1"/>
  <c r="A355" i="1"/>
  <c r="A356" i="1"/>
  <c r="A357" i="1"/>
  <c r="A349" i="1"/>
  <c r="A350" i="1"/>
  <c r="A348" i="1"/>
  <c r="A344" i="1"/>
  <c r="A345" i="1"/>
  <c r="A346" i="1"/>
  <c r="A338" i="1"/>
  <c r="A339" i="1"/>
  <c r="A340" i="1"/>
  <c r="A309" i="1"/>
  <c r="A310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297" i="1"/>
  <c r="A298" i="1"/>
  <c r="A299" i="1"/>
  <c r="A300" i="1"/>
  <c r="A301" i="1"/>
  <c r="A302" i="1"/>
  <c r="A303" i="1"/>
  <c r="A304" i="1"/>
  <c r="A305" i="1"/>
  <c r="A306" i="1"/>
  <c r="A290" i="1"/>
  <c r="A291" i="1"/>
  <c r="A292" i="1"/>
  <c r="A284" i="1"/>
  <c r="A278" i="1"/>
  <c r="A279" i="1"/>
  <c r="A274" i="1"/>
  <c r="A275" i="1"/>
  <c r="A265" i="1"/>
  <c r="A266" i="1"/>
  <c r="A267" i="1"/>
  <c r="A268" i="1"/>
  <c r="A269" i="1"/>
  <c r="A270" i="1"/>
  <c r="A271" i="1"/>
  <c r="A253" i="1"/>
  <c r="A254" i="1"/>
  <c r="A255" i="1"/>
  <c r="A256" i="1"/>
  <c r="A257" i="1"/>
  <c r="A258" i="1"/>
  <c r="A259" i="1"/>
  <c r="A260" i="1"/>
  <c r="A261" i="1"/>
  <c r="A246" i="1"/>
  <c r="A247" i="1"/>
  <c r="A248" i="1"/>
  <c r="A250" i="1"/>
  <c r="A230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9" i="1"/>
  <c r="A199" i="1"/>
  <c r="A193" i="1"/>
  <c r="A194" i="1"/>
  <c r="A192" i="1"/>
  <c r="A190" i="1"/>
  <c r="A189" i="1"/>
  <c r="A183" i="1"/>
  <c r="A184" i="1"/>
  <c r="A185" i="1"/>
  <c r="A186" i="1"/>
  <c r="A187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11" i="1"/>
  <c r="A112" i="1"/>
  <c r="A113" i="1"/>
  <c r="A114" i="1"/>
  <c r="A115" i="1"/>
  <c r="A116" i="1"/>
  <c r="A117" i="1"/>
  <c r="A118" i="1"/>
  <c r="A104" i="1"/>
  <c r="A105" i="1"/>
  <c r="A106" i="1"/>
  <c r="A107" i="1"/>
  <c r="A108" i="1"/>
  <c r="A95" i="1"/>
  <c r="A96" i="1"/>
  <c r="A97" i="1"/>
  <c r="A98" i="1"/>
  <c r="A99" i="1"/>
  <c r="A100" i="1"/>
  <c r="A101" i="1"/>
  <c r="A86" i="1"/>
  <c r="A82" i="1"/>
  <c r="A83" i="1"/>
  <c r="A368" i="1"/>
  <c r="A366" i="1"/>
  <c r="A353" i="1"/>
  <c r="A342" i="1"/>
  <c r="A337" i="1"/>
  <c r="A308" i="1"/>
  <c r="A296" i="1"/>
  <c r="A289" i="1"/>
  <c r="A283" i="1"/>
  <c r="A277" i="1"/>
  <c r="A273" i="1"/>
  <c r="A264" i="1"/>
  <c r="A252" i="1"/>
  <c r="A201" i="1"/>
  <c r="A198" i="1"/>
  <c r="A182" i="1"/>
  <c r="A120" i="1"/>
  <c r="A110" i="1"/>
  <c r="A103" i="1"/>
  <c r="A94" i="1"/>
  <c r="A85" i="1"/>
  <c r="A81" i="1"/>
  <c r="A77" i="1"/>
  <c r="A78" i="1"/>
  <c r="A79" i="1"/>
  <c r="A76" i="1"/>
  <c r="A68" i="1"/>
  <c r="A69" i="1"/>
  <c r="A70" i="1"/>
  <c r="A71" i="1"/>
  <c r="A72" i="1"/>
  <c r="A73" i="1"/>
  <c r="A67" i="1"/>
  <c r="A53" i="1"/>
  <c r="A54" i="1"/>
  <c r="A55" i="1"/>
  <c r="A56" i="1"/>
  <c r="A57" i="1"/>
  <c r="A59" i="1"/>
  <c r="A60" i="1"/>
  <c r="A61" i="1"/>
  <c r="A62" i="1"/>
  <c r="A63" i="1"/>
  <c r="A52" i="1"/>
  <c r="A48" i="1"/>
  <c r="A49" i="1"/>
  <c r="A50" i="1"/>
  <c r="A47" i="1"/>
  <c r="A43" i="1"/>
  <c r="A44" i="1"/>
  <c r="A45" i="1"/>
  <c r="A42" i="1"/>
  <c r="A40" i="1"/>
  <c r="A39" i="1"/>
  <c r="A23" i="1"/>
  <c r="A35" i="1"/>
  <c r="A21" i="1"/>
  <c r="A20" i="1"/>
  <c r="A22" i="1"/>
  <c r="A24" i="1"/>
  <c r="A25" i="1"/>
  <c r="A26" i="1"/>
  <c r="A27" i="1"/>
  <c r="A28" i="1"/>
  <c r="A29" i="1"/>
  <c r="A30" i="1"/>
  <c r="A31" i="1"/>
  <c r="A32" i="1"/>
  <c r="A33" i="1"/>
  <c r="A34" i="1"/>
  <c r="A14" i="1"/>
  <c r="A15" i="1"/>
  <c r="A16" i="1"/>
  <c r="A17" i="1"/>
  <c r="A18" i="1"/>
  <c r="A13" i="1"/>
  <c r="A6" i="1"/>
  <c r="A7" i="1"/>
  <c r="A8" i="1"/>
  <c r="A9" i="1"/>
  <c r="A10" i="1"/>
  <c r="A11" i="1"/>
  <c r="A5" i="1"/>
  <c r="A4" i="1"/>
  <c r="A12" i="1" l="1"/>
  <c r="A19" i="1"/>
</calcChain>
</file>

<file path=xl/sharedStrings.xml><?xml version="1.0" encoding="utf-8"?>
<sst xmlns="http://schemas.openxmlformats.org/spreadsheetml/2006/main" count="1107" uniqueCount="393">
  <si>
    <t>CREDITS</t>
  </si>
  <si>
    <t>COURSE</t>
  </si>
  <si>
    <t>COM</t>
  </si>
  <si>
    <t>HUM</t>
  </si>
  <si>
    <t>UCC HUM</t>
  </si>
  <si>
    <t>SOC</t>
  </si>
  <si>
    <t>UCC STS</t>
  </si>
  <si>
    <t>(and)</t>
  </si>
  <si>
    <t>INTL</t>
  </si>
  <si>
    <t>MULTI</t>
  </si>
  <si>
    <t>Y</t>
  </si>
  <si>
    <t>AAS 27100 - Introduction to African American Studies</t>
  </si>
  <si>
    <t>AAS 27700 - African American Pop Culture</t>
  </si>
  <si>
    <t>AAS 37000 - Black Women Rising</t>
  </si>
  <si>
    <t>AAS 37100 - The African American Experience</t>
  </si>
  <si>
    <t>AAS 37300 - Issues in African American Studies</t>
  </si>
  <si>
    <t>AAS 37500 - The Black Family</t>
  </si>
  <si>
    <t>AAS 37600 - The Black Male</t>
  </si>
  <si>
    <t>AAS 37700 - African American Sexuality and Society</t>
  </si>
  <si>
    <t>AD 11300 - Basic Drawings</t>
  </si>
  <si>
    <t>AD 11700 - Photography I</t>
  </si>
  <si>
    <t>AD 12500 - Intro to Interior Design</t>
  </si>
  <si>
    <t>AD 22700 - History of Art since 1400</t>
  </si>
  <si>
    <t>AD 24200 - Ceramics I</t>
  </si>
  <si>
    <t>AD 25100 - History of Photography</t>
  </si>
  <si>
    <t>AD 25500 - Art Appreciation</t>
  </si>
  <si>
    <t>AD 26500 - Relief Printmaking</t>
  </si>
  <si>
    <t>AD 26600 - Silkscreen Printmaking</t>
  </si>
  <si>
    <t xml:space="preserve">AD 27500 - Beginning Sculpture </t>
  </si>
  <si>
    <t>AD 38300 - Modern Art</t>
  </si>
  <si>
    <t>AGEC 20300 - Introductory Microeconomics for Food and Agribusiness</t>
  </si>
  <si>
    <t>AGEC 20400 - Introduction to Resource Economics and Environmental Policy</t>
  </si>
  <si>
    <t>AGEC 21700 - Economics</t>
  </si>
  <si>
    <t>AGEC 25000 - Economic Geography of World Food and Resources</t>
  </si>
  <si>
    <t>AGEC 30500 - Agricultural Prices</t>
  </si>
  <si>
    <t>AGEC 34000 - International Economic Development</t>
  </si>
  <si>
    <t>AGEC 40600- Natural Resource And Environmental Economics</t>
  </si>
  <si>
    <t xml:space="preserve">AGEC 41000 - Agricultural Policy  </t>
  </si>
  <si>
    <t>AGEC 41500 - Community And Resource Development</t>
  </si>
  <si>
    <t>AGEC 45000 - International Agricultural Trade</t>
  </si>
  <si>
    <t>AGEC 49800 - Afghanistan Development Challenges</t>
  </si>
  <si>
    <t>AGR 20100 - Communicating Across Culture</t>
  </si>
  <si>
    <t>AGR 49300 - Special Topics in International Agriculture</t>
  </si>
  <si>
    <t>AGR 49500 - Intl. Prof. Experience in Agr., Food, and Nat. Resources</t>
  </si>
  <si>
    <t>AGR 49700 - Agricultural Study Abroad</t>
  </si>
  <si>
    <t>AGRY 28500 - World Crop Adaptation and Distribution</t>
  </si>
  <si>
    <t xml:space="preserve">AGRY 29000 - Introduction to Environmental Science </t>
  </si>
  <si>
    <t>AGRY 35000 - Global Awareness</t>
  </si>
  <si>
    <t>AGRY 39900 - Afghanistan Development Challenges</t>
  </si>
  <si>
    <t>AGRY 39900 - Exploring International Agriculture</t>
  </si>
  <si>
    <t>AGRY 57000 - Agronomy in International Development</t>
  </si>
  <si>
    <t>AGRY 59800 - African Development Challenges</t>
  </si>
  <si>
    <t xml:space="preserve">AMST 20100 - Intro to American Studies </t>
  </si>
  <si>
    <t>ANSC 10200 - Intro to Animal Agriculture</t>
  </si>
  <si>
    <t>ANSC 29400 - Exploring International Animal Agriculture</t>
  </si>
  <si>
    <t>ANSC 29500 - Exploring International Agriculture</t>
  </si>
  <si>
    <t>ANTH 10000 - Introduction to Anthropology</t>
  </si>
  <si>
    <t>ANTH 20500 - Human Cultural Diversity</t>
  </si>
  <si>
    <t>ANTH 21000 - Technology and Culture</t>
  </si>
  <si>
    <t>ANTH 23000 - Gender Across Cultures</t>
  </si>
  <si>
    <t>ANTH 28200 - Introduction to LGBT Studies</t>
  </si>
  <si>
    <t>ANTH 30300 - Gender Across Cultures</t>
  </si>
  <si>
    <t>ANTH 37900 - Indians of North America</t>
  </si>
  <si>
    <t>ANTH 39200 - Globalization and Culture</t>
  </si>
  <si>
    <t>Y</t>
    <phoneticPr fontId="0" type="noConversion"/>
  </si>
  <si>
    <t>ANTH 48200 - Sexual Diversity in Global Perspectives</t>
  </si>
  <si>
    <t>ANTH 57600 - Economic Development and Social Change</t>
  </si>
  <si>
    <t>ANTH 57800 - Peoples of Middle America</t>
  </si>
  <si>
    <t>ARAB 23000 - Arabic Literature in Translation</t>
  </si>
  <si>
    <t>ARAB 23900 - Arab Women Writers</t>
  </si>
  <si>
    <t>ARAB 28000 - Arabic Culture</t>
  </si>
  <si>
    <t>ARAB 28100 - Introduction to Islamic Civilization and Culture</t>
  </si>
  <si>
    <t>ARAB 33400 - Maghrebi Literature and Culture</t>
  </si>
  <si>
    <t>ARAB 58700 - Modern Arab Thought</t>
  </si>
  <si>
    <t>ASAM 24000 - Introduction to Asian American Studies</t>
  </si>
  <si>
    <t>BCHM 10000 - Intro to Biochemistry</t>
  </si>
  <si>
    <t>BIOL 31200 - Great Issues: Genomic and Society</t>
  </si>
  <si>
    <t>BTNY 20100 - Plants and Civilization</t>
  </si>
  <si>
    <t>BTNY 21100 - Plants and the Environment</t>
  </si>
  <si>
    <t>CDFS 30100 - Families in a multicultural society</t>
  </si>
  <si>
    <t>CHNS 23000 - Chinese Literature in Translation</t>
  </si>
  <si>
    <t>CHNS 28000 - Topics in Chinese Civilization and Culture</t>
  </si>
  <si>
    <t>CHNS 28500 - Chinese Calligraphy</t>
  </si>
  <si>
    <t>CMPL 26600 - Intro to World Lit Beg - 1600</t>
  </si>
  <si>
    <t>CMPL 26700 - World Lit from 1600 to today</t>
  </si>
  <si>
    <t>COM 22400 - Communicating in the Global Workplace</t>
  </si>
  <si>
    <t>COM 25100 - Communication, Information and Society</t>
  </si>
  <si>
    <t>COM 30300 - Intercultural Communication</t>
  </si>
  <si>
    <t>COM 32800 - Diversity at Work: A Rhetorical Approach</t>
  </si>
  <si>
    <t>COM 36800 - Sociolinguistic Study of African American English</t>
  </si>
  <si>
    <t>COM 37600 - Communication and Gender</t>
  </si>
  <si>
    <t>COM 38100 - Gender and Feminist Studies in Communication</t>
  </si>
  <si>
    <t>COM 42400 - Communication in International Organizations</t>
  </si>
  <si>
    <t>DANC 25000 - Dance Appreciation</t>
  </si>
  <si>
    <t>EAPS 10000 - Planet Earth</t>
  </si>
  <si>
    <t>EAPS 10400 - Oceanography</t>
  </si>
  <si>
    <t>EAPS 10600 - Geosciences in the Cinema</t>
  </si>
  <si>
    <t>EAPS 11300 - Introduction to Environmental Science</t>
  </si>
  <si>
    <t>EAPS 12000 - Introduction to Geography</t>
  </si>
  <si>
    <t>ECON 21000 - Principles of Economics</t>
  </si>
  <si>
    <t>ECON 25100 - Microeconomics</t>
  </si>
  <si>
    <t>ECON 25200 - Macroeconomics</t>
  </si>
  <si>
    <t>ECON 37000 - International Trade</t>
  </si>
  <si>
    <t>ECON 46600 - International Economics</t>
  </si>
  <si>
    <t>EDCI 28500 - Multiculturalism and Education</t>
  </si>
  <si>
    <t xml:space="preserve">EDPS 23500 - Learning And Motivation </t>
  </si>
  <si>
    <t>EDPS 26500 - The Inclusive Classroom</t>
  </si>
  <si>
    <t>EDST 20000 - History And Philosophy Of Education</t>
  </si>
  <si>
    <t>ENGL 22700 -Elements Of Linguistics</t>
  </si>
  <si>
    <t>ENGL 23000 - Great Narrative Works</t>
  </si>
  <si>
    <t>ENGL 23100 - Introduction To Literature</t>
  </si>
  <si>
    <t>ENGL 23200 - Thematic Studies In Literature</t>
  </si>
  <si>
    <t>ENGL 23500 - Introduction To Drama</t>
  </si>
  <si>
    <t>ENGL 23700 - Introduction To Poetry</t>
  </si>
  <si>
    <t>ENGL 23800 - Introduction To Fiction</t>
  </si>
  <si>
    <t>ENGL 23900 - Introduction To Biography</t>
  </si>
  <si>
    <t>ENGL 24000 - Ecological Literature</t>
  </si>
  <si>
    <t xml:space="preserve">ENGL 24100 - Survey Of The British Literature: From The Rise Of Romanticism To The Modern Period </t>
  </si>
  <si>
    <t>ENGL 25000 - Great American Books</t>
  </si>
  <si>
    <t>ENGL 25700 - Literature of Black America</t>
  </si>
  <si>
    <t>ENGL 26200 - Greek And Roman Classics In Translation</t>
  </si>
  <si>
    <t>ENGL 26400 - The Bible As Literature</t>
  </si>
  <si>
    <t>ENGL 26600 - World Literature: From the Beginnings to 1700 A.D.</t>
  </si>
  <si>
    <t>ENGL 26700 - World Literature: From 1700 A.D. to the Present</t>
  </si>
  <si>
    <t>ENGL 27600 - Shakespeare On Film</t>
  </si>
  <si>
    <t>ENGL 27900 - The American Short Story In Print And Film</t>
  </si>
  <si>
    <t xml:space="preserve">ENGL 28600 - The Movies </t>
  </si>
  <si>
    <t>ENGL 33100 - Medieval English Literature</t>
  </si>
  <si>
    <t>ENGL 33300 - Renaissance English Literature</t>
  </si>
  <si>
    <t>ENGL 33500 - Restoration And Eighteenth-Century English Literature</t>
  </si>
  <si>
    <t>ENGL 33700 - Nineteenth-Century English Literature</t>
  </si>
  <si>
    <t>ENGL 35000 - Survey Of American Literature From Its Beginnings To 1865</t>
  </si>
  <si>
    <t>ENGL 35100 - Survey Of American Literature From 1865 To The Post-World War II Period</t>
  </si>
  <si>
    <t>ENGL 35400 - Asian American Literature</t>
  </si>
  <si>
    <t>ENGL 35600 - American Humor</t>
  </si>
  <si>
    <t>ENGL 35800 - Black Drama</t>
  </si>
  <si>
    <t>ENGL 36000 - Gender and Literature</t>
  </si>
  <si>
    <t>ENGL 36400 - Religious Classics In The Western Tradition</t>
  </si>
  <si>
    <t>ENGL 37200 - American Folklore</t>
  </si>
  <si>
    <t>ENGL 37300 - Science Fiction And Fantasy</t>
  </si>
  <si>
    <t>ENGL 37500 - British Drama To 1800, Exclusive Of Shakespeare</t>
  </si>
  <si>
    <t>ENGL 37700 - Major Modern Poetry</t>
  </si>
  <si>
    <t>ENGL 37900 - The Short Story</t>
  </si>
  <si>
    <t>ENGL 38100 - The British Novel</t>
  </si>
  <si>
    <t>ENGL 38200 - The American Novel</t>
  </si>
  <si>
    <t>ENGL 38300 - Modern Drama: Ibsen To The Absurdists</t>
  </si>
  <si>
    <t>ENGL 38600 - History Of The Film To 1938</t>
  </si>
  <si>
    <t>ENGL 38700 - History Of The Film From 1938 To The Present</t>
  </si>
  <si>
    <t>ENGL 39600 - Studies In Literature And Language</t>
  </si>
  <si>
    <t>ENGL 41100 - Studies In Major Authors</t>
  </si>
  <si>
    <t>ENGL 41200 - Studies In Genre</t>
  </si>
  <si>
    <t>ENGL 41300 - Studies In Literature And History</t>
  </si>
  <si>
    <t>ENGL 41400 - Studies In Literature And Culture</t>
  </si>
  <si>
    <t>ENGL 44100 - Chaucer's Canterbury Tales</t>
  </si>
  <si>
    <t>ENGL 44200 - Shakespeare</t>
  </si>
  <si>
    <t>ENGL 44400 - Milton</t>
  </si>
  <si>
    <t>ENGL 46200 - The Bible As Literature: The Old Testament</t>
  </si>
  <si>
    <t>ENGL 46300 - The Bible As Literature: The New Testament</t>
  </si>
  <si>
    <t>ENGL 46800 - Problems In The History Of Criticism</t>
  </si>
  <si>
    <t>ENGL 46900 - Issues In Contemporary Criticism And Theory</t>
  </si>
  <si>
    <t>ENGL 49200 - Literature In The Secondary Schools</t>
  </si>
  <si>
    <t>ENTM 10500 - Insects: Friend and Foe</t>
  </si>
  <si>
    <t>ENTM 21800 - Intro to Forensic Science</t>
  </si>
  <si>
    <t>ENTR 47000 - Women and Leadership</t>
  </si>
  <si>
    <t>EPCS 10100 - Engineering Projects in Community Service</t>
  </si>
  <si>
    <t>EPCS 10200 - Engineering Projects in Community Service</t>
  </si>
  <si>
    <t>EPCS 20100 - Engineering Projects in Community Service</t>
  </si>
  <si>
    <t>EPCS 20200 - Engineering Projects in Community Service</t>
  </si>
  <si>
    <t>FNR 10300 - Intro to Environmental Conservation</t>
  </si>
  <si>
    <t>FNR 23000 - The World's Forests and Society</t>
  </si>
  <si>
    <t xml:space="preserve">FNR 24000 - Wildlife in America </t>
  </si>
  <si>
    <t>FNR 37500- Human Dimensions of Natural Resource Management</t>
  </si>
  <si>
    <t>FNR 46000 - International Natural Resources Summer Program</t>
  </si>
  <si>
    <t>FNR 48800 - Global Environmental Issues</t>
  </si>
  <si>
    <t>FR 23000 - French Literature in Translation</t>
  </si>
  <si>
    <t>FR 33000 - French Cinema</t>
  </si>
  <si>
    <t>GER 23000 - German Literature in Translation</t>
  </si>
  <si>
    <t>GER 28000 - German Special Topics</t>
  </si>
  <si>
    <t xml:space="preserve">GER 33000 - German Cinema </t>
  </si>
  <si>
    <t>HEBR 28000 - Modern Israel: Cinema, Literature, Politics and History</t>
  </si>
  <si>
    <t>HEBR 38500 - The Holocaust in Modern Hebrew Literature</t>
  </si>
  <si>
    <t>HIST 10300 - Intro to the Medieval World</t>
  </si>
  <si>
    <t>HIST 10400 - Intro to the Modern World</t>
  </si>
  <si>
    <t xml:space="preserve">HIST 10500 - Survey of Global World </t>
  </si>
  <si>
    <t>HIST 15100 - American History to 1877</t>
  </si>
  <si>
    <t>HIST 15200 - United States since 1877</t>
  </si>
  <si>
    <t>HIST 21000 - The Making of Modern Africa</t>
  </si>
  <si>
    <t>HIST 24000 - East Asia and Its Historic Transition</t>
  </si>
  <si>
    <t>HIST 24100 - East Asia and the Modern World</t>
  </si>
  <si>
    <t>HIST 24300 - South Asian History and Civilizations</t>
  </si>
  <si>
    <t>HIST 24500 - Middle East History and Culture</t>
  </si>
  <si>
    <t>HIST 24600 - Modern Middle East and North Africa</t>
  </si>
  <si>
    <t>HIST 27100 - Latin American History to 1824</t>
  </si>
  <si>
    <t>HIST 27200 - Latin American History from 1824</t>
  </si>
  <si>
    <t>HIST 29000 - Russia: Yesterday, Today, and Tomorrow</t>
  </si>
  <si>
    <t>HIST 30000 - Eve of Destruction: Global Crisis and World Organization in the 20th Century</t>
  </si>
  <si>
    <t>HIST 30200 - History of Horticulture</t>
  </si>
  <si>
    <t>HIST 32300 - German History</t>
  </si>
  <si>
    <t>HIST 32400 - Modern France</t>
  </si>
  <si>
    <t>HIST 34000 - Modern China</t>
  </si>
  <si>
    <t>HIST 34100 - History of Africa South of the Sahara</t>
  </si>
  <si>
    <t>HIST 34200 - Africa and the West</t>
  </si>
  <si>
    <t>HIST 34300 - Traditional Japan</t>
  </si>
  <si>
    <t>HIST 34400 - History of Modern Japan</t>
  </si>
  <si>
    <t>HIST 34500 - Modern Middle East</t>
  </si>
  <si>
    <t>HIST 35400 - Women in America to 1870</t>
  </si>
  <si>
    <t>HIST 36500 - Women in America</t>
  </si>
  <si>
    <t>HIST 36600 - Hispanic Heritage of the United States</t>
  </si>
  <si>
    <t>HIST 37500 - Womein in America Since 1870</t>
  </si>
  <si>
    <t>HIST 37700 - History and Culture of Native America</t>
  </si>
  <si>
    <t>HIST 39600 - The Afro-American to 1865</t>
  </si>
  <si>
    <t>HIST 39800 - The Afro-American since 1865</t>
  </si>
  <si>
    <t>HIST 40800 - Dictatorship and Democracy: Europoe 1919-1945</t>
  </si>
  <si>
    <t>HIST 43700 - The History of East Central Europe and the Russian Satellite Areas</t>
  </si>
  <si>
    <t>HIST 43900 - Communist China</t>
  </si>
  <si>
    <t>HIST 44100 - Africa in the Twentieth Century</t>
  </si>
  <si>
    <t>HIST 47200 - History of Mexico</t>
  </si>
  <si>
    <t>HIST 59500 - The Holocaust and Genocide</t>
  </si>
  <si>
    <t>HK 22600 - Contemporary Women's Health</t>
  </si>
  <si>
    <t>HONR 19900 - Malaria: First World Science v Third World Disease</t>
  </si>
  <si>
    <t>HONR 19900 - The Role of Animals in Societies of the World</t>
  </si>
  <si>
    <t>HONR 19900 - Science and Pseudoscience</t>
  </si>
  <si>
    <t>HONR 29900 - Afghanistan Development Challenges</t>
  </si>
  <si>
    <t>HONR 29900 - Insects in Literature and Art</t>
  </si>
  <si>
    <t>HORT 30600 - History of Horticulture</t>
  </si>
  <si>
    <t>HORT 40300 - Tropical Horticulture</t>
  </si>
  <si>
    <t>HORT 45000 - The English Landscape: Integrating HIST, HORT and LA</t>
  </si>
  <si>
    <t>HTM 39800 - Cuisine and Culture Abroad</t>
  </si>
  <si>
    <t>IDIS 27100 - Introduction to African American Studies</t>
  </si>
  <si>
    <t>IDIS 27700 - African American Pop Culture</t>
  </si>
  <si>
    <t>IDIS 28000 - Women's Studies:  An Introduction</t>
  </si>
  <si>
    <t>IDIS 33000 - Introduction to Jewish Studies</t>
  </si>
  <si>
    <t>IDIS 37000 - Black Women Rising</t>
  </si>
  <si>
    <t>IDIS 37500 - Black Family</t>
  </si>
  <si>
    <t>IDIS 37600 - African American Male</t>
  </si>
  <si>
    <t xml:space="preserve"> </t>
  </si>
  <si>
    <t>IDIS 38000 - Gender and Multiculturalism</t>
  </si>
  <si>
    <t>IDIS 38100 - Contemporary Japanese Women</t>
  </si>
  <si>
    <t>IDIS 48100 - Women of Color in the United States</t>
  </si>
  <si>
    <t>IT 22600 - Biotechnical Lab I</t>
  </si>
  <si>
    <t>ITAL 23100 - Dante's Divine Comedy</t>
  </si>
  <si>
    <t>ITAL 28100 - The Italian Renaissance and its Impact on Western Civilization</t>
  </si>
  <si>
    <t>ITAL 33000 - Italian Cinema</t>
  </si>
  <si>
    <t>ITAL 33300 - The Spirit of Italian Comedy</t>
  </si>
  <si>
    <t>ITAL 33500 - Italian-American Cinema</t>
  </si>
  <si>
    <t>ITAL 38000 - Italian Culture and Civilization</t>
  </si>
  <si>
    <t>ITAL 39300 - Special Topics in Italian Literature or Cinema</t>
  </si>
  <si>
    <t>ITAL 49300 - Advanced Topics in Italian Literature or Cinema</t>
  </si>
  <si>
    <t>JPNS 23000 - Japanese Literature in Translation</t>
  </si>
  <si>
    <t>JPNS 28000 - Introduction to Modern Japanese Civilization</t>
  </si>
  <si>
    <t>JPNS 33000 - Japanese Cinema</t>
  </si>
  <si>
    <t>JWST 33000 - Introduction to Jewish Studies</t>
  </si>
  <si>
    <t>LA 16600 - History and Theory of Landscape Architecture</t>
  </si>
  <si>
    <t>LA 45000 - The English Landscape: Integrating HIST, HORT and LA</t>
  </si>
  <si>
    <t>LC 23900 - Contemporary Foreign Women Writers in Translation</t>
  </si>
  <si>
    <t>LC 33300 - The Middle Ages on Film</t>
  </si>
  <si>
    <t>MUS 25000 - Music Appreciation</t>
  </si>
  <si>
    <t>MUS 26100 - Fundamentals of Music</t>
  </si>
  <si>
    <t>MUS 36100 - Music Theory I</t>
  </si>
  <si>
    <t>MUS 37800 - Jazz History</t>
  </si>
  <si>
    <t>NRES 29000 - Introduction to Environmental Science</t>
  </si>
  <si>
    <t>OLS 49900 - Women and Work</t>
  </si>
  <si>
    <t>PHIL 11000 - Introduction to Philosophy</t>
  </si>
  <si>
    <t>PHIL 11100 - Ethics</t>
  </si>
  <si>
    <t>PHIL 11400 - Global Moral Issues</t>
  </si>
  <si>
    <t>PHIL 20600 - Philosophy of Religion (prior to June 2011 only)</t>
  </si>
  <si>
    <t>PHIL 22500 - Philosophy of Women</t>
  </si>
  <si>
    <t>PHIL 24200 - Philosophy, Culture and the African American Experience</t>
  </si>
  <si>
    <t>PHIL 27000 - Biomedical Ethics</t>
  </si>
  <si>
    <t>PHIL 28000 - Ethics and Animals</t>
  </si>
  <si>
    <t xml:space="preserve">PHIL 29000 - Environmental Ethics </t>
  </si>
  <si>
    <t>PHIL 33000 - Religions of the East</t>
  </si>
  <si>
    <t>PHIL 33100 - Religions of the West</t>
  </si>
  <si>
    <t>POL 13000 - Introduction to International Relations</t>
  </si>
  <si>
    <t>POL 14100 - Governments of the World</t>
  </si>
  <si>
    <t>POL 22200 - Women, Politics, and Public Policy</t>
  </si>
  <si>
    <t>POL 23100 - Introductions to United States Foreign Policy</t>
  </si>
  <si>
    <t>POL 23200 - Contemporary Crises in International Relations</t>
  </si>
  <si>
    <t>POL 23500 - International Relations Among Rich and Poor Nations</t>
  </si>
  <si>
    <t>POL 23700 - Modern Weapons and International Relations</t>
  </si>
  <si>
    <t>POL 29000 - Russia: Yesterday, Today, and Tomorrow</t>
  </si>
  <si>
    <t>POL 30300 - Comparative Politics</t>
  </si>
  <si>
    <t>POL 30400 - Israel and World Politics</t>
  </si>
  <si>
    <t>POL 32200 - Science and World Politics</t>
  </si>
  <si>
    <t>POL 32600 - Black Political Participation in America</t>
  </si>
  <si>
    <t>POL 32700 - Global Green Politics</t>
  </si>
  <si>
    <t>POL 34200 - Government and Politics in Communist Successor States</t>
  </si>
  <si>
    <t>POL 34400 - Introduction to Politics of the Third World</t>
  </si>
  <si>
    <t>POL 34500 - West European Democracies in the Post-Industrial Era</t>
  </si>
  <si>
    <t>POL 34800 - East Asian Politics</t>
  </si>
  <si>
    <t>POL 36000 - Women and the Law</t>
  </si>
  <si>
    <t>POL 43300 - International Organizations</t>
  </si>
  <si>
    <t>POL 43400 - United States Foreign Policy, Central America and the Caribbean</t>
  </si>
  <si>
    <t>POL 43500 - International Law</t>
  </si>
  <si>
    <t>POL 44200 - Government and the Politics of Russia</t>
  </si>
  <si>
    <t>POL 44400 - Introduction to African Politics</t>
  </si>
  <si>
    <t>POL 44500 - Politics of France and Germany</t>
  </si>
  <si>
    <t>POL 44700 - The British Political System and the Commonwealth of Nations</t>
  </si>
  <si>
    <t>POL 44900 - Japanese Political Economy</t>
  </si>
  <si>
    <t>POL 45600 - African American Political Thought</t>
  </si>
  <si>
    <t>PSY 22500 - Stereotyping and Prejudice</t>
  </si>
  <si>
    <t>PSY 23900 - The Psychology of Women</t>
  </si>
  <si>
    <t>PSY 33500 - Stereotyping and Prejudice</t>
  </si>
  <si>
    <t>PSY 36800 - Children's Development in Cross Cultural Perspective</t>
  </si>
  <si>
    <t>PTGS 33000 - Brazilian, Portuguese, and African Cinema</t>
  </si>
  <si>
    <t>REL 20000 - Introduction to the Study of Religion</t>
  </si>
  <si>
    <t>REL 23000 - Religions of the East</t>
  </si>
  <si>
    <t>REL 23100 - Religions of the West</t>
  </si>
  <si>
    <t>RUSS 28100 - Post Soviet Experience</t>
  </si>
  <si>
    <t>RUSS 28900 - Russia: Yesterday, Today and Tomorrow</t>
  </si>
  <si>
    <t>RUSS 33000 - Russian and East European Cinema</t>
  </si>
  <si>
    <t>SOC 22000 - Social Problems</t>
  </si>
  <si>
    <t>SOC 31000 - Racial and Ethnic Diversity</t>
  </si>
  <si>
    <t>SOC 35600 - Hate and Violence</t>
  </si>
  <si>
    <t>SOC 36700 - Religion in America</t>
  </si>
  <si>
    <t>SOC 45000 - Gender Roles in Modern Society</t>
  </si>
  <si>
    <t>SPAN 23000 - Spanish Literature in Translation</t>
  </si>
  <si>
    <t>SPAN 23100 - Cervantes' Don Quixote</t>
  </si>
  <si>
    <t>SPAN 23500 - Mexican and Latino Culture</t>
  </si>
  <si>
    <t>SPAN 33000 - Spanish and Latin American Cinema</t>
  </si>
  <si>
    <t>STAT 11300 - Statistics and Society</t>
  </si>
  <si>
    <t>TECH 12000 - Technology and the Individual</t>
  </si>
  <si>
    <t>THTR 20100 - Theater Appreciation</t>
  </si>
  <si>
    <t>WOST 28000 - Women's Studies: An Introduction</t>
  </si>
  <si>
    <t>WOST 38000 - Gender and Multiculturalism</t>
  </si>
  <si>
    <t>WOST 38100 - Women of color in the United States</t>
  </si>
  <si>
    <t>WOST 38300 - Women and Work</t>
  </si>
  <si>
    <t>WOST 48000 - Feminist Theory</t>
  </si>
  <si>
    <t>WOST 48200 - Interdisciplinary Studies in Sexuality: Scholarship on Lesbian and Gay Issues</t>
  </si>
  <si>
    <t>YDAE 38500 - Urban Service Learning</t>
  </si>
  <si>
    <t>YDAE 44000 - Methods of Teaching Agricultural Education</t>
  </si>
  <si>
    <t>AD | Any Art and Design (AD) course may be used as a humanities selection</t>
  </si>
  <si>
    <t>AAS | Any African American Studies (AAS) course may be a humanities selection</t>
  </si>
  <si>
    <t>AMST | Any American Studies (AMST) course may be a humanities selection</t>
  </si>
  <si>
    <t>ANTH | Anthropology (ANTH) course may be a social science selection</t>
  </si>
  <si>
    <t>ASL | Any American Sign Language (ASL) course may be a communications selection</t>
  </si>
  <si>
    <t>ASAM | Any Asian American Studies (ASAM) course may be a humanities selection</t>
  </si>
  <si>
    <t>ARAB | Any Arabic (ARAB) course (language or culture and literature) may be a humanities selection.  Any ARAB course may be an international understanding selection. A minimum of 6 credits of a foreign language must be earned to be included in a plan of study.  Cultures courses, taught in English, can be used with 3 credits minimum and are listed.</t>
  </si>
  <si>
    <t>BAND | Up to 3 credits of BAND may be used to fulfill humanities requirements</t>
  </si>
  <si>
    <t>CHNS | Any Chinese (CHNS) course (language or culture and literature) may be a humanities selection.  Any CHNS course may be an international understanding selection. A minimum of 6 credits of a foreign language must be earned to be included in a plan of study.  Cultures courses, taught in English, can be used with 3 credits minimum and are listed.</t>
  </si>
  <si>
    <t>CMPL | Any Comparative Literature (CMPL) course may be a humanities selection</t>
  </si>
  <si>
    <t>CLCS | Any Classics (CLCS) course may be a humanities selection.  Any CLCS course may be an international understanding selection.</t>
  </si>
  <si>
    <t>COM | Any Communications (COM) course above 200000 may be a communication selection</t>
  </si>
  <si>
    <t>DANC | Any Dance (DANC) course may be a humanities selection</t>
  </si>
  <si>
    <t>ECON | Any Economics (ECON) course may be a social science selection</t>
  </si>
  <si>
    <t>ENGL | Any English (ENGL) course above 200000 may be a communication selection</t>
  </si>
  <si>
    <t>FVS | Any Film and Video Studies (FVS) course may be a humanities selection</t>
  </si>
  <si>
    <t>FLL | Any Foreign language or literature (FLL) course may be a humanities selection and is also international understanding.  However, a minimum of 6 credits of a foreign language must be earned to be included in a plan of study</t>
  </si>
  <si>
    <t>FR | Any French (FR) course (language or culture and literature) may be a humanities selection.  Any FR course may be an international understanding selection. A minimum of 6 credits of a foreign language must be earned to be included in a plan of study. Cultures courses, taught in English, can be used with 3 credits minimum and are listed.</t>
  </si>
  <si>
    <t>GER | Any German (GER) course (language or culture and literature) may be a humanities selection.  Any GER course may be an international understanding selection. A minimum of 6 credits of a foreign language must be earned to be included in a plan of study.  Cultures courses, taught in English, can be used with 3 credits minimum and are listed.</t>
  </si>
  <si>
    <t>GREK | Any Greek (GREK) course (language or culture and literature) may be a humanities selection.  Any GREK course may be an international understanding selection. A minimum of 6 credits of a foreign language must be earned to be included in a plan of study.</t>
  </si>
  <si>
    <t>HEBR | Any Hebrew (HEBR) course (language or culture and literature) may be a humanities selection.  Any HEBR course may be an international understanding selection. A minimum of 6 credits of a foreign language must be earned to be included in a plan of study.  Cultures courses, taught in English, can be used with 3 credits minimum and are listed.</t>
  </si>
  <si>
    <t>HIST | Any History (HIST) course may be a humanities selection</t>
  </si>
  <si>
    <t>IDIS | Any Interdisciplinary Studies (IDIS) course may be a humanities selection</t>
  </si>
  <si>
    <t>ITAL | Any Italian (ITAL) course (language or culture and literature) may be a humanities selection.  Any ITAL course may be an international understanding selection. A minimum of 6 credits of a foreign language must be earned to be included in a plan of study.  Cultures courses, taught in English, can be used with 3 credits minimum and are listed.</t>
  </si>
  <si>
    <t>JPNS | Any Japanese (JPNS) course (language or culture and literature) may be a humanities selection.  Any JPNS course may be an international understanding selection. A minimum of 6 credits of a foreign language must be earned to be included in a plan of study.  Cultures courses, taught in English, can be used with 3 credits minimum and are listed.</t>
  </si>
  <si>
    <t>JWST | Any Jewish Studies (JWST) course may be a humanities selection</t>
  </si>
  <si>
    <t>LALS | Any Latin America and Latino Studies (LALS) course may be a humanities selection</t>
  </si>
  <si>
    <t>LATN | Any Latin (LATN) course (language or culture and literature) may be a humanities selection.  Any LATN course may be an international understanding selection. A minimum of 6 credits of a foreign language must be earned to be included in a plan of study.</t>
  </si>
  <si>
    <t>LING | Any Linguistics (LING) course may be a humanities selection</t>
  </si>
  <si>
    <t>MARS | Any Medieval and Renaissance Studies (MARS) course may be a humanities selection</t>
  </si>
  <si>
    <t>MUS | Any Music (MUS) course may be a humanities selection</t>
  </si>
  <si>
    <t>PHIL | Any Philosophy (PHIL) course may be a humanities selection</t>
  </si>
  <si>
    <t>POL | Any Political Science (POL) course may be a social science selection</t>
  </si>
  <si>
    <t>PSY | Any Psychological Sciences (PSY) course may be a social science selection</t>
  </si>
  <si>
    <t>PTGS | Any Portuguese (PTGS) course (language or culture and literature) may be a humanities selection.  Any PTGS course may be an international understanding selection. A minimum of 6 credits of a foreign language must be earned to be included in a plan of study.  Cultures courses, taught in English, can be used with 3 credits minimum and are listed.</t>
  </si>
  <si>
    <t>REL | Any Religious Studies course may be a humanities selection</t>
  </si>
  <si>
    <t>RUSS | Any Russian (RUSS) course (language or culture and literature) may be a humanities selection.  Any RUSS course may be an international understanding selection. A minimum of 6 credits of a foreign language must be earned to be included in a plan of study.  Cultures courses, taught in English, can be used with 3 credits minimum and are listed.</t>
  </si>
  <si>
    <t>SOC | Any Sociology (SOC) course may be a social science selection</t>
  </si>
  <si>
    <t>SPAN | Any Spanish (SPAN) course (language or culture and literature) may be a humanities selection.  Any SPAN course may be an international understanding selection. A minimum of 6 credits of a foreign language must be earned to be included in a plan of study.  Cultures courses, taught in English, can be used with 3 credits minimum and are listed.</t>
  </si>
  <si>
    <t>THTR | Any Theatre (THTR) course may be a humanities selection</t>
  </si>
  <si>
    <t>WOST | Any Women's Studies (WOST) course may be a humanities selection</t>
  </si>
  <si>
    <t>HIST 38001 - History of U.S. Agriculture</t>
  </si>
  <si>
    <t>CLCS 23100 - Survey of Latin Literature</t>
  </si>
  <si>
    <t>CLCS 23200 - Classical Roots of English Words</t>
  </si>
  <si>
    <t>CLCS 23300 - Comparative Mythology</t>
  </si>
  <si>
    <t>CLCS 23500 - Classical Mythology</t>
  </si>
  <si>
    <t>ME 29000 - Global Engineering Professional Seminar</t>
  </si>
  <si>
    <t>CLCS 23000 - Survey of Greet Literature in Translation</t>
  </si>
  <si>
    <t>GREK 10100 - Ancient Greek Level 1</t>
  </si>
  <si>
    <t>HIST 37100 - Society, Culture, and Rock and Roll</t>
  </si>
  <si>
    <t>LATN 10100 - Latin Level 1</t>
  </si>
  <si>
    <t>POL 22300 - Introduction to Environmental Policy</t>
  </si>
  <si>
    <t>SLHS 11500 - Introduction to Communicative Disorders</t>
  </si>
  <si>
    <t>HSCI 20200 - Essentials of Environmental, Occupational, &amp; Radiological Health Sciences.</t>
  </si>
  <si>
    <t>ANTH 34000 - Global Perspectives on Health</t>
  </si>
  <si>
    <t>WGSS | Any Women's, Gender, and Sexuality Studies (WGSS) course may be a humanities selection</t>
  </si>
  <si>
    <t>WGSS 28000 - Women's Studies: An Introduction</t>
  </si>
  <si>
    <t>WGSS 38000 - Gender and Multiculturalism</t>
  </si>
  <si>
    <t>WGSS 38100 - Women of color in the United States</t>
  </si>
  <si>
    <t>WGSS 38300 - Women and Work</t>
  </si>
  <si>
    <t>WGSS 48000 - Feminist Theory</t>
  </si>
  <si>
    <t>WGSS 48200 - Interdisciplinary Studies in Sexuality: Scholarship on Lesbian and Gay Issues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</si>
</sst>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Verdana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sz val="11"/>
      <color indexed="10"/>
      <name val="Arial"/>
      <family val="2"/>
    </font>
    <font>
      <u/>
      <sz val="10"/>
      <color theme="11"/>
      <name val="Verdana"/>
      <family val="2"/>
    </font>
    <font>
      <sz val="11"/>
      <name val="Arial"/>
      <family val="2"/>
    </font>
    <font>
      <u/>
      <sz val="10"/>
      <color rgb="FFFF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indexed="57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1" fillId="3" borderId="0" xfId="0" applyFont="1" applyFill="1" applyAlignment="1">
      <alignment wrapText="1"/>
    </xf>
    <xf numFmtId="0" fontId="1" fillId="0" borderId="0" xfId="0" applyFont="1" applyFill="1" applyAlignment="1">
      <alignment wrapText="1"/>
    </xf>
    <xf numFmtId="0" fontId="3" fillId="2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1" fillId="0" borderId="0" xfId="0" applyFont="1" applyFill="1"/>
    <xf numFmtId="0" fontId="5" fillId="0" borderId="0" xfId="1" applyAlignment="1">
      <alignment horizontal="center"/>
    </xf>
    <xf numFmtId="0" fontId="5" fillId="0" borderId="0" xfId="1" quotePrefix="1" applyAlignment="1">
      <alignment horizontal="center"/>
    </xf>
    <xf numFmtId="16" fontId="5" fillId="0" borderId="0" xfId="1" quotePrefix="1" applyNumberForma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6" fillId="0" borderId="0" xfId="0" applyFont="1" applyFill="1" applyAlignment="1">
      <alignment wrapText="1"/>
    </xf>
    <xf numFmtId="0" fontId="6" fillId="0" borderId="0" xfId="0" applyFont="1"/>
    <xf numFmtId="0" fontId="7" fillId="0" borderId="0" xfId="1" applyFont="1" applyAlignment="1">
      <alignment horizontal="center"/>
    </xf>
    <xf numFmtId="0" fontId="3" fillId="3" borderId="0" xfId="0" applyFont="1" applyFill="1"/>
    <xf numFmtId="0" fontId="3" fillId="3" borderId="0" xfId="0" applyFont="1" applyFill="1" applyAlignment="1">
      <alignment horizontal="center"/>
    </xf>
  </cellXfs>
  <cellStyles count="2">
    <cellStyle name="Followed Hyperlink" xfId="1" builtinId="9"/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solid">
          <fgColor indexed="64"/>
          <bgColor indexed="57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327026</xdr:colOff>
      <xdr:row>0</xdr:row>
      <xdr:rowOff>52726</xdr:rowOff>
    </xdr:from>
    <xdr:to>
      <xdr:col>9</xdr:col>
      <xdr:colOff>466725</xdr:colOff>
      <xdr:row>0</xdr:row>
      <xdr:rowOff>1666875</xdr:rowOff>
    </xdr:to>
    <xdr:sp macro="" textlink="">
      <xdr:nvSpPr>
        <xdr:cNvPr id="2" name="TextBox 1"/>
        <xdr:cNvSpPr txBox="1"/>
      </xdr:nvSpPr>
      <xdr:spPr>
        <a:xfrm>
          <a:off x="327026" y="52726"/>
          <a:ext cx="11988799" cy="1614149"/>
        </a:xfrm>
        <a:prstGeom prst="rect">
          <a:avLst/>
        </a:prstGeom>
        <a:solidFill>
          <a:schemeClr val="lt1"/>
        </a:solidFill>
        <a:ln w="19050" cmpd="sng">
          <a:solidFill>
            <a:schemeClr val="lt1">
              <a:shade val="50000"/>
            </a:schemeClr>
          </a:solidFill>
          <a:prstDash val="sys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en-US" sz="1600" b="1"/>
            <a:t>College of Agriculture a</a:t>
          </a:r>
          <a:r>
            <a:rPr lang="en-US" sz="1600" b="1" baseline="0"/>
            <a:t>pproved courses meeting requirements for at least one of the following categories:</a:t>
          </a:r>
        </a:p>
        <a:p>
          <a:pPr algn="ctr"/>
          <a:r>
            <a:rPr lang="en-US" sz="1400" b="1" baseline="0"/>
            <a:t>Additional Written or Oral Communication, Humanities, Social Sciences, Science Technology &amp; Society, International Understanding, Multicultural Awareness</a:t>
          </a:r>
        </a:p>
        <a:p>
          <a:pPr algn="ctr"/>
          <a:r>
            <a:rPr lang="en-US" sz="1400" b="0" i="1" baseline="0"/>
            <a:t>A course can be used to meet one requirement from columns C-G (left of the green bar) and one requirement from columns I-J (right of the green bar).</a:t>
          </a:r>
        </a:p>
        <a:p>
          <a:pPr algn="ctr"/>
          <a:r>
            <a:rPr lang="en-US" sz="1400" b="0" i="1" baseline="0"/>
            <a:t>A course cannot be </a:t>
          </a:r>
          <a:r>
            <a:rPr lang="en-US" sz="14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used to meet more than one requirement from columns C-G  nor more than one requirement from columns I-J.</a:t>
          </a:r>
        </a:p>
        <a:p>
          <a:pPr algn="ctr"/>
          <a:r>
            <a:rPr lang="en-US" sz="1400" b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Courses in red are not currently offered.</a:t>
          </a:r>
        </a:p>
        <a:p>
          <a:pPr algn="ctr"/>
          <a:r>
            <a:rPr lang="en-US" sz="1400" b="1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Click column A contents to view the catalog information for the course or category via hyperlink.</a:t>
          </a:r>
          <a:endParaRPr lang="en-US" sz="1400">
            <a:solidFill>
              <a:srgbClr val="0070C0"/>
            </a:solidFill>
          </a:endParaRPr>
        </a:p>
        <a:p>
          <a:pPr algn="ctr"/>
          <a:r>
            <a:rPr lang="en-US" sz="1100" i="1"/>
            <a:t>Updated 7/8/2013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3" name="Table3" displayName="Table3" ref="A2:J382" totalsRowShown="0" headerRowDxfId="11" dataDxfId="10">
  <autoFilter ref="A2:J382"/>
  <tableColumns count="10">
    <tableColumn id="1" name="CREDITS" dataDxfId="9" dataCellStyle="Followed Hyperlink"/>
    <tableColumn id="2" name="COURSE" dataDxfId="8"/>
    <tableColumn id="3" name="COM" dataDxfId="7"/>
    <tableColumn id="4" name="HUM" dataDxfId="6"/>
    <tableColumn id="5" name="UCC HUM" dataDxfId="5"/>
    <tableColumn id="6" name="SOC" dataDxfId="4"/>
    <tableColumn id="7" name="UCC STS" dataDxfId="3"/>
    <tableColumn id="8" name="(and)" dataDxfId="2"/>
    <tableColumn id="9" name="INTL" dataDxfId="1"/>
    <tableColumn id="10" name="MULTI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83"/>
  <sheetViews>
    <sheetView tabSelected="1" topLeftCell="A172" zoomScaleNormal="100" workbookViewId="0">
      <selection activeCell="I195" sqref="I195"/>
    </sheetView>
  </sheetViews>
  <sheetFormatPr defaultColWidth="11" defaultRowHeight="14.25" x14ac:dyDescent="0.2"/>
  <cols>
    <col min="1" max="1" width="10.5" style="1" customWidth="1"/>
    <col min="2" max="2" width="77.375" style="1" customWidth="1"/>
    <col min="3" max="4" width="9.875" style="1" customWidth="1"/>
    <col min="5" max="5" width="10.875" style="1" customWidth="1"/>
    <col min="6" max="6" width="9.875" style="1" customWidth="1"/>
    <col min="7" max="7" width="10.5" style="1" customWidth="1"/>
    <col min="8" max="8" width="6.75" style="1" customWidth="1"/>
    <col min="9" max="10" width="9.875" style="1" customWidth="1"/>
    <col min="11" max="16384" width="11" style="1"/>
  </cols>
  <sheetData>
    <row r="1" spans="1:10" ht="134.25" customHeight="1" x14ac:dyDescent="0.2"/>
    <row r="2" spans="1:10" ht="15" x14ac:dyDescent="0.25">
      <c r="A2" s="2" t="s">
        <v>0</v>
      </c>
      <c r="B2" s="3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4" t="s">
        <v>7</v>
      </c>
      <c r="I2" s="2" t="s">
        <v>8</v>
      </c>
      <c r="J2" s="2" t="s">
        <v>9</v>
      </c>
    </row>
    <row r="3" spans="1:10" ht="15" x14ac:dyDescent="0.25">
      <c r="A3" s="19" t="str">
        <f>HYPERLINK(CONCATENATE("https://selfservice.mypurdue.purdue.edu/prod/bzwsrch.p_search_catalog?term=CURRENT&amp;subject=", LEFT(B3,SEARCH(" ",B3,1)-1)), LEFT(B3,SEARCH(" ",B3,1)-1) )</f>
        <v>AAS</v>
      </c>
      <c r="B3" s="5" t="s">
        <v>332</v>
      </c>
      <c r="C3" s="2"/>
      <c r="D3" s="6" t="s">
        <v>10</v>
      </c>
      <c r="E3" s="2"/>
      <c r="F3" s="2"/>
      <c r="G3" s="2"/>
      <c r="H3" s="4"/>
      <c r="I3" s="2"/>
      <c r="J3" s="2"/>
    </row>
    <row r="4" spans="1:10" ht="15" x14ac:dyDescent="0.25">
      <c r="A4" s="19">
        <f>HYPERLINK( CONCATENATE("https://selfservice.mypurdue.purdue.edu/prod/bzwsrch.p_catalog_detail?subject=",LEFT(B4, SEARCH(" ",B4,1)-1),"&amp;cnbr=",MID(B4, 1+SEARCH(" ",B4,SEARCH(" ",B4,1)),5)), 3 )</f>
        <v>3</v>
      </c>
      <c r="B4" s="1" t="s">
        <v>11</v>
      </c>
      <c r="D4" s="8" t="s">
        <v>10</v>
      </c>
      <c r="E4" s="7" t="s">
        <v>10</v>
      </c>
      <c r="G4" s="2"/>
      <c r="H4" s="4"/>
      <c r="I4" s="2"/>
      <c r="J4" s="7" t="s">
        <v>10</v>
      </c>
    </row>
    <row r="5" spans="1:10" ht="15" x14ac:dyDescent="0.25">
      <c r="A5" s="19">
        <f>HYPERLINK( CONCATENATE("https://selfservice.mypurdue.purdue.edu/prod/bzwsrch.p_catalog_detail?subject=",LEFT(B5, SEARCH(" ",B5,1)-1),"&amp;cnbr=",MID(B5, 1+SEARCH(" ",B5,SEARCH(" ",B5,1)),5)), 3 )</f>
        <v>3</v>
      </c>
      <c r="B5" s="1" t="s">
        <v>12</v>
      </c>
      <c r="D5" s="8" t="s">
        <v>10</v>
      </c>
      <c r="G5" s="2"/>
      <c r="H5" s="4"/>
      <c r="I5" s="2"/>
      <c r="J5" s="7" t="s">
        <v>10</v>
      </c>
    </row>
    <row r="6" spans="1:10" x14ac:dyDescent="0.2">
      <c r="A6" s="19">
        <f t="shared" ref="A6:A18" si="0">HYPERLINK( CONCATENATE("https://selfservice.mypurdue.purdue.edu/prod/bzwsrch.p_catalog_detail?subject=",LEFT(B6, SEARCH(" ",B6,1)-1),"&amp;cnbr=",MID(B6, 1+SEARCH(" ",B6,SEARCH(" ",B6,1)),5)), 3 )</f>
        <v>3</v>
      </c>
      <c r="B6" s="1" t="s">
        <v>13</v>
      </c>
      <c r="C6" s="7"/>
      <c r="D6" s="8" t="s">
        <v>10</v>
      </c>
      <c r="E6" s="8"/>
      <c r="F6" s="7"/>
      <c r="G6" s="7"/>
      <c r="H6" s="9"/>
      <c r="I6" s="7"/>
      <c r="J6" s="7" t="s">
        <v>10</v>
      </c>
    </row>
    <row r="7" spans="1:10" x14ac:dyDescent="0.2">
      <c r="A7" s="19">
        <f t="shared" si="0"/>
        <v>3</v>
      </c>
      <c r="B7" s="1" t="s">
        <v>14</v>
      </c>
      <c r="C7" s="7"/>
      <c r="D7" s="8" t="s">
        <v>10</v>
      </c>
      <c r="E7" s="8"/>
      <c r="F7" s="7"/>
      <c r="G7" s="7"/>
      <c r="H7" s="9"/>
      <c r="I7" s="7"/>
      <c r="J7" s="7" t="s">
        <v>10</v>
      </c>
    </row>
    <row r="8" spans="1:10" x14ac:dyDescent="0.2">
      <c r="A8" s="19">
        <f t="shared" si="0"/>
        <v>3</v>
      </c>
      <c r="B8" s="1" t="s">
        <v>15</v>
      </c>
      <c r="D8" s="7" t="s">
        <v>10</v>
      </c>
      <c r="H8" s="9"/>
      <c r="J8" s="7" t="s">
        <v>10</v>
      </c>
    </row>
    <row r="9" spans="1:10" x14ac:dyDescent="0.2">
      <c r="A9" s="19">
        <f t="shared" si="0"/>
        <v>3</v>
      </c>
      <c r="B9" s="1" t="s">
        <v>16</v>
      </c>
      <c r="C9" s="7"/>
      <c r="D9" s="8" t="s">
        <v>10</v>
      </c>
      <c r="E9" s="8"/>
      <c r="F9" s="7"/>
      <c r="G9" s="7"/>
      <c r="H9" s="9"/>
      <c r="I9" s="7"/>
      <c r="J9" s="7" t="s">
        <v>10</v>
      </c>
    </row>
    <row r="10" spans="1:10" x14ac:dyDescent="0.2">
      <c r="A10" s="19">
        <f t="shared" si="0"/>
        <v>3</v>
      </c>
      <c r="B10" s="1" t="s">
        <v>17</v>
      </c>
      <c r="C10" s="7"/>
      <c r="D10" s="8" t="s">
        <v>10</v>
      </c>
      <c r="E10" s="8"/>
      <c r="F10" s="7"/>
      <c r="G10" s="7"/>
      <c r="H10" s="9"/>
      <c r="I10" s="7"/>
      <c r="J10" s="7" t="s">
        <v>10</v>
      </c>
    </row>
    <row r="11" spans="1:10" x14ac:dyDescent="0.2">
      <c r="A11" s="19">
        <f t="shared" si="0"/>
        <v>3</v>
      </c>
      <c r="B11" s="1" t="s">
        <v>18</v>
      </c>
      <c r="D11" s="7" t="s">
        <v>10</v>
      </c>
      <c r="G11" s="7"/>
      <c r="H11" s="9"/>
      <c r="I11" s="7"/>
      <c r="J11" s="7" t="s">
        <v>10</v>
      </c>
    </row>
    <row r="12" spans="1:10" x14ac:dyDescent="0.2">
      <c r="A12" s="19" t="str">
        <f>HYPERLINK(CONCATENATE("https://selfservice.mypurdue.purdue.edu/prod/bzwsrch.p_search_catalog?term=CURRENT&amp;subject=", LEFT(B12,SEARCH(" ",B12,1)-1)), LEFT(B12,SEARCH(" ",B12,1)-1) )</f>
        <v>AD</v>
      </c>
      <c r="B12" s="5" t="s">
        <v>331</v>
      </c>
      <c r="C12" s="7"/>
      <c r="D12" s="6" t="s">
        <v>10</v>
      </c>
      <c r="E12" s="7"/>
      <c r="F12" s="7"/>
      <c r="G12" s="7"/>
      <c r="H12" s="9"/>
      <c r="I12" s="7"/>
      <c r="J12" s="7"/>
    </row>
    <row r="13" spans="1:10" x14ac:dyDescent="0.2">
      <c r="A13" s="19">
        <f t="shared" si="0"/>
        <v>3</v>
      </c>
      <c r="B13" s="1" t="s">
        <v>19</v>
      </c>
      <c r="D13" s="7" t="s">
        <v>10</v>
      </c>
      <c r="E13" s="7" t="s">
        <v>10</v>
      </c>
      <c r="H13" s="9"/>
    </row>
    <row r="14" spans="1:10" x14ac:dyDescent="0.2">
      <c r="A14" s="19">
        <f t="shared" si="0"/>
        <v>3</v>
      </c>
      <c r="B14" s="1" t="s">
        <v>20</v>
      </c>
      <c r="D14" s="7" t="s">
        <v>10</v>
      </c>
      <c r="E14" s="7" t="s">
        <v>10</v>
      </c>
      <c r="H14" s="9"/>
    </row>
    <row r="15" spans="1:10" x14ac:dyDescent="0.2">
      <c r="A15" s="19">
        <f t="shared" si="0"/>
        <v>3</v>
      </c>
      <c r="B15" s="1" t="s">
        <v>21</v>
      </c>
      <c r="D15" s="7" t="s">
        <v>10</v>
      </c>
      <c r="E15" s="7" t="s">
        <v>10</v>
      </c>
      <c r="H15" s="9"/>
    </row>
    <row r="16" spans="1:10" x14ac:dyDescent="0.2">
      <c r="A16" s="19">
        <f t="shared" si="0"/>
        <v>3</v>
      </c>
      <c r="B16" s="1" t="s">
        <v>22</v>
      </c>
      <c r="D16" s="7" t="s">
        <v>10</v>
      </c>
      <c r="E16" s="7" t="s">
        <v>10</v>
      </c>
      <c r="H16" s="9"/>
    </row>
    <row r="17" spans="1:10" x14ac:dyDescent="0.2">
      <c r="A17" s="19">
        <f t="shared" si="0"/>
        <v>3</v>
      </c>
      <c r="B17" s="1" t="s">
        <v>23</v>
      </c>
      <c r="D17" s="7" t="s">
        <v>10</v>
      </c>
      <c r="E17" s="7" t="s">
        <v>10</v>
      </c>
      <c r="H17" s="9"/>
    </row>
    <row r="18" spans="1:10" x14ac:dyDescent="0.2">
      <c r="A18" s="19">
        <f t="shared" si="0"/>
        <v>3</v>
      </c>
      <c r="B18" s="1" t="s">
        <v>24</v>
      </c>
      <c r="D18" s="7" t="s">
        <v>10</v>
      </c>
      <c r="E18" s="7" t="s">
        <v>10</v>
      </c>
      <c r="H18" s="9"/>
    </row>
    <row r="19" spans="1:10" x14ac:dyDescent="0.2">
      <c r="A19" s="19">
        <f>HYPERLINK( CONCATENATE("https://selfservice.mypurdue.purdue.edu/prod/bzwsrch.p_catalog_detail?subject=",LEFT(B19, SEARCH(" ",B19,1)-1),"&amp;cnbr=",MID(B19, 1+SEARCH(" ",B19,SEARCH(" ",B19,1)),5)), 3 )</f>
        <v>3</v>
      </c>
      <c r="B19" s="1" t="s">
        <v>25</v>
      </c>
      <c r="D19" s="7" t="s">
        <v>10</v>
      </c>
      <c r="E19" s="7" t="s">
        <v>10</v>
      </c>
      <c r="H19" s="9"/>
    </row>
    <row r="20" spans="1:10" x14ac:dyDescent="0.2">
      <c r="A20" s="19">
        <f t="shared" ref="A20:A35" si="1">HYPERLINK( CONCATENATE("https://selfservice.mypurdue.purdue.edu/prod/bzwsrch.p_catalog_detail?subject=",LEFT(B20, SEARCH(" ",B20,1)-1),"&amp;cnbr=",MID(B20, 1+SEARCH(" ",B20,SEARCH(" ",B20,1)),5)), 3 )</f>
        <v>3</v>
      </c>
      <c r="B20" s="1" t="s">
        <v>26</v>
      </c>
      <c r="D20" s="7" t="s">
        <v>10</v>
      </c>
      <c r="E20" s="7" t="s">
        <v>10</v>
      </c>
      <c r="H20" s="9"/>
    </row>
    <row r="21" spans="1:10" x14ac:dyDescent="0.2">
      <c r="A21" s="19">
        <f>HYPERLINK( CONCATENATE("https://selfservice.mypurdue.purdue.edu/prod/bzwsrch.p_catalog_detail?subject=",LEFT(B21, SEARCH(" ",B21,1)-1),"&amp;cnbr=",MID(B21, 1+SEARCH(" ",B21,SEARCH(" ",B21,1)),5)), 3 )</f>
        <v>3</v>
      </c>
      <c r="B21" s="1" t="s">
        <v>27</v>
      </c>
      <c r="D21" s="7" t="s">
        <v>10</v>
      </c>
      <c r="E21" s="7" t="s">
        <v>10</v>
      </c>
      <c r="H21" s="9"/>
    </row>
    <row r="22" spans="1:10" x14ac:dyDescent="0.2">
      <c r="A22" s="19">
        <f t="shared" si="1"/>
        <v>3</v>
      </c>
      <c r="B22" s="1" t="s">
        <v>28</v>
      </c>
      <c r="D22" s="7" t="s">
        <v>10</v>
      </c>
      <c r="E22" s="7" t="s">
        <v>10</v>
      </c>
      <c r="H22" s="9"/>
    </row>
    <row r="23" spans="1:10" x14ac:dyDescent="0.2">
      <c r="A23" s="19">
        <f t="shared" si="1"/>
        <v>3</v>
      </c>
      <c r="B23" s="1" t="s">
        <v>29</v>
      </c>
      <c r="D23" s="7" t="s">
        <v>10</v>
      </c>
      <c r="E23" s="7" t="s">
        <v>10</v>
      </c>
      <c r="H23" s="9"/>
    </row>
    <row r="24" spans="1:10" x14ac:dyDescent="0.2">
      <c r="A24" s="19">
        <f t="shared" si="1"/>
        <v>3</v>
      </c>
      <c r="B24" s="1" t="s">
        <v>30</v>
      </c>
      <c r="C24" s="7"/>
      <c r="D24" s="7"/>
      <c r="E24" s="7"/>
      <c r="F24" s="7" t="s">
        <v>10</v>
      </c>
      <c r="G24" s="7"/>
      <c r="H24" s="9"/>
      <c r="I24" s="7"/>
      <c r="J24" s="7"/>
    </row>
    <row r="25" spans="1:10" x14ac:dyDescent="0.2">
      <c r="A25" s="19">
        <f t="shared" si="1"/>
        <v>3</v>
      </c>
      <c r="B25" s="1" t="s">
        <v>31</v>
      </c>
      <c r="C25" s="7"/>
      <c r="D25" s="7"/>
      <c r="E25" s="7"/>
      <c r="F25" s="7" t="s">
        <v>10</v>
      </c>
      <c r="G25" s="7"/>
      <c r="H25" s="9"/>
      <c r="I25" s="7"/>
      <c r="J25" s="7"/>
    </row>
    <row r="26" spans="1:10" x14ac:dyDescent="0.2">
      <c r="A26" s="19">
        <f t="shared" si="1"/>
        <v>3</v>
      </c>
      <c r="B26" s="1" t="s">
        <v>32</v>
      </c>
      <c r="C26" s="7"/>
      <c r="D26" s="7"/>
      <c r="E26" s="7"/>
      <c r="F26" s="7" t="s">
        <v>10</v>
      </c>
      <c r="G26" s="7"/>
      <c r="H26" s="9"/>
      <c r="I26" s="7"/>
      <c r="J26" s="7"/>
    </row>
    <row r="27" spans="1:10" x14ac:dyDescent="0.2">
      <c r="A27" s="19">
        <f t="shared" si="1"/>
        <v>3</v>
      </c>
      <c r="B27" s="1" t="s">
        <v>33</v>
      </c>
      <c r="C27" s="7"/>
      <c r="D27" s="7"/>
      <c r="E27" s="7"/>
      <c r="F27" s="7" t="s">
        <v>10</v>
      </c>
      <c r="G27" s="7"/>
      <c r="H27" s="9"/>
      <c r="I27" s="7" t="s">
        <v>10</v>
      </c>
      <c r="J27" s="7"/>
    </row>
    <row r="28" spans="1:10" x14ac:dyDescent="0.2">
      <c r="A28" s="19">
        <f t="shared" si="1"/>
        <v>3</v>
      </c>
      <c r="B28" s="1" t="s">
        <v>34</v>
      </c>
      <c r="C28" s="7"/>
      <c r="D28" s="7"/>
      <c r="E28" s="7"/>
      <c r="F28" s="7" t="s">
        <v>10</v>
      </c>
      <c r="G28" s="7"/>
      <c r="H28" s="9"/>
      <c r="I28" s="7"/>
      <c r="J28" s="7"/>
    </row>
    <row r="29" spans="1:10" x14ac:dyDescent="0.2">
      <c r="A29" s="19">
        <f t="shared" si="1"/>
        <v>3</v>
      </c>
      <c r="B29" s="1" t="s">
        <v>35</v>
      </c>
      <c r="C29" s="7"/>
      <c r="D29" s="7"/>
      <c r="E29" s="7"/>
      <c r="F29" s="7" t="s">
        <v>10</v>
      </c>
      <c r="G29" s="7"/>
      <c r="H29" s="9"/>
      <c r="I29" s="7" t="s">
        <v>10</v>
      </c>
      <c r="J29" s="7"/>
    </row>
    <row r="30" spans="1:10" x14ac:dyDescent="0.2">
      <c r="A30" s="19">
        <f t="shared" si="1"/>
        <v>3</v>
      </c>
      <c r="B30" s="1" t="s">
        <v>36</v>
      </c>
      <c r="C30" s="7"/>
      <c r="D30" s="7"/>
      <c r="E30" s="7"/>
      <c r="F30" s="7" t="s">
        <v>10</v>
      </c>
      <c r="G30" s="7"/>
      <c r="H30" s="9"/>
      <c r="I30" s="7"/>
      <c r="J30" s="7"/>
    </row>
    <row r="31" spans="1:10" x14ac:dyDescent="0.2">
      <c r="A31" s="19">
        <f t="shared" si="1"/>
        <v>3</v>
      </c>
      <c r="B31" s="1" t="s">
        <v>37</v>
      </c>
      <c r="C31" s="7"/>
      <c r="D31" s="7"/>
      <c r="E31" s="7"/>
      <c r="F31" s="7" t="s">
        <v>10</v>
      </c>
      <c r="G31" s="7"/>
      <c r="H31" s="9"/>
      <c r="I31" s="7"/>
      <c r="J31" s="7"/>
    </row>
    <row r="32" spans="1:10" x14ac:dyDescent="0.2">
      <c r="A32" s="19">
        <f t="shared" si="1"/>
        <v>3</v>
      </c>
      <c r="B32" s="1" t="s">
        <v>38</v>
      </c>
      <c r="C32" s="7"/>
      <c r="D32" s="7"/>
      <c r="E32" s="7"/>
      <c r="F32" s="7" t="s">
        <v>10</v>
      </c>
      <c r="G32" s="7"/>
      <c r="H32" s="9"/>
      <c r="I32" s="7"/>
      <c r="J32" s="7"/>
    </row>
    <row r="33" spans="1:10" x14ac:dyDescent="0.2">
      <c r="A33" s="19">
        <f t="shared" si="1"/>
        <v>3</v>
      </c>
      <c r="B33" s="1" t="s">
        <v>39</v>
      </c>
      <c r="C33" s="7"/>
      <c r="D33" s="7"/>
      <c r="E33" s="7"/>
      <c r="F33" s="7" t="s">
        <v>10</v>
      </c>
      <c r="G33" s="7"/>
      <c r="H33" s="9"/>
      <c r="I33" s="7" t="s">
        <v>10</v>
      </c>
      <c r="J33" s="7"/>
    </row>
    <row r="34" spans="1:10" x14ac:dyDescent="0.2">
      <c r="A34" s="19">
        <f t="shared" si="1"/>
        <v>3</v>
      </c>
      <c r="B34" s="1" t="s">
        <v>40</v>
      </c>
      <c r="C34" s="7"/>
      <c r="D34" s="7"/>
      <c r="E34" s="7"/>
      <c r="F34" s="7" t="s">
        <v>10</v>
      </c>
      <c r="G34" s="7"/>
      <c r="H34" s="9"/>
      <c r="I34" s="7" t="s">
        <v>10</v>
      </c>
      <c r="J34" s="7"/>
    </row>
    <row r="35" spans="1:10" x14ac:dyDescent="0.2">
      <c r="A35" s="19">
        <f t="shared" si="1"/>
        <v>3</v>
      </c>
      <c r="B35" s="1" t="s">
        <v>41</v>
      </c>
      <c r="C35" s="7" t="s">
        <v>10</v>
      </c>
      <c r="D35" s="7" t="s">
        <v>10</v>
      </c>
      <c r="E35" s="7"/>
      <c r="F35" s="7" t="s">
        <v>10</v>
      </c>
      <c r="G35" s="7"/>
      <c r="H35" s="9"/>
      <c r="I35" s="7"/>
      <c r="J35" s="7" t="s">
        <v>10</v>
      </c>
    </row>
    <row r="36" spans="1:10" x14ac:dyDescent="0.2">
      <c r="A36" s="20" t="str">
        <f>HYPERLINK( CONCATENATE("https://selfservice.mypurdue.purdue.edu/prod/bzwsrch.p_catalog_detail?subject=",LEFT(B36, SEARCH(" ",B36,1)-1),"&amp;cnbr=",MID(B36, 1+SEARCH(" ",B36,SEARCH(" ",B36,1)),5)), "1-3" )</f>
        <v>1-3</v>
      </c>
      <c r="B36" s="1" t="s">
        <v>42</v>
      </c>
      <c r="C36" s="7"/>
      <c r="D36" s="7"/>
      <c r="E36" s="7"/>
      <c r="F36" s="7"/>
      <c r="G36" s="7"/>
      <c r="H36" s="9"/>
      <c r="I36" s="7" t="s">
        <v>10</v>
      </c>
      <c r="J36" s="7"/>
    </row>
    <row r="37" spans="1:10" x14ac:dyDescent="0.2">
      <c r="A37" s="19" t="str">
        <f>HYPERLINK( CONCATENATE("https://selfservice.mypurdue.purdue.edu/prod/bzwsrch.p_catalog_detail?subject=",LEFT(B37, SEARCH(" ",B37,1)-1),"&amp;cnbr=",MID(B37, 1+SEARCH(" ",B37,SEARCH(" ",B37,1)),5)), "0" )</f>
        <v>0</v>
      </c>
      <c r="B37" s="1" t="s">
        <v>43</v>
      </c>
      <c r="C37" s="7"/>
      <c r="D37" s="7"/>
      <c r="E37" s="7"/>
      <c r="F37" s="7"/>
      <c r="G37" s="7"/>
      <c r="H37" s="9"/>
      <c r="I37" s="7" t="s">
        <v>10</v>
      </c>
      <c r="J37" s="7"/>
    </row>
    <row r="38" spans="1:10" x14ac:dyDescent="0.2">
      <c r="A38" s="21" t="str">
        <f>HYPERLINK( CONCATENATE("https://selfservice.mypurdue.purdue.edu/prod/bzwsrch.p_catalog_detail?subject=",LEFT(B38, SEARCH(" ",B38,1)-1),"&amp;cnbr=",MID(B38, 1+SEARCH(" ",B38,SEARCH(" ",B38,1)),5)), "3-15" )</f>
        <v>3-15</v>
      </c>
      <c r="B38" s="1" t="s">
        <v>44</v>
      </c>
      <c r="C38" s="7"/>
      <c r="D38" s="7"/>
      <c r="E38" s="7"/>
      <c r="F38" s="7"/>
      <c r="G38" s="7"/>
      <c r="H38" s="9"/>
      <c r="I38" s="7" t="s">
        <v>10</v>
      </c>
      <c r="J38" s="7"/>
    </row>
    <row r="39" spans="1:10" x14ac:dyDescent="0.2">
      <c r="A39" s="19">
        <f t="shared" ref="A39:A63" si="2">HYPERLINK( CONCATENATE("https://selfservice.mypurdue.purdue.edu/prod/bzwsrch.p_catalog_detail?subject=",LEFT(B39, SEARCH(" ",B39,1)-1),"&amp;cnbr=",MID(B39, 1+SEARCH(" ",B39,SEARCH(" ",B39,1)),5)), 3 )</f>
        <v>3</v>
      </c>
      <c r="B39" s="1" t="s">
        <v>45</v>
      </c>
      <c r="C39" s="7"/>
      <c r="D39" s="7"/>
      <c r="E39" s="7"/>
      <c r="F39" s="7"/>
      <c r="G39" s="7" t="s">
        <v>10</v>
      </c>
      <c r="H39" s="9"/>
      <c r="I39" s="7" t="s">
        <v>10</v>
      </c>
      <c r="J39" s="7"/>
    </row>
    <row r="40" spans="1:10" x14ac:dyDescent="0.2">
      <c r="A40" s="19">
        <f t="shared" si="2"/>
        <v>3</v>
      </c>
      <c r="B40" s="1" t="s">
        <v>46</v>
      </c>
      <c r="G40" s="7" t="s">
        <v>10</v>
      </c>
      <c r="H40" s="9"/>
    </row>
    <row r="41" spans="1:10" x14ac:dyDescent="0.2">
      <c r="A41" s="19" t="str">
        <f>HYPERLINK( CONCATENATE("https://selfservice.mypurdue.purdue.edu/prod/bzwsrch.p_catalog_detail?subject=",LEFT(B41, SEARCH(" ",B41,1)-1),"&amp;cnbr=",MID(B41, 1+SEARCH(" ",B41,SEARCH(" ",B41,1)),5)), "1-3" )</f>
        <v>1-3</v>
      </c>
      <c r="B41" s="1" t="s">
        <v>47</v>
      </c>
      <c r="C41" s="7"/>
      <c r="D41" s="7"/>
      <c r="E41" s="7"/>
      <c r="F41" s="7"/>
      <c r="G41" s="7"/>
      <c r="H41" s="9"/>
      <c r="I41" s="7" t="s">
        <v>10</v>
      </c>
      <c r="J41" s="7"/>
    </row>
    <row r="42" spans="1:10" x14ac:dyDescent="0.2">
      <c r="A42" s="19">
        <f t="shared" si="2"/>
        <v>3</v>
      </c>
      <c r="B42" s="1" t="s">
        <v>48</v>
      </c>
      <c r="C42" s="7"/>
      <c r="D42" s="7"/>
      <c r="E42" s="7"/>
      <c r="F42" s="7" t="s">
        <v>10</v>
      </c>
      <c r="G42" s="7"/>
      <c r="H42" s="9"/>
      <c r="I42" s="7" t="s">
        <v>10</v>
      </c>
      <c r="J42" s="7"/>
    </row>
    <row r="43" spans="1:10" x14ac:dyDescent="0.2">
      <c r="A43" s="19">
        <f t="shared" si="2"/>
        <v>3</v>
      </c>
      <c r="B43" s="1" t="s">
        <v>49</v>
      </c>
      <c r="C43" s="7"/>
      <c r="D43" s="7"/>
      <c r="E43" s="7"/>
      <c r="F43" s="7"/>
      <c r="G43" s="7"/>
      <c r="H43" s="9"/>
      <c r="I43" s="7" t="s">
        <v>10</v>
      </c>
      <c r="J43" s="7"/>
    </row>
    <row r="44" spans="1:10" x14ac:dyDescent="0.2">
      <c r="A44" s="19">
        <f t="shared" si="2"/>
        <v>3</v>
      </c>
      <c r="B44" s="1" t="s">
        <v>50</v>
      </c>
      <c r="C44" s="7"/>
      <c r="D44" s="7"/>
      <c r="E44" s="7"/>
      <c r="F44" s="7"/>
      <c r="G44" s="7"/>
      <c r="H44" s="9"/>
      <c r="I44" s="7" t="s">
        <v>10</v>
      </c>
      <c r="J44" s="7"/>
    </row>
    <row r="45" spans="1:10" x14ac:dyDescent="0.2">
      <c r="A45" s="19">
        <f t="shared" si="2"/>
        <v>3</v>
      </c>
      <c r="B45" s="1" t="s">
        <v>51</v>
      </c>
      <c r="C45" s="7"/>
      <c r="D45" s="7"/>
      <c r="E45" s="7"/>
      <c r="F45" s="7"/>
      <c r="G45" s="7"/>
      <c r="H45" s="9"/>
      <c r="I45" s="7" t="s">
        <v>10</v>
      </c>
      <c r="J45" s="7"/>
    </row>
    <row r="46" spans="1:10" x14ac:dyDescent="0.2">
      <c r="A46" s="19" t="str">
        <f>HYPERLINK(CONCATENATE("https://selfservice.mypurdue.purdue.edu/prod/bzwsrch.p_search_catalog?term=CURRENT&amp;subject=", LEFT(B46,SEARCH(" ",B46,1)-1)), LEFT(B46,SEARCH(" ",B46,1)-1) )</f>
        <v>AMST</v>
      </c>
      <c r="B46" s="5" t="s">
        <v>333</v>
      </c>
      <c r="C46" s="7"/>
      <c r="D46" s="6" t="s">
        <v>10</v>
      </c>
      <c r="E46" s="7"/>
      <c r="F46" s="7"/>
      <c r="G46" s="7"/>
      <c r="H46" s="9"/>
      <c r="I46" s="7"/>
      <c r="J46" s="7"/>
    </row>
    <row r="47" spans="1:10" x14ac:dyDescent="0.2">
      <c r="A47" s="19">
        <f t="shared" si="2"/>
        <v>3</v>
      </c>
      <c r="B47" s="1" t="s">
        <v>52</v>
      </c>
      <c r="D47" s="7" t="s">
        <v>10</v>
      </c>
      <c r="E47" s="7" t="s">
        <v>10</v>
      </c>
      <c r="H47" s="9"/>
    </row>
    <row r="48" spans="1:10" x14ac:dyDescent="0.2">
      <c r="A48" s="19">
        <f t="shared" si="2"/>
        <v>3</v>
      </c>
      <c r="B48" s="1" t="s">
        <v>53</v>
      </c>
      <c r="G48" s="7" t="s">
        <v>10</v>
      </c>
      <c r="H48" s="9"/>
    </row>
    <row r="49" spans="1:10" x14ac:dyDescent="0.2">
      <c r="A49" s="19">
        <f t="shared" si="2"/>
        <v>3</v>
      </c>
      <c r="B49" s="1" t="s">
        <v>54</v>
      </c>
      <c r="C49" s="7"/>
      <c r="D49" s="7"/>
      <c r="E49" s="7"/>
      <c r="F49" s="7"/>
      <c r="G49" s="7"/>
      <c r="H49" s="9"/>
      <c r="I49" s="7" t="s">
        <v>10</v>
      </c>
      <c r="J49" s="7"/>
    </row>
    <row r="50" spans="1:10" x14ac:dyDescent="0.2">
      <c r="A50" s="19">
        <f t="shared" si="2"/>
        <v>3</v>
      </c>
      <c r="B50" s="1" t="s">
        <v>55</v>
      </c>
      <c r="C50" s="7"/>
      <c r="D50" s="7"/>
      <c r="E50" s="7"/>
      <c r="F50" s="7"/>
      <c r="G50" s="7"/>
      <c r="H50" s="9"/>
      <c r="I50" s="7" t="s">
        <v>10</v>
      </c>
      <c r="J50" s="7"/>
    </row>
    <row r="51" spans="1:10" x14ac:dyDescent="0.2">
      <c r="A51" s="19" t="str">
        <f>HYPERLINK(CONCATENATE("https://selfservice.mypurdue.purdue.edu/prod/bzwsrch.p_search_catalog?term=CURRENT&amp;subject=", LEFT(B51,SEARCH(" ",B51,1)-1)), LEFT(B51,SEARCH(" ",B51,1)-1) )</f>
        <v>ANTH</v>
      </c>
      <c r="B51" s="5" t="s">
        <v>334</v>
      </c>
      <c r="C51" s="7"/>
      <c r="D51" s="7"/>
      <c r="E51" s="7"/>
      <c r="F51" s="6" t="s">
        <v>10</v>
      </c>
      <c r="G51" s="7"/>
      <c r="H51" s="9"/>
      <c r="I51" s="7"/>
      <c r="J51" s="7"/>
    </row>
    <row r="52" spans="1:10" x14ac:dyDescent="0.2">
      <c r="A52" s="19">
        <f t="shared" si="2"/>
        <v>3</v>
      </c>
      <c r="B52" s="1" t="s">
        <v>56</v>
      </c>
      <c r="C52" s="7"/>
      <c r="D52" s="7"/>
      <c r="E52" s="7"/>
      <c r="F52" s="7" t="s">
        <v>10</v>
      </c>
      <c r="G52" s="7"/>
      <c r="H52" s="9"/>
      <c r="I52" s="7" t="s">
        <v>10</v>
      </c>
      <c r="J52" s="7"/>
    </row>
    <row r="53" spans="1:10" x14ac:dyDescent="0.2">
      <c r="A53" s="19">
        <f t="shared" si="2"/>
        <v>3</v>
      </c>
      <c r="B53" s="1" t="s">
        <v>57</v>
      </c>
      <c r="C53" s="7"/>
      <c r="D53" s="7"/>
      <c r="E53" s="7"/>
      <c r="F53" s="7" t="s">
        <v>10</v>
      </c>
      <c r="G53" s="7"/>
      <c r="H53" s="9"/>
      <c r="I53" s="7" t="s">
        <v>10</v>
      </c>
      <c r="J53" s="7" t="s">
        <v>10</v>
      </c>
    </row>
    <row r="54" spans="1:10" x14ac:dyDescent="0.2">
      <c r="A54" s="19">
        <f t="shared" si="2"/>
        <v>3</v>
      </c>
      <c r="B54" s="1" t="s">
        <v>58</v>
      </c>
      <c r="F54" s="7" t="s">
        <v>10</v>
      </c>
      <c r="G54" s="7" t="s">
        <v>10</v>
      </c>
      <c r="H54" s="9"/>
      <c r="J54" s="7"/>
    </row>
    <row r="55" spans="1:10" x14ac:dyDescent="0.2">
      <c r="A55" s="19">
        <f t="shared" si="2"/>
        <v>3</v>
      </c>
      <c r="B55" s="1" t="s">
        <v>59</v>
      </c>
      <c r="C55" s="7"/>
      <c r="D55" s="7"/>
      <c r="E55" s="7"/>
      <c r="F55" s="7" t="s">
        <v>10</v>
      </c>
      <c r="G55" s="7"/>
      <c r="H55" s="9"/>
      <c r="I55" s="7"/>
      <c r="J55" s="7" t="s">
        <v>10</v>
      </c>
    </row>
    <row r="56" spans="1:10" x14ac:dyDescent="0.2">
      <c r="A56" s="19">
        <f t="shared" si="2"/>
        <v>3</v>
      </c>
      <c r="B56" s="1" t="s">
        <v>60</v>
      </c>
      <c r="F56" s="7" t="s">
        <v>10</v>
      </c>
      <c r="G56" s="7"/>
      <c r="H56" s="9"/>
      <c r="I56" s="7"/>
      <c r="J56" s="7" t="s">
        <v>10</v>
      </c>
    </row>
    <row r="57" spans="1:10" x14ac:dyDescent="0.2">
      <c r="A57" s="19">
        <f t="shared" si="2"/>
        <v>3</v>
      </c>
      <c r="B57" s="11" t="s">
        <v>61</v>
      </c>
      <c r="C57" s="12"/>
      <c r="D57" s="12"/>
      <c r="E57" s="12"/>
      <c r="F57" s="12" t="s">
        <v>10</v>
      </c>
      <c r="G57" s="12"/>
      <c r="H57" s="13"/>
      <c r="I57" s="12"/>
      <c r="J57" s="12" t="s">
        <v>10</v>
      </c>
    </row>
    <row r="58" spans="1:10" x14ac:dyDescent="0.2">
      <c r="A58" s="19">
        <f t="shared" si="2"/>
        <v>3</v>
      </c>
      <c r="B58" s="1" t="s">
        <v>385</v>
      </c>
      <c r="C58" s="7"/>
      <c r="D58" s="8"/>
      <c r="E58" s="8"/>
      <c r="F58" s="7" t="s">
        <v>10</v>
      </c>
      <c r="G58" s="7"/>
      <c r="H58" s="9"/>
      <c r="I58" s="7"/>
      <c r="J58" s="7" t="s">
        <v>10</v>
      </c>
    </row>
    <row r="59" spans="1:10" x14ac:dyDescent="0.2">
      <c r="A59" s="19">
        <f t="shared" si="2"/>
        <v>3</v>
      </c>
      <c r="B59" s="1" t="s">
        <v>62</v>
      </c>
      <c r="C59" s="7"/>
      <c r="D59" s="7"/>
      <c r="E59" s="7"/>
      <c r="F59" s="7" t="s">
        <v>10</v>
      </c>
      <c r="G59" s="7"/>
      <c r="H59" s="9"/>
      <c r="I59" s="7"/>
      <c r="J59" s="7" t="s">
        <v>10</v>
      </c>
    </row>
    <row r="60" spans="1:10" x14ac:dyDescent="0.2">
      <c r="A60" s="19">
        <f t="shared" si="2"/>
        <v>3</v>
      </c>
      <c r="B60" s="1" t="s">
        <v>63</v>
      </c>
      <c r="C60" s="7"/>
      <c r="D60" s="7"/>
      <c r="E60" s="7"/>
      <c r="F60" s="7" t="s">
        <v>64</v>
      </c>
      <c r="G60" s="7"/>
      <c r="H60" s="9"/>
      <c r="I60" s="7" t="s">
        <v>64</v>
      </c>
      <c r="J60" s="7"/>
    </row>
    <row r="61" spans="1:10" x14ac:dyDescent="0.2">
      <c r="A61" s="19">
        <f t="shared" si="2"/>
        <v>3</v>
      </c>
      <c r="B61" s="1" t="s">
        <v>65</v>
      </c>
      <c r="C61" s="7"/>
      <c r="D61" s="7"/>
      <c r="E61" s="7"/>
      <c r="F61" s="7" t="s">
        <v>10</v>
      </c>
      <c r="G61" s="7"/>
      <c r="H61" s="9"/>
      <c r="I61" s="7"/>
      <c r="J61" s="7" t="s">
        <v>10</v>
      </c>
    </row>
    <row r="62" spans="1:10" x14ac:dyDescent="0.2">
      <c r="A62" s="19">
        <f t="shared" si="2"/>
        <v>3</v>
      </c>
      <c r="B62" s="11" t="s">
        <v>66</v>
      </c>
      <c r="C62" s="7"/>
      <c r="D62" s="7"/>
      <c r="E62" s="7"/>
      <c r="F62" s="10" t="s">
        <v>10</v>
      </c>
      <c r="G62" s="7"/>
      <c r="H62" s="9"/>
      <c r="I62" s="10" t="s">
        <v>10</v>
      </c>
      <c r="J62" s="7"/>
    </row>
    <row r="63" spans="1:10" x14ac:dyDescent="0.2">
      <c r="A63" s="19">
        <f t="shared" si="2"/>
        <v>3</v>
      </c>
      <c r="B63" s="1" t="s">
        <v>67</v>
      </c>
      <c r="C63" s="7"/>
      <c r="D63" s="7"/>
      <c r="E63" s="7"/>
      <c r="F63" s="7" t="s">
        <v>10</v>
      </c>
      <c r="G63" s="7"/>
      <c r="H63" s="9"/>
      <c r="I63" s="7" t="s">
        <v>10</v>
      </c>
      <c r="J63" s="7" t="s">
        <v>10</v>
      </c>
    </row>
    <row r="64" spans="1:10" x14ac:dyDescent="0.2">
      <c r="A64" s="19" t="str">
        <f>HYPERLINK(CONCATENATE("https://selfservice.mypurdue.purdue.edu/prod/bzwsrch.p_search_catalog?term=CURRENT&amp;subject=", LEFT(B64,SEARCH(" ",B64,1)-1)), LEFT(B64,SEARCH(" ",B64,1)-1) )</f>
        <v>ASL</v>
      </c>
      <c r="B64" s="5" t="s">
        <v>335</v>
      </c>
      <c r="C64" s="6" t="s">
        <v>10</v>
      </c>
      <c r="D64" s="7"/>
      <c r="E64" s="7"/>
      <c r="F64" s="7"/>
      <c r="G64" s="7"/>
      <c r="H64" s="9"/>
      <c r="I64" s="7"/>
      <c r="J64" s="7"/>
    </row>
    <row r="65" spans="1:10" x14ac:dyDescent="0.2">
      <c r="A65" s="19" t="str">
        <f>HYPERLINK(CONCATENATE("https://selfservice.mypurdue.purdue.edu/prod/bzwsrch.p_search_catalog?term=CURRENT&amp;subject=", LEFT(B65,SEARCH(" ",B65,1)-1)), LEFT(B65,SEARCH(" ",B65,1)-1) )</f>
        <v>ASAM</v>
      </c>
      <c r="B65" s="5" t="s">
        <v>336</v>
      </c>
      <c r="C65" s="8"/>
      <c r="D65" s="6" t="s">
        <v>10</v>
      </c>
      <c r="E65" s="7"/>
      <c r="F65" s="7"/>
      <c r="G65" s="7"/>
      <c r="H65" s="9"/>
      <c r="I65" s="7"/>
      <c r="J65" s="7"/>
    </row>
    <row r="66" spans="1:10" ht="57" x14ac:dyDescent="0.2">
      <c r="A66" s="19" t="str">
        <f>HYPERLINK(CONCATENATE("https://selfservice.mypurdue.purdue.edu/prod/bzwsrch.p_search_catalog?term=CURRENT&amp;subject=", LEFT(B66,SEARCH(" ",B66,1)-1)), LEFT(B66,SEARCH(" ",B66,1)-1) )</f>
        <v>ARAB</v>
      </c>
      <c r="B66" s="14" t="s">
        <v>337</v>
      </c>
      <c r="C66" s="8"/>
      <c r="D66" s="6" t="s">
        <v>10</v>
      </c>
      <c r="E66" s="7"/>
      <c r="F66" s="7"/>
      <c r="G66" s="7"/>
      <c r="H66" s="9"/>
      <c r="I66" s="6" t="s">
        <v>10</v>
      </c>
      <c r="J66" s="7"/>
    </row>
    <row r="67" spans="1:10" x14ac:dyDescent="0.2">
      <c r="A67" s="19">
        <f t="shared" ref="A67:A73" si="3">HYPERLINK( CONCATENATE("https://selfservice.mypurdue.purdue.edu/prod/bzwsrch.p_catalog_detail?subject=",LEFT(B67, SEARCH(" ",B67,1)-1),"&amp;cnbr=",MID(B67, 1+SEARCH(" ",B67,SEARCH(" ",B67,1)),5)), 3 )</f>
        <v>3</v>
      </c>
      <c r="B67" s="15" t="s">
        <v>68</v>
      </c>
      <c r="C67" s="8"/>
      <c r="D67" s="8" t="s">
        <v>10</v>
      </c>
      <c r="E67" s="7"/>
      <c r="F67" s="7"/>
      <c r="G67" s="7"/>
      <c r="H67" s="9"/>
      <c r="I67" s="8" t="s">
        <v>10</v>
      </c>
      <c r="J67" s="7"/>
    </row>
    <row r="68" spans="1:10" x14ac:dyDescent="0.2">
      <c r="A68" s="19">
        <f t="shared" si="3"/>
        <v>3</v>
      </c>
      <c r="B68" s="15" t="s">
        <v>69</v>
      </c>
      <c r="C68" s="8"/>
      <c r="D68" s="8" t="s">
        <v>10</v>
      </c>
      <c r="E68" s="7"/>
      <c r="F68" s="7"/>
      <c r="G68" s="7"/>
      <c r="H68" s="9"/>
      <c r="I68" s="8" t="s">
        <v>10</v>
      </c>
      <c r="J68" s="7"/>
    </row>
    <row r="69" spans="1:10" x14ac:dyDescent="0.2">
      <c r="A69" s="19">
        <f t="shared" si="3"/>
        <v>3</v>
      </c>
      <c r="B69" s="15" t="s">
        <v>70</v>
      </c>
      <c r="C69" s="8"/>
      <c r="D69" s="8" t="s">
        <v>10</v>
      </c>
      <c r="E69" s="7"/>
      <c r="F69" s="7"/>
      <c r="G69" s="7"/>
      <c r="H69" s="9"/>
      <c r="I69" s="8" t="s">
        <v>10</v>
      </c>
      <c r="J69" s="7"/>
    </row>
    <row r="70" spans="1:10" x14ac:dyDescent="0.2">
      <c r="A70" s="19">
        <f t="shared" si="3"/>
        <v>3</v>
      </c>
      <c r="B70" s="15" t="s">
        <v>71</v>
      </c>
      <c r="C70" s="8"/>
      <c r="D70" s="8" t="s">
        <v>10</v>
      </c>
      <c r="E70" s="7"/>
      <c r="F70" s="7"/>
      <c r="G70" s="7"/>
      <c r="H70" s="9"/>
      <c r="I70" s="8" t="s">
        <v>10</v>
      </c>
      <c r="J70" s="7"/>
    </row>
    <row r="71" spans="1:10" x14ac:dyDescent="0.2">
      <c r="A71" s="19">
        <f t="shared" si="3"/>
        <v>3</v>
      </c>
      <c r="B71" s="15" t="s">
        <v>72</v>
      </c>
      <c r="C71" s="8"/>
      <c r="D71" s="8" t="s">
        <v>10</v>
      </c>
      <c r="E71" s="7"/>
      <c r="F71" s="7"/>
      <c r="G71" s="7"/>
      <c r="H71" s="9"/>
      <c r="I71" s="8" t="s">
        <v>10</v>
      </c>
      <c r="J71" s="7"/>
    </row>
    <row r="72" spans="1:10" x14ac:dyDescent="0.2">
      <c r="A72" s="19">
        <f t="shared" si="3"/>
        <v>3</v>
      </c>
      <c r="B72" s="15" t="s">
        <v>73</v>
      </c>
      <c r="C72" s="8"/>
      <c r="D72" s="8" t="s">
        <v>10</v>
      </c>
      <c r="E72" s="7"/>
      <c r="F72" s="7"/>
      <c r="G72" s="7"/>
      <c r="H72" s="9"/>
      <c r="I72" s="8" t="s">
        <v>10</v>
      </c>
      <c r="J72" s="7"/>
    </row>
    <row r="73" spans="1:10" x14ac:dyDescent="0.2">
      <c r="A73" s="19">
        <f t="shared" si="3"/>
        <v>3</v>
      </c>
      <c r="B73" s="1" t="s">
        <v>74</v>
      </c>
      <c r="C73" s="7"/>
      <c r="D73" s="7" t="s">
        <v>10</v>
      </c>
      <c r="E73" s="7"/>
      <c r="F73" s="7"/>
      <c r="G73" s="7"/>
      <c r="H73" s="9"/>
      <c r="I73" s="7"/>
      <c r="J73" s="7" t="s">
        <v>10</v>
      </c>
    </row>
    <row r="74" spans="1:10" x14ac:dyDescent="0.2">
      <c r="A74" s="19" t="str">
        <f>HYPERLINK(CONCATENATE("https://selfservice.mypurdue.purdue.edu/prod/bzwsrch.p_search_catalog?term=CURRENT&amp;subject=", LEFT(B74,SEARCH(" ",B74,1)-1)), LEFT(B74,SEARCH(" ",B74,1)-1) )</f>
        <v>BAND</v>
      </c>
      <c r="B74" s="5" t="s">
        <v>338</v>
      </c>
      <c r="C74" s="7"/>
      <c r="D74" s="6" t="s">
        <v>10</v>
      </c>
      <c r="E74" s="7"/>
      <c r="F74" s="7"/>
      <c r="G74" s="7"/>
      <c r="H74" s="9"/>
      <c r="I74" s="7"/>
      <c r="J74" s="7"/>
    </row>
    <row r="75" spans="1:10" x14ac:dyDescent="0.2">
      <c r="A75" s="19">
        <f>HYPERLINK( CONCATENATE("https://selfservice.mypurdue.purdue.edu/prod/bzwsrch.p_catalog_detail?subject=",LEFT(B75, SEARCH(" ",B75,1)-1),"&amp;cnbr=",MID(B75, 1+SEARCH(" ",B75,SEARCH(" ",B75,1)),5)), 2 )</f>
        <v>2</v>
      </c>
      <c r="B75" s="1" t="s">
        <v>75</v>
      </c>
      <c r="G75" s="7" t="s">
        <v>10</v>
      </c>
      <c r="H75" s="9"/>
    </row>
    <row r="76" spans="1:10" x14ac:dyDescent="0.2">
      <c r="A76" s="19">
        <f t="shared" ref="A76:A83" si="4">HYPERLINK( CONCATENATE("https://selfservice.mypurdue.purdue.edu/prod/bzwsrch.p_catalog_detail?subject=",LEFT(B76, SEARCH(" ",B76,1)-1),"&amp;cnbr=",MID(B76, 1+SEARCH(" ",B76,SEARCH(" ",B76,1)),5)), 3 )</f>
        <v>3</v>
      </c>
      <c r="B76" s="1" t="s">
        <v>76</v>
      </c>
      <c r="G76" s="7" t="s">
        <v>10</v>
      </c>
      <c r="H76" s="9"/>
    </row>
    <row r="77" spans="1:10" x14ac:dyDescent="0.2">
      <c r="A77" s="19">
        <f t="shared" si="4"/>
        <v>3</v>
      </c>
      <c r="B77" s="1" t="s">
        <v>77</v>
      </c>
      <c r="C77" s="7"/>
      <c r="D77" s="7"/>
      <c r="E77" s="7"/>
      <c r="F77" s="7"/>
      <c r="G77" s="7" t="s">
        <v>10</v>
      </c>
      <c r="H77" s="9"/>
      <c r="I77" s="7" t="s">
        <v>10</v>
      </c>
      <c r="J77" s="7"/>
    </row>
    <row r="78" spans="1:10" x14ac:dyDescent="0.2">
      <c r="A78" s="19">
        <f t="shared" si="4"/>
        <v>3</v>
      </c>
      <c r="B78" s="1" t="s">
        <v>78</v>
      </c>
      <c r="G78" s="7" t="s">
        <v>10</v>
      </c>
      <c r="H78" s="9"/>
    </row>
    <row r="79" spans="1:10" x14ac:dyDescent="0.2">
      <c r="A79" s="19">
        <f t="shared" si="4"/>
        <v>3</v>
      </c>
      <c r="B79" s="1" t="s">
        <v>79</v>
      </c>
      <c r="C79" s="7"/>
      <c r="D79" s="7"/>
      <c r="E79" s="7"/>
      <c r="F79" s="7"/>
      <c r="G79" s="7"/>
      <c r="H79" s="9"/>
      <c r="I79" s="7"/>
      <c r="J79" s="7" t="s">
        <v>10</v>
      </c>
    </row>
    <row r="80" spans="1:10" ht="57" x14ac:dyDescent="0.2">
      <c r="A80" s="19" t="str">
        <f>HYPERLINK(CONCATENATE("https://selfservice.mypurdue.purdue.edu/prod/bzwsrch.p_search_catalog?term=CURRENT&amp;subject=", LEFT(B80,SEARCH(" ",B80,1)-1)), LEFT(B80,SEARCH(" ",B80,1)-1) )</f>
        <v>CHNS</v>
      </c>
      <c r="B80" s="14" t="s">
        <v>339</v>
      </c>
      <c r="C80" s="8"/>
      <c r="D80" s="6" t="s">
        <v>10</v>
      </c>
      <c r="E80" s="7"/>
      <c r="F80" s="7"/>
      <c r="G80" s="7"/>
      <c r="H80" s="9"/>
      <c r="I80" s="6" t="s">
        <v>10</v>
      </c>
      <c r="J80" s="7"/>
    </row>
    <row r="81" spans="1:10" x14ac:dyDescent="0.2">
      <c r="A81" s="19">
        <f t="shared" si="4"/>
        <v>3</v>
      </c>
      <c r="B81" s="15" t="s">
        <v>80</v>
      </c>
      <c r="C81" s="8"/>
      <c r="D81" s="8" t="s">
        <v>10</v>
      </c>
      <c r="E81" s="7"/>
      <c r="F81" s="7"/>
      <c r="G81" s="7"/>
      <c r="H81" s="9"/>
      <c r="I81" s="8" t="s">
        <v>10</v>
      </c>
      <c r="J81" s="7"/>
    </row>
    <row r="82" spans="1:10" x14ac:dyDescent="0.2">
      <c r="A82" s="19">
        <f t="shared" si="4"/>
        <v>3</v>
      </c>
      <c r="B82" s="15" t="s">
        <v>81</v>
      </c>
      <c r="C82" s="8"/>
      <c r="D82" s="8" t="s">
        <v>10</v>
      </c>
      <c r="E82" s="7"/>
      <c r="F82" s="7"/>
      <c r="G82" s="7"/>
      <c r="H82" s="9"/>
      <c r="I82" s="8" t="s">
        <v>10</v>
      </c>
      <c r="J82" s="7"/>
    </row>
    <row r="83" spans="1:10" x14ac:dyDescent="0.2">
      <c r="A83" s="19">
        <f t="shared" si="4"/>
        <v>3</v>
      </c>
      <c r="B83" s="15" t="s">
        <v>82</v>
      </c>
      <c r="C83" s="8"/>
      <c r="D83" s="8" t="s">
        <v>10</v>
      </c>
      <c r="E83" s="7"/>
      <c r="F83" s="7"/>
      <c r="G83" s="7"/>
      <c r="H83" s="9"/>
      <c r="I83" s="8" t="s">
        <v>10</v>
      </c>
      <c r="J83" s="7"/>
    </row>
    <row r="84" spans="1:10" x14ac:dyDescent="0.2">
      <c r="A84" s="19" t="str">
        <f>HYPERLINK(CONCATENATE("https://selfservice.mypurdue.purdue.edu/prod/bzwsrch.p_search_catalog?term=CURRENT&amp;subject=", LEFT(B84,SEARCH(" ",B84,1)-1)), LEFT(B84,SEARCH(" ",B84,1)-1) )</f>
        <v>CMPL</v>
      </c>
      <c r="B84" s="5" t="s">
        <v>340</v>
      </c>
      <c r="C84" s="7"/>
      <c r="D84" s="6" t="s">
        <v>10</v>
      </c>
      <c r="E84" s="7"/>
      <c r="F84" s="7"/>
      <c r="G84" s="7"/>
      <c r="H84" s="9"/>
      <c r="I84" s="7"/>
      <c r="J84" s="7"/>
    </row>
    <row r="85" spans="1:10" x14ac:dyDescent="0.2">
      <c r="A85" s="19">
        <f t="shared" ref="A85:A92" si="5">HYPERLINK( CONCATENATE("https://selfservice.mypurdue.purdue.edu/prod/bzwsrch.p_catalog_detail?subject=",LEFT(B85, SEARCH(" ",B85,1)-1),"&amp;cnbr=",MID(B85, 1+SEARCH(" ",B85,SEARCH(" ",B85,1)),5)), 3 )</f>
        <v>3</v>
      </c>
      <c r="B85" s="1" t="s">
        <v>83</v>
      </c>
      <c r="D85" s="7" t="s">
        <v>10</v>
      </c>
      <c r="E85" s="7" t="s">
        <v>10</v>
      </c>
      <c r="H85" s="9"/>
    </row>
    <row r="86" spans="1:10" x14ac:dyDescent="0.2">
      <c r="A86" s="19">
        <f t="shared" si="5"/>
        <v>3</v>
      </c>
      <c r="B86" s="1" t="s">
        <v>84</v>
      </c>
      <c r="D86" s="7" t="s">
        <v>10</v>
      </c>
      <c r="E86" s="7" t="s">
        <v>10</v>
      </c>
      <c r="H86" s="9"/>
    </row>
    <row r="87" spans="1:10" ht="28.5" x14ac:dyDescent="0.2">
      <c r="A87" s="19" t="str">
        <f>HYPERLINK(CONCATENATE("https://selfservice.mypurdue.purdue.edu/prod/bzwsrch.p_search_catalog?term=CURRENT&amp;subject=", LEFT(B87,SEARCH(" ",B87,1)-1)), LEFT(B87,SEARCH(" ",B87,1)-1) )</f>
        <v>CLCS</v>
      </c>
      <c r="B87" s="14" t="s">
        <v>341</v>
      </c>
      <c r="C87" s="7"/>
      <c r="D87" s="6" t="s">
        <v>10</v>
      </c>
      <c r="E87" s="7"/>
      <c r="F87" s="7"/>
      <c r="G87" s="7"/>
      <c r="H87" s="9"/>
      <c r="I87" s="7"/>
      <c r="J87" s="7"/>
    </row>
    <row r="88" spans="1:10" x14ac:dyDescent="0.2">
      <c r="A88" s="19">
        <f t="shared" si="5"/>
        <v>3</v>
      </c>
      <c r="B88" s="14" t="s">
        <v>378</v>
      </c>
      <c r="C88" s="7"/>
      <c r="D88" s="8" t="s">
        <v>10</v>
      </c>
      <c r="E88" s="8" t="s">
        <v>10</v>
      </c>
      <c r="F88" s="7"/>
      <c r="G88" s="7"/>
      <c r="H88" s="9"/>
      <c r="I88" s="7" t="s">
        <v>10</v>
      </c>
      <c r="J88" s="7"/>
    </row>
    <row r="89" spans="1:10" x14ac:dyDescent="0.2">
      <c r="A89" s="19">
        <f t="shared" si="5"/>
        <v>3</v>
      </c>
      <c r="B89" s="25" t="s">
        <v>373</v>
      </c>
      <c r="C89" s="22"/>
      <c r="D89" s="23" t="s">
        <v>10</v>
      </c>
      <c r="E89" s="23" t="s">
        <v>10</v>
      </c>
      <c r="F89" s="22"/>
      <c r="G89" s="22"/>
      <c r="H89" s="24"/>
      <c r="I89" s="22" t="s">
        <v>10</v>
      </c>
      <c r="J89" s="22"/>
    </row>
    <row r="90" spans="1:10" x14ac:dyDescent="0.2">
      <c r="A90" s="19">
        <f t="shared" si="5"/>
        <v>3</v>
      </c>
      <c r="B90" s="25" t="s">
        <v>374</v>
      </c>
      <c r="C90" s="22"/>
      <c r="D90" s="23" t="s">
        <v>10</v>
      </c>
      <c r="E90" s="23" t="s">
        <v>10</v>
      </c>
      <c r="F90" s="22"/>
      <c r="G90" s="22"/>
      <c r="H90" s="24"/>
      <c r="I90" s="22" t="s">
        <v>10</v>
      </c>
      <c r="J90" s="22"/>
    </row>
    <row r="91" spans="1:10" x14ac:dyDescent="0.2">
      <c r="A91" s="19">
        <f t="shared" si="5"/>
        <v>3</v>
      </c>
      <c r="B91" s="25" t="s">
        <v>375</v>
      </c>
      <c r="C91" s="22"/>
      <c r="D91" s="23" t="s">
        <v>10</v>
      </c>
      <c r="E91" s="23" t="s">
        <v>10</v>
      </c>
      <c r="F91" s="22"/>
      <c r="G91" s="22"/>
      <c r="H91" s="24"/>
      <c r="I91" s="22" t="s">
        <v>10</v>
      </c>
      <c r="J91" s="22"/>
    </row>
    <row r="92" spans="1:10" x14ac:dyDescent="0.2">
      <c r="A92" s="19">
        <f t="shared" si="5"/>
        <v>3</v>
      </c>
      <c r="B92" s="25" t="s">
        <v>376</v>
      </c>
      <c r="C92" s="22"/>
      <c r="D92" s="23" t="s">
        <v>10</v>
      </c>
      <c r="E92" s="23" t="s">
        <v>10</v>
      </c>
      <c r="F92" s="22"/>
      <c r="G92" s="22"/>
      <c r="H92" s="24"/>
      <c r="I92" s="22" t="s">
        <v>10</v>
      </c>
      <c r="J92" s="22"/>
    </row>
    <row r="93" spans="1:10" x14ac:dyDescent="0.2">
      <c r="A93" s="19" t="str">
        <f>HYPERLINK(CONCATENATE("https://selfservice.mypurdue.purdue.edu/prod/bzwsrch.p_search_catalog?term=CURRENT&amp;subject=", LEFT(B93,SEARCH(" ",B93,1)-1)), LEFT(B93,SEARCH(" ",B93,1)-1) )</f>
        <v>COM</v>
      </c>
      <c r="B93" s="5" t="s">
        <v>342</v>
      </c>
      <c r="C93" s="6" t="s">
        <v>10</v>
      </c>
      <c r="D93" s="7"/>
      <c r="E93" s="7"/>
      <c r="F93" s="7"/>
      <c r="G93" s="7"/>
      <c r="H93" s="9"/>
      <c r="I93" s="7"/>
      <c r="J93" s="7"/>
    </row>
    <row r="94" spans="1:10" x14ac:dyDescent="0.2">
      <c r="A94" s="19">
        <f t="shared" ref="A94:A101" si="6">HYPERLINK( CONCATENATE("https://selfservice.mypurdue.purdue.edu/prod/bzwsrch.p_catalog_detail?subject=",LEFT(B94, SEARCH(" ",B94,1)-1),"&amp;cnbr=",MID(B94, 1+SEARCH(" ",B94,SEARCH(" ",B94,1)),5)), 3 )</f>
        <v>3</v>
      </c>
      <c r="B94" s="1" t="s">
        <v>85</v>
      </c>
      <c r="C94" s="7" t="s">
        <v>10</v>
      </c>
      <c r="D94" s="7"/>
      <c r="E94" s="7"/>
      <c r="F94" s="7"/>
      <c r="G94" s="7"/>
      <c r="H94" s="9"/>
      <c r="I94" s="7" t="s">
        <v>10</v>
      </c>
      <c r="J94" s="7"/>
    </row>
    <row r="95" spans="1:10" x14ac:dyDescent="0.2">
      <c r="A95" s="19">
        <f t="shared" si="6"/>
        <v>3</v>
      </c>
      <c r="B95" s="1" t="s">
        <v>86</v>
      </c>
      <c r="C95" s="7" t="s">
        <v>10</v>
      </c>
      <c r="G95" s="7" t="s">
        <v>10</v>
      </c>
      <c r="H95" s="9"/>
    </row>
    <row r="96" spans="1:10" x14ac:dyDescent="0.2">
      <c r="A96" s="19">
        <f t="shared" si="6"/>
        <v>3</v>
      </c>
      <c r="B96" s="1" t="s">
        <v>87</v>
      </c>
      <c r="C96" s="7" t="s">
        <v>10</v>
      </c>
      <c r="D96" s="7"/>
      <c r="E96" s="7"/>
      <c r="F96" s="7"/>
      <c r="G96" s="7"/>
      <c r="H96" s="9"/>
      <c r="I96" s="7"/>
      <c r="J96" s="7" t="s">
        <v>64</v>
      </c>
    </row>
    <row r="97" spans="1:10" x14ac:dyDescent="0.2">
      <c r="A97" s="19">
        <f t="shared" si="6"/>
        <v>3</v>
      </c>
      <c r="B97" s="1" t="s">
        <v>88</v>
      </c>
      <c r="C97" s="7" t="s">
        <v>10</v>
      </c>
      <c r="D97" s="7"/>
      <c r="E97" s="7"/>
      <c r="F97" s="7"/>
      <c r="G97" s="7"/>
      <c r="H97" s="9"/>
      <c r="I97" s="7"/>
      <c r="J97" s="8" t="s">
        <v>10</v>
      </c>
    </row>
    <row r="98" spans="1:10" x14ac:dyDescent="0.2">
      <c r="A98" s="19">
        <f t="shared" si="6"/>
        <v>3</v>
      </c>
      <c r="B98" s="1" t="s">
        <v>89</v>
      </c>
      <c r="C98" s="7" t="s">
        <v>10</v>
      </c>
      <c r="D98" s="7"/>
      <c r="E98" s="7"/>
      <c r="F98" s="7"/>
      <c r="G98" s="7"/>
      <c r="H98" s="9"/>
      <c r="I98" s="7"/>
      <c r="J98" s="8" t="s">
        <v>10</v>
      </c>
    </row>
    <row r="99" spans="1:10" x14ac:dyDescent="0.2">
      <c r="A99" s="19">
        <f t="shared" si="6"/>
        <v>3</v>
      </c>
      <c r="B99" s="1" t="s">
        <v>90</v>
      </c>
      <c r="C99" s="7" t="s">
        <v>10</v>
      </c>
      <c r="D99" s="7"/>
      <c r="E99" s="7"/>
      <c r="F99" s="7"/>
      <c r="G99" s="7"/>
      <c r="H99" s="9"/>
      <c r="I99" s="7"/>
      <c r="J99" s="8" t="s">
        <v>10</v>
      </c>
    </row>
    <row r="100" spans="1:10" x14ac:dyDescent="0.2">
      <c r="A100" s="19">
        <f t="shared" si="6"/>
        <v>3</v>
      </c>
      <c r="B100" s="1" t="s">
        <v>91</v>
      </c>
      <c r="C100" s="7" t="s">
        <v>10</v>
      </c>
      <c r="D100" s="7"/>
      <c r="E100" s="7"/>
      <c r="F100" s="7"/>
      <c r="G100" s="7"/>
      <c r="H100" s="9"/>
      <c r="I100" s="7"/>
      <c r="J100" s="7" t="s">
        <v>10</v>
      </c>
    </row>
    <row r="101" spans="1:10" x14ac:dyDescent="0.2">
      <c r="A101" s="19">
        <f t="shared" si="6"/>
        <v>3</v>
      </c>
      <c r="B101" s="1" t="s">
        <v>92</v>
      </c>
      <c r="C101" s="7" t="s">
        <v>10</v>
      </c>
      <c r="D101" s="7"/>
      <c r="E101" s="7"/>
      <c r="F101" s="7"/>
      <c r="G101" s="7"/>
      <c r="H101" s="9"/>
      <c r="I101" s="7" t="s">
        <v>10</v>
      </c>
      <c r="J101" s="7"/>
    </row>
    <row r="102" spans="1:10" x14ac:dyDescent="0.2">
      <c r="A102" s="19" t="str">
        <f>HYPERLINK(CONCATENATE("https://selfservice.mypurdue.purdue.edu/prod/bzwsrch.p_search_catalog?term=CURRENT&amp;subject=", LEFT(B102,SEARCH(" ",B102,1)-1)), LEFT(B102,SEARCH(" ",B102,1)-1) )</f>
        <v>DANC</v>
      </c>
      <c r="B102" s="5" t="s">
        <v>343</v>
      </c>
      <c r="C102" s="7"/>
      <c r="D102" s="6" t="s">
        <v>10</v>
      </c>
      <c r="E102" s="7"/>
      <c r="F102" s="7"/>
      <c r="G102" s="7"/>
      <c r="H102" s="9"/>
      <c r="I102" s="7"/>
      <c r="J102" s="7"/>
    </row>
    <row r="103" spans="1:10" x14ac:dyDescent="0.2">
      <c r="A103" s="19">
        <f t="shared" ref="A103:A108" si="7">HYPERLINK( CONCATENATE("https://selfservice.mypurdue.purdue.edu/prod/bzwsrch.p_catalog_detail?subject=",LEFT(B103, SEARCH(" ",B103,1)-1),"&amp;cnbr=",MID(B103, 1+SEARCH(" ",B103,SEARCH(" ",B103,1)),5)), 3 )</f>
        <v>3</v>
      </c>
      <c r="B103" s="1" t="s">
        <v>93</v>
      </c>
      <c r="D103" s="7" t="s">
        <v>10</v>
      </c>
      <c r="E103" s="7" t="s">
        <v>10</v>
      </c>
      <c r="H103" s="9"/>
    </row>
    <row r="104" spans="1:10" x14ac:dyDescent="0.2">
      <c r="A104" s="19">
        <f t="shared" si="7"/>
        <v>3</v>
      </c>
      <c r="B104" s="1" t="s">
        <v>94</v>
      </c>
      <c r="G104" s="7" t="s">
        <v>10</v>
      </c>
      <c r="H104" s="9"/>
    </row>
    <row r="105" spans="1:10" x14ac:dyDescent="0.2">
      <c r="A105" s="19">
        <f t="shared" si="7"/>
        <v>3</v>
      </c>
      <c r="B105" s="1" t="s">
        <v>95</v>
      </c>
      <c r="G105" s="7" t="s">
        <v>10</v>
      </c>
      <c r="H105" s="9"/>
    </row>
    <row r="106" spans="1:10" x14ac:dyDescent="0.2">
      <c r="A106" s="19">
        <f t="shared" si="7"/>
        <v>3</v>
      </c>
      <c r="B106" s="1" t="s">
        <v>96</v>
      </c>
      <c r="G106" s="7" t="s">
        <v>10</v>
      </c>
      <c r="H106" s="9"/>
    </row>
    <row r="107" spans="1:10" x14ac:dyDescent="0.2">
      <c r="A107" s="19">
        <f t="shared" si="7"/>
        <v>3</v>
      </c>
      <c r="B107" s="1" t="s">
        <v>97</v>
      </c>
      <c r="G107" s="7" t="s">
        <v>10</v>
      </c>
      <c r="H107" s="9"/>
    </row>
    <row r="108" spans="1:10" x14ac:dyDescent="0.2">
      <c r="A108" s="19">
        <f t="shared" si="7"/>
        <v>3</v>
      </c>
      <c r="B108" s="1" t="s">
        <v>98</v>
      </c>
      <c r="G108" s="7" t="s">
        <v>10</v>
      </c>
      <c r="H108" s="9"/>
    </row>
    <row r="109" spans="1:10" x14ac:dyDescent="0.2">
      <c r="A109" s="19" t="str">
        <f>HYPERLINK(CONCATENATE("https://selfservice.mypurdue.purdue.edu/prod/bzwsrch.p_search_catalog?term=CURRENT&amp;subject=", LEFT(B109,SEARCH(" ",B109,1)-1)), LEFT(B109,SEARCH(" ",B109,1)-1) )</f>
        <v>ECON</v>
      </c>
      <c r="B109" s="5" t="s">
        <v>344</v>
      </c>
      <c r="C109" s="7"/>
      <c r="D109" s="7"/>
      <c r="E109" s="7"/>
      <c r="F109" s="6" t="s">
        <v>10</v>
      </c>
      <c r="G109" s="7"/>
      <c r="H109" s="9"/>
      <c r="I109" s="7"/>
      <c r="J109" s="7"/>
    </row>
    <row r="110" spans="1:10" x14ac:dyDescent="0.2">
      <c r="A110" s="19">
        <f t="shared" ref="A110:A118" si="8">HYPERLINK( CONCATENATE("https://selfservice.mypurdue.purdue.edu/prod/bzwsrch.p_catalog_detail?subject=",LEFT(B110, SEARCH(" ",B110,1)-1),"&amp;cnbr=",MID(B110, 1+SEARCH(" ",B110,SEARCH(" ",B110,1)),5)), 3 )</f>
        <v>3</v>
      </c>
      <c r="B110" s="1" t="s">
        <v>99</v>
      </c>
      <c r="C110" s="7"/>
      <c r="D110" s="7"/>
      <c r="E110" s="7"/>
      <c r="F110" s="7" t="s">
        <v>10</v>
      </c>
      <c r="G110" s="7"/>
      <c r="H110" s="9"/>
      <c r="I110" s="7"/>
      <c r="J110" s="7"/>
    </row>
    <row r="111" spans="1:10" x14ac:dyDescent="0.2">
      <c r="A111" s="19">
        <f t="shared" si="8"/>
        <v>3</v>
      </c>
      <c r="B111" s="1" t="s">
        <v>100</v>
      </c>
      <c r="C111" s="7"/>
      <c r="D111" s="7"/>
      <c r="E111" s="7"/>
      <c r="F111" s="7" t="s">
        <v>10</v>
      </c>
      <c r="G111" s="7"/>
      <c r="H111" s="9"/>
      <c r="I111" s="7"/>
      <c r="J111" s="7"/>
    </row>
    <row r="112" spans="1:10" x14ac:dyDescent="0.2">
      <c r="A112" s="19">
        <f t="shared" si="8"/>
        <v>3</v>
      </c>
      <c r="B112" s="1" t="s">
        <v>101</v>
      </c>
      <c r="C112" s="7"/>
      <c r="D112" s="7"/>
      <c r="E112" s="7"/>
      <c r="F112" s="7" t="s">
        <v>10</v>
      </c>
      <c r="G112" s="7"/>
      <c r="H112" s="9"/>
      <c r="I112" s="7"/>
      <c r="J112" s="7"/>
    </row>
    <row r="113" spans="1:10" x14ac:dyDescent="0.2">
      <c r="A113" s="19">
        <f t="shared" si="8"/>
        <v>3</v>
      </c>
      <c r="B113" s="1" t="s">
        <v>102</v>
      </c>
      <c r="C113" s="7"/>
      <c r="D113" s="7"/>
      <c r="E113" s="7"/>
      <c r="F113" s="7" t="s">
        <v>10</v>
      </c>
      <c r="G113" s="7"/>
      <c r="H113" s="9"/>
      <c r="I113" s="7" t="s">
        <v>10</v>
      </c>
      <c r="J113" s="7"/>
    </row>
    <row r="114" spans="1:10" x14ac:dyDescent="0.2">
      <c r="A114" s="19">
        <f t="shared" si="8"/>
        <v>3</v>
      </c>
      <c r="B114" s="1" t="s">
        <v>103</v>
      </c>
      <c r="C114" s="7"/>
      <c r="D114" s="7"/>
      <c r="E114" s="7"/>
      <c r="F114" s="7" t="s">
        <v>10</v>
      </c>
      <c r="G114" s="7"/>
      <c r="H114" s="9"/>
      <c r="I114" s="7" t="s">
        <v>10</v>
      </c>
      <c r="J114" s="7"/>
    </row>
    <row r="115" spans="1:10" x14ac:dyDescent="0.2">
      <c r="A115" s="19">
        <f t="shared" si="8"/>
        <v>3</v>
      </c>
      <c r="B115" s="1" t="s">
        <v>104</v>
      </c>
      <c r="C115" s="7"/>
      <c r="D115" s="7"/>
      <c r="E115" s="7"/>
      <c r="F115" s="7"/>
      <c r="G115" s="7"/>
      <c r="H115" s="9"/>
      <c r="I115" s="7"/>
      <c r="J115" s="7" t="s">
        <v>10</v>
      </c>
    </row>
    <row r="116" spans="1:10" x14ac:dyDescent="0.2">
      <c r="A116" s="19">
        <f t="shared" si="8"/>
        <v>3</v>
      </c>
      <c r="B116" s="1" t="s">
        <v>105</v>
      </c>
      <c r="C116" s="7"/>
      <c r="D116" s="7"/>
      <c r="E116" s="7"/>
      <c r="F116" s="7" t="s">
        <v>10</v>
      </c>
      <c r="G116" s="7"/>
      <c r="H116" s="9"/>
      <c r="I116" s="7"/>
      <c r="J116" s="7"/>
    </row>
    <row r="117" spans="1:10" x14ac:dyDescent="0.2">
      <c r="A117" s="19">
        <f t="shared" si="8"/>
        <v>3</v>
      </c>
      <c r="B117" s="1" t="s">
        <v>106</v>
      </c>
      <c r="C117" s="7"/>
      <c r="D117" s="7"/>
      <c r="E117" s="7"/>
      <c r="F117" s="7" t="s">
        <v>10</v>
      </c>
      <c r="G117" s="7"/>
      <c r="H117" s="9"/>
      <c r="I117" s="7"/>
      <c r="J117" s="7"/>
    </row>
    <row r="118" spans="1:10" x14ac:dyDescent="0.2">
      <c r="A118" s="19">
        <f t="shared" si="8"/>
        <v>3</v>
      </c>
      <c r="B118" s="1" t="s">
        <v>107</v>
      </c>
      <c r="C118" s="7"/>
      <c r="D118" s="7" t="s">
        <v>10</v>
      </c>
      <c r="E118" s="7" t="s">
        <v>10</v>
      </c>
      <c r="F118" s="7"/>
      <c r="G118" s="7"/>
      <c r="H118" s="9"/>
      <c r="I118" s="7"/>
      <c r="J118" s="7"/>
    </row>
    <row r="119" spans="1:10" x14ac:dyDescent="0.2">
      <c r="A119" s="19" t="str">
        <f>HYPERLINK(CONCATENATE("https://selfservice.mypurdue.purdue.edu/prod/bzwsrch.p_search_catalog?term=CURRENT&amp;subject=", LEFT(B119,SEARCH(" ",B119,1)-1)), LEFT(B119,SEARCH(" ",B119,1)-1) )</f>
        <v>ENGL</v>
      </c>
      <c r="B119" s="5" t="s">
        <v>345</v>
      </c>
      <c r="C119" s="6" t="s">
        <v>10</v>
      </c>
      <c r="D119" s="7"/>
      <c r="E119" s="7"/>
      <c r="F119" s="7"/>
      <c r="G119" s="7"/>
      <c r="H119" s="9"/>
      <c r="I119" s="7"/>
      <c r="J119" s="7"/>
    </row>
    <row r="120" spans="1:10" x14ac:dyDescent="0.2">
      <c r="A120" s="19">
        <f t="shared" ref="A120:A175" si="9">HYPERLINK( CONCATENATE("https://selfservice.mypurdue.purdue.edu/prod/bzwsrch.p_catalog_detail?subject=",LEFT(B120, SEARCH(" ",B120,1)-1),"&amp;cnbr=",MID(B120, 1+SEARCH(" ",B120,SEARCH(" ",B120,1)),5)), 3 )</f>
        <v>3</v>
      </c>
      <c r="B120" s="1" t="s">
        <v>108</v>
      </c>
      <c r="C120" s="8" t="s">
        <v>10</v>
      </c>
      <c r="D120" s="7" t="s">
        <v>10</v>
      </c>
      <c r="E120" s="7"/>
      <c r="F120" s="7"/>
      <c r="G120" s="7"/>
      <c r="H120" s="9"/>
      <c r="I120" s="7"/>
      <c r="J120" s="7"/>
    </row>
    <row r="121" spans="1:10" x14ac:dyDescent="0.2">
      <c r="A121" s="19">
        <f t="shared" si="9"/>
        <v>3</v>
      </c>
      <c r="B121" s="1" t="s">
        <v>109</v>
      </c>
      <c r="C121" s="8" t="s">
        <v>10</v>
      </c>
      <c r="D121" s="7" t="s">
        <v>10</v>
      </c>
      <c r="E121" s="7" t="s">
        <v>10</v>
      </c>
      <c r="F121" s="7"/>
      <c r="G121" s="7"/>
      <c r="H121" s="9"/>
      <c r="I121" s="7"/>
      <c r="J121" s="7"/>
    </row>
    <row r="122" spans="1:10" x14ac:dyDescent="0.2">
      <c r="A122" s="19">
        <f t="shared" si="9"/>
        <v>3</v>
      </c>
      <c r="B122" s="1" t="s">
        <v>110</v>
      </c>
      <c r="C122" s="8" t="s">
        <v>10</v>
      </c>
      <c r="D122" s="7" t="s">
        <v>10</v>
      </c>
      <c r="E122" s="7"/>
      <c r="F122" s="7"/>
      <c r="G122" s="7"/>
      <c r="H122" s="9"/>
      <c r="I122" s="7"/>
      <c r="J122" s="7"/>
    </row>
    <row r="123" spans="1:10" x14ac:dyDescent="0.2">
      <c r="A123" s="19">
        <f t="shared" si="9"/>
        <v>3</v>
      </c>
      <c r="B123" s="1" t="s">
        <v>111</v>
      </c>
      <c r="C123" s="8" t="s">
        <v>10</v>
      </c>
      <c r="D123" s="7" t="s">
        <v>10</v>
      </c>
      <c r="E123" s="7"/>
      <c r="F123" s="7"/>
      <c r="G123" s="7"/>
      <c r="H123" s="9"/>
      <c r="I123" s="7"/>
      <c r="J123" s="7"/>
    </row>
    <row r="124" spans="1:10" x14ac:dyDescent="0.2">
      <c r="A124" s="19">
        <f t="shared" si="9"/>
        <v>3</v>
      </c>
      <c r="B124" s="1" t="s">
        <v>112</v>
      </c>
      <c r="C124" s="8" t="s">
        <v>10</v>
      </c>
      <c r="D124" s="7" t="s">
        <v>10</v>
      </c>
      <c r="E124" s="7"/>
      <c r="F124" s="7"/>
      <c r="G124" s="7"/>
      <c r="H124" s="9"/>
      <c r="I124" s="7"/>
      <c r="J124" s="7"/>
    </row>
    <row r="125" spans="1:10" x14ac:dyDescent="0.2">
      <c r="A125" s="19">
        <f t="shared" si="9"/>
        <v>3</v>
      </c>
      <c r="B125" s="1" t="s">
        <v>113</v>
      </c>
      <c r="C125" s="8" t="s">
        <v>10</v>
      </c>
      <c r="D125" s="7" t="s">
        <v>10</v>
      </c>
      <c r="E125" s="7"/>
      <c r="F125" s="7"/>
      <c r="G125" s="7"/>
      <c r="H125" s="9"/>
      <c r="I125" s="7"/>
      <c r="J125" s="7"/>
    </row>
    <row r="126" spans="1:10" x14ac:dyDescent="0.2">
      <c r="A126" s="19">
        <f t="shared" si="9"/>
        <v>3</v>
      </c>
      <c r="B126" s="1" t="s">
        <v>114</v>
      </c>
      <c r="C126" s="8" t="s">
        <v>10</v>
      </c>
      <c r="D126" s="7" t="s">
        <v>10</v>
      </c>
      <c r="E126" s="7" t="s">
        <v>10</v>
      </c>
      <c r="F126" s="7"/>
      <c r="G126" s="7"/>
      <c r="H126" s="9"/>
      <c r="I126" s="7"/>
      <c r="J126" s="7"/>
    </row>
    <row r="127" spans="1:10" x14ac:dyDescent="0.2">
      <c r="A127" s="19">
        <f t="shared" si="9"/>
        <v>3</v>
      </c>
      <c r="B127" s="1" t="s">
        <v>115</v>
      </c>
      <c r="C127" s="8" t="s">
        <v>10</v>
      </c>
      <c r="D127" s="7" t="s">
        <v>10</v>
      </c>
      <c r="E127" s="7"/>
      <c r="F127" s="7"/>
      <c r="G127" s="7"/>
      <c r="H127" s="9"/>
      <c r="I127" s="7"/>
      <c r="J127" s="7"/>
    </row>
    <row r="128" spans="1:10" x14ac:dyDescent="0.2">
      <c r="A128" s="19">
        <f t="shared" si="9"/>
        <v>3</v>
      </c>
      <c r="B128" s="1" t="s">
        <v>116</v>
      </c>
      <c r="C128" s="8" t="s">
        <v>10</v>
      </c>
      <c r="D128" s="7" t="s">
        <v>10</v>
      </c>
      <c r="E128" s="7"/>
      <c r="F128" s="7"/>
      <c r="G128" s="7"/>
      <c r="H128" s="9"/>
      <c r="I128" s="7"/>
      <c r="J128" s="7"/>
    </row>
    <row r="129" spans="1:10" x14ac:dyDescent="0.2">
      <c r="A129" s="19">
        <f t="shared" si="9"/>
        <v>3</v>
      </c>
      <c r="B129" s="1" t="s">
        <v>117</v>
      </c>
      <c r="C129" s="8" t="s">
        <v>10</v>
      </c>
      <c r="D129" s="7" t="s">
        <v>10</v>
      </c>
      <c r="E129" s="7"/>
      <c r="F129" s="7"/>
      <c r="G129" s="7"/>
      <c r="H129" s="9"/>
      <c r="I129" s="7"/>
      <c r="J129" s="7"/>
    </row>
    <row r="130" spans="1:10" x14ac:dyDescent="0.2">
      <c r="A130" s="19">
        <f t="shared" si="9"/>
        <v>3</v>
      </c>
      <c r="B130" s="1" t="s">
        <v>118</v>
      </c>
      <c r="C130" s="8" t="s">
        <v>10</v>
      </c>
      <c r="D130" s="7" t="s">
        <v>10</v>
      </c>
      <c r="E130" s="7" t="s">
        <v>10</v>
      </c>
      <c r="F130" s="7"/>
      <c r="G130" s="7"/>
      <c r="H130" s="9"/>
      <c r="I130" s="7"/>
      <c r="J130" s="7"/>
    </row>
    <row r="131" spans="1:10" x14ac:dyDescent="0.2">
      <c r="A131" s="19">
        <f t="shared" si="9"/>
        <v>3</v>
      </c>
      <c r="B131" s="1" t="s">
        <v>119</v>
      </c>
      <c r="C131" s="7" t="s">
        <v>10</v>
      </c>
      <c r="D131" s="7" t="s">
        <v>10</v>
      </c>
      <c r="E131" s="7"/>
      <c r="F131" s="7"/>
      <c r="G131" s="7"/>
      <c r="H131" s="9"/>
      <c r="I131" s="7"/>
      <c r="J131" s="7" t="s">
        <v>10</v>
      </c>
    </row>
    <row r="132" spans="1:10" x14ac:dyDescent="0.2">
      <c r="A132" s="19">
        <f t="shared" si="9"/>
        <v>3</v>
      </c>
      <c r="B132" s="1" t="s">
        <v>120</v>
      </c>
      <c r="C132" s="8" t="s">
        <v>10</v>
      </c>
      <c r="D132" s="7" t="s">
        <v>10</v>
      </c>
      <c r="E132" s="7"/>
      <c r="F132" s="7"/>
      <c r="G132" s="7"/>
      <c r="H132" s="9"/>
      <c r="I132" s="7"/>
      <c r="J132" s="7"/>
    </row>
    <row r="133" spans="1:10" x14ac:dyDescent="0.2">
      <c r="A133" s="19">
        <f t="shared" si="9"/>
        <v>3</v>
      </c>
      <c r="B133" s="1" t="s">
        <v>121</v>
      </c>
      <c r="C133" s="8" t="s">
        <v>10</v>
      </c>
      <c r="D133" s="7" t="s">
        <v>10</v>
      </c>
      <c r="E133" s="7"/>
      <c r="F133" s="7"/>
      <c r="G133" s="7"/>
      <c r="H133" s="9"/>
      <c r="I133" s="7"/>
      <c r="J133" s="7"/>
    </row>
    <row r="134" spans="1:10" x14ac:dyDescent="0.2">
      <c r="A134" s="19">
        <f t="shared" si="9"/>
        <v>3</v>
      </c>
      <c r="B134" s="1" t="s">
        <v>122</v>
      </c>
      <c r="C134" s="7" t="s">
        <v>10</v>
      </c>
      <c r="D134" s="7" t="s">
        <v>10</v>
      </c>
      <c r="E134" s="7"/>
      <c r="F134" s="7"/>
      <c r="G134" s="7"/>
      <c r="H134" s="9"/>
      <c r="I134" s="7" t="s">
        <v>10</v>
      </c>
      <c r="J134" s="7"/>
    </row>
    <row r="135" spans="1:10" x14ac:dyDescent="0.2">
      <c r="A135" s="19">
        <f t="shared" si="9"/>
        <v>3</v>
      </c>
      <c r="B135" s="1" t="s">
        <v>123</v>
      </c>
      <c r="C135" s="7" t="s">
        <v>10</v>
      </c>
      <c r="D135" s="7" t="s">
        <v>10</v>
      </c>
      <c r="E135" s="7"/>
      <c r="F135" s="7"/>
      <c r="G135" s="7"/>
      <c r="H135" s="9"/>
      <c r="I135" s="7" t="s">
        <v>10</v>
      </c>
      <c r="J135" s="7"/>
    </row>
    <row r="136" spans="1:10" x14ac:dyDescent="0.2">
      <c r="A136" s="19">
        <f t="shared" si="9"/>
        <v>3</v>
      </c>
      <c r="B136" s="1" t="s">
        <v>124</v>
      </c>
      <c r="C136" s="8" t="s">
        <v>10</v>
      </c>
      <c r="D136" s="7" t="s">
        <v>10</v>
      </c>
      <c r="E136" s="7" t="s">
        <v>10</v>
      </c>
      <c r="F136" s="7"/>
      <c r="G136" s="7"/>
      <c r="H136" s="9"/>
      <c r="I136" s="7"/>
      <c r="J136" s="7"/>
    </row>
    <row r="137" spans="1:10" x14ac:dyDescent="0.2">
      <c r="A137" s="19">
        <f t="shared" si="9"/>
        <v>3</v>
      </c>
      <c r="B137" s="1" t="s">
        <v>125</v>
      </c>
      <c r="C137" s="8" t="s">
        <v>10</v>
      </c>
      <c r="D137" s="7" t="s">
        <v>10</v>
      </c>
      <c r="E137" s="7"/>
      <c r="F137" s="7"/>
      <c r="G137" s="7"/>
      <c r="H137" s="9"/>
      <c r="I137" s="7"/>
      <c r="J137" s="7"/>
    </row>
    <row r="138" spans="1:10" x14ac:dyDescent="0.2">
      <c r="A138" s="19">
        <f t="shared" si="9"/>
        <v>3</v>
      </c>
      <c r="B138" s="1" t="s">
        <v>126</v>
      </c>
      <c r="C138" s="8" t="s">
        <v>10</v>
      </c>
      <c r="E138" s="7" t="s">
        <v>10</v>
      </c>
      <c r="H138" s="9"/>
    </row>
    <row r="139" spans="1:10" x14ac:dyDescent="0.2">
      <c r="A139" s="19">
        <f t="shared" si="9"/>
        <v>3</v>
      </c>
      <c r="B139" s="1" t="s">
        <v>127</v>
      </c>
      <c r="C139" s="8" t="s">
        <v>10</v>
      </c>
      <c r="D139" s="7" t="s">
        <v>10</v>
      </c>
      <c r="E139" s="7"/>
      <c r="F139" s="7"/>
      <c r="G139" s="7"/>
      <c r="H139" s="9"/>
      <c r="I139" s="7"/>
      <c r="J139" s="7"/>
    </row>
    <row r="140" spans="1:10" x14ac:dyDescent="0.2">
      <c r="A140" s="19">
        <f t="shared" si="9"/>
        <v>3</v>
      </c>
      <c r="B140" s="1" t="s">
        <v>128</v>
      </c>
      <c r="C140" s="8" t="s">
        <v>10</v>
      </c>
      <c r="D140" s="7" t="s">
        <v>10</v>
      </c>
      <c r="E140" s="7"/>
      <c r="F140" s="7"/>
      <c r="G140" s="7"/>
      <c r="H140" s="9"/>
      <c r="I140" s="7"/>
      <c r="J140" s="7"/>
    </row>
    <row r="141" spans="1:10" x14ac:dyDescent="0.2">
      <c r="A141" s="19">
        <f t="shared" si="9"/>
        <v>3</v>
      </c>
      <c r="B141" s="1" t="s">
        <v>129</v>
      </c>
      <c r="C141" s="8" t="s">
        <v>10</v>
      </c>
      <c r="D141" s="7" t="s">
        <v>10</v>
      </c>
      <c r="E141" s="7"/>
      <c r="F141" s="7"/>
      <c r="G141" s="7"/>
      <c r="H141" s="9"/>
      <c r="I141" s="7"/>
      <c r="J141" s="7"/>
    </row>
    <row r="142" spans="1:10" x14ac:dyDescent="0.2">
      <c r="A142" s="19">
        <f t="shared" si="9"/>
        <v>3</v>
      </c>
      <c r="B142" s="1" t="s">
        <v>130</v>
      </c>
      <c r="C142" s="8" t="s">
        <v>10</v>
      </c>
      <c r="D142" s="7" t="s">
        <v>10</v>
      </c>
      <c r="E142" s="7"/>
      <c r="F142" s="7"/>
      <c r="G142" s="7"/>
      <c r="H142" s="9"/>
      <c r="I142" s="7"/>
      <c r="J142" s="7"/>
    </row>
    <row r="143" spans="1:10" x14ac:dyDescent="0.2">
      <c r="A143" s="19">
        <f t="shared" si="9"/>
        <v>3</v>
      </c>
      <c r="B143" s="1" t="s">
        <v>131</v>
      </c>
      <c r="C143" s="8" t="s">
        <v>10</v>
      </c>
      <c r="D143" s="7" t="s">
        <v>10</v>
      </c>
      <c r="E143" s="7"/>
      <c r="F143" s="7"/>
      <c r="G143" s="7"/>
      <c r="H143" s="9"/>
      <c r="I143" s="7"/>
      <c r="J143" s="7"/>
    </row>
    <row r="144" spans="1:10" x14ac:dyDescent="0.2">
      <c r="A144" s="19">
        <f t="shared" si="9"/>
        <v>3</v>
      </c>
      <c r="B144" s="1" t="s">
        <v>132</v>
      </c>
      <c r="C144" s="8" t="s">
        <v>10</v>
      </c>
      <c r="D144" s="7" t="s">
        <v>10</v>
      </c>
      <c r="E144" s="7"/>
      <c r="F144" s="7"/>
      <c r="G144" s="7"/>
      <c r="H144" s="9"/>
      <c r="I144" s="7"/>
      <c r="J144" s="7"/>
    </row>
    <row r="145" spans="1:10" x14ac:dyDescent="0.2">
      <c r="A145" s="19">
        <f t="shared" si="9"/>
        <v>3</v>
      </c>
      <c r="B145" s="1" t="s">
        <v>133</v>
      </c>
      <c r="C145" s="8" t="s">
        <v>10</v>
      </c>
      <c r="D145" s="7"/>
      <c r="E145" s="7"/>
      <c r="F145" s="7"/>
      <c r="G145" s="7"/>
      <c r="H145" s="9"/>
      <c r="I145" s="7"/>
      <c r="J145" s="7" t="s">
        <v>10</v>
      </c>
    </row>
    <row r="146" spans="1:10" x14ac:dyDescent="0.2">
      <c r="A146" s="19">
        <f t="shared" si="9"/>
        <v>3</v>
      </c>
      <c r="B146" s="1" t="s">
        <v>134</v>
      </c>
      <c r="C146" s="8" t="s">
        <v>10</v>
      </c>
      <c r="D146" s="7" t="s">
        <v>10</v>
      </c>
      <c r="E146" s="7"/>
      <c r="F146" s="7"/>
      <c r="G146" s="7"/>
      <c r="H146" s="9"/>
      <c r="I146" s="7"/>
      <c r="J146" s="7"/>
    </row>
    <row r="147" spans="1:10" x14ac:dyDescent="0.2">
      <c r="A147" s="19">
        <f t="shared" si="9"/>
        <v>3</v>
      </c>
      <c r="B147" s="1" t="s">
        <v>135</v>
      </c>
      <c r="C147" s="8" t="s">
        <v>10</v>
      </c>
      <c r="D147" s="8" t="s">
        <v>10</v>
      </c>
      <c r="E147" s="8"/>
      <c r="F147" s="7"/>
      <c r="G147" s="7"/>
      <c r="H147" s="9"/>
      <c r="I147" s="7"/>
      <c r="J147" s="7" t="s">
        <v>10</v>
      </c>
    </row>
    <row r="148" spans="1:10" x14ac:dyDescent="0.2">
      <c r="A148" s="19">
        <f t="shared" si="9"/>
        <v>3</v>
      </c>
      <c r="B148" s="1" t="s">
        <v>136</v>
      </c>
      <c r="C148" s="8" t="s">
        <v>10</v>
      </c>
      <c r="D148" s="7" t="s">
        <v>10</v>
      </c>
      <c r="E148" s="7"/>
      <c r="F148" s="7"/>
      <c r="G148" s="7"/>
      <c r="H148" s="9"/>
      <c r="I148" s="7"/>
      <c r="J148" s="7" t="s">
        <v>10</v>
      </c>
    </row>
    <row r="149" spans="1:10" x14ac:dyDescent="0.2">
      <c r="A149" s="19">
        <f t="shared" si="9"/>
        <v>3</v>
      </c>
      <c r="B149" s="1" t="s">
        <v>137</v>
      </c>
      <c r="C149" s="8" t="s">
        <v>10</v>
      </c>
      <c r="D149" s="7" t="s">
        <v>10</v>
      </c>
      <c r="E149" s="7"/>
      <c r="F149" s="7"/>
      <c r="G149" s="7"/>
      <c r="H149" s="9"/>
      <c r="I149" s="7"/>
      <c r="J149" s="7"/>
    </row>
    <row r="150" spans="1:10" x14ac:dyDescent="0.2">
      <c r="A150" s="19">
        <f t="shared" si="9"/>
        <v>3</v>
      </c>
      <c r="B150" s="1" t="s">
        <v>138</v>
      </c>
      <c r="C150" s="8" t="s">
        <v>10</v>
      </c>
      <c r="D150" s="7" t="s">
        <v>10</v>
      </c>
      <c r="E150" s="7"/>
      <c r="F150" s="7"/>
      <c r="G150" s="7"/>
      <c r="H150" s="9"/>
      <c r="I150" s="7"/>
      <c r="J150" s="7"/>
    </row>
    <row r="151" spans="1:10" x14ac:dyDescent="0.2">
      <c r="A151" s="19">
        <f t="shared" si="9"/>
        <v>3</v>
      </c>
      <c r="B151" s="1" t="s">
        <v>139</v>
      </c>
      <c r="C151" s="8" t="s">
        <v>10</v>
      </c>
      <c r="D151" s="7" t="s">
        <v>10</v>
      </c>
      <c r="E151" s="7"/>
      <c r="F151" s="7"/>
      <c r="G151" s="7"/>
      <c r="H151" s="9"/>
      <c r="I151" s="7"/>
      <c r="J151" s="7"/>
    </row>
    <row r="152" spans="1:10" x14ac:dyDescent="0.2">
      <c r="A152" s="19">
        <f t="shared" si="9"/>
        <v>3</v>
      </c>
      <c r="B152" s="1" t="s">
        <v>140</v>
      </c>
      <c r="C152" s="8" t="s">
        <v>10</v>
      </c>
      <c r="D152" s="7" t="s">
        <v>10</v>
      </c>
      <c r="E152" s="7"/>
      <c r="F152" s="7"/>
      <c r="G152" s="7"/>
      <c r="H152" s="9"/>
      <c r="I152" s="7"/>
      <c r="J152" s="7"/>
    </row>
    <row r="153" spans="1:10" x14ac:dyDescent="0.2">
      <c r="A153" s="19">
        <f t="shared" si="9"/>
        <v>3</v>
      </c>
      <c r="B153" s="1" t="s">
        <v>141</v>
      </c>
      <c r="C153" s="8" t="s">
        <v>10</v>
      </c>
      <c r="D153" s="7" t="s">
        <v>10</v>
      </c>
      <c r="E153" s="7"/>
      <c r="F153" s="7"/>
      <c r="G153" s="7"/>
      <c r="H153" s="9"/>
      <c r="I153" s="7"/>
      <c r="J153" s="7"/>
    </row>
    <row r="154" spans="1:10" x14ac:dyDescent="0.2">
      <c r="A154" s="19">
        <f t="shared" si="9"/>
        <v>3</v>
      </c>
      <c r="B154" s="1" t="s">
        <v>142</v>
      </c>
      <c r="C154" s="8" t="s">
        <v>10</v>
      </c>
      <c r="D154" s="7" t="s">
        <v>10</v>
      </c>
      <c r="E154" s="7"/>
      <c r="F154" s="7"/>
      <c r="G154" s="7"/>
      <c r="H154" s="9"/>
      <c r="I154" s="7"/>
      <c r="J154" s="7"/>
    </row>
    <row r="155" spans="1:10" x14ac:dyDescent="0.2">
      <c r="A155" s="19">
        <f t="shared" si="9"/>
        <v>3</v>
      </c>
      <c r="B155" s="1" t="s">
        <v>143</v>
      </c>
      <c r="C155" s="8" t="s">
        <v>10</v>
      </c>
      <c r="D155" s="7" t="s">
        <v>10</v>
      </c>
      <c r="E155" s="7"/>
      <c r="F155" s="7"/>
      <c r="G155" s="7"/>
      <c r="H155" s="9"/>
      <c r="I155" s="7"/>
      <c r="J155" s="7"/>
    </row>
    <row r="156" spans="1:10" x14ac:dyDescent="0.2">
      <c r="A156" s="19">
        <f t="shared" si="9"/>
        <v>3</v>
      </c>
      <c r="B156" s="1" t="s">
        <v>144</v>
      </c>
      <c r="C156" s="8" t="s">
        <v>10</v>
      </c>
      <c r="D156" s="7" t="s">
        <v>10</v>
      </c>
      <c r="E156" s="7"/>
      <c r="F156" s="7"/>
      <c r="G156" s="7"/>
      <c r="H156" s="9"/>
      <c r="I156" s="7"/>
      <c r="J156" s="7"/>
    </row>
    <row r="157" spans="1:10" x14ac:dyDescent="0.2">
      <c r="A157" s="19">
        <f t="shared" si="9"/>
        <v>3</v>
      </c>
      <c r="B157" s="1" t="s">
        <v>145</v>
      </c>
      <c r="C157" s="8" t="s">
        <v>10</v>
      </c>
      <c r="D157" s="7" t="s">
        <v>10</v>
      </c>
      <c r="E157" s="7"/>
      <c r="F157" s="7"/>
      <c r="G157" s="7"/>
      <c r="H157" s="9"/>
      <c r="I157" s="7"/>
      <c r="J157" s="7"/>
    </row>
    <row r="158" spans="1:10" x14ac:dyDescent="0.2">
      <c r="A158" s="19">
        <f t="shared" si="9"/>
        <v>3</v>
      </c>
      <c r="B158" s="1" t="s">
        <v>146</v>
      </c>
      <c r="C158" s="8" t="s">
        <v>10</v>
      </c>
      <c r="D158" s="7" t="s">
        <v>10</v>
      </c>
      <c r="E158" s="7"/>
      <c r="F158" s="7"/>
      <c r="G158" s="7"/>
      <c r="H158" s="9"/>
      <c r="I158" s="7"/>
      <c r="J158" s="7"/>
    </row>
    <row r="159" spans="1:10" x14ac:dyDescent="0.2">
      <c r="A159" s="19">
        <f t="shared" si="9"/>
        <v>3</v>
      </c>
      <c r="B159" s="1" t="s">
        <v>147</v>
      </c>
      <c r="C159" s="8" t="s">
        <v>10</v>
      </c>
      <c r="D159" s="7" t="s">
        <v>10</v>
      </c>
      <c r="E159" s="7"/>
      <c r="F159" s="7"/>
      <c r="G159" s="7"/>
      <c r="H159" s="9"/>
      <c r="I159" s="7"/>
      <c r="J159" s="7"/>
    </row>
    <row r="160" spans="1:10" x14ac:dyDescent="0.2">
      <c r="A160" s="19">
        <f t="shared" si="9"/>
        <v>3</v>
      </c>
      <c r="B160" s="1" t="s">
        <v>148</v>
      </c>
      <c r="C160" s="8" t="s">
        <v>10</v>
      </c>
      <c r="D160" s="7" t="s">
        <v>10</v>
      </c>
      <c r="E160" s="7"/>
      <c r="F160" s="7"/>
      <c r="G160" s="7"/>
      <c r="H160" s="9"/>
      <c r="I160" s="7"/>
      <c r="J160" s="7"/>
    </row>
    <row r="161" spans="1:10" x14ac:dyDescent="0.2">
      <c r="A161" s="19">
        <f t="shared" si="9"/>
        <v>3</v>
      </c>
      <c r="B161" s="1" t="s">
        <v>149</v>
      </c>
      <c r="C161" s="8" t="s">
        <v>10</v>
      </c>
      <c r="D161" s="7" t="s">
        <v>10</v>
      </c>
      <c r="E161" s="7"/>
      <c r="F161" s="7"/>
      <c r="G161" s="7"/>
      <c r="H161" s="9"/>
      <c r="I161" s="7"/>
      <c r="J161" s="7"/>
    </row>
    <row r="162" spans="1:10" x14ac:dyDescent="0.2">
      <c r="A162" s="19">
        <f t="shared" si="9"/>
        <v>3</v>
      </c>
      <c r="B162" s="1" t="s">
        <v>150</v>
      </c>
      <c r="C162" s="8" t="s">
        <v>10</v>
      </c>
      <c r="D162" s="7" t="s">
        <v>10</v>
      </c>
      <c r="E162" s="7"/>
      <c r="F162" s="7"/>
      <c r="G162" s="7"/>
      <c r="H162" s="9"/>
      <c r="I162" s="7"/>
      <c r="J162" s="7"/>
    </row>
    <row r="163" spans="1:10" x14ac:dyDescent="0.2">
      <c r="A163" s="19">
        <f t="shared" si="9"/>
        <v>3</v>
      </c>
      <c r="B163" s="1" t="s">
        <v>151</v>
      </c>
      <c r="C163" s="8" t="s">
        <v>10</v>
      </c>
      <c r="D163" s="7" t="s">
        <v>10</v>
      </c>
      <c r="E163" s="7"/>
      <c r="F163" s="7"/>
      <c r="G163" s="7"/>
      <c r="H163" s="9"/>
      <c r="I163" s="7"/>
      <c r="J163" s="7"/>
    </row>
    <row r="164" spans="1:10" x14ac:dyDescent="0.2">
      <c r="A164" s="19">
        <f t="shared" si="9"/>
        <v>3</v>
      </c>
      <c r="B164" s="1" t="s">
        <v>152</v>
      </c>
      <c r="C164" s="8" t="s">
        <v>10</v>
      </c>
      <c r="D164" s="7" t="s">
        <v>10</v>
      </c>
      <c r="E164" s="7"/>
      <c r="F164" s="7"/>
      <c r="G164" s="7"/>
      <c r="H164" s="9"/>
      <c r="I164" s="7"/>
      <c r="J164" s="7"/>
    </row>
    <row r="165" spans="1:10" x14ac:dyDescent="0.2">
      <c r="A165" s="19">
        <f t="shared" si="9"/>
        <v>3</v>
      </c>
      <c r="B165" s="1" t="s">
        <v>153</v>
      </c>
      <c r="C165" s="8" t="s">
        <v>10</v>
      </c>
      <c r="D165" s="7" t="s">
        <v>10</v>
      </c>
      <c r="E165" s="7"/>
      <c r="F165" s="7"/>
      <c r="G165" s="7"/>
      <c r="H165" s="9"/>
      <c r="I165" s="7"/>
      <c r="J165" s="7"/>
    </row>
    <row r="166" spans="1:10" x14ac:dyDescent="0.2">
      <c r="A166" s="19">
        <f t="shared" si="9"/>
        <v>3</v>
      </c>
      <c r="B166" s="1" t="s">
        <v>154</v>
      </c>
      <c r="C166" s="8" t="s">
        <v>10</v>
      </c>
      <c r="D166" s="7" t="s">
        <v>10</v>
      </c>
      <c r="E166" s="7"/>
      <c r="F166" s="7"/>
      <c r="G166" s="7"/>
      <c r="H166" s="9"/>
      <c r="I166" s="7"/>
      <c r="J166" s="7"/>
    </row>
    <row r="167" spans="1:10" x14ac:dyDescent="0.2">
      <c r="A167" s="19">
        <f t="shared" si="9"/>
        <v>3</v>
      </c>
      <c r="B167" s="1" t="s">
        <v>155</v>
      </c>
      <c r="C167" s="8" t="s">
        <v>10</v>
      </c>
      <c r="D167" s="7" t="s">
        <v>10</v>
      </c>
      <c r="E167" s="7"/>
      <c r="F167" s="7"/>
      <c r="G167" s="7"/>
      <c r="H167" s="9"/>
      <c r="I167" s="7"/>
      <c r="J167" s="7"/>
    </row>
    <row r="168" spans="1:10" x14ac:dyDescent="0.2">
      <c r="A168" s="19">
        <f t="shared" si="9"/>
        <v>3</v>
      </c>
      <c r="B168" s="1" t="s">
        <v>156</v>
      </c>
      <c r="C168" s="8" t="s">
        <v>10</v>
      </c>
      <c r="D168" s="7" t="s">
        <v>10</v>
      </c>
      <c r="E168" s="7"/>
      <c r="F168" s="7"/>
      <c r="G168" s="7"/>
      <c r="H168" s="9"/>
      <c r="I168" s="7"/>
      <c r="J168" s="7"/>
    </row>
    <row r="169" spans="1:10" x14ac:dyDescent="0.2">
      <c r="A169" s="19">
        <f t="shared" si="9"/>
        <v>3</v>
      </c>
      <c r="B169" s="1" t="s">
        <v>157</v>
      </c>
      <c r="C169" s="8" t="s">
        <v>10</v>
      </c>
      <c r="D169" s="7" t="s">
        <v>10</v>
      </c>
      <c r="E169" s="7"/>
      <c r="F169" s="7"/>
      <c r="G169" s="7"/>
      <c r="H169" s="9"/>
      <c r="I169" s="7"/>
      <c r="J169" s="7"/>
    </row>
    <row r="170" spans="1:10" x14ac:dyDescent="0.2">
      <c r="A170" s="19">
        <f t="shared" si="9"/>
        <v>3</v>
      </c>
      <c r="B170" s="1" t="s">
        <v>158</v>
      </c>
      <c r="C170" s="8" t="s">
        <v>10</v>
      </c>
      <c r="D170" s="7" t="s">
        <v>10</v>
      </c>
      <c r="E170" s="7"/>
      <c r="F170" s="7"/>
      <c r="G170" s="7"/>
      <c r="H170" s="9"/>
      <c r="I170" s="7"/>
      <c r="J170" s="7"/>
    </row>
    <row r="171" spans="1:10" x14ac:dyDescent="0.2">
      <c r="A171" s="19">
        <f t="shared" si="9"/>
        <v>3</v>
      </c>
      <c r="B171" s="1" t="s">
        <v>159</v>
      </c>
      <c r="C171" s="8" t="s">
        <v>10</v>
      </c>
      <c r="D171" s="7" t="s">
        <v>10</v>
      </c>
      <c r="E171" s="7"/>
      <c r="F171" s="7"/>
      <c r="G171" s="7"/>
      <c r="H171" s="9"/>
      <c r="I171" s="7"/>
      <c r="J171" s="7"/>
    </row>
    <row r="172" spans="1:10" x14ac:dyDescent="0.2">
      <c r="A172" s="19">
        <f t="shared" si="9"/>
        <v>3</v>
      </c>
      <c r="B172" s="1" t="s">
        <v>160</v>
      </c>
      <c r="C172" s="8" t="s">
        <v>10</v>
      </c>
      <c r="D172" s="7" t="s">
        <v>10</v>
      </c>
      <c r="E172" s="7"/>
      <c r="F172" s="7"/>
      <c r="G172" s="7"/>
      <c r="H172" s="9"/>
      <c r="I172" s="7"/>
      <c r="J172" s="7"/>
    </row>
    <row r="173" spans="1:10" x14ac:dyDescent="0.2">
      <c r="A173" s="19">
        <f t="shared" si="9"/>
        <v>3</v>
      </c>
      <c r="B173" s="1" t="s">
        <v>161</v>
      </c>
      <c r="G173" s="7" t="s">
        <v>10</v>
      </c>
      <c r="H173" s="9"/>
    </row>
    <row r="174" spans="1:10" x14ac:dyDescent="0.2">
      <c r="A174" s="19">
        <f t="shared" si="9"/>
        <v>3</v>
      </c>
      <c r="B174" s="1" t="s">
        <v>162</v>
      </c>
      <c r="G174" s="7" t="s">
        <v>10</v>
      </c>
      <c r="H174" s="9"/>
    </row>
    <row r="175" spans="1:10" x14ac:dyDescent="0.2">
      <c r="A175" s="19">
        <f t="shared" si="9"/>
        <v>3</v>
      </c>
      <c r="B175" s="1" t="s">
        <v>163</v>
      </c>
      <c r="C175" s="7"/>
      <c r="D175" s="7"/>
      <c r="E175" s="7"/>
      <c r="F175" s="7"/>
      <c r="G175" s="7"/>
      <c r="H175" s="9"/>
      <c r="I175" s="7"/>
      <c r="J175" s="7" t="s">
        <v>64</v>
      </c>
    </row>
    <row r="176" spans="1:10" x14ac:dyDescent="0.2">
      <c r="A176" s="19">
        <f>HYPERLINK( CONCATENATE("https://selfservice.mypurdue.purdue.edu/prod/bzwsrch.p_catalog_detail?subject=",LEFT(B176, SEARCH(" ",B176,1)-1),"&amp;cnbr=",MID(B176, 1+SEARCH(" ",B176,SEARCH(" ",B176,1)),5)), 1 )</f>
        <v>1</v>
      </c>
      <c r="B176" s="1" t="s">
        <v>164</v>
      </c>
      <c r="G176" s="7" t="s">
        <v>10</v>
      </c>
      <c r="H176" s="9"/>
    </row>
    <row r="177" spans="1:10" x14ac:dyDescent="0.2">
      <c r="A177" s="19">
        <f>HYPERLINK( CONCATENATE("https://selfservice.mypurdue.purdue.edu/prod/bzwsrch.p_catalog_detail?subject=",LEFT(B177, SEARCH(" ",B177,1)-1),"&amp;cnbr=",MID(B177, 1+SEARCH(" ",B177,SEARCH(" ",B177,1)),5)), 2 )</f>
        <v>2</v>
      </c>
      <c r="B177" s="1" t="s">
        <v>165</v>
      </c>
      <c r="G177" s="7" t="s">
        <v>10</v>
      </c>
      <c r="H177" s="9"/>
    </row>
    <row r="178" spans="1:10" x14ac:dyDescent="0.2">
      <c r="A178" s="19">
        <f>HYPERLINK( CONCATENATE("https://selfservice.mypurdue.purdue.edu/prod/bzwsrch.p_catalog_detail?subject=",LEFT(B178, SEARCH(" ",B178,1)-1),"&amp;cnbr=",MID(B178, 1+SEARCH(" ",B178,SEARCH(" ",B178,1)),5)), 1 )</f>
        <v>1</v>
      </c>
      <c r="B178" s="1" t="s">
        <v>166</v>
      </c>
      <c r="G178" s="7" t="s">
        <v>10</v>
      </c>
      <c r="H178" s="9"/>
    </row>
    <row r="179" spans="1:10" x14ac:dyDescent="0.2">
      <c r="A179" s="19">
        <f>HYPERLINK( CONCATENATE("https://selfservice.mypurdue.purdue.edu/prod/bzwsrch.p_catalog_detail?subject=",LEFT(B179, SEARCH(" ",B179,1)-1),"&amp;cnbr=",MID(B179, 1+SEARCH(" ",B179,SEARCH(" ",B179,1)),5)), 2 )</f>
        <v>2</v>
      </c>
      <c r="B179" s="1" t="s">
        <v>167</v>
      </c>
      <c r="G179" s="7" t="s">
        <v>10</v>
      </c>
      <c r="H179" s="9"/>
    </row>
    <row r="180" spans="1:10" x14ac:dyDescent="0.2">
      <c r="A180" s="19" t="str">
        <f>HYPERLINK(CONCATENATE("https://selfservice.mypurdue.purdue.edu/prod/bzwsrch.p_search_catalog?term=CURRENT&amp;subject=", LEFT(B180,SEARCH(" ",B180,1)-1)), LEFT(B180,SEARCH(" ",B180,1)-1) )</f>
        <v>FVS</v>
      </c>
      <c r="B180" s="5" t="s">
        <v>346</v>
      </c>
      <c r="D180" s="6" t="s">
        <v>10</v>
      </c>
      <c r="G180" s="7"/>
      <c r="H180" s="9"/>
    </row>
    <row r="181" spans="1:10" ht="42.75" x14ac:dyDescent="0.2">
      <c r="A181" s="19" t="str">
        <f>HYPERLINK(CONCATENATE("https://selfservice.mypurdue.purdue.edu/prod/bzwsrch.p_search_catalog?term=CURRENT&amp;subject=", LEFT(B181,SEARCH(" ",B181,1)-1)), LEFT(B181,SEARCH(" ",B181,1)-1) )</f>
        <v>FLL</v>
      </c>
      <c r="B181" s="14" t="s">
        <v>347</v>
      </c>
      <c r="C181" s="7"/>
      <c r="D181" s="6" t="s">
        <v>10</v>
      </c>
      <c r="E181" s="7"/>
      <c r="F181" s="7"/>
      <c r="G181" s="7"/>
      <c r="H181" s="9"/>
      <c r="I181" s="6" t="s">
        <v>10</v>
      </c>
    </row>
    <row r="182" spans="1:10" x14ac:dyDescent="0.2">
      <c r="A182" s="19">
        <f t="shared" ref="A182:A194" si="10">HYPERLINK( CONCATENATE("https://selfservice.mypurdue.purdue.edu/prod/bzwsrch.p_catalog_detail?subject=",LEFT(B182, SEARCH(" ",B182,1)-1),"&amp;cnbr=",MID(B182, 1+SEARCH(" ",B182,SEARCH(" ",B182,1)),5)), 3 )</f>
        <v>3</v>
      </c>
      <c r="B182" s="1" t="s">
        <v>168</v>
      </c>
      <c r="G182" s="7" t="s">
        <v>10</v>
      </c>
      <c r="H182" s="9"/>
    </row>
    <row r="183" spans="1:10" x14ac:dyDescent="0.2">
      <c r="A183" s="19">
        <f t="shared" si="10"/>
        <v>3</v>
      </c>
      <c r="B183" s="1" t="s">
        <v>169</v>
      </c>
      <c r="C183" s="7"/>
      <c r="D183" s="7"/>
      <c r="E183" s="7"/>
      <c r="F183" s="7"/>
      <c r="G183" s="7" t="s">
        <v>10</v>
      </c>
      <c r="H183" s="9"/>
      <c r="I183" s="7" t="s">
        <v>10</v>
      </c>
      <c r="J183" s="7"/>
    </row>
    <row r="184" spans="1:10" x14ac:dyDescent="0.2">
      <c r="A184" s="19">
        <f t="shared" si="10"/>
        <v>3</v>
      </c>
      <c r="B184" s="1" t="s">
        <v>170</v>
      </c>
      <c r="G184" s="7" t="s">
        <v>10</v>
      </c>
      <c r="H184" s="9"/>
    </row>
    <row r="185" spans="1:10" x14ac:dyDescent="0.2">
      <c r="A185" s="19">
        <f t="shared" si="10"/>
        <v>3</v>
      </c>
      <c r="B185" s="1" t="s">
        <v>171</v>
      </c>
      <c r="C185" s="7"/>
      <c r="D185" s="7"/>
      <c r="E185" s="7"/>
      <c r="F185" s="7" t="s">
        <v>10</v>
      </c>
      <c r="G185" s="7"/>
      <c r="H185" s="9"/>
      <c r="I185" s="7"/>
      <c r="J185" s="7"/>
    </row>
    <row r="186" spans="1:10" x14ac:dyDescent="0.2">
      <c r="A186" s="19">
        <f t="shared" si="10"/>
        <v>3</v>
      </c>
      <c r="B186" s="1" t="s">
        <v>172</v>
      </c>
      <c r="C186" s="7"/>
      <c r="D186" s="7"/>
      <c r="E186" s="7"/>
      <c r="F186" s="7"/>
      <c r="G186" s="7"/>
      <c r="H186" s="9"/>
      <c r="I186" s="7" t="s">
        <v>10</v>
      </c>
      <c r="J186" s="7"/>
    </row>
    <row r="187" spans="1:10" x14ac:dyDescent="0.2">
      <c r="A187" s="19">
        <f t="shared" si="10"/>
        <v>3</v>
      </c>
      <c r="B187" s="1" t="s">
        <v>173</v>
      </c>
      <c r="C187" s="7"/>
      <c r="D187" s="7"/>
      <c r="E187" s="7"/>
      <c r="F187" s="7"/>
      <c r="G187" s="7"/>
      <c r="H187" s="9"/>
      <c r="I187" s="7" t="s">
        <v>10</v>
      </c>
      <c r="J187" s="7"/>
    </row>
    <row r="188" spans="1:10" ht="57" x14ac:dyDescent="0.2">
      <c r="A188" s="19" t="str">
        <f>HYPERLINK(CONCATENATE("https://selfservice.mypurdue.purdue.edu/prod/bzwsrch.p_search_catalog?term=CURRENT&amp;subject=", LEFT(B188,SEARCH(" ",B188,1)-1)), LEFT(B188,SEARCH(" ",B188,1)-1) )</f>
        <v>FR</v>
      </c>
      <c r="B188" s="14" t="s">
        <v>348</v>
      </c>
      <c r="C188" s="8"/>
      <c r="D188" s="6" t="s">
        <v>10</v>
      </c>
      <c r="E188" s="7"/>
      <c r="F188" s="7"/>
      <c r="G188" s="7"/>
      <c r="H188" s="9"/>
      <c r="I188" s="6" t="s">
        <v>10</v>
      </c>
      <c r="J188" s="7"/>
    </row>
    <row r="189" spans="1:10" x14ac:dyDescent="0.2">
      <c r="A189" s="19">
        <f t="shared" si="10"/>
        <v>3</v>
      </c>
      <c r="B189" s="1" t="s">
        <v>174</v>
      </c>
      <c r="D189" s="7" t="s">
        <v>10</v>
      </c>
      <c r="E189" s="7"/>
      <c r="H189" s="9"/>
      <c r="I189" s="7" t="s">
        <v>10</v>
      </c>
    </row>
    <row r="190" spans="1:10" x14ac:dyDescent="0.2">
      <c r="A190" s="19">
        <f t="shared" si="10"/>
        <v>3</v>
      </c>
      <c r="B190" s="1" t="s">
        <v>175</v>
      </c>
      <c r="D190" s="7" t="s">
        <v>10</v>
      </c>
      <c r="E190" s="7" t="s">
        <v>10</v>
      </c>
      <c r="H190" s="9"/>
      <c r="I190" s="7" t="s">
        <v>10</v>
      </c>
    </row>
    <row r="191" spans="1:10" ht="57" x14ac:dyDescent="0.2">
      <c r="A191" s="19" t="str">
        <f>HYPERLINK(CONCATENATE("https://selfservice.mypurdue.purdue.edu/prod/bzwsrch.p_search_catalog?term=CURRENT&amp;subject=", LEFT(B191,SEARCH(" ",B191,1)-1)), LEFT(B191,SEARCH(" ",B191,1)-1) )</f>
        <v>GER</v>
      </c>
      <c r="B191" s="14" t="s">
        <v>349</v>
      </c>
      <c r="C191" s="8"/>
      <c r="D191" s="6" t="s">
        <v>10</v>
      </c>
      <c r="E191" s="7"/>
      <c r="F191" s="7"/>
      <c r="G191" s="7"/>
      <c r="H191" s="9"/>
      <c r="I191" s="6" t="s">
        <v>10</v>
      </c>
      <c r="J191" s="7"/>
    </row>
    <row r="192" spans="1:10" x14ac:dyDescent="0.2">
      <c r="A192" s="19">
        <f t="shared" si="10"/>
        <v>3</v>
      </c>
      <c r="B192" s="1" t="s">
        <v>176</v>
      </c>
      <c r="D192" s="7" t="s">
        <v>10</v>
      </c>
      <c r="E192" s="7" t="s">
        <v>10</v>
      </c>
      <c r="H192" s="9"/>
      <c r="I192" s="7" t="s">
        <v>10</v>
      </c>
    </row>
    <row r="193" spans="1:10" x14ac:dyDescent="0.2">
      <c r="A193" s="19">
        <f t="shared" si="10"/>
        <v>3</v>
      </c>
      <c r="B193" s="1" t="s">
        <v>177</v>
      </c>
      <c r="D193" s="7" t="s">
        <v>10</v>
      </c>
      <c r="E193" s="7"/>
      <c r="H193" s="9"/>
      <c r="I193" s="7" t="s">
        <v>10</v>
      </c>
    </row>
    <row r="194" spans="1:10" x14ac:dyDescent="0.2">
      <c r="A194" s="19">
        <f t="shared" si="10"/>
        <v>3</v>
      </c>
      <c r="B194" s="1" t="s">
        <v>178</v>
      </c>
      <c r="D194" s="7" t="s">
        <v>10</v>
      </c>
      <c r="E194" s="7" t="s">
        <v>10</v>
      </c>
      <c r="H194" s="9"/>
      <c r="I194" s="7" t="s">
        <v>10</v>
      </c>
    </row>
    <row r="195" spans="1:10" ht="42.75" x14ac:dyDescent="0.2">
      <c r="A195" s="19" t="str">
        <f>HYPERLINK(CONCATENATE("https://selfservice.mypurdue.purdue.edu/prod/bzwsrch.p_search_catalog?term=CURRENT&amp;subject=", LEFT(B195,SEARCH(" ",B195,1)-1)), LEFT(B195,SEARCH(" ",B195,1)-1) )</f>
        <v>GREK</v>
      </c>
      <c r="B195" s="14" t="s">
        <v>350</v>
      </c>
      <c r="C195" s="7"/>
      <c r="D195" s="6" t="s">
        <v>10</v>
      </c>
      <c r="E195" s="7"/>
      <c r="F195" s="7"/>
      <c r="G195" s="7"/>
      <c r="H195" s="9"/>
      <c r="I195" s="6" t="s">
        <v>10</v>
      </c>
    </row>
    <row r="196" spans="1:10" x14ac:dyDescent="0.2">
      <c r="A196" s="19">
        <f t="shared" ref="A196:A199" si="11">HYPERLINK( CONCATENATE("https://selfservice.mypurdue.purdue.edu/prod/bzwsrch.p_catalog_detail?subject=",LEFT(B196, SEARCH(" ",B196,1)-1),"&amp;cnbr=",MID(B196, 1+SEARCH(" ",B196,SEARCH(" ",B196,1)),5)), 3 )</f>
        <v>3</v>
      </c>
      <c r="B196" s="1" t="s">
        <v>379</v>
      </c>
      <c r="C196" s="7"/>
      <c r="D196" s="8" t="s">
        <v>10</v>
      </c>
      <c r="E196" s="8" t="s">
        <v>10</v>
      </c>
      <c r="F196" s="7"/>
      <c r="G196" s="7"/>
      <c r="H196" s="9"/>
      <c r="I196" s="7" t="s">
        <v>10</v>
      </c>
      <c r="J196" s="7"/>
    </row>
    <row r="197" spans="1:10" ht="57" x14ac:dyDescent="0.2">
      <c r="A197" s="19" t="str">
        <f>HYPERLINK(CONCATENATE("https://selfservice.mypurdue.purdue.edu/prod/bzwsrch.p_search_catalog?term=CURRENT&amp;subject=", LEFT(B197,SEARCH(" ",B197,1)-1)), LEFT(B197,SEARCH(" ",B197,1)-1) )</f>
        <v>HEBR</v>
      </c>
      <c r="B197" s="14" t="s">
        <v>351</v>
      </c>
      <c r="C197" s="8"/>
      <c r="D197" s="6" t="s">
        <v>10</v>
      </c>
      <c r="E197" s="7"/>
      <c r="F197" s="7"/>
      <c r="G197" s="7"/>
      <c r="H197" s="9"/>
      <c r="I197" s="6" t="s">
        <v>10</v>
      </c>
      <c r="J197" s="7"/>
    </row>
    <row r="198" spans="1:10" x14ac:dyDescent="0.2">
      <c r="A198" s="19">
        <f t="shared" si="11"/>
        <v>3</v>
      </c>
      <c r="B198" s="1" t="s">
        <v>179</v>
      </c>
      <c r="D198" s="7" t="s">
        <v>10</v>
      </c>
      <c r="E198" s="7"/>
      <c r="H198" s="9"/>
      <c r="I198" s="7" t="s">
        <v>10</v>
      </c>
    </row>
    <row r="199" spans="1:10" x14ac:dyDescent="0.2">
      <c r="A199" s="19">
        <f t="shared" si="11"/>
        <v>3</v>
      </c>
      <c r="B199" s="1" t="s">
        <v>180</v>
      </c>
      <c r="D199" s="7" t="s">
        <v>10</v>
      </c>
      <c r="E199" s="7"/>
      <c r="H199" s="9"/>
      <c r="I199" s="7" t="s">
        <v>10</v>
      </c>
    </row>
    <row r="200" spans="1:10" x14ac:dyDescent="0.2">
      <c r="A200" s="19" t="str">
        <f>HYPERLINK(CONCATENATE("https://selfservice.mypurdue.purdue.edu/prod/bzwsrch.p_search_catalog?term=CURRENT&amp;subject=", LEFT(B200,SEARCH(" ",B200,1)-1)), LEFT(B200,SEARCH(" ",B200,1)-1) )</f>
        <v>HIST</v>
      </c>
      <c r="B200" s="5" t="s">
        <v>352</v>
      </c>
      <c r="C200" s="7"/>
      <c r="D200" s="6" t="s">
        <v>10</v>
      </c>
      <c r="E200" s="7"/>
      <c r="F200" s="7"/>
      <c r="G200" s="7"/>
      <c r="H200" s="9"/>
      <c r="I200" s="7"/>
      <c r="J200" s="7"/>
    </row>
    <row r="201" spans="1:10" x14ac:dyDescent="0.2">
      <c r="A201" s="19">
        <f t="shared" ref="A201:A250" si="12">HYPERLINK( CONCATENATE("https://selfservice.mypurdue.purdue.edu/prod/bzwsrch.p_catalog_detail?subject=",LEFT(B201, SEARCH(" ",B201,1)-1),"&amp;cnbr=",MID(B201, 1+SEARCH(" ",B201,SEARCH(" ",B201,1)),5)), 3 )</f>
        <v>3</v>
      </c>
      <c r="B201" s="1" t="s">
        <v>181</v>
      </c>
      <c r="D201" s="7" t="s">
        <v>10</v>
      </c>
      <c r="E201" s="7" t="s">
        <v>10</v>
      </c>
      <c r="H201" s="9"/>
    </row>
    <row r="202" spans="1:10" x14ac:dyDescent="0.2">
      <c r="A202" s="19">
        <f t="shared" si="12"/>
        <v>3</v>
      </c>
      <c r="B202" s="1" t="s">
        <v>182</v>
      </c>
      <c r="D202" s="7" t="s">
        <v>10</v>
      </c>
      <c r="E202" s="7" t="s">
        <v>10</v>
      </c>
      <c r="H202" s="9"/>
    </row>
    <row r="203" spans="1:10" x14ac:dyDescent="0.2">
      <c r="A203" s="19">
        <f t="shared" si="12"/>
        <v>3</v>
      </c>
      <c r="B203" s="1" t="s">
        <v>183</v>
      </c>
      <c r="D203" s="7" t="s">
        <v>10</v>
      </c>
      <c r="E203" s="7" t="s">
        <v>10</v>
      </c>
      <c r="H203" s="9"/>
    </row>
    <row r="204" spans="1:10" x14ac:dyDescent="0.2">
      <c r="A204" s="19">
        <f t="shared" si="12"/>
        <v>3</v>
      </c>
      <c r="B204" s="1" t="s">
        <v>184</v>
      </c>
      <c r="D204" s="7" t="s">
        <v>10</v>
      </c>
      <c r="E204" s="7" t="s">
        <v>10</v>
      </c>
      <c r="H204" s="9"/>
    </row>
    <row r="205" spans="1:10" x14ac:dyDescent="0.2">
      <c r="A205" s="19">
        <f t="shared" si="12"/>
        <v>3</v>
      </c>
      <c r="B205" s="1" t="s">
        <v>185</v>
      </c>
      <c r="D205" s="7" t="s">
        <v>10</v>
      </c>
      <c r="E205" s="7" t="s">
        <v>10</v>
      </c>
      <c r="H205" s="9"/>
    </row>
    <row r="206" spans="1:10" x14ac:dyDescent="0.2">
      <c r="A206" s="19">
        <f t="shared" si="12"/>
        <v>3</v>
      </c>
      <c r="B206" s="1" t="s">
        <v>186</v>
      </c>
      <c r="D206" s="7" t="s">
        <v>10</v>
      </c>
      <c r="E206" s="7" t="s">
        <v>10</v>
      </c>
      <c r="H206" s="9"/>
    </row>
    <row r="207" spans="1:10" x14ac:dyDescent="0.2">
      <c r="A207" s="19">
        <f t="shared" si="12"/>
        <v>3</v>
      </c>
      <c r="B207" s="1" t="s">
        <v>187</v>
      </c>
      <c r="C207" s="7"/>
      <c r="D207" s="7" t="s">
        <v>10</v>
      </c>
      <c r="E207" s="7" t="s">
        <v>10</v>
      </c>
      <c r="F207" s="7"/>
      <c r="G207" s="7"/>
      <c r="H207" s="9"/>
      <c r="I207" s="7" t="s">
        <v>10</v>
      </c>
      <c r="J207" s="7"/>
    </row>
    <row r="208" spans="1:10" x14ac:dyDescent="0.2">
      <c r="A208" s="19">
        <f t="shared" si="12"/>
        <v>3</v>
      </c>
      <c r="B208" s="1" t="s">
        <v>188</v>
      </c>
      <c r="C208" s="7"/>
      <c r="D208" s="7" t="s">
        <v>10</v>
      </c>
      <c r="E208" s="7" t="s">
        <v>10</v>
      </c>
      <c r="F208" s="7"/>
      <c r="G208" s="7"/>
      <c r="H208" s="9"/>
      <c r="I208" s="7" t="s">
        <v>10</v>
      </c>
      <c r="J208" s="7"/>
    </row>
    <row r="209" spans="1:10" x14ac:dyDescent="0.2">
      <c r="A209" s="19">
        <f t="shared" si="12"/>
        <v>3</v>
      </c>
      <c r="B209" s="1" t="s">
        <v>189</v>
      </c>
      <c r="C209" s="7"/>
      <c r="D209" s="7" t="s">
        <v>10</v>
      </c>
      <c r="E209" s="7" t="s">
        <v>10</v>
      </c>
      <c r="F209" s="7"/>
      <c r="G209" s="7"/>
      <c r="H209" s="9"/>
      <c r="I209" s="7" t="s">
        <v>10</v>
      </c>
      <c r="J209" s="7"/>
    </row>
    <row r="210" spans="1:10" x14ac:dyDescent="0.2">
      <c r="A210" s="19">
        <f t="shared" si="12"/>
        <v>3</v>
      </c>
      <c r="B210" s="1" t="s">
        <v>190</v>
      </c>
      <c r="C210" s="7"/>
      <c r="D210" s="7" t="s">
        <v>10</v>
      </c>
      <c r="E210" s="7" t="s">
        <v>10</v>
      </c>
      <c r="F210" s="7"/>
      <c r="G210" s="7"/>
      <c r="H210" s="9"/>
      <c r="I210" s="7" t="s">
        <v>10</v>
      </c>
      <c r="J210" s="7"/>
    </row>
    <row r="211" spans="1:10" x14ac:dyDescent="0.2">
      <c r="A211" s="19">
        <f t="shared" si="12"/>
        <v>3</v>
      </c>
      <c r="B211" s="1" t="s">
        <v>191</v>
      </c>
      <c r="C211" s="7"/>
      <c r="D211" s="7" t="s">
        <v>64</v>
      </c>
      <c r="E211" s="7" t="s">
        <v>10</v>
      </c>
      <c r="F211" s="7"/>
      <c r="G211" s="7"/>
      <c r="H211" s="9"/>
      <c r="I211" s="7" t="s">
        <v>64</v>
      </c>
      <c r="J211" s="7"/>
    </row>
    <row r="212" spans="1:10" x14ac:dyDescent="0.2">
      <c r="A212" s="19">
        <f t="shared" si="12"/>
        <v>3</v>
      </c>
      <c r="B212" s="1" t="s">
        <v>192</v>
      </c>
      <c r="C212" s="7"/>
      <c r="D212" s="7" t="s">
        <v>10</v>
      </c>
      <c r="E212" s="7" t="s">
        <v>10</v>
      </c>
      <c r="F212" s="7"/>
      <c r="G212" s="7"/>
      <c r="H212" s="9"/>
      <c r="I212" s="7" t="s">
        <v>10</v>
      </c>
      <c r="J212" s="7"/>
    </row>
    <row r="213" spans="1:10" x14ac:dyDescent="0.2">
      <c r="A213" s="19">
        <f t="shared" si="12"/>
        <v>3</v>
      </c>
      <c r="B213" s="1" t="s">
        <v>193</v>
      </c>
      <c r="C213" s="7"/>
      <c r="D213" s="7" t="s">
        <v>10</v>
      </c>
      <c r="E213" s="7" t="s">
        <v>10</v>
      </c>
      <c r="F213" s="7"/>
      <c r="G213" s="7"/>
      <c r="H213" s="9"/>
      <c r="I213" s="7" t="s">
        <v>10</v>
      </c>
      <c r="J213" s="7"/>
    </row>
    <row r="214" spans="1:10" x14ac:dyDescent="0.2">
      <c r="A214" s="19">
        <f t="shared" si="12"/>
        <v>3</v>
      </c>
      <c r="B214" s="11" t="s">
        <v>194</v>
      </c>
      <c r="C214" s="10"/>
      <c r="D214" s="10" t="s">
        <v>10</v>
      </c>
      <c r="E214" s="10"/>
      <c r="F214" s="10"/>
      <c r="G214" s="10"/>
      <c r="H214" s="16"/>
      <c r="I214" s="10" t="s">
        <v>10</v>
      </c>
      <c r="J214" s="7"/>
    </row>
    <row r="215" spans="1:10" x14ac:dyDescent="0.2">
      <c r="A215" s="19">
        <f t="shared" si="12"/>
        <v>3</v>
      </c>
      <c r="B215" s="1" t="s">
        <v>195</v>
      </c>
      <c r="C215" s="7"/>
      <c r="D215" s="7" t="s">
        <v>64</v>
      </c>
      <c r="E215" s="7"/>
      <c r="F215" s="7"/>
      <c r="G215" s="7"/>
      <c r="H215" s="9"/>
      <c r="I215" s="7" t="s">
        <v>64</v>
      </c>
      <c r="J215" s="7"/>
    </row>
    <row r="216" spans="1:10" x14ac:dyDescent="0.2">
      <c r="A216" s="19">
        <f t="shared" si="12"/>
        <v>3</v>
      </c>
      <c r="B216" s="1" t="s">
        <v>196</v>
      </c>
      <c r="C216" s="7"/>
      <c r="D216" s="7" t="s">
        <v>10</v>
      </c>
      <c r="E216" s="7"/>
      <c r="F216" s="7"/>
      <c r="G216" s="7"/>
      <c r="H216" s="9"/>
      <c r="I216" s="7" t="s">
        <v>10</v>
      </c>
      <c r="J216" s="7"/>
    </row>
    <row r="217" spans="1:10" x14ac:dyDescent="0.2">
      <c r="A217" s="19">
        <f t="shared" si="12"/>
        <v>3</v>
      </c>
      <c r="B217" s="1" t="s">
        <v>197</v>
      </c>
      <c r="C217" s="7"/>
      <c r="D217" s="7" t="s">
        <v>10</v>
      </c>
      <c r="E217" s="7"/>
      <c r="F217" s="7"/>
      <c r="G217" s="7"/>
      <c r="H217" s="9"/>
      <c r="I217" s="7" t="s">
        <v>10</v>
      </c>
      <c r="J217" s="7"/>
    </row>
    <row r="218" spans="1:10" x14ac:dyDescent="0.2">
      <c r="A218" s="19">
        <f t="shared" si="12"/>
        <v>3</v>
      </c>
      <c r="B218" s="1" t="s">
        <v>198</v>
      </c>
      <c r="C218" s="7"/>
      <c r="D218" s="7" t="s">
        <v>10</v>
      </c>
      <c r="E218" s="7"/>
      <c r="F218" s="7"/>
      <c r="G218" s="7"/>
      <c r="H218" s="9"/>
      <c r="I218" s="7" t="s">
        <v>10</v>
      </c>
      <c r="J218" s="7"/>
    </row>
    <row r="219" spans="1:10" x14ac:dyDescent="0.2">
      <c r="A219" s="19">
        <f t="shared" si="12"/>
        <v>3</v>
      </c>
      <c r="B219" s="1" t="s">
        <v>199</v>
      </c>
      <c r="C219" s="7"/>
      <c r="D219" s="7" t="s">
        <v>10</v>
      </c>
      <c r="E219" s="7"/>
      <c r="F219" s="7"/>
      <c r="G219" s="7"/>
      <c r="H219" s="9"/>
      <c r="I219" s="7" t="s">
        <v>10</v>
      </c>
      <c r="J219" s="7"/>
    </row>
    <row r="220" spans="1:10" x14ac:dyDescent="0.2">
      <c r="A220" s="19">
        <f t="shared" si="12"/>
        <v>3</v>
      </c>
      <c r="B220" s="1" t="s">
        <v>200</v>
      </c>
      <c r="C220" s="7"/>
      <c r="D220" s="7" t="s">
        <v>10</v>
      </c>
      <c r="E220" s="7"/>
      <c r="F220" s="7"/>
      <c r="G220" s="7"/>
      <c r="H220" s="9"/>
      <c r="I220" s="7" t="s">
        <v>10</v>
      </c>
      <c r="J220" s="7"/>
    </row>
    <row r="221" spans="1:10" x14ac:dyDescent="0.2">
      <c r="A221" s="19">
        <f t="shared" si="12"/>
        <v>3</v>
      </c>
      <c r="B221" s="1" t="s">
        <v>201</v>
      </c>
      <c r="C221" s="7"/>
      <c r="D221" s="7" t="s">
        <v>10</v>
      </c>
      <c r="E221" s="7"/>
      <c r="F221" s="7"/>
      <c r="G221" s="7"/>
      <c r="H221" s="9"/>
      <c r="I221" s="7" t="s">
        <v>10</v>
      </c>
      <c r="J221" s="7"/>
    </row>
    <row r="222" spans="1:10" x14ac:dyDescent="0.2">
      <c r="A222" s="19">
        <f t="shared" si="12"/>
        <v>3</v>
      </c>
      <c r="B222" s="1" t="s">
        <v>202</v>
      </c>
      <c r="C222" s="7"/>
      <c r="D222" s="7" t="s">
        <v>10</v>
      </c>
      <c r="E222" s="7"/>
      <c r="F222" s="7"/>
      <c r="G222" s="7"/>
      <c r="H222" s="9"/>
      <c r="I222" s="7" t="s">
        <v>10</v>
      </c>
      <c r="J222" s="7"/>
    </row>
    <row r="223" spans="1:10" x14ac:dyDescent="0.2">
      <c r="A223" s="19">
        <f t="shared" si="12"/>
        <v>3</v>
      </c>
      <c r="B223" s="1" t="s">
        <v>203</v>
      </c>
      <c r="C223" s="7"/>
      <c r="D223" s="7" t="s">
        <v>10</v>
      </c>
      <c r="E223" s="7"/>
      <c r="F223" s="7"/>
      <c r="G223" s="7"/>
      <c r="H223" s="9"/>
      <c r="I223" s="7" t="s">
        <v>10</v>
      </c>
      <c r="J223" s="7"/>
    </row>
    <row r="224" spans="1:10" x14ac:dyDescent="0.2">
      <c r="A224" s="19">
        <f t="shared" si="12"/>
        <v>3</v>
      </c>
      <c r="B224" s="11" t="s">
        <v>204</v>
      </c>
      <c r="C224" s="10"/>
      <c r="D224" s="10" t="s">
        <v>10</v>
      </c>
      <c r="E224" s="10"/>
      <c r="F224" s="10"/>
      <c r="G224" s="10"/>
      <c r="H224" s="16"/>
      <c r="I224" s="17" t="s">
        <v>10</v>
      </c>
      <c r="J224" s="7"/>
    </row>
    <row r="225" spans="1:10" x14ac:dyDescent="0.2">
      <c r="A225" s="19">
        <f t="shared" si="12"/>
        <v>3</v>
      </c>
      <c r="B225" s="1" t="s">
        <v>205</v>
      </c>
      <c r="C225" s="7"/>
      <c r="D225" s="7" t="s">
        <v>10</v>
      </c>
      <c r="E225" s="7"/>
      <c r="F225" s="7"/>
      <c r="G225" s="7"/>
      <c r="H225" s="9"/>
      <c r="I225" s="8"/>
      <c r="J225" s="7" t="s">
        <v>10</v>
      </c>
    </row>
    <row r="226" spans="1:10" x14ac:dyDescent="0.2">
      <c r="A226" s="19">
        <f t="shared" si="12"/>
        <v>3</v>
      </c>
      <c r="B226" s="1" t="s">
        <v>206</v>
      </c>
      <c r="C226" s="7"/>
      <c r="D226" s="7" t="s">
        <v>10</v>
      </c>
      <c r="E226" s="7"/>
      <c r="F226" s="7"/>
      <c r="G226" s="7"/>
      <c r="H226" s="9"/>
      <c r="I226" s="7"/>
      <c r="J226" s="7" t="s">
        <v>10</v>
      </c>
    </row>
    <row r="227" spans="1:10" x14ac:dyDescent="0.2">
      <c r="A227" s="19">
        <f t="shared" si="12"/>
        <v>3</v>
      </c>
      <c r="B227" s="1" t="s">
        <v>207</v>
      </c>
      <c r="C227" s="7"/>
      <c r="D227" s="7" t="s">
        <v>10</v>
      </c>
      <c r="E227" s="7"/>
      <c r="F227" s="7"/>
      <c r="G227" s="7"/>
      <c r="H227" s="9"/>
      <c r="I227" s="7"/>
      <c r="J227" s="7" t="s">
        <v>10</v>
      </c>
    </row>
    <row r="228" spans="1:10" x14ac:dyDescent="0.2">
      <c r="A228" s="19">
        <f t="shared" si="12"/>
        <v>3</v>
      </c>
      <c r="B228" s="1" t="s">
        <v>380</v>
      </c>
      <c r="C228" s="7"/>
      <c r="D228" s="8" t="s">
        <v>10</v>
      </c>
      <c r="E228" s="8" t="s">
        <v>10</v>
      </c>
      <c r="F228" s="7"/>
      <c r="G228" s="7"/>
      <c r="H228" s="9"/>
      <c r="I228" s="7"/>
      <c r="J228" s="7"/>
    </row>
    <row r="229" spans="1:10" x14ac:dyDescent="0.2">
      <c r="A229" s="19">
        <f t="shared" si="12"/>
        <v>3</v>
      </c>
      <c r="B229" s="1" t="s">
        <v>208</v>
      </c>
      <c r="C229" s="7"/>
      <c r="D229" s="7" t="s">
        <v>10</v>
      </c>
      <c r="E229" s="7"/>
      <c r="F229" s="7"/>
      <c r="G229" s="7"/>
      <c r="H229" s="9"/>
      <c r="I229" s="7"/>
      <c r="J229" s="7" t="s">
        <v>10</v>
      </c>
    </row>
    <row r="230" spans="1:10" x14ac:dyDescent="0.2">
      <c r="A230" s="19">
        <f t="shared" si="12"/>
        <v>3</v>
      </c>
      <c r="B230" s="1" t="s">
        <v>209</v>
      </c>
      <c r="C230" s="7"/>
      <c r="D230" s="7" t="s">
        <v>10</v>
      </c>
      <c r="E230" s="7"/>
      <c r="F230" s="7"/>
      <c r="G230" s="7"/>
      <c r="H230" s="9"/>
      <c r="I230" s="7"/>
      <c r="J230" s="7" t="s">
        <v>10</v>
      </c>
    </row>
    <row r="231" spans="1:10" x14ac:dyDescent="0.2">
      <c r="A231" s="19">
        <f t="shared" si="12"/>
        <v>3</v>
      </c>
      <c r="B231" s="1" t="s">
        <v>372</v>
      </c>
      <c r="C231" s="7"/>
      <c r="D231" s="8" t="s">
        <v>10</v>
      </c>
      <c r="E231" s="8" t="s">
        <v>10</v>
      </c>
      <c r="F231" s="7"/>
      <c r="G231" s="7" t="s">
        <v>10</v>
      </c>
      <c r="H231" s="9"/>
      <c r="I231" s="7"/>
      <c r="J231" s="7"/>
    </row>
    <row r="232" spans="1:10" x14ac:dyDescent="0.2">
      <c r="A232" s="19">
        <f t="shared" si="12"/>
        <v>3</v>
      </c>
      <c r="B232" s="1" t="s">
        <v>210</v>
      </c>
      <c r="C232" s="7"/>
      <c r="D232" s="7" t="s">
        <v>10</v>
      </c>
      <c r="E232" s="7"/>
      <c r="F232" s="7"/>
      <c r="G232" s="7"/>
      <c r="H232" s="9"/>
      <c r="I232" s="7"/>
      <c r="J232" s="7" t="s">
        <v>10</v>
      </c>
    </row>
    <row r="233" spans="1:10" x14ac:dyDescent="0.2">
      <c r="A233" s="19">
        <f t="shared" si="12"/>
        <v>3</v>
      </c>
      <c r="B233" s="1" t="s">
        <v>211</v>
      </c>
      <c r="C233" s="7"/>
      <c r="D233" s="7" t="s">
        <v>10</v>
      </c>
      <c r="E233" s="7"/>
      <c r="F233" s="7"/>
      <c r="G233" s="7"/>
      <c r="H233" s="9"/>
      <c r="I233" s="7"/>
      <c r="J233" s="7" t="s">
        <v>10</v>
      </c>
    </row>
    <row r="234" spans="1:10" x14ac:dyDescent="0.2">
      <c r="A234" s="19">
        <f t="shared" si="12"/>
        <v>3</v>
      </c>
      <c r="B234" s="1" t="s">
        <v>212</v>
      </c>
      <c r="C234" s="7"/>
      <c r="D234" s="7" t="s">
        <v>10</v>
      </c>
      <c r="E234" s="7"/>
      <c r="F234" s="7"/>
      <c r="G234" s="7"/>
      <c r="H234" s="9"/>
      <c r="I234" s="7" t="s">
        <v>10</v>
      </c>
      <c r="J234" s="7"/>
    </row>
    <row r="235" spans="1:10" x14ac:dyDescent="0.2">
      <c r="A235" s="19">
        <f t="shared" si="12"/>
        <v>3</v>
      </c>
      <c r="B235" s="11" t="s">
        <v>213</v>
      </c>
      <c r="C235" s="10"/>
      <c r="D235" s="10" t="s">
        <v>10</v>
      </c>
      <c r="E235" s="10"/>
      <c r="F235" s="10"/>
      <c r="G235" s="10"/>
      <c r="H235" s="16"/>
      <c r="I235" s="10" t="s">
        <v>10</v>
      </c>
      <c r="J235" s="7"/>
    </row>
    <row r="236" spans="1:10" x14ac:dyDescent="0.2">
      <c r="A236" s="19">
        <f t="shared" si="12"/>
        <v>3</v>
      </c>
      <c r="B236" s="1" t="s">
        <v>214</v>
      </c>
      <c r="C236" s="7"/>
      <c r="D236" s="7" t="s">
        <v>10</v>
      </c>
      <c r="E236" s="7"/>
      <c r="F236" s="7"/>
      <c r="G236" s="7"/>
      <c r="H236" s="9"/>
      <c r="I236" s="7" t="s">
        <v>10</v>
      </c>
      <c r="J236" s="7"/>
    </row>
    <row r="237" spans="1:10" x14ac:dyDescent="0.2">
      <c r="A237" s="19">
        <f t="shared" si="12"/>
        <v>3</v>
      </c>
      <c r="B237" s="1" t="s">
        <v>215</v>
      </c>
      <c r="C237" s="7"/>
      <c r="D237" s="7" t="s">
        <v>10</v>
      </c>
      <c r="E237" s="7"/>
      <c r="F237" s="7"/>
      <c r="G237" s="7"/>
      <c r="H237" s="9"/>
      <c r="I237" s="7" t="s">
        <v>10</v>
      </c>
      <c r="J237" s="7"/>
    </row>
    <row r="238" spans="1:10" x14ac:dyDescent="0.2">
      <c r="A238" s="19">
        <f t="shared" si="12"/>
        <v>3</v>
      </c>
      <c r="B238" s="1" t="s">
        <v>216</v>
      </c>
      <c r="C238" s="7"/>
      <c r="D238" s="7" t="s">
        <v>10</v>
      </c>
      <c r="E238" s="7"/>
      <c r="F238" s="7"/>
      <c r="G238" s="7"/>
      <c r="H238" s="9"/>
      <c r="I238" s="7" t="s">
        <v>10</v>
      </c>
      <c r="J238" s="7"/>
    </row>
    <row r="239" spans="1:10" x14ac:dyDescent="0.2">
      <c r="A239" s="19">
        <f t="shared" si="12"/>
        <v>3</v>
      </c>
      <c r="B239" s="1" t="s">
        <v>217</v>
      </c>
      <c r="C239" s="7"/>
      <c r="D239" s="7" t="s">
        <v>64</v>
      </c>
      <c r="E239" s="7"/>
      <c r="F239" s="7"/>
      <c r="G239" s="7"/>
      <c r="H239" s="9"/>
      <c r="I239" s="7" t="s">
        <v>64</v>
      </c>
      <c r="J239" s="7"/>
    </row>
    <row r="240" spans="1:10" x14ac:dyDescent="0.2">
      <c r="A240" s="19">
        <f t="shared" si="12"/>
        <v>3</v>
      </c>
      <c r="B240" s="1" t="s">
        <v>218</v>
      </c>
      <c r="C240" s="7"/>
      <c r="D240" s="7"/>
      <c r="E240" s="7"/>
      <c r="F240" s="7"/>
      <c r="G240" s="7"/>
      <c r="H240" s="9"/>
      <c r="I240" s="7"/>
      <c r="J240" s="7" t="s">
        <v>10</v>
      </c>
    </row>
    <row r="241" spans="1:10" x14ac:dyDescent="0.2">
      <c r="A241" s="19">
        <f t="shared" si="12"/>
        <v>3</v>
      </c>
      <c r="B241" s="11" t="s">
        <v>219</v>
      </c>
      <c r="C241" s="10"/>
      <c r="D241" s="10"/>
      <c r="E241" s="10"/>
      <c r="F241" s="10"/>
      <c r="G241" s="10"/>
      <c r="H241" s="16"/>
      <c r="I241" s="10" t="s">
        <v>10</v>
      </c>
      <c r="J241" s="7"/>
    </row>
    <row r="242" spans="1:10" x14ac:dyDescent="0.2">
      <c r="A242" s="19">
        <f t="shared" si="12"/>
        <v>3</v>
      </c>
      <c r="B242" s="1" t="s">
        <v>220</v>
      </c>
      <c r="C242" s="7"/>
      <c r="D242" s="7"/>
      <c r="E242" s="7"/>
      <c r="F242" s="7"/>
      <c r="G242" s="7"/>
      <c r="H242" s="9"/>
      <c r="I242" s="7" t="s">
        <v>64</v>
      </c>
      <c r="J242" s="7"/>
    </row>
    <row r="243" spans="1:10" x14ac:dyDescent="0.2">
      <c r="A243" s="19">
        <f t="shared" si="12"/>
        <v>3</v>
      </c>
      <c r="B243" s="1" t="s">
        <v>221</v>
      </c>
      <c r="C243" s="7"/>
      <c r="D243" s="7" t="s">
        <v>10</v>
      </c>
      <c r="E243" s="7"/>
      <c r="F243" s="7"/>
      <c r="G243" s="7"/>
      <c r="H243" s="9"/>
      <c r="I243" s="7"/>
      <c r="J243" s="7"/>
    </row>
    <row r="244" spans="1:10" x14ac:dyDescent="0.2">
      <c r="A244" s="19">
        <f t="shared" si="12"/>
        <v>3</v>
      </c>
      <c r="B244" s="1" t="s">
        <v>222</v>
      </c>
      <c r="C244" s="7"/>
      <c r="D244" s="7"/>
      <c r="E244" s="7"/>
      <c r="F244" s="7"/>
      <c r="G244" s="7"/>
      <c r="H244" s="9"/>
      <c r="I244" s="7" t="s">
        <v>10</v>
      </c>
      <c r="J244" s="7"/>
    </row>
    <row r="245" spans="1:10" x14ac:dyDescent="0.2">
      <c r="A245" s="19">
        <f t="shared" si="12"/>
        <v>3</v>
      </c>
      <c r="B245" s="1" t="s">
        <v>223</v>
      </c>
      <c r="C245" s="7"/>
      <c r="D245" s="7" t="s">
        <v>10</v>
      </c>
      <c r="E245" s="7"/>
      <c r="F245" s="7"/>
      <c r="G245" s="7"/>
      <c r="H245" s="9"/>
      <c r="I245" s="7"/>
      <c r="J245" s="7"/>
    </row>
    <row r="246" spans="1:10" x14ac:dyDescent="0.2">
      <c r="A246" s="19">
        <f t="shared" si="12"/>
        <v>3</v>
      </c>
      <c r="B246" s="1" t="s">
        <v>224</v>
      </c>
      <c r="C246" s="7"/>
      <c r="D246" s="7" t="s">
        <v>10</v>
      </c>
      <c r="E246" s="7"/>
      <c r="F246" s="7"/>
      <c r="G246" s="7" t="s">
        <v>10</v>
      </c>
      <c r="H246" s="9"/>
      <c r="I246" s="7" t="s">
        <v>10</v>
      </c>
      <c r="J246" s="7"/>
    </row>
    <row r="247" spans="1:10" x14ac:dyDescent="0.2">
      <c r="A247" s="19">
        <f t="shared" si="12"/>
        <v>3</v>
      </c>
      <c r="B247" s="1" t="s">
        <v>225</v>
      </c>
      <c r="C247" s="7"/>
      <c r="D247" s="7"/>
      <c r="E247" s="7"/>
      <c r="F247" s="7"/>
      <c r="G247" s="7"/>
      <c r="H247" s="9"/>
      <c r="I247" s="7" t="s">
        <v>10</v>
      </c>
      <c r="J247" s="7"/>
    </row>
    <row r="248" spans="1:10" x14ac:dyDescent="0.2">
      <c r="A248" s="19">
        <f t="shared" si="12"/>
        <v>3</v>
      </c>
      <c r="B248" s="1" t="s">
        <v>226</v>
      </c>
      <c r="C248" s="7"/>
      <c r="D248" s="7" t="s">
        <v>10</v>
      </c>
      <c r="E248" s="7"/>
      <c r="F248" s="7"/>
      <c r="G248" s="7"/>
      <c r="H248" s="9"/>
      <c r="I248" s="7" t="s">
        <v>10</v>
      </c>
      <c r="J248" s="7"/>
    </row>
    <row r="249" spans="1:10" x14ac:dyDescent="0.2">
      <c r="A249" s="19"/>
      <c r="B249" s="1" t="s">
        <v>384</v>
      </c>
      <c r="C249" s="7"/>
      <c r="D249" s="8"/>
      <c r="E249" s="8"/>
      <c r="F249" s="7"/>
      <c r="G249" s="7"/>
      <c r="H249" s="9"/>
      <c r="I249" s="7"/>
      <c r="J249" s="7"/>
    </row>
    <row r="250" spans="1:10" x14ac:dyDescent="0.2">
      <c r="A250" s="19">
        <f t="shared" si="12"/>
        <v>3</v>
      </c>
      <c r="B250" s="1" t="s">
        <v>227</v>
      </c>
      <c r="C250" s="7"/>
      <c r="D250" s="7"/>
      <c r="E250" s="7"/>
      <c r="F250" s="7"/>
      <c r="G250" s="7"/>
      <c r="H250" s="9"/>
      <c r="I250" s="7" t="s">
        <v>64</v>
      </c>
      <c r="J250" s="7"/>
    </row>
    <row r="251" spans="1:10" x14ac:dyDescent="0.2">
      <c r="A251" s="19" t="str">
        <f>HYPERLINK(CONCATENATE("https://selfservice.mypurdue.purdue.edu/prod/bzwsrch.p_search_catalog?term=CURRENT&amp;subject=", LEFT(B251,SEARCH(" ",B251,1)-1)), LEFT(B251,SEARCH(" ",B251,1)-1) )</f>
        <v>IDIS</v>
      </c>
      <c r="B251" s="5" t="s">
        <v>353</v>
      </c>
      <c r="C251" s="7"/>
      <c r="D251" s="6" t="s">
        <v>10</v>
      </c>
      <c r="E251" s="7"/>
      <c r="F251" s="7"/>
      <c r="G251" s="7"/>
      <c r="H251" s="9"/>
      <c r="I251" s="7"/>
      <c r="J251" s="7"/>
    </row>
    <row r="252" spans="1:10" x14ac:dyDescent="0.2">
      <c r="A252" s="19">
        <f t="shared" ref="A252:A261" si="13">HYPERLINK( CONCATENATE("https://selfservice.mypurdue.purdue.edu/prod/bzwsrch.p_catalog_detail?subject=",LEFT(B252, SEARCH(" ",B252,1)-1),"&amp;cnbr=",MID(B252, 1+SEARCH(" ",B252,SEARCH(" ",B252,1)),5)), 3 )</f>
        <v>3</v>
      </c>
      <c r="B252" s="1" t="s">
        <v>228</v>
      </c>
      <c r="C252" s="7"/>
      <c r="D252" s="7" t="s">
        <v>10</v>
      </c>
      <c r="E252" s="7"/>
      <c r="F252" s="7"/>
      <c r="G252" s="7"/>
      <c r="H252" s="9"/>
      <c r="I252" s="7"/>
      <c r="J252" s="8" t="s">
        <v>10</v>
      </c>
    </row>
    <row r="253" spans="1:10" x14ac:dyDescent="0.2">
      <c r="A253" s="19">
        <f t="shared" si="13"/>
        <v>3</v>
      </c>
      <c r="B253" s="11" t="s">
        <v>229</v>
      </c>
      <c r="C253" s="10"/>
      <c r="D253" s="10" t="s">
        <v>10</v>
      </c>
      <c r="E253" s="10"/>
      <c r="F253" s="10"/>
      <c r="G253" s="10"/>
      <c r="H253" s="16"/>
      <c r="I253" s="10"/>
      <c r="J253" s="17" t="s">
        <v>10</v>
      </c>
    </row>
    <row r="254" spans="1:10" x14ac:dyDescent="0.2">
      <c r="A254" s="19">
        <f t="shared" si="13"/>
        <v>3</v>
      </c>
      <c r="B254" s="11" t="s">
        <v>230</v>
      </c>
      <c r="C254" s="10"/>
      <c r="D254" s="10" t="s">
        <v>10</v>
      </c>
      <c r="E254" s="10"/>
      <c r="F254" s="10"/>
      <c r="G254" s="10"/>
      <c r="H254" s="16"/>
      <c r="I254" s="10"/>
      <c r="J254" s="17" t="s">
        <v>10</v>
      </c>
    </row>
    <row r="255" spans="1:10" x14ac:dyDescent="0.2">
      <c r="A255" s="19">
        <f t="shared" si="13"/>
        <v>3</v>
      </c>
      <c r="B255" s="1" t="s">
        <v>231</v>
      </c>
      <c r="C255" s="7"/>
      <c r="D255" s="7" t="s">
        <v>10</v>
      </c>
      <c r="E255" s="7"/>
      <c r="F255" s="7"/>
      <c r="G255" s="7"/>
      <c r="H255" s="9"/>
      <c r="I255" s="7"/>
      <c r="J255" s="8" t="s">
        <v>10</v>
      </c>
    </row>
    <row r="256" spans="1:10" x14ac:dyDescent="0.2">
      <c r="A256" s="19">
        <f t="shared" si="13"/>
        <v>3</v>
      </c>
      <c r="B256" s="11" t="s">
        <v>232</v>
      </c>
      <c r="C256" s="10"/>
      <c r="D256" s="10" t="s">
        <v>10</v>
      </c>
      <c r="E256" s="10"/>
      <c r="F256" s="10"/>
      <c r="G256" s="10"/>
      <c r="H256" s="16"/>
      <c r="I256" s="10"/>
      <c r="J256" s="17" t="s">
        <v>10</v>
      </c>
    </row>
    <row r="257" spans="1:10" x14ac:dyDescent="0.2">
      <c r="A257" s="19">
        <f t="shared" si="13"/>
        <v>3</v>
      </c>
      <c r="B257" s="11" t="s">
        <v>233</v>
      </c>
      <c r="C257" s="10"/>
      <c r="D257" s="10" t="s">
        <v>10</v>
      </c>
      <c r="E257" s="10"/>
      <c r="F257" s="10"/>
      <c r="G257" s="10"/>
      <c r="H257" s="16"/>
      <c r="I257" s="10"/>
      <c r="J257" s="17" t="s">
        <v>10</v>
      </c>
    </row>
    <row r="258" spans="1:10" x14ac:dyDescent="0.2">
      <c r="A258" s="19">
        <f t="shared" si="13"/>
        <v>3</v>
      </c>
      <c r="B258" s="11" t="s">
        <v>234</v>
      </c>
      <c r="C258" s="10" t="s">
        <v>235</v>
      </c>
      <c r="D258" s="10" t="s">
        <v>10</v>
      </c>
      <c r="E258" s="10"/>
      <c r="F258" s="10"/>
      <c r="G258" s="10"/>
      <c r="H258" s="16"/>
      <c r="I258" s="10"/>
      <c r="J258" s="17" t="s">
        <v>10</v>
      </c>
    </row>
    <row r="259" spans="1:10" x14ac:dyDescent="0.2">
      <c r="A259" s="19">
        <f t="shared" si="13"/>
        <v>3</v>
      </c>
      <c r="B259" s="11" t="s">
        <v>236</v>
      </c>
      <c r="C259" s="10"/>
      <c r="D259" s="10" t="s">
        <v>10</v>
      </c>
      <c r="E259" s="10"/>
      <c r="F259" s="10"/>
      <c r="G259" s="10"/>
      <c r="H259" s="16"/>
      <c r="I259" s="10"/>
      <c r="J259" s="10" t="s">
        <v>10</v>
      </c>
    </row>
    <row r="260" spans="1:10" x14ac:dyDescent="0.2">
      <c r="A260" s="19">
        <f t="shared" si="13"/>
        <v>3</v>
      </c>
      <c r="B260" s="11" t="s">
        <v>237</v>
      </c>
      <c r="C260" s="10"/>
      <c r="D260" s="10" t="s">
        <v>10</v>
      </c>
      <c r="E260" s="10"/>
      <c r="F260" s="10"/>
      <c r="G260" s="10"/>
      <c r="H260" s="16"/>
      <c r="I260" s="10" t="s">
        <v>10</v>
      </c>
      <c r="J260" s="10"/>
    </row>
    <row r="261" spans="1:10" x14ac:dyDescent="0.2">
      <c r="A261" s="19">
        <f t="shared" si="13"/>
        <v>3</v>
      </c>
      <c r="B261" s="11" t="s">
        <v>238</v>
      </c>
      <c r="C261" s="10"/>
      <c r="D261" s="10" t="s">
        <v>10</v>
      </c>
      <c r="E261" s="10"/>
      <c r="F261" s="10"/>
      <c r="G261" s="10"/>
      <c r="H261" s="16"/>
      <c r="I261" s="10"/>
      <c r="J261" s="10" t="s">
        <v>10</v>
      </c>
    </row>
    <row r="262" spans="1:10" x14ac:dyDescent="0.2">
      <c r="A262" s="19">
        <f>HYPERLINK( CONCATENATE("https://selfservice.mypurdue.purdue.edu/prod/bzwsrch.p_catalog_detail?subject=",LEFT(B262, SEARCH(" ",B262,1)-1),"&amp;cnbr=",MID(B262, 1+SEARCH(" ",B262,SEARCH(" ",B262,1)),5)), 2 )</f>
        <v>2</v>
      </c>
      <c r="B262" s="1" t="s">
        <v>239</v>
      </c>
      <c r="G262" s="7" t="s">
        <v>10</v>
      </c>
      <c r="H262" s="9"/>
    </row>
    <row r="263" spans="1:10" ht="57" x14ac:dyDescent="0.2">
      <c r="A263" s="19" t="str">
        <f>HYPERLINK(CONCATENATE("https://selfservice.mypurdue.purdue.edu/prod/bzwsrch.p_search_catalog?term=CURRENT&amp;subject=", LEFT(B263,SEARCH(" ",B263,1)-1)), LEFT(B263,SEARCH(" ",B263,1)-1) )</f>
        <v>ITAL</v>
      </c>
      <c r="B263" s="14" t="s">
        <v>354</v>
      </c>
      <c r="C263" s="8"/>
      <c r="D263" s="6" t="s">
        <v>10</v>
      </c>
      <c r="E263" s="7"/>
      <c r="F263" s="7"/>
      <c r="G263" s="7"/>
      <c r="H263" s="9"/>
      <c r="I263" s="6" t="s">
        <v>10</v>
      </c>
      <c r="J263" s="7"/>
    </row>
    <row r="264" spans="1:10" x14ac:dyDescent="0.2">
      <c r="A264" s="19">
        <f t="shared" ref="A264:A271" si="14">HYPERLINK( CONCATENATE("https://selfservice.mypurdue.purdue.edu/prod/bzwsrch.p_catalog_detail?subject=",LEFT(B264, SEARCH(" ",B264,1)-1),"&amp;cnbr=",MID(B264, 1+SEARCH(" ",B264,SEARCH(" ",B264,1)),5)), 3 )</f>
        <v>3</v>
      </c>
      <c r="B264" s="1" t="s">
        <v>240</v>
      </c>
      <c r="D264" s="7" t="s">
        <v>10</v>
      </c>
      <c r="E264" s="7"/>
      <c r="H264" s="9"/>
      <c r="I264" s="7" t="s">
        <v>10</v>
      </c>
    </row>
    <row r="265" spans="1:10" x14ac:dyDescent="0.2">
      <c r="A265" s="19">
        <f t="shared" si="14"/>
        <v>3</v>
      </c>
      <c r="B265" s="1" t="s">
        <v>241</v>
      </c>
      <c r="D265" s="7" t="s">
        <v>10</v>
      </c>
      <c r="E265" s="7" t="s">
        <v>10</v>
      </c>
      <c r="H265" s="9"/>
      <c r="I265" s="7" t="s">
        <v>10</v>
      </c>
    </row>
    <row r="266" spans="1:10" x14ac:dyDescent="0.2">
      <c r="A266" s="19">
        <f t="shared" si="14"/>
        <v>3</v>
      </c>
      <c r="B266" s="1" t="s">
        <v>242</v>
      </c>
      <c r="D266" s="7" t="s">
        <v>10</v>
      </c>
      <c r="E266" s="7" t="s">
        <v>10</v>
      </c>
      <c r="H266" s="9"/>
      <c r="I266" s="7" t="s">
        <v>10</v>
      </c>
    </row>
    <row r="267" spans="1:10" x14ac:dyDescent="0.2">
      <c r="A267" s="19">
        <f t="shared" si="14"/>
        <v>3</v>
      </c>
      <c r="B267" s="1" t="s">
        <v>243</v>
      </c>
      <c r="D267" s="7" t="s">
        <v>10</v>
      </c>
      <c r="E267" s="7" t="s">
        <v>10</v>
      </c>
      <c r="H267" s="9"/>
      <c r="I267" s="7" t="s">
        <v>10</v>
      </c>
    </row>
    <row r="268" spans="1:10" x14ac:dyDescent="0.2">
      <c r="A268" s="19">
        <f t="shared" si="14"/>
        <v>3</v>
      </c>
      <c r="B268" s="1" t="s">
        <v>244</v>
      </c>
      <c r="D268" s="7" t="s">
        <v>10</v>
      </c>
      <c r="E268" s="7"/>
      <c r="H268" s="9"/>
      <c r="I268" s="7" t="s">
        <v>10</v>
      </c>
    </row>
    <row r="269" spans="1:10" x14ac:dyDescent="0.2">
      <c r="A269" s="19">
        <f t="shared" si="14"/>
        <v>3</v>
      </c>
      <c r="B269" s="1" t="s">
        <v>245</v>
      </c>
      <c r="D269" s="7" t="s">
        <v>10</v>
      </c>
      <c r="E269" s="7"/>
      <c r="H269" s="9"/>
      <c r="I269" s="7" t="s">
        <v>10</v>
      </c>
    </row>
    <row r="270" spans="1:10" x14ac:dyDescent="0.2">
      <c r="A270" s="19">
        <f t="shared" si="14"/>
        <v>3</v>
      </c>
      <c r="B270" s="1" t="s">
        <v>246</v>
      </c>
      <c r="D270" s="7" t="s">
        <v>10</v>
      </c>
      <c r="E270" s="7"/>
      <c r="H270" s="9"/>
      <c r="I270" s="7" t="s">
        <v>10</v>
      </c>
    </row>
    <row r="271" spans="1:10" x14ac:dyDescent="0.2">
      <c r="A271" s="19">
        <f t="shared" si="14"/>
        <v>3</v>
      </c>
      <c r="B271" s="1" t="s">
        <v>247</v>
      </c>
      <c r="D271" s="7" t="s">
        <v>10</v>
      </c>
      <c r="E271" s="7"/>
      <c r="H271" s="9"/>
      <c r="I271" s="7" t="s">
        <v>10</v>
      </c>
    </row>
    <row r="272" spans="1:10" ht="57" x14ac:dyDescent="0.2">
      <c r="A272" s="19" t="str">
        <f>HYPERLINK(CONCATENATE("https://selfservice.mypurdue.purdue.edu/prod/bzwsrch.p_search_catalog?term=CURRENT&amp;subject=", LEFT(B272,SEARCH(" ",B272,1)-1)), LEFT(B272,SEARCH(" ",B272,1)-1) )</f>
        <v>JPNS</v>
      </c>
      <c r="B272" s="14" t="s">
        <v>355</v>
      </c>
      <c r="C272" s="8"/>
      <c r="D272" s="6" t="s">
        <v>10</v>
      </c>
      <c r="E272" s="7"/>
      <c r="F272" s="7"/>
      <c r="G272" s="7"/>
      <c r="H272" s="9"/>
      <c r="I272" s="6" t="s">
        <v>10</v>
      </c>
      <c r="J272" s="7"/>
    </row>
    <row r="273" spans="1:10" x14ac:dyDescent="0.2">
      <c r="A273" s="19">
        <f t="shared" ref="A273:A275" si="15">HYPERLINK( CONCATENATE("https://selfservice.mypurdue.purdue.edu/prod/bzwsrch.p_catalog_detail?subject=",LEFT(B273, SEARCH(" ",B273,1)-1),"&amp;cnbr=",MID(B273, 1+SEARCH(" ",B273,SEARCH(" ",B273,1)),5)), 3 )</f>
        <v>3</v>
      </c>
      <c r="B273" s="1" t="s">
        <v>248</v>
      </c>
      <c r="D273" s="7" t="s">
        <v>10</v>
      </c>
      <c r="E273" s="7"/>
      <c r="H273" s="9"/>
      <c r="I273" s="7" t="s">
        <v>10</v>
      </c>
    </row>
    <row r="274" spans="1:10" x14ac:dyDescent="0.2">
      <c r="A274" s="19">
        <f t="shared" si="15"/>
        <v>3</v>
      </c>
      <c r="B274" s="1" t="s">
        <v>249</v>
      </c>
      <c r="D274" s="7" t="s">
        <v>10</v>
      </c>
      <c r="E274" s="7"/>
      <c r="H274" s="9"/>
      <c r="I274" s="7" t="s">
        <v>10</v>
      </c>
    </row>
    <row r="275" spans="1:10" x14ac:dyDescent="0.2">
      <c r="A275" s="19">
        <f t="shared" si="15"/>
        <v>3</v>
      </c>
      <c r="B275" s="1" t="s">
        <v>250</v>
      </c>
      <c r="D275" s="7" t="s">
        <v>10</v>
      </c>
      <c r="E275" s="7"/>
      <c r="H275" s="9"/>
      <c r="I275" s="7" t="s">
        <v>10</v>
      </c>
    </row>
    <row r="276" spans="1:10" x14ac:dyDescent="0.2">
      <c r="A276" s="19" t="str">
        <f>HYPERLINK(CONCATENATE("https://selfservice.mypurdue.purdue.edu/prod/bzwsrch.p_search_catalog?term=CURRENT&amp;subject=", LEFT(B276,SEARCH(" ",B276,1)-1)), LEFT(B276,SEARCH(" ",B276,1)-1) )</f>
        <v>JWST</v>
      </c>
      <c r="B276" s="5" t="s">
        <v>356</v>
      </c>
      <c r="C276" s="7"/>
      <c r="D276" s="6" t="s">
        <v>10</v>
      </c>
      <c r="E276" s="7"/>
      <c r="F276" s="7"/>
      <c r="G276" s="7"/>
      <c r="H276" s="9"/>
      <c r="I276" s="7"/>
      <c r="J276" s="7"/>
    </row>
    <row r="277" spans="1:10" x14ac:dyDescent="0.2">
      <c r="A277" s="19">
        <f t="shared" ref="A277:A279" si="16">HYPERLINK( CONCATENATE("https://selfservice.mypurdue.purdue.edu/prod/bzwsrch.p_catalog_detail?subject=",LEFT(B277, SEARCH(" ",B277,1)-1),"&amp;cnbr=",MID(B277, 1+SEARCH(" ",B277,SEARCH(" ",B277,1)),5)), 3 )</f>
        <v>3</v>
      </c>
      <c r="B277" s="18" t="s">
        <v>251</v>
      </c>
      <c r="C277" s="8"/>
      <c r="D277" s="8" t="s">
        <v>10</v>
      </c>
      <c r="E277" s="7"/>
      <c r="F277" s="7"/>
      <c r="G277" s="7"/>
      <c r="H277" s="9"/>
      <c r="I277" s="7"/>
      <c r="J277" s="7" t="s">
        <v>10</v>
      </c>
    </row>
    <row r="278" spans="1:10" x14ac:dyDescent="0.2">
      <c r="A278" s="19">
        <f t="shared" si="16"/>
        <v>3</v>
      </c>
      <c r="B278" s="1" t="s">
        <v>252</v>
      </c>
      <c r="C278" s="7"/>
      <c r="D278" s="7"/>
      <c r="E278" s="7"/>
      <c r="F278" s="7"/>
      <c r="G278" s="7"/>
      <c r="H278" s="9"/>
      <c r="I278" s="7" t="s">
        <v>10</v>
      </c>
      <c r="J278" s="7"/>
    </row>
    <row r="279" spans="1:10" x14ac:dyDescent="0.2">
      <c r="A279" s="19">
        <f t="shared" si="16"/>
        <v>3</v>
      </c>
      <c r="B279" s="1" t="s">
        <v>253</v>
      </c>
      <c r="C279" s="7"/>
      <c r="D279" s="7" t="s">
        <v>10</v>
      </c>
      <c r="E279" s="7"/>
      <c r="F279" s="7"/>
      <c r="G279" s="7"/>
      <c r="H279" s="9"/>
      <c r="I279" s="7" t="s">
        <v>10</v>
      </c>
      <c r="J279" s="7"/>
    </row>
    <row r="280" spans="1:10" x14ac:dyDescent="0.2">
      <c r="A280" s="19" t="str">
        <f>HYPERLINK(CONCATENATE("https://selfservice.mypurdue.purdue.edu/prod/bzwsrch.p_search_catalog?term=CURRENT&amp;subject=", LEFT(B280,SEARCH(" ",B280,1)-1)), LEFT(B280,SEARCH(" ",B280,1)-1) )</f>
        <v>LALS</v>
      </c>
      <c r="B280" s="5" t="s">
        <v>357</v>
      </c>
      <c r="D280" s="6" t="s">
        <v>10</v>
      </c>
      <c r="E280" s="7"/>
      <c r="F280" s="7"/>
      <c r="G280" s="7"/>
      <c r="H280" s="9"/>
      <c r="I280" s="7"/>
      <c r="J280" s="7"/>
    </row>
    <row r="281" spans="1:10" ht="42.75" x14ac:dyDescent="0.2">
      <c r="A281" s="19" t="str">
        <f>HYPERLINK(CONCATENATE("https://selfservice.mypurdue.purdue.edu/prod/bzwsrch.p_search_catalog?term=CURRENT&amp;subject=", LEFT(B281,SEARCH(" ",B281,1)-1)), LEFT(B281,SEARCH(" ",B281,1)-1) )</f>
        <v>LATN</v>
      </c>
      <c r="B281" s="14" t="s">
        <v>358</v>
      </c>
      <c r="C281" s="7"/>
      <c r="D281" s="6" t="s">
        <v>10</v>
      </c>
      <c r="E281" s="7"/>
      <c r="F281" s="7"/>
      <c r="G281" s="7"/>
      <c r="H281" s="9"/>
      <c r="I281" s="6" t="s">
        <v>10</v>
      </c>
    </row>
    <row r="282" spans="1:10" x14ac:dyDescent="0.2">
      <c r="A282" s="19">
        <f t="shared" ref="A282:A284" si="17">HYPERLINK( CONCATENATE("https://selfservice.mypurdue.purdue.edu/prod/bzwsrch.p_catalog_detail?subject=",LEFT(B282, SEARCH(" ",B282,1)-1),"&amp;cnbr=",MID(B282, 1+SEARCH(" ",B282,SEARCH(" ",B282,1)),5)), 3 )</f>
        <v>3</v>
      </c>
      <c r="B282" s="1" t="s">
        <v>381</v>
      </c>
      <c r="C282" s="7"/>
      <c r="D282" s="8" t="s">
        <v>10</v>
      </c>
      <c r="E282" s="8" t="s">
        <v>10</v>
      </c>
      <c r="F282" s="7"/>
      <c r="G282" s="7"/>
      <c r="H282" s="9"/>
      <c r="I282" s="7"/>
      <c r="J282" s="7"/>
    </row>
    <row r="283" spans="1:10" x14ac:dyDescent="0.2">
      <c r="A283" s="19">
        <f t="shared" si="17"/>
        <v>3</v>
      </c>
      <c r="B283" s="1" t="s">
        <v>254</v>
      </c>
      <c r="D283" s="7" t="s">
        <v>10</v>
      </c>
      <c r="E283" s="7" t="s">
        <v>10</v>
      </c>
      <c r="H283" s="9"/>
      <c r="I283" s="7" t="s">
        <v>10</v>
      </c>
    </row>
    <row r="284" spans="1:10" x14ac:dyDescent="0.2">
      <c r="A284" s="19">
        <f t="shared" si="17"/>
        <v>3</v>
      </c>
      <c r="B284" s="1" t="s">
        <v>255</v>
      </c>
      <c r="D284" s="7" t="s">
        <v>10</v>
      </c>
      <c r="E284" s="7" t="s">
        <v>10</v>
      </c>
      <c r="H284" s="9"/>
      <c r="I284" s="7" t="s">
        <v>10</v>
      </c>
    </row>
    <row r="285" spans="1:10" x14ac:dyDescent="0.2">
      <c r="A285" s="19" t="str">
        <f>HYPERLINK(CONCATENATE("https://selfservice.mypurdue.purdue.edu/prod/bzwsrch.p_search_catalog?term=CURRENT&amp;subject=", LEFT(B285,SEARCH(" ",B285,1)-1)), LEFT(B285,SEARCH(" ",B285,1)-1) )</f>
        <v>LING</v>
      </c>
      <c r="B285" s="5" t="s">
        <v>359</v>
      </c>
      <c r="D285" s="6" t="s">
        <v>10</v>
      </c>
      <c r="E285" s="7"/>
      <c r="H285" s="9"/>
    </row>
    <row r="286" spans="1:10" x14ac:dyDescent="0.2">
      <c r="A286" s="19" t="str">
        <f>HYPERLINK(CONCATENATE("https://selfservice.mypurdue.purdue.edu/prod/bzwsrch.p_search_catalog?term=CURRENT&amp;subject=", LEFT(B286,SEARCH(" ",B286,1)-1)), LEFT(B286,SEARCH(" ",B286,1)-1) )</f>
        <v>MARS</v>
      </c>
      <c r="B286" s="5" t="s">
        <v>360</v>
      </c>
      <c r="D286" s="6" t="s">
        <v>10</v>
      </c>
      <c r="E286" s="7"/>
      <c r="H286" s="9"/>
    </row>
    <row r="287" spans="1:10" x14ac:dyDescent="0.2">
      <c r="A287" s="19">
        <f>HYPERLINK( CONCATENATE("https://selfservice.mypurdue.purdue.edu/prod/bzwsrch.p_catalog_detail?subject=",LEFT(B287, SEARCH(" ",B287,1)-1),"&amp;cnbr=",MID(B287, 1+SEARCH(" ",B287,SEARCH(" ",B287,1)),5)), 3 )</f>
        <v>3</v>
      </c>
      <c r="B287" s="26" t="s">
        <v>377</v>
      </c>
      <c r="C287" s="22"/>
      <c r="D287" s="23"/>
      <c r="E287" s="23"/>
      <c r="F287" s="22"/>
      <c r="G287" s="22" t="s">
        <v>10</v>
      </c>
      <c r="H287" s="24"/>
      <c r="I287" s="22"/>
      <c r="J287" s="22"/>
    </row>
    <row r="288" spans="1:10" x14ac:dyDescent="0.2">
      <c r="A288" s="19" t="str">
        <f>HYPERLINK(CONCATENATE("https://selfservice.mypurdue.purdue.edu/prod/bzwsrch.p_search_catalog?term=CURRENT&amp;subject=", LEFT(B288,SEARCH(" ",B288,1)-1)), LEFT(B288,SEARCH(" ",B288,1)-1) )</f>
        <v>MUS</v>
      </c>
      <c r="B288" s="5" t="s">
        <v>361</v>
      </c>
      <c r="D288" s="6" t="s">
        <v>10</v>
      </c>
      <c r="E288" s="7"/>
      <c r="H288" s="9"/>
    </row>
    <row r="289" spans="1:10" x14ac:dyDescent="0.2">
      <c r="A289" s="19">
        <f t="shared" ref="A289:A294" si="18">HYPERLINK( CONCATENATE("https://selfservice.mypurdue.purdue.edu/prod/bzwsrch.p_catalog_detail?subject=",LEFT(B289, SEARCH(" ",B289,1)-1),"&amp;cnbr=",MID(B289, 1+SEARCH(" ",B289,SEARCH(" ",B289,1)),5)), 3 )</f>
        <v>3</v>
      </c>
      <c r="B289" s="1" t="s">
        <v>256</v>
      </c>
      <c r="D289" s="7" t="s">
        <v>10</v>
      </c>
      <c r="E289" s="7" t="s">
        <v>10</v>
      </c>
      <c r="H289" s="9"/>
    </row>
    <row r="290" spans="1:10" x14ac:dyDescent="0.2">
      <c r="A290" s="19">
        <f t="shared" si="18"/>
        <v>3</v>
      </c>
      <c r="B290" s="1" t="s">
        <v>257</v>
      </c>
      <c r="D290" s="7" t="s">
        <v>10</v>
      </c>
      <c r="E290" s="7" t="s">
        <v>10</v>
      </c>
      <c r="H290" s="9"/>
    </row>
    <row r="291" spans="1:10" x14ac:dyDescent="0.2">
      <c r="A291" s="19">
        <f t="shared" si="18"/>
        <v>3</v>
      </c>
      <c r="B291" s="1" t="s">
        <v>258</v>
      </c>
      <c r="D291" s="7" t="s">
        <v>10</v>
      </c>
      <c r="E291" s="7" t="s">
        <v>10</v>
      </c>
      <c r="H291" s="9"/>
    </row>
    <row r="292" spans="1:10" x14ac:dyDescent="0.2">
      <c r="A292" s="19">
        <f t="shared" si="18"/>
        <v>3</v>
      </c>
      <c r="B292" s="1" t="s">
        <v>259</v>
      </c>
      <c r="D292" s="7" t="s">
        <v>10</v>
      </c>
      <c r="E292" s="7" t="s">
        <v>10</v>
      </c>
      <c r="H292" s="9"/>
    </row>
    <row r="293" spans="1:10" x14ac:dyDescent="0.2">
      <c r="A293" s="19">
        <v>3</v>
      </c>
      <c r="B293" s="1" t="s">
        <v>260</v>
      </c>
      <c r="G293" s="7" t="s">
        <v>10</v>
      </c>
      <c r="H293" s="9"/>
    </row>
    <row r="294" spans="1:10" x14ac:dyDescent="0.2">
      <c r="A294" s="19">
        <f t="shared" si="18"/>
        <v>3</v>
      </c>
      <c r="B294" s="1" t="s">
        <v>261</v>
      </c>
      <c r="C294" s="7"/>
      <c r="D294" s="7"/>
      <c r="E294" s="7"/>
      <c r="F294" s="7"/>
      <c r="G294" s="7"/>
      <c r="H294" s="9"/>
      <c r="I294" s="7"/>
      <c r="J294" s="7" t="s">
        <v>10</v>
      </c>
    </row>
    <row r="295" spans="1:10" x14ac:dyDescent="0.2">
      <c r="A295" s="19" t="str">
        <f>HYPERLINK(CONCATENATE("https://selfservice.mypurdue.purdue.edu/prod/bzwsrch.p_search_catalog?term=CURRENT&amp;subject=", LEFT(B295,SEARCH(" ",B295,1)-1)), LEFT(B295,SEARCH(" ",B295,1)-1) )</f>
        <v>PHIL</v>
      </c>
      <c r="B295" s="5" t="s">
        <v>362</v>
      </c>
      <c r="C295" s="7"/>
      <c r="D295" s="6" t="s">
        <v>10</v>
      </c>
      <c r="E295" s="7"/>
      <c r="F295" s="7"/>
      <c r="G295" s="7"/>
      <c r="H295" s="9"/>
      <c r="I295" s="7"/>
      <c r="J295" s="7"/>
    </row>
    <row r="296" spans="1:10" x14ac:dyDescent="0.2">
      <c r="A296" s="19">
        <f t="shared" ref="A296:A306" si="19">HYPERLINK( CONCATENATE("https://selfservice.mypurdue.purdue.edu/prod/bzwsrch.p_catalog_detail?subject=",LEFT(B296, SEARCH(" ",B296,1)-1),"&amp;cnbr=",MID(B296, 1+SEARCH(" ",B296,SEARCH(" ",B296,1)),5)), 3 )</f>
        <v>3</v>
      </c>
      <c r="B296" s="1" t="s">
        <v>262</v>
      </c>
      <c r="D296" s="7" t="s">
        <v>10</v>
      </c>
      <c r="E296" s="7" t="s">
        <v>10</v>
      </c>
      <c r="H296" s="9"/>
      <c r="I296" s="7" t="s">
        <v>10</v>
      </c>
    </row>
    <row r="297" spans="1:10" x14ac:dyDescent="0.2">
      <c r="A297" s="19">
        <f t="shared" si="19"/>
        <v>3</v>
      </c>
      <c r="B297" s="1" t="s">
        <v>263</v>
      </c>
      <c r="D297" s="7" t="s">
        <v>10</v>
      </c>
      <c r="E297" s="7" t="s">
        <v>10</v>
      </c>
      <c r="H297" s="9"/>
    </row>
    <row r="298" spans="1:10" x14ac:dyDescent="0.2">
      <c r="A298" s="19">
        <f t="shared" si="19"/>
        <v>3</v>
      </c>
      <c r="B298" s="1" t="s">
        <v>264</v>
      </c>
      <c r="D298" s="7" t="s">
        <v>10</v>
      </c>
      <c r="E298" s="7" t="s">
        <v>10</v>
      </c>
      <c r="H298" s="9"/>
    </row>
    <row r="299" spans="1:10" x14ac:dyDescent="0.2">
      <c r="A299" s="19">
        <f t="shared" si="19"/>
        <v>3</v>
      </c>
      <c r="B299" s="1" t="s">
        <v>265</v>
      </c>
      <c r="D299" s="7" t="s">
        <v>10</v>
      </c>
      <c r="H299" s="9"/>
      <c r="J299" s="7" t="s">
        <v>10</v>
      </c>
    </row>
    <row r="300" spans="1:10" x14ac:dyDescent="0.2">
      <c r="A300" s="19">
        <f t="shared" si="19"/>
        <v>3</v>
      </c>
      <c r="B300" s="1" t="s">
        <v>266</v>
      </c>
      <c r="C300" s="7"/>
      <c r="D300" s="7" t="s">
        <v>10</v>
      </c>
      <c r="E300" s="7"/>
      <c r="F300" s="7"/>
      <c r="G300" s="7"/>
      <c r="H300" s="9"/>
      <c r="I300" s="7"/>
      <c r="J300" s="7" t="s">
        <v>10</v>
      </c>
    </row>
    <row r="301" spans="1:10" x14ac:dyDescent="0.2">
      <c r="A301" s="19">
        <f t="shared" si="19"/>
        <v>3</v>
      </c>
      <c r="B301" s="1" t="s">
        <v>267</v>
      </c>
      <c r="C301" s="7"/>
      <c r="D301" s="7" t="s">
        <v>10</v>
      </c>
      <c r="E301" s="7"/>
      <c r="F301" s="7"/>
      <c r="G301" s="7"/>
      <c r="H301" s="9"/>
      <c r="I301" s="7"/>
      <c r="J301" s="7" t="s">
        <v>10</v>
      </c>
    </row>
    <row r="302" spans="1:10" x14ac:dyDescent="0.2">
      <c r="A302" s="19">
        <f t="shared" si="19"/>
        <v>3</v>
      </c>
      <c r="B302" s="1" t="s">
        <v>268</v>
      </c>
      <c r="D302" s="7" t="s">
        <v>10</v>
      </c>
      <c r="G302" s="7" t="s">
        <v>10</v>
      </c>
      <c r="H302" s="9"/>
    </row>
    <row r="303" spans="1:10" x14ac:dyDescent="0.2">
      <c r="A303" s="19">
        <f t="shared" si="19"/>
        <v>3</v>
      </c>
      <c r="B303" s="1" t="s">
        <v>269</v>
      </c>
      <c r="D303" s="7" t="s">
        <v>10</v>
      </c>
      <c r="E303" s="7" t="s">
        <v>10</v>
      </c>
      <c r="H303" s="9"/>
    </row>
    <row r="304" spans="1:10" x14ac:dyDescent="0.2">
      <c r="A304" s="19">
        <f t="shared" si="19"/>
        <v>3</v>
      </c>
      <c r="B304" s="1" t="s">
        <v>270</v>
      </c>
      <c r="D304" s="7" t="s">
        <v>10</v>
      </c>
      <c r="E304" s="7" t="s">
        <v>10</v>
      </c>
      <c r="H304" s="9"/>
    </row>
    <row r="305" spans="1:10" x14ac:dyDescent="0.2">
      <c r="A305" s="19">
        <f t="shared" si="19"/>
        <v>3</v>
      </c>
      <c r="B305" s="1" t="s">
        <v>271</v>
      </c>
      <c r="C305" s="7"/>
      <c r="D305" s="7" t="s">
        <v>10</v>
      </c>
      <c r="E305" s="7" t="s">
        <v>10</v>
      </c>
      <c r="F305" s="7"/>
      <c r="G305" s="7"/>
      <c r="H305" s="9"/>
      <c r="I305" s="7" t="s">
        <v>10</v>
      </c>
      <c r="J305" s="7" t="s">
        <v>10</v>
      </c>
    </row>
    <row r="306" spans="1:10" x14ac:dyDescent="0.2">
      <c r="A306" s="19">
        <f t="shared" si="19"/>
        <v>3</v>
      </c>
      <c r="B306" s="1" t="s">
        <v>272</v>
      </c>
      <c r="C306" s="7"/>
      <c r="D306" s="7" t="s">
        <v>10</v>
      </c>
      <c r="E306" s="7"/>
      <c r="F306" s="7"/>
      <c r="G306" s="7"/>
      <c r="H306" s="9"/>
      <c r="I306" s="7" t="s">
        <v>10</v>
      </c>
      <c r="J306" s="7" t="s">
        <v>10</v>
      </c>
    </row>
    <row r="307" spans="1:10" x14ac:dyDescent="0.2">
      <c r="A307" s="19" t="str">
        <f>HYPERLINK(CONCATENATE("https://selfservice.mypurdue.purdue.edu/prod/bzwsrch.p_search_catalog?term=CURRENT&amp;subject=", LEFT(B307,SEARCH(" ",B307,1)-1)), LEFT(B307,SEARCH(" ",B307,1)-1) )</f>
        <v>POL</v>
      </c>
      <c r="B307" s="5" t="s">
        <v>363</v>
      </c>
      <c r="C307" s="7"/>
      <c r="D307" s="7"/>
      <c r="E307" s="7"/>
      <c r="F307" s="6" t="s">
        <v>10</v>
      </c>
      <c r="G307" s="7"/>
      <c r="H307" s="9"/>
      <c r="I307" s="7"/>
      <c r="J307" s="7"/>
    </row>
    <row r="308" spans="1:10" x14ac:dyDescent="0.2">
      <c r="A308" s="19">
        <f t="shared" ref="A308:A335" si="20">HYPERLINK( CONCATENATE("https://selfservice.mypurdue.purdue.edu/prod/bzwsrch.p_catalog_detail?subject=",LEFT(B308, SEARCH(" ",B308,1)-1),"&amp;cnbr=",MID(B308, 1+SEARCH(" ",B308,SEARCH(" ",B308,1)),5)), 3 )</f>
        <v>3</v>
      </c>
      <c r="B308" s="1" t="s">
        <v>273</v>
      </c>
      <c r="C308" s="7"/>
      <c r="D308" s="7"/>
      <c r="E308" s="7"/>
      <c r="F308" s="7" t="s">
        <v>10</v>
      </c>
      <c r="G308" s="7"/>
      <c r="H308" s="9"/>
      <c r="I308" s="7" t="s">
        <v>10</v>
      </c>
      <c r="J308" s="7"/>
    </row>
    <row r="309" spans="1:10" x14ac:dyDescent="0.2">
      <c r="A309" s="19">
        <f t="shared" si="20"/>
        <v>3</v>
      </c>
      <c r="B309" s="1" t="s">
        <v>274</v>
      </c>
      <c r="C309" s="7"/>
      <c r="D309" s="7"/>
      <c r="E309" s="7"/>
      <c r="F309" s="7" t="s">
        <v>10</v>
      </c>
      <c r="G309" s="7"/>
      <c r="H309" s="9"/>
      <c r="I309" s="7" t="s">
        <v>10</v>
      </c>
      <c r="J309" s="7"/>
    </row>
    <row r="310" spans="1:10" x14ac:dyDescent="0.2">
      <c r="A310" s="19">
        <f t="shared" si="20"/>
        <v>3</v>
      </c>
      <c r="B310" s="1" t="s">
        <v>275</v>
      </c>
      <c r="C310" s="7"/>
      <c r="D310" s="7"/>
      <c r="E310" s="7"/>
      <c r="F310" s="7" t="s">
        <v>10</v>
      </c>
      <c r="G310" s="7"/>
      <c r="H310" s="9"/>
      <c r="I310" s="7"/>
      <c r="J310" s="7" t="s">
        <v>10</v>
      </c>
    </row>
    <row r="311" spans="1:10" x14ac:dyDescent="0.2">
      <c r="A311" s="19">
        <f t="shared" si="20"/>
        <v>3</v>
      </c>
      <c r="B311" s="1" t="s">
        <v>382</v>
      </c>
      <c r="C311" s="7"/>
      <c r="D311" s="8"/>
      <c r="E311" s="8"/>
      <c r="F311" s="7"/>
      <c r="G311" s="7" t="s">
        <v>10</v>
      </c>
      <c r="H311" s="9"/>
      <c r="I311" s="7"/>
      <c r="J311" s="7"/>
    </row>
    <row r="312" spans="1:10" x14ac:dyDescent="0.2">
      <c r="A312" s="19">
        <f t="shared" si="20"/>
        <v>3</v>
      </c>
      <c r="B312" s="1" t="s">
        <v>276</v>
      </c>
      <c r="C312" s="7"/>
      <c r="D312" s="7"/>
      <c r="E312" s="7"/>
      <c r="F312" s="7" t="s">
        <v>10</v>
      </c>
      <c r="G312" s="7"/>
      <c r="H312" s="9"/>
      <c r="I312" s="7" t="s">
        <v>10</v>
      </c>
      <c r="J312" s="7"/>
    </row>
    <row r="313" spans="1:10" x14ac:dyDescent="0.2">
      <c r="A313" s="19">
        <f t="shared" si="20"/>
        <v>3</v>
      </c>
      <c r="B313" s="1" t="s">
        <v>277</v>
      </c>
      <c r="C313" s="7"/>
      <c r="D313" s="7"/>
      <c r="E313" s="7"/>
      <c r="F313" s="7" t="s">
        <v>10</v>
      </c>
      <c r="G313" s="7"/>
      <c r="H313" s="9"/>
      <c r="I313" s="7" t="s">
        <v>10</v>
      </c>
      <c r="J313" s="7"/>
    </row>
    <row r="314" spans="1:10" x14ac:dyDescent="0.2">
      <c r="A314" s="19">
        <f t="shared" si="20"/>
        <v>3</v>
      </c>
      <c r="B314" s="1" t="s">
        <v>278</v>
      </c>
      <c r="C314" s="7"/>
      <c r="D314" s="7"/>
      <c r="E314" s="7"/>
      <c r="F314" s="7" t="s">
        <v>10</v>
      </c>
      <c r="G314" s="7"/>
      <c r="H314" s="9"/>
      <c r="I314" s="7" t="s">
        <v>10</v>
      </c>
      <c r="J314" s="7"/>
    </row>
    <row r="315" spans="1:10" x14ac:dyDescent="0.2">
      <c r="A315" s="19">
        <f t="shared" si="20"/>
        <v>3</v>
      </c>
      <c r="B315" s="1" t="s">
        <v>279</v>
      </c>
      <c r="C315" s="7"/>
      <c r="D315" s="7"/>
      <c r="E315" s="7"/>
      <c r="F315" s="7" t="s">
        <v>10</v>
      </c>
      <c r="G315" s="7" t="s">
        <v>10</v>
      </c>
      <c r="H315" s="9"/>
      <c r="I315" s="7" t="s">
        <v>10</v>
      </c>
      <c r="J315" s="7"/>
    </row>
    <row r="316" spans="1:10" x14ac:dyDescent="0.2">
      <c r="A316" s="19">
        <f t="shared" si="20"/>
        <v>3</v>
      </c>
      <c r="B316" s="11" t="s">
        <v>280</v>
      </c>
      <c r="C316" s="10"/>
      <c r="D316" s="10"/>
      <c r="E316" s="10"/>
      <c r="F316" s="10" t="s">
        <v>10</v>
      </c>
      <c r="G316" s="10"/>
      <c r="H316" s="16"/>
      <c r="I316" s="10" t="s">
        <v>10</v>
      </c>
      <c r="J316" s="7"/>
    </row>
    <row r="317" spans="1:10" x14ac:dyDescent="0.2">
      <c r="A317" s="19">
        <f t="shared" si="20"/>
        <v>3</v>
      </c>
      <c r="B317" s="1" t="s">
        <v>281</v>
      </c>
      <c r="C317" s="7"/>
      <c r="D317" s="7"/>
      <c r="E317" s="7"/>
      <c r="F317" s="7" t="s">
        <v>10</v>
      </c>
      <c r="G317" s="7"/>
      <c r="H317" s="9"/>
      <c r="I317" s="7" t="s">
        <v>10</v>
      </c>
      <c r="J317" s="7"/>
    </row>
    <row r="318" spans="1:10" x14ac:dyDescent="0.2">
      <c r="A318" s="19">
        <f t="shared" si="20"/>
        <v>3</v>
      </c>
      <c r="B318" s="1" t="s">
        <v>282</v>
      </c>
      <c r="C318" s="7"/>
      <c r="D318" s="7"/>
      <c r="E318" s="7"/>
      <c r="F318" s="7" t="s">
        <v>10</v>
      </c>
      <c r="G318" s="7"/>
      <c r="H318" s="9"/>
      <c r="I318" s="7" t="s">
        <v>10</v>
      </c>
      <c r="J318" s="7"/>
    </row>
    <row r="319" spans="1:10" x14ac:dyDescent="0.2">
      <c r="A319" s="19">
        <f t="shared" si="20"/>
        <v>3</v>
      </c>
      <c r="B319" s="11" t="s">
        <v>283</v>
      </c>
      <c r="C319" s="10"/>
      <c r="D319" s="10"/>
      <c r="E319" s="10"/>
      <c r="F319" s="10" t="s">
        <v>10</v>
      </c>
      <c r="G319" s="10"/>
      <c r="H319" s="16"/>
      <c r="I319" s="10" t="s">
        <v>10</v>
      </c>
      <c r="J319" s="7"/>
    </row>
    <row r="320" spans="1:10" x14ac:dyDescent="0.2">
      <c r="A320" s="19">
        <f t="shared" si="20"/>
        <v>3</v>
      </c>
      <c r="B320" s="1" t="s">
        <v>284</v>
      </c>
      <c r="C320" s="7"/>
      <c r="D320" s="7"/>
      <c r="E320" s="7"/>
      <c r="F320" s="7" t="s">
        <v>10</v>
      </c>
      <c r="G320" s="7"/>
      <c r="H320" s="9"/>
      <c r="I320" s="7"/>
      <c r="J320" s="7" t="s">
        <v>10</v>
      </c>
    </row>
    <row r="321" spans="1:10" x14ac:dyDescent="0.2">
      <c r="A321" s="19">
        <f t="shared" si="20"/>
        <v>3</v>
      </c>
      <c r="B321" s="1" t="s">
        <v>285</v>
      </c>
      <c r="C321" s="7"/>
      <c r="D321" s="7"/>
      <c r="E321" s="7"/>
      <c r="F321" s="7" t="s">
        <v>10</v>
      </c>
      <c r="G321" s="7"/>
      <c r="H321" s="9"/>
      <c r="I321" s="7" t="s">
        <v>10</v>
      </c>
      <c r="J321" s="7"/>
    </row>
    <row r="322" spans="1:10" x14ac:dyDescent="0.2">
      <c r="A322" s="19">
        <f t="shared" si="20"/>
        <v>3</v>
      </c>
      <c r="B322" s="1" t="s">
        <v>286</v>
      </c>
      <c r="C322" s="7"/>
      <c r="D322" s="7"/>
      <c r="E322" s="7"/>
      <c r="F322" s="7" t="s">
        <v>10</v>
      </c>
      <c r="G322" s="7"/>
      <c r="H322" s="9"/>
      <c r="I322" s="7" t="s">
        <v>10</v>
      </c>
      <c r="J322" s="7"/>
    </row>
    <row r="323" spans="1:10" x14ac:dyDescent="0.2">
      <c r="A323" s="19">
        <f t="shared" si="20"/>
        <v>3</v>
      </c>
      <c r="B323" s="1" t="s">
        <v>287</v>
      </c>
      <c r="C323" s="7"/>
      <c r="D323" s="7"/>
      <c r="E323" s="7"/>
      <c r="F323" s="7" t="s">
        <v>10</v>
      </c>
      <c r="G323" s="7"/>
      <c r="H323" s="9"/>
      <c r="I323" s="7" t="s">
        <v>10</v>
      </c>
      <c r="J323" s="7"/>
    </row>
    <row r="324" spans="1:10" x14ac:dyDescent="0.2">
      <c r="A324" s="19">
        <f t="shared" si="20"/>
        <v>3</v>
      </c>
      <c r="B324" s="1" t="s">
        <v>288</v>
      </c>
      <c r="C324" s="7"/>
      <c r="D324" s="7"/>
      <c r="E324" s="7"/>
      <c r="F324" s="7" t="s">
        <v>10</v>
      </c>
      <c r="G324" s="7"/>
      <c r="H324" s="9"/>
      <c r="I324" s="7" t="s">
        <v>10</v>
      </c>
      <c r="J324" s="7"/>
    </row>
    <row r="325" spans="1:10" x14ac:dyDescent="0.2">
      <c r="A325" s="19">
        <f t="shared" si="20"/>
        <v>3</v>
      </c>
      <c r="B325" s="1" t="s">
        <v>289</v>
      </c>
      <c r="C325" s="7"/>
      <c r="D325" s="7"/>
      <c r="E325" s="7"/>
      <c r="F325" s="7" t="s">
        <v>10</v>
      </c>
      <c r="G325" s="7"/>
      <c r="H325" s="9"/>
      <c r="I325" s="7" t="s">
        <v>10</v>
      </c>
      <c r="J325" s="7"/>
    </row>
    <row r="326" spans="1:10" x14ac:dyDescent="0.2">
      <c r="A326" s="19">
        <f t="shared" si="20"/>
        <v>3</v>
      </c>
      <c r="B326" s="1" t="s">
        <v>290</v>
      </c>
      <c r="C326" s="7"/>
      <c r="D326" s="7"/>
      <c r="E326" s="7"/>
      <c r="F326" s="7" t="s">
        <v>10</v>
      </c>
      <c r="G326" s="7"/>
      <c r="H326" s="9"/>
      <c r="I326" s="7"/>
      <c r="J326" s="7" t="s">
        <v>10</v>
      </c>
    </row>
    <row r="327" spans="1:10" x14ac:dyDescent="0.2">
      <c r="A327" s="19">
        <f t="shared" si="20"/>
        <v>3</v>
      </c>
      <c r="B327" s="1" t="s">
        <v>291</v>
      </c>
      <c r="C327" s="7"/>
      <c r="D327" s="7"/>
      <c r="E327" s="7"/>
      <c r="F327" s="7" t="s">
        <v>10</v>
      </c>
      <c r="G327" s="7"/>
      <c r="H327" s="9"/>
      <c r="I327" s="7" t="s">
        <v>10</v>
      </c>
      <c r="J327" s="7"/>
    </row>
    <row r="328" spans="1:10" x14ac:dyDescent="0.2">
      <c r="A328" s="19">
        <f t="shared" si="20"/>
        <v>3</v>
      </c>
      <c r="B328" s="1" t="s">
        <v>292</v>
      </c>
      <c r="C328" s="7"/>
      <c r="D328" s="7"/>
      <c r="E328" s="7"/>
      <c r="F328" s="7" t="s">
        <v>10</v>
      </c>
      <c r="G328" s="7"/>
      <c r="H328" s="9"/>
      <c r="I328" s="7" t="s">
        <v>10</v>
      </c>
      <c r="J328" s="7"/>
    </row>
    <row r="329" spans="1:10" x14ac:dyDescent="0.2">
      <c r="A329" s="19">
        <f t="shared" si="20"/>
        <v>3</v>
      </c>
      <c r="B329" s="1" t="s">
        <v>293</v>
      </c>
      <c r="C329" s="7"/>
      <c r="D329" s="7"/>
      <c r="E329" s="7"/>
      <c r="F329" s="7" t="s">
        <v>10</v>
      </c>
      <c r="G329" s="7"/>
      <c r="H329" s="9"/>
      <c r="I329" s="7" t="s">
        <v>10</v>
      </c>
      <c r="J329" s="7"/>
    </row>
    <row r="330" spans="1:10" x14ac:dyDescent="0.2">
      <c r="A330" s="19">
        <f t="shared" si="20"/>
        <v>3</v>
      </c>
      <c r="B330" s="1" t="s">
        <v>294</v>
      </c>
      <c r="C330" s="7"/>
      <c r="D330" s="7"/>
      <c r="E330" s="7"/>
      <c r="F330" s="7" t="s">
        <v>10</v>
      </c>
      <c r="G330" s="7"/>
      <c r="H330" s="9"/>
      <c r="I330" s="7" t="s">
        <v>10</v>
      </c>
      <c r="J330" s="7"/>
    </row>
    <row r="331" spans="1:10" x14ac:dyDescent="0.2">
      <c r="A331" s="19">
        <f t="shared" si="20"/>
        <v>3</v>
      </c>
      <c r="B331" s="11" t="s">
        <v>295</v>
      </c>
      <c r="C331" s="10"/>
      <c r="D331" s="10"/>
      <c r="E331" s="10"/>
      <c r="F331" s="10" t="s">
        <v>10</v>
      </c>
      <c r="G331" s="10"/>
      <c r="H331" s="16"/>
      <c r="I331" s="10" t="s">
        <v>10</v>
      </c>
      <c r="J331" s="7"/>
    </row>
    <row r="332" spans="1:10" x14ac:dyDescent="0.2">
      <c r="A332" s="19">
        <f t="shared" si="20"/>
        <v>3</v>
      </c>
      <c r="B332" s="11" t="s">
        <v>296</v>
      </c>
      <c r="C332" s="10"/>
      <c r="D332" s="10"/>
      <c r="E332" s="10"/>
      <c r="F332" s="10" t="s">
        <v>10</v>
      </c>
      <c r="G332" s="10"/>
      <c r="H332" s="16"/>
      <c r="I332" s="10" t="s">
        <v>10</v>
      </c>
      <c r="J332" s="7"/>
    </row>
    <row r="333" spans="1:10" x14ac:dyDescent="0.2">
      <c r="A333" s="19">
        <f t="shared" si="20"/>
        <v>3</v>
      </c>
      <c r="B333" s="1" t="s">
        <v>297</v>
      </c>
      <c r="C333" s="7"/>
      <c r="D333" s="7"/>
      <c r="E333" s="7"/>
      <c r="F333" s="7" t="s">
        <v>10</v>
      </c>
      <c r="G333" s="7"/>
      <c r="H333" s="9"/>
      <c r="I333" s="7" t="s">
        <v>10</v>
      </c>
      <c r="J333" s="7"/>
    </row>
    <row r="334" spans="1:10" x14ac:dyDescent="0.2">
      <c r="A334" s="19">
        <f t="shared" si="20"/>
        <v>3</v>
      </c>
      <c r="B334" s="11" t="s">
        <v>298</v>
      </c>
      <c r="C334" s="10"/>
      <c r="D334" s="10"/>
      <c r="E334" s="10"/>
      <c r="F334" s="10" t="s">
        <v>10</v>
      </c>
      <c r="G334" s="10"/>
      <c r="H334" s="16"/>
      <c r="I334" s="10" t="s">
        <v>10</v>
      </c>
      <c r="J334" s="7"/>
    </row>
    <row r="335" spans="1:10" x14ac:dyDescent="0.2">
      <c r="A335" s="19">
        <f t="shared" si="20"/>
        <v>3</v>
      </c>
      <c r="B335" s="11" t="s">
        <v>299</v>
      </c>
      <c r="C335" s="10"/>
      <c r="D335" s="10"/>
      <c r="E335" s="10"/>
      <c r="F335" s="10" t="s">
        <v>10</v>
      </c>
      <c r="G335" s="10"/>
      <c r="H335" s="16"/>
      <c r="I335" s="10"/>
      <c r="J335" s="10" t="s">
        <v>10</v>
      </c>
    </row>
    <row r="336" spans="1:10" x14ac:dyDescent="0.2">
      <c r="A336" s="19" t="str">
        <f>HYPERLINK(CONCATENATE("https://selfservice.mypurdue.purdue.edu/prod/bzwsrch.p_search_catalog?term=CURRENT&amp;subject=", LEFT(B336,SEARCH(" ",B336,1)-1)), LEFT(B336,SEARCH(" ",B336,1)-1) )</f>
        <v>PSY</v>
      </c>
      <c r="B336" s="5" t="s">
        <v>364</v>
      </c>
      <c r="C336" s="7"/>
      <c r="D336" s="7"/>
      <c r="E336" s="7"/>
      <c r="F336" s="6" t="s">
        <v>10</v>
      </c>
      <c r="G336" s="7"/>
      <c r="H336" s="9"/>
      <c r="I336" s="7"/>
      <c r="J336" s="7"/>
    </row>
    <row r="337" spans="1:10" x14ac:dyDescent="0.2">
      <c r="A337" s="19">
        <f t="shared" ref="A337:A340" si="21">HYPERLINK( CONCATENATE("https://selfservice.mypurdue.purdue.edu/prod/bzwsrch.p_catalog_detail?subject=",LEFT(B337, SEARCH(" ",B337,1)-1),"&amp;cnbr=",MID(B337, 1+SEARCH(" ",B337,SEARCH(" ",B337,1)),5)), 3 )</f>
        <v>3</v>
      </c>
      <c r="B337" s="11" t="s">
        <v>300</v>
      </c>
      <c r="C337" s="10"/>
      <c r="D337" s="10"/>
      <c r="E337" s="10"/>
      <c r="F337" s="10" t="s">
        <v>10</v>
      </c>
      <c r="G337" s="10"/>
      <c r="H337" s="16"/>
      <c r="I337" s="10"/>
      <c r="J337" s="17" t="s">
        <v>10</v>
      </c>
    </row>
    <row r="338" spans="1:10" x14ac:dyDescent="0.2">
      <c r="A338" s="19">
        <f t="shared" si="21"/>
        <v>3</v>
      </c>
      <c r="B338" s="1" t="s">
        <v>301</v>
      </c>
      <c r="C338" s="7"/>
      <c r="D338" s="7"/>
      <c r="E338" s="7"/>
      <c r="F338" s="7" t="s">
        <v>10</v>
      </c>
      <c r="G338" s="7"/>
      <c r="H338" s="9"/>
      <c r="I338" s="7"/>
      <c r="J338" s="7" t="s">
        <v>10</v>
      </c>
    </row>
    <row r="339" spans="1:10" x14ac:dyDescent="0.2">
      <c r="A339" s="19">
        <f t="shared" si="21"/>
        <v>3</v>
      </c>
      <c r="B339" s="1" t="s">
        <v>302</v>
      </c>
      <c r="C339" s="12"/>
      <c r="D339" s="12"/>
      <c r="E339" s="12"/>
      <c r="F339" s="7" t="s">
        <v>10</v>
      </c>
      <c r="G339" s="7"/>
      <c r="H339" s="9"/>
      <c r="I339" s="7"/>
      <c r="J339" s="7" t="s">
        <v>10</v>
      </c>
    </row>
    <row r="340" spans="1:10" x14ac:dyDescent="0.2">
      <c r="A340" s="19">
        <f t="shared" si="21"/>
        <v>3</v>
      </c>
      <c r="B340" s="1" t="s">
        <v>303</v>
      </c>
      <c r="C340" s="7"/>
      <c r="D340" s="7"/>
      <c r="E340" s="7"/>
      <c r="F340" s="7" t="s">
        <v>10</v>
      </c>
      <c r="G340" s="7"/>
      <c r="H340" s="9"/>
      <c r="I340" s="7"/>
      <c r="J340" s="7" t="s">
        <v>10</v>
      </c>
    </row>
    <row r="341" spans="1:10" ht="57" x14ac:dyDescent="0.2">
      <c r="A341" s="19" t="str">
        <f>HYPERLINK(CONCATENATE("https://selfservice.mypurdue.purdue.edu/prod/bzwsrch.p_search_catalog?term=CURRENT&amp;subject=", LEFT(B341,SEARCH(" ",B341,1)-1)), LEFT(B341,SEARCH(" ",B341,1)-1) )</f>
        <v>PTGS</v>
      </c>
      <c r="B341" s="14" t="s">
        <v>365</v>
      </c>
      <c r="C341" s="8"/>
      <c r="D341" s="6" t="s">
        <v>10</v>
      </c>
      <c r="E341" s="7"/>
      <c r="F341" s="7"/>
      <c r="G341" s="7"/>
      <c r="H341" s="9"/>
      <c r="I341" s="6" t="s">
        <v>10</v>
      </c>
      <c r="J341" s="7"/>
    </row>
    <row r="342" spans="1:10" x14ac:dyDescent="0.2">
      <c r="A342" s="19">
        <f>HYPERLINK( CONCATENATE("https://selfservice.mypurdue.purdue.edu/prod/bzwsrch.p_catalog_detail?subject=",LEFT(B342, SEARCH(" ",B342,1)-1),"&amp;cnbr=",MID(B342, 1+SEARCH(" ",B342,SEARCH(" ",B342,1)),5)), 3 )</f>
        <v>3</v>
      </c>
      <c r="B342" s="1" t="s">
        <v>304</v>
      </c>
      <c r="D342" s="7" t="s">
        <v>10</v>
      </c>
      <c r="E342" s="7"/>
      <c r="H342" s="9"/>
      <c r="I342" s="7" t="s">
        <v>10</v>
      </c>
    </row>
    <row r="343" spans="1:10" x14ac:dyDescent="0.2">
      <c r="A343" s="19" t="str">
        <f>HYPERLINK(CONCATENATE("https://selfservice.mypurdue.purdue.edu/prod/bzwsrch.p_search_catalog?term=CURRENT&amp;subject=", LEFT(B343,SEARCH(" ",B343,1)-1)), LEFT(B343,SEARCH(" ",B343,1)-1) )</f>
        <v>REL</v>
      </c>
      <c r="B343" s="5" t="s">
        <v>366</v>
      </c>
      <c r="C343" s="7"/>
      <c r="D343" s="6" t="s">
        <v>10</v>
      </c>
      <c r="E343" s="7"/>
      <c r="F343" s="7"/>
      <c r="G343" s="7"/>
      <c r="H343" s="9"/>
      <c r="I343" s="7"/>
      <c r="J343" s="7"/>
    </row>
    <row r="344" spans="1:10" x14ac:dyDescent="0.2">
      <c r="A344" s="19">
        <f t="shared" ref="A344:A351" si="22">HYPERLINK( CONCATENATE("https://selfservice.mypurdue.purdue.edu/prod/bzwsrch.p_catalog_detail?subject=",LEFT(B344, SEARCH(" ",B344,1)-1),"&amp;cnbr=",MID(B344, 1+SEARCH(" ",B344,SEARCH(" ",B344,1)),5)), 3 )</f>
        <v>3</v>
      </c>
      <c r="B344" s="1" t="s">
        <v>305</v>
      </c>
      <c r="D344" s="7" t="s">
        <v>10</v>
      </c>
      <c r="E344" s="7" t="s">
        <v>10</v>
      </c>
      <c r="H344" s="9"/>
    </row>
    <row r="345" spans="1:10" x14ac:dyDescent="0.2">
      <c r="A345" s="19">
        <f t="shared" si="22"/>
        <v>3</v>
      </c>
      <c r="B345" s="1" t="s">
        <v>306</v>
      </c>
      <c r="C345" s="7"/>
      <c r="D345" s="7" t="s">
        <v>10</v>
      </c>
      <c r="E345" s="7" t="s">
        <v>10</v>
      </c>
      <c r="F345" s="8"/>
      <c r="G345" s="8"/>
      <c r="H345" s="9"/>
      <c r="I345" s="7" t="s">
        <v>10</v>
      </c>
      <c r="J345" s="7" t="s">
        <v>10</v>
      </c>
    </row>
    <row r="346" spans="1:10" x14ac:dyDescent="0.2">
      <c r="A346" s="19">
        <f t="shared" si="22"/>
        <v>3</v>
      </c>
      <c r="B346" s="1" t="s">
        <v>307</v>
      </c>
      <c r="C346" s="7"/>
      <c r="D346" s="7" t="s">
        <v>10</v>
      </c>
      <c r="E346" s="7"/>
      <c r="F346" s="8"/>
      <c r="G346" s="8"/>
      <c r="H346" s="9"/>
      <c r="I346" s="7" t="s">
        <v>10</v>
      </c>
      <c r="J346" s="7" t="s">
        <v>10</v>
      </c>
    </row>
    <row r="347" spans="1:10" ht="57" x14ac:dyDescent="0.2">
      <c r="A347" s="19" t="str">
        <f>HYPERLINK(CONCATENATE("https://selfservice.mypurdue.purdue.edu/prod/bzwsrch.p_search_catalog?term=CURRENT&amp;subject=", LEFT(B347,SEARCH(" ",B347,1)-1)), LEFT(B347,SEARCH(" ",B347,1)-1) )</f>
        <v>RUSS</v>
      </c>
      <c r="B347" s="14" t="s">
        <v>367</v>
      </c>
      <c r="C347" s="8"/>
      <c r="D347" s="6" t="s">
        <v>10</v>
      </c>
      <c r="E347" s="7"/>
      <c r="F347" s="7"/>
      <c r="G347" s="7"/>
      <c r="H347" s="9"/>
      <c r="I347" s="6" t="s">
        <v>10</v>
      </c>
      <c r="J347" s="7"/>
    </row>
    <row r="348" spans="1:10" x14ac:dyDescent="0.2">
      <c r="A348" s="19">
        <f t="shared" si="22"/>
        <v>3</v>
      </c>
      <c r="B348" s="1" t="s">
        <v>308</v>
      </c>
      <c r="D348" s="7" t="s">
        <v>10</v>
      </c>
      <c r="E348" s="7" t="s">
        <v>10</v>
      </c>
      <c r="H348" s="9"/>
      <c r="I348" s="7" t="s">
        <v>10</v>
      </c>
    </row>
    <row r="349" spans="1:10" x14ac:dyDescent="0.2">
      <c r="A349" s="19">
        <f t="shared" si="22"/>
        <v>3</v>
      </c>
      <c r="B349" s="1" t="s">
        <v>309</v>
      </c>
      <c r="D349" s="7" t="s">
        <v>10</v>
      </c>
      <c r="E349" s="7"/>
      <c r="H349" s="9"/>
      <c r="I349" s="7" t="s">
        <v>10</v>
      </c>
    </row>
    <row r="350" spans="1:10" x14ac:dyDescent="0.2">
      <c r="A350" s="19">
        <f t="shared" si="22"/>
        <v>3</v>
      </c>
      <c r="B350" s="1" t="s">
        <v>310</v>
      </c>
      <c r="D350" s="7" t="s">
        <v>10</v>
      </c>
      <c r="E350" s="7" t="s">
        <v>10</v>
      </c>
      <c r="H350" s="9"/>
      <c r="I350" s="7" t="s">
        <v>10</v>
      </c>
    </row>
    <row r="351" spans="1:10" x14ac:dyDescent="0.2">
      <c r="A351" s="19">
        <f t="shared" si="22"/>
        <v>3</v>
      </c>
      <c r="B351" s="1" t="s">
        <v>383</v>
      </c>
      <c r="C351" s="7"/>
      <c r="D351" s="8"/>
      <c r="E351" s="8"/>
      <c r="F351" s="7"/>
      <c r="G351" s="7" t="s">
        <v>10</v>
      </c>
      <c r="H351" s="9"/>
      <c r="I351" s="7"/>
      <c r="J351" s="7"/>
    </row>
    <row r="352" spans="1:10" x14ac:dyDescent="0.2">
      <c r="A352" s="19" t="str">
        <f>HYPERLINK(CONCATENATE("https://selfservice.mypurdue.purdue.edu/prod/bzwsrch.p_search_catalog?term=CURRENT&amp;subject=", LEFT(B352,SEARCH(" ",B352,1)-1)), LEFT(B352,SEARCH(" ",B352,1)-1) )</f>
        <v>SOC</v>
      </c>
      <c r="B352" s="5" t="s">
        <v>368</v>
      </c>
      <c r="C352" s="7"/>
      <c r="D352" s="7"/>
      <c r="E352" s="7"/>
      <c r="F352" s="6" t="s">
        <v>10</v>
      </c>
      <c r="G352" s="7"/>
      <c r="H352" s="9"/>
      <c r="I352" s="7"/>
      <c r="J352" s="7"/>
    </row>
    <row r="353" spans="1:10" x14ac:dyDescent="0.2">
      <c r="A353" s="19">
        <f t="shared" ref="A353:A357" si="23">HYPERLINK( CONCATENATE("https://selfservice.mypurdue.purdue.edu/prod/bzwsrch.p_catalog_detail?subject=",LEFT(B353, SEARCH(" ",B353,1)-1),"&amp;cnbr=",MID(B353, 1+SEARCH(" ",B353,SEARCH(" ",B353,1)),5)), 3 )</f>
        <v>3</v>
      </c>
      <c r="B353" s="1" t="s">
        <v>311</v>
      </c>
      <c r="C353" s="7"/>
      <c r="D353" s="7"/>
      <c r="E353" s="7"/>
      <c r="F353" s="7" t="s">
        <v>10</v>
      </c>
      <c r="G353" s="7"/>
      <c r="H353" s="9"/>
      <c r="I353" s="7"/>
      <c r="J353" s="7" t="s">
        <v>10</v>
      </c>
    </row>
    <row r="354" spans="1:10" x14ac:dyDescent="0.2">
      <c r="A354" s="19">
        <f t="shared" si="23"/>
        <v>3</v>
      </c>
      <c r="B354" s="1" t="s">
        <v>312</v>
      </c>
      <c r="C354" s="7"/>
      <c r="D354" s="7"/>
      <c r="E354" s="7"/>
      <c r="F354" s="7" t="s">
        <v>10</v>
      </c>
      <c r="G354" s="7"/>
      <c r="H354" s="9"/>
      <c r="I354" s="7"/>
      <c r="J354" s="7" t="s">
        <v>10</v>
      </c>
    </row>
    <row r="355" spans="1:10" x14ac:dyDescent="0.2">
      <c r="A355" s="19">
        <f t="shared" si="23"/>
        <v>3</v>
      </c>
      <c r="B355" s="1" t="s">
        <v>313</v>
      </c>
      <c r="C355" s="7"/>
      <c r="D355" s="7"/>
      <c r="E355" s="7"/>
      <c r="F355" s="7" t="s">
        <v>10</v>
      </c>
      <c r="G355" s="7"/>
      <c r="H355" s="9"/>
      <c r="I355" s="7"/>
      <c r="J355" s="7" t="s">
        <v>10</v>
      </c>
    </row>
    <row r="356" spans="1:10" x14ac:dyDescent="0.2">
      <c r="A356" s="19">
        <f t="shared" si="23"/>
        <v>3</v>
      </c>
      <c r="B356" s="1" t="s">
        <v>314</v>
      </c>
      <c r="C356" s="7"/>
      <c r="D356" s="7"/>
      <c r="E356" s="7"/>
      <c r="F356" s="7" t="s">
        <v>10</v>
      </c>
      <c r="G356" s="7"/>
      <c r="H356" s="9"/>
      <c r="I356" s="7"/>
      <c r="J356" s="7" t="s">
        <v>10</v>
      </c>
    </row>
    <row r="357" spans="1:10" x14ac:dyDescent="0.2">
      <c r="A357" s="19">
        <f t="shared" si="23"/>
        <v>3</v>
      </c>
      <c r="B357" s="1" t="s">
        <v>315</v>
      </c>
      <c r="C357" s="7"/>
      <c r="D357" s="7"/>
      <c r="E357" s="7"/>
      <c r="F357" s="7" t="s">
        <v>10</v>
      </c>
      <c r="G357" s="7"/>
      <c r="H357" s="9"/>
      <c r="I357" s="7"/>
      <c r="J357" s="7" t="s">
        <v>10</v>
      </c>
    </row>
    <row r="358" spans="1:10" ht="57" x14ac:dyDescent="0.2">
      <c r="A358" s="19" t="str">
        <f>HYPERLINK(CONCATENATE("https://selfservice.mypurdue.purdue.edu/prod/bzwsrch.p_search_catalog?term=CURRENT&amp;subject=", LEFT(B358,SEARCH(" ",B358,1)-1)), LEFT(B358,SEARCH(" ",B358,1)-1) )</f>
        <v>SPAN</v>
      </c>
      <c r="B358" s="14" t="s">
        <v>369</v>
      </c>
      <c r="C358" s="8"/>
      <c r="D358" s="6" t="s">
        <v>10</v>
      </c>
      <c r="E358" s="7"/>
      <c r="F358" s="7"/>
      <c r="G358" s="7"/>
      <c r="H358" s="9"/>
      <c r="I358" s="6" t="s">
        <v>10</v>
      </c>
      <c r="J358" s="7"/>
    </row>
    <row r="359" spans="1:10" x14ac:dyDescent="0.2">
      <c r="A359" s="19">
        <f t="shared" ref="A359:A364" si="24">HYPERLINK( CONCATENATE("https://selfservice.mypurdue.purdue.edu/prod/bzwsrch.p_catalog_detail?subject=",LEFT(B359, SEARCH(" ",B359,1)-1),"&amp;cnbr=",MID(B359, 1+SEARCH(" ",B359,SEARCH(" ",B359,1)),5)), 3 )</f>
        <v>3</v>
      </c>
      <c r="B359" s="15" t="s">
        <v>316</v>
      </c>
      <c r="C359" s="8"/>
      <c r="D359" s="8" t="s">
        <v>10</v>
      </c>
      <c r="E359" s="7"/>
      <c r="F359" s="7"/>
      <c r="G359" s="7"/>
      <c r="H359" s="9"/>
      <c r="I359" s="8" t="s">
        <v>10</v>
      </c>
      <c r="J359" s="7"/>
    </row>
    <row r="360" spans="1:10" x14ac:dyDescent="0.2">
      <c r="A360" s="19">
        <f t="shared" si="24"/>
        <v>3</v>
      </c>
      <c r="B360" s="15" t="s">
        <v>317</v>
      </c>
      <c r="C360" s="8"/>
      <c r="D360" s="8" t="s">
        <v>10</v>
      </c>
      <c r="E360" s="7"/>
      <c r="F360" s="7"/>
      <c r="G360" s="7"/>
      <c r="H360" s="9"/>
      <c r="I360" s="8" t="s">
        <v>10</v>
      </c>
      <c r="J360" s="7"/>
    </row>
    <row r="361" spans="1:10" x14ac:dyDescent="0.2">
      <c r="A361" s="19">
        <f t="shared" si="24"/>
        <v>3</v>
      </c>
      <c r="B361" s="11" t="s">
        <v>318</v>
      </c>
      <c r="C361" s="10"/>
      <c r="D361" s="10" t="s">
        <v>10</v>
      </c>
      <c r="E361" s="10"/>
      <c r="F361" s="10"/>
      <c r="G361" s="10"/>
      <c r="H361" s="16"/>
      <c r="I361" s="17" t="s">
        <v>10</v>
      </c>
      <c r="J361" s="10" t="s">
        <v>10</v>
      </c>
    </row>
    <row r="362" spans="1:10" x14ac:dyDescent="0.2">
      <c r="A362" s="19">
        <f t="shared" si="24"/>
        <v>3</v>
      </c>
      <c r="B362" s="1" t="s">
        <v>319</v>
      </c>
      <c r="D362" s="7" t="s">
        <v>10</v>
      </c>
      <c r="E362" s="7" t="s">
        <v>10</v>
      </c>
      <c r="H362" s="9"/>
      <c r="I362" s="7" t="s">
        <v>10</v>
      </c>
    </row>
    <row r="363" spans="1:10" x14ac:dyDescent="0.2">
      <c r="A363" s="19">
        <f t="shared" si="24"/>
        <v>3</v>
      </c>
      <c r="B363" s="1" t="s">
        <v>320</v>
      </c>
      <c r="G363" s="7" t="s">
        <v>10</v>
      </c>
      <c r="H363" s="9"/>
    </row>
    <row r="364" spans="1:10" x14ac:dyDescent="0.2">
      <c r="A364" s="19">
        <f t="shared" si="24"/>
        <v>3</v>
      </c>
      <c r="B364" s="1" t="s">
        <v>321</v>
      </c>
      <c r="G364" s="7" t="s">
        <v>10</v>
      </c>
      <c r="H364" s="9"/>
    </row>
    <row r="365" spans="1:10" x14ac:dyDescent="0.2">
      <c r="A365" s="19" t="str">
        <f>HYPERLINK(CONCATENATE("https://selfservice.mypurdue.purdue.edu/prod/bzwsrch.p_search_catalog?term=CURRENT&amp;subject=", LEFT(B365,SEARCH(" ",B365,1)-1)), LEFT(B365,SEARCH(" ",B365,1)-1) )</f>
        <v>THTR</v>
      </c>
      <c r="B365" s="5" t="s">
        <v>370</v>
      </c>
      <c r="C365" s="7"/>
      <c r="D365" s="6" t="s">
        <v>10</v>
      </c>
      <c r="E365" s="7"/>
      <c r="F365" s="7"/>
      <c r="G365" s="7"/>
      <c r="H365" s="9"/>
      <c r="I365" s="7"/>
      <c r="J365" s="7"/>
    </row>
    <row r="366" spans="1:10" x14ac:dyDescent="0.2">
      <c r="A366" s="19">
        <f t="shared" ref="A366" si="25">HYPERLINK( CONCATENATE("https://selfservice.mypurdue.purdue.edu/prod/bzwsrch.p_catalog_detail?subject=",LEFT(B366, SEARCH(" ",B366,1)-1),"&amp;cnbr=",MID(B366, 1+SEARCH(" ",B366,SEARCH(" ",B366,1)),5)), 3 )</f>
        <v>3</v>
      </c>
      <c r="B366" s="1" t="s">
        <v>322</v>
      </c>
      <c r="D366" s="7" t="s">
        <v>10</v>
      </c>
      <c r="E366" s="7" t="s">
        <v>10</v>
      </c>
      <c r="H366" s="9"/>
    </row>
    <row r="367" spans="1:10" x14ac:dyDescent="0.2">
      <c r="A367" s="27" t="str">
        <f>HYPERLINK(CONCATENATE("https://selfservice.mypurdue.purdue.edu/prod/bzwsrch.p_search_catalog?term=CURRENT&amp;subject=", LEFT(B367,SEARCH(" ",B367,1)-1)), LEFT(B367,SEARCH(" ",B367,1)-1) )</f>
        <v>WOST</v>
      </c>
      <c r="B367" s="28" t="s">
        <v>371</v>
      </c>
      <c r="C367" s="11"/>
      <c r="D367" s="29" t="s">
        <v>10</v>
      </c>
      <c r="E367" s="10"/>
      <c r="F367" s="11"/>
      <c r="G367" s="11"/>
      <c r="H367" s="16"/>
      <c r="I367" s="11"/>
      <c r="J367" s="11"/>
    </row>
    <row r="368" spans="1:10" x14ac:dyDescent="0.2">
      <c r="A368" s="27">
        <f t="shared" ref="A368:A382" si="26">HYPERLINK( CONCATENATE("https://selfservice.mypurdue.purdue.edu/prod/bzwsrch.p_catalog_detail?subject=",LEFT(B368, SEARCH(" ",B368,1)-1),"&amp;cnbr=",MID(B368, 1+SEARCH(" ",B368,SEARCH(" ",B368,1)),5)), 3 )</f>
        <v>3</v>
      </c>
      <c r="B368" s="11" t="s">
        <v>323</v>
      </c>
      <c r="C368" s="10"/>
      <c r="D368" s="17" t="s">
        <v>10</v>
      </c>
      <c r="E368" s="17" t="s">
        <v>10</v>
      </c>
      <c r="F368" s="10"/>
      <c r="G368" s="10"/>
      <c r="H368" s="16"/>
      <c r="I368" s="10"/>
      <c r="J368" s="10" t="s">
        <v>10</v>
      </c>
    </row>
    <row r="369" spans="1:10" x14ac:dyDescent="0.2">
      <c r="A369" s="27">
        <f t="shared" si="26"/>
        <v>3</v>
      </c>
      <c r="B369" s="11" t="s">
        <v>324</v>
      </c>
      <c r="C369" s="10"/>
      <c r="D369" s="17" t="s">
        <v>10</v>
      </c>
      <c r="E369" s="17"/>
      <c r="F369" s="10"/>
      <c r="G369" s="10"/>
      <c r="H369" s="16"/>
      <c r="I369" s="10"/>
      <c r="J369" s="10" t="s">
        <v>10</v>
      </c>
    </row>
    <row r="370" spans="1:10" x14ac:dyDescent="0.2">
      <c r="A370" s="27">
        <f t="shared" si="26"/>
        <v>3</v>
      </c>
      <c r="B370" s="11" t="s">
        <v>325</v>
      </c>
      <c r="C370" s="10"/>
      <c r="D370" s="17" t="s">
        <v>10</v>
      </c>
      <c r="E370" s="17"/>
      <c r="F370" s="10"/>
      <c r="G370" s="10"/>
      <c r="H370" s="16"/>
      <c r="I370" s="10"/>
      <c r="J370" s="10" t="s">
        <v>10</v>
      </c>
    </row>
    <row r="371" spans="1:10" x14ac:dyDescent="0.2">
      <c r="A371" s="27">
        <f t="shared" si="26"/>
        <v>3</v>
      </c>
      <c r="B371" s="11" t="s">
        <v>326</v>
      </c>
      <c r="C371" s="10"/>
      <c r="D371" s="17" t="s">
        <v>10</v>
      </c>
      <c r="E371" s="17"/>
      <c r="F371" s="10"/>
      <c r="G371" s="10"/>
      <c r="H371" s="16"/>
      <c r="I371" s="10"/>
      <c r="J371" s="10" t="s">
        <v>10</v>
      </c>
    </row>
    <row r="372" spans="1:10" x14ac:dyDescent="0.2">
      <c r="A372" s="27">
        <f t="shared" si="26"/>
        <v>3</v>
      </c>
      <c r="B372" s="11" t="s">
        <v>327</v>
      </c>
      <c r="C372" s="10"/>
      <c r="D372" s="17" t="s">
        <v>10</v>
      </c>
      <c r="E372" s="17"/>
      <c r="F372" s="10"/>
      <c r="G372" s="10"/>
      <c r="H372" s="16"/>
      <c r="I372" s="10"/>
      <c r="J372" s="10" t="s">
        <v>10</v>
      </c>
    </row>
    <row r="373" spans="1:10" x14ac:dyDescent="0.2">
      <c r="A373" s="27">
        <f t="shared" si="26"/>
        <v>3</v>
      </c>
      <c r="B373" s="11" t="s">
        <v>328</v>
      </c>
      <c r="C373" s="10"/>
      <c r="D373" s="17" t="s">
        <v>10</v>
      </c>
      <c r="E373" s="17"/>
      <c r="F373" s="10"/>
      <c r="G373" s="10"/>
      <c r="H373" s="16"/>
      <c r="I373" s="10"/>
      <c r="J373" s="10" t="s">
        <v>10</v>
      </c>
    </row>
    <row r="374" spans="1:10" x14ac:dyDescent="0.2">
      <c r="A374" s="19" t="str">
        <f>HYPERLINK(CONCATENATE("https://selfservice.mypurdue.purdue.edu/prod/bzwsrch.p_search_catalog?term=CURRENT&amp;subject=", LEFT(B374,SEARCH(" ",B374,1)-1)), LEFT(B374,SEARCH(" ",B374,1)-1) )</f>
        <v>WGSS</v>
      </c>
      <c r="B374" s="5" t="s">
        <v>386</v>
      </c>
      <c r="D374" s="6" t="s">
        <v>10</v>
      </c>
      <c r="E374" s="7"/>
      <c r="H374" s="9"/>
    </row>
    <row r="375" spans="1:10" x14ac:dyDescent="0.2">
      <c r="A375" s="19">
        <f t="shared" ref="A375:A380" si="27">HYPERLINK( CONCATENATE("https://selfservice.mypurdue.purdue.edu/prod/bzwsrch.p_catalog_detail?subject=",LEFT(B375, SEARCH(" ",B375,1)-1),"&amp;cnbr=",MID(B375, 1+SEARCH(" ",B375,SEARCH(" ",B375,1)),5)), 3 )</f>
        <v>3</v>
      </c>
      <c r="B375" s="1" t="s">
        <v>387</v>
      </c>
      <c r="C375" s="7"/>
      <c r="D375" s="8" t="s">
        <v>10</v>
      </c>
      <c r="E375" s="8" t="s">
        <v>10</v>
      </c>
      <c r="F375" s="7"/>
      <c r="G375" s="7"/>
      <c r="H375" s="9"/>
      <c r="I375" s="7"/>
      <c r="J375" s="7" t="s">
        <v>10</v>
      </c>
    </row>
    <row r="376" spans="1:10" x14ac:dyDescent="0.2">
      <c r="A376" s="19">
        <f t="shared" si="27"/>
        <v>3</v>
      </c>
      <c r="B376" s="1" t="s">
        <v>388</v>
      </c>
      <c r="C376" s="7"/>
      <c r="D376" s="8" t="s">
        <v>10</v>
      </c>
      <c r="E376" s="8"/>
      <c r="F376" s="7"/>
      <c r="G376" s="7"/>
      <c r="H376" s="9"/>
      <c r="I376" s="7"/>
      <c r="J376" s="7" t="s">
        <v>10</v>
      </c>
    </row>
    <row r="377" spans="1:10" x14ac:dyDescent="0.2">
      <c r="A377" s="19">
        <f t="shared" si="27"/>
        <v>3</v>
      </c>
      <c r="B377" s="1" t="s">
        <v>389</v>
      </c>
      <c r="C377" s="7"/>
      <c r="D377" s="8" t="s">
        <v>10</v>
      </c>
      <c r="E377" s="8"/>
      <c r="F377" s="7"/>
      <c r="G377" s="7"/>
      <c r="H377" s="9"/>
      <c r="I377" s="7"/>
      <c r="J377" s="7" t="s">
        <v>10</v>
      </c>
    </row>
    <row r="378" spans="1:10" x14ac:dyDescent="0.2">
      <c r="A378" s="19">
        <f t="shared" si="27"/>
        <v>3</v>
      </c>
      <c r="B378" s="1" t="s">
        <v>390</v>
      </c>
      <c r="C378" s="7"/>
      <c r="D378" s="8" t="s">
        <v>10</v>
      </c>
      <c r="E378" s="8"/>
      <c r="F378" s="7"/>
      <c r="G378" s="7"/>
      <c r="H378" s="9"/>
      <c r="I378" s="7"/>
      <c r="J378" s="7" t="s">
        <v>10</v>
      </c>
    </row>
    <row r="379" spans="1:10" x14ac:dyDescent="0.2">
      <c r="A379" s="19">
        <f t="shared" si="27"/>
        <v>3</v>
      </c>
      <c r="B379" s="1" t="s">
        <v>391</v>
      </c>
      <c r="C379" s="7"/>
      <c r="D379" s="8" t="s">
        <v>10</v>
      </c>
      <c r="E379" s="8"/>
      <c r="F379" s="7"/>
      <c r="G379" s="7"/>
      <c r="H379" s="9"/>
      <c r="I379" s="7"/>
      <c r="J379" s="7" t="s">
        <v>10</v>
      </c>
    </row>
    <row r="380" spans="1:10" x14ac:dyDescent="0.2">
      <c r="A380" s="19">
        <f t="shared" si="27"/>
        <v>3</v>
      </c>
      <c r="B380" s="1" t="s">
        <v>392</v>
      </c>
      <c r="C380" s="7"/>
      <c r="D380" s="8" t="s">
        <v>10</v>
      </c>
      <c r="E380" s="8"/>
      <c r="F380" s="7"/>
      <c r="G380" s="7"/>
      <c r="H380" s="9"/>
      <c r="I380" s="7"/>
      <c r="J380" s="7" t="s">
        <v>10</v>
      </c>
    </row>
    <row r="381" spans="1:10" x14ac:dyDescent="0.2">
      <c r="A381" s="19" t="str">
        <f>HYPERLINK( CONCATENATE("https://selfservice.mypurdue.purdue.edu/prod/bzwsrch.p_catalog_detail?subject=",LEFT(B381, SEARCH(" ",B381,1)-1),"&amp;cnbr=",MID(B381, 1+SEARCH(" ",B381,SEARCH(" ",B381,1)),5)), "2-3" )</f>
        <v>2-3</v>
      </c>
      <c r="B381" s="1" t="s">
        <v>329</v>
      </c>
      <c r="C381" s="7"/>
      <c r="D381" s="7"/>
      <c r="E381" s="7"/>
      <c r="F381" s="7"/>
      <c r="G381" s="7"/>
      <c r="H381" s="9"/>
      <c r="I381" s="7"/>
      <c r="J381" s="7" t="s">
        <v>10</v>
      </c>
    </row>
    <row r="382" spans="1:10" x14ac:dyDescent="0.2">
      <c r="A382" s="19">
        <f t="shared" si="26"/>
        <v>3</v>
      </c>
      <c r="B382" s="1" t="s">
        <v>330</v>
      </c>
      <c r="C382" s="7" t="s">
        <v>10</v>
      </c>
      <c r="D382" s="7"/>
      <c r="E382" s="7"/>
      <c r="F382" s="7"/>
      <c r="G382" s="7"/>
      <c r="H382" s="9"/>
      <c r="I382" s="7"/>
      <c r="J382" s="7"/>
    </row>
    <row r="383" spans="1:10" x14ac:dyDescent="0.2">
      <c r="A383" s="7"/>
      <c r="C383" s="7"/>
      <c r="D383" s="7"/>
      <c r="E383" s="7"/>
      <c r="F383" s="7"/>
      <c r="G383" s="7"/>
      <c r="I383" s="7"/>
      <c r="J383" s="7"/>
    </row>
  </sheetData>
  <sheetProtection password="B048" sheet="1" objects="1" scenarios="1" autoFilter="0"/>
  <pageMargins left="0.5" right="0.5" top="0.5" bottom="0.5" header="0.25" footer="0.25"/>
  <pageSetup scale="68" fitToHeight="12" orientation="landscape" horizontalDpi="4294967292" verticalDpi="4294967292" r:id="rId1"/>
  <ignoredErrors>
    <ignoredError sqref="A41 A177:A178 A381 A12 A46 A51 A80 A84 A102 A109 A119 A188 A191 A200 A251 A272 A276 A295 A307 A336 A341:A342 A343 A347 A352 A358 A365:A366 A367" formula="1"/>
  </ignoredErrors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E51535CA174049B666768158C5630C" ma:contentTypeVersion="5" ma:contentTypeDescription="Create a new document." ma:contentTypeScope="" ma:versionID="d1002e61eb7e4e9ad75880109e562a49">
  <xsd:schema xmlns:xsd="http://www.w3.org/2001/XMLSchema" xmlns:xs="http://www.w3.org/2001/XMLSchema" xmlns:p="http://schemas.microsoft.com/office/2006/metadata/properties" xmlns:ns1="http://schemas.microsoft.com/sharepoint/v3" xmlns:ns2="6aa7ce6e-8145-4ceb-a32b-d58b5b0c069d" targetNamespace="http://schemas.microsoft.com/office/2006/metadata/properties" ma:root="true" ma:fieldsID="aca10b3db4486d4f8170267e9491551e" ns1:_="" ns2:_="">
    <xsd:import namespace="http://schemas.microsoft.com/sharepoint/v3"/>
    <xsd:import namespace="6aa7ce6e-8145-4ceb-a32b-d58b5b0c069d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Person" minOccurs="0"/>
                <xsd:element ref="ns2:Doc_x0020_Type" minOccurs="0"/>
                <xsd:element ref="ns2:Categor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a7ce6e-8145-4ceb-a32b-d58b5b0c069d" elementFormDefault="qualified">
    <xsd:import namespace="http://schemas.microsoft.com/office/2006/documentManagement/types"/>
    <xsd:import namespace="http://schemas.microsoft.com/office/infopath/2007/PartnerControls"/>
    <xsd:element name="Person" ma:index="10" nillable="true" ma:displayName="Person" ma:internalName="Person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Kelly Lough"/>
                    <xsd:enumeration value="Linda Austin"/>
                    <xsd:enumeration value="Tim Kerr"/>
                    <xsd:enumeration value="Faculty"/>
                    <xsd:enumeration value="Awards"/>
                    <xsd:enumeration value="Scholarships"/>
                  </xsd:restriction>
                </xsd:simpleType>
              </xsd:element>
            </xsd:sequence>
          </xsd:extension>
        </xsd:complexContent>
      </xsd:complexType>
    </xsd:element>
    <xsd:element name="Doc_x0020_Type" ma:index="11" nillable="true" ma:displayName="Doc Type" ma:default="Word" ma:format="Dropdown" ma:internalName="Doc_x0020_Type">
      <xsd:simpleType>
        <xsd:restriction base="dms:Choice">
          <xsd:enumeration value="Word"/>
          <xsd:enumeration value="PDF"/>
          <xsd:enumeration value="PPT"/>
          <xsd:enumeration value="Excel"/>
        </xsd:restriction>
      </xsd:simpleType>
    </xsd:element>
    <xsd:element name="Category" ma:index="12" nillable="true" ma:displayName="Category" ma:internalName="Catego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wards"/>
                    <xsd:enumeration value="Dean's Scholars"/>
                    <xsd:enumeration value="Faculty"/>
                    <xsd:enumeration value="Honors"/>
                    <xsd:enumeration value="Research"/>
                    <xsd:enumeration value="Scholarships"/>
                  </xsd:restriction>
                </xsd:simple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ategory xmlns="6aa7ce6e-8145-4ceb-a32b-d58b5b0c069d"/>
    <Doc_x0020_Type xmlns="6aa7ce6e-8145-4ceb-a32b-d58b5b0c069d">Word</Doc_x0020_Type>
    <Person xmlns="6aa7ce6e-8145-4ceb-a32b-d58b5b0c069d"/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AEAF3112-3452-4B85-9434-94D2740941EA}"/>
</file>

<file path=customXml/itemProps2.xml><?xml version="1.0" encoding="utf-8"?>
<ds:datastoreItem xmlns:ds="http://schemas.openxmlformats.org/officeDocument/2006/customXml" ds:itemID="{D92B02C3-CA9C-4E4F-A1E7-F8513AE4E3A8}"/>
</file>

<file path=customXml/itemProps3.xml><?xml version="1.0" encoding="utf-8"?>
<ds:datastoreItem xmlns:ds="http://schemas.openxmlformats.org/officeDocument/2006/customXml" ds:itemID="{822FC04A-AF66-4795-B36C-000493FD29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COA CHSS list</vt:lpstr>
      <vt:lpstr>'COA CHSS list'!Print_Titles</vt:lpstr>
    </vt:vector>
  </TitlesOfParts>
  <Company>Agricululture Information Technology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Buckmaster, Dennis</dc:creator>
  <cp:lastModifiedBy>Buckmaster, Dennis</cp:lastModifiedBy>
  <cp:lastPrinted>2013-07-08T11:56:14Z</cp:lastPrinted>
  <dcterms:created xsi:type="dcterms:W3CDTF">2013-06-06T16:57:18Z</dcterms:created>
  <dcterms:modified xsi:type="dcterms:W3CDTF">2013-11-26T19:16:41Z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0x010100ECE51535CA174049B666768158C5630C</vt:lpwstr>
  </property>
</Properties>
</file>