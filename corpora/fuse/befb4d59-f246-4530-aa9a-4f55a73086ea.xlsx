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</sheets>
  <definedNames/>
  <calcPr/>
</workbook>
</file>

<file path=xl/sharedStrings.xml><?xml version="1.0" encoding="utf-8"?>
<sst xmlns="http://schemas.openxmlformats.org/spreadsheetml/2006/main" count="110" uniqueCount="90">
  <si>
    <t>Team</t>
  </si>
  <si>
    <t>Point Guard</t>
  </si>
  <si>
    <t>Off. Rating</t>
  </si>
  <si>
    <t>PG FGM</t>
  </si>
  <si>
    <t>PG FGA</t>
  </si>
  <si>
    <t>PG FG%</t>
  </si>
  <si>
    <t>PG 3FGM</t>
  </si>
  <si>
    <t>PG 3FGA</t>
  </si>
  <si>
    <t>PG 3FG%</t>
  </si>
  <si>
    <t>RA FGM</t>
  </si>
  <si>
    <t>RA FGA</t>
  </si>
  <si>
    <t>RA FG%</t>
  </si>
  <si>
    <t>PG AST Ratio</t>
  </si>
  <si>
    <t>PG USG%</t>
  </si>
  <si>
    <t>04-05 Suns</t>
  </si>
  <si>
    <t>Steve Nash</t>
  </si>
  <si>
    <t>04-05 Heat</t>
  </si>
  <si>
    <t>Damon Jones</t>
  </si>
  <si>
    <t>04-05 Sonics</t>
  </si>
  <si>
    <t>Luke Ridnour</t>
  </si>
  <si>
    <t>04-05 Kings</t>
  </si>
  <si>
    <t>Mike Bibby</t>
  </si>
  <si>
    <t>04-05 Mavs</t>
  </si>
  <si>
    <t>Jason Terry</t>
  </si>
  <si>
    <t>05-06 Suns</t>
  </si>
  <si>
    <t>05-06 Mavs</t>
  </si>
  <si>
    <t>05-06 Pistons</t>
  </si>
  <si>
    <t>Chauncey Billups</t>
  </si>
  <si>
    <t>05-06 Sonics</t>
  </si>
  <si>
    <t>05-06 Raptors</t>
  </si>
  <si>
    <t>Mike James</t>
  </si>
  <si>
    <t>06-07 Suns</t>
  </si>
  <si>
    <t>06-07 Mavs</t>
  </si>
  <si>
    <t>Devin Harris</t>
  </si>
  <si>
    <t>06-07 Jazz</t>
  </si>
  <si>
    <t>Deron Williams</t>
  </si>
  <si>
    <t>06-07 Wizards</t>
  </si>
  <si>
    <t>Gilbert Arenas</t>
  </si>
  <si>
    <t>06-07 Spurs</t>
  </si>
  <si>
    <t>Tony Parker</t>
  </si>
  <si>
    <t>07-08 Suns</t>
  </si>
  <si>
    <t>07-08 Jazz</t>
  </si>
  <si>
    <t>07-08 Lakers</t>
  </si>
  <si>
    <t>Derek Fisher</t>
  </si>
  <si>
    <t>07-08 Warriors</t>
  </si>
  <si>
    <t>Baron Davis</t>
  </si>
  <si>
    <t>07-08 Hornets</t>
  </si>
  <si>
    <t>Chris Paul</t>
  </si>
  <si>
    <t>08-09 Suns</t>
  </si>
  <si>
    <t>08-09 Blazers</t>
  </si>
  <si>
    <t>Steve Blake</t>
  </si>
  <si>
    <t>08-09 Lakers</t>
  </si>
  <si>
    <t>08-09 Cavs</t>
  </si>
  <si>
    <t>Mo Williams</t>
  </si>
  <si>
    <t>08-09 Mavs</t>
  </si>
  <si>
    <t>Jason Kidd</t>
  </si>
  <si>
    <t>09-10 Suns</t>
  </si>
  <si>
    <t>09-10 Magic</t>
  </si>
  <si>
    <t>Jameer Nelson</t>
  </si>
  <si>
    <t>09-10 Hawks</t>
  </si>
  <si>
    <t>09-10 Cavs</t>
  </si>
  <si>
    <t>09-10 Nuggets</t>
  </si>
  <si>
    <t>10-11 Nuggets</t>
  </si>
  <si>
    <t>Billups/Lawson</t>
  </si>
  <si>
    <t>10-11 Spurs</t>
  </si>
  <si>
    <t>10-11 Heat</t>
  </si>
  <si>
    <t>Mario Chalmers</t>
  </si>
  <si>
    <t>10-11 Thunder</t>
  </si>
  <si>
    <t>Russell Westbrook</t>
  </si>
  <si>
    <t>10-11 Knicks</t>
  </si>
  <si>
    <t>Billups/Felton</t>
  </si>
  <si>
    <t>11-12 Spurs</t>
  </si>
  <si>
    <t>11-12 Thunder</t>
  </si>
  <si>
    <t>11-12 Nuggets</t>
  </si>
  <si>
    <t>Ty Lawson</t>
  </si>
  <si>
    <t>11-12 Clippers</t>
  </si>
  <si>
    <t>11-12 Bulls</t>
  </si>
  <si>
    <t>Derrick Rose</t>
  </si>
  <si>
    <t>12-13 Heat</t>
  </si>
  <si>
    <t>12-13 Thunder</t>
  </si>
  <si>
    <t>12-13 Knicks</t>
  </si>
  <si>
    <t>Raymond Felton</t>
  </si>
  <si>
    <t>12-13 Clippers</t>
  </si>
  <si>
    <t>12-13 Nuggets</t>
  </si>
  <si>
    <t>Average PG</t>
  </si>
  <si>
    <t>Of Top Teams</t>
  </si>
  <si>
    <t>11-12 Wolves</t>
  </si>
  <si>
    <t>Ricky Rubio (rookie)</t>
  </si>
  <si>
    <t>12-13 Wolves</t>
  </si>
  <si>
    <t>Ricky Rubio (2nd)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</si>
</sst>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.0%"/>
    <numFmt numFmtId="165" formatCode="d-mmm;@"/>
    <numFmt numFmtId="166" formatCode="0.0%"/>
    <numFmt numFmtId="167" formatCode="0.0%"/>
    <numFmt numFmtId="168" formatCode="0.0%"/>
    <numFmt numFmtId="169" formatCode="0.0%"/>
    <numFmt numFmtId="170" formatCode="0.0"/>
    <numFmt numFmtId="171" formatCode="0.0%"/>
    <numFmt numFmtId="172" formatCode="0.0"/>
    <numFmt numFmtId="173" formatCode="0.0%"/>
    <numFmt numFmtId="174" formatCode="0.0"/>
  </numFmts>
  <fonts count="31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2.0"/>
      <color rgb="FF000000"/>
      <name val="Calibri"/>
    </font>
    <font>
      <b/>
      <i val="0"/>
      <strike val="0"/>
      <u val="none"/>
      <sz val="12.0"/>
      <color rgb="FF000000"/>
      <name val="Calibri"/>
    </font>
    <font>
      <b val="0"/>
      <i val="0"/>
      <strike val="0"/>
      <u val="none"/>
      <sz val="12.0"/>
      <color rgb="FF000000"/>
      <name val="Calibri"/>
    </font>
    <font>
      <b val="0"/>
      <i val="0"/>
      <strike val="0"/>
      <u val="none"/>
      <sz val="12.0"/>
      <color rgb="FF000000"/>
      <name val="Calibri"/>
    </font>
    <font>
      <b val="0"/>
      <i val="0"/>
      <strike val="0"/>
      <u val="none"/>
      <sz val="12.0"/>
      <color rgb="FF000000"/>
      <name val="Calibri"/>
    </font>
    <font>
      <b/>
      <i val="0"/>
      <strike val="0"/>
      <u val="none"/>
      <sz val="12.0"/>
      <color rgb="FF000000"/>
      <name val="Calibri"/>
    </font>
    <font>
      <b/>
      <i val="0"/>
      <strike val="0"/>
      <u val="none"/>
      <sz val="12.0"/>
      <color rgb="FF000000"/>
      <name val="Calibri"/>
    </font>
    <font>
      <b val="0"/>
      <i val="0"/>
      <strike val="0"/>
      <u val="none"/>
      <sz val="12.0"/>
      <color rgb="FF000000"/>
      <name val="Calibri"/>
    </font>
    <font>
      <b val="0"/>
      <i val="0"/>
      <strike val="0"/>
      <u val="none"/>
      <sz val="12.0"/>
      <color rgb="FF000000"/>
      <name val="Calibri"/>
    </font>
    <font>
      <b val="0"/>
      <i val="0"/>
      <strike val="0"/>
      <u val="none"/>
      <sz val="12.0"/>
      <color rgb="FF000000"/>
      <name val="Calibri"/>
    </font>
    <font>
      <b/>
      <i val="0"/>
      <strike val="0"/>
      <u val="none"/>
      <sz val="12.0"/>
      <color rgb="FF000000"/>
      <name val="Calibri"/>
    </font>
    <font>
      <b val="0"/>
      <i val="0"/>
      <strike val="0"/>
      <u val="none"/>
      <sz val="12.0"/>
      <color rgb="FF000000"/>
      <name val="Calibri"/>
    </font>
    <font>
      <b val="0"/>
      <i val="0"/>
      <strike val="0"/>
      <u val="none"/>
      <sz val="12.0"/>
      <color rgb="FF000000"/>
      <name val="Calibri"/>
    </font>
    <font>
      <b val="0"/>
      <i val="0"/>
      <strike val="0"/>
      <u val="none"/>
      <sz val="12.0"/>
      <color rgb="FF000000"/>
      <name val="Calibri"/>
    </font>
    <font>
      <b val="0"/>
      <i val="0"/>
      <strike val="0"/>
      <u val="none"/>
      <sz val="12.0"/>
      <color rgb="FF000000"/>
      <name val="Calibri"/>
    </font>
    <font>
      <b val="0"/>
      <i val="0"/>
      <strike val="0"/>
      <u val="none"/>
      <sz val="12.0"/>
      <color rgb="FF000000"/>
      <name val="Calibri"/>
    </font>
    <font>
      <b val="0"/>
      <i val="0"/>
      <strike val="0"/>
      <u val="none"/>
      <sz val="12.0"/>
      <color rgb="FF000000"/>
      <name val="Calibri"/>
    </font>
    <font>
      <b/>
      <i val="0"/>
      <strike val="0"/>
      <u val="none"/>
      <sz val="12.0"/>
      <color rgb="FF000000"/>
      <name val="Calibri"/>
    </font>
    <font>
      <b val="0"/>
      <i val="0"/>
      <strike val="0"/>
      <u val="none"/>
      <sz val="12.0"/>
      <color rgb="FF000000"/>
      <name val="Calibri"/>
    </font>
    <font>
      <b/>
      <i val="0"/>
      <strike val="0"/>
      <u val="none"/>
      <sz val="12.0"/>
      <color rgb="FF000000"/>
      <name val="Calibri"/>
    </font>
    <font>
      <b val="0"/>
      <i val="0"/>
      <strike val="0"/>
      <u val="none"/>
      <sz val="12.0"/>
      <color rgb="FF000000"/>
      <name val="Calibri"/>
    </font>
    <font>
      <b/>
      <i val="0"/>
      <strike val="0"/>
      <u val="none"/>
      <sz val="12.0"/>
      <color rgb="FF000000"/>
      <name val="Calibri"/>
    </font>
    <font>
      <b val="0"/>
      <i val="0"/>
      <strike val="0"/>
      <u val="none"/>
      <sz val="12.0"/>
      <color rgb="FF000000"/>
      <name val="Calibri"/>
    </font>
    <font>
      <b val="0"/>
      <i val="0"/>
      <strike val="0"/>
      <u val="none"/>
      <sz val="12.0"/>
      <color rgb="FF000000"/>
      <name val="Calibri"/>
    </font>
    <font>
      <b/>
      <i val="0"/>
      <strike val="0"/>
      <u val="none"/>
      <sz val="12.0"/>
      <color rgb="FF000000"/>
      <name val="Calibri"/>
    </font>
    <font>
      <b val="0"/>
      <i val="0"/>
      <strike val="0"/>
      <u val="none"/>
      <sz val="12.0"/>
      <color rgb="FF000000"/>
      <name val="Calibri"/>
    </font>
    <font>
      <b/>
      <i val="0"/>
      <strike val="0"/>
      <u val="none"/>
      <sz val="12.0"/>
      <color rgb="FF000000"/>
      <name val="Calibri"/>
    </font>
    <font>
      <b val="0"/>
      <i val="0"/>
      <strike val="0"/>
      <u val="none"/>
      <sz val="12.0"/>
      <color rgb="FF000000"/>
      <name val="Calibri"/>
    </font>
    <font>
      <b/>
      <i val="0"/>
      <strike val="0"/>
      <u val="none"/>
      <sz val="12.0"/>
      <color rgb="FF000000"/>
      <name val="Calibri"/>
    </font>
    <font>
      <b val="0"/>
      <i val="0"/>
      <strike val="0"/>
      <u val="none"/>
      <sz val="12.0"/>
      <color rgb="FF000000"/>
      <name val="Calibri"/>
    </font>
  </fonts>
  <fills count="2">
    <fill>
      <patternFill patternType="none"/>
    </fill>
    <fill>
      <patternFill patternType="gray125">
        <bgColor rgb="FFFFFFFF"/>
      </patternFill>
    </fill>
  </fills>
  <borders count="2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fillId="0" numFmtId="0" borderId="0" fontId="0"/>
  </cellStyleXfs>
  <cellXfs count="31">
    <xf applyAlignment="1" fillId="0" xfId="0" numFmtId="0" borderId="0" fontId="0">
      <alignment vertical="bottom" horizontal="general" wrapText="1"/>
    </xf>
    <xf applyBorder="1" fillId="0" xfId="0" numFmtId="164" borderId="1" applyFont="1" fontId="1" applyNumberFormat="1"/>
    <xf applyBorder="1" fillId="0" xfId="0" numFmtId="165" borderId="2" applyFont="1" fontId="2" applyNumberFormat="1"/>
    <xf applyBorder="1" fillId="0" xfId="0" numFmtId="166" borderId="3" applyFont="1" fontId="3" applyNumberFormat="1"/>
    <xf applyBorder="1" fillId="0" xfId="0" numFmtId="0" borderId="4" applyFont="1" fontId="4"/>
    <xf applyBorder="1" fillId="0" xfId="0" numFmtId="1" borderId="5" applyFont="1" fontId="5" applyNumberFormat="1"/>
    <xf applyBorder="1" fillId="0" xfId="0" numFmtId="0" borderId="6" applyFont="1" fontId="6"/>
    <xf applyBorder="1" fillId="0" xfId="0" numFmtId="1" borderId="7" applyFont="1" fontId="7" applyNumberFormat="1"/>
    <xf applyBorder="1" fillId="0" xfId="0" numFmtId="0" borderId="8" applyFont="1" fontId="8"/>
    <xf applyBorder="1" fillId="0" xfId="0" numFmtId="1" borderId="9" applyFont="1" fontId="9" applyNumberFormat="1"/>
    <xf applyBorder="1" fillId="0" xfId="0" numFmtId="167" borderId="10" applyFont="1" fontId="10" applyNumberFormat="1"/>
    <xf applyBorder="1" fillId="0" xfId="0" numFmtId="168" borderId="11" applyFont="1" fontId="11" applyNumberFormat="1"/>
    <xf applyBorder="1" fillId="0" xfId="0" numFmtId="0" borderId="12" applyFont="1" fontId="12"/>
    <xf fillId="0" xfId="0" numFmtId="169" borderId="0" applyFont="1" fontId="13" applyNumberFormat="1"/>
    <xf applyBorder="1" fillId="0" xfId="0" numFmtId="0" borderId="13" applyFont="1" fontId="14"/>
    <xf applyBorder="1" fillId="0" xfId="0" numFmtId="0" borderId="14" applyFont="1" fontId="15"/>
    <xf applyBorder="1" fillId="0" xfId="0" numFmtId="0" borderId="15" applyFont="1" fontId="16"/>
    <xf applyBorder="1" fillId="0" xfId="0" numFmtId="170" borderId="16" applyFont="1" fontId="17" applyNumberFormat="1"/>
    <xf applyBorder="1" fillId="0" xfId="0" numFmtId="171" borderId="17" applyFont="1" fontId="18" applyNumberFormat="1"/>
    <xf applyBorder="1" fillId="0" xfId="0" numFmtId="1" borderId="18" applyFont="1" fontId="19" applyNumberFormat="1"/>
    <xf applyBorder="1" fillId="0" xfId="0" numFmtId="0" borderId="19" applyFont="1" fontId="20"/>
    <xf applyBorder="1" fillId="0" xfId="0" numFmtId="1" borderId="20" applyFont="1" fontId="21" applyNumberFormat="1"/>
    <xf applyBorder="1" fillId="0" xfId="0" numFmtId="172" borderId="21" applyFont="1" fontId="22" applyNumberFormat="1"/>
    <xf applyBorder="1" fillId="0" xfId="0" numFmtId="0" borderId="22" applyFont="1" fontId="23"/>
    <xf fillId="0" xfId="0" numFmtId="0" borderId="0" applyFont="1" fontId="24"/>
    <xf applyBorder="1" fillId="0" xfId="0" numFmtId="1" borderId="23" applyFont="1" fontId="25" applyNumberFormat="1"/>
    <xf applyBorder="1" fillId="0" xfId="0" numFmtId="173" borderId="24" applyFont="1" fontId="26" applyNumberFormat="1"/>
    <xf applyBorder="1" fillId="0" xfId="0" numFmtId="0" borderId="25" applyFont="1" fontId="27"/>
    <xf fillId="0" xfId="0" numFmtId="1" borderId="0" applyFont="1" fontId="28" applyNumberFormat="1"/>
    <xf applyBorder="1" fillId="0" xfId="0" numFmtId="0" borderId="26" applyFont="1" fontId="29"/>
    <xf applyBorder="1" fillId="0" xfId="0" numFmtId="174" borderId="27" applyFont="1" fontId="30" applyNumberFormat="1"/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4" ySplit="3.0" activePane="bottomLeft" state="frozen"/>
      <selection sqref="A4" activeCell="A4" pane="bottomLeft"/>
    </sheetView>
  </sheetViews>
  <sheetFormatPr customHeight="1" defaultColWidth="13.57" defaultRowHeight="15.0"/>
  <cols>
    <col min="1" customWidth="1" max="1" width="18.0"/>
    <col min="2" customWidth="1" max="2" width="22.71"/>
    <col min="4" customWidth="1" max="4" style="28" width="9.86"/>
    <col min="5" customWidth="1" max="5" style="28" width="10.0"/>
    <col min="6" customWidth="1" max="6" style="13" width="10.86"/>
    <col min="7" customWidth="1" max="7" style="28" width="11.29"/>
    <col min="8" customWidth="1" max="8" width="11.14"/>
    <col min="9" customWidth="1" max="9" style="13" width="11.71"/>
    <col min="10" customWidth="1" max="10" width="9.86"/>
    <col min="11" customWidth="1" max="11" width="9.43"/>
    <col min="12" customWidth="1" max="12" style="13" width="10.0"/>
    <col min="13" customWidth="1" max="13" width="16.0"/>
  </cols>
  <sheetData>
    <row r="1">
      <c s="24" r="A1"/>
      <c s="24" r="B1"/>
      <c s="24" r="C1"/>
      <c s="24" r="D1"/>
      <c s="24" r="E1"/>
      <c s="24" r="F1"/>
      <c s="24" r="G1"/>
      <c s="24" r="H1"/>
      <c s="24" r="I1"/>
      <c s="24" r="J1"/>
      <c s="24" r="K1"/>
      <c s="24" r="L1"/>
      <c s="24" r="M1"/>
      <c s="24" r="N1"/>
    </row>
    <row r="2">
      <c s="23" r="A2"/>
      <c s="23" r="B2"/>
      <c s="23" r="C2"/>
      <c s="23" r="D2"/>
      <c s="23" r="E2"/>
      <c s="23" r="F2"/>
      <c s="23" r="G2"/>
      <c s="23" r="H2"/>
      <c s="23" r="I2"/>
      <c s="23" r="J2"/>
      <c s="23" r="K2"/>
      <c s="23" r="L2"/>
      <c s="23" r="M2"/>
      <c s="23" r="N2"/>
    </row>
    <row r="3">
      <c t="s" s="29" r="A3">
        <v>0</v>
      </c>
      <c t="s" s="29" r="B3">
        <v>1</v>
      </c>
      <c t="s" s="29" r="C3">
        <v>2</v>
      </c>
      <c t="s" s="7" r="D3">
        <v>3</v>
      </c>
      <c t="s" s="7" r="E3">
        <v>4</v>
      </c>
      <c t="s" s="11" r="F3">
        <v>5</v>
      </c>
      <c t="s" s="7" r="G3">
        <v>6</v>
      </c>
      <c t="s" s="29" r="H3">
        <v>7</v>
      </c>
      <c t="s" s="11" r="I3">
        <v>8</v>
      </c>
      <c t="s" s="7" r="J3">
        <v>9</v>
      </c>
      <c t="s" s="7" r="K3">
        <v>10</v>
      </c>
      <c t="s" s="11" r="L3">
        <v>11</v>
      </c>
      <c t="s" s="29" r="M3">
        <v>12</v>
      </c>
      <c t="s" s="29" r="N3">
        <v>13</v>
      </c>
    </row>
    <row r="4">
      <c t="s" s="29" r="A4">
        <v>14</v>
      </c>
      <c t="s" s="29" r="B4">
        <v>15</v>
      </c>
      <c s="30" r="C4">
        <v>111.9</v>
      </c>
      <c s="19" r="D4">
        <v>430</v>
      </c>
      <c s="19" r="E4">
        <v>857</v>
      </c>
      <c s="3" r="F4">
        <f>D4/E4</f>
        <v>0.501750291715286</v>
      </c>
      <c s="19" r="G4">
        <v>94</v>
      </c>
      <c s="19" r="H4">
        <v>218</v>
      </c>
      <c s="3" r="I4">
        <f>G4/H4</f>
        <v>0.431192660550459</v>
      </c>
      <c s="19" r="J4">
        <v>130</v>
      </c>
      <c s="19" r="K4">
        <v>218</v>
      </c>
      <c s="3" r="L4">
        <f>J4/K4</f>
        <v>0.596330275229358</v>
      </c>
      <c s="12" r="M4">
        <v>41.6</v>
      </c>
      <c s="3" r="N4">
        <v>0.205</v>
      </c>
    </row>
    <row r="5">
      <c t="s" s="29" r="A5">
        <v>16</v>
      </c>
      <c t="s" s="29" r="B5">
        <v>17</v>
      </c>
      <c s="30" r="C5">
        <v>108.2</v>
      </c>
      <c s="19" r="D5">
        <v>331</v>
      </c>
      <c s="19" r="E5">
        <v>726</v>
      </c>
      <c s="3" r="F5">
        <f>D5/E5</f>
        <v>0.455922865013774</v>
      </c>
      <c s="19" r="G5">
        <v>225</v>
      </c>
      <c s="19" r="H5">
        <v>521</v>
      </c>
      <c s="3" r="I5">
        <f>G5/H5</f>
        <v>0.431861804222649</v>
      </c>
      <c s="19" r="J5">
        <v>41</v>
      </c>
      <c s="19" r="K5">
        <v>60</v>
      </c>
      <c s="3" r="L5">
        <f>J5/K5</f>
        <v>0.683333333333333</v>
      </c>
      <c s="12" r="M5">
        <v>28.9</v>
      </c>
      <c s="3" r="N5">
        <v>0.15</v>
      </c>
    </row>
    <row r="6">
      <c t="s" s="29" r="A6">
        <v>18</v>
      </c>
      <c t="s" s="29" r="B6">
        <v>19</v>
      </c>
      <c s="30" r="C6">
        <v>108.1</v>
      </c>
      <c s="19" r="D6">
        <v>299</v>
      </c>
      <c s="19" r="E6">
        <v>739</v>
      </c>
      <c s="3" r="F6">
        <f>D6/E6</f>
        <v>0.404600811907984</v>
      </c>
      <c s="19" r="G6">
        <v>67</v>
      </c>
      <c s="19" r="H6">
        <v>178</v>
      </c>
      <c s="3" r="I6">
        <f>G6/H6</f>
        <v>0.376404494382022</v>
      </c>
      <c s="19" r="J6">
        <v>97</v>
      </c>
      <c s="19" r="K6">
        <v>222</v>
      </c>
      <c s="3" r="L6">
        <f>J6/K6</f>
        <v>0.436936936936937</v>
      </c>
      <c s="12" r="M6">
        <v>33.3</v>
      </c>
      <c s="3" r="N6">
        <v>0.174</v>
      </c>
    </row>
    <row r="7">
      <c t="s" s="29" r="A7">
        <v>20</v>
      </c>
      <c t="s" s="29" r="B7">
        <v>21</v>
      </c>
      <c s="30" r="C7">
        <v>107.5</v>
      </c>
      <c s="19" r="D7">
        <v>560</v>
      </c>
      <c s="19" r="E7">
        <v>1264</v>
      </c>
      <c s="3" r="F7">
        <f>D7/E7</f>
        <v>0.443037974683544</v>
      </c>
      <c s="19" r="G7">
        <v>131</v>
      </c>
      <c s="19" r="H7">
        <v>364</v>
      </c>
      <c s="3" r="I7">
        <f>G7/H7</f>
        <v>0.35989010989011</v>
      </c>
      <c s="19" r="J7">
        <v>197</v>
      </c>
      <c s="19" r="K7">
        <v>322</v>
      </c>
      <c s="3" r="L7">
        <f>J7/K7</f>
        <v>0.611801242236025</v>
      </c>
      <c s="12" r="M7">
        <v>24.7</v>
      </c>
      <c s="3" r="N7">
        <v>0.238</v>
      </c>
    </row>
    <row r="8">
      <c t="s" s="29" r="A8">
        <v>22</v>
      </c>
      <c t="s" s="29" r="B8">
        <v>23</v>
      </c>
      <c s="30" r="C8">
        <v>107.5</v>
      </c>
      <c s="19" r="D8">
        <v>372</v>
      </c>
      <c s="19" r="E8">
        <v>743</v>
      </c>
      <c s="3" r="F8">
        <f>D8/E8</f>
        <v>0.500672947510094</v>
      </c>
      <c s="19" r="G8">
        <v>103</v>
      </c>
      <c s="19" r="H8">
        <v>245</v>
      </c>
      <c s="3" r="I8">
        <f>G8/H8</f>
        <v>0.420408163265306</v>
      </c>
      <c s="19" r="J8">
        <v>123</v>
      </c>
      <c s="19" r="K8">
        <v>215</v>
      </c>
      <c s="3" r="L8">
        <f>J8/K8</f>
        <v>0.572093023255814</v>
      </c>
      <c s="12" r="M8">
        <v>30.8</v>
      </c>
      <c s="3" r="N8">
        <v>0.18</v>
      </c>
    </row>
    <row r="9">
      <c t="s" s="29" r="A9">
        <v>24</v>
      </c>
      <c t="s" s="29" r="B9">
        <v>15</v>
      </c>
      <c s="30" r="C9">
        <v>109.4</v>
      </c>
      <c s="19" r="D9">
        <v>541</v>
      </c>
      <c s="19" r="E9">
        <v>1056</v>
      </c>
      <c s="3" r="F9">
        <f>D9/E9</f>
        <v>0.512310606060606</v>
      </c>
      <c s="19" r="G9">
        <v>150</v>
      </c>
      <c s="19" r="H9">
        <v>342</v>
      </c>
      <c s="3" r="I9">
        <f>G9/H9</f>
        <v>0.43859649122807</v>
      </c>
      <c s="19" r="J9">
        <v>201</v>
      </c>
      <c s="19" r="K9">
        <v>303</v>
      </c>
      <c s="3" r="L9">
        <f>J9/K9</f>
        <v>0.663366336633663</v>
      </c>
      <c s="12" r="M9">
        <v>36.2</v>
      </c>
      <c s="3" r="N9">
        <v>0.234</v>
      </c>
    </row>
    <row r="10">
      <c t="s" s="29" r="A10">
        <v>25</v>
      </c>
      <c t="s" s="29" r="B10">
        <v>23</v>
      </c>
      <c s="30" r="C10">
        <v>108.7</v>
      </c>
      <c s="19" r="D10">
        <v>516</v>
      </c>
      <c s="19" r="E10">
        <v>1099</v>
      </c>
      <c s="3" r="F10">
        <f>D10/E10</f>
        <v>0.469517743403094</v>
      </c>
      <c s="19" r="G10">
        <v>171</v>
      </c>
      <c s="19" r="H10">
        <v>416</v>
      </c>
      <c s="3" r="I10">
        <f>G10/H10</f>
        <v>0.411057692307692</v>
      </c>
      <c s="19" r="J10">
        <v>126</v>
      </c>
      <c s="19" r="K10">
        <v>235</v>
      </c>
      <c s="3" r="L10">
        <f>J10/K10</f>
        <v>0.536170212765957</v>
      </c>
      <c s="12" r="M10">
        <v>18.7</v>
      </c>
      <c s="3" r="N10">
        <v>0.211</v>
      </c>
    </row>
    <row r="11">
      <c t="s" s="29" r="A11">
        <v>26</v>
      </c>
      <c t="s" s="29" r="B11">
        <v>27</v>
      </c>
      <c s="30" r="C11">
        <v>107.7</v>
      </c>
      <c s="19" r="D11">
        <v>423</v>
      </c>
      <c s="19" r="E11">
        <v>1012</v>
      </c>
      <c s="3" r="F11">
        <f>D11/E11</f>
        <v>0.41798418972332</v>
      </c>
      <c s="19" r="G11">
        <v>184</v>
      </c>
      <c s="19" r="H11">
        <v>425</v>
      </c>
      <c s="3" r="I11">
        <f>G11/H11</f>
        <v>0.432941176470588</v>
      </c>
      <c s="19" r="J11">
        <v>94</v>
      </c>
      <c s="19" r="K11">
        <v>218</v>
      </c>
      <c s="3" r="L11">
        <f>J11/K11</f>
        <v>0.431192660550459</v>
      </c>
      <c s="12" r="M11">
        <v>33.1</v>
      </c>
      <c s="3" r="N11">
        <v>0.236</v>
      </c>
    </row>
    <row r="12">
      <c t="s" s="29" r="A12">
        <v>28</v>
      </c>
      <c t="s" s="29" r="B12">
        <v>19</v>
      </c>
      <c s="30" r="C12">
        <v>107.4</v>
      </c>
      <c s="19" r="D12">
        <v>334</v>
      </c>
      <c s="19" r="E12">
        <v>799</v>
      </c>
      <c s="3" r="F12">
        <f>D12/E12</f>
        <v>0.4180225281602</v>
      </c>
      <c s="19" r="G12">
        <v>43</v>
      </c>
      <c s="19" r="H12">
        <v>149</v>
      </c>
      <c s="3" r="I12">
        <f>G12/H12</f>
        <v>0.288590604026846</v>
      </c>
      <c s="19" r="J12">
        <v>101</v>
      </c>
      <c s="19" r="K12">
        <v>226</v>
      </c>
      <c s="3" r="L12">
        <f>J12/K12</f>
        <v>0.446902654867257</v>
      </c>
      <c s="12" r="M12">
        <v>34.1</v>
      </c>
      <c s="3" r="N12">
        <v>0.185</v>
      </c>
    </row>
    <row r="13">
      <c t="s" s="29" r="A13">
        <v>29</v>
      </c>
      <c t="s" s="29" r="B13">
        <v>30</v>
      </c>
      <c s="30" r="C13">
        <v>106.7</v>
      </c>
      <c s="19" r="D13">
        <v>576</v>
      </c>
      <c s="19" r="E13">
        <v>1228</v>
      </c>
      <c s="3" r="F13">
        <f>D13/E13</f>
        <v>0.469055374592834</v>
      </c>
      <c s="19" r="G13">
        <v>169</v>
      </c>
      <c s="19" r="H13">
        <v>382</v>
      </c>
      <c s="3" r="I13">
        <f>G13/H13</f>
        <v>0.442408376963351</v>
      </c>
      <c s="19" r="J13">
        <v>223</v>
      </c>
      <c s="19" r="K13">
        <v>423</v>
      </c>
      <c s="3" r="L13">
        <f>J13/K13</f>
        <v>0.527186761229314</v>
      </c>
      <c s="12" r="M13">
        <v>22.5</v>
      </c>
      <c s="3" r="N13">
        <v>0.236</v>
      </c>
    </row>
    <row r="14">
      <c t="s" s="29" r="A14">
        <v>31</v>
      </c>
      <c t="s" s="29" r="B14">
        <v>15</v>
      </c>
      <c s="30" r="C14">
        <v>111.4</v>
      </c>
      <c s="19" r="D14">
        <v>517</v>
      </c>
      <c s="19" r="E14">
        <v>971</v>
      </c>
      <c s="3" r="F14">
        <f>D14/E14</f>
        <v>0.532440782698249</v>
      </c>
      <c s="19" r="G14">
        <v>156</v>
      </c>
      <c s="19" r="H14">
        <v>343</v>
      </c>
      <c s="3" r="I14">
        <f>G14/H14</f>
        <v>0.454810495626822</v>
      </c>
      <c s="19" r="J14">
        <v>170</v>
      </c>
      <c s="19" r="K14">
        <v>256</v>
      </c>
      <c s="3" r="L14">
        <f>J14/K14</f>
        <v>0.6640625</v>
      </c>
      <c s="12" r="M14">
        <v>39.3</v>
      </c>
      <c s="3" r="N14">
        <v>0.236</v>
      </c>
    </row>
    <row r="15">
      <c t="s" s="29" r="A15">
        <v>32</v>
      </c>
      <c t="s" s="29" r="B15">
        <v>33</v>
      </c>
      <c s="30" r="C15">
        <v>108.5</v>
      </c>
      <c s="19" r="D15">
        <v>292</v>
      </c>
      <c s="19" r="E15">
        <v>593</v>
      </c>
      <c s="3" r="F15">
        <f>D15/E15</f>
        <v>0.492411467116358</v>
      </c>
      <c s="19" r="G15">
        <v>14</v>
      </c>
      <c s="19" r="H15">
        <v>50</v>
      </c>
      <c s="3" r="I15">
        <f>G15/H15</f>
        <v>0.28</v>
      </c>
      <c s="19" r="J15">
        <v>197</v>
      </c>
      <c s="19" r="K15">
        <v>342</v>
      </c>
      <c s="3" r="L15">
        <f>J15/K15</f>
        <v>0.576023391812866</v>
      </c>
      <c s="12" r="M15">
        <v>25.7</v>
      </c>
      <c s="3" r="N15">
        <v>0.187</v>
      </c>
    </row>
    <row r="16">
      <c t="s" s="29" r="A16">
        <v>34</v>
      </c>
      <c t="s" s="29" r="B16">
        <v>35</v>
      </c>
      <c s="30" r="C16">
        <v>106.7</v>
      </c>
      <c s="19" r="D16">
        <v>494</v>
      </c>
      <c s="19" r="E16">
        <v>1083</v>
      </c>
      <c s="3" r="F16">
        <f>D16/E16</f>
        <v>0.456140350877193</v>
      </c>
      <c s="19" r="G16">
        <v>82</v>
      </c>
      <c s="19" r="H16">
        <v>255</v>
      </c>
      <c s="3" r="I16">
        <f>G16/H16</f>
        <v>0.32156862745098</v>
      </c>
      <c s="19" r="J16">
        <v>211</v>
      </c>
      <c s="19" r="K16">
        <v>403</v>
      </c>
      <c s="3" r="L16">
        <f>J16/K16</f>
        <v>0.523573200992556</v>
      </c>
      <c s="12" r="M16">
        <v>33.8</v>
      </c>
      <c s="3" r="N16">
        <v>0.231</v>
      </c>
    </row>
    <row r="17">
      <c t="s" s="29" r="A17">
        <v>36</v>
      </c>
      <c t="s" s="29" r="B17">
        <v>37</v>
      </c>
      <c s="30" r="C17">
        <v>106.7</v>
      </c>
      <c s="19" r="D17">
        <v>647</v>
      </c>
      <c s="19" r="E17">
        <v>1548</v>
      </c>
      <c s="3" r="F17">
        <f>D17/E17</f>
        <v>0.417958656330749</v>
      </c>
      <c s="19" r="G17">
        <v>205</v>
      </c>
      <c s="19" r="H17">
        <v>584</v>
      </c>
      <c s="3" r="I17">
        <f>G17/H17</f>
        <v>0.351027397260274</v>
      </c>
      <c s="19" r="J17">
        <v>233</v>
      </c>
      <c s="19" r="K17">
        <v>433</v>
      </c>
      <c s="3" r="L17">
        <f>J17/K17</f>
        <v>0.53810623556582</v>
      </c>
      <c s="12" r="M17">
        <v>17.4</v>
      </c>
      <c s="3" r="N17">
        <v>0.292</v>
      </c>
    </row>
    <row r="18">
      <c t="s" s="29" r="A18">
        <v>38</v>
      </c>
      <c t="s" s="29" r="B18">
        <v>39</v>
      </c>
      <c s="30" r="C18">
        <v>106.7</v>
      </c>
      <c s="19" r="D18">
        <v>570</v>
      </c>
      <c s="19" r="E18">
        <v>1096</v>
      </c>
      <c s="3" r="F18">
        <f>D18/E18</f>
        <v>0.52007299270073</v>
      </c>
      <c s="19" r="G18">
        <v>15</v>
      </c>
      <c s="19" r="H18">
        <v>38</v>
      </c>
      <c s="3" r="I18">
        <f>G18/H18</f>
        <v>0.394736842105263</v>
      </c>
      <c s="19" r="J18">
        <v>349</v>
      </c>
      <c s="19" r="K18">
        <v>554</v>
      </c>
      <c s="3" r="L18">
        <f>J18/K18</f>
        <v>0.629963898916968</v>
      </c>
      <c s="12" r="M18">
        <v>22.6</v>
      </c>
      <c s="3" r="N18">
        <v>0.259</v>
      </c>
    </row>
    <row r="19">
      <c t="s" s="29" r="A19">
        <v>40</v>
      </c>
      <c t="s" s="29" r="B19">
        <v>15</v>
      </c>
      <c s="30" r="C19">
        <v>111.2</v>
      </c>
      <c s="19" r="D19">
        <v>485</v>
      </c>
      <c s="19" r="E19">
        <v>962</v>
      </c>
      <c s="3" r="F19">
        <f>D19/E19</f>
        <v>0.504158004158004</v>
      </c>
      <c s="19" r="G19">
        <v>179</v>
      </c>
      <c s="19" r="H19">
        <v>381</v>
      </c>
      <c s="3" r="I19">
        <f>G19/H19</f>
        <v>0.469816272965879</v>
      </c>
      <c s="19" r="J19">
        <v>93</v>
      </c>
      <c s="19" r="K19">
        <v>164</v>
      </c>
      <c s="3" r="L19">
        <f>J19/K19</f>
        <v>0.567073170731707</v>
      </c>
      <c s="12" r="M19">
        <v>39.7</v>
      </c>
      <c s="3" r="N19">
        <v>0.228</v>
      </c>
    </row>
    <row r="20">
      <c t="s" s="29" r="A20">
        <v>41</v>
      </c>
      <c t="s" s="29" r="B20">
        <v>35</v>
      </c>
      <c s="30" r="C20">
        <v>110.8</v>
      </c>
      <c s="19" r="D20">
        <v>566</v>
      </c>
      <c s="19" r="E20">
        <v>1117</v>
      </c>
      <c s="3" r="F20">
        <f>D20/E20</f>
        <v>0.506714413607878</v>
      </c>
      <c s="19" r="G20">
        <v>83</v>
      </c>
      <c s="19" r="H20">
        <v>210</v>
      </c>
      <c s="3" r="I20">
        <f>G20/H20</f>
        <v>0.395238095238095</v>
      </c>
      <c s="19" r="J20">
        <v>288</v>
      </c>
      <c s="19" r="K20">
        <v>484</v>
      </c>
      <c s="3" r="L20">
        <f>J20/K20</f>
        <v>0.59504132231405</v>
      </c>
      <c s="12" r="M20">
        <v>35.3</v>
      </c>
      <c s="3" r="N20">
        <v>0.241</v>
      </c>
    </row>
    <row r="21">
      <c t="s" s="29" r="A21">
        <v>42</v>
      </c>
      <c t="s" s="29" r="B21">
        <v>43</v>
      </c>
      <c s="30" r="C21">
        <v>110.3</v>
      </c>
      <c s="19" r="D21">
        <v>339</v>
      </c>
      <c s="19" r="E21">
        <v>777</v>
      </c>
      <c s="3" r="F21">
        <f>D21/E21</f>
        <v>0.436293436293436</v>
      </c>
      <c s="19" r="G21">
        <v>112</v>
      </c>
      <c s="19" r="H21">
        <v>276</v>
      </c>
      <c s="3" r="I21">
        <f>G21/H21</f>
        <v>0.405797101449275</v>
      </c>
      <c s="19" r="J21">
        <v>62</v>
      </c>
      <c s="19" r="K21">
        <v>149</v>
      </c>
      <c s="3" r="L21">
        <f>J21/K21</f>
        <v>0.416107382550336</v>
      </c>
      <c s="12" r="M21">
        <v>20.1</v>
      </c>
      <c s="3" r="N21">
        <v>0.176</v>
      </c>
    </row>
    <row r="22">
      <c t="s" s="29" r="A22">
        <v>44</v>
      </c>
      <c t="s" s="29" r="B22">
        <v>45</v>
      </c>
      <c s="30" r="C22">
        <v>109.1</v>
      </c>
      <c s="19" r="D22">
        <v>650</v>
      </c>
      <c s="19" r="E22">
        <v>1526</v>
      </c>
      <c s="3" r="F22">
        <f>D22/E22</f>
        <v>0.425950196592398</v>
      </c>
      <c s="19" r="G22">
        <v>173</v>
      </c>
      <c s="19" r="H22">
        <v>525</v>
      </c>
      <c s="3" r="I22">
        <f>G22/H22</f>
        <v>0.32952380952381</v>
      </c>
      <c s="19" r="J22">
        <v>339</v>
      </c>
      <c s="19" r="K22">
        <v>618</v>
      </c>
      <c s="3" r="L22">
        <f>J22/K22</f>
        <v>0.548543689320388</v>
      </c>
      <c s="12" r="M22">
        <v>24.3</v>
      </c>
      <c s="3" r="N22">
        <v>0.251</v>
      </c>
    </row>
    <row r="23">
      <c t="s" s="29" r="A23">
        <v>46</v>
      </c>
      <c t="s" s="29" r="B23">
        <v>47</v>
      </c>
      <c s="30" r="C23">
        <v>109</v>
      </c>
      <c s="19" r="D23">
        <v>630</v>
      </c>
      <c s="19" r="E23">
        <v>1291</v>
      </c>
      <c s="3" r="F23">
        <f>D23/E23</f>
        <v>0.487993803253292</v>
      </c>
      <c s="19" r="G23">
        <v>92</v>
      </c>
      <c s="19" r="H23">
        <v>249</v>
      </c>
      <c s="3" r="I23">
        <f>G23/H23</f>
        <v>0.369477911646586</v>
      </c>
      <c s="19" r="J23">
        <v>260</v>
      </c>
      <c s="19" r="K23">
        <v>454</v>
      </c>
      <c s="3" r="L23">
        <f>J23/K23</f>
        <v>0.572687224669604</v>
      </c>
      <c s="12" r="M23">
        <v>35.7</v>
      </c>
      <c s="3" r="N23">
        <v>0.268</v>
      </c>
    </row>
    <row r="24">
      <c t="s" s="2" r="A24">
        <v>48</v>
      </c>
      <c t="s" s="2" r="B24">
        <v>15</v>
      </c>
      <c s="30" r="C24">
        <v>111.2</v>
      </c>
      <c s="19" r="D24">
        <v>428</v>
      </c>
      <c s="19" r="E24">
        <v>851</v>
      </c>
      <c s="3" r="F24">
        <f>D24/E24</f>
        <v>0.502937720329025</v>
      </c>
      <c s="19" r="G24">
        <v>108</v>
      </c>
      <c s="19" r="H24">
        <v>246</v>
      </c>
      <c s="3" r="I24">
        <f>G24/H24</f>
        <v>0.439024390243902</v>
      </c>
      <c s="19" r="J24">
        <v>126</v>
      </c>
      <c s="19" r="K24">
        <v>201</v>
      </c>
      <c s="3" r="L24">
        <f>J24/K24</f>
        <v>0.626865671641791</v>
      </c>
      <c s="12" r="M24">
        <v>37.6</v>
      </c>
      <c s="3" r="N24">
        <v>0.218</v>
      </c>
    </row>
    <row r="25">
      <c t="s" s="29" r="A25">
        <v>49</v>
      </c>
      <c t="s" s="29" r="B25">
        <v>50</v>
      </c>
      <c s="30" r="C25">
        <v>110.7</v>
      </c>
      <c s="19" r="D25">
        <v>277</v>
      </c>
      <c s="19" r="E25">
        <v>647</v>
      </c>
      <c s="3" r="F25">
        <f>D25/E25</f>
        <v>0.428129829984544</v>
      </c>
      <c s="19" r="G25">
        <v>140</v>
      </c>
      <c s="19" r="H25">
        <v>328</v>
      </c>
      <c s="3" r="I25">
        <f>G25/H25</f>
        <v>0.426829268292683</v>
      </c>
      <c s="19" r="J25">
        <v>47</v>
      </c>
      <c s="19" r="K25">
        <v>103</v>
      </c>
      <c s="3" r="L25">
        <f>J25/K25</f>
        <v>0.45631067961165</v>
      </c>
      <c s="12" r="M25">
        <v>30.6</v>
      </c>
      <c s="3" r="N25">
        <v>0.176</v>
      </c>
    </row>
    <row r="26">
      <c t="s" s="29" r="A26">
        <v>51</v>
      </c>
      <c t="s" s="29" r="B26">
        <v>43</v>
      </c>
      <c s="30" r="C26">
        <v>109.8</v>
      </c>
      <c s="19" r="D26">
        <v>292</v>
      </c>
      <c s="19" r="E26">
        <v>688</v>
      </c>
      <c s="3" r="F26">
        <f>D26/E26</f>
        <v>0.424418604651163</v>
      </c>
      <c s="19" r="G26">
        <v>120</v>
      </c>
      <c s="19" r="H26">
        <v>302</v>
      </c>
      <c s="3" r="I26">
        <f>G26/H26</f>
        <v>0.397350993377483</v>
      </c>
      <c s="19" r="J26">
        <v>47</v>
      </c>
      <c s="19" r="K26">
        <v>127</v>
      </c>
      <c s="3" r="L26">
        <f>J26/K26</f>
        <v>0.37007874015748</v>
      </c>
      <c s="12" r="M26">
        <v>24.2</v>
      </c>
      <c s="3" r="N26">
        <v>0.145</v>
      </c>
    </row>
    <row r="27">
      <c t="s" s="29" r="A27">
        <v>52</v>
      </c>
      <c t="s" s="29" r="B27">
        <v>53</v>
      </c>
      <c s="30" r="C27">
        <v>109.7</v>
      </c>
      <c s="19" r="D27">
        <v>526</v>
      </c>
      <c s="19" r="E27">
        <v>1126</v>
      </c>
      <c s="3" r="F27">
        <f>D27/E27</f>
        <v>0.467140319715808</v>
      </c>
      <c s="19" r="G27">
        <v>183</v>
      </c>
      <c s="19" r="H27">
        <v>420</v>
      </c>
      <c s="3" r="I27">
        <f>G27/H27</f>
        <v>0.435714285714286</v>
      </c>
      <c s="19" r="J27">
        <v>116</v>
      </c>
      <c s="19" r="K27">
        <v>218</v>
      </c>
      <c s="3" r="L27">
        <f>J27/K27</f>
        <v>0.532110091743119</v>
      </c>
      <c s="30" r="M27">
        <v>19</v>
      </c>
      <c s="3" r="N27">
        <v>0.223</v>
      </c>
    </row>
    <row r="28">
      <c t="s" s="29" r="A28">
        <v>54</v>
      </c>
      <c t="s" s="29" r="B28">
        <v>55</v>
      </c>
      <c s="30" r="C28">
        <v>108.1</v>
      </c>
      <c s="19" r="D28">
        <v>257</v>
      </c>
      <c s="19" r="E28">
        <v>618</v>
      </c>
      <c s="3" r="F28">
        <f>D28/E28</f>
        <v>0.415857605177994</v>
      </c>
      <c s="19" r="G28">
        <v>131</v>
      </c>
      <c s="19" r="H28">
        <v>323</v>
      </c>
      <c s="3" r="I28">
        <f>G28/H28</f>
        <v>0.405572755417957</v>
      </c>
      <c s="19" r="J28">
        <v>61</v>
      </c>
      <c s="19" r="K28">
        <v>128</v>
      </c>
      <c s="3" r="L28">
        <f>J28/K28</f>
        <v>0.4765625</v>
      </c>
      <c s="12" r="M28">
        <v>45.3</v>
      </c>
      <c s="3" r="N28">
        <v>0.149</v>
      </c>
    </row>
    <row r="29">
      <c t="s" s="29" r="A29">
        <v>56</v>
      </c>
      <c t="s" s="29" r="B29">
        <v>15</v>
      </c>
      <c s="30" r="C29">
        <v>112.7</v>
      </c>
      <c s="19" r="D29">
        <v>499</v>
      </c>
      <c s="19" r="E29">
        <v>985</v>
      </c>
      <c s="3" r="F29">
        <f>D29/E29</f>
        <v>0.506598984771574</v>
      </c>
      <c s="19" r="G29">
        <v>124</v>
      </c>
      <c s="19" r="H29">
        <v>291</v>
      </c>
      <c s="3" r="I29">
        <f>G29/H29</f>
        <v>0.426116838487972</v>
      </c>
      <c s="19" r="J29">
        <v>134</v>
      </c>
      <c s="19" r="K29">
        <v>204</v>
      </c>
      <c s="3" r="L29">
        <f>J29/K29</f>
        <v>0.656862745098039</v>
      </c>
      <c s="12" r="M29">
        <v>39.3</v>
      </c>
      <c s="3" r="N29">
        <v>0.242</v>
      </c>
    </row>
    <row r="30">
      <c t="s" s="29" r="A30">
        <v>57</v>
      </c>
      <c t="s" s="29" r="B30">
        <v>58</v>
      </c>
      <c s="30" r="C30">
        <v>109.5</v>
      </c>
      <c s="19" r="D30">
        <v>317</v>
      </c>
      <c s="19" r="E30">
        <v>706</v>
      </c>
      <c s="3" r="F30">
        <f>D30/E30</f>
        <v>0.449008498583569</v>
      </c>
      <c s="19" r="G30">
        <v>86</v>
      </c>
      <c s="19" r="H30">
        <v>226</v>
      </c>
      <c s="3" r="I30">
        <f>G30/H30</f>
        <v>0.380530973451327</v>
      </c>
      <c s="19" r="J30">
        <v>124</v>
      </c>
      <c s="19" r="K30">
        <v>227</v>
      </c>
      <c s="3" r="L30">
        <f>J30/K30</f>
        <v>0.54625550660793</v>
      </c>
      <c s="12" r="M30">
        <v>28.3</v>
      </c>
      <c s="3" r="N30">
        <v>0.222</v>
      </c>
    </row>
    <row r="31">
      <c t="s" s="29" r="A31">
        <v>59</v>
      </c>
      <c t="s" s="29" r="B31">
        <v>21</v>
      </c>
      <c s="30" r="C31">
        <v>108.9</v>
      </c>
      <c s="19" r="D31">
        <v>268</v>
      </c>
      <c s="19" r="E31">
        <v>644</v>
      </c>
      <c s="3" r="F31">
        <f>D31/E31</f>
        <v>0.416149068322981</v>
      </c>
      <c s="19" r="G31">
        <v>126</v>
      </c>
      <c s="19" r="H31">
        <v>324</v>
      </c>
      <c s="3" r="I31">
        <f>G31/H31</f>
        <v>0.388888888888889</v>
      </c>
      <c s="19" r="J31">
        <v>34</v>
      </c>
      <c s="19" r="K31">
        <v>61</v>
      </c>
      <c s="3" r="L31">
        <f>J31/K31</f>
        <v>0.557377049180328</v>
      </c>
      <c s="12" r="M31">
        <v>28.7</v>
      </c>
      <c s="3" r="N31">
        <v>0.165</v>
      </c>
    </row>
    <row r="32">
      <c t="s" s="29" r="A32">
        <v>60</v>
      </c>
      <c t="s" s="29" r="B32">
        <v>53</v>
      </c>
      <c s="30" r="C32">
        <v>108.8</v>
      </c>
      <c s="19" r="D32">
        <v>378</v>
      </c>
      <c s="19" r="E32">
        <v>855</v>
      </c>
      <c s="3" r="F32">
        <f>D32/E32</f>
        <v>0.442105263157895</v>
      </c>
      <c s="19" r="G32">
        <v>159</v>
      </c>
      <c s="19" r="H32">
        <v>371</v>
      </c>
      <c s="3" r="I32">
        <f>G32/H32</f>
        <v>0.428571428571429</v>
      </c>
      <c s="19" r="J32">
        <v>66</v>
      </c>
      <c s="19" r="K32">
        <v>135</v>
      </c>
      <c s="3" r="L32">
        <f>J32/K32</f>
        <v>0.488888888888889</v>
      </c>
      <c s="12" r="M32">
        <v>24.8</v>
      </c>
      <c s="3" r="N32">
        <v>0.214</v>
      </c>
    </row>
    <row r="33">
      <c t="s" s="29" r="A33">
        <v>61</v>
      </c>
      <c t="s" s="29" r="B33">
        <v>27</v>
      </c>
      <c s="30" r="C33">
        <v>108.7</v>
      </c>
      <c s="19" r="D33">
        <v>402</v>
      </c>
      <c s="19" r="E33">
        <v>962</v>
      </c>
      <c s="3" r="F33">
        <f>D33/E33</f>
        <v>0.417879417879418</v>
      </c>
      <c s="19" r="G33">
        <v>157</v>
      </c>
      <c s="19" r="H33">
        <v>407</v>
      </c>
      <c s="3" r="I33">
        <f>G33/H33</f>
        <v>0.385749385749386</v>
      </c>
      <c s="19" r="J33">
        <v>126</v>
      </c>
      <c s="19" r="K33">
        <v>241</v>
      </c>
      <c s="3" r="L33">
        <f>J33/K33</f>
        <v>0.522821576763486</v>
      </c>
      <c s="12" r="M33">
        <v>23.1</v>
      </c>
      <c s="3" r="N33">
        <v>0.236</v>
      </c>
    </row>
    <row r="34">
      <c t="s" s="29" r="A34">
        <v>62</v>
      </c>
      <c t="s" s="29" r="B34">
        <v>63</v>
      </c>
      <c s="30" r="C34">
        <v>109.5</v>
      </c>
      <c s="19" r="D34">
        <v>403</v>
      </c>
      <c s="19" r="E34">
        <v>866</v>
      </c>
      <c s="3" r="F34">
        <f>D34/E34</f>
        <v>0.465357967667436</v>
      </c>
      <c s="19" r="G34">
        <v>143</v>
      </c>
      <c s="19" r="H34">
        <v>324</v>
      </c>
      <c s="3" r="I34">
        <f>G34/H34</f>
        <v>0.441358024691358</v>
      </c>
      <c s="19" r="J34">
        <v>163</v>
      </c>
      <c s="19" r="K34">
        <v>288</v>
      </c>
      <c s="3" r="L34">
        <f>J34/K34</f>
        <v>0.565972222222222</v>
      </c>
      <c s="12" r="M34">
        <v>28.9</v>
      </c>
      <c s="3" r="N34">
        <v>0.202</v>
      </c>
    </row>
    <row r="35">
      <c t="s" s="29" r="A35">
        <v>64</v>
      </c>
      <c t="s" s="29" r="B35">
        <v>39</v>
      </c>
      <c s="30" r="C35">
        <v>109.4</v>
      </c>
      <c s="19" r="D35">
        <v>555</v>
      </c>
      <c s="19" r="E35">
        <v>1069</v>
      </c>
      <c s="3" r="F35">
        <f>D35/E35</f>
        <v>0.519176800748363</v>
      </c>
      <c s="19" r="G35">
        <v>25</v>
      </c>
      <c s="19" r="H35">
        <v>70</v>
      </c>
      <c s="3" r="I35">
        <f>G35/H35</f>
        <v>0.357142857142857</v>
      </c>
      <c s="19" r="J35">
        <v>376</v>
      </c>
      <c s="19" r="K35">
        <v>603</v>
      </c>
      <c s="3" r="L35">
        <f>J35/K35</f>
        <v>0.623548922056385</v>
      </c>
      <c s="12" r="M35">
        <v>26.8</v>
      </c>
      <c s="3" r="N35">
        <v>0.247</v>
      </c>
    </row>
    <row r="36">
      <c t="s" s="29" r="A36">
        <v>65</v>
      </c>
      <c t="s" s="29" r="B36">
        <v>66</v>
      </c>
      <c s="30" r="C36">
        <v>109.3</v>
      </c>
      <c s="19" r="D36">
        <v>155</v>
      </c>
      <c s="19" r="E36">
        <v>388</v>
      </c>
      <c s="3" r="F36">
        <f>D36/E36</f>
        <v>0.399484536082474</v>
      </c>
      <c s="19" r="G36">
        <v>83</v>
      </c>
      <c s="19" r="H36">
        <v>231</v>
      </c>
      <c s="3" r="I36">
        <f>G36/H36</f>
        <v>0.359307359307359</v>
      </c>
      <c s="19" r="J36">
        <v>39</v>
      </c>
      <c s="19" r="K36">
        <v>72</v>
      </c>
      <c s="3" r="L36">
        <f>J36/K36</f>
        <v>0.541666666666667</v>
      </c>
      <c s="12" r="M36">
        <v>25.9</v>
      </c>
      <c s="3" r="N36">
        <v>0.145</v>
      </c>
    </row>
    <row r="37">
      <c t="s" s="29" r="A37">
        <v>67</v>
      </c>
      <c t="s" s="29" r="B37">
        <v>68</v>
      </c>
      <c s="30" r="C37">
        <v>108.6</v>
      </c>
      <c s="19" r="D37">
        <v>614</v>
      </c>
      <c s="19" r="E37">
        <v>1390</v>
      </c>
      <c s="3" r="F37">
        <f>D37/E37</f>
        <v>0.441726618705036</v>
      </c>
      <c s="19" r="G37">
        <v>34</v>
      </c>
      <c s="19" r="H37">
        <v>103</v>
      </c>
      <c s="3" r="I37">
        <f>G37/H37</f>
        <v>0.330097087378641</v>
      </c>
      <c s="19" r="J37">
        <v>366</v>
      </c>
      <c s="19" r="K37">
        <v>707</v>
      </c>
      <c s="3" r="L37">
        <f>J37/K37</f>
        <v>0.517680339462518</v>
      </c>
      <c s="12" r="M37">
        <v>25.2</v>
      </c>
      <c s="3" r="N37">
        <v>0.304</v>
      </c>
    </row>
    <row r="38">
      <c t="s" s="29" r="A38">
        <v>69</v>
      </c>
      <c t="s" s="29" r="B38">
        <v>70</v>
      </c>
      <c s="30" r="C38">
        <v>108.3</v>
      </c>
      <c s="19" r="D38">
        <v>443</v>
      </c>
      <c s="19" r="E38">
        <v>1059</v>
      </c>
      <c s="3" r="F38">
        <f>D38/E38</f>
        <v>0.418319169027384</v>
      </c>
      <c s="19" r="G38">
        <v>129</v>
      </c>
      <c s="19" r="H38">
        <v>393</v>
      </c>
      <c s="3" r="I38">
        <f>G38/H38</f>
        <v>0.32824427480916</v>
      </c>
      <c s="19" r="J38">
        <v>168</v>
      </c>
      <c s="19" r="K38">
        <v>334</v>
      </c>
      <c s="3" r="L38">
        <f>J38/K38</f>
        <v>0.502994011976048</v>
      </c>
      <c s="12" r="M38">
        <v>27.9</v>
      </c>
      <c s="3" r="N38">
        <v>0.229</v>
      </c>
    </row>
    <row r="39">
      <c t="s" s="29" r="A39">
        <v>71</v>
      </c>
      <c t="s" s="29" r="B39">
        <v>39</v>
      </c>
      <c s="30" r="C39">
        <v>108.5</v>
      </c>
      <c s="19" r="D39">
        <v>427</v>
      </c>
      <c s="19" r="E39">
        <v>890</v>
      </c>
      <c s="3" r="F39">
        <f>D39/E39</f>
        <v>0.479775280898876</v>
      </c>
      <c s="19" r="G39">
        <v>14</v>
      </c>
      <c s="19" r="H39">
        <v>61</v>
      </c>
      <c s="3" r="I39">
        <f>G39/H39</f>
        <v>0.229508196721311</v>
      </c>
      <c s="19" r="J39">
        <v>235</v>
      </c>
      <c s="19" r="K39">
        <v>394</v>
      </c>
      <c s="3" r="L39">
        <f>J39/K39</f>
        <v>0.596446700507614</v>
      </c>
      <c s="12" r="M39">
        <v>28.4</v>
      </c>
      <c s="3" r="N39">
        <v>0.273</v>
      </c>
    </row>
    <row r="40">
      <c t="s" s="29" r="A40">
        <v>72</v>
      </c>
      <c t="s" s="29" r="B40">
        <v>68</v>
      </c>
      <c s="30" r="C40">
        <v>107.1</v>
      </c>
      <c s="19" r="D40">
        <v>578</v>
      </c>
      <c s="19" r="E40">
        <v>1266</v>
      </c>
      <c s="3" r="F40">
        <f>D40/E40</f>
        <v>0.456556082148499</v>
      </c>
      <c s="19" r="G40">
        <v>62</v>
      </c>
      <c s="19" r="H40">
        <v>196</v>
      </c>
      <c s="3" r="I40">
        <f>G40/H40</f>
        <v>0.316326530612245</v>
      </c>
      <c s="19" r="J40">
        <v>286</v>
      </c>
      <c s="19" r="K40">
        <v>518</v>
      </c>
      <c s="3" r="L40">
        <f>J40/K40</f>
        <v>0.552123552123552</v>
      </c>
      <c s="12" r="M40">
        <v>17.7</v>
      </c>
      <c s="3" r="N40">
        <v>0.3</v>
      </c>
    </row>
    <row r="41">
      <c t="s" s="29" r="A41">
        <v>73</v>
      </c>
      <c t="s" s="29" r="B41">
        <v>74</v>
      </c>
      <c s="30" r="C41">
        <v>106.5</v>
      </c>
      <c s="19" r="D41">
        <v>374</v>
      </c>
      <c s="19" r="E41">
        <v>767</v>
      </c>
      <c s="3" r="F41">
        <f>D41/E41</f>
        <v>0.48761408083442</v>
      </c>
      <c s="19" r="G41">
        <v>73</v>
      </c>
      <c s="19" r="H41">
        <v>200</v>
      </c>
      <c s="3" r="I41">
        <f>G41/H41</f>
        <v>0.365</v>
      </c>
      <c s="19" r="J41">
        <v>217</v>
      </c>
      <c s="19" r="K41">
        <v>372</v>
      </c>
      <c s="3" r="L41">
        <f>J41/K41</f>
        <v>0.583333333333333</v>
      </c>
      <c s="12" r="M41">
        <v>28.4</v>
      </c>
      <c s="3" r="N41">
        <v>0.208</v>
      </c>
    </row>
    <row r="42">
      <c t="s" s="29" r="A42">
        <v>75</v>
      </c>
      <c t="s" s="29" r="B42">
        <v>47</v>
      </c>
      <c s="30" r="C42">
        <v>105.2</v>
      </c>
      <c s="19" r="D42">
        <v>425</v>
      </c>
      <c s="19" r="E42">
        <v>890</v>
      </c>
      <c s="3" r="F42">
        <f>D42/E42</f>
        <v>0.47752808988764</v>
      </c>
      <c s="19" r="G42">
        <v>79</v>
      </c>
      <c s="19" r="H42">
        <v>213</v>
      </c>
      <c s="3" r="I42">
        <f>G42/H42</f>
        <v>0.370892018779343</v>
      </c>
      <c s="19" r="J42">
        <v>164</v>
      </c>
      <c s="19" r="K42">
        <v>289</v>
      </c>
      <c s="3" r="L42">
        <f>J42/K42</f>
        <v>0.567474048442907</v>
      </c>
      <c s="12" r="M42">
        <v>32.1</v>
      </c>
      <c s="3" r="N42">
        <v>0.249</v>
      </c>
    </row>
    <row r="43">
      <c t="s" s="29" r="A43">
        <v>76</v>
      </c>
      <c t="s" s="29" r="B43">
        <v>77</v>
      </c>
      <c s="30" r="C43">
        <v>104.5</v>
      </c>
      <c s="19" r="D43">
        <v>302</v>
      </c>
      <c s="19" r="E43">
        <v>695</v>
      </c>
      <c s="3" r="F43">
        <f>D43/E43</f>
        <v>0.434532374100719</v>
      </c>
      <c s="19" r="G43">
        <v>54</v>
      </c>
      <c s="19" r="H43">
        <v>173</v>
      </c>
      <c s="3" r="I43">
        <f>G43/H43</f>
        <v>0.312138728323699</v>
      </c>
      <c s="19" r="J43">
        <v>163</v>
      </c>
      <c s="19" r="K43">
        <v>308</v>
      </c>
      <c s="3" r="L43">
        <f>J43/K43</f>
        <v>0.529220779220779</v>
      </c>
      <c s="30" r="M43">
        <v>25</v>
      </c>
      <c s="3" r="N43">
        <v>0.299</v>
      </c>
    </row>
    <row r="44">
      <c t="s" s="29" r="A44">
        <v>78</v>
      </c>
      <c t="s" s="29" r="B44">
        <v>66</v>
      </c>
      <c s="30" r="C44">
        <v>110.3</v>
      </c>
      <c s="19" r="D44">
        <v>227</v>
      </c>
      <c s="19" r="E44">
        <v>529</v>
      </c>
      <c s="3" r="F44">
        <f>D44/E44</f>
        <v>0.429111531190926</v>
      </c>
      <c s="19" r="G44">
        <v>123</v>
      </c>
      <c s="19" r="H44">
        <v>301</v>
      </c>
      <c s="3" r="I44">
        <f>G44/H44</f>
        <v>0.408637873754153</v>
      </c>
      <c s="19" r="J44">
        <v>78</v>
      </c>
      <c s="19" r="K44">
        <v>150</v>
      </c>
      <c s="3" r="L44">
        <f>J44/K44</f>
        <v>0.52</v>
      </c>
      <c s="12" r="M44">
        <v>28.1</v>
      </c>
      <c s="3" r="N44">
        <v>0.153</v>
      </c>
    </row>
    <row r="45">
      <c t="s" s="29" r="A45">
        <v>79</v>
      </c>
      <c t="s" s="29" r="B45">
        <v>68</v>
      </c>
      <c s="30" r="C45">
        <v>110.2</v>
      </c>
      <c s="19" r="D45">
        <v>673</v>
      </c>
      <c s="19" r="E45">
        <v>1535</v>
      </c>
      <c s="3" r="F45">
        <f>D45/E45</f>
        <v>0.438436482084691</v>
      </c>
      <c s="19" r="G45">
        <v>97</v>
      </c>
      <c s="19" r="H45">
        <v>300</v>
      </c>
      <c s="3" r="I45">
        <f>G45/H45</f>
        <v>0.323333333333333</v>
      </c>
      <c s="19" r="J45">
        <v>342</v>
      </c>
      <c s="19" r="K45">
        <v>650</v>
      </c>
      <c s="3" r="L45">
        <f>J45/K45</f>
        <v>0.526153846153846</v>
      </c>
      <c s="12" r="M45">
        <v>22.8</v>
      </c>
      <c s="3" r="N45">
        <v>0.309</v>
      </c>
    </row>
    <row r="46">
      <c t="s" s="29" r="A46">
        <v>80</v>
      </c>
      <c t="s" s="29" r="B46">
        <v>81</v>
      </c>
      <c s="30" r="C46">
        <v>108.6</v>
      </c>
      <c s="19" r="D46">
        <v>377</v>
      </c>
      <c s="19" r="E46">
        <v>882</v>
      </c>
      <c s="3" r="F46">
        <f>D46/E46</f>
        <v>0.427437641723356</v>
      </c>
      <c s="19" r="G46">
        <v>93</v>
      </c>
      <c s="19" r="H46">
        <v>258</v>
      </c>
      <c s="3" r="I46">
        <f>G46/H46</f>
        <v>0.36046511627907</v>
      </c>
      <c s="19" r="J46">
        <v>182</v>
      </c>
      <c s="19" r="K46">
        <v>350</v>
      </c>
      <c s="3" r="L46">
        <f>J46/K46</f>
        <v>0.52</v>
      </c>
      <c s="12" r="M46">
        <v>25.4</v>
      </c>
      <c s="3" r="N46">
        <v>0.215</v>
      </c>
    </row>
    <row r="47">
      <c t="s" s="29" r="A47">
        <v>82</v>
      </c>
      <c t="s" s="29" r="B47">
        <v>47</v>
      </c>
      <c s="30" r="C47">
        <v>107.7</v>
      </c>
      <c s="19" r="D47">
        <v>412</v>
      </c>
      <c s="19" r="E47">
        <v>856</v>
      </c>
      <c s="3" r="F47">
        <f>D47/E47</f>
        <v>0.481308411214953</v>
      </c>
      <c s="19" r="G47">
        <v>76</v>
      </c>
      <c s="19" r="H47">
        <v>232</v>
      </c>
      <c s="3" r="I47">
        <f>G47/H47</f>
        <v>0.327586206896552</v>
      </c>
      <c s="19" r="J47">
        <v>145</v>
      </c>
      <c s="19" r="K47">
        <v>233</v>
      </c>
      <c s="3" r="L47">
        <f>J47/K47</f>
        <v>0.622317596566524</v>
      </c>
      <c s="12" r="M47">
        <v>36.9</v>
      </c>
      <c s="3" r="N47">
        <v>0.238</v>
      </c>
    </row>
    <row r="48">
      <c t="s" s="29" r="A48">
        <v>83</v>
      </c>
      <c t="s" s="29" r="B48">
        <v>74</v>
      </c>
      <c s="30" r="C48">
        <v>107.6</v>
      </c>
      <c s="19" r="D48">
        <v>448</v>
      </c>
      <c s="19" r="E48">
        <v>971</v>
      </c>
      <c s="3" r="F48">
        <f>D48/E48</f>
        <v>0.461380020597322</v>
      </c>
      <c s="19" r="G48">
        <v>85</v>
      </c>
      <c s="19" r="H48">
        <v>232</v>
      </c>
      <c s="3" r="I48">
        <f>G48/H48</f>
        <v>0.366379310344828</v>
      </c>
      <c s="19" r="J48">
        <v>248</v>
      </c>
      <c s="19" r="K48">
        <v>457</v>
      </c>
      <c s="3" r="L48">
        <f>J48/K48</f>
        <v>0.542669584245077</v>
      </c>
      <c s="12" r="M48">
        <v>27.6</v>
      </c>
      <c s="3" r="N48">
        <v>0.176</v>
      </c>
    </row>
    <row customHeight="1" r="49" ht="15.75">
      <c s="15" r="A49"/>
      <c s="15" r="B49"/>
      <c s="15" r="C49"/>
      <c s="15" r="D49"/>
      <c s="8" r="E49"/>
      <c s="10" r="F49"/>
      <c s="16" r="G49"/>
      <c s="21" r="H49"/>
      <c s="10" r="I49"/>
      <c s="5" r="J49"/>
      <c s="21" r="K49"/>
      <c s="10" r="L49"/>
      <c s="16" r="M49"/>
      <c s="15" r="N49"/>
    </row>
    <row customHeight="1" r="50" ht="15.75">
      <c t="s" s="20" r="A50">
        <v>84</v>
      </c>
      <c t="s" s="27" r="B50">
        <v>85</v>
      </c>
      <c s="22" r="C50">
        <f>AVERAGE(C4:C48)</f>
        <v>108.731111111111</v>
      </c>
      <c s="25" r="D50">
        <f>AVERAGE(D4:D48)</f>
        <v>436.2</v>
      </c>
      <c s="25" r="E50">
        <f>AVERAGE(E4:E48)</f>
        <v>947.155555555556</v>
      </c>
      <c s="18" r="F50">
        <f>D50/E50</f>
        <v>0.460536811975036</v>
      </c>
      <c s="25" r="G50">
        <f>AVERAGE(G4:G48)</f>
        <v>110.044444444444</v>
      </c>
      <c s="25" r="H50">
        <f>AVERAGE(H4:H48)</f>
        <v>281.688888888889</v>
      </c>
      <c s="18" r="I50">
        <f>G50/H50</f>
        <v>0.390659514042285</v>
      </c>
      <c s="25" r="J50">
        <f>AVERAGE(J4:J48)</f>
        <v>168.622222222222</v>
      </c>
      <c s="25" r="K50">
        <f>AVERAGE(K4:K48)</f>
        <v>303.755555555556</v>
      </c>
      <c s="18" r="L50">
        <f>J50/K50</f>
        <v>0.555124734801376</v>
      </c>
      <c s="22" r="M50">
        <f>AVERAGE(M4:M48)</f>
        <v>29.0177777777778</v>
      </c>
      <c s="1" r="N50">
        <f>AVERAGE(N4:N48)</f>
        <v>0.221222222222222</v>
      </c>
    </row>
    <row r="51">
      <c t="s" s="6" r="A51">
        <v>86</v>
      </c>
      <c t="s" s="6" r="B51">
        <v>87</v>
      </c>
      <c s="17" r="C51">
        <v>101.5</v>
      </c>
      <c s="9" r="D51">
        <v>139</v>
      </c>
      <c s="9" r="E51">
        <v>389</v>
      </c>
      <c s="26" r="F51">
        <v>0.357</v>
      </c>
      <c s="9" r="G51">
        <v>32</v>
      </c>
      <c s="9" r="H51">
        <v>94</v>
      </c>
      <c s="26" r="I51">
        <v>0.34</v>
      </c>
      <c s="9" r="J51">
        <v>50</v>
      </c>
      <c s="9" r="K51">
        <v>107</v>
      </c>
      <c s="26" r="L51">
        <v>0.467</v>
      </c>
      <c s="17" r="M51">
        <v>36.3</v>
      </c>
      <c s="26" r="N51">
        <v>0.193</v>
      </c>
    </row>
    <row r="52">
      <c t="s" s="29" r="A52">
        <v>88</v>
      </c>
      <c t="s" s="29" r="B52">
        <v>89</v>
      </c>
      <c s="12" r="C52">
        <v>100.1</v>
      </c>
      <c s="19" r="D52">
        <v>185</v>
      </c>
      <c s="19" r="E52">
        <v>514</v>
      </c>
      <c s="3" r="F52">
        <v>0.36</v>
      </c>
      <c s="19" r="G52">
        <v>27</v>
      </c>
      <c s="19" r="H52">
        <v>92</v>
      </c>
      <c s="3" r="I52">
        <v>0.293</v>
      </c>
      <c s="19" r="J52">
        <v>77</v>
      </c>
      <c s="19" r="K52">
        <v>174</v>
      </c>
      <c s="3" r="L52">
        <v>0.443</v>
      </c>
      <c s="30" r="M52">
        <v>34.3</v>
      </c>
      <c s="3" r="N52">
        <v>0.22</v>
      </c>
    </row>
  </sheetData>
</worksheet>
</file>