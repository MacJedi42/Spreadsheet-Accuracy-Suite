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heckCompatibility="1"/>
  <bookViews>
    <workbookView xWindow="480" yWindow="270" windowWidth="11085" windowHeight="6720"/>
  </bookViews>
  <sheets>
    <sheet name="Page 1" sheetId="1" r:id="rId1"/>
    <sheet name="Page 2" sheetId="5" r:id="rId2"/>
    <sheet name="Page 3" sheetId="6" r:id="rId3"/>
  </sheets>
  <definedNames>
    <definedName name="Check1" localSheetId="0">'Page 1'!#REF!</definedName>
    <definedName name="Check1" localSheetId="1">'Page 2'!#REF!</definedName>
    <definedName name="Check1" localSheetId="2">'Page 3'!#REF!</definedName>
    <definedName name="Text11" localSheetId="0">'Page 1'!#REF!</definedName>
    <definedName name="Text11" localSheetId="1">'Page 2'!#REF!</definedName>
    <definedName name="Text11" localSheetId="2">'Page 3'!#REF!</definedName>
    <definedName name="Text16" localSheetId="0">'Page 1'!#REF!</definedName>
    <definedName name="Text16" localSheetId="1">'Page 2'!#REF!</definedName>
    <definedName name="Text16" localSheetId="2">'Page 3'!#REF!</definedName>
    <definedName name="Text2" localSheetId="0">'Page 1'!$K$33</definedName>
    <definedName name="Text2" localSheetId="1">'Page 2'!$K$33</definedName>
    <definedName name="Text2" localSheetId="2">'Page 3'!$K$33</definedName>
    <definedName name="Text4" localSheetId="0">'Page 1'!$A$4</definedName>
    <definedName name="Text4" localSheetId="1">'Page 2'!$A$4</definedName>
    <definedName name="Text4" localSheetId="2">'Page 3'!$A$4</definedName>
    <definedName name="Text5" localSheetId="0">'Page 1'!#REF!</definedName>
    <definedName name="Text5" localSheetId="1">'Page 2'!#REF!</definedName>
    <definedName name="Text5" localSheetId="2">'Page 3'!#REF!</definedName>
    <definedName name="Text6" localSheetId="0">'Page 1'!$K$35</definedName>
    <definedName name="Text6" localSheetId="1">'Page 2'!$K$35</definedName>
    <definedName name="Text6" localSheetId="2">'Page 3'!$K$35</definedName>
    <definedName name="Text7" localSheetId="0">'Page 1'!#REF!</definedName>
    <definedName name="Text7" localSheetId="1">'Page 2'!#REF!</definedName>
    <definedName name="Text7" localSheetId="2">'Page 3'!#REF!</definedName>
    <definedName name="Text8" localSheetId="0">'Page 1'!#REF!</definedName>
    <definedName name="Text8" localSheetId="1">'Page 2'!#REF!</definedName>
    <definedName name="Text8" localSheetId="2">'Page 3'!#REF!</definedName>
    <definedName name="Text9" localSheetId="0">'Page 1'!#REF!</definedName>
    <definedName name="Text9" localSheetId="1">'Page 2'!#REF!</definedName>
    <definedName name="Text9" localSheetId="2">'Page 3'!#REF!</definedName>
  </definedNames>
  <calcPr calcId="145621"/>
</workbook>
</file>

<file path=xl/calcChain.xml><?xml version="1.0" encoding="utf-8"?>
<calcChain xmlns="http://schemas.openxmlformats.org/spreadsheetml/2006/main">
  <c r="H30" i="5" l="1"/>
  <c r="H29" i="5"/>
  <c r="H28" i="5"/>
  <c r="H27" i="5"/>
  <c r="H26" i="5"/>
  <c r="H25" i="5"/>
  <c r="H24" i="5"/>
  <c r="H23" i="5"/>
  <c r="H22" i="5"/>
  <c r="H21" i="5"/>
  <c r="H20" i="5"/>
  <c r="H19" i="5"/>
  <c r="H18" i="5"/>
  <c r="H17" i="5"/>
  <c r="H16" i="5"/>
  <c r="H15" i="5"/>
  <c r="H14" i="5"/>
  <c r="H13" i="5"/>
  <c r="H12" i="5"/>
  <c r="H11" i="5"/>
  <c r="H10" i="5"/>
  <c r="H30" i="6"/>
  <c r="H29" i="6"/>
  <c r="H28" i="6"/>
  <c r="H27" i="6"/>
  <c r="H26" i="6"/>
  <c r="H25" i="6"/>
  <c r="H24" i="6"/>
  <c r="H23" i="6"/>
  <c r="H22" i="6"/>
  <c r="H21" i="6"/>
  <c r="H20" i="6"/>
  <c r="H19" i="6"/>
  <c r="H18" i="6"/>
  <c r="H17" i="6"/>
  <c r="H16" i="6"/>
  <c r="H15" i="6"/>
  <c r="H14" i="6"/>
  <c r="H13" i="6"/>
  <c r="H12" i="6"/>
  <c r="H11" i="6"/>
  <c r="H10" i="6"/>
  <c r="H30" i="1" l="1"/>
  <c r="H29" i="1"/>
  <c r="H28" i="1"/>
  <c r="H27" i="1"/>
  <c r="H26" i="1"/>
  <c r="E26" i="1" s="1"/>
  <c r="H25" i="1"/>
  <c r="H24" i="1"/>
  <c r="E24" i="1" s="1"/>
  <c r="H23" i="1"/>
  <c r="E23" i="1" s="1"/>
  <c r="H22" i="1"/>
  <c r="H21" i="1"/>
  <c r="H20" i="1"/>
  <c r="H19" i="1"/>
  <c r="H18" i="1"/>
  <c r="E18" i="1" s="1"/>
  <c r="H17" i="1"/>
  <c r="H16" i="1"/>
  <c r="E16" i="1" s="1"/>
  <c r="H15" i="1"/>
  <c r="E15" i="1" s="1"/>
  <c r="H14" i="1"/>
  <c r="H13" i="1"/>
  <c r="H12" i="1"/>
  <c r="H11" i="1"/>
  <c r="H10" i="1"/>
  <c r="F31" i="5"/>
  <c r="G31" i="5"/>
  <c r="I31" i="5"/>
  <c r="D31" i="5"/>
  <c r="D31" i="1"/>
  <c r="F31" i="1"/>
  <c r="G31" i="1"/>
  <c r="I31" i="1"/>
  <c r="F31" i="6"/>
  <c r="G31" i="6"/>
  <c r="I31" i="6"/>
  <c r="D31" i="6"/>
  <c r="J30" i="6"/>
  <c r="E30" i="6"/>
  <c r="J29" i="6"/>
  <c r="E29" i="6"/>
  <c r="J28" i="6"/>
  <c r="E28" i="6"/>
  <c r="J27" i="6"/>
  <c r="E27" i="6"/>
  <c r="J26" i="6"/>
  <c r="E26" i="6"/>
  <c r="J25" i="6"/>
  <c r="E25" i="6"/>
  <c r="J24" i="6"/>
  <c r="E24" i="6"/>
  <c r="J23" i="6"/>
  <c r="E23" i="6"/>
  <c r="J22" i="6"/>
  <c r="E22" i="6"/>
  <c r="J21" i="6"/>
  <c r="E21" i="6"/>
  <c r="J20" i="6"/>
  <c r="E20" i="6"/>
  <c r="J19" i="6"/>
  <c r="E19" i="6"/>
  <c r="J18" i="6"/>
  <c r="E18" i="6"/>
  <c r="J17" i="6"/>
  <c r="E17" i="6"/>
  <c r="J16" i="6"/>
  <c r="E16" i="6"/>
  <c r="J15" i="6"/>
  <c r="E15" i="6"/>
  <c r="J14" i="6"/>
  <c r="E14" i="6"/>
  <c r="J13" i="6"/>
  <c r="E13" i="6"/>
  <c r="J12" i="6"/>
  <c r="E12" i="6"/>
  <c r="J11" i="6"/>
  <c r="E11" i="6"/>
  <c r="J10" i="6"/>
  <c r="J31" i="6" s="1"/>
  <c r="E10" i="6"/>
  <c r="J30" i="5"/>
  <c r="E30" i="5"/>
  <c r="J29" i="5"/>
  <c r="E29" i="5"/>
  <c r="J28" i="5"/>
  <c r="E28" i="5"/>
  <c r="J27" i="5"/>
  <c r="E27" i="5"/>
  <c r="J26" i="5"/>
  <c r="E26" i="5"/>
  <c r="J25" i="5"/>
  <c r="E25" i="5"/>
  <c r="J24" i="5"/>
  <c r="E24" i="5"/>
  <c r="J23" i="5"/>
  <c r="E23" i="5"/>
  <c r="J22" i="5"/>
  <c r="E22" i="5"/>
  <c r="J21" i="5"/>
  <c r="E21" i="5"/>
  <c r="J20" i="5"/>
  <c r="E20" i="5"/>
  <c r="J19" i="5"/>
  <c r="E19" i="5"/>
  <c r="J18" i="5"/>
  <c r="E18" i="5"/>
  <c r="J17" i="5"/>
  <c r="E17" i="5"/>
  <c r="J16" i="5"/>
  <c r="E16" i="5"/>
  <c r="J15" i="5"/>
  <c r="E15" i="5"/>
  <c r="J14" i="5"/>
  <c r="E14" i="5"/>
  <c r="J13" i="5"/>
  <c r="E13" i="5"/>
  <c r="J12" i="5"/>
  <c r="E12" i="5"/>
  <c r="J11" i="5"/>
  <c r="E11" i="5"/>
  <c r="J10" i="5"/>
  <c r="J31" i="5" s="1"/>
  <c r="E10" i="5"/>
  <c r="E30" i="1"/>
  <c r="E29" i="1"/>
  <c r="E28" i="1"/>
  <c r="E27" i="1"/>
  <c r="E25" i="1"/>
  <c r="E22" i="1"/>
  <c r="E21" i="1"/>
  <c r="E20" i="1"/>
  <c r="E19" i="1"/>
  <c r="E17" i="1"/>
  <c r="E14" i="1"/>
  <c r="E13" i="1"/>
  <c r="E11" i="1"/>
  <c r="J10" i="1"/>
  <c r="J31" i="1" s="1"/>
  <c r="J11" i="1"/>
  <c r="J12" i="1"/>
  <c r="J13" i="1"/>
  <c r="J14" i="1"/>
  <c r="J15" i="1"/>
  <c r="J16" i="1"/>
  <c r="J17" i="1"/>
  <c r="J18" i="1"/>
  <c r="J19" i="1"/>
  <c r="J20" i="1"/>
  <c r="J21" i="1"/>
  <c r="J22" i="1"/>
  <c r="J23" i="1"/>
  <c r="J24" i="1"/>
  <c r="J25" i="1"/>
  <c r="J26" i="1"/>
  <c r="J27" i="1"/>
  <c r="J28" i="1"/>
  <c r="J29" i="1"/>
  <c r="J30" i="1"/>
  <c r="E12" i="1"/>
  <c r="H31" i="1" l="1"/>
  <c r="H31" i="5"/>
  <c r="H31" i="6"/>
  <c r="E10" i="1"/>
  <c r="E31" i="1" s="1"/>
  <c r="E31" i="5" l="1"/>
  <c r="E31" i="6"/>
</calcChain>
</file>

<file path=xl/sharedStrings.xml><?xml version="1.0" encoding="utf-8"?>
<sst xmlns="http://schemas.openxmlformats.org/spreadsheetml/2006/main" count="144" uniqueCount="41">
  <si>
    <t>Trans Date</t>
  </si>
  <si>
    <t>Supplier/Vendor</t>
  </si>
  <si>
    <t>Sales Tax</t>
  </si>
  <si>
    <t>Use Tax</t>
  </si>
  <si>
    <t>Total Cost</t>
  </si>
  <si>
    <t>     </t>
  </si>
  <si>
    <t>[5]</t>
  </si>
  <si>
    <t>[6]</t>
  </si>
  <si>
    <t>[7]</t>
  </si>
  <si>
    <t>Sub-Total</t>
  </si>
  <si>
    <t>[8]</t>
  </si>
  <si>
    <t>[9]</t>
  </si>
  <si>
    <t>[10]</t>
  </si>
  <si>
    <t>[11]</t>
  </si>
  <si>
    <t>[12]</t>
  </si>
  <si>
    <t>Shipping Costs</t>
  </si>
  <si>
    <t>[13]</t>
  </si>
  <si>
    <t>[14]</t>
  </si>
  <si>
    <t>Use/</t>
  </si>
  <si>
    <t>Exempt</t>
  </si>
  <si>
    <t>[1] Cardholder:    </t>
  </si>
  <si>
    <t>[4] Purchasing Cycle Date:</t>
  </si>
  <si>
    <t>Description Goods/Services Ordered</t>
  </si>
  <si>
    <t>/Public Purpose :</t>
  </si>
  <si>
    <t>[15]</t>
  </si>
  <si>
    <t>Purchasing Card Cycle Transaction Log</t>
  </si>
  <si>
    <t>PURCHASING SERVICES</t>
  </si>
  <si>
    <r>
      <t xml:space="preserve">Cost of Goods  </t>
    </r>
    <r>
      <rPr>
        <b/>
        <sz val="16"/>
        <rFont val="Arial"/>
        <family val="2"/>
      </rPr>
      <t xml:space="preserve">(Use Tax </t>
    </r>
    <r>
      <rPr>
        <sz val="16"/>
        <rFont val="Arial"/>
        <family val="2"/>
      </rPr>
      <t>applicable)</t>
    </r>
  </si>
  <si>
    <r>
      <t>[16]</t>
    </r>
    <r>
      <rPr>
        <sz val="16"/>
        <rFont val="Arial"/>
        <family val="2"/>
      </rPr>
      <t xml:space="preserve"> Cardholder Signature:</t>
    </r>
  </si>
  <si>
    <t>Date:      </t>
  </si>
  <si>
    <t xml:space="preserve">[3] Card Number: xxxx-xxxx-xxxx-         </t>
  </si>
  <si>
    <t xml:space="preserve">[2] Dept/Unit: </t>
  </si>
  <si>
    <t>Travel TA/TP Document Number</t>
  </si>
  <si>
    <r>
      <t>[17]</t>
    </r>
    <r>
      <rPr>
        <sz val="16"/>
        <rFont val="Arial"/>
        <family val="2"/>
      </rPr>
      <t xml:space="preserve"> Dept/Unit Fiscal Liaison Signature:                                                                                                                        *Approval and reconciliation shall not be completed by the Cardholder.</t>
    </r>
  </si>
  <si>
    <t>Page 1</t>
  </si>
  <si>
    <t>Page 2</t>
  </si>
  <si>
    <t>Page 3</t>
  </si>
  <si>
    <t>With my signature below, I certify that I, as the cardholder, personally made all purchases identified on this Purchasing Card Cycle Transaction Log, have not received or requested reimbursement for these same transactions, that they serve the public purpose indicated to further the goals of the University, were conducted in accordance with the policies and procedures set forth by the University and the Arizona Board of Regents and I acknowledge understanding of ARS §35-301, specifically, that a public officer or other person, including justices of the peace and constables, charged with the receipt, safekeeping, transfer or disbursement of public money is guilty of a class 4 felony who without authority of law, appropriates it, or any portion thereof, to his own use, or to the use of another.</t>
  </si>
  <si>
    <t>Purchasing Card Transaction Totals:</t>
  </si>
  <si>
    <t>With my signature below, I certify that, to the best of my knowledge, the items purchased on this claim are correct, serve a public purpose and that no duplicate reimbursement payments have been made.</t>
  </si>
  <si>
    <t>Rate: 5.6%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</si>
</sst>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7" formatCode="&quot;$&quot;#,##0.00_);\(&quot;$&quot;#,##0.00\)"/>
    <numFmt numFmtId="8" formatCode="&quot;$&quot;#,##0.00_);[Red]\(&quot;$&quot;#,##0.00\)"/>
    <numFmt numFmtId="44" formatCode="_(&quot;$&quot;* #,##0.00_);_(&quot;$&quot;* \(#,##0.00\);_(&quot;$&quot;* &quot;-&quot;??_);_(@_)"/>
    <numFmt numFmtId="164" formatCode="&quot;$&quot;#,##0.00"/>
    <numFmt numFmtId="165" formatCode="&quot;$&quot;#,##0.000"/>
  </numFmts>
  <fonts count="17" x14ac:knownFonts="1">
    <font>
      <sz val="10"/>
      <name val="Arial"/>
    </font>
    <font>
      <sz val="10"/>
      <name val="Arial"/>
    </font>
    <font>
      <b/>
      <sz val="14"/>
      <name val="Tahoma"/>
      <family val="2"/>
    </font>
    <font>
      <sz val="14"/>
      <name val="Arial"/>
    </font>
    <font>
      <sz val="14"/>
      <name val="Times New Roman"/>
      <family val="1"/>
    </font>
    <font>
      <b/>
      <sz val="16"/>
      <name val="Times New Roman"/>
      <family val="1"/>
    </font>
    <font>
      <sz val="16"/>
      <name val="Arial"/>
    </font>
    <font>
      <sz val="16"/>
      <name val="Tahoma"/>
      <family val="2"/>
    </font>
    <font>
      <b/>
      <sz val="20"/>
      <name val="Tahoma"/>
      <family val="2"/>
    </font>
    <font>
      <b/>
      <sz val="14"/>
      <name val="Arial"/>
      <family val="2"/>
    </font>
    <font>
      <sz val="20"/>
      <name val="Tahoma"/>
      <family val="2"/>
    </font>
    <font>
      <b/>
      <sz val="16"/>
      <name val="Arial"/>
      <family val="2"/>
    </font>
    <font>
      <sz val="16"/>
      <name val="Arial"/>
      <family val="2"/>
    </font>
    <font>
      <sz val="14"/>
      <name val="Arial"/>
      <family val="2"/>
    </font>
    <font>
      <b/>
      <i/>
      <sz val="16"/>
      <name val="Arial"/>
      <family val="2"/>
    </font>
    <font>
      <sz val="11"/>
      <name val="Tahoma"/>
      <family val="2"/>
    </font>
    <font>
      <b/>
      <sz val="11"/>
      <name val="Tahoma"/>
      <family val="2"/>
    </font>
  </fonts>
  <fills count="4">
    <fill>
      <patternFill patternType="none"/>
    </fill>
    <fill>
      <patternFill patternType="gray125"/>
    </fill>
    <fill>
      <patternFill patternType="solid">
        <fgColor indexed="42"/>
        <bgColor indexed="64"/>
      </patternFill>
    </fill>
    <fill>
      <patternFill patternType="solid">
        <fgColor rgb="FFCCFFCC"/>
        <bgColor indexed="64"/>
      </patternFill>
    </fill>
  </fills>
  <borders count="2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8"/>
      </left>
      <right style="double">
        <color indexed="8"/>
      </right>
      <top style="double">
        <color indexed="8"/>
      </top>
      <bottom/>
      <diagonal/>
    </border>
    <border>
      <left style="double">
        <color indexed="8"/>
      </left>
      <right style="double">
        <color indexed="8"/>
      </right>
      <top/>
      <bottom/>
      <diagonal/>
    </border>
    <border>
      <left style="double">
        <color indexed="8"/>
      </left>
      <right style="double">
        <color indexed="8"/>
      </right>
      <top/>
      <bottom style="double">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thin">
        <color indexed="8"/>
      </left>
      <right/>
      <top style="thin">
        <color indexed="64"/>
      </top>
      <bottom style="double">
        <color indexed="64"/>
      </bottom>
      <diagonal/>
    </border>
    <border>
      <left style="thin">
        <color indexed="8"/>
      </left>
      <right style="thin">
        <color indexed="8"/>
      </right>
      <top style="thin">
        <color indexed="64"/>
      </top>
      <bottom style="double">
        <color indexed="64"/>
      </bottom>
      <diagonal/>
    </border>
    <border>
      <left/>
      <right style="thin">
        <color indexed="8"/>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2">
    <xf numFmtId="0" fontId="0" fillId="0" borderId="0"/>
    <xf numFmtId="44" fontId="1" fillId="0" borderId="0" applyFont="0" applyFill="0" applyBorder="0" applyAlignment="0" applyProtection="0"/>
  </cellStyleXfs>
  <cellXfs count="99">
    <xf numFmtId="0" fontId="0" fillId="0" borderId="0" xfId="0"/>
    <xf numFmtId="0" fontId="3" fillId="0" borderId="0" xfId="0" applyFont="1"/>
    <xf numFmtId="0" fontId="2" fillId="0" borderId="0" xfId="0" applyFont="1" applyAlignment="1">
      <alignment horizontal="left" vertical="center"/>
    </xf>
    <xf numFmtId="0" fontId="2" fillId="0" borderId="0" xfId="0" applyFont="1" applyAlignment="1"/>
    <xf numFmtId="0" fontId="3" fillId="0" borderId="0" xfId="0" applyFont="1" applyAlignment="1"/>
    <xf numFmtId="0" fontId="6"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applyAlignment="1"/>
    <xf numFmtId="0" fontId="7" fillId="0" borderId="0" xfId="0" applyFont="1" applyAlignment="1"/>
    <xf numFmtId="0" fontId="11" fillId="0" borderId="1" xfId="0" applyFont="1" applyBorder="1" applyAlignment="1" applyProtection="1">
      <alignment horizontal="left" vertical="center"/>
      <protection locked="0"/>
    </xf>
    <xf numFmtId="0" fontId="11" fillId="0" borderId="2" xfId="0" applyFont="1" applyBorder="1" applyAlignment="1">
      <alignment horizontal="left" vertical="center"/>
    </xf>
    <xf numFmtId="0" fontId="9" fillId="0" borderId="3" xfId="0" applyFont="1" applyBorder="1" applyAlignment="1">
      <alignment horizontal="center" vertical="top"/>
    </xf>
    <xf numFmtId="0" fontId="9" fillId="0" borderId="3" xfId="0" applyFont="1" applyBorder="1" applyAlignment="1">
      <alignment horizontal="center" vertical="center"/>
    </xf>
    <xf numFmtId="0" fontId="9" fillId="2" borderId="3" xfId="0" applyFont="1" applyFill="1" applyBorder="1" applyAlignment="1">
      <alignment horizontal="center" vertical="top"/>
    </xf>
    <xf numFmtId="0" fontId="12" fillId="0" borderId="4" xfId="0" applyFont="1" applyBorder="1" applyAlignment="1">
      <alignment horizontal="center" vertical="top"/>
    </xf>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11" fillId="2" borderId="4" xfId="0" applyFont="1" applyFill="1" applyBorder="1" applyAlignment="1">
      <alignment horizontal="center" vertical="top"/>
    </xf>
    <xf numFmtId="0" fontId="12" fillId="2" borderId="4" xfId="0" applyFont="1" applyFill="1" applyBorder="1" applyAlignment="1">
      <alignment horizontal="center"/>
    </xf>
    <xf numFmtId="0" fontId="12" fillId="2" borderId="4" xfId="0" applyFont="1" applyFill="1" applyBorder="1" applyAlignment="1">
      <alignment horizontal="center" vertical="top"/>
    </xf>
    <xf numFmtId="0" fontId="12" fillId="0" borderId="5" xfId="0" applyFont="1" applyBorder="1" applyAlignment="1">
      <alignment horizontal="center" vertical="top"/>
    </xf>
    <xf numFmtId="0" fontId="12" fillId="2" borderId="5" xfId="0" applyFont="1" applyFill="1" applyBorder="1" applyAlignment="1">
      <alignment horizontal="center" vertical="top"/>
    </xf>
    <xf numFmtId="0" fontId="12" fillId="0" borderId="5" xfId="0" applyFont="1" applyBorder="1" applyAlignment="1">
      <alignment vertical="top"/>
    </xf>
    <xf numFmtId="14" fontId="13" fillId="0" borderId="6" xfId="0" applyNumberFormat="1" applyFont="1" applyBorder="1" applyAlignment="1" applyProtection="1">
      <alignment horizontal="left"/>
      <protection locked="0"/>
    </xf>
    <xf numFmtId="0" fontId="13" fillId="0" borderId="6" xfId="0" applyFont="1" applyBorder="1" applyAlignment="1" applyProtection="1">
      <alignment horizontal="left"/>
      <protection locked="0"/>
    </xf>
    <xf numFmtId="7" fontId="13" fillId="0" borderId="6" xfId="1" applyNumberFormat="1" applyFont="1" applyBorder="1" applyAlignment="1" applyProtection="1">
      <alignment horizontal="right"/>
      <protection locked="0"/>
    </xf>
    <xf numFmtId="0" fontId="13" fillId="0" borderId="6" xfId="0" applyFont="1" applyBorder="1" applyAlignment="1" applyProtection="1">
      <alignment horizontal="right"/>
      <protection locked="0"/>
    </xf>
    <xf numFmtId="164" fontId="13" fillId="0" borderId="6" xfId="0" applyNumberFormat="1" applyFont="1" applyBorder="1" applyAlignment="1" applyProtection="1">
      <alignment horizontal="right"/>
      <protection locked="0"/>
    </xf>
    <xf numFmtId="14" fontId="13" fillId="0" borderId="7" xfId="0" applyNumberFormat="1" applyFont="1" applyBorder="1" applyAlignment="1" applyProtection="1">
      <alignment horizontal="left"/>
      <protection locked="0"/>
    </xf>
    <xf numFmtId="0" fontId="13" fillId="0" borderId="6" xfId="0" applyFont="1" applyBorder="1" applyAlignment="1" applyProtection="1">
      <alignment horizontal="left" wrapText="1"/>
      <protection locked="0"/>
    </xf>
    <xf numFmtId="0" fontId="13" fillId="0" borderId="8" xfId="0" applyFont="1" applyBorder="1" applyAlignment="1" applyProtection="1">
      <alignment horizontal="left" wrapText="1"/>
      <protection locked="0"/>
    </xf>
    <xf numFmtId="7" fontId="13" fillId="0" borderId="9" xfId="1" applyNumberFormat="1" applyFont="1" applyBorder="1" applyAlignment="1" applyProtection="1">
      <alignment horizontal="right"/>
      <protection locked="0"/>
    </xf>
    <xf numFmtId="0" fontId="13" fillId="0" borderId="9" xfId="0" applyNumberFormat="1" applyFont="1" applyBorder="1" applyAlignment="1" applyProtection="1">
      <alignment horizontal="right"/>
      <protection locked="0"/>
    </xf>
    <xf numFmtId="164" fontId="13" fillId="0" borderId="9" xfId="0" applyNumberFormat="1" applyFont="1" applyBorder="1" applyAlignment="1" applyProtection="1">
      <alignment horizontal="right"/>
      <protection locked="0"/>
    </xf>
    <xf numFmtId="14" fontId="13" fillId="0" borderId="10" xfId="0" applyNumberFormat="1" applyFont="1" applyBorder="1" applyAlignment="1" applyProtection="1">
      <alignment horizontal="left"/>
      <protection locked="0"/>
    </xf>
    <xf numFmtId="0" fontId="13" fillId="0" borderId="9" xfId="0" applyFont="1" applyBorder="1" applyAlignment="1" applyProtection="1">
      <alignment horizontal="left" wrapText="1"/>
      <protection locked="0"/>
    </xf>
    <xf numFmtId="0" fontId="13" fillId="0" borderId="8" xfId="0" applyFont="1" applyBorder="1" applyAlignment="1" applyProtection="1">
      <alignment horizontal="left"/>
      <protection locked="0"/>
    </xf>
    <xf numFmtId="14" fontId="13" fillId="0" borderId="11" xfId="0" applyNumberFormat="1" applyFont="1" applyBorder="1" applyAlignment="1" applyProtection="1">
      <alignment horizontal="left"/>
      <protection locked="0"/>
    </xf>
    <xf numFmtId="0" fontId="13" fillId="0" borderId="12" xfId="0" applyFont="1" applyBorder="1" applyAlignment="1" applyProtection="1">
      <alignment horizontal="left" wrapText="1"/>
      <protection locked="0"/>
    </xf>
    <xf numFmtId="7" fontId="13" fillId="0" borderId="8" xfId="1" applyNumberFormat="1" applyFont="1" applyBorder="1" applyAlignment="1" applyProtection="1">
      <alignment horizontal="right"/>
      <protection locked="0"/>
    </xf>
    <xf numFmtId="0" fontId="13" fillId="0" borderId="8" xfId="0" applyNumberFormat="1" applyFont="1" applyBorder="1" applyAlignment="1" applyProtection="1">
      <alignment horizontal="right"/>
      <protection locked="0"/>
    </xf>
    <xf numFmtId="164" fontId="13" fillId="0" borderId="8" xfId="0" applyNumberFormat="1" applyFont="1" applyBorder="1" applyAlignment="1" applyProtection="1">
      <alignment horizontal="right"/>
      <protection locked="0"/>
    </xf>
    <xf numFmtId="0" fontId="13" fillId="0" borderId="12" xfId="0" applyFont="1" applyBorder="1" applyAlignment="1" applyProtection="1">
      <alignment horizontal="left"/>
      <protection locked="0"/>
    </xf>
    <xf numFmtId="0" fontId="13" fillId="0" borderId="13" xfId="0" applyFont="1" applyBorder="1" applyAlignment="1" applyProtection="1">
      <alignment horizontal="left" wrapText="1"/>
      <protection locked="0"/>
    </xf>
    <xf numFmtId="7" fontId="13" fillId="0" borderId="13" xfId="1" applyNumberFormat="1" applyFont="1" applyBorder="1" applyAlignment="1" applyProtection="1">
      <alignment horizontal="right"/>
      <protection locked="0"/>
    </xf>
    <xf numFmtId="0" fontId="13" fillId="0" borderId="13" xfId="0" applyNumberFormat="1" applyFont="1" applyBorder="1" applyAlignment="1" applyProtection="1">
      <alignment horizontal="right"/>
      <protection locked="0"/>
    </xf>
    <xf numFmtId="164" fontId="13" fillId="0" borderId="13" xfId="0" applyNumberFormat="1" applyFont="1" applyBorder="1" applyAlignment="1" applyProtection="1">
      <alignment horizontal="right"/>
      <protection locked="0"/>
    </xf>
    <xf numFmtId="14" fontId="13" fillId="0" borderId="14" xfId="0" applyNumberFormat="1" applyFont="1" applyBorder="1" applyAlignment="1"/>
    <xf numFmtId="0" fontId="13" fillId="0" borderId="15" xfId="0" applyFont="1" applyBorder="1" applyAlignment="1"/>
    <xf numFmtId="0" fontId="14" fillId="0" borderId="16" xfId="0" applyFont="1" applyBorder="1" applyAlignment="1">
      <alignment horizontal="right" vertical="top" wrapText="1"/>
    </xf>
    <xf numFmtId="8" fontId="11" fillId="0" borderId="16" xfId="0" applyNumberFormat="1" applyFont="1" applyFill="1" applyBorder="1" applyAlignment="1">
      <alignment horizontal="right"/>
    </xf>
    <xf numFmtId="0" fontId="12" fillId="0" borderId="15" xfId="0" applyFont="1" applyBorder="1" applyAlignment="1" applyProtection="1">
      <alignment horizontal="left"/>
      <protection locked="0"/>
    </xf>
    <xf numFmtId="0" fontId="12" fillId="0" borderId="17" xfId="0" applyFont="1" applyBorder="1" applyAlignment="1" applyProtection="1">
      <alignment wrapText="1"/>
      <protection locked="0"/>
    </xf>
    <xf numFmtId="0" fontId="15" fillId="0" borderId="18" xfId="0" applyFont="1" applyBorder="1" applyAlignment="1">
      <alignment vertical="center"/>
    </xf>
    <xf numFmtId="0" fontId="11" fillId="0" borderId="19" xfId="0" applyFont="1" applyBorder="1" applyAlignment="1" applyProtection="1">
      <alignment horizontal="left" vertical="center"/>
      <protection locked="0"/>
    </xf>
    <xf numFmtId="8" fontId="11" fillId="3" borderId="16" xfId="0" applyNumberFormat="1" applyFont="1" applyFill="1" applyBorder="1" applyAlignment="1">
      <alignment horizontal="right"/>
    </xf>
    <xf numFmtId="0" fontId="16" fillId="0" borderId="18" xfId="0" applyFont="1" applyBorder="1" applyAlignment="1">
      <alignment vertical="center"/>
    </xf>
    <xf numFmtId="165" fontId="9" fillId="2" borderId="6" xfId="0" applyNumberFormat="1" applyFont="1" applyFill="1" applyBorder="1" applyAlignment="1" applyProtection="1">
      <alignment horizontal="right"/>
    </xf>
    <xf numFmtId="164" fontId="9" fillId="2" borderId="6" xfId="0" applyNumberFormat="1" applyFont="1" applyFill="1" applyBorder="1" applyAlignment="1" applyProtection="1">
      <alignment horizontal="right"/>
    </xf>
    <xf numFmtId="7" fontId="9" fillId="2" borderId="9" xfId="1" applyNumberFormat="1" applyFont="1" applyFill="1" applyBorder="1" applyAlignment="1" applyProtection="1">
      <alignment horizontal="right"/>
    </xf>
    <xf numFmtId="0" fontId="11" fillId="0" borderId="22" xfId="0" applyFont="1" applyBorder="1" applyAlignment="1">
      <alignment vertical="center" wrapText="1"/>
    </xf>
    <xf numFmtId="0" fontId="11" fillId="0" borderId="23" xfId="0" applyFont="1" applyBorder="1" applyAlignment="1">
      <alignment vertical="center"/>
    </xf>
    <xf numFmtId="0" fontId="11" fillId="0" borderId="24" xfId="0" applyFont="1" applyBorder="1" applyAlignment="1">
      <alignment vertical="center"/>
    </xf>
    <xf numFmtId="0" fontId="11" fillId="0" borderId="1" xfId="0" applyFont="1" applyBorder="1" applyAlignment="1" applyProtection="1">
      <alignment horizontal="left" wrapText="1"/>
      <protection locked="0"/>
    </xf>
    <xf numFmtId="0" fontId="12" fillId="0" borderId="2" xfId="0" applyFont="1" applyBorder="1" applyAlignment="1" applyProtection="1">
      <alignment horizontal="left" wrapText="1"/>
      <protection locked="0"/>
    </xf>
    <xf numFmtId="0" fontId="12" fillId="0" borderId="19" xfId="0" applyFont="1" applyBorder="1" applyAlignment="1" applyProtection="1">
      <alignment horizontal="left" wrapText="1"/>
      <protection locked="0"/>
    </xf>
    <xf numFmtId="0" fontId="11" fillId="0" borderId="1" xfId="0" applyFont="1" applyBorder="1" applyAlignment="1" applyProtection="1">
      <alignment wrapText="1"/>
      <protection locked="0"/>
    </xf>
    <xf numFmtId="0" fontId="12" fillId="0" borderId="2" xfId="0" applyFont="1" applyBorder="1" applyAlignment="1" applyProtection="1">
      <protection locked="0"/>
    </xf>
    <xf numFmtId="0" fontId="12" fillId="0" borderId="19" xfId="0" applyFont="1" applyBorder="1" applyAlignment="1" applyProtection="1">
      <protection locked="0"/>
    </xf>
    <xf numFmtId="0" fontId="12" fillId="0" borderId="4" xfId="0" applyFont="1" applyBorder="1" applyAlignment="1">
      <alignment horizontal="center" vertical="top" wrapText="1"/>
    </xf>
    <xf numFmtId="0" fontId="12" fillId="0" borderId="4" xfId="0" applyFont="1" applyBorder="1" applyAlignment="1">
      <alignment horizontal="center" vertical="top"/>
    </xf>
    <xf numFmtId="0" fontId="12" fillId="2" borderId="4" xfId="0" applyFont="1" applyFill="1" applyBorder="1" applyAlignment="1">
      <alignment horizontal="center" vertical="top" wrapText="1"/>
    </xf>
    <xf numFmtId="0" fontId="12" fillId="0" borderId="5" xfId="0" applyFont="1" applyBorder="1" applyAlignment="1">
      <alignment horizontal="center" vertical="top" wrapText="1"/>
    </xf>
    <xf numFmtId="0" fontId="12" fillId="0" borderId="4" xfId="0" applyFont="1" applyBorder="1" applyAlignment="1">
      <alignment horizontal="center" vertical="center" wrapText="1"/>
    </xf>
    <xf numFmtId="0" fontId="12" fillId="2" borderId="4" xfId="0" applyFont="1" applyFill="1" applyBorder="1" applyAlignment="1">
      <alignment horizontal="center" vertical="top"/>
    </xf>
    <xf numFmtId="0" fontId="11" fillId="0" borderId="1" xfId="0" applyNumberFormat="1" applyFont="1" applyBorder="1" applyAlignment="1" applyProtection="1">
      <alignment horizontal="left" vertical="center" wrapText="1"/>
    </xf>
    <xf numFmtId="0" fontId="11" fillId="0" borderId="2" xfId="0" applyNumberFormat="1" applyFont="1" applyBorder="1" applyAlignment="1" applyProtection="1">
      <alignment horizontal="left" vertical="center" wrapText="1"/>
    </xf>
    <xf numFmtId="0" fontId="11" fillId="0" borderId="19" xfId="0" applyNumberFormat="1" applyFont="1" applyBorder="1" applyAlignment="1" applyProtection="1">
      <alignment horizontal="left" vertical="center" wrapText="1"/>
    </xf>
    <xf numFmtId="0" fontId="11" fillId="0" borderId="2" xfId="0" applyFont="1" applyBorder="1" applyAlignment="1" applyProtection="1">
      <alignment horizontal="left" vertical="center"/>
      <protection locked="0"/>
    </xf>
    <xf numFmtId="0" fontId="11" fillId="0" borderId="1" xfId="0" applyFont="1" applyBorder="1" applyAlignment="1" applyProtection="1">
      <alignment horizontal="left" vertical="center"/>
      <protection locked="0"/>
    </xf>
    <xf numFmtId="0" fontId="11" fillId="0" borderId="19" xfId="0" applyFont="1" applyBorder="1" applyAlignment="1" applyProtection="1">
      <alignment horizontal="left" vertical="center"/>
      <protection locked="0"/>
    </xf>
    <xf numFmtId="0" fontId="10" fillId="0" borderId="17" xfId="0" applyFont="1" applyBorder="1" applyAlignment="1">
      <alignment horizontal="center"/>
    </xf>
    <xf numFmtId="0" fontId="8" fillId="0" borderId="17" xfId="0" applyFont="1" applyBorder="1" applyAlignment="1">
      <alignment horizontal="center"/>
    </xf>
    <xf numFmtId="0" fontId="8" fillId="0" borderId="20" xfId="0" applyFont="1" applyBorder="1" applyAlignment="1">
      <alignment horizontal="center"/>
    </xf>
    <xf numFmtId="0" fontId="8" fillId="0" borderId="21" xfId="0" applyFont="1" applyBorder="1" applyAlignment="1">
      <alignment horizontal="center"/>
    </xf>
    <xf numFmtId="0" fontId="8" fillId="0" borderId="1" xfId="0" applyFont="1" applyBorder="1" applyAlignment="1">
      <alignment horizontal="left" vertical="center"/>
    </xf>
    <xf numFmtId="0" fontId="8" fillId="0" borderId="2" xfId="0" applyFont="1" applyBorder="1" applyAlignment="1">
      <alignment horizontal="left" vertical="center"/>
    </xf>
    <xf numFmtId="0" fontId="8" fillId="0" borderId="19" xfId="0" applyFont="1" applyBorder="1" applyAlignment="1">
      <alignment horizontal="left" vertical="center"/>
    </xf>
    <xf numFmtId="0" fontId="15" fillId="0" borderId="1" xfId="0" applyFont="1" applyBorder="1" applyAlignment="1">
      <alignment vertical="center"/>
    </xf>
    <xf numFmtId="0" fontId="15" fillId="0" borderId="2" xfId="0" applyFont="1" applyBorder="1" applyAlignment="1">
      <alignment vertical="center"/>
    </xf>
    <xf numFmtId="0" fontId="15" fillId="0" borderId="19" xfId="0" applyFont="1" applyBorder="1" applyAlignment="1">
      <alignment vertical="center"/>
    </xf>
    <xf numFmtId="0" fontId="11" fillId="0" borderId="22" xfId="0" applyFont="1" applyBorder="1" applyAlignment="1">
      <alignment horizontal="left" vertical="center" wrapText="1"/>
    </xf>
    <xf numFmtId="0" fontId="11" fillId="0" borderId="23" xfId="0" applyFont="1" applyBorder="1" applyAlignment="1">
      <alignment horizontal="left" vertical="center"/>
    </xf>
    <xf numFmtId="0" fontId="11" fillId="0" borderId="24" xfId="0" applyFont="1" applyBorder="1" applyAlignment="1">
      <alignment horizontal="left" vertical="center"/>
    </xf>
    <xf numFmtId="0" fontId="11" fillId="0" borderId="1" xfId="0" applyFont="1" applyBorder="1" applyAlignment="1" applyProtection="1">
      <alignment horizontal="left" vertical="center" wrapText="1"/>
    </xf>
    <xf numFmtId="0" fontId="11" fillId="0" borderId="2" xfId="0" applyFont="1" applyBorder="1" applyAlignment="1" applyProtection="1">
      <alignment horizontal="left" vertical="center" wrapText="1"/>
    </xf>
    <xf numFmtId="0" fontId="11" fillId="0" borderId="19" xfId="0" applyFont="1" applyBorder="1" applyAlignment="1" applyProtection="1">
      <alignment horizontal="left" vertical="center" wrapText="1"/>
    </xf>
  </cellXfs>
  <cellStyles count="2">
    <cellStyle name="Currency" xfId="1" builtinId="4"/>
    <cellStyle name="Normal"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609600</xdr:colOff>
      <xdr:row>0</xdr:row>
      <xdr:rowOff>38100</xdr:rowOff>
    </xdr:from>
    <xdr:to>
      <xdr:col>1</xdr:col>
      <xdr:colOff>1504950</xdr:colOff>
      <xdr:row>0</xdr:row>
      <xdr:rowOff>790575</xdr:rowOff>
    </xdr:to>
    <xdr:pic>
      <xdr:nvPicPr>
        <xdr:cNvPr id="1063" name="Picture 2" descr="NAU_PrimH_K_S"/>
        <xdr:cNvPicPr>
          <a:picLocks noChangeAspect="1" noChangeArrowheads="1"/>
        </xdr:cNvPicPr>
      </xdr:nvPicPr>
      <xdr:blipFill>
        <a:blip xmlns:r="http://schemas.openxmlformats.org/officeDocument/2006/relationships" r:embed="rId1" cstate="print"/>
        <a:srcRect/>
        <a:stretch>
          <a:fillRect/>
        </a:stretch>
      </xdr:blipFill>
      <xdr:spPr bwMode="auto">
        <a:xfrm>
          <a:off x="609600" y="38100"/>
          <a:ext cx="2276475" cy="7524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609600</xdr:colOff>
      <xdr:row>0</xdr:row>
      <xdr:rowOff>38100</xdr:rowOff>
    </xdr:from>
    <xdr:to>
      <xdr:col>1</xdr:col>
      <xdr:colOff>1504950</xdr:colOff>
      <xdr:row>0</xdr:row>
      <xdr:rowOff>790575</xdr:rowOff>
    </xdr:to>
    <xdr:pic>
      <xdr:nvPicPr>
        <xdr:cNvPr id="2" name="Picture 2" descr="NAU_PrimH_K_S"/>
        <xdr:cNvPicPr>
          <a:picLocks noChangeAspect="1" noChangeArrowheads="1"/>
        </xdr:cNvPicPr>
      </xdr:nvPicPr>
      <xdr:blipFill>
        <a:blip xmlns:r="http://schemas.openxmlformats.org/officeDocument/2006/relationships" r:embed="rId1" cstate="print"/>
        <a:srcRect/>
        <a:stretch>
          <a:fillRect/>
        </a:stretch>
      </xdr:blipFill>
      <xdr:spPr bwMode="auto">
        <a:xfrm>
          <a:off x="609600" y="38100"/>
          <a:ext cx="2276475" cy="7524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609600</xdr:colOff>
      <xdr:row>0</xdr:row>
      <xdr:rowOff>38100</xdr:rowOff>
    </xdr:from>
    <xdr:to>
      <xdr:col>1</xdr:col>
      <xdr:colOff>1504950</xdr:colOff>
      <xdr:row>0</xdr:row>
      <xdr:rowOff>790575</xdr:rowOff>
    </xdr:to>
    <xdr:pic>
      <xdr:nvPicPr>
        <xdr:cNvPr id="2" name="Picture 2" descr="NAU_PrimH_K_S"/>
        <xdr:cNvPicPr>
          <a:picLocks noChangeAspect="1" noChangeArrowheads="1"/>
        </xdr:cNvPicPr>
      </xdr:nvPicPr>
      <xdr:blipFill>
        <a:blip xmlns:r="http://schemas.openxmlformats.org/officeDocument/2006/relationships" r:embed="rId1" cstate="print"/>
        <a:srcRect/>
        <a:stretch>
          <a:fillRect/>
        </a:stretch>
      </xdr:blipFill>
      <xdr:spPr bwMode="auto">
        <a:xfrm>
          <a:off x="609600" y="38100"/>
          <a:ext cx="2276475" cy="7524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abSelected="1" zoomScale="50" zoomScaleNormal="100" workbookViewId="0">
      <selection activeCell="A4" sqref="A4"/>
    </sheetView>
  </sheetViews>
  <sheetFormatPr defaultRowHeight="18" x14ac:dyDescent="0.25"/>
  <cols>
    <col min="1" max="1" width="20.7109375" style="1" customWidth="1"/>
    <col min="2" max="2" width="35.7109375" style="1" customWidth="1"/>
    <col min="3" max="3" width="67.5703125" style="1" customWidth="1"/>
    <col min="4" max="9" width="18.7109375" style="1" customWidth="1"/>
    <col min="10" max="10" width="20.5703125" style="1" customWidth="1"/>
    <col min="11" max="11" width="40.7109375" style="1" customWidth="1"/>
    <col min="12" max="16384" width="9.140625" style="1"/>
  </cols>
  <sheetData>
    <row r="1" spans="1:11" ht="65.25" customHeight="1" x14ac:dyDescent="0.35">
      <c r="A1" s="85"/>
      <c r="B1" s="86"/>
      <c r="C1" s="87" t="s">
        <v>25</v>
      </c>
      <c r="D1" s="88"/>
      <c r="E1" s="88"/>
      <c r="F1" s="88"/>
      <c r="G1" s="88"/>
      <c r="H1" s="88"/>
      <c r="I1" s="88"/>
      <c r="J1" s="88"/>
      <c r="K1" s="89"/>
    </row>
    <row r="2" spans="1:11" ht="23.25" customHeight="1" x14ac:dyDescent="0.35">
      <c r="A2" s="83" t="s">
        <v>26</v>
      </c>
      <c r="B2" s="84"/>
      <c r="C2" s="90"/>
      <c r="D2" s="91"/>
      <c r="E2" s="91"/>
      <c r="F2" s="91"/>
      <c r="G2" s="91"/>
      <c r="H2" s="91"/>
      <c r="I2" s="92"/>
      <c r="J2" s="55"/>
      <c r="K2" s="58" t="s">
        <v>34</v>
      </c>
    </row>
    <row r="3" spans="1:11" ht="20.25" hidden="1" x14ac:dyDescent="0.3">
      <c r="A3" s="8"/>
      <c r="B3" s="5"/>
      <c r="C3" s="5"/>
      <c r="D3" s="5"/>
      <c r="E3" s="5"/>
      <c r="F3" s="5"/>
      <c r="G3" s="5"/>
      <c r="H3" s="5"/>
      <c r="I3" s="5"/>
      <c r="J3" s="5"/>
      <c r="K3" s="5"/>
    </row>
    <row r="4" spans="1:11" s="2" customFormat="1" ht="30" customHeight="1" thickBot="1" x14ac:dyDescent="0.25">
      <c r="A4" s="11" t="s">
        <v>20</v>
      </c>
      <c r="B4" s="12"/>
      <c r="C4" s="56" t="s">
        <v>31</v>
      </c>
      <c r="D4" s="80" t="s">
        <v>30</v>
      </c>
      <c r="E4" s="80"/>
      <c r="F4" s="80"/>
      <c r="G4" s="80"/>
      <c r="H4" s="80"/>
      <c r="I4" s="81" t="s">
        <v>21</v>
      </c>
      <c r="J4" s="80"/>
      <c r="K4" s="82"/>
    </row>
    <row r="5" spans="1:11" s="3" customFormat="1" ht="18.75" thickTop="1" x14ac:dyDescent="0.25">
      <c r="A5" s="13" t="s">
        <v>6</v>
      </c>
      <c r="B5" s="14" t="s">
        <v>7</v>
      </c>
      <c r="C5" s="13" t="s">
        <v>8</v>
      </c>
      <c r="D5" s="13" t="s">
        <v>10</v>
      </c>
      <c r="E5" s="15" t="s">
        <v>11</v>
      </c>
      <c r="F5" s="13" t="s">
        <v>12</v>
      </c>
      <c r="G5" s="13" t="s">
        <v>13</v>
      </c>
      <c r="H5" s="15" t="s">
        <v>14</v>
      </c>
      <c r="I5" s="13" t="s">
        <v>16</v>
      </c>
      <c r="J5" s="15" t="s">
        <v>17</v>
      </c>
      <c r="K5" s="13" t="s">
        <v>24</v>
      </c>
    </row>
    <row r="6" spans="1:11" s="10" customFormat="1" ht="20.25" x14ac:dyDescent="0.3">
      <c r="A6" s="16" t="s">
        <v>0</v>
      </c>
      <c r="B6" s="16" t="s">
        <v>1</v>
      </c>
      <c r="C6" s="16" t="s">
        <v>22</v>
      </c>
      <c r="D6" s="16" t="s">
        <v>9</v>
      </c>
      <c r="E6" s="73" t="s">
        <v>27</v>
      </c>
      <c r="F6" s="17" t="s">
        <v>18</v>
      </c>
      <c r="G6" s="18" t="s">
        <v>2</v>
      </c>
      <c r="H6" s="19" t="s">
        <v>3</v>
      </c>
      <c r="I6" s="75" t="s">
        <v>15</v>
      </c>
      <c r="J6" s="20" t="s">
        <v>4</v>
      </c>
      <c r="K6" s="71" t="s">
        <v>32</v>
      </c>
    </row>
    <row r="7" spans="1:11" s="9" customFormat="1" ht="20.25" x14ac:dyDescent="0.3">
      <c r="A7" s="16"/>
      <c r="B7" s="16"/>
      <c r="C7" s="16" t="s">
        <v>23</v>
      </c>
      <c r="D7" s="16"/>
      <c r="E7" s="71"/>
      <c r="F7" s="17" t="s">
        <v>2</v>
      </c>
      <c r="G7" s="18"/>
      <c r="H7" s="76" t="s">
        <v>40</v>
      </c>
      <c r="I7" s="75"/>
      <c r="J7" s="21"/>
      <c r="K7" s="72"/>
    </row>
    <row r="8" spans="1:11" s="9" customFormat="1" ht="20.25" x14ac:dyDescent="0.3">
      <c r="A8" s="16"/>
      <c r="B8" s="16"/>
      <c r="C8" s="16"/>
      <c r="D8" s="16"/>
      <c r="E8" s="71"/>
      <c r="F8" s="17" t="s">
        <v>19</v>
      </c>
      <c r="G8" s="16"/>
      <c r="H8" s="76"/>
      <c r="I8" s="16"/>
      <c r="J8" s="21"/>
      <c r="K8" s="72"/>
    </row>
    <row r="9" spans="1:11" s="9" customFormat="1" ht="32.450000000000003" customHeight="1" thickBot="1" x14ac:dyDescent="0.35">
      <c r="A9" s="22"/>
      <c r="B9" s="22"/>
      <c r="C9" s="22"/>
      <c r="D9" s="22"/>
      <c r="E9" s="74"/>
      <c r="F9" s="22"/>
      <c r="G9" s="22"/>
      <c r="H9" s="23"/>
      <c r="I9" s="22"/>
      <c r="J9" s="23"/>
      <c r="K9" s="24"/>
    </row>
    <row r="10" spans="1:11" s="4" customFormat="1" ht="35.1" customHeight="1" thickTop="1" x14ac:dyDescent="0.25">
      <c r="A10" s="25"/>
      <c r="B10" s="26"/>
      <c r="C10" s="26"/>
      <c r="D10" s="27"/>
      <c r="E10" s="61" t="str">
        <f t="shared" ref="E10:E29" si="0">IF($H10&gt;0,($D10),"")</f>
        <v/>
      </c>
      <c r="F10" s="28"/>
      <c r="G10" s="29"/>
      <c r="H10" s="59">
        <f>IF($F10="exempt",0,(IF($G10="",(0.056*D10),0)))</f>
        <v>0</v>
      </c>
      <c r="I10" s="29"/>
      <c r="J10" s="60">
        <f t="shared" ref="J10:J30" si="1">D10+G10+I10</f>
        <v>0</v>
      </c>
      <c r="K10" s="26"/>
    </row>
    <row r="11" spans="1:11" s="4" customFormat="1" ht="35.1" customHeight="1" x14ac:dyDescent="0.25">
      <c r="A11" s="30"/>
      <c r="B11" s="31"/>
      <c r="C11" s="32"/>
      <c r="D11" s="33"/>
      <c r="E11" s="61" t="str">
        <f t="shared" si="0"/>
        <v/>
      </c>
      <c r="F11" s="34"/>
      <c r="G11" s="35"/>
      <c r="H11" s="59">
        <f t="shared" ref="H11:H30" si="2">IF($F11="exempt",0,(IF($G11="",(0.056*D11),0)))</f>
        <v>0</v>
      </c>
      <c r="I11" s="35"/>
      <c r="J11" s="60">
        <f t="shared" si="1"/>
        <v>0</v>
      </c>
      <c r="K11" s="26"/>
    </row>
    <row r="12" spans="1:11" s="4" customFormat="1" ht="35.1" customHeight="1" x14ac:dyDescent="0.25">
      <c r="A12" s="30"/>
      <c r="B12" s="31"/>
      <c r="C12" s="31"/>
      <c r="D12" s="33"/>
      <c r="E12" s="61" t="str">
        <f t="shared" si="0"/>
        <v/>
      </c>
      <c r="F12" s="34"/>
      <c r="G12" s="35"/>
      <c r="H12" s="59">
        <f t="shared" si="2"/>
        <v>0</v>
      </c>
      <c r="I12" s="35"/>
      <c r="J12" s="60">
        <f t="shared" si="1"/>
        <v>0</v>
      </c>
      <c r="K12" s="26"/>
    </row>
    <row r="13" spans="1:11" ht="35.1" customHeight="1" x14ac:dyDescent="0.25">
      <c r="A13" s="36"/>
      <c r="B13" s="32"/>
      <c r="C13" s="37"/>
      <c r="D13" s="33"/>
      <c r="E13" s="61" t="str">
        <f t="shared" si="0"/>
        <v/>
      </c>
      <c r="F13" s="34"/>
      <c r="G13" s="35"/>
      <c r="H13" s="59">
        <f t="shared" si="2"/>
        <v>0</v>
      </c>
      <c r="I13" s="35"/>
      <c r="J13" s="60">
        <f t="shared" si="1"/>
        <v>0</v>
      </c>
      <c r="K13" s="38"/>
    </row>
    <row r="14" spans="1:11" ht="35.1" customHeight="1" x14ac:dyDescent="0.25">
      <c r="A14" s="36"/>
      <c r="B14" s="32"/>
      <c r="C14" s="37"/>
      <c r="D14" s="33"/>
      <c r="E14" s="61" t="str">
        <f t="shared" si="0"/>
        <v/>
      </c>
      <c r="F14" s="34"/>
      <c r="G14" s="35"/>
      <c r="H14" s="59">
        <f t="shared" si="2"/>
        <v>0</v>
      </c>
      <c r="I14" s="35"/>
      <c r="J14" s="60">
        <f t="shared" si="1"/>
        <v>0</v>
      </c>
      <c r="K14" s="38"/>
    </row>
    <row r="15" spans="1:11" ht="35.1" customHeight="1" x14ac:dyDescent="0.25">
      <c r="A15" s="36"/>
      <c r="B15" s="32"/>
      <c r="C15" s="37"/>
      <c r="D15" s="33"/>
      <c r="E15" s="61" t="str">
        <f t="shared" si="0"/>
        <v/>
      </c>
      <c r="F15" s="34"/>
      <c r="G15" s="35"/>
      <c r="H15" s="59">
        <f t="shared" si="2"/>
        <v>0</v>
      </c>
      <c r="I15" s="35"/>
      <c r="J15" s="60">
        <f t="shared" si="1"/>
        <v>0</v>
      </c>
      <c r="K15" s="38"/>
    </row>
    <row r="16" spans="1:11" ht="35.1" customHeight="1" x14ac:dyDescent="0.25">
      <c r="A16" s="36"/>
      <c r="B16" s="32"/>
      <c r="C16" s="37"/>
      <c r="D16" s="33"/>
      <c r="E16" s="61" t="str">
        <f t="shared" si="0"/>
        <v/>
      </c>
      <c r="F16" s="34"/>
      <c r="G16" s="35"/>
      <c r="H16" s="59">
        <f t="shared" si="2"/>
        <v>0</v>
      </c>
      <c r="I16" s="35"/>
      <c r="J16" s="60">
        <f t="shared" si="1"/>
        <v>0</v>
      </c>
      <c r="K16" s="38"/>
    </row>
    <row r="17" spans="1:11" ht="35.1" customHeight="1" x14ac:dyDescent="0.25">
      <c r="A17" s="36"/>
      <c r="B17" s="32"/>
      <c r="C17" s="37"/>
      <c r="D17" s="33"/>
      <c r="E17" s="61" t="str">
        <f t="shared" si="0"/>
        <v/>
      </c>
      <c r="F17" s="34"/>
      <c r="G17" s="35"/>
      <c r="H17" s="59">
        <f t="shared" si="2"/>
        <v>0</v>
      </c>
      <c r="I17" s="35"/>
      <c r="J17" s="60">
        <f t="shared" si="1"/>
        <v>0</v>
      </c>
      <c r="K17" s="38"/>
    </row>
    <row r="18" spans="1:11" ht="35.1" customHeight="1" x14ac:dyDescent="0.25">
      <c r="A18" s="36"/>
      <c r="B18" s="32"/>
      <c r="C18" s="37"/>
      <c r="D18" s="33"/>
      <c r="E18" s="61" t="str">
        <f t="shared" si="0"/>
        <v/>
      </c>
      <c r="F18" s="34"/>
      <c r="G18" s="35"/>
      <c r="H18" s="59">
        <f t="shared" si="2"/>
        <v>0</v>
      </c>
      <c r="I18" s="35"/>
      <c r="J18" s="60">
        <f t="shared" si="1"/>
        <v>0</v>
      </c>
      <c r="K18" s="38"/>
    </row>
    <row r="19" spans="1:11" ht="35.1" customHeight="1" x14ac:dyDescent="0.25">
      <c r="A19" s="36"/>
      <c r="B19" s="32"/>
      <c r="C19" s="37"/>
      <c r="D19" s="33"/>
      <c r="E19" s="61" t="str">
        <f t="shared" si="0"/>
        <v/>
      </c>
      <c r="F19" s="34"/>
      <c r="G19" s="35"/>
      <c r="H19" s="59">
        <f t="shared" si="2"/>
        <v>0</v>
      </c>
      <c r="I19" s="35"/>
      <c r="J19" s="60">
        <f t="shared" si="1"/>
        <v>0</v>
      </c>
      <c r="K19" s="38"/>
    </row>
    <row r="20" spans="1:11" ht="35.1" customHeight="1" x14ac:dyDescent="0.25">
      <c r="A20" s="36" t="s">
        <v>5</v>
      </c>
      <c r="B20" s="32"/>
      <c r="C20" s="37"/>
      <c r="D20" s="33"/>
      <c r="E20" s="61" t="str">
        <f t="shared" si="0"/>
        <v/>
      </c>
      <c r="F20" s="34"/>
      <c r="G20" s="35"/>
      <c r="H20" s="59">
        <f t="shared" si="2"/>
        <v>0</v>
      </c>
      <c r="I20" s="35"/>
      <c r="J20" s="60">
        <f t="shared" si="1"/>
        <v>0</v>
      </c>
      <c r="K20" s="38"/>
    </row>
    <row r="21" spans="1:11" ht="35.1" customHeight="1" x14ac:dyDescent="0.25">
      <c r="A21" s="36" t="s">
        <v>5</v>
      </c>
      <c r="B21" s="32"/>
      <c r="C21" s="37"/>
      <c r="D21" s="33"/>
      <c r="E21" s="61" t="str">
        <f t="shared" si="0"/>
        <v/>
      </c>
      <c r="F21" s="34"/>
      <c r="G21" s="35"/>
      <c r="H21" s="59">
        <f t="shared" si="2"/>
        <v>0</v>
      </c>
      <c r="I21" s="35"/>
      <c r="J21" s="60">
        <f t="shared" si="1"/>
        <v>0</v>
      </c>
      <c r="K21" s="38"/>
    </row>
    <row r="22" spans="1:11" ht="35.1" customHeight="1" x14ac:dyDescent="0.25">
      <c r="A22" s="36" t="s">
        <v>5</v>
      </c>
      <c r="B22" s="32"/>
      <c r="C22" s="37"/>
      <c r="D22" s="33"/>
      <c r="E22" s="61" t="str">
        <f t="shared" si="0"/>
        <v/>
      </c>
      <c r="F22" s="34"/>
      <c r="G22" s="35"/>
      <c r="H22" s="59">
        <f t="shared" si="2"/>
        <v>0</v>
      </c>
      <c r="I22" s="35"/>
      <c r="J22" s="60">
        <f t="shared" si="1"/>
        <v>0</v>
      </c>
      <c r="K22" s="38"/>
    </row>
    <row r="23" spans="1:11" ht="35.1" customHeight="1" x14ac:dyDescent="0.25">
      <c r="A23" s="36" t="s">
        <v>5</v>
      </c>
      <c r="B23" s="32"/>
      <c r="C23" s="37"/>
      <c r="D23" s="33"/>
      <c r="E23" s="61" t="str">
        <f t="shared" si="0"/>
        <v/>
      </c>
      <c r="F23" s="34"/>
      <c r="G23" s="35"/>
      <c r="H23" s="59">
        <f t="shared" si="2"/>
        <v>0</v>
      </c>
      <c r="I23" s="35"/>
      <c r="J23" s="60">
        <f t="shared" si="1"/>
        <v>0</v>
      </c>
      <c r="K23" s="38"/>
    </row>
    <row r="24" spans="1:11" ht="35.1" customHeight="1" x14ac:dyDescent="0.25">
      <c r="A24" s="36" t="s">
        <v>5</v>
      </c>
      <c r="B24" s="32"/>
      <c r="C24" s="37"/>
      <c r="D24" s="33"/>
      <c r="E24" s="61" t="str">
        <f t="shared" si="0"/>
        <v/>
      </c>
      <c r="F24" s="34"/>
      <c r="G24" s="35"/>
      <c r="H24" s="59">
        <f t="shared" si="2"/>
        <v>0</v>
      </c>
      <c r="I24" s="35"/>
      <c r="J24" s="60">
        <f t="shared" si="1"/>
        <v>0</v>
      </c>
      <c r="K24" s="38"/>
    </row>
    <row r="25" spans="1:11" ht="35.1" customHeight="1" x14ac:dyDescent="0.25">
      <c r="A25" s="36" t="s">
        <v>5</v>
      </c>
      <c r="B25" s="32"/>
      <c r="C25" s="37"/>
      <c r="D25" s="33"/>
      <c r="E25" s="61" t="str">
        <f t="shared" si="0"/>
        <v/>
      </c>
      <c r="F25" s="34"/>
      <c r="G25" s="35"/>
      <c r="H25" s="59">
        <f t="shared" si="2"/>
        <v>0</v>
      </c>
      <c r="I25" s="35"/>
      <c r="J25" s="60">
        <f t="shared" si="1"/>
        <v>0</v>
      </c>
      <c r="K25" s="38"/>
    </row>
    <row r="26" spans="1:11" ht="35.1" customHeight="1" x14ac:dyDescent="0.25">
      <c r="A26" s="36"/>
      <c r="B26" s="32"/>
      <c r="C26" s="37"/>
      <c r="D26" s="33"/>
      <c r="E26" s="61" t="str">
        <f t="shared" si="0"/>
        <v/>
      </c>
      <c r="F26" s="34"/>
      <c r="G26" s="35"/>
      <c r="H26" s="59">
        <f t="shared" si="2"/>
        <v>0</v>
      </c>
      <c r="I26" s="35"/>
      <c r="J26" s="60">
        <f t="shared" si="1"/>
        <v>0</v>
      </c>
      <c r="K26" s="38"/>
    </row>
    <row r="27" spans="1:11" ht="35.1" customHeight="1" x14ac:dyDescent="0.25">
      <c r="A27" s="36"/>
      <c r="B27" s="32"/>
      <c r="C27" s="37"/>
      <c r="D27" s="33"/>
      <c r="E27" s="61" t="str">
        <f t="shared" si="0"/>
        <v/>
      </c>
      <c r="F27" s="34"/>
      <c r="G27" s="35"/>
      <c r="H27" s="59">
        <f t="shared" si="2"/>
        <v>0</v>
      </c>
      <c r="I27" s="35"/>
      <c r="J27" s="60">
        <f t="shared" si="1"/>
        <v>0</v>
      </c>
      <c r="K27" s="38"/>
    </row>
    <row r="28" spans="1:11" ht="35.1" customHeight="1" x14ac:dyDescent="0.25">
      <c r="A28" s="36" t="s">
        <v>5</v>
      </c>
      <c r="B28" s="32"/>
      <c r="C28" s="37"/>
      <c r="D28" s="33"/>
      <c r="E28" s="61" t="str">
        <f t="shared" si="0"/>
        <v/>
      </c>
      <c r="F28" s="34"/>
      <c r="G28" s="35"/>
      <c r="H28" s="59">
        <f t="shared" si="2"/>
        <v>0</v>
      </c>
      <c r="I28" s="35"/>
      <c r="J28" s="60">
        <f t="shared" si="1"/>
        <v>0</v>
      </c>
      <c r="K28" s="38"/>
    </row>
    <row r="29" spans="1:11" ht="35.1" customHeight="1" x14ac:dyDescent="0.25">
      <c r="A29" s="39"/>
      <c r="B29" s="40"/>
      <c r="C29" s="32"/>
      <c r="D29" s="41"/>
      <c r="E29" s="61" t="str">
        <f t="shared" si="0"/>
        <v/>
      </c>
      <c r="F29" s="42"/>
      <c r="G29" s="43"/>
      <c r="H29" s="59">
        <f t="shared" si="2"/>
        <v>0</v>
      </c>
      <c r="I29" s="43"/>
      <c r="J29" s="60">
        <f t="shared" si="1"/>
        <v>0</v>
      </c>
      <c r="K29" s="44"/>
    </row>
    <row r="30" spans="1:11" ht="35.1" customHeight="1" x14ac:dyDescent="0.25">
      <c r="A30" s="39"/>
      <c r="B30" s="40"/>
      <c r="C30" s="45"/>
      <c r="D30" s="46"/>
      <c r="E30" s="61" t="str">
        <f>IF($H30&gt;0,($D30),"")</f>
        <v/>
      </c>
      <c r="F30" s="47"/>
      <c r="G30" s="48"/>
      <c r="H30" s="59">
        <f t="shared" si="2"/>
        <v>0</v>
      </c>
      <c r="I30" s="48"/>
      <c r="J30" s="60">
        <f t="shared" si="1"/>
        <v>0</v>
      </c>
      <c r="K30" s="44"/>
    </row>
    <row r="31" spans="1:11" ht="35.1" customHeight="1" thickBot="1" x14ac:dyDescent="0.35">
      <c r="A31" s="49" t="s">
        <v>5</v>
      </c>
      <c r="B31" s="50"/>
      <c r="C31" s="51" t="s">
        <v>38</v>
      </c>
      <c r="D31" s="52">
        <f>IF('Page 2'!$A$10="",(SUM(D10:D30)+SUM('Page 2'!D10:D30)+SUM('Page 3'!D10:D30)),"XXX")</f>
        <v>0</v>
      </c>
      <c r="E31" s="57">
        <f>IF('Page 2'!$A$10="",(SUM(E10:E30)+SUM('Page 2'!E10:E30)+SUM('Page 3'!E10:E30)),"XXX")</f>
        <v>0</v>
      </c>
      <c r="F31" s="52">
        <f>IF('Page 2'!$A$10="",(SUM(F10:F30)+SUM('Page 2'!F10:F30)+SUM('Page 3'!F10:F30)),"XXX")</f>
        <v>0</v>
      </c>
      <c r="G31" s="52">
        <f>IF('Page 2'!$A$10="",(SUM(G10:G30)+SUM('Page 2'!G10:G30)+SUM('Page 3'!G10:G30)),"XXX")</f>
        <v>0</v>
      </c>
      <c r="H31" s="57">
        <f>IF('Page 2'!$A$10="",(SUM(H10:H30)+SUM('Page 2'!H10:H30)+SUM('Page 3'!H10:H30)),"XXX")</f>
        <v>0</v>
      </c>
      <c r="I31" s="52">
        <f>IF('Page 2'!$A$10="",(SUM(I10:I30)+SUM('Page 2'!I10:I30)+SUM('Page 3'!I10:I30)),"XXX")</f>
        <v>0</v>
      </c>
      <c r="J31" s="57">
        <f>IF('Page 2'!$A$10="",(SUM(J10:J30)+SUM('Page 2'!J10:J30)+SUM('Page 3'!J10:J30)),"XXX")</f>
        <v>0</v>
      </c>
      <c r="K31" s="53"/>
    </row>
    <row r="32" spans="1:11" ht="109.5" customHeight="1" thickTop="1" x14ac:dyDescent="0.25">
      <c r="A32" s="62" t="s">
        <v>37</v>
      </c>
      <c r="B32" s="63"/>
      <c r="C32" s="63"/>
      <c r="D32" s="63"/>
      <c r="E32" s="63"/>
      <c r="F32" s="63"/>
      <c r="G32" s="63"/>
      <c r="H32" s="63"/>
      <c r="I32" s="63"/>
      <c r="J32" s="63"/>
      <c r="K32" s="64"/>
    </row>
    <row r="33" spans="1:11" ht="39" customHeight="1" x14ac:dyDescent="0.3">
      <c r="A33" s="65" t="s">
        <v>28</v>
      </c>
      <c r="B33" s="66"/>
      <c r="C33" s="66"/>
      <c r="D33" s="66"/>
      <c r="E33" s="66"/>
      <c r="F33" s="66"/>
      <c r="G33" s="66"/>
      <c r="H33" s="66"/>
      <c r="I33" s="66"/>
      <c r="J33" s="67"/>
      <c r="K33" s="54" t="s">
        <v>29</v>
      </c>
    </row>
    <row r="34" spans="1:11" ht="47.25" customHeight="1" x14ac:dyDescent="0.25">
      <c r="A34" s="77" t="s">
        <v>39</v>
      </c>
      <c r="B34" s="78"/>
      <c r="C34" s="78"/>
      <c r="D34" s="78"/>
      <c r="E34" s="78"/>
      <c r="F34" s="78"/>
      <c r="G34" s="78"/>
      <c r="H34" s="78"/>
      <c r="I34" s="78"/>
      <c r="J34" s="78"/>
      <c r="K34" s="79"/>
    </row>
    <row r="35" spans="1:11" ht="39" customHeight="1" x14ac:dyDescent="0.3">
      <c r="A35" s="68" t="s">
        <v>33</v>
      </c>
      <c r="B35" s="69"/>
      <c r="C35" s="69"/>
      <c r="D35" s="69"/>
      <c r="E35" s="69"/>
      <c r="F35" s="69"/>
      <c r="G35" s="69"/>
      <c r="H35" s="69"/>
      <c r="I35" s="69"/>
      <c r="J35" s="70"/>
      <c r="K35" s="54" t="s">
        <v>29</v>
      </c>
    </row>
    <row r="36" spans="1:11" x14ac:dyDescent="0.25">
      <c r="A36" s="6"/>
      <c r="B36" s="6"/>
      <c r="C36" s="6"/>
      <c r="D36" s="6"/>
      <c r="E36" s="6"/>
      <c r="F36" s="6"/>
      <c r="G36" s="6"/>
      <c r="H36" s="6"/>
      <c r="I36" s="6"/>
      <c r="J36" s="6"/>
      <c r="K36" s="6"/>
    </row>
    <row r="37" spans="1:11" ht="18.75" x14ac:dyDescent="0.3">
      <c r="A37" s="7"/>
    </row>
  </sheetData>
  <sheetProtection password="B417" sheet="1" objects="1" scenarios="1" formatCells="0" formatColumns="0" formatRows="0" insertColumns="0" insertRows="0" deleteRows="0" selectLockedCells="1"/>
  <dataConsolidate/>
  <mergeCells count="14">
    <mergeCell ref="D4:H4"/>
    <mergeCell ref="I4:K4"/>
    <mergeCell ref="A2:B2"/>
    <mergeCell ref="A1:B1"/>
    <mergeCell ref="C1:K1"/>
    <mergeCell ref="C2:I2"/>
    <mergeCell ref="A32:K32"/>
    <mergeCell ref="A33:J33"/>
    <mergeCell ref="A35:J35"/>
    <mergeCell ref="K6:K8"/>
    <mergeCell ref="E6:E9"/>
    <mergeCell ref="I6:I7"/>
    <mergeCell ref="H7:H8"/>
    <mergeCell ref="A34:K34"/>
  </mergeCells>
  <phoneticPr fontId="0" type="noConversion"/>
  <pageMargins left="0.32" right="0.25" top="0.5" bottom="0.5" header="0.5" footer="0.5"/>
  <pageSetup scale="45" orientation="landscape" horizont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zoomScale="50" zoomScaleNormal="100" workbookViewId="0">
      <selection activeCell="A4" sqref="A4"/>
    </sheetView>
  </sheetViews>
  <sheetFormatPr defaultRowHeight="18" x14ac:dyDescent="0.25"/>
  <cols>
    <col min="1" max="1" width="20.7109375" style="1" customWidth="1"/>
    <col min="2" max="2" width="35.7109375" style="1" customWidth="1"/>
    <col min="3" max="3" width="67.5703125" style="1" customWidth="1"/>
    <col min="4" max="9" width="18.7109375" style="1" customWidth="1"/>
    <col min="10" max="10" width="20.5703125" style="1" customWidth="1"/>
    <col min="11" max="11" width="40.7109375" style="1" customWidth="1"/>
    <col min="12" max="16384" width="9.140625" style="1"/>
  </cols>
  <sheetData>
    <row r="1" spans="1:11" ht="65.25" customHeight="1" x14ac:dyDescent="0.35">
      <c r="A1" s="85"/>
      <c r="B1" s="86"/>
      <c r="C1" s="87" t="s">
        <v>25</v>
      </c>
      <c r="D1" s="88"/>
      <c r="E1" s="88"/>
      <c r="F1" s="88"/>
      <c r="G1" s="88"/>
      <c r="H1" s="88"/>
      <c r="I1" s="88"/>
      <c r="J1" s="88"/>
      <c r="K1" s="89"/>
    </row>
    <row r="2" spans="1:11" ht="23.25" customHeight="1" x14ac:dyDescent="0.35">
      <c r="A2" s="83" t="s">
        <v>26</v>
      </c>
      <c r="B2" s="84"/>
      <c r="C2" s="90"/>
      <c r="D2" s="91"/>
      <c r="E2" s="91"/>
      <c r="F2" s="91"/>
      <c r="G2" s="91"/>
      <c r="H2" s="91"/>
      <c r="I2" s="92"/>
      <c r="J2" s="55"/>
      <c r="K2" s="58" t="s">
        <v>35</v>
      </c>
    </row>
    <row r="3" spans="1:11" ht="20.25" hidden="1" x14ac:dyDescent="0.3">
      <c r="A3" s="8"/>
      <c r="B3" s="5"/>
      <c r="C3" s="5"/>
      <c r="D3" s="5"/>
      <c r="E3" s="5"/>
      <c r="F3" s="5"/>
      <c r="G3" s="5"/>
      <c r="H3" s="5"/>
      <c r="I3" s="5"/>
      <c r="J3" s="5"/>
      <c r="K3" s="5"/>
    </row>
    <row r="4" spans="1:11" s="2" customFormat="1" ht="30" customHeight="1" thickBot="1" x14ac:dyDescent="0.25">
      <c r="A4" s="11" t="s">
        <v>20</v>
      </c>
      <c r="B4" s="12"/>
      <c r="C4" s="56" t="s">
        <v>31</v>
      </c>
      <c r="D4" s="80" t="s">
        <v>30</v>
      </c>
      <c r="E4" s="80"/>
      <c r="F4" s="80"/>
      <c r="G4" s="80"/>
      <c r="H4" s="80"/>
      <c r="I4" s="81" t="s">
        <v>21</v>
      </c>
      <c r="J4" s="80"/>
      <c r="K4" s="82"/>
    </row>
    <row r="5" spans="1:11" s="3" customFormat="1" ht="18.75" thickTop="1" x14ac:dyDescent="0.25">
      <c r="A5" s="13" t="s">
        <v>6</v>
      </c>
      <c r="B5" s="14" t="s">
        <v>7</v>
      </c>
      <c r="C5" s="13" t="s">
        <v>8</v>
      </c>
      <c r="D5" s="13" t="s">
        <v>10</v>
      </c>
      <c r="E5" s="15" t="s">
        <v>11</v>
      </c>
      <c r="F5" s="13" t="s">
        <v>12</v>
      </c>
      <c r="G5" s="13" t="s">
        <v>13</v>
      </c>
      <c r="H5" s="15" t="s">
        <v>14</v>
      </c>
      <c r="I5" s="13" t="s">
        <v>16</v>
      </c>
      <c r="J5" s="15" t="s">
        <v>17</v>
      </c>
      <c r="K5" s="13" t="s">
        <v>24</v>
      </c>
    </row>
    <row r="6" spans="1:11" s="10" customFormat="1" ht="20.25" x14ac:dyDescent="0.3">
      <c r="A6" s="16" t="s">
        <v>0</v>
      </c>
      <c r="B6" s="16" t="s">
        <v>1</v>
      </c>
      <c r="C6" s="16" t="s">
        <v>22</v>
      </c>
      <c r="D6" s="16" t="s">
        <v>9</v>
      </c>
      <c r="E6" s="73" t="s">
        <v>27</v>
      </c>
      <c r="F6" s="17" t="s">
        <v>18</v>
      </c>
      <c r="G6" s="18" t="s">
        <v>2</v>
      </c>
      <c r="H6" s="19" t="s">
        <v>3</v>
      </c>
      <c r="I6" s="75" t="s">
        <v>15</v>
      </c>
      <c r="J6" s="20" t="s">
        <v>4</v>
      </c>
      <c r="K6" s="71" t="s">
        <v>32</v>
      </c>
    </row>
    <row r="7" spans="1:11" s="9" customFormat="1" ht="20.25" x14ac:dyDescent="0.3">
      <c r="A7" s="16"/>
      <c r="B7" s="16"/>
      <c r="C7" s="16" t="s">
        <v>23</v>
      </c>
      <c r="D7" s="16"/>
      <c r="E7" s="71"/>
      <c r="F7" s="17" t="s">
        <v>2</v>
      </c>
      <c r="G7" s="18"/>
      <c r="H7" s="76" t="s">
        <v>40</v>
      </c>
      <c r="I7" s="75"/>
      <c r="J7" s="21"/>
      <c r="K7" s="72"/>
    </row>
    <row r="8" spans="1:11" s="9" customFormat="1" ht="20.25" x14ac:dyDescent="0.3">
      <c r="A8" s="16"/>
      <c r="B8" s="16"/>
      <c r="C8" s="16"/>
      <c r="D8" s="16"/>
      <c r="E8" s="71"/>
      <c r="F8" s="17" t="s">
        <v>19</v>
      </c>
      <c r="G8" s="16"/>
      <c r="H8" s="76"/>
      <c r="I8" s="16"/>
      <c r="J8" s="21"/>
      <c r="K8" s="72"/>
    </row>
    <row r="9" spans="1:11" s="9" customFormat="1" ht="32.450000000000003" customHeight="1" thickBot="1" x14ac:dyDescent="0.35">
      <c r="A9" s="22"/>
      <c r="B9" s="22"/>
      <c r="C9" s="22"/>
      <c r="D9" s="22"/>
      <c r="E9" s="74"/>
      <c r="F9" s="22"/>
      <c r="G9" s="22"/>
      <c r="H9" s="23"/>
      <c r="I9" s="22"/>
      <c r="J9" s="23"/>
      <c r="K9" s="24"/>
    </row>
    <row r="10" spans="1:11" s="4" customFormat="1" ht="35.1" customHeight="1" thickTop="1" x14ac:dyDescent="0.25">
      <c r="A10" s="25"/>
      <c r="B10" s="26"/>
      <c r="C10" s="26"/>
      <c r="D10" s="27"/>
      <c r="E10" s="61" t="str">
        <f t="shared" ref="E10:E29" si="0">IF($H10&gt;0,($D10),"")</f>
        <v/>
      </c>
      <c r="F10" s="28"/>
      <c r="G10" s="29"/>
      <c r="H10" s="59">
        <f>IF($F10="exempt",0,(IF($G10="",(0.056*D10),0)))</f>
        <v>0</v>
      </c>
      <c r="I10" s="29"/>
      <c r="J10" s="60">
        <f t="shared" ref="J10:J30" si="1">D10+G10+I10</f>
        <v>0</v>
      </c>
      <c r="K10" s="26"/>
    </row>
    <row r="11" spans="1:11" s="4" customFormat="1" ht="35.1" customHeight="1" x14ac:dyDescent="0.25">
      <c r="A11" s="30"/>
      <c r="B11" s="31"/>
      <c r="C11" s="32"/>
      <c r="D11" s="33"/>
      <c r="E11" s="61" t="str">
        <f t="shared" si="0"/>
        <v/>
      </c>
      <c r="F11" s="34"/>
      <c r="G11" s="35"/>
      <c r="H11" s="59">
        <f t="shared" ref="H11:H30" si="2">IF($F11="exempt",0,(IF($G11="",(0.056*D11),0)))</f>
        <v>0</v>
      </c>
      <c r="I11" s="35"/>
      <c r="J11" s="60">
        <f t="shared" si="1"/>
        <v>0</v>
      </c>
      <c r="K11" s="26"/>
    </row>
    <row r="12" spans="1:11" s="4" customFormat="1" ht="35.1" customHeight="1" x14ac:dyDescent="0.25">
      <c r="A12" s="30"/>
      <c r="B12" s="31"/>
      <c r="C12" s="31"/>
      <c r="D12" s="33"/>
      <c r="E12" s="61" t="str">
        <f t="shared" si="0"/>
        <v/>
      </c>
      <c r="F12" s="34"/>
      <c r="G12" s="35"/>
      <c r="H12" s="59">
        <f t="shared" si="2"/>
        <v>0</v>
      </c>
      <c r="I12" s="35"/>
      <c r="J12" s="60">
        <f t="shared" si="1"/>
        <v>0</v>
      </c>
      <c r="K12" s="26"/>
    </row>
    <row r="13" spans="1:11" ht="35.1" customHeight="1" x14ac:dyDescent="0.25">
      <c r="A13" s="36"/>
      <c r="B13" s="32"/>
      <c r="C13" s="37"/>
      <c r="D13" s="33"/>
      <c r="E13" s="61" t="str">
        <f t="shared" si="0"/>
        <v/>
      </c>
      <c r="F13" s="34"/>
      <c r="G13" s="35"/>
      <c r="H13" s="59">
        <f t="shared" si="2"/>
        <v>0</v>
      </c>
      <c r="I13" s="35"/>
      <c r="J13" s="60">
        <f t="shared" si="1"/>
        <v>0</v>
      </c>
      <c r="K13" s="38"/>
    </row>
    <row r="14" spans="1:11" ht="35.1" customHeight="1" x14ac:dyDescent="0.25">
      <c r="A14" s="36"/>
      <c r="B14" s="32"/>
      <c r="C14" s="37"/>
      <c r="D14" s="33"/>
      <c r="E14" s="61" t="str">
        <f t="shared" si="0"/>
        <v/>
      </c>
      <c r="F14" s="34"/>
      <c r="G14" s="35"/>
      <c r="H14" s="59">
        <f t="shared" si="2"/>
        <v>0</v>
      </c>
      <c r="I14" s="35"/>
      <c r="J14" s="60">
        <f t="shared" si="1"/>
        <v>0</v>
      </c>
      <c r="K14" s="38"/>
    </row>
    <row r="15" spans="1:11" ht="35.1" customHeight="1" x14ac:dyDescent="0.25">
      <c r="A15" s="36"/>
      <c r="B15" s="32"/>
      <c r="C15" s="37"/>
      <c r="D15" s="33"/>
      <c r="E15" s="61" t="str">
        <f t="shared" si="0"/>
        <v/>
      </c>
      <c r="F15" s="34"/>
      <c r="G15" s="35"/>
      <c r="H15" s="59">
        <f t="shared" si="2"/>
        <v>0</v>
      </c>
      <c r="I15" s="35"/>
      <c r="J15" s="60">
        <f t="shared" si="1"/>
        <v>0</v>
      </c>
      <c r="K15" s="38"/>
    </row>
    <row r="16" spans="1:11" ht="35.1" customHeight="1" x14ac:dyDescent="0.25">
      <c r="A16" s="36"/>
      <c r="B16" s="32"/>
      <c r="C16" s="37"/>
      <c r="D16" s="33"/>
      <c r="E16" s="61" t="str">
        <f t="shared" si="0"/>
        <v/>
      </c>
      <c r="F16" s="34"/>
      <c r="G16" s="35"/>
      <c r="H16" s="59">
        <f t="shared" si="2"/>
        <v>0</v>
      </c>
      <c r="I16" s="35"/>
      <c r="J16" s="60">
        <f t="shared" si="1"/>
        <v>0</v>
      </c>
      <c r="K16" s="38"/>
    </row>
    <row r="17" spans="1:11" ht="35.1" customHeight="1" x14ac:dyDescent="0.25">
      <c r="A17" s="36"/>
      <c r="B17" s="32"/>
      <c r="C17" s="37"/>
      <c r="D17" s="33"/>
      <c r="E17" s="61" t="str">
        <f t="shared" si="0"/>
        <v/>
      </c>
      <c r="F17" s="34"/>
      <c r="G17" s="35"/>
      <c r="H17" s="59">
        <f t="shared" si="2"/>
        <v>0</v>
      </c>
      <c r="I17" s="35"/>
      <c r="J17" s="60">
        <f t="shared" si="1"/>
        <v>0</v>
      </c>
      <c r="K17" s="38"/>
    </row>
    <row r="18" spans="1:11" ht="35.1" customHeight="1" x14ac:dyDescent="0.25">
      <c r="A18" s="36"/>
      <c r="B18" s="32"/>
      <c r="C18" s="37"/>
      <c r="D18" s="33"/>
      <c r="E18" s="61" t="str">
        <f t="shared" si="0"/>
        <v/>
      </c>
      <c r="F18" s="34"/>
      <c r="G18" s="35"/>
      <c r="H18" s="59">
        <f t="shared" si="2"/>
        <v>0</v>
      </c>
      <c r="I18" s="35"/>
      <c r="J18" s="60">
        <f t="shared" si="1"/>
        <v>0</v>
      </c>
      <c r="K18" s="38"/>
    </row>
    <row r="19" spans="1:11" ht="35.1" customHeight="1" x14ac:dyDescent="0.25">
      <c r="A19" s="36"/>
      <c r="B19" s="32"/>
      <c r="C19" s="37"/>
      <c r="D19" s="33"/>
      <c r="E19" s="61" t="str">
        <f t="shared" si="0"/>
        <v/>
      </c>
      <c r="F19" s="34"/>
      <c r="G19" s="35"/>
      <c r="H19" s="59">
        <f t="shared" si="2"/>
        <v>0</v>
      </c>
      <c r="I19" s="35"/>
      <c r="J19" s="60">
        <f t="shared" si="1"/>
        <v>0</v>
      </c>
      <c r="K19" s="38"/>
    </row>
    <row r="20" spans="1:11" ht="35.1" customHeight="1" x14ac:dyDescent="0.25">
      <c r="A20" s="36" t="s">
        <v>5</v>
      </c>
      <c r="B20" s="32"/>
      <c r="C20" s="37"/>
      <c r="D20" s="33"/>
      <c r="E20" s="61" t="str">
        <f t="shared" si="0"/>
        <v/>
      </c>
      <c r="F20" s="34"/>
      <c r="G20" s="35"/>
      <c r="H20" s="59">
        <f t="shared" si="2"/>
        <v>0</v>
      </c>
      <c r="I20" s="35"/>
      <c r="J20" s="60">
        <f t="shared" si="1"/>
        <v>0</v>
      </c>
      <c r="K20" s="38"/>
    </row>
    <row r="21" spans="1:11" ht="35.1" customHeight="1" x14ac:dyDescent="0.25">
      <c r="A21" s="36" t="s">
        <v>5</v>
      </c>
      <c r="B21" s="32"/>
      <c r="C21" s="37"/>
      <c r="D21" s="33"/>
      <c r="E21" s="61" t="str">
        <f t="shared" si="0"/>
        <v/>
      </c>
      <c r="F21" s="34"/>
      <c r="G21" s="35"/>
      <c r="H21" s="59">
        <f t="shared" si="2"/>
        <v>0</v>
      </c>
      <c r="I21" s="35"/>
      <c r="J21" s="60">
        <f t="shared" si="1"/>
        <v>0</v>
      </c>
      <c r="K21" s="38"/>
    </row>
    <row r="22" spans="1:11" ht="35.1" customHeight="1" x14ac:dyDescent="0.25">
      <c r="A22" s="36" t="s">
        <v>5</v>
      </c>
      <c r="B22" s="32"/>
      <c r="C22" s="37"/>
      <c r="D22" s="33"/>
      <c r="E22" s="61" t="str">
        <f t="shared" si="0"/>
        <v/>
      </c>
      <c r="F22" s="34"/>
      <c r="G22" s="35"/>
      <c r="H22" s="59">
        <f t="shared" si="2"/>
        <v>0</v>
      </c>
      <c r="I22" s="35"/>
      <c r="J22" s="60">
        <f t="shared" si="1"/>
        <v>0</v>
      </c>
      <c r="K22" s="38"/>
    </row>
    <row r="23" spans="1:11" ht="35.1" customHeight="1" x14ac:dyDescent="0.25">
      <c r="A23" s="36" t="s">
        <v>5</v>
      </c>
      <c r="B23" s="32"/>
      <c r="C23" s="37"/>
      <c r="D23" s="33"/>
      <c r="E23" s="61" t="str">
        <f t="shared" si="0"/>
        <v/>
      </c>
      <c r="F23" s="34"/>
      <c r="G23" s="35"/>
      <c r="H23" s="59">
        <f t="shared" si="2"/>
        <v>0</v>
      </c>
      <c r="I23" s="35"/>
      <c r="J23" s="60">
        <f t="shared" si="1"/>
        <v>0</v>
      </c>
      <c r="K23" s="38"/>
    </row>
    <row r="24" spans="1:11" ht="35.1" customHeight="1" x14ac:dyDescent="0.25">
      <c r="A24" s="36" t="s">
        <v>5</v>
      </c>
      <c r="B24" s="32"/>
      <c r="C24" s="37"/>
      <c r="D24" s="33"/>
      <c r="E24" s="61" t="str">
        <f t="shared" si="0"/>
        <v/>
      </c>
      <c r="F24" s="34"/>
      <c r="G24" s="35"/>
      <c r="H24" s="59">
        <f t="shared" si="2"/>
        <v>0</v>
      </c>
      <c r="I24" s="35"/>
      <c r="J24" s="60">
        <f t="shared" si="1"/>
        <v>0</v>
      </c>
      <c r="K24" s="38"/>
    </row>
    <row r="25" spans="1:11" ht="35.1" customHeight="1" x14ac:dyDescent="0.25">
      <c r="A25" s="36" t="s">
        <v>5</v>
      </c>
      <c r="B25" s="32"/>
      <c r="C25" s="37"/>
      <c r="D25" s="33"/>
      <c r="E25" s="61" t="str">
        <f t="shared" si="0"/>
        <v/>
      </c>
      <c r="F25" s="34"/>
      <c r="G25" s="35"/>
      <c r="H25" s="59">
        <f t="shared" si="2"/>
        <v>0</v>
      </c>
      <c r="I25" s="35"/>
      <c r="J25" s="60">
        <f t="shared" si="1"/>
        <v>0</v>
      </c>
      <c r="K25" s="38"/>
    </row>
    <row r="26" spans="1:11" ht="35.1" customHeight="1" x14ac:dyDescent="0.25">
      <c r="A26" s="36"/>
      <c r="B26" s="32"/>
      <c r="C26" s="37"/>
      <c r="D26" s="33"/>
      <c r="E26" s="61" t="str">
        <f t="shared" si="0"/>
        <v/>
      </c>
      <c r="F26" s="34"/>
      <c r="G26" s="35"/>
      <c r="H26" s="59">
        <f t="shared" si="2"/>
        <v>0</v>
      </c>
      <c r="I26" s="35"/>
      <c r="J26" s="60">
        <f t="shared" si="1"/>
        <v>0</v>
      </c>
      <c r="K26" s="38"/>
    </row>
    <row r="27" spans="1:11" ht="35.1" customHeight="1" x14ac:dyDescent="0.25">
      <c r="A27" s="36"/>
      <c r="B27" s="32"/>
      <c r="C27" s="37"/>
      <c r="D27" s="33"/>
      <c r="E27" s="61" t="str">
        <f t="shared" si="0"/>
        <v/>
      </c>
      <c r="F27" s="34"/>
      <c r="G27" s="35"/>
      <c r="H27" s="59">
        <f t="shared" si="2"/>
        <v>0</v>
      </c>
      <c r="I27" s="35"/>
      <c r="J27" s="60">
        <f t="shared" si="1"/>
        <v>0</v>
      </c>
      <c r="K27" s="38"/>
    </row>
    <row r="28" spans="1:11" ht="35.1" customHeight="1" x14ac:dyDescent="0.25">
      <c r="A28" s="36" t="s">
        <v>5</v>
      </c>
      <c r="B28" s="32"/>
      <c r="C28" s="37"/>
      <c r="D28" s="33"/>
      <c r="E28" s="61" t="str">
        <f t="shared" si="0"/>
        <v/>
      </c>
      <c r="F28" s="34"/>
      <c r="G28" s="35"/>
      <c r="H28" s="59">
        <f t="shared" si="2"/>
        <v>0</v>
      </c>
      <c r="I28" s="35"/>
      <c r="J28" s="60">
        <f t="shared" si="1"/>
        <v>0</v>
      </c>
      <c r="K28" s="38"/>
    </row>
    <row r="29" spans="1:11" ht="35.1" customHeight="1" x14ac:dyDescent="0.25">
      <c r="A29" s="39"/>
      <c r="B29" s="40"/>
      <c r="C29" s="32"/>
      <c r="D29" s="41"/>
      <c r="E29" s="61" t="str">
        <f t="shared" si="0"/>
        <v/>
      </c>
      <c r="F29" s="42"/>
      <c r="G29" s="43"/>
      <c r="H29" s="59">
        <f t="shared" si="2"/>
        <v>0</v>
      </c>
      <c r="I29" s="43"/>
      <c r="J29" s="60">
        <f t="shared" si="1"/>
        <v>0</v>
      </c>
      <c r="K29" s="44"/>
    </row>
    <row r="30" spans="1:11" ht="35.1" customHeight="1" x14ac:dyDescent="0.25">
      <c r="A30" s="39"/>
      <c r="B30" s="40"/>
      <c r="C30" s="45"/>
      <c r="D30" s="46"/>
      <c r="E30" s="61" t="str">
        <f>IF($H30&gt;0,($D30),"")</f>
        <v/>
      </c>
      <c r="F30" s="47"/>
      <c r="G30" s="48"/>
      <c r="H30" s="59">
        <f t="shared" si="2"/>
        <v>0</v>
      </c>
      <c r="I30" s="48"/>
      <c r="J30" s="60">
        <f t="shared" si="1"/>
        <v>0</v>
      </c>
      <c r="K30" s="44"/>
    </row>
    <row r="31" spans="1:11" ht="35.1" customHeight="1" thickBot="1" x14ac:dyDescent="0.35">
      <c r="A31" s="49" t="s">
        <v>5</v>
      </c>
      <c r="B31" s="50"/>
      <c r="C31" s="51" t="s">
        <v>38</v>
      </c>
      <c r="D31" s="52">
        <f>IF('Page 3'!$A$10="",(SUM(D10:D30)+SUM('Page 1'!D10:D30)+SUM('Page 3'!D10:D30)),"XXX")</f>
        <v>0</v>
      </c>
      <c r="E31" s="57">
        <f>IF('Page 3'!$A$10="",(SUM(E10:E30)+SUM('Page 1'!E10:E30)+SUM('Page 3'!E10:E30)),"XXX")</f>
        <v>0</v>
      </c>
      <c r="F31" s="52">
        <f>IF('Page 3'!$A$10="",(SUM(F10:F30)+SUM('Page 1'!F10:F30)+SUM('Page 3'!F10:F30)),"XXX")</f>
        <v>0</v>
      </c>
      <c r="G31" s="52">
        <f>IF('Page 3'!$A$10="",(SUM(G10:G30)+SUM('Page 1'!G10:G30)+SUM('Page 3'!G10:G30)),"XXX")</f>
        <v>0</v>
      </c>
      <c r="H31" s="57">
        <f>IF('Page 3'!$A$10="",(SUM(H10:H30)+SUM('Page 1'!H10:H30)+SUM('Page 3'!H10:H30)),"XXX")</f>
        <v>0</v>
      </c>
      <c r="I31" s="52">
        <f>IF('Page 3'!$A$10="",(SUM(I10:I30)+SUM('Page 1'!I10:I30)+SUM('Page 3'!I10:I30)),"XXX")</f>
        <v>0</v>
      </c>
      <c r="J31" s="57">
        <f>IF('Page 3'!$A$10="",(SUM(J10:J30)+SUM('Page 1'!J10:J30)+SUM('Page 3'!J10:J30)),"XXX")</f>
        <v>0</v>
      </c>
      <c r="K31" s="53"/>
    </row>
    <row r="32" spans="1:11" ht="109.5" customHeight="1" thickTop="1" x14ac:dyDescent="0.25">
      <c r="A32" s="93" t="s">
        <v>37</v>
      </c>
      <c r="B32" s="94"/>
      <c r="C32" s="94"/>
      <c r="D32" s="94"/>
      <c r="E32" s="94"/>
      <c r="F32" s="94"/>
      <c r="G32" s="94"/>
      <c r="H32" s="94"/>
      <c r="I32" s="94"/>
      <c r="J32" s="94"/>
      <c r="K32" s="95"/>
    </row>
    <row r="33" spans="1:11" ht="39" customHeight="1" x14ac:dyDescent="0.3">
      <c r="A33" s="65" t="s">
        <v>28</v>
      </c>
      <c r="B33" s="66"/>
      <c r="C33" s="66"/>
      <c r="D33" s="66"/>
      <c r="E33" s="66"/>
      <c r="F33" s="66"/>
      <c r="G33" s="66"/>
      <c r="H33" s="66"/>
      <c r="I33" s="66"/>
      <c r="J33" s="67"/>
      <c r="K33" s="54" t="s">
        <v>29</v>
      </c>
    </row>
    <row r="34" spans="1:11" ht="48" customHeight="1" x14ac:dyDescent="0.25">
      <c r="A34" s="96" t="s">
        <v>39</v>
      </c>
      <c r="B34" s="97"/>
      <c r="C34" s="97"/>
      <c r="D34" s="97"/>
      <c r="E34" s="97"/>
      <c r="F34" s="97"/>
      <c r="G34" s="97"/>
      <c r="H34" s="97"/>
      <c r="I34" s="97"/>
      <c r="J34" s="97"/>
      <c r="K34" s="98"/>
    </row>
    <row r="35" spans="1:11" ht="39" customHeight="1" x14ac:dyDescent="0.3">
      <c r="A35" s="68" t="s">
        <v>33</v>
      </c>
      <c r="B35" s="69"/>
      <c r="C35" s="69"/>
      <c r="D35" s="69"/>
      <c r="E35" s="69"/>
      <c r="F35" s="69"/>
      <c r="G35" s="69"/>
      <c r="H35" s="69"/>
      <c r="I35" s="69"/>
      <c r="J35" s="70"/>
      <c r="K35" s="54" t="s">
        <v>29</v>
      </c>
    </row>
    <row r="36" spans="1:11" x14ac:dyDescent="0.25">
      <c r="A36" s="6"/>
      <c r="B36" s="6"/>
      <c r="C36" s="6"/>
      <c r="D36" s="6"/>
      <c r="E36" s="6"/>
      <c r="F36" s="6"/>
      <c r="G36" s="6"/>
      <c r="H36" s="6"/>
      <c r="I36" s="6"/>
      <c r="J36" s="6"/>
      <c r="K36" s="6"/>
    </row>
    <row r="37" spans="1:11" ht="18.75" x14ac:dyDescent="0.3">
      <c r="A37" s="7"/>
    </row>
  </sheetData>
  <sheetProtection password="B417" sheet="1" objects="1" scenarios="1" formatCells="0" formatColumns="0" formatRows="0" insertColumns="0" insertRows="0" deleteRows="0" selectLockedCells="1"/>
  <dataConsolidate/>
  <mergeCells count="14">
    <mergeCell ref="A35:J35"/>
    <mergeCell ref="E6:E9"/>
    <mergeCell ref="I6:I7"/>
    <mergeCell ref="K6:K8"/>
    <mergeCell ref="H7:H8"/>
    <mergeCell ref="A32:K32"/>
    <mergeCell ref="A33:J33"/>
    <mergeCell ref="A34:K34"/>
    <mergeCell ref="A1:B1"/>
    <mergeCell ref="C1:K1"/>
    <mergeCell ref="A2:B2"/>
    <mergeCell ref="C2:I2"/>
    <mergeCell ref="D4:H4"/>
    <mergeCell ref="I4:K4"/>
  </mergeCells>
  <pageMargins left="0.32" right="0.25" top="0.5" bottom="0.5" header="0.5" footer="0.5"/>
  <pageSetup scale="45" orientation="landscape" horizont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zoomScale="50" zoomScaleNormal="100" workbookViewId="0">
      <selection activeCell="A4" sqref="A4"/>
    </sheetView>
  </sheetViews>
  <sheetFormatPr defaultRowHeight="18" x14ac:dyDescent="0.25"/>
  <cols>
    <col min="1" max="1" width="20.7109375" style="1" customWidth="1"/>
    <col min="2" max="2" width="35.7109375" style="1" customWidth="1"/>
    <col min="3" max="3" width="67.5703125" style="1" customWidth="1"/>
    <col min="4" max="9" width="18.7109375" style="1" customWidth="1"/>
    <col min="10" max="10" width="20.5703125" style="1" customWidth="1"/>
    <col min="11" max="11" width="40.7109375" style="1" customWidth="1"/>
    <col min="12" max="16384" width="9.140625" style="1"/>
  </cols>
  <sheetData>
    <row r="1" spans="1:11" ht="65.25" customHeight="1" x14ac:dyDescent="0.35">
      <c r="A1" s="85"/>
      <c r="B1" s="86"/>
      <c r="C1" s="87" t="s">
        <v>25</v>
      </c>
      <c r="D1" s="88"/>
      <c r="E1" s="88"/>
      <c r="F1" s="88"/>
      <c r="G1" s="88"/>
      <c r="H1" s="88"/>
      <c r="I1" s="88"/>
      <c r="J1" s="88"/>
      <c r="K1" s="89"/>
    </row>
    <row r="2" spans="1:11" ht="23.25" customHeight="1" x14ac:dyDescent="0.35">
      <c r="A2" s="83" t="s">
        <v>26</v>
      </c>
      <c r="B2" s="84"/>
      <c r="C2" s="90"/>
      <c r="D2" s="91"/>
      <c r="E2" s="91"/>
      <c r="F2" s="91"/>
      <c r="G2" s="91"/>
      <c r="H2" s="91"/>
      <c r="I2" s="92"/>
      <c r="J2" s="55"/>
      <c r="K2" s="58" t="s">
        <v>36</v>
      </c>
    </row>
    <row r="3" spans="1:11" ht="20.25" hidden="1" x14ac:dyDescent="0.3">
      <c r="A3" s="8"/>
      <c r="B3" s="5"/>
      <c r="C3" s="5"/>
      <c r="D3" s="5"/>
      <c r="E3" s="5"/>
      <c r="F3" s="5"/>
      <c r="G3" s="5"/>
      <c r="H3" s="5"/>
      <c r="I3" s="5"/>
      <c r="J3" s="5"/>
      <c r="K3" s="5"/>
    </row>
    <row r="4" spans="1:11" s="2" customFormat="1" ht="30" customHeight="1" thickBot="1" x14ac:dyDescent="0.25">
      <c r="A4" s="11" t="s">
        <v>20</v>
      </c>
      <c r="B4" s="12"/>
      <c r="C4" s="56" t="s">
        <v>31</v>
      </c>
      <c r="D4" s="80" t="s">
        <v>30</v>
      </c>
      <c r="E4" s="80"/>
      <c r="F4" s="80"/>
      <c r="G4" s="80"/>
      <c r="H4" s="80"/>
      <c r="I4" s="81" t="s">
        <v>21</v>
      </c>
      <c r="J4" s="80"/>
      <c r="K4" s="82"/>
    </row>
    <row r="5" spans="1:11" s="3" customFormat="1" ht="18.75" thickTop="1" x14ac:dyDescent="0.25">
      <c r="A5" s="13" t="s">
        <v>6</v>
      </c>
      <c r="B5" s="14" t="s">
        <v>7</v>
      </c>
      <c r="C5" s="13" t="s">
        <v>8</v>
      </c>
      <c r="D5" s="13" t="s">
        <v>10</v>
      </c>
      <c r="E5" s="15" t="s">
        <v>11</v>
      </c>
      <c r="F5" s="13" t="s">
        <v>12</v>
      </c>
      <c r="G5" s="13" t="s">
        <v>13</v>
      </c>
      <c r="H5" s="15" t="s">
        <v>14</v>
      </c>
      <c r="I5" s="13" t="s">
        <v>16</v>
      </c>
      <c r="J5" s="15" t="s">
        <v>17</v>
      </c>
      <c r="K5" s="13" t="s">
        <v>24</v>
      </c>
    </row>
    <row r="6" spans="1:11" s="10" customFormat="1" ht="20.25" x14ac:dyDescent="0.3">
      <c r="A6" s="16" t="s">
        <v>0</v>
      </c>
      <c r="B6" s="16" t="s">
        <v>1</v>
      </c>
      <c r="C6" s="16" t="s">
        <v>22</v>
      </c>
      <c r="D6" s="16" t="s">
        <v>9</v>
      </c>
      <c r="E6" s="73" t="s">
        <v>27</v>
      </c>
      <c r="F6" s="17" t="s">
        <v>18</v>
      </c>
      <c r="G6" s="18" t="s">
        <v>2</v>
      </c>
      <c r="H6" s="19" t="s">
        <v>3</v>
      </c>
      <c r="I6" s="75" t="s">
        <v>15</v>
      </c>
      <c r="J6" s="20" t="s">
        <v>4</v>
      </c>
      <c r="K6" s="71" t="s">
        <v>32</v>
      </c>
    </row>
    <row r="7" spans="1:11" s="9" customFormat="1" ht="20.25" x14ac:dyDescent="0.3">
      <c r="A7" s="16"/>
      <c r="B7" s="16"/>
      <c r="C7" s="16" t="s">
        <v>23</v>
      </c>
      <c r="D7" s="16"/>
      <c r="E7" s="71"/>
      <c r="F7" s="17" t="s">
        <v>2</v>
      </c>
      <c r="G7" s="18"/>
      <c r="H7" s="76" t="s">
        <v>40</v>
      </c>
      <c r="I7" s="75"/>
      <c r="J7" s="21"/>
      <c r="K7" s="72"/>
    </row>
    <row r="8" spans="1:11" s="9" customFormat="1" ht="20.25" x14ac:dyDescent="0.3">
      <c r="A8" s="16"/>
      <c r="B8" s="16"/>
      <c r="C8" s="16"/>
      <c r="D8" s="16"/>
      <c r="E8" s="71"/>
      <c r="F8" s="17" t="s">
        <v>19</v>
      </c>
      <c r="G8" s="16"/>
      <c r="H8" s="76"/>
      <c r="I8" s="16"/>
      <c r="J8" s="21"/>
      <c r="K8" s="72"/>
    </row>
    <row r="9" spans="1:11" s="9" customFormat="1" ht="32.450000000000003" customHeight="1" thickBot="1" x14ac:dyDescent="0.35">
      <c r="A9" s="22"/>
      <c r="B9" s="22"/>
      <c r="C9" s="22"/>
      <c r="D9" s="22"/>
      <c r="E9" s="74"/>
      <c r="F9" s="22"/>
      <c r="G9" s="22"/>
      <c r="H9" s="23"/>
      <c r="I9" s="22"/>
      <c r="J9" s="23"/>
      <c r="K9" s="24"/>
    </row>
    <row r="10" spans="1:11" s="4" customFormat="1" ht="35.1" customHeight="1" thickTop="1" x14ac:dyDescent="0.25">
      <c r="A10" s="25"/>
      <c r="B10" s="26"/>
      <c r="C10" s="26"/>
      <c r="D10" s="27"/>
      <c r="E10" s="61" t="str">
        <f t="shared" ref="E10:E29" si="0">IF($H10&gt;0,($D10),"")</f>
        <v/>
      </c>
      <c r="F10" s="28"/>
      <c r="G10" s="29"/>
      <c r="H10" s="59">
        <f>IF($F10="exempt",0,(IF($G10="",(0.056*D10),0)))</f>
        <v>0</v>
      </c>
      <c r="I10" s="29"/>
      <c r="J10" s="60">
        <f t="shared" ref="J10:J30" si="1">D10+G10+I10</f>
        <v>0</v>
      </c>
      <c r="K10" s="26"/>
    </row>
    <row r="11" spans="1:11" s="4" customFormat="1" ht="35.1" customHeight="1" x14ac:dyDescent="0.25">
      <c r="A11" s="30"/>
      <c r="B11" s="31"/>
      <c r="C11" s="32"/>
      <c r="D11" s="33"/>
      <c r="E11" s="61" t="str">
        <f t="shared" si="0"/>
        <v/>
      </c>
      <c r="F11" s="34"/>
      <c r="G11" s="35"/>
      <c r="H11" s="59">
        <f t="shared" ref="H11:H30" si="2">IF($F11="exempt",0,(IF($G11="",(0.056*D11),0)))</f>
        <v>0</v>
      </c>
      <c r="I11" s="35"/>
      <c r="J11" s="60">
        <f t="shared" si="1"/>
        <v>0</v>
      </c>
      <c r="K11" s="26"/>
    </row>
    <row r="12" spans="1:11" s="4" customFormat="1" ht="35.1" customHeight="1" x14ac:dyDescent="0.25">
      <c r="A12" s="30"/>
      <c r="B12" s="31"/>
      <c r="C12" s="31"/>
      <c r="D12" s="33"/>
      <c r="E12" s="61" t="str">
        <f t="shared" si="0"/>
        <v/>
      </c>
      <c r="F12" s="34"/>
      <c r="G12" s="35"/>
      <c r="H12" s="59">
        <f t="shared" si="2"/>
        <v>0</v>
      </c>
      <c r="I12" s="35"/>
      <c r="J12" s="60">
        <f t="shared" si="1"/>
        <v>0</v>
      </c>
      <c r="K12" s="26"/>
    </row>
    <row r="13" spans="1:11" ht="35.1" customHeight="1" x14ac:dyDescent="0.25">
      <c r="A13" s="36"/>
      <c r="B13" s="32"/>
      <c r="C13" s="37"/>
      <c r="D13" s="33"/>
      <c r="E13" s="61" t="str">
        <f t="shared" si="0"/>
        <v/>
      </c>
      <c r="F13" s="34"/>
      <c r="G13" s="35"/>
      <c r="H13" s="59">
        <f t="shared" si="2"/>
        <v>0</v>
      </c>
      <c r="I13" s="35"/>
      <c r="J13" s="60">
        <f t="shared" si="1"/>
        <v>0</v>
      </c>
      <c r="K13" s="38"/>
    </row>
    <row r="14" spans="1:11" ht="35.1" customHeight="1" x14ac:dyDescent="0.25">
      <c r="A14" s="36"/>
      <c r="B14" s="32"/>
      <c r="C14" s="37"/>
      <c r="D14" s="33"/>
      <c r="E14" s="61" t="str">
        <f t="shared" si="0"/>
        <v/>
      </c>
      <c r="F14" s="34"/>
      <c r="G14" s="35"/>
      <c r="H14" s="59">
        <f t="shared" si="2"/>
        <v>0</v>
      </c>
      <c r="I14" s="35"/>
      <c r="J14" s="60">
        <f t="shared" si="1"/>
        <v>0</v>
      </c>
      <c r="K14" s="38"/>
    </row>
    <row r="15" spans="1:11" ht="35.1" customHeight="1" x14ac:dyDescent="0.25">
      <c r="A15" s="36"/>
      <c r="B15" s="32"/>
      <c r="C15" s="37"/>
      <c r="D15" s="33"/>
      <c r="E15" s="61" t="str">
        <f t="shared" si="0"/>
        <v/>
      </c>
      <c r="F15" s="34"/>
      <c r="G15" s="35"/>
      <c r="H15" s="59">
        <f t="shared" si="2"/>
        <v>0</v>
      </c>
      <c r="I15" s="35"/>
      <c r="J15" s="60">
        <f t="shared" si="1"/>
        <v>0</v>
      </c>
      <c r="K15" s="38"/>
    </row>
    <row r="16" spans="1:11" ht="35.1" customHeight="1" x14ac:dyDescent="0.25">
      <c r="A16" s="36"/>
      <c r="B16" s="32"/>
      <c r="C16" s="37"/>
      <c r="D16" s="33"/>
      <c r="E16" s="61" t="str">
        <f t="shared" si="0"/>
        <v/>
      </c>
      <c r="F16" s="34"/>
      <c r="G16" s="35"/>
      <c r="H16" s="59">
        <f t="shared" si="2"/>
        <v>0</v>
      </c>
      <c r="I16" s="35"/>
      <c r="J16" s="60">
        <f t="shared" si="1"/>
        <v>0</v>
      </c>
      <c r="K16" s="38"/>
    </row>
    <row r="17" spans="1:11" ht="35.1" customHeight="1" x14ac:dyDescent="0.25">
      <c r="A17" s="36"/>
      <c r="B17" s="32"/>
      <c r="C17" s="37"/>
      <c r="D17" s="33"/>
      <c r="E17" s="61" t="str">
        <f t="shared" si="0"/>
        <v/>
      </c>
      <c r="F17" s="34"/>
      <c r="G17" s="35"/>
      <c r="H17" s="59">
        <f t="shared" si="2"/>
        <v>0</v>
      </c>
      <c r="I17" s="35"/>
      <c r="J17" s="60">
        <f t="shared" si="1"/>
        <v>0</v>
      </c>
      <c r="K17" s="38"/>
    </row>
    <row r="18" spans="1:11" ht="35.1" customHeight="1" x14ac:dyDescent="0.25">
      <c r="A18" s="36"/>
      <c r="B18" s="32"/>
      <c r="C18" s="37"/>
      <c r="D18" s="33"/>
      <c r="E18" s="61" t="str">
        <f t="shared" si="0"/>
        <v/>
      </c>
      <c r="F18" s="34"/>
      <c r="G18" s="35"/>
      <c r="H18" s="59">
        <f t="shared" si="2"/>
        <v>0</v>
      </c>
      <c r="I18" s="35"/>
      <c r="J18" s="60">
        <f t="shared" si="1"/>
        <v>0</v>
      </c>
      <c r="K18" s="38"/>
    </row>
    <row r="19" spans="1:11" ht="35.1" customHeight="1" x14ac:dyDescent="0.25">
      <c r="A19" s="36"/>
      <c r="B19" s="32"/>
      <c r="C19" s="37"/>
      <c r="D19" s="33"/>
      <c r="E19" s="61" t="str">
        <f t="shared" si="0"/>
        <v/>
      </c>
      <c r="F19" s="34"/>
      <c r="G19" s="35"/>
      <c r="H19" s="59">
        <f t="shared" si="2"/>
        <v>0</v>
      </c>
      <c r="I19" s="35"/>
      <c r="J19" s="60">
        <f t="shared" si="1"/>
        <v>0</v>
      </c>
      <c r="K19" s="38"/>
    </row>
    <row r="20" spans="1:11" ht="35.1" customHeight="1" x14ac:dyDescent="0.25">
      <c r="A20" s="36" t="s">
        <v>5</v>
      </c>
      <c r="B20" s="32"/>
      <c r="C20" s="37"/>
      <c r="D20" s="33"/>
      <c r="E20" s="61" t="str">
        <f t="shared" si="0"/>
        <v/>
      </c>
      <c r="F20" s="34"/>
      <c r="G20" s="35"/>
      <c r="H20" s="59">
        <f t="shared" si="2"/>
        <v>0</v>
      </c>
      <c r="I20" s="35"/>
      <c r="J20" s="60">
        <f t="shared" si="1"/>
        <v>0</v>
      </c>
      <c r="K20" s="38"/>
    </row>
    <row r="21" spans="1:11" ht="35.1" customHeight="1" x14ac:dyDescent="0.25">
      <c r="A21" s="36" t="s">
        <v>5</v>
      </c>
      <c r="B21" s="32"/>
      <c r="C21" s="37"/>
      <c r="D21" s="33"/>
      <c r="E21" s="61" t="str">
        <f t="shared" si="0"/>
        <v/>
      </c>
      <c r="F21" s="34"/>
      <c r="G21" s="35"/>
      <c r="H21" s="59">
        <f t="shared" si="2"/>
        <v>0</v>
      </c>
      <c r="I21" s="35"/>
      <c r="J21" s="60">
        <f t="shared" si="1"/>
        <v>0</v>
      </c>
      <c r="K21" s="38"/>
    </row>
    <row r="22" spans="1:11" ht="35.1" customHeight="1" x14ac:dyDescent="0.25">
      <c r="A22" s="36" t="s">
        <v>5</v>
      </c>
      <c r="B22" s="32"/>
      <c r="C22" s="37"/>
      <c r="D22" s="33"/>
      <c r="E22" s="61" t="str">
        <f t="shared" si="0"/>
        <v/>
      </c>
      <c r="F22" s="34"/>
      <c r="G22" s="35"/>
      <c r="H22" s="59">
        <f t="shared" si="2"/>
        <v>0</v>
      </c>
      <c r="I22" s="35"/>
      <c r="J22" s="60">
        <f t="shared" si="1"/>
        <v>0</v>
      </c>
      <c r="K22" s="38"/>
    </row>
    <row r="23" spans="1:11" ht="35.1" customHeight="1" x14ac:dyDescent="0.25">
      <c r="A23" s="36" t="s">
        <v>5</v>
      </c>
      <c r="B23" s="32"/>
      <c r="C23" s="37"/>
      <c r="D23" s="33"/>
      <c r="E23" s="61" t="str">
        <f t="shared" si="0"/>
        <v/>
      </c>
      <c r="F23" s="34"/>
      <c r="G23" s="35"/>
      <c r="H23" s="59">
        <f t="shared" si="2"/>
        <v>0</v>
      </c>
      <c r="I23" s="35"/>
      <c r="J23" s="60">
        <f t="shared" si="1"/>
        <v>0</v>
      </c>
      <c r="K23" s="38"/>
    </row>
    <row r="24" spans="1:11" ht="35.1" customHeight="1" x14ac:dyDescent="0.25">
      <c r="A24" s="36" t="s">
        <v>5</v>
      </c>
      <c r="B24" s="32"/>
      <c r="C24" s="37"/>
      <c r="D24" s="33"/>
      <c r="E24" s="61" t="str">
        <f t="shared" si="0"/>
        <v/>
      </c>
      <c r="F24" s="34"/>
      <c r="G24" s="35"/>
      <c r="H24" s="59">
        <f t="shared" si="2"/>
        <v>0</v>
      </c>
      <c r="I24" s="35"/>
      <c r="J24" s="60">
        <f t="shared" si="1"/>
        <v>0</v>
      </c>
      <c r="K24" s="38"/>
    </row>
    <row r="25" spans="1:11" ht="35.1" customHeight="1" x14ac:dyDescent="0.25">
      <c r="A25" s="36" t="s">
        <v>5</v>
      </c>
      <c r="B25" s="32"/>
      <c r="C25" s="37"/>
      <c r="D25" s="33"/>
      <c r="E25" s="61" t="str">
        <f t="shared" si="0"/>
        <v/>
      </c>
      <c r="F25" s="34"/>
      <c r="G25" s="35"/>
      <c r="H25" s="59">
        <f t="shared" si="2"/>
        <v>0</v>
      </c>
      <c r="I25" s="35"/>
      <c r="J25" s="60">
        <f t="shared" si="1"/>
        <v>0</v>
      </c>
      <c r="K25" s="38"/>
    </row>
    <row r="26" spans="1:11" ht="35.1" customHeight="1" x14ac:dyDescent="0.25">
      <c r="A26" s="36"/>
      <c r="B26" s="32"/>
      <c r="C26" s="37"/>
      <c r="D26" s="33"/>
      <c r="E26" s="61" t="str">
        <f t="shared" si="0"/>
        <v/>
      </c>
      <c r="F26" s="34"/>
      <c r="G26" s="35"/>
      <c r="H26" s="59">
        <f t="shared" si="2"/>
        <v>0</v>
      </c>
      <c r="I26" s="35"/>
      <c r="J26" s="60">
        <f t="shared" si="1"/>
        <v>0</v>
      </c>
      <c r="K26" s="38"/>
    </row>
    <row r="27" spans="1:11" ht="35.1" customHeight="1" x14ac:dyDescent="0.25">
      <c r="A27" s="36"/>
      <c r="B27" s="32"/>
      <c r="C27" s="37"/>
      <c r="D27" s="33"/>
      <c r="E27" s="61" t="str">
        <f t="shared" si="0"/>
        <v/>
      </c>
      <c r="F27" s="34"/>
      <c r="G27" s="35"/>
      <c r="H27" s="59">
        <f t="shared" si="2"/>
        <v>0</v>
      </c>
      <c r="I27" s="35"/>
      <c r="J27" s="60">
        <f t="shared" si="1"/>
        <v>0</v>
      </c>
      <c r="K27" s="38"/>
    </row>
    <row r="28" spans="1:11" ht="35.1" customHeight="1" x14ac:dyDescent="0.25">
      <c r="A28" s="36" t="s">
        <v>5</v>
      </c>
      <c r="B28" s="32"/>
      <c r="C28" s="37"/>
      <c r="D28" s="33"/>
      <c r="E28" s="61" t="str">
        <f t="shared" si="0"/>
        <v/>
      </c>
      <c r="F28" s="34"/>
      <c r="G28" s="35"/>
      <c r="H28" s="59">
        <f t="shared" si="2"/>
        <v>0</v>
      </c>
      <c r="I28" s="35"/>
      <c r="J28" s="60">
        <f t="shared" si="1"/>
        <v>0</v>
      </c>
      <c r="K28" s="38"/>
    </row>
    <row r="29" spans="1:11" ht="35.1" customHeight="1" x14ac:dyDescent="0.25">
      <c r="A29" s="39"/>
      <c r="B29" s="40"/>
      <c r="C29" s="32"/>
      <c r="D29" s="41"/>
      <c r="E29" s="61" t="str">
        <f t="shared" si="0"/>
        <v/>
      </c>
      <c r="F29" s="42"/>
      <c r="G29" s="43"/>
      <c r="H29" s="59">
        <f t="shared" si="2"/>
        <v>0</v>
      </c>
      <c r="I29" s="43"/>
      <c r="J29" s="60">
        <f t="shared" si="1"/>
        <v>0</v>
      </c>
      <c r="K29" s="44"/>
    </row>
    <row r="30" spans="1:11" ht="35.1" customHeight="1" x14ac:dyDescent="0.25">
      <c r="A30" s="39"/>
      <c r="B30" s="40"/>
      <c r="C30" s="45"/>
      <c r="D30" s="46"/>
      <c r="E30" s="61" t="str">
        <f>IF($H30&gt;0,($D30),"")</f>
        <v/>
      </c>
      <c r="F30" s="47"/>
      <c r="G30" s="48"/>
      <c r="H30" s="59">
        <f t="shared" si="2"/>
        <v>0</v>
      </c>
      <c r="I30" s="48"/>
      <c r="J30" s="60">
        <f t="shared" si="1"/>
        <v>0</v>
      </c>
      <c r="K30" s="44"/>
    </row>
    <row r="31" spans="1:11" ht="35.1" customHeight="1" thickBot="1" x14ac:dyDescent="0.35">
      <c r="A31" s="49" t="s">
        <v>5</v>
      </c>
      <c r="B31" s="50"/>
      <c r="C31" s="51" t="s">
        <v>38</v>
      </c>
      <c r="D31" s="52">
        <f>SUM(D10:D30)+SUM('Page 1'!D10:D30)+SUM('Page 2'!D10:D30)</f>
        <v>0</v>
      </c>
      <c r="E31" s="57">
        <f>SUM(E10:E30)+SUM('Page 1'!E10:E30)+SUM('Page 2'!E10:E30)</f>
        <v>0</v>
      </c>
      <c r="F31" s="52">
        <f>SUM(F10:F30)+SUM('Page 1'!F10:F30)+SUM('Page 2'!F10:F30)</f>
        <v>0</v>
      </c>
      <c r="G31" s="52">
        <f>SUM(G10:G30)+SUM('Page 1'!G10:G30)+SUM('Page 2'!G10:G30)</f>
        <v>0</v>
      </c>
      <c r="H31" s="57">
        <f>SUM(H10:H30)+SUM('Page 1'!H10:H30)+SUM('Page 2'!H10:H30)</f>
        <v>0</v>
      </c>
      <c r="I31" s="52">
        <f>SUM(I10:I30)+SUM('Page 1'!I10:I30)+SUM('Page 2'!I10:I30)</f>
        <v>0</v>
      </c>
      <c r="J31" s="57">
        <f>SUM(J10:J30)+SUM('Page 1'!J10:J30)+SUM('Page 2'!J10:J30)</f>
        <v>0</v>
      </c>
      <c r="K31" s="53"/>
    </row>
    <row r="32" spans="1:11" ht="109.5" customHeight="1" thickTop="1" x14ac:dyDescent="0.25">
      <c r="A32" s="93" t="s">
        <v>37</v>
      </c>
      <c r="B32" s="94"/>
      <c r="C32" s="94"/>
      <c r="D32" s="94"/>
      <c r="E32" s="94"/>
      <c r="F32" s="94"/>
      <c r="G32" s="94"/>
      <c r="H32" s="94"/>
      <c r="I32" s="94"/>
      <c r="J32" s="94"/>
      <c r="K32" s="95"/>
    </row>
    <row r="33" spans="1:11" ht="39" customHeight="1" x14ac:dyDescent="0.3">
      <c r="A33" s="65" t="s">
        <v>28</v>
      </c>
      <c r="B33" s="66"/>
      <c r="C33" s="66"/>
      <c r="D33" s="66"/>
      <c r="E33" s="66"/>
      <c r="F33" s="66"/>
      <c r="G33" s="66"/>
      <c r="H33" s="66"/>
      <c r="I33" s="66"/>
      <c r="J33" s="67"/>
      <c r="K33" s="54" t="s">
        <v>29</v>
      </c>
    </row>
    <row r="34" spans="1:11" ht="48" customHeight="1" x14ac:dyDescent="0.25">
      <c r="A34" s="96" t="s">
        <v>39</v>
      </c>
      <c r="B34" s="97"/>
      <c r="C34" s="97"/>
      <c r="D34" s="97"/>
      <c r="E34" s="97"/>
      <c r="F34" s="97"/>
      <c r="G34" s="97"/>
      <c r="H34" s="97"/>
      <c r="I34" s="97"/>
      <c r="J34" s="97"/>
      <c r="K34" s="98"/>
    </row>
    <row r="35" spans="1:11" ht="39" customHeight="1" x14ac:dyDescent="0.3">
      <c r="A35" s="68" t="s">
        <v>33</v>
      </c>
      <c r="B35" s="69"/>
      <c r="C35" s="69"/>
      <c r="D35" s="69"/>
      <c r="E35" s="69"/>
      <c r="F35" s="69"/>
      <c r="G35" s="69"/>
      <c r="H35" s="69"/>
      <c r="I35" s="69"/>
      <c r="J35" s="70"/>
      <c r="K35" s="54" t="s">
        <v>29</v>
      </c>
    </row>
    <row r="36" spans="1:11" x14ac:dyDescent="0.25">
      <c r="A36" s="6"/>
      <c r="B36" s="6"/>
      <c r="C36" s="6"/>
      <c r="D36" s="6"/>
      <c r="E36" s="6"/>
      <c r="F36" s="6"/>
      <c r="G36" s="6"/>
      <c r="H36" s="6"/>
      <c r="I36" s="6"/>
      <c r="J36" s="6"/>
      <c r="K36" s="6"/>
    </row>
    <row r="37" spans="1:11" ht="18.75" x14ac:dyDescent="0.3">
      <c r="A37" s="7"/>
    </row>
  </sheetData>
  <sheetProtection password="B417" sheet="1" objects="1" scenarios="1" formatCells="0" formatColumns="0" formatRows="0" insertColumns="0" insertRows="0" deleteRows="0" selectLockedCells="1"/>
  <dataConsolidate/>
  <mergeCells count="14">
    <mergeCell ref="A35:J35"/>
    <mergeCell ref="E6:E9"/>
    <mergeCell ref="I6:I7"/>
    <mergeCell ref="K6:K8"/>
    <mergeCell ref="H7:H8"/>
    <mergeCell ref="A32:K32"/>
    <mergeCell ref="A33:J33"/>
    <mergeCell ref="A34:K34"/>
    <mergeCell ref="A1:B1"/>
    <mergeCell ref="C1:K1"/>
    <mergeCell ref="A2:B2"/>
    <mergeCell ref="C2:I2"/>
    <mergeCell ref="D4:H4"/>
    <mergeCell ref="I4:K4"/>
  </mergeCells>
  <pageMargins left="0.32" right="0.25" top="0.5" bottom="0.5" header="0.5" footer="0.5"/>
  <pageSetup scale="45" orientation="landscape" horizont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Page 1</vt:lpstr>
      <vt:lpstr>Page 2</vt:lpstr>
      <vt:lpstr>Page 3</vt:lpstr>
      <vt:lpstr>'Page 1'!Text2</vt:lpstr>
      <vt:lpstr>'Page 2'!Text2</vt:lpstr>
      <vt:lpstr>'Page 3'!Text2</vt:lpstr>
      <vt:lpstr>'Page 1'!Text4</vt:lpstr>
      <vt:lpstr>'Page 2'!Text4</vt:lpstr>
      <vt:lpstr>'Page 3'!Text4</vt:lpstr>
      <vt:lpstr>'Page 1'!Text6</vt:lpstr>
      <vt:lpstr>'Page 2'!Text6</vt:lpstr>
      <vt:lpstr>'Page 3'!Text6</vt:lpstr>
    </vt:vector>
  </TitlesOfParts>
  <Company>Northern Arizona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slb44</dc:creator>
  <cp:lastModifiedBy>Brian Hall</cp:lastModifiedBy>
  <cp:lastPrinted>2011-06-22T22:14:22Z</cp:lastPrinted>
  <dcterms:created xsi:type="dcterms:W3CDTF">2001-04-27T16:30:23Z</dcterms:created>
  <dcterms:modified xsi:type="dcterms:W3CDTF">2013-07-01T19:41:17Z</dcterms:modified>
</cp:coreProperties>
</file>