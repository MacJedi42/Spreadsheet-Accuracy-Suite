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45" windowWidth="20115" windowHeight="7995" firstSheet="1" activeTab="2"/>
  </bookViews>
  <sheets>
    <sheet name="2.5 oz. ID Millennium" sheetId="1" r:id="rId1"/>
    <sheet name="Explanation" sheetId="3" r:id="rId2"/>
    <sheet name="2.7 ounce ID Moment" sheetId="2" r:id="rId3"/>
  </sheets>
  <calcPr calcId="125725"/>
</workbook>
</file>

<file path=xl/calcChain.xml><?xml version="1.0" encoding="utf-8"?>
<calcChain xmlns="http://schemas.openxmlformats.org/spreadsheetml/2006/main">
  <c r="A62" i="2"/>
  <c r="B80"/>
  <c r="C83"/>
  <c r="B83"/>
  <c r="B44" s="1"/>
  <c r="C44" s="1"/>
  <c r="D44" s="1"/>
  <c r="B42" s="1"/>
  <c r="C72"/>
  <c r="C71"/>
  <c r="C82" s="1"/>
  <c r="B68"/>
  <c r="C68" s="1"/>
  <c r="C67"/>
  <c r="B67"/>
  <c r="B78" s="1"/>
  <c r="C66"/>
  <c r="B66"/>
  <c r="B77" s="1"/>
  <c r="C77" s="1"/>
  <c r="D65"/>
  <c r="D76" s="1"/>
  <c r="B28" s="1"/>
  <c r="C28" s="1"/>
  <c r="D28" s="1"/>
  <c r="B26" s="1"/>
  <c r="B58"/>
  <c r="B57"/>
  <c r="B15"/>
  <c r="B8"/>
  <c r="B11" s="1"/>
  <c r="B8" i="1"/>
  <c r="B15"/>
  <c r="B66"/>
  <c r="B65"/>
  <c r="B48" i="2" l="1"/>
  <c r="C48" s="1"/>
  <c r="D48" s="1"/>
  <c r="C69"/>
  <c r="C80"/>
  <c r="C78"/>
  <c r="B36"/>
  <c r="C36" s="1"/>
  <c r="D36" s="1"/>
  <c r="B34" s="1"/>
  <c r="B79"/>
  <c r="B32"/>
  <c r="C32" s="1"/>
  <c r="D32" s="1"/>
  <c r="B30" s="1"/>
  <c r="B11" i="1"/>
  <c r="C91"/>
  <c r="B91"/>
  <c r="B44" s="1"/>
  <c r="C79"/>
  <c r="C90" s="1"/>
  <c r="B56" s="1"/>
  <c r="C80"/>
  <c r="C75"/>
  <c r="B75"/>
  <c r="B86" s="1"/>
  <c r="B76"/>
  <c r="B87" s="1"/>
  <c r="B77"/>
  <c r="B88" s="1"/>
  <c r="B74"/>
  <c r="C74" s="1"/>
  <c r="B46" i="2" l="1"/>
  <c r="B81"/>
  <c r="C70"/>
  <c r="B40"/>
  <c r="C40" s="1"/>
  <c r="D40" s="1"/>
  <c r="B38" s="1"/>
  <c r="C79"/>
  <c r="C88" i="1"/>
  <c r="B48"/>
  <c r="C86"/>
  <c r="B36"/>
  <c r="C87"/>
  <c r="B40"/>
  <c r="C76"/>
  <c r="B78"/>
  <c r="C77"/>
  <c r="B85"/>
  <c r="B32" s="1"/>
  <c r="B51" i="2" l="1"/>
  <c r="B50"/>
  <c r="C81"/>
  <c r="B19"/>
  <c r="C19" s="1"/>
  <c r="D19" s="1"/>
  <c r="C85" i="1"/>
  <c r="B89"/>
  <c r="C78"/>
  <c r="B12" i="2" l="1"/>
  <c r="B10"/>
  <c r="C89" i="1"/>
  <c r="B52"/>
  <c r="C44"/>
  <c r="D44" s="1"/>
  <c r="B42" s="1"/>
  <c r="C32"/>
  <c r="D32" s="1"/>
  <c r="B30" s="1"/>
  <c r="C40"/>
  <c r="D40" s="1"/>
  <c r="B38" s="1"/>
  <c r="C48"/>
  <c r="D48" s="1"/>
  <c r="B46" s="1"/>
  <c r="C36"/>
  <c r="D36" s="1"/>
  <c r="B34" s="1"/>
  <c r="C52"/>
  <c r="D52" s="1"/>
  <c r="B50" s="1"/>
  <c r="D73"/>
  <c r="D84" s="1"/>
  <c r="B19" s="1"/>
  <c r="B13" i="2" l="1"/>
  <c r="B16" s="1"/>
  <c r="C19" i="1"/>
  <c r="D19" s="1"/>
  <c r="C56"/>
  <c r="D56" s="1"/>
  <c r="B28"/>
  <c r="C28" s="1"/>
  <c r="D28" s="1"/>
  <c r="B26" s="1"/>
  <c r="B54" l="1"/>
  <c r="B58" s="1"/>
  <c r="B59"/>
  <c r="B10"/>
  <c r="B13" s="1"/>
  <c r="B16" s="1"/>
  <c r="B12"/>
</calcChain>
</file>

<file path=xl/sharedStrings.xml><?xml version="1.0" encoding="utf-8"?>
<sst xmlns="http://schemas.openxmlformats.org/spreadsheetml/2006/main" count="501" uniqueCount="366">
  <si>
    <t>Cost Model</t>
  </si>
  <si>
    <t># in case</t>
  </si>
  <si>
    <t>Average number of bottles uncapped per minute</t>
  </si>
  <si>
    <t>Average number of boxes filled per minute</t>
  </si>
  <si>
    <t>Average number of bottles labeled per minute</t>
  </si>
  <si>
    <t>Seconds per bottle</t>
  </si>
  <si>
    <t>Seconds per case (24 bottles)</t>
  </si>
  <si>
    <t>N/A</t>
  </si>
  <si>
    <t>Seconds per batch</t>
  </si>
  <si>
    <t>Minutes per batch</t>
  </si>
  <si>
    <t>Hours per batch</t>
  </si>
  <si>
    <t>Fixed Time (sec)</t>
  </si>
  <si>
    <t>Average hourly wage (including taxes and benefits)</t>
  </si>
  <si>
    <t>Number of operators</t>
  </si>
  <si>
    <t>Total time (hours)</t>
  </si>
  <si>
    <t>plus overnight leak test</t>
  </si>
  <si>
    <t>Input</t>
  </si>
  <si>
    <t>Output</t>
  </si>
  <si>
    <t>Profit ($)</t>
  </si>
  <si>
    <t>Time to complete (sec, min, hour)</t>
  </si>
  <si>
    <t>Set up cost ($)</t>
  </si>
  <si>
    <t>Time to set up (sec, min, hour)</t>
  </si>
  <si>
    <t>Cost to label ($)</t>
  </si>
  <si>
    <t>Time to label (sec, min, hour)</t>
  </si>
  <si>
    <t>Cost to fill ($)</t>
  </si>
  <si>
    <t>Time to fill (sec, min, hour)</t>
  </si>
  <si>
    <t>Cost to cap ($)</t>
  </si>
  <si>
    <t>Time to cap (sec, min, hour)</t>
  </si>
  <si>
    <t>Cost to uncap ($)</t>
  </si>
  <si>
    <t>Time to uncap (sec, min, hour)</t>
  </si>
  <si>
    <t>Cost to recap ($)</t>
  </si>
  <si>
    <t>Time to recap (sec, min, hour)</t>
  </si>
  <si>
    <t>Cost to box ($)</t>
  </si>
  <si>
    <t>Time to box (sec, min, hour)</t>
  </si>
  <si>
    <t>Total cost ($)</t>
  </si>
  <si>
    <t>Variable Values</t>
  </si>
  <si>
    <t>Cost per individual step</t>
  </si>
  <si>
    <t>Factors included in cost model:</t>
  </si>
  <si>
    <t>Wait time on conveyer  (sec)</t>
  </si>
  <si>
    <t>Time to box a case  (sec)</t>
  </si>
  <si>
    <t>Time to recap  (sec)</t>
  </si>
  <si>
    <t>Time to label  (sec)</t>
  </si>
  <si>
    <t>Time to uncap  (sec)</t>
  </si>
  <si>
    <t>Time to cap  (sec)</t>
  </si>
  <si>
    <t>Time to fill  (sec)</t>
  </si>
  <si>
    <t>Set up time  (sec)</t>
  </si>
  <si>
    <t>Average number of bottles filled per minute</t>
  </si>
  <si>
    <t>Average number of bottles placed on line per minute</t>
  </si>
  <si>
    <t>Additional Output</t>
  </si>
  <si>
    <t>If Westridge wants to make 'x' amount of 2.5 oz. bottle of ID Millenium, how long will it take and how much will it cost?</t>
  </si>
  <si>
    <t>Average employees working on 2.5 oz ID Millennium</t>
  </si>
  <si>
    <t>Revenue ($)</t>
  </si>
  <si>
    <t>Cell Definitions</t>
  </si>
  <si>
    <t>B5</t>
  </si>
  <si>
    <t>B8</t>
  </si>
  <si>
    <t xml:space="preserve">The number of cases needed to fill the number of bottles ordered by the customer.  </t>
  </si>
  <si>
    <t>B10</t>
  </si>
  <si>
    <t>B11</t>
  </si>
  <si>
    <t>Revenue from order</t>
  </si>
  <si>
    <t>B12</t>
  </si>
  <si>
    <t>Profit from order</t>
  </si>
  <si>
    <t>B15</t>
  </si>
  <si>
    <t>The cost to make an order of size B5</t>
  </si>
  <si>
    <t>Seconds required to make the order</t>
  </si>
  <si>
    <t>Minutes required to make the order</t>
  </si>
  <si>
    <t>Hours required to make the order</t>
  </si>
  <si>
    <t xml:space="preserve"> </t>
  </si>
  <si>
    <t>B26</t>
  </si>
  <si>
    <t>B27</t>
  </si>
  <si>
    <t>B28</t>
  </si>
  <si>
    <t>C28</t>
  </si>
  <si>
    <t>D28</t>
  </si>
  <si>
    <t>B30</t>
  </si>
  <si>
    <t>B31</t>
  </si>
  <si>
    <t>B32</t>
  </si>
  <si>
    <t>C32</t>
  </si>
  <si>
    <t>D32</t>
  </si>
  <si>
    <t>B34</t>
  </si>
  <si>
    <t>B35</t>
  </si>
  <si>
    <t>B36</t>
  </si>
  <si>
    <t>C36</t>
  </si>
  <si>
    <t>D36</t>
  </si>
  <si>
    <t>B38</t>
  </si>
  <si>
    <t>B39</t>
  </si>
  <si>
    <t>B40</t>
  </si>
  <si>
    <t>C40</t>
  </si>
  <si>
    <t>D40</t>
  </si>
  <si>
    <t>B42</t>
  </si>
  <si>
    <t>B43</t>
  </si>
  <si>
    <t>B44</t>
  </si>
  <si>
    <t>C44</t>
  </si>
  <si>
    <t>D44</t>
  </si>
  <si>
    <t>B46</t>
  </si>
  <si>
    <t>B47</t>
  </si>
  <si>
    <t>B48</t>
  </si>
  <si>
    <t>C48</t>
  </si>
  <si>
    <t>D48</t>
  </si>
  <si>
    <t>B50</t>
  </si>
  <si>
    <t>B51</t>
  </si>
  <si>
    <t>B59</t>
  </si>
  <si>
    <t>B65</t>
  </si>
  <si>
    <t>C65</t>
  </si>
  <si>
    <t>B66</t>
  </si>
  <si>
    <t>B67</t>
  </si>
  <si>
    <t>B68</t>
  </si>
  <si>
    <t>Average number of employees working on assembly line for 2.5 ounce bottle of ID Millennium</t>
  </si>
  <si>
    <t>Found by determing the necessary steps to run assembly line</t>
  </si>
  <si>
    <t>C72</t>
  </si>
  <si>
    <t>from Westridge Labs website</t>
  </si>
  <si>
    <t xml:space="preserve">Number of bottles in each case of 2.5 ounce ID Millennium </t>
  </si>
  <si>
    <t xml:space="preserve">Average hourly wage of manufacturing employees </t>
  </si>
  <si>
    <t>provided by Westridge Labs</t>
  </si>
  <si>
    <t>B75</t>
  </si>
  <si>
    <t>B76</t>
  </si>
  <si>
    <t>B77</t>
  </si>
  <si>
    <t>B78</t>
  </si>
  <si>
    <t>Found by counting the number of bottles labeled every minute for 6 cycles and averging them</t>
  </si>
  <si>
    <t>Found by counting the number of boxes filled per minute during periods where boxes were being filled and averaging them</t>
  </si>
  <si>
    <t>Found by counting the number of bottles uncapped every minute for 6 cycles and averaging them</t>
  </si>
  <si>
    <t>Average number of bottles placed on line per minute (number of bottles capped per minute)</t>
  </si>
  <si>
    <t>Found by counting the number of bottles placed on the line every minute for 6 cycles and averaging them</t>
  </si>
  <si>
    <t>Found by counting the number of bottles filled every minute for 6 cycles and averaging them</t>
  </si>
  <si>
    <t>Provided by manufacturing employees at Westridge Labs</t>
  </si>
  <si>
    <t>Allowance</t>
  </si>
  <si>
    <t>Time per step</t>
  </si>
  <si>
    <t>Time per step including allowances</t>
  </si>
  <si>
    <t>Allowances of time studies</t>
  </si>
  <si>
    <t>Found by observing working conditions and using a table to provide a percentage value</t>
  </si>
  <si>
    <t>D65</t>
  </si>
  <si>
    <t>B88</t>
  </si>
  <si>
    <t>B89</t>
  </si>
  <si>
    <t>B91</t>
  </si>
  <si>
    <t>B85</t>
  </si>
  <si>
    <t>B86</t>
  </si>
  <si>
    <t>C77</t>
  </si>
  <si>
    <t>C78</t>
  </si>
  <si>
    <t>C79</t>
  </si>
  <si>
    <t>B80</t>
  </si>
  <si>
    <t>Normal time (sec) to fill a 2.5 ounce bottle of ID Millennium</t>
  </si>
  <si>
    <t>Normal time to set up the assembly line for the 2.5 ounce bottle of ID Millennium</t>
  </si>
  <si>
    <t>Normal time (sec) to fill a case of 2.5 ounce ID Millennium</t>
  </si>
  <si>
    <t>Normal time (sec) to label a case of 2.5 ounce ID Millennium</t>
  </si>
  <si>
    <t>Normal time (sec) to label a 2.5 ounce bottle of ID Millennium</t>
  </si>
  <si>
    <t>Normal time (sec) to cap a 2.5 ounce bottle of ID Millennium</t>
  </si>
  <si>
    <t>Normal time (sec) to cap a case of 2.5 ounce ID Millennium</t>
  </si>
  <si>
    <t>Normal time (sec) to uncap a 2.5 ounce bottle of ID Millennium</t>
  </si>
  <si>
    <t>Normal time (sec) to uncap a case of 2.5 ounce ID Millennium</t>
  </si>
  <si>
    <t>Normal time (sec) to recap a 2.5 ounce bottle of ID Millennium</t>
  </si>
  <si>
    <t>Normal time (sec) to recap a case of 2.5 ounce ID Millennium</t>
  </si>
  <si>
    <t>B69</t>
  </si>
  <si>
    <t>Found by timing the amount of time a bottle spends on the line before it is uncapped</t>
  </si>
  <si>
    <t>The time (sec) a case (24 bottles) of 2.5 ounce ID Millennium spends on the assembly line before being uncapped</t>
  </si>
  <si>
    <t>Multiply the time a bottle spends on the conveyer before being uncapped (B72) by the number of bottles in a case (C86)</t>
  </si>
  <si>
    <t>The standard time it takes to set up the assembly line for the 2.5 ounce ID Millennium (includes allowance)</t>
  </si>
  <si>
    <t>Back Label ($)</t>
  </si>
  <si>
    <t>Front Label ($)</t>
  </si>
  <si>
    <t>Bottle ($)</t>
  </si>
  <si>
    <t>Cap ($)</t>
  </si>
  <si>
    <t>Product ($) Includes waste and overfill</t>
  </si>
  <si>
    <t>Cap Liner ($)</t>
  </si>
  <si>
    <t>Case Box ($) one for each 24 bottles</t>
  </si>
  <si>
    <t>B98</t>
  </si>
  <si>
    <t>B99</t>
  </si>
  <si>
    <t>B100</t>
  </si>
  <si>
    <t>Provided by Westridge Labs</t>
  </si>
  <si>
    <t>Cost of one back label ($)</t>
  </si>
  <si>
    <t>Cost of one front label ($)</t>
  </si>
  <si>
    <t>Cost of one Bottle ($)</t>
  </si>
  <si>
    <t>Cost of one Cap ($)</t>
  </si>
  <si>
    <t>Cost of product ($) per bottle including waste and overfill</t>
  </si>
  <si>
    <t>Cost of one cap liner ($)</t>
  </si>
  <si>
    <t>Cost of one case box (one for every 24 bottles)</t>
  </si>
  <si>
    <t>cost of raw materials per case</t>
  </si>
  <si>
    <t>The standard time it takes to label a bottle of 2.5 ounce ID Millennium (includes allowance)</t>
  </si>
  <si>
    <t>The standard time it takes to fill a bottle of 2.5 ounce ID Millennium (includes allowance)</t>
  </si>
  <si>
    <t>The standard time it takes to label a case of 2.5 ounce ID Millennium (includes allowance)</t>
  </si>
  <si>
    <t>The standard time it takes to fill a case of 2.5 ounce ID Millennium (includes allowance)</t>
  </si>
  <si>
    <t>The standard time it takes to cap a bottle of 2.5 ounce ID Millennium (includes allowance)</t>
  </si>
  <si>
    <t>The standard time it takes to cap a case of 2.5 ounce ID Millennium (includes allowance)</t>
  </si>
  <si>
    <t>The standard time it takes to uncap a bottle of 2.5 ounce ID Millennium (includes allowance)</t>
  </si>
  <si>
    <t>The standard time it takes to uncap a case of 2.5 ounce ID Millennium (includes allowance)</t>
  </si>
  <si>
    <t>The standard time it takes to recap a case of 2.5 ounce ID Millennium (includes allowance)</t>
  </si>
  <si>
    <t>The standard time it takes to recap a bottle of 2.5 ounce ID Millennium (includes allowance)</t>
  </si>
  <si>
    <t>Standard time (sec) to box a case of 2.5 ounce ID Millennium</t>
  </si>
  <si>
    <t>Normal time (sec) to box a case of 2.5 ounce ID Millennium</t>
  </si>
  <si>
    <t>The normal time (sec)a bottle spends on the conveyer before being uncapped</t>
  </si>
  <si>
    <t>The standard time (sec)a bottle spends on the conveyer before being uncapped</t>
  </si>
  <si>
    <t>The standard time (sec) a case (24 bottles) of 2.5 ounce ID Millennium spends on the assembly line before being uncapped</t>
  </si>
  <si>
    <t>Column1</t>
  </si>
  <si>
    <t>Column2</t>
  </si>
  <si>
    <t>B58</t>
  </si>
  <si>
    <t>The total cost of raw material per case of 2.5 ounce ID Millennium</t>
  </si>
  <si>
    <t>Overhead cost associated with process (rent per month)</t>
  </si>
  <si>
    <t>Sq. Feet</t>
  </si>
  <si>
    <t>Rate</t>
  </si>
  <si>
    <t>overhead (rent per month)</t>
  </si>
  <si>
    <t>The square footage of the manufacturing facility</t>
  </si>
  <si>
    <t>Standard rate of rent for a manufacturing facility</t>
  </si>
  <si>
    <t>Number of cases required</t>
  </si>
  <si>
    <t>number of operators</t>
  </si>
  <si>
    <t>time to wait</t>
  </si>
  <si>
    <t xml:space="preserve">Cost of Raw Materials ($) </t>
  </si>
  <si>
    <t>Cost of a bottle of 2.5 oz Millenium ($)</t>
  </si>
  <si>
    <t>Batch size (number of bottles)</t>
  </si>
  <si>
    <t>The cost to set up the assembly line for 2.5 ounce ID Millennium</t>
  </si>
  <si>
    <t>Overhead cost</t>
  </si>
  <si>
    <t>Raw material cost</t>
  </si>
  <si>
    <t>Number of operaters performing set up</t>
  </si>
  <si>
    <t>Information provided by Westridge manufacturing employees</t>
  </si>
  <si>
    <t>The time (sec) to set up assembly line for 2.5 ounce ID Millennium</t>
  </si>
  <si>
    <t>The time (min) to set up assembly line for 2.5 ounce ID Millennium</t>
  </si>
  <si>
    <t>The time (hours) to set up assembly line for 2.5 ounce ID Millennium</t>
  </si>
  <si>
    <t>Total Cost</t>
  </si>
  <si>
    <t>Labor cost</t>
  </si>
  <si>
    <t>Cost to wait ($)</t>
  </si>
  <si>
    <t>Number of bottles the customer would like to have made</t>
  </si>
  <si>
    <t>Inputted number by operator</t>
  </si>
  <si>
    <t>This is found by dividing the number of bottles in an order (B5) by the number of bottles in a case(C94)</t>
  </si>
  <si>
    <t>B109</t>
  </si>
  <si>
    <t>B108</t>
  </si>
  <si>
    <t>B107</t>
  </si>
  <si>
    <t>B106</t>
  </si>
  <si>
    <t>B105</t>
  </si>
  <si>
    <t>B104</t>
  </si>
  <si>
    <t>B103</t>
  </si>
  <si>
    <t>B87</t>
  </si>
  <si>
    <t xml:space="preserve">MSRP Cost of a bottle of 2.5 ounce ID Millennium </t>
  </si>
  <si>
    <t>C93</t>
  </si>
  <si>
    <t>C94</t>
  </si>
  <si>
    <t>C91</t>
  </si>
  <si>
    <t>Multiply the standard time a bottle spends on the conveyer before being uncapped (B91) by the number of bottles in a case (C94)</t>
  </si>
  <si>
    <t>Multiply the normal time a bottle spends on the conveyer before being uncapped (B80) by 1 plus the allowance (B69)</t>
  </si>
  <si>
    <t>C90</t>
  </si>
  <si>
    <t>Multiply the normal time (sec) to box a case of 2.5 ounce ID Millennium (C79) by 1 plus the allowance (B69)</t>
  </si>
  <si>
    <t>C89</t>
  </si>
  <si>
    <t>Equal to the standard time to cap a case of 2.5 ounce ID Millennium (C87)</t>
  </si>
  <si>
    <t>Equal to the standard time to cap a 2.5 ounce bottle of ID Millennium (B87)</t>
  </si>
  <si>
    <t>C88</t>
  </si>
  <si>
    <t>Multiply the standard time it takes to uncap a bottle of 2.5 ounce of ID Millennium (B88) by the number of bottles in a case (C94)</t>
  </si>
  <si>
    <t>Multiply the normal time to uncap a bottle (B77) by 1 plus the allowance (B69)</t>
  </si>
  <si>
    <t>C87</t>
  </si>
  <si>
    <t>Multiply the standard time it takes to cap a bottle of 2.5 ounce of ID Millennium (B87) by the number of bottles in a case (C94)</t>
  </si>
  <si>
    <t>Multiply the normal time to cap a bottle (B76) by 1 plus the allowance (B69)</t>
  </si>
  <si>
    <t>C86</t>
  </si>
  <si>
    <t>Multiply the standard time it takes to fill a bottle of 2.5 ounce of ID Millennium (B86) by the number of bottles in a case (C94)</t>
  </si>
  <si>
    <t>C85</t>
  </si>
  <si>
    <t>Multiply the standard time it takes to label a bottle of 2.5 ounce of ID Millennium (B85) by the number of bottles in a case (C94)</t>
  </si>
  <si>
    <t>Multiply the normal time to label a bottle (B74) by 1 plus the allowance (B69)</t>
  </si>
  <si>
    <t>Multiply the normal time to fill a bottle (B75) by 1 plus the allowance (B69)</t>
  </si>
  <si>
    <t>D84</t>
  </si>
  <si>
    <t>Multiply the normal time to set up the assembly line (D73) by 1 plus the allowance (B69)</t>
  </si>
  <si>
    <t>Divide 60 by the average number of boxes filled per minute (B100)</t>
  </si>
  <si>
    <t>Equal to normal time to cap a case of 2.5 ounce ID Millennium (C76)</t>
  </si>
  <si>
    <t>Equal to the normal time to cap a 2.5 ounce bottle of ID Millennium (B76)</t>
  </si>
  <si>
    <t>Multiply the normal time to uncap a 2.5 ounce bottle of ID Millennium (B77) by the number of bottles in a case (C94)</t>
  </si>
  <si>
    <t>Found by dividing 60 by the average number of bottles uncapped per minute (B99)</t>
  </si>
  <si>
    <t>C76</t>
  </si>
  <si>
    <t>Multiply the normal time to cap a 2.5 ounce bottle of ID Millennium (B76) by the number of bottles in a case (C94)</t>
  </si>
  <si>
    <t>Found by dividing 60 by the average number of bottles capped per minute (B98)</t>
  </si>
  <si>
    <t>C75</t>
  </si>
  <si>
    <t>Multiply the normal time to fill a 2.5 ounce bottle of ID Millennium (B75) by the number of bottles in a case (C94)</t>
  </si>
  <si>
    <t>Found by dividing 60 by the average number of bottles filled per minute (B97)</t>
  </si>
  <si>
    <t>C74</t>
  </si>
  <si>
    <t>Found by multiplying the normal time to label a 2.5 ounce bottle of ID Millennium (B74) by the number of bottles in a case (C94)</t>
  </si>
  <si>
    <t>B74</t>
  </si>
  <si>
    <t>Found by dividing 60 by the average number of bottles labeled per minute (B96)</t>
  </si>
  <si>
    <t>D73</t>
  </si>
  <si>
    <t>Sum cost of back label (B103), front label (B104), bottle (B105), cap (B106), product (B107), cap liner (B108), and box (B109) per case</t>
  </si>
  <si>
    <t>Multiply standard rate of $155 (D65) by the sq foot for manufacturing facility (C65)</t>
  </si>
  <si>
    <t>Divide overhead cost (B65) by (30 days/month * 24 hours/day) and multiply that by the number of hours per batch (D19)</t>
  </si>
  <si>
    <t>Raw material cost to make a batch of 2.5 ounce ID Millennium</t>
  </si>
  <si>
    <t>Multiply the number of bottles (B5) by the cost of raw materials per bottle (B66)</t>
  </si>
  <si>
    <t>Labor cost to make a batch of 2.5 ounce ID Millennium</t>
  </si>
  <si>
    <t>Multiply the number of employees working (B68) by the hourly wage of the employees (B67) and by the number of hours per batch (D19)</t>
  </si>
  <si>
    <t>B13</t>
  </si>
  <si>
    <t>Sum the overhead costs (B10), raw material costs (B11), and labor costs (B12)</t>
  </si>
  <si>
    <t>Found by multiplying the number of bottles in an order (B5) by the price of a bottle (C93)</t>
  </si>
  <si>
    <t>B16</t>
  </si>
  <si>
    <t>Found by subtracting the cost of the order (B13) by the revenue from the order (B15)</t>
  </si>
  <si>
    <t>B19</t>
  </si>
  <si>
    <t>C19</t>
  </si>
  <si>
    <t>D19</t>
  </si>
  <si>
    <t>Found by dividing the seconds required to make the order (B19) by 60 (converts seconds to minutes)</t>
  </si>
  <si>
    <t>Found by dividing the minutes required to make the order (C19) by 60 (converts minutes to hours)</t>
  </si>
  <si>
    <t>Multiply the number of bottles in the order (B5) by the sum of label time sec (B85), fill time sec (B86), cap time sec (B87), uncap time sec (B88), recap time sec (B89), wait time sec (B91).  Add this to the box time sec (C90) multiplied by the number of cases in the order (B8).  Add that to the set up time (D84)</t>
  </si>
  <si>
    <t>Multiply number of employees performing set up (B27) by the hours to perform set up (D28) by the average hourly wage of manufacturing employees (B67)</t>
  </si>
  <si>
    <t>Fixed time of 20 minutes plus allowances (D84)</t>
  </si>
  <si>
    <t>Set up time in seconds (B28) divided by 60 (seconds/minute)</t>
  </si>
  <si>
    <t>Set up time in minutes (C28) divided by 60 (minutes/hour)</t>
  </si>
  <si>
    <t>B52</t>
  </si>
  <si>
    <t>C52</t>
  </si>
  <si>
    <t>D52</t>
  </si>
  <si>
    <t>B54</t>
  </si>
  <si>
    <t>B55</t>
  </si>
  <si>
    <t>B56</t>
  </si>
  <si>
    <t>C56</t>
  </si>
  <si>
    <t>D56</t>
  </si>
  <si>
    <t>Cost to label the batch of 2.5 ounce ID Millennium</t>
  </si>
  <si>
    <t>Number of operaters labelling a batch</t>
  </si>
  <si>
    <t>Found by observing process</t>
  </si>
  <si>
    <t>Time to label (sec)</t>
  </si>
  <si>
    <t>Multiply the number of bottles in batch (B5) by the time (sec) to label a bottle (B85)</t>
  </si>
  <si>
    <t>Time to label (min)</t>
  </si>
  <si>
    <t>Divide the time to label sec (B32) by 60 (seconds/minute)</t>
  </si>
  <si>
    <t>Time to label (hour)</t>
  </si>
  <si>
    <t>Divide the time to label min (C32) by 60 (minutes/hour)</t>
  </si>
  <si>
    <t>Labor - Multiply hours to complete labelling (D32) by number of operators to label (B31) by the average hourly wage of employees (B67). Raw materials - multiply the number of bottles in batch (B5) by the sum of cost of front label (B104) and back label (B103). Sum labor costs and raw material costs.</t>
  </si>
  <si>
    <t>Cost to fill the batch of 2.5 ounce ID Millennium</t>
  </si>
  <si>
    <t>Number of operaters filling a batch</t>
  </si>
  <si>
    <t>Time to fill (sec)</t>
  </si>
  <si>
    <t>Multiply the number of bottles in batch (B5) by the time (sec) to fill a bottle (B86)</t>
  </si>
  <si>
    <t>Time to fill (min)</t>
  </si>
  <si>
    <t>Divide the time to fill sec (B36) by 60 (seconds/minute)</t>
  </si>
  <si>
    <t>Time to fill (hour)</t>
  </si>
  <si>
    <t>Divide the time to fill min (C36) by 60 (minutes/hour)</t>
  </si>
  <si>
    <t>Cost to cap the batch of 2.5 ounce ID Millennium</t>
  </si>
  <si>
    <t>Number of operaters capping a batch</t>
  </si>
  <si>
    <t>Time to cap (sec)</t>
  </si>
  <si>
    <t>Multiply the number of bottles in batch (B5) by the time (sec) to cap a bottle (B87)</t>
  </si>
  <si>
    <t>Time to cap (min)</t>
  </si>
  <si>
    <t>Time to cap (hour)</t>
  </si>
  <si>
    <t>Divide the time to cap sec (B40) by 60 (seconds/minute)</t>
  </si>
  <si>
    <t>Divide the time to cap min (C40) by 60 (minutes/hour)</t>
  </si>
  <si>
    <t>Labor - Multiply hours to complete filling (D36) by number of operators to fill (B35) by the average hourly wage of employees (B67). Raw materials - multiply the number of bottles in batch (B5) by the sum of the cost of bottle (B105) and cost of lubricant (B107). Sum labor costs and raw material costs.</t>
  </si>
  <si>
    <t>Cost to uncap the batch of 2.5 ounce ID Millennium</t>
  </si>
  <si>
    <t>Number of operaters uncapping a batch</t>
  </si>
  <si>
    <t>Time to uncap (sec)</t>
  </si>
  <si>
    <t>Multiply the number of bottles in batch (B5) by the time (sec) to uncap a bottle (B88)</t>
  </si>
  <si>
    <t>Time to uncap (min)</t>
  </si>
  <si>
    <t>Time to uncap (hour)</t>
  </si>
  <si>
    <t>Divide the time to uncap sec (B48) by 60 (seconds/minute)</t>
  </si>
  <si>
    <t>Divide the time to uncap min (C48) by 60 (minutes/hour)</t>
  </si>
  <si>
    <t>Cost to recap the batch of 2.5 ounce ID Millennium</t>
  </si>
  <si>
    <t>Labor - Multiply hours to complete recapping (D52) by number of operators to recap (B51) by the average hourly wage of employees (B67). Raw materials - multiply the number of bottles in batch (B5) by the sum of the cost of cap (B106). Sum labor costs and raw material costs.</t>
  </si>
  <si>
    <t>Number of operaters recapping a batch</t>
  </si>
  <si>
    <t>Time to recap (sec)</t>
  </si>
  <si>
    <t>Multiply the number of bottles in batch (B5) by the time (sec) to recap a bottle (B89)</t>
  </si>
  <si>
    <t>Time to recap (min)</t>
  </si>
  <si>
    <t>Divide the time to recap sec (B52) by 60 (seconds/minute)</t>
  </si>
  <si>
    <t>Time to recap (hour)</t>
  </si>
  <si>
    <t>Divide the time to recap min (C52) by 60 (minutes/hour)</t>
  </si>
  <si>
    <t>Cost to wait for batch of 2.5 ounce ID Millennium</t>
  </si>
  <si>
    <t>Labor - Multiply hours to complete capping (D48) by number of operators to fill (B47) by the average hourly wage of employees (B67). Raw materials -none for uncapping step. Sum labor costs and raw material costs.</t>
  </si>
  <si>
    <t>Labor - Multiply hours to complete waiting (D44) by number of operators waiting (B43) by the average hourly wage of employees (B67). Raw materials -none for waiting step. Sum labor costs and raw material costs.</t>
  </si>
  <si>
    <t>Number of operaters waiting for a batch</t>
  </si>
  <si>
    <t>Time to wait (sec)</t>
  </si>
  <si>
    <t>Multiply the number of bottles in batch (B5) by the time (sec) to wait for a bottle (B91)</t>
  </si>
  <si>
    <t>Time to wait (min)</t>
  </si>
  <si>
    <t>Divide the time to wait sec (B44) by 60 (seconds/minute)</t>
  </si>
  <si>
    <t>Time to wait (hour)</t>
  </si>
  <si>
    <t>Divide the time to wait min (C44) by 60 (minutes/hour)</t>
  </si>
  <si>
    <t>Cost to box the batch of 2.5 ounce ID Millennium</t>
  </si>
  <si>
    <t>Labor - Multiply hours to complete boxing (D56) by number of operators to box (B55) by the average hourly wage of employees (B67). Raw materials - multiply the number of boxes in batch (B8) by the sum of the cost of the box (B109). Sum labor costs and raw material costs.</t>
  </si>
  <si>
    <t>Number of operaters boxing a batch</t>
  </si>
  <si>
    <t>Time to box (sec)</t>
  </si>
  <si>
    <t>Multiply the number of boxes in batch (B8) by the time (sec) to box a batch (C90)</t>
  </si>
  <si>
    <t>Time to box (min)</t>
  </si>
  <si>
    <t>Divide the time to box sec (B56) by 60 (seconds/minute)</t>
  </si>
  <si>
    <t>Time to box (hour)</t>
  </si>
  <si>
    <t>Divide the time to box min (C56) by 60 (minutes/hour)</t>
  </si>
  <si>
    <t>Labor - Multiply hours to complete capping (D40) by number of operators to fill (B39) by the average hourly wage of employees (B67). Raw materials -multiply the number of bottles in batch (B5) by the cost of the cap liner (B108). Sum labor costs and raw material costs.</t>
  </si>
  <si>
    <t>Total cost of individual steps ($)</t>
  </si>
  <si>
    <t>Sum the cost to setup (B26), label (B30),  fill (B34), cap (B38), wait (B42), uncap (B46), recap (B50), and box (B54).</t>
  </si>
  <si>
    <t>Total hours to complete individual steps (hours)</t>
  </si>
  <si>
    <t>Sum the time to setup (D28), label (D32), fill (D36), cap (D40), wait (D44), uncap (D48), recap (D52), and box (D56).</t>
  </si>
  <si>
    <t>If Westridge wants to make 'x' amount of 2.8 oz. bottle of ID Moments how long will it take and how much will it cost?</t>
  </si>
</sst>
</file>

<file path=xl/styles.xml><?xml version="1.0" encoding="utf-8"?>
<styleSheet xmlns="http://schemas.openxmlformats.org/spreadsheetml/2006/main">
  <numFmts count="3">
    <numFmt numFmtId="8" formatCode="&quot;$&quot;#,##0.00_);[Red]\(&quot;$&quot;#,##0.00\)"/>
    <numFmt numFmtId="44" formatCode="_(&quot;$&quot;* #,##0.00_);_(&quot;$&quot;* \(#,##0.00\);_(&quot;$&quot;* &quot;-&quot;??_);_(@_)"/>
    <numFmt numFmtId="164" formatCode="&quot;$&quot;#,##0.00"/>
  </numFmts>
  <fonts count="8">
    <font>
      <sz val="11"/>
      <color theme="1"/>
      <name val="Calibri"/>
      <family val="2"/>
      <scheme val="minor"/>
    </font>
    <font>
      <b/>
      <sz val="11"/>
      <color rgb="FFFF0000"/>
      <name val="Calibri"/>
      <family val="2"/>
      <scheme val="minor"/>
    </font>
    <font>
      <sz val="11"/>
      <color theme="1"/>
      <name val="Calibri"/>
      <family val="2"/>
      <scheme val="minor"/>
    </font>
    <font>
      <b/>
      <sz val="11"/>
      <color theme="1"/>
      <name val="Calibri"/>
      <family val="2"/>
      <scheme val="minor"/>
    </font>
    <font>
      <sz val="11"/>
      <color rgb="FF00B0F0"/>
      <name val="Calibri"/>
      <family val="2"/>
      <scheme val="minor"/>
    </font>
    <font>
      <sz val="11"/>
      <name val="Calibri"/>
      <family val="2"/>
      <scheme val="minor"/>
    </font>
    <font>
      <b/>
      <sz val="11"/>
      <name val="Calibri"/>
      <family val="2"/>
      <scheme val="minor"/>
    </font>
    <font>
      <sz val="11"/>
      <color rgb="FF0070C0"/>
      <name val="Calibri"/>
      <family val="2"/>
      <scheme val="minor"/>
    </font>
  </fonts>
  <fills count="3">
    <fill>
      <patternFill patternType="none"/>
    </fill>
    <fill>
      <patternFill patternType="gray125"/>
    </fill>
    <fill>
      <patternFill patternType="solid">
        <fgColor rgb="FF00B0F0"/>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72">
    <xf numFmtId="0" fontId="0" fillId="0" borderId="0" xfId="0"/>
    <xf numFmtId="0" fontId="0" fillId="0" borderId="0" xfId="0"/>
    <xf numFmtId="0" fontId="0" fillId="0" borderId="0" xfId="0"/>
    <xf numFmtId="0" fontId="0" fillId="0" borderId="0" xfId="0"/>
    <xf numFmtId="0" fontId="0" fillId="0" borderId="2" xfId="0" applyBorder="1"/>
    <xf numFmtId="0" fontId="0" fillId="0" borderId="3" xfId="0" applyBorder="1"/>
    <xf numFmtId="2" fontId="0" fillId="0" borderId="0" xfId="0" applyNumberFormat="1" applyBorder="1"/>
    <xf numFmtId="2" fontId="0" fillId="0" borderId="5" xfId="0" applyNumberFormat="1" applyBorder="1"/>
    <xf numFmtId="164" fontId="0" fillId="0" borderId="0" xfId="0" applyNumberFormat="1" applyBorder="1"/>
    <xf numFmtId="0" fontId="0" fillId="0" borderId="7" xfId="0" applyBorder="1"/>
    <xf numFmtId="0" fontId="0" fillId="0" borderId="8" xfId="0" applyBorder="1"/>
    <xf numFmtId="0" fontId="0" fillId="0" borderId="0" xfId="0" applyBorder="1" applyAlignment="1">
      <alignment horizontal="center"/>
    </xf>
    <xf numFmtId="0" fontId="0" fillId="0" borderId="0" xfId="0" applyNumberFormat="1" applyBorder="1"/>
    <xf numFmtId="8" fontId="0" fillId="0" borderId="0" xfId="0" applyNumberFormat="1" applyBorder="1"/>
    <xf numFmtId="0" fontId="0" fillId="2" borderId="9" xfId="0" applyFill="1" applyBorder="1"/>
    <xf numFmtId="0" fontId="0" fillId="2" borderId="10" xfId="0" applyFill="1" applyBorder="1"/>
    <xf numFmtId="0" fontId="0" fillId="2" borderId="11" xfId="0" applyFill="1" applyBorder="1"/>
    <xf numFmtId="164" fontId="0" fillId="0" borderId="0" xfId="1" applyNumberFormat="1" applyFont="1" applyBorder="1"/>
    <xf numFmtId="0" fontId="0" fillId="0" borderId="4" xfId="0" applyFill="1" applyBorder="1"/>
    <xf numFmtId="0" fontId="4" fillId="2" borderId="10" xfId="0" applyFont="1" applyFill="1" applyBorder="1"/>
    <xf numFmtId="0" fontId="4" fillId="2" borderId="9" xfId="0" applyFont="1" applyFill="1" applyBorder="1"/>
    <xf numFmtId="0" fontId="4" fillId="2" borderId="11" xfId="0" applyFont="1" applyFill="1" applyBorder="1"/>
    <xf numFmtId="0" fontId="4" fillId="0" borderId="0" xfId="0" applyFont="1" applyFill="1" applyBorder="1"/>
    <xf numFmtId="0" fontId="4" fillId="0" borderId="5" xfId="0" applyFont="1" applyFill="1" applyBorder="1"/>
    <xf numFmtId="0" fontId="3" fillId="0" borderId="1" xfId="0" applyFont="1" applyBorder="1"/>
    <xf numFmtId="0" fontId="6" fillId="0" borderId="4" xfId="0" applyFont="1" applyFill="1" applyBorder="1"/>
    <xf numFmtId="0" fontId="5" fillId="0" borderId="4" xfId="0" applyFont="1" applyBorder="1"/>
    <xf numFmtId="0" fontId="5" fillId="0" borderId="0" xfId="0" applyFont="1" applyBorder="1"/>
    <xf numFmtId="0" fontId="1" fillId="2" borderId="10" xfId="0" applyFont="1" applyFill="1" applyBorder="1"/>
    <xf numFmtId="0" fontId="1" fillId="2" borderId="9" xfId="0" applyFont="1" applyFill="1" applyBorder="1"/>
    <xf numFmtId="0" fontId="1" fillId="0" borderId="0" xfId="0" applyFont="1" applyFill="1" applyBorder="1"/>
    <xf numFmtId="0" fontId="0" fillId="0" borderId="0" xfId="0" applyFill="1" applyBorder="1"/>
    <xf numFmtId="0" fontId="0" fillId="0" borderId="5" xfId="0" applyFill="1" applyBorder="1"/>
    <xf numFmtId="0" fontId="0" fillId="0" borderId="0" xfId="0" applyFill="1"/>
    <xf numFmtId="0" fontId="0" fillId="2" borderId="1" xfId="0" applyFill="1" applyBorder="1"/>
    <xf numFmtId="0" fontId="0" fillId="2" borderId="2" xfId="0" applyFill="1" applyBorder="1"/>
    <xf numFmtId="8" fontId="0" fillId="2" borderId="2" xfId="0" applyNumberFormat="1" applyFill="1" applyBorder="1"/>
    <xf numFmtId="0" fontId="0" fillId="2" borderId="3" xfId="0" applyFill="1" applyBorder="1"/>
    <xf numFmtId="0" fontId="0" fillId="0" borderId="2" xfId="0" applyFill="1" applyBorder="1"/>
    <xf numFmtId="8" fontId="0" fillId="0" borderId="2" xfId="0" applyNumberFormat="1" applyFill="1" applyBorder="1"/>
    <xf numFmtId="0" fontId="0" fillId="0" borderId="3" xfId="0" applyFill="1" applyBorder="1"/>
    <xf numFmtId="8" fontId="0" fillId="0" borderId="0" xfId="0" applyNumberFormat="1" applyFill="1" applyBorder="1"/>
    <xf numFmtId="0" fontId="3" fillId="0" borderId="4" xfId="0" applyFont="1" applyFill="1" applyBorder="1"/>
    <xf numFmtId="0" fontId="3" fillId="0" borderId="0" xfId="0" applyFont="1" applyFill="1" applyBorder="1"/>
    <xf numFmtId="0" fontId="3" fillId="0" borderId="5" xfId="0" applyFont="1" applyFill="1" applyBorder="1"/>
    <xf numFmtId="0" fontId="0" fillId="0" borderId="4" xfId="0" applyBorder="1"/>
    <xf numFmtId="0" fontId="0" fillId="0" borderId="0" xfId="0" applyBorder="1"/>
    <xf numFmtId="0" fontId="0" fillId="0" borderId="5" xfId="0" applyBorder="1"/>
    <xf numFmtId="0" fontId="0" fillId="0" borderId="4" xfId="0" applyBorder="1"/>
    <xf numFmtId="0" fontId="0" fillId="0" borderId="0" xfId="0" applyBorder="1"/>
    <xf numFmtId="0" fontId="0" fillId="0" borderId="5" xfId="0" applyBorder="1"/>
    <xf numFmtId="9" fontId="0" fillId="0" borderId="0" xfId="2" applyFont="1" applyBorder="1"/>
    <xf numFmtId="0" fontId="3" fillId="0" borderId="1" xfId="0" applyFont="1" applyFill="1" applyBorder="1"/>
    <xf numFmtId="0" fontId="0" fillId="0" borderId="6" xfId="0" applyFill="1" applyBorder="1"/>
    <xf numFmtId="164" fontId="0" fillId="0" borderId="0" xfId="1" applyNumberFormat="1" applyFont="1" applyFill="1" applyBorder="1"/>
    <xf numFmtId="164" fontId="0" fillId="0" borderId="7" xfId="1" applyNumberFormat="1" applyFont="1" applyBorder="1"/>
    <xf numFmtId="164" fontId="0" fillId="0" borderId="5" xfId="1" applyNumberFormat="1" applyFont="1" applyBorder="1"/>
    <xf numFmtId="164" fontId="0" fillId="0" borderId="5" xfId="0" applyNumberFormat="1" applyBorder="1"/>
    <xf numFmtId="2" fontId="0" fillId="0" borderId="0" xfId="0" applyNumberFormat="1"/>
    <xf numFmtId="164" fontId="0" fillId="0" borderId="0" xfId="0" applyNumberFormat="1"/>
    <xf numFmtId="0" fontId="0" fillId="0" borderId="0" xfId="0" applyAlignment="1">
      <alignment wrapText="1"/>
    </xf>
    <xf numFmtId="0" fontId="7" fillId="0" borderId="12" xfId="0" applyFont="1" applyBorder="1"/>
    <xf numFmtId="164" fontId="7" fillId="0" borderId="13" xfId="0" applyNumberFormat="1" applyFont="1" applyBorder="1"/>
    <xf numFmtId="0" fontId="7" fillId="0" borderId="14" xfId="0" applyFont="1" applyBorder="1"/>
    <xf numFmtId="2" fontId="7" fillId="0" borderId="15" xfId="0" applyNumberFormat="1" applyFont="1" applyBorder="1"/>
    <xf numFmtId="164" fontId="0" fillId="0" borderId="4" xfId="0" applyNumberFormat="1" applyBorder="1"/>
    <xf numFmtId="2" fontId="7" fillId="0" borderId="15" xfId="0" applyNumberFormat="1" applyFont="1" applyFill="1" applyBorder="1"/>
    <xf numFmtId="0" fontId="7" fillId="0" borderId="14" xfId="0" applyFont="1" applyFill="1" applyBorder="1"/>
    <xf numFmtId="2" fontId="0" fillId="0" borderId="0" xfId="0" applyNumberFormat="1" applyFill="1" applyBorder="1"/>
    <xf numFmtId="0" fontId="0" fillId="0" borderId="4" xfId="0" applyBorder="1"/>
    <xf numFmtId="0" fontId="0" fillId="0" borderId="0" xfId="0" applyBorder="1"/>
    <xf numFmtId="0" fontId="0" fillId="0" borderId="5" xfId="0" applyBorder="1"/>
  </cellXfs>
  <cellStyles count="3">
    <cellStyle name="Currency" xfId="1" builtinId="4"/>
    <cellStyle name="Normal" xfId="0" builtinId="0"/>
    <cellStyle name="Percent" xfId="2"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1:B206">
  <autoFilter ref="A1:B206"/>
  <tableColumns count="2">
    <tableColumn id="1" name="Column1" totalsRowLabel="Total"/>
    <tableColumn id="2" name="Column2" totalsRowFunction="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M109"/>
  <sheetViews>
    <sheetView zoomScale="65" zoomScaleNormal="65" workbookViewId="0">
      <selection activeCell="B6" sqref="B6"/>
    </sheetView>
  </sheetViews>
  <sheetFormatPr defaultRowHeight="15"/>
  <cols>
    <col min="1" max="1" width="53.5703125" bestFit="1" customWidth="1"/>
    <col min="2" max="2" width="21" style="1" bestFit="1" customWidth="1"/>
    <col min="3" max="3" width="30.28515625" bestFit="1" customWidth="1"/>
    <col min="4" max="4" width="24.85546875" bestFit="1" customWidth="1"/>
    <col min="6" max="6" width="20.28515625" bestFit="1" customWidth="1"/>
  </cols>
  <sheetData>
    <row r="1" spans="1:13">
      <c r="A1" s="24" t="s">
        <v>0</v>
      </c>
      <c r="B1" s="4"/>
      <c r="C1" s="4"/>
      <c r="D1" s="5"/>
    </row>
    <row r="2" spans="1:13">
      <c r="A2" s="69" t="s">
        <v>49</v>
      </c>
      <c r="B2" s="70"/>
      <c r="C2" s="70"/>
      <c r="D2" s="71"/>
      <c r="E2" s="3"/>
      <c r="F2" s="3"/>
      <c r="G2" s="3"/>
      <c r="H2" s="3"/>
      <c r="I2" s="3"/>
      <c r="J2" s="3"/>
      <c r="K2" s="3"/>
      <c r="L2" s="3"/>
      <c r="M2" s="3"/>
    </row>
    <row r="3" spans="1:13" s="3" customFormat="1">
      <c r="A3" s="19"/>
      <c r="B3" s="20"/>
      <c r="C3" s="20"/>
      <c r="D3" s="21"/>
    </row>
    <row r="4" spans="1:13" s="3" customFormat="1">
      <c r="A4" s="25" t="s">
        <v>16</v>
      </c>
      <c r="B4" s="22"/>
      <c r="C4" s="22"/>
      <c r="D4" s="23"/>
    </row>
    <row r="5" spans="1:13">
      <c r="A5" s="26" t="s">
        <v>203</v>
      </c>
      <c r="B5" s="27">
        <v>240</v>
      </c>
      <c r="C5" s="46"/>
      <c r="D5" s="47"/>
      <c r="E5" s="1"/>
      <c r="F5" s="1"/>
    </row>
    <row r="6" spans="1:13" s="3" customFormat="1">
      <c r="A6" s="28"/>
      <c r="B6" s="29"/>
      <c r="C6" s="14"/>
      <c r="D6" s="16"/>
    </row>
    <row r="7" spans="1:13" s="33" customFormat="1">
      <c r="A7" s="25" t="s">
        <v>17</v>
      </c>
      <c r="B7" s="30"/>
      <c r="C7" s="31"/>
      <c r="D7" s="32"/>
    </row>
    <row r="8" spans="1:13">
      <c r="A8" s="45" t="s">
        <v>198</v>
      </c>
      <c r="B8" s="46">
        <f>CEILING(B5/'2.5 oz. ID Millennium'!C94,1)</f>
        <v>10</v>
      </c>
      <c r="C8" s="46"/>
      <c r="D8" s="47"/>
      <c r="E8" s="1"/>
      <c r="F8" s="1"/>
    </row>
    <row r="9" spans="1:13" s="3" customFormat="1">
      <c r="A9" s="45"/>
      <c r="B9" s="46"/>
      <c r="C9" s="46"/>
      <c r="D9" s="47"/>
    </row>
    <row r="10" spans="1:13" s="3" customFormat="1">
      <c r="A10" s="3" t="s">
        <v>205</v>
      </c>
      <c r="B10" s="59">
        <f>B65/30/24*D19</f>
        <v>591.2202273380002</v>
      </c>
      <c r="C10" s="46"/>
      <c r="D10" s="47"/>
    </row>
    <row r="11" spans="1:13" s="3" customFormat="1">
      <c r="A11" s="3" t="s">
        <v>206</v>
      </c>
      <c r="B11" s="59">
        <f>B8*B66</f>
        <v>179.09440000000001</v>
      </c>
      <c r="C11" s="46"/>
      <c r="D11" s="47"/>
    </row>
    <row r="12" spans="1:13" s="3" customFormat="1" ht="15.75" thickBot="1">
      <c r="A12" s="3" t="s">
        <v>213</v>
      </c>
      <c r="B12" s="59">
        <f>D19*B67*B68</f>
        <v>77.043242837831357</v>
      </c>
      <c r="C12" s="46"/>
      <c r="D12" s="47"/>
      <c r="F12" s="59"/>
    </row>
    <row r="13" spans="1:13" ht="15.75" thickBot="1">
      <c r="A13" s="61" t="s">
        <v>212</v>
      </c>
      <c r="B13" s="62">
        <f>SUM(B10:B12)</f>
        <v>847.35787017583164</v>
      </c>
      <c r="D13" s="47"/>
    </row>
    <row r="14" spans="1:13" s="3" customFormat="1">
      <c r="C14" s="46"/>
      <c r="D14" s="47"/>
    </row>
    <row r="15" spans="1:13" s="3" customFormat="1">
      <c r="A15" s="45" t="s">
        <v>51</v>
      </c>
      <c r="B15" s="8">
        <f>B5*C93</f>
        <v>3537.6</v>
      </c>
      <c r="C15" s="46"/>
      <c r="D15" s="47"/>
    </row>
    <row r="16" spans="1:13">
      <c r="A16" s="45" t="s">
        <v>18</v>
      </c>
      <c r="B16" s="13">
        <f>B15-B13</f>
        <v>2690.2421298241684</v>
      </c>
      <c r="C16" s="46"/>
      <c r="D16" s="47"/>
    </row>
    <row r="17" spans="1:9" s="1" customFormat="1" ht="15.75" thickBot="1">
      <c r="A17" s="45"/>
      <c r="B17" s="46"/>
      <c r="C17" s="46"/>
      <c r="D17" s="47"/>
      <c r="E17"/>
    </row>
    <row r="18" spans="1:9" s="1" customFormat="1">
      <c r="A18" s="45"/>
      <c r="B18" s="46" t="s">
        <v>8</v>
      </c>
      <c r="C18" s="46" t="s">
        <v>9</v>
      </c>
      <c r="D18" s="67" t="s">
        <v>10</v>
      </c>
    </row>
    <row r="19" spans="1:9" s="1" customFormat="1" ht="15.75" thickBot="1">
      <c r="A19" s="45" t="s">
        <v>19</v>
      </c>
      <c r="B19" s="6">
        <f>D84+B5*(B86+B87+B88+B85+B89+B91)+B8*C90</f>
        <v>6591.151953806866</v>
      </c>
      <c r="C19" s="6">
        <f>B19/60</f>
        <v>109.85253256344777</v>
      </c>
      <c r="D19" s="66">
        <f>C19/60</f>
        <v>1.8308755427241294</v>
      </c>
      <c r="E19"/>
      <c r="F19" s="3"/>
      <c r="I19" s="3" t="s">
        <v>66</v>
      </c>
    </row>
    <row r="20" spans="1:9">
      <c r="A20" s="45"/>
      <c r="B20" s="46"/>
      <c r="C20" s="46"/>
      <c r="D20" s="47" t="s">
        <v>15</v>
      </c>
    </row>
    <row r="21" spans="1:9" s="3" customFormat="1">
      <c r="A21" s="15"/>
      <c r="B21" s="14"/>
      <c r="C21" s="14"/>
      <c r="D21" s="16"/>
    </row>
    <row r="22" spans="1:9" s="3" customFormat="1">
      <c r="A22" s="42" t="s">
        <v>48</v>
      </c>
      <c r="B22" s="43"/>
      <c r="C22" s="43"/>
      <c r="D22" s="44"/>
    </row>
    <row r="23" spans="1:9" s="3" customFormat="1">
      <c r="A23" s="45" t="s">
        <v>36</v>
      </c>
      <c r="B23" s="46"/>
      <c r="C23" s="12"/>
      <c r="D23" s="47"/>
    </row>
    <row r="24" spans="1:9" s="3" customFormat="1">
      <c r="A24" s="45"/>
      <c r="B24" s="46"/>
      <c r="C24" s="12"/>
      <c r="D24" s="47"/>
    </row>
    <row r="25" spans="1:9" s="3" customFormat="1">
      <c r="A25" s="45"/>
      <c r="B25" s="46" t="s">
        <v>8</v>
      </c>
      <c r="C25" s="12" t="s">
        <v>9</v>
      </c>
      <c r="D25" s="47" t="s">
        <v>10</v>
      </c>
    </row>
    <row r="26" spans="1:9" s="3" customFormat="1">
      <c r="A26" s="18" t="s">
        <v>20</v>
      </c>
      <c r="B26" s="8">
        <f>B27*B67*D28</f>
        <v>15.429333333333332</v>
      </c>
      <c r="C26" s="12"/>
      <c r="D26" s="47"/>
    </row>
    <row r="27" spans="1:9" s="3" customFormat="1">
      <c r="A27" s="18" t="s">
        <v>13</v>
      </c>
      <c r="B27" s="46">
        <v>4</v>
      </c>
      <c r="C27" s="12"/>
      <c r="D27" s="47"/>
      <c r="G27" s="3" t="s">
        <v>66</v>
      </c>
    </row>
    <row r="28" spans="1:9" s="3" customFormat="1">
      <c r="A28" s="18" t="s">
        <v>21</v>
      </c>
      <c r="B28" s="46">
        <f>D84</f>
        <v>1320</v>
      </c>
      <c r="C28" s="12">
        <f>B28/60</f>
        <v>22</v>
      </c>
      <c r="D28" s="7">
        <f>C28/60</f>
        <v>0.36666666666666664</v>
      </c>
      <c r="E28" s="58"/>
    </row>
    <row r="29" spans="1:9" s="3" customFormat="1">
      <c r="A29" s="18"/>
      <c r="B29" s="46"/>
      <c r="C29" s="12"/>
      <c r="D29" s="7"/>
    </row>
    <row r="30" spans="1:9" s="3" customFormat="1">
      <c r="A30" s="18" t="s">
        <v>22</v>
      </c>
      <c r="B30" s="8">
        <f>B31*B67*D32+B5*(B103+B104)</f>
        <v>15.528713687600645</v>
      </c>
      <c r="C30" s="12"/>
      <c r="D30" s="7"/>
    </row>
    <row r="31" spans="1:9" s="3" customFormat="1">
      <c r="A31" s="18" t="s">
        <v>13</v>
      </c>
      <c r="B31" s="46">
        <v>2</v>
      </c>
      <c r="C31" s="12"/>
      <c r="D31" s="7"/>
    </row>
    <row r="32" spans="1:9" s="3" customFormat="1">
      <c r="A32" s="18" t="s">
        <v>23</v>
      </c>
      <c r="B32" s="6">
        <f>B5*B85</f>
        <v>510.14492753623193</v>
      </c>
      <c r="C32" s="6">
        <f>B32/60</f>
        <v>8.5024154589371985</v>
      </c>
      <c r="D32" s="7">
        <f>C32/60</f>
        <v>0.14170692431561999</v>
      </c>
    </row>
    <row r="33" spans="1:9" s="3" customFormat="1">
      <c r="A33" s="18"/>
      <c r="B33" s="46"/>
      <c r="C33" s="12"/>
      <c r="D33" s="7"/>
    </row>
    <row r="34" spans="1:9" s="3" customFormat="1">
      <c r="A34" s="18" t="s">
        <v>24</v>
      </c>
      <c r="B34" s="8">
        <f>B35*B67*D36+B5*(B107+B105)</f>
        <v>148.83772885097841</v>
      </c>
      <c r="C34" s="12"/>
      <c r="D34" s="47"/>
    </row>
    <row r="35" spans="1:9" s="3" customFormat="1">
      <c r="A35" s="18" t="s">
        <v>13</v>
      </c>
      <c r="B35" s="46">
        <v>1</v>
      </c>
      <c r="C35" s="12"/>
      <c r="D35" s="47"/>
    </row>
    <row r="36" spans="1:9" s="3" customFormat="1">
      <c r="A36" s="18" t="s">
        <v>25</v>
      </c>
      <c r="B36" s="6">
        <f>B5*B86</f>
        <v>794.78173607626695</v>
      </c>
      <c r="C36" s="6">
        <f>B36/60</f>
        <v>13.246362267937782</v>
      </c>
      <c r="D36" s="7">
        <f>C36/60</f>
        <v>0.22077270446562969</v>
      </c>
    </row>
    <row r="37" spans="1:9">
      <c r="A37" s="45"/>
      <c r="B37" s="46"/>
      <c r="C37" s="12"/>
      <c r="D37" s="47"/>
    </row>
    <row r="38" spans="1:9" s="3" customFormat="1">
      <c r="A38" s="45" t="s">
        <v>26</v>
      </c>
      <c r="B38" s="8">
        <f>B39*B67*D40+B5*B108</f>
        <v>5.9839055118110238</v>
      </c>
      <c r="C38" s="12"/>
      <c r="D38" s="47"/>
    </row>
    <row r="39" spans="1:9" s="3" customFormat="1">
      <c r="A39" s="18" t="s">
        <v>13</v>
      </c>
      <c r="B39" s="46">
        <v>2</v>
      </c>
      <c r="C39" s="12"/>
      <c r="D39" s="47"/>
    </row>
    <row r="40" spans="1:9" s="3" customFormat="1">
      <c r="A40" s="18" t="s">
        <v>27</v>
      </c>
      <c r="B40" s="6">
        <f>B87*B5</f>
        <v>779.52755905511822</v>
      </c>
      <c r="C40" s="6">
        <f>B40/60</f>
        <v>12.99212598425197</v>
      </c>
      <c r="D40" s="7">
        <f>C40/60</f>
        <v>0.21653543307086617</v>
      </c>
    </row>
    <row r="41" spans="1:9" s="3" customFormat="1">
      <c r="A41" s="18"/>
      <c r="B41" s="6"/>
      <c r="C41" s="6"/>
      <c r="D41" s="7"/>
    </row>
    <row r="42" spans="1:9" s="3" customFormat="1">
      <c r="A42" s="45" t="s">
        <v>214</v>
      </c>
      <c r="B42" s="8">
        <f>B43*D44*B67</f>
        <v>3.8573333333333331</v>
      </c>
      <c r="C42" s="6"/>
      <c r="D42" s="7"/>
    </row>
    <row r="43" spans="1:9" s="3" customFormat="1">
      <c r="A43" s="45" t="s">
        <v>199</v>
      </c>
      <c r="B43" s="3">
        <v>1</v>
      </c>
      <c r="D43" s="47"/>
    </row>
    <row r="44" spans="1:9" s="3" customFormat="1">
      <c r="A44" s="45" t="s">
        <v>200</v>
      </c>
      <c r="B44" s="3">
        <f>B5*B91</f>
        <v>1320</v>
      </c>
      <c r="C44" s="3">
        <f>B44/60</f>
        <v>22</v>
      </c>
      <c r="D44" s="7">
        <f>C44/60</f>
        <v>0.36666666666666664</v>
      </c>
    </row>
    <row r="45" spans="1:9" s="3" customFormat="1">
      <c r="A45" s="18"/>
      <c r="B45" s="6"/>
      <c r="C45" s="6"/>
      <c r="D45" s="7"/>
    </row>
    <row r="46" spans="1:9" s="3" customFormat="1">
      <c r="A46" s="18" t="s">
        <v>28</v>
      </c>
      <c r="B46" s="17">
        <f>B47*B67*D48</f>
        <v>2.2126195028680686</v>
      </c>
      <c r="C46" s="6"/>
      <c r="D46" s="7"/>
    </row>
    <row r="47" spans="1:9" s="3" customFormat="1">
      <c r="A47" s="18" t="s">
        <v>13</v>
      </c>
      <c r="B47" s="12">
        <v>1</v>
      </c>
      <c r="C47" s="6"/>
      <c r="D47" s="7"/>
      <c r="I47" s="58"/>
    </row>
    <row r="48" spans="1:9" s="3" customFormat="1">
      <c r="A48" s="18" t="s">
        <v>29</v>
      </c>
      <c r="B48" s="6">
        <f>B5*B88</f>
        <v>757.17017208413006</v>
      </c>
      <c r="C48" s="6">
        <f>B48/60</f>
        <v>12.619502868068833</v>
      </c>
      <c r="D48" s="7">
        <f>C48/60</f>
        <v>0.21032504780114722</v>
      </c>
    </row>
    <row r="49" spans="1:6" s="3" customFormat="1">
      <c r="A49" s="18"/>
      <c r="B49" s="6"/>
      <c r="C49" s="6"/>
      <c r="D49" s="7"/>
    </row>
    <row r="50" spans="1:6" s="3" customFormat="1">
      <c r="A50" s="18" t="s">
        <v>30</v>
      </c>
      <c r="B50" s="8">
        <f>B51*B67*D52+B5*B106</f>
        <v>20.359905511811025</v>
      </c>
      <c r="C50" s="6"/>
      <c r="D50" s="7"/>
    </row>
    <row r="51" spans="1:6" s="3" customFormat="1">
      <c r="A51" s="18" t="s">
        <v>13</v>
      </c>
      <c r="B51" s="12">
        <v>2</v>
      </c>
      <c r="C51" s="6"/>
      <c r="D51" s="7"/>
    </row>
    <row r="52" spans="1:6" s="3" customFormat="1">
      <c r="A52" s="18" t="s">
        <v>31</v>
      </c>
      <c r="B52" s="6">
        <f>B5*B89</f>
        <v>779.52755905511822</v>
      </c>
      <c r="C52" s="6">
        <f>B52/60</f>
        <v>12.99212598425197</v>
      </c>
      <c r="D52" s="7">
        <f>C52/60</f>
        <v>0.21653543307086617</v>
      </c>
    </row>
    <row r="53" spans="1:6" s="3" customFormat="1">
      <c r="A53" s="18"/>
      <c r="B53" s="6"/>
      <c r="C53" s="6"/>
      <c r="D53" s="7"/>
    </row>
    <row r="54" spans="1:6" s="3" customFormat="1">
      <c r="A54" s="18" t="s">
        <v>32</v>
      </c>
      <c r="B54" s="17">
        <f>B55*B67*D56+B8*B109</f>
        <v>3.7643333333333335</v>
      </c>
      <c r="C54" s="6"/>
      <c r="D54" s="7"/>
    </row>
    <row r="55" spans="1:6" s="3" customFormat="1">
      <c r="A55" s="18" t="s">
        <v>13</v>
      </c>
      <c r="B55" s="12">
        <v>1</v>
      </c>
      <c r="C55" s="6"/>
      <c r="D55" s="7"/>
    </row>
    <row r="56" spans="1:6" s="3" customFormat="1">
      <c r="A56" s="18" t="s">
        <v>33</v>
      </c>
      <c r="B56" s="12">
        <f>B8*C90</f>
        <v>330</v>
      </c>
      <c r="C56" s="12">
        <f>B56/60</f>
        <v>5.5</v>
      </c>
      <c r="D56" s="7">
        <f>C56/60</f>
        <v>9.166666666666666E-2</v>
      </c>
    </row>
    <row r="57" spans="1:6" s="3" customFormat="1">
      <c r="A57" s="18"/>
      <c r="B57" s="12"/>
      <c r="C57" s="12"/>
      <c r="D57" s="7"/>
    </row>
    <row r="58" spans="1:6" s="3" customFormat="1">
      <c r="A58" s="18" t="s">
        <v>34</v>
      </c>
      <c r="B58" s="8">
        <f>B26+B34+B38+B46+B50+B54</f>
        <v>196.5878260441352</v>
      </c>
      <c r="C58" s="8"/>
      <c r="D58" s="57"/>
    </row>
    <row r="59" spans="1:6" s="3" customFormat="1">
      <c r="A59" s="18" t="s">
        <v>14</v>
      </c>
      <c r="B59" s="68">
        <f>D56+D52+D48+D44+D40+D36+D32+D28</f>
        <v>1.8308755427241292</v>
      </c>
      <c r="C59" s="70" t="s">
        <v>15</v>
      </c>
      <c r="D59" s="71"/>
    </row>
    <row r="60" spans="1:6" s="3" customFormat="1">
      <c r="A60" s="18"/>
      <c r="B60" s="46"/>
      <c r="C60" s="46"/>
      <c r="D60" s="47"/>
    </row>
    <row r="61" spans="1:6" s="3" customFormat="1">
      <c r="A61" s="34"/>
      <c r="B61" s="35"/>
      <c r="C61" s="36"/>
      <c r="D61" s="37"/>
    </row>
    <row r="62" spans="1:6" s="31" customFormat="1">
      <c r="A62" s="52" t="s">
        <v>35</v>
      </c>
      <c r="B62" s="38"/>
      <c r="C62" s="39"/>
      <c r="D62" s="40"/>
    </row>
    <row r="63" spans="1:6" s="31" customFormat="1">
      <c r="A63" s="18"/>
      <c r="C63" s="41"/>
      <c r="D63" s="32"/>
    </row>
    <row r="64" spans="1:6" s="1" customFormat="1">
      <c r="A64" s="45" t="s">
        <v>37</v>
      </c>
      <c r="B64" s="46"/>
      <c r="C64" s="46" t="s">
        <v>193</v>
      </c>
      <c r="D64" s="47" t="s">
        <v>194</v>
      </c>
      <c r="E64"/>
      <c r="F64"/>
    </row>
    <row r="65" spans="1:6" s="1" customFormat="1">
      <c r="A65" s="45" t="s">
        <v>195</v>
      </c>
      <c r="B65" s="8">
        <f>C65*D65</f>
        <v>232500</v>
      </c>
      <c r="C65" s="46">
        <v>1500</v>
      </c>
      <c r="D65" s="56">
        <v>155</v>
      </c>
      <c r="E65"/>
      <c r="F65" s="59"/>
    </row>
    <row r="66" spans="1:6">
      <c r="A66" s="45" t="s">
        <v>172</v>
      </c>
      <c r="B66" s="8">
        <f>SUM(B103:B108)*24+B109</f>
        <v>17.90944</v>
      </c>
      <c r="C66" s="46"/>
      <c r="D66" s="47"/>
    </row>
    <row r="67" spans="1:6">
      <c r="A67" s="45" t="s">
        <v>12</v>
      </c>
      <c r="B67" s="8">
        <v>10.52</v>
      </c>
      <c r="C67" s="46"/>
      <c r="D67" s="47"/>
    </row>
    <row r="68" spans="1:6">
      <c r="A68" s="45" t="s">
        <v>50</v>
      </c>
      <c r="B68" s="6">
        <v>4</v>
      </c>
      <c r="C68" s="46"/>
      <c r="D68" s="47"/>
    </row>
    <row r="69" spans="1:6" s="3" customFormat="1">
      <c r="A69" s="45" t="s">
        <v>123</v>
      </c>
      <c r="B69" s="51">
        <v>0.1</v>
      </c>
      <c r="C69" s="46"/>
      <c r="D69" s="47"/>
    </row>
    <row r="70" spans="1:6" s="3" customFormat="1">
      <c r="A70" s="45"/>
      <c r="B70" s="51"/>
      <c r="C70" s="46"/>
      <c r="D70" s="47"/>
    </row>
    <row r="71" spans="1:6" s="3" customFormat="1">
      <c r="A71" s="45" t="s">
        <v>124</v>
      </c>
      <c r="B71" s="51"/>
      <c r="C71" s="46"/>
      <c r="D71" s="47"/>
    </row>
    <row r="72" spans="1:6">
      <c r="A72" s="45"/>
      <c r="B72" s="46" t="s">
        <v>5</v>
      </c>
      <c r="C72" s="11" t="s">
        <v>6</v>
      </c>
      <c r="D72" s="47" t="s">
        <v>11</v>
      </c>
    </row>
    <row r="73" spans="1:6">
      <c r="A73" s="45" t="s">
        <v>45</v>
      </c>
      <c r="B73" s="46"/>
      <c r="C73" s="11"/>
      <c r="D73" s="47">
        <f>IF(B5=0,0,20*60)</f>
        <v>1200</v>
      </c>
    </row>
    <row r="74" spans="1:6">
      <c r="A74" s="45" t="s">
        <v>41</v>
      </c>
      <c r="B74" s="6">
        <f>60/B96</f>
        <v>1.932367149758454</v>
      </c>
      <c r="C74" s="6">
        <f>B74*$C$94</f>
        <v>46.376811594202898</v>
      </c>
      <c r="D74" s="47"/>
    </row>
    <row r="75" spans="1:6">
      <c r="A75" s="45" t="s">
        <v>44</v>
      </c>
      <c r="B75" s="6">
        <f>60/B97</f>
        <v>3.0105368790767688</v>
      </c>
      <c r="C75" s="6">
        <f>B75*$C$94</f>
        <v>72.252885097842452</v>
      </c>
      <c r="D75" s="47"/>
      <c r="E75" s="2"/>
    </row>
    <row r="76" spans="1:6">
      <c r="A76" s="45" t="s">
        <v>43</v>
      </c>
      <c r="B76" s="6">
        <f>60/B98</f>
        <v>2.9527559055118111</v>
      </c>
      <c r="C76" s="6">
        <f>B76*$C$94</f>
        <v>70.866141732283467</v>
      </c>
      <c r="D76" s="47"/>
    </row>
    <row r="77" spans="1:6">
      <c r="A77" s="45" t="s">
        <v>42</v>
      </c>
      <c r="B77" s="6">
        <f>60/B99</f>
        <v>2.8680688336520075</v>
      </c>
      <c r="C77" s="6">
        <f>B77*$C$94</f>
        <v>68.833652007648183</v>
      </c>
      <c r="D77" s="47"/>
    </row>
    <row r="78" spans="1:6">
      <c r="A78" s="45" t="s">
        <v>40</v>
      </c>
      <c r="B78" s="6">
        <f>B76</f>
        <v>2.9527559055118111</v>
      </c>
      <c r="C78" s="6">
        <f>B78*$C$94</f>
        <v>70.866141732283467</v>
      </c>
      <c r="D78" s="47"/>
    </row>
    <row r="79" spans="1:6">
      <c r="A79" s="45" t="s">
        <v>39</v>
      </c>
      <c r="B79" s="6" t="s">
        <v>7</v>
      </c>
      <c r="C79" s="46">
        <f>60/B100</f>
        <v>30</v>
      </c>
      <c r="D79" s="47"/>
      <c r="E79" s="2"/>
    </row>
    <row r="80" spans="1:6">
      <c r="A80" s="45" t="s">
        <v>38</v>
      </c>
      <c r="B80" s="46">
        <v>5</v>
      </c>
      <c r="C80" s="12">
        <f>B80*C94</f>
        <v>120</v>
      </c>
      <c r="D80" s="47"/>
    </row>
    <row r="81" spans="1:4">
      <c r="A81" s="45"/>
      <c r="B81" s="46"/>
      <c r="C81" s="11"/>
      <c r="D81" s="47"/>
    </row>
    <row r="82" spans="1:4" s="3" customFormat="1">
      <c r="A82" s="45" t="s">
        <v>125</v>
      </c>
      <c r="B82" s="46"/>
      <c r="C82" s="11"/>
      <c r="D82" s="47"/>
    </row>
    <row r="83" spans="1:4">
      <c r="A83" s="45"/>
      <c r="B83" s="46" t="s">
        <v>5</v>
      </c>
      <c r="C83" s="11" t="s">
        <v>6</v>
      </c>
      <c r="D83" s="47" t="s">
        <v>11</v>
      </c>
    </row>
    <row r="84" spans="1:4">
      <c r="A84" s="45" t="s">
        <v>45</v>
      </c>
      <c r="B84" s="46"/>
      <c r="C84" s="11"/>
      <c r="D84" s="47">
        <f>D73*(1+B69)</f>
        <v>1320</v>
      </c>
    </row>
    <row r="85" spans="1:4">
      <c r="A85" s="45" t="s">
        <v>41</v>
      </c>
      <c r="B85" s="6">
        <f>B74*(1+$B$69)</f>
        <v>2.1256038647342996</v>
      </c>
      <c r="C85" s="6">
        <f>B85*$C$94</f>
        <v>51.014492753623188</v>
      </c>
      <c r="D85" s="47"/>
    </row>
    <row r="86" spans="1:4">
      <c r="A86" s="45" t="s">
        <v>44</v>
      </c>
      <c r="B86" s="6">
        <f>B75*(1+$B$69)</f>
        <v>3.3115905669844459</v>
      </c>
      <c r="C86" s="6">
        <f t="shared" ref="C86:C89" si="0">B86*$C$94</f>
        <v>79.478173607626701</v>
      </c>
      <c r="D86" s="47"/>
    </row>
    <row r="87" spans="1:4">
      <c r="A87" s="45" t="s">
        <v>43</v>
      </c>
      <c r="B87" s="6">
        <f>B76*(1+$B$69)</f>
        <v>3.2480314960629926</v>
      </c>
      <c r="C87" s="6">
        <f t="shared" si="0"/>
        <v>77.952755905511822</v>
      </c>
      <c r="D87" s="47"/>
    </row>
    <row r="88" spans="1:4">
      <c r="A88" s="45" t="s">
        <v>42</v>
      </c>
      <c r="B88" s="6">
        <f>B77*(1+$B$69)</f>
        <v>3.1548757170172084</v>
      </c>
      <c r="C88" s="6">
        <f t="shared" si="0"/>
        <v>75.717017208412997</v>
      </c>
      <c r="D88" s="47"/>
    </row>
    <row r="89" spans="1:4">
      <c r="A89" s="45" t="s">
        <v>40</v>
      </c>
      <c r="B89" s="6">
        <f t="shared" ref="B89" si="1">B78*(1+$B$69)</f>
        <v>3.2480314960629926</v>
      </c>
      <c r="C89" s="6">
        <f t="shared" si="0"/>
        <v>77.952755905511822</v>
      </c>
      <c r="D89" s="47"/>
    </row>
    <row r="90" spans="1:4">
      <c r="A90" s="45" t="s">
        <v>39</v>
      </c>
      <c r="B90" s="46" t="s">
        <v>7</v>
      </c>
      <c r="C90" s="46">
        <f>C79*(1+B69)</f>
        <v>33</v>
      </c>
      <c r="D90" s="47"/>
    </row>
    <row r="91" spans="1:4">
      <c r="A91" s="45" t="s">
        <v>38</v>
      </c>
      <c r="B91" s="46">
        <f>B80*(1+B69)</f>
        <v>5.5</v>
      </c>
      <c r="C91" s="12">
        <f>B91*C94</f>
        <v>132</v>
      </c>
      <c r="D91" s="47"/>
    </row>
    <row r="92" spans="1:4">
      <c r="A92" s="45"/>
      <c r="B92" s="46"/>
      <c r="C92" s="46"/>
      <c r="D92" s="47"/>
    </row>
    <row r="93" spans="1:4">
      <c r="A93" s="45" t="s">
        <v>202</v>
      </c>
      <c r="B93" s="46"/>
      <c r="C93" s="13">
        <v>14.74</v>
      </c>
      <c r="D93" s="47"/>
    </row>
    <row r="94" spans="1:4">
      <c r="A94" s="45" t="s">
        <v>1</v>
      </c>
      <c r="B94" s="46"/>
      <c r="C94" s="46">
        <v>24</v>
      </c>
      <c r="D94" s="47"/>
    </row>
    <row r="95" spans="1:4">
      <c r="A95" s="45"/>
      <c r="B95" s="46"/>
      <c r="C95" s="46"/>
      <c r="D95" s="47"/>
    </row>
    <row r="96" spans="1:4">
      <c r="A96" s="45" t="s">
        <v>4</v>
      </c>
      <c r="B96" s="46">
        <v>31.05</v>
      </c>
      <c r="C96" s="46"/>
      <c r="D96" s="47"/>
    </row>
    <row r="97" spans="1:4">
      <c r="A97" s="45" t="s">
        <v>46</v>
      </c>
      <c r="B97" s="46">
        <v>19.93</v>
      </c>
      <c r="C97" s="46"/>
      <c r="D97" s="47"/>
    </row>
    <row r="98" spans="1:4">
      <c r="A98" s="45" t="s">
        <v>47</v>
      </c>
      <c r="B98" s="46">
        <v>20.32</v>
      </c>
      <c r="C98" s="46"/>
      <c r="D98" s="47"/>
    </row>
    <row r="99" spans="1:4">
      <c r="A99" s="45" t="s">
        <v>2</v>
      </c>
      <c r="B99" s="46">
        <v>20.92</v>
      </c>
      <c r="C99" s="46"/>
      <c r="D99" s="47"/>
    </row>
    <row r="100" spans="1:4">
      <c r="A100" s="45" t="s">
        <v>3</v>
      </c>
      <c r="B100" s="46">
        <v>2</v>
      </c>
      <c r="C100" s="46"/>
      <c r="D100" s="47"/>
    </row>
    <row r="101" spans="1:4" s="3" customFormat="1">
      <c r="A101" s="45"/>
      <c r="B101" s="46"/>
      <c r="C101" s="46"/>
      <c r="D101" s="47"/>
    </row>
    <row r="102" spans="1:4" s="3" customFormat="1">
      <c r="A102" s="45" t="s">
        <v>201</v>
      </c>
      <c r="B102" s="46"/>
      <c r="C102" s="46"/>
      <c r="D102" s="47"/>
    </row>
    <row r="103" spans="1:4" s="3" customFormat="1">
      <c r="A103" s="45" t="s">
        <v>154</v>
      </c>
      <c r="B103" s="54">
        <v>2.3709999999999998E-2</v>
      </c>
      <c r="C103" s="46"/>
      <c r="D103" s="47"/>
    </row>
    <row r="104" spans="1:4">
      <c r="A104" s="45" t="s">
        <v>155</v>
      </c>
      <c r="B104" s="17">
        <v>2.8570000000000002E-2</v>
      </c>
      <c r="C104" s="46"/>
      <c r="D104" s="47"/>
    </row>
    <row r="105" spans="1:4" s="3" customFormat="1">
      <c r="A105" s="18" t="s">
        <v>156</v>
      </c>
      <c r="B105" s="17">
        <v>9.9180000000000004E-2</v>
      </c>
      <c r="C105" s="46"/>
      <c r="D105" s="47"/>
    </row>
    <row r="106" spans="1:4">
      <c r="A106" s="18" t="s">
        <v>157</v>
      </c>
      <c r="B106" s="17">
        <v>6.5850000000000006E-2</v>
      </c>
      <c r="C106" s="46"/>
      <c r="D106" s="47"/>
    </row>
    <row r="107" spans="1:4">
      <c r="A107" s="18" t="s">
        <v>158</v>
      </c>
      <c r="B107" s="17">
        <v>0.51129999999999998</v>
      </c>
      <c r="C107" s="46"/>
      <c r="D107" s="47"/>
    </row>
    <row r="108" spans="1:4">
      <c r="A108" s="18" t="s">
        <v>159</v>
      </c>
      <c r="B108" s="17">
        <v>5.9500000000000004E-3</v>
      </c>
      <c r="C108" s="46"/>
      <c r="D108" s="47"/>
    </row>
    <row r="109" spans="1:4">
      <c r="A109" s="53" t="s">
        <v>160</v>
      </c>
      <c r="B109" s="55">
        <v>0.28000000000000003</v>
      </c>
      <c r="C109" s="9"/>
      <c r="D109" s="10"/>
    </row>
  </sheetData>
  <mergeCells count="2">
    <mergeCell ref="A2:D2"/>
    <mergeCell ref="C59:D5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B206"/>
  <sheetViews>
    <sheetView topLeftCell="A48" zoomScale="90" zoomScaleNormal="90" workbookViewId="0">
      <selection activeCell="B108" sqref="B108"/>
    </sheetView>
  </sheetViews>
  <sheetFormatPr defaultRowHeight="15"/>
  <cols>
    <col min="1" max="1" width="14.85546875" bestFit="1" customWidth="1"/>
    <col min="2" max="2" width="117" bestFit="1" customWidth="1"/>
  </cols>
  <sheetData>
    <row r="1" spans="1:2">
      <c r="A1" s="3" t="s">
        <v>188</v>
      </c>
      <c r="B1" s="3" t="s">
        <v>189</v>
      </c>
    </row>
    <row r="2" spans="1:2">
      <c r="A2" s="3" t="s">
        <v>52</v>
      </c>
    </row>
    <row r="3" spans="1:2">
      <c r="A3" s="3" t="s">
        <v>53</v>
      </c>
      <c r="B3" s="3" t="s">
        <v>215</v>
      </c>
    </row>
    <row r="4" spans="1:2" s="3" customFormat="1">
      <c r="B4" s="3" t="s">
        <v>216</v>
      </c>
    </row>
    <row r="5" spans="1:2">
      <c r="A5" s="3" t="s">
        <v>54</v>
      </c>
      <c r="B5" s="3" t="s">
        <v>55</v>
      </c>
    </row>
    <row r="6" spans="1:2">
      <c r="B6" s="3" t="s">
        <v>217</v>
      </c>
    </row>
    <row r="7" spans="1:2" s="3" customFormat="1">
      <c r="A7" s="3" t="s">
        <v>56</v>
      </c>
      <c r="B7" s="3" t="s">
        <v>192</v>
      </c>
    </row>
    <row r="8" spans="1:2" s="3" customFormat="1">
      <c r="B8" s="3" t="s">
        <v>269</v>
      </c>
    </row>
    <row r="9" spans="1:2" s="3" customFormat="1">
      <c r="A9" s="3" t="s">
        <v>57</v>
      </c>
      <c r="B9" s="3" t="s">
        <v>270</v>
      </c>
    </row>
    <row r="10" spans="1:2" s="3" customFormat="1">
      <c r="B10" s="3" t="s">
        <v>271</v>
      </c>
    </row>
    <row r="11" spans="1:2" s="3" customFormat="1">
      <c r="A11" s="3" t="s">
        <v>59</v>
      </c>
      <c r="B11" s="3" t="s">
        <v>272</v>
      </c>
    </row>
    <row r="12" spans="1:2" s="3" customFormat="1" ht="30">
      <c r="B12" s="60" t="s">
        <v>273</v>
      </c>
    </row>
    <row r="13" spans="1:2">
      <c r="A13" s="3" t="s">
        <v>274</v>
      </c>
      <c r="B13" s="3" t="s">
        <v>62</v>
      </c>
    </row>
    <row r="14" spans="1:2">
      <c r="B14" s="60" t="s">
        <v>275</v>
      </c>
    </row>
    <row r="15" spans="1:2">
      <c r="A15" s="3" t="s">
        <v>61</v>
      </c>
      <c r="B15" s="3" t="s">
        <v>58</v>
      </c>
    </row>
    <row r="16" spans="1:2">
      <c r="B16" s="3" t="s">
        <v>276</v>
      </c>
    </row>
    <row r="17" spans="1:2">
      <c r="A17" s="3" t="s">
        <v>277</v>
      </c>
      <c r="B17" s="3" t="s">
        <v>60</v>
      </c>
    </row>
    <row r="18" spans="1:2">
      <c r="B18" s="3" t="s">
        <v>278</v>
      </c>
    </row>
    <row r="19" spans="1:2" s="3" customFormat="1">
      <c r="A19" s="3" t="s">
        <v>279</v>
      </c>
      <c r="B19" s="3" t="s">
        <v>63</v>
      </c>
    </row>
    <row r="20" spans="1:2" ht="45">
      <c r="A20" s="3"/>
      <c r="B20" s="60" t="s">
        <v>284</v>
      </c>
    </row>
    <row r="21" spans="1:2" s="3" customFormat="1">
      <c r="A21" s="3" t="s">
        <v>280</v>
      </c>
      <c r="B21" s="3" t="s">
        <v>64</v>
      </c>
    </row>
    <row r="22" spans="1:2">
      <c r="A22" s="3"/>
      <c r="B22" s="3" t="s">
        <v>282</v>
      </c>
    </row>
    <row r="23" spans="1:2">
      <c r="A23" s="3" t="s">
        <v>281</v>
      </c>
      <c r="B23" s="3" t="s">
        <v>65</v>
      </c>
    </row>
    <row r="24" spans="1:2">
      <c r="B24" s="3" t="s">
        <v>283</v>
      </c>
    </row>
    <row r="25" spans="1:2" s="3" customFormat="1">
      <c r="A25" s="3" t="s">
        <v>67</v>
      </c>
      <c r="B25" s="3" t="s">
        <v>204</v>
      </c>
    </row>
    <row r="26" spans="1:2" ht="30">
      <c r="A26" s="3"/>
      <c r="B26" s="60" t="s">
        <v>285</v>
      </c>
    </row>
    <row r="27" spans="1:2" s="3" customFormat="1">
      <c r="A27" s="3" t="s">
        <v>68</v>
      </c>
      <c r="B27" s="3" t="s">
        <v>207</v>
      </c>
    </row>
    <row r="28" spans="1:2">
      <c r="A28" s="3"/>
      <c r="B28" s="3" t="s">
        <v>208</v>
      </c>
    </row>
    <row r="29" spans="1:2" s="3" customFormat="1">
      <c r="A29" s="3" t="s">
        <v>69</v>
      </c>
      <c r="B29" s="3" t="s">
        <v>209</v>
      </c>
    </row>
    <row r="30" spans="1:2">
      <c r="A30" s="3"/>
      <c r="B30" s="3" t="s">
        <v>286</v>
      </c>
    </row>
    <row r="31" spans="1:2" s="3" customFormat="1">
      <c r="A31" s="3" t="s">
        <v>70</v>
      </c>
      <c r="B31" s="3" t="s">
        <v>210</v>
      </c>
    </row>
    <row r="32" spans="1:2">
      <c r="A32" s="3"/>
      <c r="B32" s="3" t="s">
        <v>287</v>
      </c>
    </row>
    <row r="33" spans="1:2" s="3" customFormat="1">
      <c r="A33" s="3" t="s">
        <v>71</v>
      </c>
      <c r="B33" s="3" t="s">
        <v>211</v>
      </c>
    </row>
    <row r="34" spans="1:2">
      <c r="A34" s="3"/>
      <c r="B34" s="3" t="s">
        <v>288</v>
      </c>
    </row>
    <row r="35" spans="1:2" s="3" customFormat="1">
      <c r="A35" s="3" t="s">
        <v>72</v>
      </c>
      <c r="B35" s="3" t="s">
        <v>297</v>
      </c>
    </row>
    <row r="36" spans="1:2" ht="45">
      <c r="A36" s="3"/>
      <c r="B36" s="60" t="s">
        <v>306</v>
      </c>
    </row>
    <row r="37" spans="1:2" s="3" customFormat="1">
      <c r="A37" s="3" t="s">
        <v>73</v>
      </c>
      <c r="B37" s="3" t="s">
        <v>298</v>
      </c>
    </row>
    <row r="38" spans="1:2">
      <c r="A38" s="3"/>
      <c r="B38" s="3" t="s">
        <v>299</v>
      </c>
    </row>
    <row r="39" spans="1:2" s="3" customFormat="1">
      <c r="A39" s="3" t="s">
        <v>74</v>
      </c>
      <c r="B39" s="3" t="s">
        <v>300</v>
      </c>
    </row>
    <row r="40" spans="1:2">
      <c r="A40" s="3"/>
      <c r="B40" s="3" t="s">
        <v>301</v>
      </c>
    </row>
    <row r="41" spans="1:2" s="3" customFormat="1">
      <c r="A41" s="3" t="s">
        <v>75</v>
      </c>
      <c r="B41" s="3" t="s">
        <v>302</v>
      </c>
    </row>
    <row r="42" spans="1:2">
      <c r="A42" s="3"/>
      <c r="B42" s="3" t="s">
        <v>303</v>
      </c>
    </row>
    <row r="43" spans="1:2" s="3" customFormat="1">
      <c r="A43" s="3" t="s">
        <v>76</v>
      </c>
      <c r="B43" s="3" t="s">
        <v>304</v>
      </c>
    </row>
    <row r="44" spans="1:2">
      <c r="A44" s="3"/>
      <c r="B44" s="3" t="s">
        <v>305</v>
      </c>
    </row>
    <row r="45" spans="1:2" s="3" customFormat="1">
      <c r="A45" s="3" t="s">
        <v>77</v>
      </c>
      <c r="B45" s="3" t="s">
        <v>307</v>
      </c>
    </row>
    <row r="46" spans="1:2" ht="45">
      <c r="A46" s="3"/>
      <c r="B46" s="60" t="s">
        <v>323</v>
      </c>
    </row>
    <row r="47" spans="1:2" s="3" customFormat="1">
      <c r="A47" s="3" t="s">
        <v>78</v>
      </c>
      <c r="B47" s="3" t="s">
        <v>308</v>
      </c>
    </row>
    <row r="48" spans="1:2">
      <c r="A48" s="3"/>
      <c r="B48" s="3" t="s">
        <v>299</v>
      </c>
    </row>
    <row r="49" spans="1:2" s="3" customFormat="1">
      <c r="A49" s="3" t="s">
        <v>79</v>
      </c>
      <c r="B49" s="3" t="s">
        <v>309</v>
      </c>
    </row>
    <row r="50" spans="1:2">
      <c r="A50" s="3"/>
      <c r="B50" s="3" t="s">
        <v>310</v>
      </c>
    </row>
    <row r="51" spans="1:2" s="3" customFormat="1">
      <c r="A51" s="3" t="s">
        <v>80</v>
      </c>
      <c r="B51" s="3" t="s">
        <v>311</v>
      </c>
    </row>
    <row r="52" spans="1:2">
      <c r="A52" s="3"/>
      <c r="B52" s="3" t="s">
        <v>312</v>
      </c>
    </row>
    <row r="53" spans="1:2" s="3" customFormat="1">
      <c r="A53" s="3" t="s">
        <v>81</v>
      </c>
      <c r="B53" s="3" t="s">
        <v>313</v>
      </c>
    </row>
    <row r="54" spans="1:2">
      <c r="A54" s="3"/>
      <c r="B54" s="3" t="s">
        <v>314</v>
      </c>
    </row>
    <row r="55" spans="1:2" s="3" customFormat="1">
      <c r="A55" s="3" t="s">
        <v>82</v>
      </c>
      <c r="B55" s="3" t="s">
        <v>315</v>
      </c>
    </row>
    <row r="56" spans="1:2" ht="45">
      <c r="A56" s="3"/>
      <c r="B56" s="60" t="s">
        <v>360</v>
      </c>
    </row>
    <row r="57" spans="1:2" s="3" customFormat="1">
      <c r="A57" s="3" t="s">
        <v>83</v>
      </c>
      <c r="B57" s="3" t="s">
        <v>316</v>
      </c>
    </row>
    <row r="58" spans="1:2">
      <c r="A58" s="3"/>
      <c r="B58" s="3" t="s">
        <v>299</v>
      </c>
    </row>
    <row r="59" spans="1:2" s="3" customFormat="1">
      <c r="A59" s="3" t="s">
        <v>84</v>
      </c>
      <c r="B59" s="3" t="s">
        <v>317</v>
      </c>
    </row>
    <row r="60" spans="1:2">
      <c r="A60" s="3"/>
      <c r="B60" s="3" t="s">
        <v>318</v>
      </c>
    </row>
    <row r="61" spans="1:2" s="3" customFormat="1">
      <c r="A61" s="3" t="s">
        <v>85</v>
      </c>
      <c r="B61" s="3" t="s">
        <v>319</v>
      </c>
    </row>
    <row r="62" spans="1:2">
      <c r="A62" s="3"/>
      <c r="B62" s="3" t="s">
        <v>321</v>
      </c>
    </row>
    <row r="63" spans="1:2" s="3" customFormat="1">
      <c r="A63" s="3" t="s">
        <v>86</v>
      </c>
      <c r="B63" s="3" t="s">
        <v>320</v>
      </c>
    </row>
    <row r="64" spans="1:2">
      <c r="A64" s="3"/>
      <c r="B64" s="3" t="s">
        <v>322</v>
      </c>
    </row>
    <row r="65" spans="1:2" s="3" customFormat="1">
      <c r="A65" s="3" t="s">
        <v>87</v>
      </c>
      <c r="B65" s="3" t="s">
        <v>341</v>
      </c>
    </row>
    <row r="66" spans="1:2" ht="30">
      <c r="A66" s="3"/>
      <c r="B66" s="60" t="s">
        <v>343</v>
      </c>
    </row>
    <row r="67" spans="1:2" s="3" customFormat="1">
      <c r="A67" s="3" t="s">
        <v>88</v>
      </c>
      <c r="B67" s="3" t="s">
        <v>344</v>
      </c>
    </row>
    <row r="68" spans="1:2">
      <c r="A68" s="3"/>
      <c r="B68" s="3" t="s">
        <v>299</v>
      </c>
    </row>
    <row r="69" spans="1:2" s="3" customFormat="1">
      <c r="A69" s="3" t="s">
        <v>89</v>
      </c>
      <c r="B69" s="3" t="s">
        <v>345</v>
      </c>
    </row>
    <row r="70" spans="1:2">
      <c r="A70" s="3"/>
      <c r="B70" s="3" t="s">
        <v>346</v>
      </c>
    </row>
    <row r="71" spans="1:2" s="3" customFormat="1">
      <c r="A71" s="3" t="s">
        <v>90</v>
      </c>
      <c r="B71" s="3" t="s">
        <v>347</v>
      </c>
    </row>
    <row r="72" spans="1:2">
      <c r="A72" s="3"/>
      <c r="B72" s="3" t="s">
        <v>348</v>
      </c>
    </row>
    <row r="73" spans="1:2" s="3" customFormat="1">
      <c r="A73" s="3" t="s">
        <v>91</v>
      </c>
      <c r="B73" s="3" t="s">
        <v>349</v>
      </c>
    </row>
    <row r="74" spans="1:2">
      <c r="A74" s="3"/>
      <c r="B74" s="3" t="s">
        <v>350</v>
      </c>
    </row>
    <row r="75" spans="1:2" s="3" customFormat="1">
      <c r="A75" s="3" t="s">
        <v>92</v>
      </c>
      <c r="B75" s="3" t="s">
        <v>324</v>
      </c>
    </row>
    <row r="76" spans="1:2" ht="30">
      <c r="A76" s="3"/>
      <c r="B76" s="60" t="s">
        <v>342</v>
      </c>
    </row>
    <row r="77" spans="1:2" s="3" customFormat="1">
      <c r="A77" s="3" t="s">
        <v>93</v>
      </c>
      <c r="B77" s="3" t="s">
        <v>325</v>
      </c>
    </row>
    <row r="78" spans="1:2">
      <c r="A78" s="3"/>
      <c r="B78" s="3" t="s">
        <v>299</v>
      </c>
    </row>
    <row r="79" spans="1:2" s="3" customFormat="1">
      <c r="A79" s="3" t="s">
        <v>94</v>
      </c>
      <c r="B79" s="3" t="s">
        <v>326</v>
      </c>
    </row>
    <row r="80" spans="1:2">
      <c r="A80" s="3"/>
      <c r="B80" s="3" t="s">
        <v>327</v>
      </c>
    </row>
    <row r="81" spans="1:2" s="3" customFormat="1">
      <c r="A81" s="3" t="s">
        <v>95</v>
      </c>
      <c r="B81" s="3" t="s">
        <v>328</v>
      </c>
    </row>
    <row r="82" spans="1:2">
      <c r="A82" s="3"/>
      <c r="B82" s="3" t="s">
        <v>330</v>
      </c>
    </row>
    <row r="83" spans="1:2" s="3" customFormat="1">
      <c r="A83" s="3" t="s">
        <v>96</v>
      </c>
      <c r="B83" s="3" t="s">
        <v>329</v>
      </c>
    </row>
    <row r="84" spans="1:2">
      <c r="A84" s="3"/>
      <c r="B84" s="3" t="s">
        <v>331</v>
      </c>
    </row>
    <row r="85" spans="1:2" s="3" customFormat="1">
      <c r="A85" s="3" t="s">
        <v>97</v>
      </c>
      <c r="B85" s="3" t="s">
        <v>332</v>
      </c>
    </row>
    <row r="86" spans="1:2" ht="45">
      <c r="A86" s="3"/>
      <c r="B86" s="60" t="s">
        <v>333</v>
      </c>
    </row>
    <row r="87" spans="1:2" s="3" customFormat="1">
      <c r="A87" s="3" t="s">
        <v>98</v>
      </c>
      <c r="B87" s="3" t="s">
        <v>334</v>
      </c>
    </row>
    <row r="88" spans="1:2">
      <c r="A88" s="3"/>
      <c r="B88" s="3" t="s">
        <v>299</v>
      </c>
    </row>
    <row r="89" spans="1:2" s="3" customFormat="1">
      <c r="A89" s="3" t="s">
        <v>289</v>
      </c>
      <c r="B89" s="3" t="s">
        <v>335</v>
      </c>
    </row>
    <row r="90" spans="1:2">
      <c r="A90" s="3"/>
      <c r="B90" s="3" t="s">
        <v>336</v>
      </c>
    </row>
    <row r="91" spans="1:2" s="3" customFormat="1">
      <c r="A91" s="3" t="s">
        <v>290</v>
      </c>
      <c r="B91" s="3" t="s">
        <v>337</v>
      </c>
    </row>
    <row r="92" spans="1:2">
      <c r="A92" s="3"/>
      <c r="B92" s="3" t="s">
        <v>338</v>
      </c>
    </row>
    <row r="93" spans="1:2" s="3" customFormat="1">
      <c r="A93" s="3" t="s">
        <v>291</v>
      </c>
      <c r="B93" s="3" t="s">
        <v>339</v>
      </c>
    </row>
    <row r="94" spans="1:2">
      <c r="A94" s="3"/>
      <c r="B94" s="3" t="s">
        <v>340</v>
      </c>
    </row>
    <row r="95" spans="1:2" s="3" customFormat="1">
      <c r="A95" s="3" t="s">
        <v>292</v>
      </c>
      <c r="B95" s="3" t="s">
        <v>351</v>
      </c>
    </row>
    <row r="96" spans="1:2" ht="45">
      <c r="A96" s="3"/>
      <c r="B96" s="60" t="s">
        <v>352</v>
      </c>
    </row>
    <row r="97" spans="1:2" s="3" customFormat="1">
      <c r="A97" s="3" t="s">
        <v>293</v>
      </c>
      <c r="B97" s="3" t="s">
        <v>353</v>
      </c>
    </row>
    <row r="98" spans="1:2" s="3" customFormat="1">
      <c r="B98" s="3" t="s">
        <v>299</v>
      </c>
    </row>
    <row r="99" spans="1:2" s="3" customFormat="1">
      <c r="A99" s="3" t="s">
        <v>294</v>
      </c>
      <c r="B99" s="3" t="s">
        <v>354</v>
      </c>
    </row>
    <row r="100" spans="1:2" s="3" customFormat="1">
      <c r="B100" s="3" t="s">
        <v>355</v>
      </c>
    </row>
    <row r="101" spans="1:2" s="3" customFormat="1">
      <c r="A101" s="3" t="s">
        <v>295</v>
      </c>
      <c r="B101" s="3" t="s">
        <v>356</v>
      </c>
    </row>
    <row r="102" spans="1:2" s="3" customFormat="1">
      <c r="B102" s="3" t="s">
        <v>357</v>
      </c>
    </row>
    <row r="103" spans="1:2" s="3" customFormat="1">
      <c r="A103" s="3" t="s">
        <v>296</v>
      </c>
      <c r="B103" s="3" t="s">
        <v>358</v>
      </c>
    </row>
    <row r="104" spans="1:2" s="3" customFormat="1">
      <c r="B104" s="3" t="s">
        <v>359</v>
      </c>
    </row>
    <row r="105" spans="1:2" s="3" customFormat="1">
      <c r="A105" s="3" t="s">
        <v>190</v>
      </c>
      <c r="B105" s="3" t="s">
        <v>361</v>
      </c>
    </row>
    <row r="106" spans="1:2" s="3" customFormat="1">
      <c r="B106" s="3" t="s">
        <v>362</v>
      </c>
    </row>
    <row r="107" spans="1:2" s="3" customFormat="1">
      <c r="A107" s="3" t="s">
        <v>99</v>
      </c>
      <c r="B107" s="3" t="s">
        <v>363</v>
      </c>
    </row>
    <row r="108" spans="1:2" s="3" customFormat="1">
      <c r="B108" s="3" t="s">
        <v>364</v>
      </c>
    </row>
    <row r="109" spans="1:2" s="3" customFormat="1">
      <c r="A109" s="3" t="s">
        <v>100</v>
      </c>
      <c r="B109" s="3" t="s">
        <v>192</v>
      </c>
    </row>
    <row r="110" spans="1:2" s="3" customFormat="1">
      <c r="B110" s="3" t="s">
        <v>268</v>
      </c>
    </row>
    <row r="111" spans="1:2" s="3" customFormat="1">
      <c r="A111" s="3" t="s">
        <v>101</v>
      </c>
      <c r="B111" s="3" t="s">
        <v>196</v>
      </c>
    </row>
    <row r="112" spans="1:2" s="3" customFormat="1">
      <c r="B112" s="3" t="s">
        <v>111</v>
      </c>
    </row>
    <row r="113" spans="1:2" s="3" customFormat="1">
      <c r="A113" s="3" t="s">
        <v>128</v>
      </c>
      <c r="B113" s="3" t="s">
        <v>197</v>
      </c>
    </row>
    <row r="114" spans="1:2" s="3" customFormat="1">
      <c r="B114" s="3" t="s">
        <v>111</v>
      </c>
    </row>
    <row r="115" spans="1:2" s="3" customFormat="1">
      <c r="A115" s="3" t="s">
        <v>102</v>
      </c>
      <c r="B115" s="3" t="s">
        <v>191</v>
      </c>
    </row>
    <row r="116" spans="1:2">
      <c r="A116" s="3"/>
      <c r="B116" s="3" t="s">
        <v>267</v>
      </c>
    </row>
    <row r="117" spans="1:2" s="3" customFormat="1">
      <c r="A117" s="3" t="s">
        <v>103</v>
      </c>
      <c r="B117" s="3" t="s">
        <v>110</v>
      </c>
    </row>
    <row r="118" spans="1:2">
      <c r="A118" s="3"/>
      <c r="B118" s="3" t="s">
        <v>111</v>
      </c>
    </row>
    <row r="119" spans="1:2" s="3" customFormat="1">
      <c r="A119" s="3" t="s">
        <v>104</v>
      </c>
      <c r="B119" s="3" t="s">
        <v>105</v>
      </c>
    </row>
    <row r="120" spans="1:2" s="3" customFormat="1">
      <c r="B120" s="3" t="s">
        <v>106</v>
      </c>
    </row>
    <row r="121" spans="1:2" s="3" customFormat="1">
      <c r="A121" s="3" t="s">
        <v>149</v>
      </c>
      <c r="B121" s="3" t="s">
        <v>126</v>
      </c>
    </row>
    <row r="122" spans="1:2">
      <c r="A122" s="3"/>
      <c r="B122" s="3" t="s">
        <v>127</v>
      </c>
    </row>
    <row r="123" spans="1:2" s="3" customFormat="1">
      <c r="A123" s="3" t="s">
        <v>266</v>
      </c>
      <c r="B123" s="3" t="s">
        <v>139</v>
      </c>
    </row>
    <row r="124" spans="1:2">
      <c r="A124" s="3"/>
      <c r="B124" s="3" t="s">
        <v>122</v>
      </c>
    </row>
    <row r="125" spans="1:2" s="3" customFormat="1">
      <c r="A125" s="3" t="s">
        <v>264</v>
      </c>
      <c r="B125" s="3" t="s">
        <v>142</v>
      </c>
    </row>
    <row r="126" spans="1:2">
      <c r="A126" s="3"/>
      <c r="B126" s="3" t="s">
        <v>265</v>
      </c>
    </row>
    <row r="127" spans="1:2" s="3" customFormat="1">
      <c r="A127" s="3" t="s">
        <v>262</v>
      </c>
      <c r="B127" s="3" t="s">
        <v>141</v>
      </c>
    </row>
    <row r="128" spans="1:2">
      <c r="A128" s="3"/>
      <c r="B128" s="3" t="s">
        <v>263</v>
      </c>
    </row>
    <row r="129" spans="1:2" s="3" customFormat="1">
      <c r="A129" s="3" t="s">
        <v>112</v>
      </c>
      <c r="B129" s="3" t="s">
        <v>138</v>
      </c>
    </row>
    <row r="130" spans="1:2">
      <c r="A130" s="3"/>
      <c r="B130" s="3" t="s">
        <v>261</v>
      </c>
    </row>
    <row r="131" spans="1:2" s="3" customFormat="1">
      <c r="A131" s="3" t="s">
        <v>259</v>
      </c>
      <c r="B131" s="3" t="s">
        <v>140</v>
      </c>
    </row>
    <row r="132" spans="1:2">
      <c r="A132" s="3"/>
      <c r="B132" s="3" t="s">
        <v>260</v>
      </c>
    </row>
    <row r="133" spans="1:2" s="3" customFormat="1">
      <c r="A133" s="3" t="s">
        <v>113</v>
      </c>
      <c r="B133" s="3" t="s">
        <v>143</v>
      </c>
    </row>
    <row r="134" spans="1:2">
      <c r="A134" s="3"/>
      <c r="B134" s="3" t="s">
        <v>258</v>
      </c>
    </row>
    <row r="135" spans="1:2" s="3" customFormat="1">
      <c r="A135" s="3" t="s">
        <v>256</v>
      </c>
      <c r="B135" s="3" t="s">
        <v>144</v>
      </c>
    </row>
    <row r="136" spans="1:2" s="3" customFormat="1">
      <c r="B136" s="3" t="s">
        <v>257</v>
      </c>
    </row>
    <row r="137" spans="1:2" s="3" customFormat="1">
      <c r="A137" s="3" t="s">
        <v>114</v>
      </c>
      <c r="B137" s="3" t="s">
        <v>145</v>
      </c>
    </row>
    <row r="138" spans="1:2">
      <c r="A138" s="3"/>
      <c r="B138" s="3" t="s">
        <v>255</v>
      </c>
    </row>
    <row r="139" spans="1:2" s="3" customFormat="1">
      <c r="A139" s="3" t="s">
        <v>134</v>
      </c>
      <c r="B139" s="3" t="s">
        <v>146</v>
      </c>
    </row>
    <row r="140" spans="1:2">
      <c r="A140" s="3"/>
      <c r="B140" s="3" t="s">
        <v>254</v>
      </c>
    </row>
    <row r="141" spans="1:2" s="3" customFormat="1">
      <c r="A141" s="3" t="s">
        <v>115</v>
      </c>
      <c r="B141" s="3" t="s">
        <v>147</v>
      </c>
    </row>
    <row r="142" spans="1:2">
      <c r="A142" s="3"/>
      <c r="B142" s="3" t="s">
        <v>253</v>
      </c>
    </row>
    <row r="143" spans="1:2" s="3" customFormat="1">
      <c r="A143" s="3" t="s">
        <v>135</v>
      </c>
      <c r="B143" s="3" t="s">
        <v>148</v>
      </c>
    </row>
    <row r="144" spans="1:2" s="3" customFormat="1">
      <c r="B144" s="3" t="s">
        <v>252</v>
      </c>
    </row>
    <row r="145" spans="1:2" s="3" customFormat="1">
      <c r="A145" s="3" t="s">
        <v>136</v>
      </c>
      <c r="B145" s="3" t="s">
        <v>184</v>
      </c>
    </row>
    <row r="146" spans="1:2" s="3" customFormat="1">
      <c r="B146" s="3" t="s">
        <v>251</v>
      </c>
    </row>
    <row r="147" spans="1:2" s="3" customFormat="1">
      <c r="A147" s="3" t="s">
        <v>137</v>
      </c>
      <c r="B147" s="3" t="s">
        <v>185</v>
      </c>
    </row>
    <row r="148" spans="1:2" s="3" customFormat="1">
      <c r="B148" s="3" t="s">
        <v>150</v>
      </c>
    </row>
    <row r="149" spans="1:2" s="3" customFormat="1">
      <c r="A149" s="3" t="s">
        <v>107</v>
      </c>
      <c r="B149" s="3" t="s">
        <v>151</v>
      </c>
    </row>
    <row r="150" spans="1:2" s="3" customFormat="1">
      <c r="B150" s="3" t="s">
        <v>152</v>
      </c>
    </row>
    <row r="151" spans="1:2" s="3" customFormat="1">
      <c r="A151" s="3" t="s">
        <v>249</v>
      </c>
      <c r="B151" s="3" t="s">
        <v>153</v>
      </c>
    </row>
    <row r="152" spans="1:2" s="3" customFormat="1">
      <c r="B152" s="3" t="s">
        <v>250</v>
      </c>
    </row>
    <row r="153" spans="1:2" s="3" customFormat="1">
      <c r="A153" s="3" t="s">
        <v>132</v>
      </c>
      <c r="B153" s="3" t="s">
        <v>173</v>
      </c>
    </row>
    <row r="154" spans="1:2" s="3" customFormat="1">
      <c r="B154" s="3" t="s">
        <v>247</v>
      </c>
    </row>
    <row r="155" spans="1:2" s="3" customFormat="1">
      <c r="A155" s="3" t="s">
        <v>245</v>
      </c>
      <c r="B155" s="3" t="s">
        <v>175</v>
      </c>
    </row>
    <row r="156" spans="1:2" s="3" customFormat="1">
      <c r="B156" s="3" t="s">
        <v>246</v>
      </c>
    </row>
    <row r="157" spans="1:2" s="3" customFormat="1">
      <c r="A157" s="3" t="s">
        <v>133</v>
      </c>
      <c r="B157" s="3" t="s">
        <v>174</v>
      </c>
    </row>
    <row r="158" spans="1:2" s="3" customFormat="1">
      <c r="B158" s="3" t="s">
        <v>248</v>
      </c>
    </row>
    <row r="159" spans="1:2" s="3" customFormat="1">
      <c r="A159" s="3" t="s">
        <v>243</v>
      </c>
      <c r="B159" s="3" t="s">
        <v>176</v>
      </c>
    </row>
    <row r="160" spans="1:2" s="3" customFormat="1">
      <c r="B160" s="3" t="s">
        <v>244</v>
      </c>
    </row>
    <row r="161" spans="1:2" s="3" customFormat="1">
      <c r="A161" s="3" t="s">
        <v>225</v>
      </c>
      <c r="B161" s="3" t="s">
        <v>177</v>
      </c>
    </row>
    <row r="162" spans="1:2" s="3" customFormat="1">
      <c r="B162" s="3" t="s">
        <v>242</v>
      </c>
    </row>
    <row r="163" spans="1:2" s="3" customFormat="1">
      <c r="A163" s="3" t="s">
        <v>240</v>
      </c>
      <c r="B163" s="3" t="s">
        <v>178</v>
      </c>
    </row>
    <row r="164" spans="1:2" s="3" customFormat="1">
      <c r="B164" s="3" t="s">
        <v>241</v>
      </c>
    </row>
    <row r="165" spans="1:2" s="3" customFormat="1">
      <c r="A165" s="3" t="s">
        <v>129</v>
      </c>
      <c r="B165" s="3" t="s">
        <v>179</v>
      </c>
    </row>
    <row r="166" spans="1:2" s="3" customFormat="1">
      <c r="B166" s="3" t="s">
        <v>239</v>
      </c>
    </row>
    <row r="167" spans="1:2" s="3" customFormat="1">
      <c r="A167" s="3" t="s">
        <v>237</v>
      </c>
      <c r="B167" s="3" t="s">
        <v>180</v>
      </c>
    </row>
    <row r="168" spans="1:2" s="3" customFormat="1">
      <c r="B168" s="3" t="s">
        <v>238</v>
      </c>
    </row>
    <row r="169" spans="1:2" s="3" customFormat="1">
      <c r="A169" s="3" t="s">
        <v>130</v>
      </c>
      <c r="B169" s="3" t="s">
        <v>182</v>
      </c>
    </row>
    <row r="170" spans="1:2" s="3" customFormat="1">
      <c r="B170" s="3" t="s">
        <v>236</v>
      </c>
    </row>
    <row r="171" spans="1:2" s="3" customFormat="1">
      <c r="A171" s="3" t="s">
        <v>234</v>
      </c>
      <c r="B171" s="3" t="s">
        <v>181</v>
      </c>
    </row>
    <row r="172" spans="1:2" s="3" customFormat="1">
      <c r="B172" s="3" t="s">
        <v>235</v>
      </c>
    </row>
    <row r="173" spans="1:2" s="3" customFormat="1">
      <c r="A173" s="3" t="s">
        <v>232</v>
      </c>
      <c r="B173" s="3" t="s">
        <v>183</v>
      </c>
    </row>
    <row r="174" spans="1:2" s="3" customFormat="1">
      <c r="B174" s="3" t="s">
        <v>233</v>
      </c>
    </row>
    <row r="175" spans="1:2" s="3" customFormat="1">
      <c r="A175" s="3" t="s">
        <v>131</v>
      </c>
      <c r="B175" s="3" t="s">
        <v>186</v>
      </c>
    </row>
    <row r="176" spans="1:2" s="3" customFormat="1">
      <c r="B176" s="3" t="s">
        <v>231</v>
      </c>
    </row>
    <row r="177" spans="1:2" s="3" customFormat="1">
      <c r="A177" s="3" t="s">
        <v>229</v>
      </c>
      <c r="B177" s="3" t="s">
        <v>187</v>
      </c>
    </row>
    <row r="178" spans="1:2">
      <c r="A178" s="3"/>
      <c r="B178" s="3" t="s">
        <v>230</v>
      </c>
    </row>
    <row r="179" spans="1:2" s="3" customFormat="1">
      <c r="A179" s="3" t="s">
        <v>227</v>
      </c>
      <c r="B179" s="3" t="s">
        <v>226</v>
      </c>
    </row>
    <row r="180" spans="1:2">
      <c r="A180" s="3"/>
      <c r="B180" s="3" t="s">
        <v>108</v>
      </c>
    </row>
    <row r="181" spans="1:2">
      <c r="A181" s="3" t="s">
        <v>228</v>
      </c>
      <c r="B181" s="3" t="s">
        <v>109</v>
      </c>
    </row>
    <row r="182" spans="1:2">
      <c r="B182" s="3" t="s">
        <v>108</v>
      </c>
    </row>
    <row r="183" spans="1:2">
      <c r="A183" s="3" t="s">
        <v>133</v>
      </c>
      <c r="B183" s="46" t="s">
        <v>46</v>
      </c>
    </row>
    <row r="184" spans="1:2">
      <c r="B184" s="31" t="s">
        <v>121</v>
      </c>
    </row>
    <row r="185" spans="1:2">
      <c r="A185" s="3" t="s">
        <v>225</v>
      </c>
      <c r="B185" s="46" t="s">
        <v>119</v>
      </c>
    </row>
    <row r="186" spans="1:2">
      <c r="B186" s="31" t="s">
        <v>120</v>
      </c>
    </row>
    <row r="187" spans="1:2">
      <c r="A187" s="3" t="s">
        <v>161</v>
      </c>
      <c r="B187" s="46" t="s">
        <v>2</v>
      </c>
    </row>
    <row r="188" spans="1:2">
      <c r="B188" s="46" t="s">
        <v>118</v>
      </c>
    </row>
    <row r="189" spans="1:2">
      <c r="A189" s="3" t="s">
        <v>162</v>
      </c>
      <c r="B189" s="3" t="s">
        <v>3</v>
      </c>
    </row>
    <row r="190" spans="1:2">
      <c r="B190" s="3" t="s">
        <v>117</v>
      </c>
    </row>
    <row r="191" spans="1:2">
      <c r="A191" s="3" t="s">
        <v>163</v>
      </c>
      <c r="B191" s="3" t="s">
        <v>4</v>
      </c>
    </row>
    <row r="192" spans="1:2">
      <c r="B192" s="3" t="s">
        <v>116</v>
      </c>
    </row>
    <row r="193" spans="1:2">
      <c r="A193" s="3" t="s">
        <v>224</v>
      </c>
      <c r="B193" s="3" t="s">
        <v>165</v>
      </c>
    </row>
    <row r="194" spans="1:2">
      <c r="B194" s="3" t="s">
        <v>164</v>
      </c>
    </row>
    <row r="195" spans="1:2">
      <c r="A195" s="3" t="s">
        <v>223</v>
      </c>
      <c r="B195" s="3" t="s">
        <v>166</v>
      </c>
    </row>
    <row r="196" spans="1:2">
      <c r="A196" s="3"/>
      <c r="B196" s="3" t="s">
        <v>164</v>
      </c>
    </row>
    <row r="197" spans="1:2">
      <c r="A197" s="3" t="s">
        <v>222</v>
      </c>
      <c r="B197" s="3" t="s">
        <v>167</v>
      </c>
    </row>
    <row r="198" spans="1:2">
      <c r="B198" s="3" t="s">
        <v>164</v>
      </c>
    </row>
    <row r="199" spans="1:2">
      <c r="A199" s="3" t="s">
        <v>221</v>
      </c>
      <c r="B199" s="3" t="s">
        <v>168</v>
      </c>
    </row>
    <row r="200" spans="1:2">
      <c r="B200" s="3" t="s">
        <v>164</v>
      </c>
    </row>
    <row r="201" spans="1:2">
      <c r="A201" s="3" t="s">
        <v>220</v>
      </c>
      <c r="B201" s="3" t="s">
        <v>169</v>
      </c>
    </row>
    <row r="202" spans="1:2">
      <c r="B202" s="3" t="s">
        <v>164</v>
      </c>
    </row>
    <row r="203" spans="1:2">
      <c r="A203" s="3" t="s">
        <v>219</v>
      </c>
      <c r="B203" s="3" t="s">
        <v>170</v>
      </c>
    </row>
    <row r="204" spans="1:2">
      <c r="B204" s="3" t="s">
        <v>164</v>
      </c>
    </row>
    <row r="205" spans="1:2">
      <c r="A205" s="3" t="s">
        <v>218</v>
      </c>
      <c r="B205" s="3" t="s">
        <v>171</v>
      </c>
    </row>
    <row r="206" spans="1:2">
      <c r="B206" s="3" t="s">
        <v>164</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dimension ref="A1:D101"/>
  <sheetViews>
    <sheetView tabSelected="1" topLeftCell="B1" zoomScale="85" zoomScaleNormal="85" workbookViewId="0">
      <selection activeCell="B6" sqref="B6"/>
    </sheetView>
  </sheetViews>
  <sheetFormatPr defaultRowHeight="15"/>
  <cols>
    <col min="1" max="1" width="51.42578125" bestFit="1" customWidth="1"/>
    <col min="2" max="2" width="18.5703125" bestFit="1" customWidth="1"/>
    <col min="3" max="3" width="28.5703125" bestFit="1" customWidth="1"/>
    <col min="4" max="4" width="23.28515625" bestFit="1" customWidth="1"/>
  </cols>
  <sheetData>
    <row r="1" spans="1:4">
      <c r="A1" s="24" t="s">
        <v>0</v>
      </c>
      <c r="B1" s="4"/>
      <c r="C1" s="4"/>
      <c r="D1" s="5"/>
    </row>
    <row r="2" spans="1:4">
      <c r="A2" s="69" t="s">
        <v>365</v>
      </c>
      <c r="B2" s="70"/>
      <c r="C2" s="70"/>
      <c r="D2" s="71"/>
    </row>
    <row r="3" spans="1:4">
      <c r="A3" s="19"/>
      <c r="B3" s="20"/>
      <c r="C3" s="20"/>
      <c r="D3" s="21"/>
    </row>
    <row r="4" spans="1:4">
      <c r="A4" s="25" t="s">
        <v>16</v>
      </c>
      <c r="B4" s="22"/>
      <c r="C4" s="22"/>
      <c r="D4" s="23"/>
    </row>
    <row r="5" spans="1:4">
      <c r="A5" s="26" t="s">
        <v>203</v>
      </c>
      <c r="B5" s="27">
        <v>240</v>
      </c>
      <c r="C5" s="49"/>
      <c r="D5" s="50"/>
    </row>
    <row r="6" spans="1:4">
      <c r="A6" s="28"/>
      <c r="B6" s="29"/>
      <c r="C6" s="14"/>
      <c r="D6" s="16"/>
    </row>
    <row r="7" spans="1:4">
      <c r="A7" s="25" t="s">
        <v>17</v>
      </c>
      <c r="B7" s="30"/>
      <c r="C7" s="31"/>
      <c r="D7" s="32"/>
    </row>
    <row r="8" spans="1:4" s="2" customFormat="1">
      <c r="A8" s="48" t="s">
        <v>198</v>
      </c>
      <c r="B8" s="49">
        <f>CEILING(B5/'2.5 oz. ID Millennium'!C94,1)</f>
        <v>10</v>
      </c>
      <c r="C8" s="49"/>
      <c r="D8" s="50"/>
    </row>
    <row r="9" spans="1:4">
      <c r="A9" s="48"/>
      <c r="B9" s="49"/>
      <c r="C9" s="49"/>
      <c r="D9" s="50"/>
    </row>
    <row r="10" spans="1:4">
      <c r="A10" s="3" t="s">
        <v>205</v>
      </c>
      <c r="B10" s="59">
        <f>B57/30/24*D19</f>
        <v>453.3798637230791</v>
      </c>
      <c r="C10" s="49"/>
      <c r="D10" s="50"/>
    </row>
    <row r="11" spans="1:4">
      <c r="A11" s="3" t="s">
        <v>206</v>
      </c>
      <c r="B11" s="59">
        <f>B8*B58</f>
        <v>179.09440000000001</v>
      </c>
      <c r="C11" s="49"/>
      <c r="D11" s="50"/>
    </row>
    <row r="12" spans="1:4" ht="15.75" thickBot="1">
      <c r="A12" s="3" t="s">
        <v>213</v>
      </c>
      <c r="B12" s="59">
        <f>D19*B59*B60</f>
        <v>59.080953802737035</v>
      </c>
      <c r="C12" s="49"/>
      <c r="D12" s="50"/>
    </row>
    <row r="13" spans="1:4" s="2" customFormat="1" ht="15.75" thickBot="1">
      <c r="A13" s="61" t="s">
        <v>212</v>
      </c>
      <c r="B13" s="62">
        <f>SUM(B10:B12)</f>
        <v>691.55521752581603</v>
      </c>
      <c r="C13" s="3"/>
      <c r="D13" s="50"/>
    </row>
    <row r="14" spans="1:4">
      <c r="A14" s="3"/>
      <c r="B14" s="3"/>
      <c r="C14" s="49"/>
      <c r="D14" s="50"/>
    </row>
    <row r="15" spans="1:4">
      <c r="A15" s="48" t="s">
        <v>51</v>
      </c>
      <c r="B15" s="8">
        <f>B5*C85</f>
        <v>2380.8000000000002</v>
      </c>
      <c r="C15" s="49"/>
      <c r="D15" s="50"/>
    </row>
    <row r="16" spans="1:4">
      <c r="A16" s="48" t="s">
        <v>18</v>
      </c>
      <c r="B16" s="13">
        <f>B15-B13</f>
        <v>1689.2447824741841</v>
      </c>
      <c r="C16" s="49"/>
      <c r="D16" s="50"/>
    </row>
    <row r="17" spans="1:4" ht="15.75" thickBot="1">
      <c r="A17" s="48"/>
      <c r="B17" s="49"/>
      <c r="C17" s="49"/>
      <c r="D17" s="50"/>
    </row>
    <row r="18" spans="1:4">
      <c r="A18" s="48"/>
      <c r="B18" s="49" t="s">
        <v>8</v>
      </c>
      <c r="C18" s="49" t="s">
        <v>9</v>
      </c>
      <c r="D18" s="63" t="s">
        <v>10</v>
      </c>
    </row>
    <row r="19" spans="1:4" ht="15.75" thickBot="1">
      <c r="A19" s="48" t="s">
        <v>19</v>
      </c>
      <c r="B19" s="6">
        <f>D76+B5*(B78+B79+B80+B77+B81+B83)+B8*C82</f>
        <v>5054.4542226676167</v>
      </c>
      <c r="C19" s="6">
        <f>B19/60</f>
        <v>84.240903711126947</v>
      </c>
      <c r="D19" s="64">
        <f>C19/60</f>
        <v>1.4040150618521159</v>
      </c>
    </row>
    <row r="20" spans="1:4">
      <c r="A20" s="48"/>
      <c r="B20" s="49"/>
      <c r="C20" s="49"/>
      <c r="D20" s="50"/>
    </row>
    <row r="21" spans="1:4">
      <c r="A21" s="15"/>
      <c r="B21" s="14"/>
      <c r="C21" s="14"/>
      <c r="D21" s="16"/>
    </row>
    <row r="22" spans="1:4">
      <c r="A22" s="42" t="s">
        <v>48</v>
      </c>
      <c r="B22" s="43"/>
      <c r="C22" s="43"/>
      <c r="D22" s="44"/>
    </row>
    <row r="23" spans="1:4">
      <c r="A23" s="48" t="s">
        <v>36</v>
      </c>
      <c r="B23" s="49"/>
      <c r="C23" s="12"/>
      <c r="D23" s="50"/>
    </row>
    <row r="24" spans="1:4">
      <c r="A24" s="48"/>
      <c r="B24" s="49"/>
      <c r="C24" s="12"/>
      <c r="D24" s="50"/>
    </row>
    <row r="25" spans="1:4">
      <c r="A25" s="48"/>
      <c r="B25" s="49" t="s">
        <v>8</v>
      </c>
      <c r="C25" s="12" t="s">
        <v>9</v>
      </c>
      <c r="D25" s="50" t="s">
        <v>10</v>
      </c>
    </row>
    <row r="26" spans="1:4">
      <c r="A26" s="18" t="s">
        <v>20</v>
      </c>
      <c r="B26" s="8">
        <f>B27*B59*D28</f>
        <v>15.429333333333332</v>
      </c>
      <c r="C26" s="12"/>
      <c r="D26" s="50"/>
    </row>
    <row r="27" spans="1:4">
      <c r="A27" s="18" t="s">
        <v>13</v>
      </c>
      <c r="B27" s="49">
        <v>4</v>
      </c>
      <c r="C27" s="12"/>
      <c r="D27" s="50"/>
    </row>
    <row r="28" spans="1:4">
      <c r="A28" s="18" t="s">
        <v>21</v>
      </c>
      <c r="B28" s="49">
        <f>D76</f>
        <v>1320</v>
      </c>
      <c r="C28" s="12">
        <f>B28/60</f>
        <v>22</v>
      </c>
      <c r="D28" s="7">
        <f>C28/60</f>
        <v>0.36666666666666664</v>
      </c>
    </row>
    <row r="29" spans="1:4">
      <c r="A29" s="18"/>
      <c r="B29" s="49"/>
      <c r="C29" s="12"/>
      <c r="D29" s="7"/>
    </row>
    <row r="30" spans="1:4">
      <c r="A30" s="18" t="s">
        <v>22</v>
      </c>
      <c r="B30" s="8">
        <f>B31*B59*D32+B5*(B95+B96)</f>
        <v>15.528713687600645</v>
      </c>
      <c r="C30" s="12"/>
      <c r="D30" s="7"/>
    </row>
    <row r="31" spans="1:4">
      <c r="A31" s="18" t="s">
        <v>13</v>
      </c>
      <c r="B31" s="49">
        <v>2</v>
      </c>
      <c r="C31" s="12"/>
      <c r="D31" s="7"/>
    </row>
    <row r="32" spans="1:4">
      <c r="A32" s="18" t="s">
        <v>23</v>
      </c>
      <c r="B32" s="6">
        <f>B5*B77</f>
        <v>510.14492753623193</v>
      </c>
      <c r="C32" s="6">
        <f>B32/60</f>
        <v>8.5024154589371985</v>
      </c>
      <c r="D32" s="7">
        <f>C32/60</f>
        <v>0.14170692431561999</v>
      </c>
    </row>
    <row r="33" spans="1:4">
      <c r="A33" s="18"/>
      <c r="B33" s="49"/>
      <c r="C33" s="12"/>
      <c r="D33" s="7"/>
    </row>
    <row r="34" spans="1:4">
      <c r="A34" s="18" t="s">
        <v>24</v>
      </c>
      <c r="B34" s="8">
        <f>B35*B59*D36+B5*(B99+B97)</f>
        <v>148.83772885097841</v>
      </c>
      <c r="C34" s="12"/>
      <c r="D34" s="50"/>
    </row>
    <row r="35" spans="1:4">
      <c r="A35" s="18" t="s">
        <v>13</v>
      </c>
      <c r="B35" s="49">
        <v>1</v>
      </c>
      <c r="C35" s="12"/>
      <c r="D35" s="50"/>
    </row>
    <row r="36" spans="1:4">
      <c r="A36" s="18" t="s">
        <v>25</v>
      </c>
      <c r="B36" s="6">
        <f>B5*B78</f>
        <v>794.78173607626695</v>
      </c>
      <c r="C36" s="6">
        <f>B36/60</f>
        <v>13.246362267937782</v>
      </c>
      <c r="D36" s="7">
        <f>C36/60</f>
        <v>0.22077270446562969</v>
      </c>
    </row>
    <row r="37" spans="1:4">
      <c r="A37" s="48"/>
      <c r="B37" s="49"/>
      <c r="C37" s="12"/>
      <c r="D37" s="50"/>
    </row>
    <row r="38" spans="1:4">
      <c r="A38" s="48" t="s">
        <v>26</v>
      </c>
      <c r="B38" s="8">
        <f>B39*B59*D40+B5*(B100+B98)</f>
        <v>21.787905511811022</v>
      </c>
      <c r="C38" s="12"/>
      <c r="D38" s="50"/>
    </row>
    <row r="39" spans="1:4">
      <c r="A39" s="18" t="s">
        <v>13</v>
      </c>
      <c r="B39" s="49">
        <v>2</v>
      </c>
      <c r="C39" s="12"/>
      <c r="D39" s="50"/>
    </row>
    <row r="40" spans="1:4">
      <c r="A40" s="18" t="s">
        <v>27</v>
      </c>
      <c r="B40" s="6">
        <f>B79*B5</f>
        <v>779.52755905511822</v>
      </c>
      <c r="C40" s="6">
        <f>B40/60</f>
        <v>12.99212598425197</v>
      </c>
      <c r="D40" s="7">
        <f>C40/60</f>
        <v>0.21653543307086617</v>
      </c>
    </row>
    <row r="41" spans="1:4">
      <c r="A41" s="18"/>
      <c r="B41" s="6"/>
      <c r="C41" s="6"/>
      <c r="D41" s="7"/>
    </row>
    <row r="42" spans="1:4">
      <c r="A42" s="48" t="s">
        <v>214</v>
      </c>
      <c r="B42" s="8">
        <f>B43*D44*B59</f>
        <v>3.8573333333333331</v>
      </c>
      <c r="C42" s="6"/>
      <c r="D42" s="7"/>
    </row>
    <row r="43" spans="1:4">
      <c r="A43" s="48" t="s">
        <v>199</v>
      </c>
      <c r="B43" s="3">
        <v>1</v>
      </c>
      <c r="C43" s="3"/>
      <c r="D43" s="50"/>
    </row>
    <row r="44" spans="1:4">
      <c r="A44" s="48" t="s">
        <v>200</v>
      </c>
      <c r="B44" s="3">
        <f>B5*B83</f>
        <v>1320</v>
      </c>
      <c r="C44" s="3">
        <f>B44/60</f>
        <v>22</v>
      </c>
      <c r="D44" s="7">
        <f>C44/60</f>
        <v>0.36666666666666664</v>
      </c>
    </row>
    <row r="45" spans="1:4">
      <c r="A45" s="18"/>
      <c r="B45" s="6"/>
      <c r="C45" s="6"/>
      <c r="D45" s="7"/>
    </row>
    <row r="46" spans="1:4">
      <c r="A46" s="18" t="s">
        <v>32</v>
      </c>
      <c r="B46" s="17">
        <f>B47*B59*D48+B8*B101</f>
        <v>3.7643333333333335</v>
      </c>
      <c r="C46" s="6"/>
      <c r="D46" s="7"/>
    </row>
    <row r="47" spans="1:4">
      <c r="A47" s="18" t="s">
        <v>13</v>
      </c>
      <c r="B47" s="12">
        <v>1</v>
      </c>
      <c r="C47" s="6"/>
      <c r="D47" s="7"/>
    </row>
    <row r="48" spans="1:4">
      <c r="A48" s="18" t="s">
        <v>33</v>
      </c>
      <c r="B48" s="12">
        <f>B8*C82</f>
        <v>330</v>
      </c>
      <c r="C48" s="12">
        <f>B48/60</f>
        <v>5.5</v>
      </c>
      <c r="D48" s="7">
        <f>C48/60</f>
        <v>9.166666666666666E-2</v>
      </c>
    </row>
    <row r="49" spans="1:4">
      <c r="A49" s="18"/>
      <c r="B49" s="12"/>
      <c r="C49" s="12"/>
      <c r="D49" s="7"/>
    </row>
    <row r="50" spans="1:4">
      <c r="A50" s="18" t="s">
        <v>34</v>
      </c>
      <c r="B50" s="8">
        <f>B26+B30+B34+B38+B42+B46</f>
        <v>209.20534805039009</v>
      </c>
      <c r="C50" s="8"/>
      <c r="D50" s="57"/>
    </row>
    <row r="51" spans="1:4">
      <c r="A51" s="18" t="s">
        <v>14</v>
      </c>
      <c r="B51" s="6">
        <f>D48+D44+D40+D36+D32+D28</f>
        <v>1.4040150618521159</v>
      </c>
      <c r="C51" s="70"/>
      <c r="D51" s="71"/>
    </row>
    <row r="52" spans="1:4">
      <c r="A52" s="18"/>
      <c r="B52" s="49"/>
      <c r="C52" s="49"/>
      <c r="D52" s="50"/>
    </row>
    <row r="53" spans="1:4">
      <c r="A53" s="34"/>
      <c r="B53" s="35"/>
      <c r="C53" s="36"/>
      <c r="D53" s="37"/>
    </row>
    <row r="54" spans="1:4">
      <c r="A54" s="52" t="s">
        <v>35</v>
      </c>
      <c r="B54" s="38"/>
      <c r="C54" s="39"/>
      <c r="D54" s="40"/>
    </row>
    <row r="55" spans="1:4">
      <c r="A55" s="18"/>
      <c r="B55" s="31"/>
      <c r="C55" s="41"/>
      <c r="D55" s="32"/>
    </row>
    <row r="56" spans="1:4">
      <c r="A56" s="48" t="s">
        <v>37</v>
      </c>
      <c r="B56" s="49"/>
      <c r="C56" s="49" t="s">
        <v>193</v>
      </c>
      <c r="D56" s="50" t="s">
        <v>194</v>
      </c>
    </row>
    <row r="57" spans="1:4">
      <c r="A57" s="48" t="s">
        <v>195</v>
      </c>
      <c r="B57" s="8">
        <f>C57*D57</f>
        <v>232500</v>
      </c>
      <c r="C57" s="49">
        <v>1500</v>
      </c>
      <c r="D57" s="56">
        <v>155</v>
      </c>
    </row>
    <row r="58" spans="1:4">
      <c r="A58" s="48" t="s">
        <v>172</v>
      </c>
      <c r="B58" s="8">
        <f>SUM(B95:B100)*24+B101</f>
        <v>17.90944</v>
      </c>
      <c r="C58" s="49"/>
      <c r="D58" s="50"/>
    </row>
    <row r="59" spans="1:4">
      <c r="A59" s="48" t="s">
        <v>12</v>
      </c>
      <c r="B59" s="8">
        <v>10.52</v>
      </c>
      <c r="C59" s="49"/>
      <c r="D59" s="50"/>
    </row>
    <row r="60" spans="1:4">
      <c r="A60" s="48" t="s">
        <v>50</v>
      </c>
      <c r="B60" s="6">
        <v>4</v>
      </c>
      <c r="C60" s="49"/>
      <c r="D60" s="50"/>
    </row>
    <row r="61" spans="1:4">
      <c r="A61" s="48" t="s">
        <v>123</v>
      </c>
      <c r="B61" s="51">
        <v>0.1</v>
      </c>
      <c r="C61" s="49"/>
      <c r="D61" s="50"/>
    </row>
    <row r="62" spans="1:4">
      <c r="A62" s="65">
        <f>B57/30/24</f>
        <v>322.91666666666669</v>
      </c>
      <c r="B62" s="51"/>
      <c r="C62" s="49"/>
      <c r="D62" s="50"/>
    </row>
    <row r="63" spans="1:4">
      <c r="A63" s="48" t="s">
        <v>124</v>
      </c>
      <c r="B63" s="51"/>
      <c r="C63" s="49"/>
      <c r="D63" s="50"/>
    </row>
    <row r="64" spans="1:4">
      <c r="A64" s="48"/>
      <c r="B64" s="49" t="s">
        <v>5</v>
      </c>
      <c r="C64" s="11" t="s">
        <v>6</v>
      </c>
      <c r="D64" s="50" t="s">
        <v>11</v>
      </c>
    </row>
    <row r="65" spans="1:4">
      <c r="A65" s="48" t="s">
        <v>45</v>
      </c>
      <c r="B65" s="49"/>
      <c r="C65" s="11"/>
      <c r="D65" s="50">
        <f>IF(B5=0,0,20*60)</f>
        <v>1200</v>
      </c>
    </row>
    <row r="66" spans="1:4">
      <c r="A66" s="48" t="s">
        <v>41</v>
      </c>
      <c r="B66" s="6">
        <f>60/B88</f>
        <v>1.932367149758454</v>
      </c>
      <c r="C66" s="6">
        <f>B66*$C$86</f>
        <v>46.376811594202898</v>
      </c>
      <c r="D66" s="50"/>
    </row>
    <row r="67" spans="1:4">
      <c r="A67" s="48" t="s">
        <v>44</v>
      </c>
      <c r="B67" s="6">
        <f>60/B89</f>
        <v>3.0105368790767688</v>
      </c>
      <c r="C67" s="6">
        <f>B67*$C$86</f>
        <v>72.252885097842452</v>
      </c>
      <c r="D67" s="50"/>
    </row>
    <row r="68" spans="1:4">
      <c r="A68" s="48" t="s">
        <v>43</v>
      </c>
      <c r="B68" s="6">
        <f>60/B90</f>
        <v>2.9527559055118111</v>
      </c>
      <c r="C68" s="6">
        <f>B68*$C$86</f>
        <v>70.866141732283467</v>
      </c>
      <c r="D68" s="50"/>
    </row>
    <row r="69" spans="1:4">
      <c r="A69" s="48" t="s">
        <v>42</v>
      </c>
      <c r="B69" s="6">
        <v>0</v>
      </c>
      <c r="C69" s="6">
        <f>B69*$C$86</f>
        <v>0</v>
      </c>
      <c r="D69" s="50"/>
    </row>
    <row r="70" spans="1:4">
      <c r="A70" s="48" t="s">
        <v>40</v>
      </c>
      <c r="B70" s="6">
        <v>0</v>
      </c>
      <c r="C70" s="6">
        <f>B70*$C$86</f>
        <v>0</v>
      </c>
      <c r="D70" s="50"/>
    </row>
    <row r="71" spans="1:4">
      <c r="A71" s="48" t="s">
        <v>39</v>
      </c>
      <c r="B71" s="6" t="s">
        <v>7</v>
      </c>
      <c r="C71" s="49">
        <f>60/B92</f>
        <v>30</v>
      </c>
      <c r="D71" s="50"/>
    </row>
    <row r="72" spans="1:4">
      <c r="A72" s="48" t="s">
        <v>38</v>
      </c>
      <c r="B72" s="49">
        <v>5</v>
      </c>
      <c r="C72" s="12">
        <f>B72*C86</f>
        <v>120</v>
      </c>
      <c r="D72" s="50"/>
    </row>
    <row r="73" spans="1:4">
      <c r="A73" s="48"/>
      <c r="B73" s="49"/>
      <c r="C73" s="11"/>
      <c r="D73" s="50"/>
    </row>
    <row r="74" spans="1:4">
      <c r="A74" s="48" t="s">
        <v>125</v>
      </c>
      <c r="B74" s="49"/>
      <c r="C74" s="11"/>
      <c r="D74" s="50"/>
    </row>
    <row r="75" spans="1:4">
      <c r="A75" s="48"/>
      <c r="B75" s="49" t="s">
        <v>5</v>
      </c>
      <c r="C75" s="11" t="s">
        <v>6</v>
      </c>
      <c r="D75" s="50" t="s">
        <v>11</v>
      </c>
    </row>
    <row r="76" spans="1:4">
      <c r="A76" s="48" t="s">
        <v>45</v>
      </c>
      <c r="B76" s="49"/>
      <c r="C76" s="11"/>
      <c r="D76" s="50">
        <f>D65*(1+B61)</f>
        <v>1320</v>
      </c>
    </row>
    <row r="77" spans="1:4">
      <c r="A77" s="48" t="s">
        <v>41</v>
      </c>
      <c r="B77" s="6">
        <f>B66*(1+$B$61)</f>
        <v>2.1256038647342996</v>
      </c>
      <c r="C77" s="6">
        <f>B77*$C$86</f>
        <v>51.014492753623188</v>
      </c>
      <c r="D77" s="50"/>
    </row>
    <row r="78" spans="1:4">
      <c r="A78" s="48" t="s">
        <v>44</v>
      </c>
      <c r="B78" s="6">
        <f>B67*(1+$B$61)</f>
        <v>3.3115905669844459</v>
      </c>
      <c r="C78" s="6">
        <f t="shared" ref="C78:C81" si="0">B78*$C$86</f>
        <v>79.478173607626701</v>
      </c>
      <c r="D78" s="50"/>
    </row>
    <row r="79" spans="1:4">
      <c r="A79" s="48" t="s">
        <v>43</v>
      </c>
      <c r="B79" s="6">
        <f>B68*(1+$B$61)</f>
        <v>3.2480314960629926</v>
      </c>
      <c r="C79" s="6">
        <f t="shared" si="0"/>
        <v>77.952755905511822</v>
      </c>
      <c r="D79" s="50"/>
    </row>
    <row r="80" spans="1:4">
      <c r="A80" s="48" t="s">
        <v>42</v>
      </c>
      <c r="B80" s="6">
        <f>B69*(1+$B$61)</f>
        <v>0</v>
      </c>
      <c r="C80" s="6">
        <f t="shared" si="0"/>
        <v>0</v>
      </c>
      <c r="D80" s="50"/>
    </row>
    <row r="81" spans="1:4">
      <c r="A81" s="48" t="s">
        <v>40</v>
      </c>
      <c r="B81" s="6">
        <f t="shared" ref="B81" si="1">B70*(1+$B$61)</f>
        <v>0</v>
      </c>
      <c r="C81" s="6">
        <f t="shared" si="0"/>
        <v>0</v>
      </c>
      <c r="D81" s="50"/>
    </row>
    <row r="82" spans="1:4">
      <c r="A82" s="48" t="s">
        <v>39</v>
      </c>
      <c r="B82" s="49" t="s">
        <v>7</v>
      </c>
      <c r="C82" s="49">
        <f>C71*(1+B61)</f>
        <v>33</v>
      </c>
      <c r="D82" s="50"/>
    </row>
    <row r="83" spans="1:4">
      <c r="A83" s="48" t="s">
        <v>38</v>
      </c>
      <c r="B83" s="49">
        <f>B72*(1+B61)</f>
        <v>5.5</v>
      </c>
      <c r="C83" s="12">
        <f>B83*C86</f>
        <v>132</v>
      </c>
      <c r="D83" s="50"/>
    </row>
    <row r="84" spans="1:4">
      <c r="A84" s="48"/>
      <c r="B84" s="49"/>
      <c r="C84" s="49"/>
      <c r="D84" s="50"/>
    </row>
    <row r="85" spans="1:4">
      <c r="A85" s="48" t="s">
        <v>202</v>
      </c>
      <c r="B85" s="49"/>
      <c r="C85" s="13">
        <v>9.92</v>
      </c>
      <c r="D85" s="50"/>
    </row>
    <row r="86" spans="1:4">
      <c r="A86" s="48" t="s">
        <v>1</v>
      </c>
      <c r="B86" s="49"/>
      <c r="C86" s="49">
        <v>24</v>
      </c>
      <c r="D86" s="50"/>
    </row>
    <row r="87" spans="1:4">
      <c r="A87" s="48"/>
      <c r="B87" s="49"/>
      <c r="C87" s="49"/>
      <c r="D87" s="50"/>
    </row>
    <row r="88" spans="1:4">
      <c r="A88" s="48" t="s">
        <v>4</v>
      </c>
      <c r="B88" s="49">
        <v>31.05</v>
      </c>
      <c r="C88" s="49"/>
      <c r="D88" s="50"/>
    </row>
    <row r="89" spans="1:4">
      <c r="A89" s="48" t="s">
        <v>46</v>
      </c>
      <c r="B89" s="49">
        <v>19.93</v>
      </c>
      <c r="C89" s="49"/>
      <c r="D89" s="50"/>
    </row>
    <row r="90" spans="1:4">
      <c r="A90" s="48" t="s">
        <v>47</v>
      </c>
      <c r="B90" s="49">
        <v>20.32</v>
      </c>
      <c r="C90" s="49"/>
      <c r="D90" s="50"/>
    </row>
    <row r="91" spans="1:4">
      <c r="A91" s="48" t="s">
        <v>2</v>
      </c>
      <c r="B91" s="49">
        <v>20.92</v>
      </c>
      <c r="C91" s="49"/>
      <c r="D91" s="50"/>
    </row>
    <row r="92" spans="1:4">
      <c r="A92" s="48" t="s">
        <v>3</v>
      </c>
      <c r="B92" s="49">
        <v>2</v>
      </c>
      <c r="C92" s="49"/>
      <c r="D92" s="50"/>
    </row>
    <row r="93" spans="1:4">
      <c r="A93" s="48"/>
      <c r="B93" s="49"/>
      <c r="C93" s="49"/>
      <c r="D93" s="50"/>
    </row>
    <row r="94" spans="1:4">
      <c r="A94" s="48" t="s">
        <v>201</v>
      </c>
      <c r="B94" s="49"/>
      <c r="C94" s="49"/>
      <c r="D94" s="50"/>
    </row>
    <row r="95" spans="1:4">
      <c r="A95" s="48" t="s">
        <v>154</v>
      </c>
      <c r="B95" s="54">
        <v>2.3709999999999998E-2</v>
      </c>
      <c r="C95" s="49"/>
      <c r="D95" s="50"/>
    </row>
    <row r="96" spans="1:4">
      <c r="A96" s="48" t="s">
        <v>155</v>
      </c>
      <c r="B96" s="17">
        <v>2.8570000000000002E-2</v>
      </c>
      <c r="C96" s="49"/>
      <c r="D96" s="50"/>
    </row>
    <row r="97" spans="1:4">
      <c r="A97" s="18" t="s">
        <v>156</v>
      </c>
      <c r="B97" s="17">
        <v>9.9180000000000004E-2</v>
      </c>
      <c r="C97" s="49"/>
      <c r="D97" s="50"/>
    </row>
    <row r="98" spans="1:4">
      <c r="A98" s="18" t="s">
        <v>157</v>
      </c>
      <c r="B98" s="17">
        <v>6.5850000000000006E-2</v>
      </c>
      <c r="C98" s="49"/>
      <c r="D98" s="50"/>
    </row>
    <row r="99" spans="1:4">
      <c r="A99" s="18" t="s">
        <v>158</v>
      </c>
      <c r="B99" s="17">
        <v>0.51129999999999998</v>
      </c>
      <c r="C99" s="49"/>
      <c r="D99" s="50"/>
    </row>
    <row r="100" spans="1:4">
      <c r="A100" s="18" t="s">
        <v>159</v>
      </c>
      <c r="B100" s="17">
        <v>5.9500000000000004E-3</v>
      </c>
      <c r="C100" s="49"/>
      <c r="D100" s="50"/>
    </row>
    <row r="101" spans="1:4">
      <c r="A101" s="53" t="s">
        <v>160</v>
      </c>
      <c r="B101" s="55">
        <v>0.28000000000000003</v>
      </c>
      <c r="C101" s="9"/>
      <c r="D101" s="10"/>
    </row>
  </sheetData>
  <mergeCells count="2">
    <mergeCell ref="A2:D2"/>
    <mergeCell ref="C51:D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2.5 oz. ID Millennium</vt:lpstr>
      <vt:lpstr>Explanation</vt:lpstr>
      <vt:lpstr>2.7 ounce ID Moment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Sarina</dc:creator>
  <cp:lastModifiedBy>sallen</cp:lastModifiedBy>
  <dcterms:created xsi:type="dcterms:W3CDTF">2011-02-09T22:22:24Z</dcterms:created>
  <dcterms:modified xsi:type="dcterms:W3CDTF">2011-06-28T22:49:46Z</dcterms:modified>
</cp:coreProperties>
</file>