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externalLinks/externalLink1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externalLinks/externalLink2.xml" ContentType="application/vnd.openxmlformats-officedocument.spreadsheetml.externalLink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3955" windowHeight="11055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  <externalReference r:id="rId6"/>
  </externalReferences>
  <calcPr calcId="145621"/>
</workbook>
</file>

<file path=xl/calcChain.xml><?xml version="1.0" encoding="utf-8"?>
<calcChain xmlns="http://schemas.openxmlformats.org/spreadsheetml/2006/main">
  <c r="K9" i="1" l="1"/>
  <c r="N9" i="1"/>
  <c r="P23" i="1"/>
  <c r="P24" i="1"/>
  <c r="P25" i="1"/>
  <c r="O5" i="1"/>
  <c r="P5" i="1"/>
  <c r="P15" i="1" s="1"/>
  <c r="O6" i="1"/>
  <c r="P6" i="1"/>
  <c r="P16" i="1" s="1"/>
  <c r="O7" i="1"/>
  <c r="P7" i="1"/>
  <c r="P17" i="1" s="1"/>
  <c r="O8" i="1"/>
  <c r="P8" i="1"/>
  <c r="N8" i="1" l="1"/>
  <c r="M8" i="1"/>
  <c r="L8" i="1"/>
  <c r="K8" i="1"/>
  <c r="J8" i="1"/>
  <c r="I8" i="1"/>
  <c r="H8" i="1"/>
  <c r="G8" i="1"/>
  <c r="F8" i="1"/>
  <c r="E8" i="1"/>
  <c r="D8" i="1"/>
  <c r="C8" i="1"/>
  <c r="B8" i="1"/>
  <c r="O17" i="1"/>
  <c r="N7" i="1"/>
  <c r="N17" i="1" s="1"/>
  <c r="M7" i="1"/>
  <c r="M17" i="1" s="1"/>
  <c r="L7" i="1"/>
  <c r="L17" i="1" s="1"/>
  <c r="K7" i="1"/>
  <c r="K17" i="1" s="1"/>
  <c r="J7" i="1"/>
  <c r="J17" i="1" s="1"/>
  <c r="I7" i="1"/>
  <c r="I17" i="1" s="1"/>
  <c r="H7" i="1"/>
  <c r="H17" i="1" s="1"/>
  <c r="G7" i="1"/>
  <c r="G17" i="1" s="1"/>
  <c r="F7" i="1"/>
  <c r="F17" i="1" s="1"/>
  <c r="E7" i="1"/>
  <c r="E17" i="1" s="1"/>
  <c r="D7" i="1"/>
  <c r="D17" i="1" s="1"/>
  <c r="C7" i="1"/>
  <c r="C17" i="1" s="1"/>
  <c r="B7" i="1"/>
  <c r="B17" i="1" s="1"/>
  <c r="O16" i="1"/>
  <c r="N6" i="1"/>
  <c r="N16" i="1" s="1"/>
  <c r="M6" i="1"/>
  <c r="M16" i="1" s="1"/>
  <c r="L6" i="1"/>
  <c r="L16" i="1" s="1"/>
  <c r="K6" i="1"/>
  <c r="K16" i="1" s="1"/>
  <c r="J6" i="1"/>
  <c r="J16" i="1" s="1"/>
  <c r="I6" i="1"/>
  <c r="I16" i="1" s="1"/>
  <c r="H6" i="1"/>
  <c r="H16" i="1" s="1"/>
  <c r="G6" i="1"/>
  <c r="G16" i="1" s="1"/>
  <c r="F6" i="1"/>
  <c r="F16" i="1" s="1"/>
  <c r="E6" i="1"/>
  <c r="E16" i="1" s="1"/>
  <c r="D6" i="1"/>
  <c r="D16" i="1" s="1"/>
  <c r="C6" i="1"/>
  <c r="C16" i="1" s="1"/>
  <c r="B6" i="1"/>
  <c r="B16" i="1" s="1"/>
  <c r="O15" i="1"/>
  <c r="N5" i="1"/>
  <c r="N15" i="1" s="1"/>
  <c r="M5" i="1"/>
  <c r="M15" i="1" s="1"/>
  <c r="L5" i="1"/>
  <c r="L15" i="1" s="1"/>
  <c r="K5" i="1"/>
  <c r="K15" i="1" s="1"/>
  <c r="J5" i="1"/>
  <c r="J15" i="1" s="1"/>
  <c r="I5" i="1"/>
  <c r="I15" i="1" s="1"/>
  <c r="H5" i="1"/>
  <c r="H15" i="1" s="1"/>
  <c r="G5" i="1"/>
  <c r="G15" i="1" s="1"/>
  <c r="F5" i="1"/>
  <c r="F15" i="1" s="1"/>
  <c r="E5" i="1"/>
  <c r="E15" i="1" s="1"/>
  <c r="D5" i="1"/>
  <c r="D15" i="1" s="1"/>
  <c r="C5" i="1"/>
  <c r="C15" i="1" s="1"/>
  <c r="B5" i="1"/>
  <c r="B15" i="1" s="1"/>
  <c r="H9" i="1"/>
  <c r="E9" i="1"/>
  <c r="B9" i="1"/>
  <c r="O26" i="1" l="1"/>
  <c r="P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B24" i="1" l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O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B12" i="1" l="1"/>
  <c r="B20" i="1" s="1"/>
</calcChain>
</file>

<file path=xl/sharedStrings.xml><?xml version="1.0" encoding="utf-8"?>
<sst xmlns="http://schemas.openxmlformats.org/spreadsheetml/2006/main" count="83" uniqueCount="34">
  <si>
    <t>Credit  Headcount At Census</t>
  </si>
  <si>
    <t>AY07-08</t>
  </si>
  <si>
    <t>AY08-09</t>
  </si>
  <si>
    <t>AY09-10</t>
  </si>
  <si>
    <t>AY10-11</t>
  </si>
  <si>
    <t>AY11-12</t>
  </si>
  <si>
    <t>Academic Year</t>
  </si>
  <si>
    <t>Gender</t>
  </si>
  <si>
    <t>SU07</t>
  </si>
  <si>
    <t>FA07</t>
  </si>
  <si>
    <t>SP08</t>
  </si>
  <si>
    <t>SU08</t>
  </si>
  <si>
    <t>FA08</t>
  </si>
  <si>
    <t>SP09</t>
  </si>
  <si>
    <t>SU09</t>
  </si>
  <si>
    <t>FA09</t>
  </si>
  <si>
    <t>SP10</t>
  </si>
  <si>
    <t>SU10</t>
  </si>
  <si>
    <t>FA10</t>
  </si>
  <si>
    <t>SP11</t>
  </si>
  <si>
    <t>SU11</t>
  </si>
  <si>
    <t>FA11</t>
  </si>
  <si>
    <t>SP12</t>
  </si>
  <si>
    <t>Male</t>
  </si>
  <si>
    <t>Female</t>
  </si>
  <si>
    <t>Undeclared</t>
  </si>
  <si>
    <t>Term Total</t>
  </si>
  <si>
    <t>% of Total</t>
  </si>
  <si>
    <t>Credit Headcount % of Total</t>
  </si>
  <si>
    <t>Success Rate</t>
  </si>
  <si>
    <t>Term Average</t>
  </si>
  <si>
    <r>
      <t xml:space="preserve">Success rate </t>
    </r>
    <r>
      <rPr>
        <sz val="10"/>
        <color rgb="FF000000"/>
        <rFont val="Calibri"/>
        <family val="2"/>
        <scheme val="minor"/>
      </rPr>
      <t xml:space="preserve">= # of “A, B, C, CR &amp; P” grades divided by (the # of all grades) “A, B, C, CR, P, D, F, NC, NP, I and W” </t>
    </r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</si>
  <si>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 data</t>
    </r>
  </si>
  <si>
    <r>
      <rPr>
        <b/>
        <sz val="12"/>
        <rFont val="Calibri"/>
        <family val="2"/>
        <scheme val="minor"/>
      </rPr>
      <t>MSJC I-15 Corridor / TEM Total</t>
    </r>
    <r>
      <rPr>
        <b/>
        <sz val="12"/>
        <color theme="5" tint="-0.249977111117893"/>
        <rFont val="Calibri"/>
        <family val="2"/>
        <scheme val="minor"/>
      </rPr>
      <t xml:space="preserve"> by Gender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</si>
</sst>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9.9"/>
      <name val="Calibri"/>
      <family val="2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1"/>
      <color rgb="FFC00000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</borders>
  <cellStyleXfs count="5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43" fontId="21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" fillId="0" borderId="0"/>
  </cellStyleXfs>
  <cellXfs count="74">
    <xf numFmtId="0" fontId="0" fillId="0" borderId="0" xfId="0"/>
    <xf numFmtId="0" fontId="0" fillId="0" borderId="0" xfId="0"/>
    <xf numFmtId="0" fontId="16" fillId="0" borderId="23" xfId="45" applyFont="1" applyBorder="1" applyAlignment="1">
      <alignment horizontal="center" vertical="center"/>
    </xf>
    <xf numFmtId="9" fontId="24" fillId="0" borderId="19" xfId="2" applyFont="1" applyBorder="1" applyAlignment="1" applyProtection="1">
      <alignment horizontal="center" vertical="center"/>
    </xf>
    <xf numFmtId="0" fontId="23" fillId="33" borderId="28" xfId="45" applyFont="1" applyFill="1" applyBorder="1" applyAlignment="1">
      <alignment horizontal="center" vertical="center"/>
    </xf>
    <xf numFmtId="0" fontId="23" fillId="33" borderId="29" xfId="45" applyFont="1" applyFill="1" applyBorder="1" applyAlignment="1">
      <alignment horizontal="center" vertical="center"/>
    </xf>
    <xf numFmtId="0" fontId="23" fillId="33" borderId="30" xfId="45" applyFont="1" applyFill="1" applyBorder="1" applyAlignment="1">
      <alignment horizontal="center" vertical="center"/>
    </xf>
    <xf numFmtId="0" fontId="22" fillId="34" borderId="29" xfId="45" applyFont="1" applyFill="1" applyBorder="1" applyAlignment="1">
      <alignment horizontal="center" vertical="center"/>
    </xf>
    <xf numFmtId="0" fontId="22" fillId="34" borderId="30" xfId="45" applyFont="1" applyFill="1" applyBorder="1" applyAlignment="1">
      <alignment horizontal="center" vertical="center"/>
    </xf>
    <xf numFmtId="0" fontId="22" fillId="34" borderId="28" xfId="45" applyFont="1" applyFill="1" applyBorder="1" applyAlignment="1">
      <alignment horizontal="center" vertical="center"/>
    </xf>
    <xf numFmtId="164" fontId="24" fillId="0" borderId="18" xfId="1" applyNumberFormat="1" applyFont="1" applyBorder="1" applyAlignment="1" applyProtection="1">
      <alignment horizontal="center" vertical="center"/>
    </xf>
    <xf numFmtId="164" fontId="24" fillId="0" borderId="20" xfId="1" applyNumberFormat="1" applyFont="1" applyBorder="1" applyAlignment="1" applyProtection="1">
      <alignment horizontal="center" vertical="center"/>
    </xf>
    <xf numFmtId="164" fontId="26" fillId="0" borderId="31" xfId="1" applyNumberFormat="1" applyFont="1" applyBorder="1" applyAlignment="1" applyProtection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6" fillId="0" borderId="13" xfId="47" applyFont="1" applyBorder="1" applyAlignment="1" applyProtection="1"/>
    <xf numFmtId="9" fontId="24" fillId="0" borderId="18" xfId="2" applyFont="1" applyBorder="1" applyAlignment="1" applyProtection="1">
      <alignment horizontal="center" vertical="center"/>
    </xf>
    <xf numFmtId="0" fontId="26" fillId="0" borderId="33" xfId="47" applyFont="1" applyBorder="1" applyAlignment="1" applyProtection="1"/>
    <xf numFmtId="0" fontId="26" fillId="0" borderId="24" xfId="47" applyFont="1" applyBorder="1" applyAlignment="1" applyProtection="1"/>
    <xf numFmtId="0" fontId="26" fillId="0" borderId="32" xfId="47" applyFont="1" applyBorder="1" applyAlignment="1" applyProtection="1"/>
    <xf numFmtId="0" fontId="23" fillId="33" borderId="34" xfId="45" applyFont="1" applyFill="1" applyBorder="1" applyAlignment="1">
      <alignment horizontal="center" vertical="center"/>
    </xf>
    <xf numFmtId="0" fontId="23" fillId="33" borderId="35" xfId="45" applyFont="1" applyFill="1" applyBorder="1" applyAlignment="1">
      <alignment horizontal="center" vertical="center"/>
    </xf>
    <xf numFmtId="0" fontId="23" fillId="33" borderId="36" xfId="45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1" fillId="0" borderId="0" xfId="57" applyFont="1"/>
    <xf numFmtId="0" fontId="28" fillId="0" borderId="23" xfId="47" applyFont="1" applyBorder="1" applyAlignment="1" applyProtection="1">
      <alignment horizontal="center" vertical="center"/>
    </xf>
    <xf numFmtId="164" fontId="24" fillId="0" borderId="10" xfId="1" applyNumberFormat="1" applyFont="1" applyBorder="1" applyAlignment="1" applyProtection="1">
      <alignment horizontal="center" vertical="center"/>
    </xf>
    <xf numFmtId="164" fontId="24" fillId="0" borderId="37" xfId="1" applyNumberFormat="1" applyFont="1" applyBorder="1" applyAlignment="1" applyProtection="1">
      <alignment horizontal="center" vertical="center"/>
    </xf>
    <xf numFmtId="164" fontId="24" fillId="0" borderId="16" xfId="1" applyNumberFormat="1" applyFont="1" applyBorder="1" applyAlignment="1" applyProtection="1">
      <alignment horizontal="center" vertical="center"/>
    </xf>
    <xf numFmtId="164" fontId="24" fillId="0" borderId="17" xfId="1" applyNumberFormat="1" applyFont="1" applyBorder="1" applyAlignment="1" applyProtection="1">
      <alignment horizontal="center" vertical="center"/>
    </xf>
    <xf numFmtId="164" fontId="24" fillId="0" borderId="19" xfId="1" applyNumberFormat="1" applyFont="1" applyBorder="1" applyAlignment="1" applyProtection="1">
      <alignment horizontal="center" vertical="center"/>
    </xf>
    <xf numFmtId="164" fontId="24" fillId="0" borderId="38" xfId="1" applyNumberFormat="1" applyFont="1" applyBorder="1" applyAlignment="1" applyProtection="1">
      <alignment horizontal="center" vertical="center"/>
    </xf>
    <xf numFmtId="164" fontId="24" fillId="0" borderId="42" xfId="1" applyNumberFormat="1" applyFont="1" applyBorder="1" applyAlignment="1" applyProtection="1">
      <alignment horizontal="center" vertical="center"/>
    </xf>
    <xf numFmtId="164" fontId="24" fillId="0" borderId="43" xfId="1" applyNumberFormat="1" applyFont="1" applyBorder="1" applyAlignment="1" applyProtection="1">
      <alignment horizontal="center" vertical="center"/>
    </xf>
    <xf numFmtId="164" fontId="24" fillId="0" borderId="28" xfId="1" applyNumberFormat="1" applyFont="1" applyBorder="1" applyAlignment="1" applyProtection="1">
      <alignment horizontal="center" vertical="center"/>
    </xf>
    <xf numFmtId="164" fontId="24" fillId="0" borderId="29" xfId="1" applyNumberFormat="1" applyFont="1" applyBorder="1" applyAlignment="1" applyProtection="1">
      <alignment horizontal="center" vertical="center"/>
    </xf>
    <xf numFmtId="164" fontId="24" fillId="0" borderId="30" xfId="1" applyNumberFormat="1" applyFont="1" applyBorder="1" applyAlignment="1" applyProtection="1">
      <alignment horizontal="center" vertical="center"/>
    </xf>
    <xf numFmtId="164" fontId="24" fillId="0" borderId="44" xfId="1" applyNumberFormat="1" applyFont="1" applyBorder="1" applyAlignment="1" applyProtection="1">
      <alignment horizontal="center" vertical="center"/>
    </xf>
    <xf numFmtId="164" fontId="24" fillId="0" borderId="45" xfId="1" applyNumberFormat="1" applyFont="1" applyBorder="1" applyAlignment="1" applyProtection="1">
      <alignment horizontal="center" vertical="center"/>
    </xf>
    <xf numFmtId="164" fontId="26" fillId="0" borderId="46" xfId="1" applyNumberFormat="1" applyFont="1" applyBorder="1" applyAlignment="1" applyProtection="1">
      <alignment horizontal="center" vertical="center"/>
    </xf>
    <xf numFmtId="164" fontId="26" fillId="0" borderId="47" xfId="1" applyNumberFormat="1" applyFont="1" applyBorder="1" applyAlignment="1" applyProtection="1">
      <alignment horizontal="center" vertical="center"/>
    </xf>
    <xf numFmtId="164" fontId="26" fillId="0" borderId="48" xfId="1" applyNumberFormat="1" applyFont="1" applyBorder="1" applyAlignment="1" applyProtection="1">
      <alignment horizontal="center" vertical="center"/>
    </xf>
    <xf numFmtId="164" fontId="26" fillId="0" borderId="49" xfId="1" applyNumberFormat="1" applyFont="1" applyBorder="1" applyAlignment="1" applyProtection="1">
      <alignment horizontal="center" vertical="center"/>
    </xf>
    <xf numFmtId="9" fontId="26" fillId="0" borderId="46" xfId="2" applyFont="1" applyBorder="1" applyAlignment="1" applyProtection="1">
      <alignment horizontal="center" vertical="center"/>
    </xf>
    <xf numFmtId="0" fontId="27" fillId="35" borderId="11" xfId="10" applyFont="1" applyFill="1" applyBorder="1" applyAlignment="1">
      <alignment horizontal="center" vertical="center" wrapText="1"/>
    </xf>
    <xf numFmtId="0" fontId="27" fillId="35" borderId="12" xfId="10" applyFont="1" applyFill="1" applyBorder="1" applyAlignment="1">
      <alignment horizontal="center" vertical="center" wrapText="1"/>
    </xf>
    <xf numFmtId="0" fontId="27" fillId="35" borderId="13" xfId="10" applyFont="1" applyFill="1" applyBorder="1" applyAlignment="1">
      <alignment horizontal="center" vertical="center" wrapText="1"/>
    </xf>
    <xf numFmtId="0" fontId="19" fillId="35" borderId="25" xfId="45" applyFont="1" applyFill="1" applyBorder="1" applyAlignment="1">
      <alignment horizontal="center"/>
    </xf>
    <xf numFmtId="0" fontId="19" fillId="35" borderId="26" xfId="45" applyFont="1" applyFill="1" applyBorder="1" applyAlignment="1">
      <alignment horizontal="center"/>
    </xf>
    <xf numFmtId="0" fontId="19" fillId="35" borderId="27" xfId="45" applyFont="1" applyFill="1" applyBorder="1" applyAlignment="1">
      <alignment horizontal="center"/>
    </xf>
    <xf numFmtId="0" fontId="25" fillId="35" borderId="22" xfId="45" applyFont="1" applyFill="1" applyBorder="1" applyAlignment="1">
      <alignment horizontal="center"/>
    </xf>
    <xf numFmtId="0" fontId="25" fillId="35" borderId="0" xfId="45" applyFont="1" applyFill="1" applyBorder="1" applyAlignment="1">
      <alignment horizontal="center"/>
    </xf>
    <xf numFmtId="0" fontId="25" fillId="35" borderId="21" xfId="45" applyFont="1" applyFill="1" applyBorder="1" applyAlignment="1">
      <alignment horizontal="center"/>
    </xf>
    <xf numFmtId="0" fontId="23" fillId="33" borderId="18" xfId="45" applyFont="1" applyFill="1" applyBorder="1" applyAlignment="1">
      <alignment horizontal="center" vertical="center"/>
    </xf>
    <xf numFmtId="0" fontId="23" fillId="33" borderId="16" xfId="45" applyFont="1" applyFill="1" applyBorder="1" applyAlignment="1">
      <alignment horizontal="center" vertical="center"/>
    </xf>
    <xf numFmtId="0" fontId="23" fillId="33" borderId="17" xfId="45" applyFont="1" applyFill="1" applyBorder="1" applyAlignment="1">
      <alignment horizontal="center" vertical="center"/>
    </xf>
    <xf numFmtId="0" fontId="22" fillId="34" borderId="18" xfId="45" applyFont="1" applyFill="1" applyBorder="1" applyAlignment="1">
      <alignment horizontal="center" vertical="center"/>
    </xf>
    <xf numFmtId="0" fontId="22" fillId="34" borderId="16" xfId="45" applyFont="1" applyFill="1" applyBorder="1" applyAlignment="1">
      <alignment horizontal="center" vertical="center"/>
    </xf>
    <xf numFmtId="0" fontId="22" fillId="34" borderId="17" xfId="45" applyFont="1" applyFill="1" applyBorder="1" applyAlignment="1">
      <alignment horizontal="center" vertical="center"/>
    </xf>
    <xf numFmtId="0" fontId="22" fillId="35" borderId="11" xfId="10" applyFont="1" applyFill="1" applyBorder="1" applyAlignment="1">
      <alignment horizontal="center" vertical="center" wrapText="1"/>
    </xf>
    <xf numFmtId="0" fontId="22" fillId="35" borderId="12" xfId="10" applyFont="1" applyFill="1" applyBorder="1" applyAlignment="1">
      <alignment horizontal="center" vertical="center" wrapText="1"/>
    </xf>
    <xf numFmtId="0" fontId="22" fillId="35" borderId="13" xfId="10" applyFont="1" applyFill="1" applyBorder="1" applyAlignment="1">
      <alignment horizontal="center" vertical="center" wrapText="1"/>
    </xf>
    <xf numFmtId="0" fontId="19" fillId="35" borderId="22" xfId="45" applyFont="1" applyFill="1" applyBorder="1" applyAlignment="1">
      <alignment horizontal="center"/>
    </xf>
    <xf numFmtId="0" fontId="19" fillId="35" borderId="0" xfId="45" applyFont="1" applyFill="1" applyBorder="1" applyAlignment="1">
      <alignment horizontal="center"/>
    </xf>
    <xf numFmtId="0" fontId="19" fillId="35" borderId="21" xfId="45" applyFont="1" applyFill="1" applyBorder="1" applyAlignment="1">
      <alignment horizontal="center"/>
    </xf>
    <xf numFmtId="0" fontId="19" fillId="35" borderId="13" xfId="45" applyFont="1" applyFill="1" applyBorder="1" applyAlignment="1">
      <alignment horizontal="center"/>
    </xf>
    <xf numFmtId="0" fontId="19" fillId="35" borderId="14" xfId="45" applyFont="1" applyFill="1" applyBorder="1" applyAlignment="1">
      <alignment horizontal="center"/>
    </xf>
    <xf numFmtId="0" fontId="19" fillId="35" borderId="15" xfId="45" applyFont="1" applyFill="1" applyBorder="1" applyAlignment="1">
      <alignment horizontal="center"/>
    </xf>
    <xf numFmtId="0" fontId="23" fillId="33" borderId="34" xfId="45" applyFont="1" applyFill="1" applyBorder="1" applyAlignment="1">
      <alignment horizontal="center" vertical="center"/>
    </xf>
    <xf numFmtId="0" fontId="23" fillId="33" borderId="35" xfId="45" applyFont="1" applyFill="1" applyBorder="1" applyAlignment="1">
      <alignment horizontal="center" vertical="center"/>
    </xf>
    <xf numFmtId="0" fontId="23" fillId="33" borderId="36" xfId="45" applyFont="1" applyFill="1" applyBorder="1" applyAlignment="1">
      <alignment horizontal="center" vertical="center"/>
    </xf>
    <xf numFmtId="3" fontId="28" fillId="0" borderId="39" xfId="1" applyNumberFormat="1" applyFont="1" applyFill="1" applyBorder="1" applyAlignment="1" applyProtection="1">
      <alignment horizontal="center" vertical="center"/>
    </xf>
    <xf numFmtId="3" fontId="28" fillId="0" borderId="40" xfId="1" applyNumberFormat="1" applyFont="1" applyFill="1" applyBorder="1" applyAlignment="1" applyProtection="1">
      <alignment horizontal="center" vertical="center"/>
    </xf>
    <xf numFmtId="3" fontId="28" fillId="0" borderId="41" xfId="1" applyNumberFormat="1" applyFont="1" applyFill="1" applyBorder="1" applyAlignment="1" applyProtection="1">
      <alignment horizontal="center" vertical="center"/>
    </xf>
  </cellXfs>
  <cellStyles count="58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50"/>
    <cellStyle name="Comma 2 2" xfId="5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7" builtinId="8"/>
    <cellStyle name="Hyperlink 2" xfId="51"/>
    <cellStyle name="Input" xfId="11" builtinId="20" customBuiltin="1"/>
    <cellStyle name="Linked Cell" xfId="14" builtinId="24" customBuiltin="1"/>
    <cellStyle name="Neutral" xfId="10" builtinId="28" customBuiltin="1"/>
    <cellStyle name="Neutral 2" xfId="54"/>
    <cellStyle name="Normal" xfId="0" builtinId="0"/>
    <cellStyle name="Normal 2" xfId="45"/>
    <cellStyle name="Normal 2 2" xfId="49"/>
    <cellStyle name="Normal 2 2 2" xfId="52"/>
    <cellStyle name="Normal 3" xfId="44"/>
    <cellStyle name="Normal 3 2" xfId="55"/>
    <cellStyle name="Normal 4" xfId="57"/>
    <cellStyle name="Note" xfId="17" builtinId="10" customBuiltin="1"/>
    <cellStyle name="Note 2" xfId="46"/>
    <cellStyle name="Output" xfId="12" builtinId="21" customBuiltin="1"/>
    <cellStyle name="Percent" xfId="2" builtinId="5"/>
    <cellStyle name="Percent 2" xfId="48"/>
    <cellStyle name="Percent 2 2" xfId="56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k%20Mesaris/_Master%20Data%20Program/I-15%20Corridor%20-%20TEM%20Service%20Area/Demographics/All%20Students/Unduplicated%20Headcount/edit/sort.gender.headcount.demographic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ik%20Mesaris/_Master%20Data%20Program/I-15%20Corridor%20-%20TEM%20Service%20Area/Demographics/All%20Students/Ethnicity/edit.tem.ethnic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uccess.r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ethnic graded seats"/>
      <sheetName val="Sheet3"/>
    </sheetNames>
    <sheetDataSet>
      <sheetData sheetId="0">
        <row r="1">
          <cell r="A1" t="str">
            <v>Gender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Gender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Male</v>
          </cell>
          <cell r="B4">
            <v>8</v>
          </cell>
          <cell r="C4">
            <v>525</v>
          </cell>
          <cell r="D4">
            <v>509</v>
          </cell>
          <cell r="E4">
            <v>173</v>
          </cell>
          <cell r="F4">
            <v>765</v>
          </cell>
          <cell r="G4">
            <v>944</v>
          </cell>
          <cell r="H4">
            <v>251</v>
          </cell>
          <cell r="I4">
            <v>1036</v>
          </cell>
          <cell r="J4">
            <v>1024</v>
          </cell>
          <cell r="K4">
            <v>160</v>
          </cell>
          <cell r="L4">
            <v>955</v>
          </cell>
          <cell r="M4">
            <v>923</v>
          </cell>
          <cell r="N4">
            <v>0</v>
          </cell>
          <cell r="O4">
            <v>880</v>
          </cell>
          <cell r="P4">
            <v>875</v>
          </cell>
        </row>
        <row r="5">
          <cell r="A5" t="str">
            <v>Female</v>
          </cell>
          <cell r="B5">
            <v>11</v>
          </cell>
          <cell r="C5">
            <v>882</v>
          </cell>
          <cell r="D5">
            <v>942</v>
          </cell>
          <cell r="E5">
            <v>309</v>
          </cell>
          <cell r="F5">
            <v>1195</v>
          </cell>
          <cell r="G5">
            <v>1608</v>
          </cell>
          <cell r="H5">
            <v>441</v>
          </cell>
          <cell r="I5">
            <v>1476</v>
          </cell>
          <cell r="J5">
            <v>1397</v>
          </cell>
          <cell r="K5">
            <v>222</v>
          </cell>
          <cell r="L5">
            <v>1251</v>
          </cell>
          <cell r="M5">
            <v>1227</v>
          </cell>
          <cell r="N5">
            <v>0</v>
          </cell>
          <cell r="O5">
            <v>1150</v>
          </cell>
          <cell r="P5">
            <v>1119</v>
          </cell>
        </row>
        <row r="6">
          <cell r="A6" t="str">
            <v>Undeclared</v>
          </cell>
          <cell r="B6">
            <v>0</v>
          </cell>
          <cell r="C6">
            <v>12</v>
          </cell>
          <cell r="D6">
            <v>17</v>
          </cell>
          <cell r="E6">
            <v>8</v>
          </cell>
          <cell r="F6">
            <v>26</v>
          </cell>
          <cell r="G6">
            <v>29</v>
          </cell>
          <cell r="H6">
            <v>11</v>
          </cell>
          <cell r="I6">
            <v>27</v>
          </cell>
          <cell r="J6">
            <v>24</v>
          </cell>
          <cell r="K6">
            <v>4</v>
          </cell>
          <cell r="L6">
            <v>17</v>
          </cell>
          <cell r="M6">
            <v>23</v>
          </cell>
          <cell r="N6">
            <v>0</v>
          </cell>
          <cell r="O6">
            <v>13</v>
          </cell>
          <cell r="P6">
            <v>11</v>
          </cell>
        </row>
        <row r="7">
          <cell r="A7" t="str">
            <v>Term Total</v>
          </cell>
          <cell r="B7">
            <v>19</v>
          </cell>
          <cell r="C7">
            <v>1419</v>
          </cell>
          <cell r="D7">
            <v>1468</v>
          </cell>
          <cell r="E7">
            <v>490</v>
          </cell>
          <cell r="F7">
            <v>1986</v>
          </cell>
          <cell r="G7">
            <v>2581</v>
          </cell>
          <cell r="H7">
            <v>703</v>
          </cell>
          <cell r="I7">
            <v>2539</v>
          </cell>
          <cell r="J7">
            <v>2445</v>
          </cell>
          <cell r="K7">
            <v>386</v>
          </cell>
          <cell r="L7">
            <v>2223</v>
          </cell>
          <cell r="M7">
            <v>2173</v>
          </cell>
          <cell r="N7">
            <v>0</v>
          </cell>
          <cell r="O7">
            <v>2043</v>
          </cell>
          <cell r="P7">
            <v>2005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"/>
      <sheetName val="edit.tem.ethnicity"/>
    </sheetNames>
    <sheetDataSet>
      <sheetData sheetId="0">
        <row r="15">
          <cell r="B15">
            <v>2678</v>
          </cell>
          <cell r="E15">
            <v>4486</v>
          </cell>
          <cell r="H15">
            <v>4739</v>
          </cell>
          <cell r="K15">
            <v>3891</v>
          </cell>
          <cell r="N15"/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ccess rates"/>
      <sheetName val="graded seats"/>
      <sheetName val="success seats"/>
    </sheetNames>
    <sheetDataSet>
      <sheetData sheetId="0">
        <row r="1">
          <cell r="A1" t="str">
            <v>Gender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Gender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Male</v>
          </cell>
          <cell r="B4">
            <v>1</v>
          </cell>
          <cell r="C4">
            <v>0.64273504273504278</v>
          </cell>
          <cell r="D4">
            <v>0.66666666666666663</v>
          </cell>
          <cell r="E4">
            <v>0.85</v>
          </cell>
          <cell r="F4">
            <v>0.69315895372233405</v>
          </cell>
          <cell r="G4">
            <v>0.70041841004184102</v>
          </cell>
          <cell r="H4">
            <v>0.78030303030303028</v>
          </cell>
          <cell r="I4">
            <v>0.70680272108843534</v>
          </cell>
          <cell r="J4">
            <v>0.67362924281984338</v>
          </cell>
          <cell r="K4">
            <v>0.87283236994219648</v>
          </cell>
          <cell r="L4">
            <v>0.69785714285714284</v>
          </cell>
          <cell r="M4">
            <v>0.67950693374422189</v>
          </cell>
          <cell r="N4" t="e">
            <v>#DIV/0!</v>
          </cell>
          <cell r="O4">
            <v>0.73762765121759621</v>
          </cell>
          <cell r="P4">
            <v>0.72538030424339472</v>
          </cell>
        </row>
        <row r="5">
          <cell r="A5" t="str">
            <v>Female</v>
          </cell>
          <cell r="B5">
            <v>1</v>
          </cell>
          <cell r="C5">
            <v>0.67551020408163265</v>
          </cell>
          <cell r="D5">
            <v>0.76447105788423153</v>
          </cell>
          <cell r="E5">
            <v>0.88695652173913042</v>
          </cell>
          <cell r="F5">
            <v>0.69993434011818778</v>
          </cell>
          <cell r="G5">
            <v>0.75256222547584184</v>
          </cell>
          <cell r="H5">
            <v>0.86051502145922742</v>
          </cell>
          <cell r="I5">
            <v>0.77187658067779463</v>
          </cell>
          <cell r="J5">
            <v>0.72915613946437596</v>
          </cell>
          <cell r="K5">
            <v>0.88311688311688308</v>
          </cell>
          <cell r="L5">
            <v>0.76813966175668302</v>
          </cell>
          <cell r="M5">
            <v>0.75480489225393133</v>
          </cell>
          <cell r="N5" t="e">
            <v>#DIV/0!</v>
          </cell>
          <cell r="O5">
            <v>0.7846919726197884</v>
          </cell>
          <cell r="P5">
            <v>0.74840764331210186</v>
          </cell>
        </row>
        <row r="6">
          <cell r="A6" t="str">
            <v>Undeclared</v>
          </cell>
          <cell r="B6" t="e">
            <v>#DIV/0!</v>
          </cell>
          <cell r="C6">
            <v>0.7142857142857143</v>
          </cell>
          <cell r="D6">
            <v>0.76190476190476186</v>
          </cell>
          <cell r="E6">
            <v>0.88888888888888884</v>
          </cell>
          <cell r="F6">
            <v>0.83783783783783783</v>
          </cell>
          <cell r="G6">
            <v>0.79487179487179482</v>
          </cell>
          <cell r="H6">
            <v>1</v>
          </cell>
          <cell r="I6">
            <v>0.625</v>
          </cell>
          <cell r="J6">
            <v>0.7</v>
          </cell>
          <cell r="K6">
            <v>0.5</v>
          </cell>
          <cell r="L6">
            <v>0.81818181818181823</v>
          </cell>
          <cell r="M6">
            <v>0.66666666666666663</v>
          </cell>
          <cell r="N6" t="e">
            <v>#DIV/0!</v>
          </cell>
          <cell r="O6">
            <v>0.90476190476190477</v>
          </cell>
          <cell r="P6">
            <v>0.7857142857142857</v>
          </cell>
        </row>
        <row r="7">
          <cell r="A7" t="str">
            <v>Term Total</v>
          </cell>
          <cell r="B7">
            <v>1</v>
          </cell>
          <cell r="C7">
            <v>0.66371120962634578</v>
          </cell>
          <cell r="D7">
            <v>0.72991777356103726</v>
          </cell>
          <cell r="E7">
            <v>0.87364620938628157</v>
          </cell>
          <cell r="F7">
            <v>0.69929522317932657</v>
          </cell>
          <cell r="G7">
            <v>0.73408467864757843</v>
          </cell>
          <cell r="H7">
            <v>0.83489932885906037</v>
          </cell>
          <cell r="I7">
            <v>0.74302960620868064</v>
          </cell>
          <cell r="J7">
            <v>0.70488562552951139</v>
          </cell>
          <cell r="K7">
            <v>0.875</v>
          </cell>
          <cell r="L7">
            <v>0.73824884792626733</v>
          </cell>
          <cell r="M7">
            <v>0.72183908045977008</v>
          </cell>
          <cell r="N7" t="e">
            <v>#DIV/0!</v>
          </cell>
          <cell r="O7">
            <v>0.76490865218890036</v>
          </cell>
          <cell r="P7">
            <v>0.73843981644899404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tabSelected="1" workbookViewId="0">
      <selection activeCell="S9" sqref="S9"/>
    </sheetView>
  </sheetViews>
  <sheetFormatPr defaultRowHeight="15" x14ac:dyDescent="0.25"/>
  <cols>
    <col min="1" max="1" width="14.140625" customWidth="1"/>
    <col min="2" max="2" width="6.5703125" bestFit="1" customWidth="1"/>
    <col min="3" max="4" width="7.5703125" bestFit="1" customWidth="1"/>
    <col min="5" max="5" width="6.5703125" bestFit="1" customWidth="1"/>
    <col min="6" max="7" width="7.5703125" bestFit="1" customWidth="1"/>
    <col min="8" max="8" width="6.5703125" bestFit="1" customWidth="1"/>
    <col min="9" max="10" width="7.5703125" bestFit="1" customWidth="1"/>
    <col min="11" max="11" width="6.5703125" bestFit="1" customWidth="1"/>
    <col min="12" max="13" width="7.5703125" bestFit="1" customWidth="1"/>
    <col min="14" max="14" width="5.42578125" bestFit="1" customWidth="1"/>
    <col min="15" max="15" width="7.5703125" bestFit="1" customWidth="1"/>
    <col min="16" max="16" width="8" customWidth="1"/>
  </cols>
  <sheetData>
    <row r="1" spans="1:16" ht="15.75" x14ac:dyDescent="0.25">
      <c r="A1" s="59"/>
      <c r="B1" s="62" t="s">
        <v>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4"/>
    </row>
    <row r="2" spans="1:16" ht="16.5" thickBot="1" x14ac:dyDescent="0.3">
      <c r="A2" s="60"/>
      <c r="B2" s="65" t="s">
        <v>33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7"/>
    </row>
    <row r="3" spans="1:16" ht="15.75" thickBot="1" x14ac:dyDescent="0.3">
      <c r="A3" s="61"/>
      <c r="B3" s="53" t="s">
        <v>1</v>
      </c>
      <c r="C3" s="54"/>
      <c r="D3" s="55"/>
      <c r="E3" s="56" t="s">
        <v>2</v>
      </c>
      <c r="F3" s="57"/>
      <c r="G3" s="58"/>
      <c r="H3" s="53" t="s">
        <v>3</v>
      </c>
      <c r="I3" s="54"/>
      <c r="J3" s="55"/>
      <c r="K3" s="56" t="s">
        <v>4</v>
      </c>
      <c r="L3" s="57"/>
      <c r="M3" s="58"/>
      <c r="N3" s="53" t="s">
        <v>5</v>
      </c>
      <c r="O3" s="54"/>
      <c r="P3" s="55"/>
    </row>
    <row r="4" spans="1:16" ht="15.75" thickBot="1" x14ac:dyDescent="0.3">
      <c r="A4" s="2" t="s">
        <v>7</v>
      </c>
      <c r="B4" s="4" t="s">
        <v>8</v>
      </c>
      <c r="C4" s="5" t="s">
        <v>9</v>
      </c>
      <c r="D4" s="6" t="s">
        <v>10</v>
      </c>
      <c r="E4" s="9" t="s">
        <v>11</v>
      </c>
      <c r="F4" s="7" t="s">
        <v>12</v>
      </c>
      <c r="G4" s="8" t="s">
        <v>13</v>
      </c>
      <c r="H4" s="4" t="s">
        <v>14</v>
      </c>
      <c r="I4" s="5" t="s">
        <v>15</v>
      </c>
      <c r="J4" s="6" t="s">
        <v>16</v>
      </c>
      <c r="K4" s="9" t="s">
        <v>17</v>
      </c>
      <c r="L4" s="7" t="s">
        <v>18</v>
      </c>
      <c r="M4" s="8" t="s">
        <v>19</v>
      </c>
      <c r="N4" s="4" t="s">
        <v>20</v>
      </c>
      <c r="O4" s="5" t="s">
        <v>21</v>
      </c>
      <c r="P4" s="6" t="s">
        <v>22</v>
      </c>
    </row>
    <row r="5" spans="1:16" x14ac:dyDescent="0.25">
      <c r="A5" s="17" t="s">
        <v>23</v>
      </c>
      <c r="B5" s="28">
        <f>VLOOKUP($A5,'[1]credit ethnic graded seats'!$A:$P,HLOOKUP(B$4,'[1]credit ethnic graded seats'!$1:$2,2,FALSE),FALSE)</f>
        <v>8</v>
      </c>
      <c r="C5" s="28">
        <f>VLOOKUP($A5,'[1]credit ethnic graded seats'!$A:$P,HLOOKUP(C$4,'[1]credit ethnic graded seats'!$1:$2,2,FALSE),FALSE)</f>
        <v>525</v>
      </c>
      <c r="D5" s="29">
        <f>VLOOKUP($A5,'[1]credit ethnic graded seats'!$A:$P,HLOOKUP(D$4,'[1]credit ethnic graded seats'!$1:$2,2,FALSE),FALSE)</f>
        <v>509</v>
      </c>
      <c r="E5" s="32">
        <f>VLOOKUP($A5,'[1]credit ethnic graded seats'!$A:$P,HLOOKUP(E$4,'[1]credit ethnic graded seats'!$1:$2,2,FALSE),FALSE)</f>
        <v>173</v>
      </c>
      <c r="F5" s="28">
        <f>VLOOKUP($A5,'[1]credit ethnic graded seats'!$A:$P,HLOOKUP(F$4,'[1]credit ethnic graded seats'!$1:$2,2,FALSE),FALSE)</f>
        <v>765</v>
      </c>
      <c r="G5" s="33">
        <f>VLOOKUP($A5,'[1]credit ethnic graded seats'!$A:$P,HLOOKUP(G$4,'[1]credit ethnic graded seats'!$1:$2,2,FALSE),FALSE)</f>
        <v>944</v>
      </c>
      <c r="H5" s="10">
        <f>VLOOKUP($A5,'[1]credit ethnic graded seats'!$A:$P,HLOOKUP(H$4,'[1]credit ethnic graded seats'!$1:$2,2,FALSE),FALSE)</f>
        <v>251</v>
      </c>
      <c r="I5" s="28">
        <f>VLOOKUP($A5,'[1]credit ethnic graded seats'!$A:$P,HLOOKUP(I$4,'[1]credit ethnic graded seats'!$1:$2,2,FALSE),FALSE)</f>
        <v>1036</v>
      </c>
      <c r="J5" s="29">
        <f>VLOOKUP($A5,'[1]credit ethnic graded seats'!$A:$P,HLOOKUP(J$4,'[1]credit ethnic graded seats'!$1:$2,2,FALSE),FALSE)</f>
        <v>1024</v>
      </c>
      <c r="K5" s="32">
        <f>VLOOKUP($A5,'[1]credit ethnic graded seats'!$A:$P,HLOOKUP(K$4,'[1]credit ethnic graded seats'!$1:$2,2,FALSE),FALSE)</f>
        <v>160</v>
      </c>
      <c r="L5" s="28">
        <f>VLOOKUP($A5,'[1]credit ethnic graded seats'!$A:$P,HLOOKUP(L$4,'[1]credit ethnic graded seats'!$1:$2,2,FALSE),FALSE)</f>
        <v>955</v>
      </c>
      <c r="M5" s="33">
        <f>VLOOKUP($A5,'[1]credit ethnic graded seats'!$A:$P,HLOOKUP(M$4,'[1]credit ethnic graded seats'!$1:$2,2,FALSE),FALSE)</f>
        <v>923</v>
      </c>
      <c r="N5" s="10">
        <f>VLOOKUP($A5,'[1]credit ethnic graded seats'!$A:$P,HLOOKUP(N$4,'[1]credit ethnic graded seats'!$1:$2,2,FALSE),FALSE)</f>
        <v>0</v>
      </c>
      <c r="O5" s="10">
        <f>VLOOKUP($A5,'[1]credit ethnic graded seats'!$A:$P,HLOOKUP(O$4,'[1]credit ethnic graded seats'!$1:$2,2,FALSE),FALSE)</f>
        <v>880</v>
      </c>
      <c r="P5" s="10">
        <f>VLOOKUP($A5,'[1]credit ethnic graded seats'!$A:$P,HLOOKUP(P$4,'[1]credit ethnic graded seats'!$1:$2,2,FALSE),FALSE)</f>
        <v>875</v>
      </c>
    </row>
    <row r="6" spans="1:16" x14ac:dyDescent="0.25">
      <c r="A6" s="18" t="s">
        <v>24</v>
      </c>
      <c r="B6" s="30">
        <f>VLOOKUP($A6,'[1]credit ethnic graded seats'!$A:$P,HLOOKUP(B$4,'[1]credit ethnic graded seats'!$1:$2,2,FALSE),FALSE)</f>
        <v>11</v>
      </c>
      <c r="C6" s="26">
        <f>VLOOKUP($A6,'[1]credit ethnic graded seats'!$A:$P,HLOOKUP(C$4,'[1]credit ethnic graded seats'!$1:$2,2,FALSE),FALSE)</f>
        <v>882</v>
      </c>
      <c r="D6" s="11">
        <f>VLOOKUP($A6,'[1]credit ethnic graded seats'!$A:$P,HLOOKUP(D$4,'[1]credit ethnic graded seats'!$1:$2,2,FALSE),FALSE)</f>
        <v>942</v>
      </c>
      <c r="E6" s="27">
        <f>VLOOKUP($A6,'[1]credit ethnic graded seats'!$A:$P,HLOOKUP(E$4,'[1]credit ethnic graded seats'!$1:$2,2,FALSE),FALSE)</f>
        <v>309</v>
      </c>
      <c r="F6" s="26">
        <f>VLOOKUP($A6,'[1]credit ethnic graded seats'!$A:$P,HLOOKUP(F$4,'[1]credit ethnic graded seats'!$1:$2,2,FALSE),FALSE)</f>
        <v>1195</v>
      </c>
      <c r="G6" s="31">
        <f>VLOOKUP($A6,'[1]credit ethnic graded seats'!$A:$P,HLOOKUP(G$4,'[1]credit ethnic graded seats'!$1:$2,2,FALSE),FALSE)</f>
        <v>1608</v>
      </c>
      <c r="H6" s="30">
        <f>VLOOKUP($A6,'[1]credit ethnic graded seats'!$A:$P,HLOOKUP(H$4,'[1]credit ethnic graded seats'!$1:$2,2,FALSE),FALSE)</f>
        <v>441</v>
      </c>
      <c r="I6" s="26">
        <f>VLOOKUP($A6,'[1]credit ethnic graded seats'!$A:$P,HLOOKUP(I$4,'[1]credit ethnic graded seats'!$1:$2,2,FALSE),FALSE)</f>
        <v>1476</v>
      </c>
      <c r="J6" s="11">
        <f>VLOOKUP($A6,'[1]credit ethnic graded seats'!$A:$P,HLOOKUP(J$4,'[1]credit ethnic graded seats'!$1:$2,2,FALSE),FALSE)</f>
        <v>1397</v>
      </c>
      <c r="K6" s="27">
        <f>VLOOKUP($A6,'[1]credit ethnic graded seats'!$A:$P,HLOOKUP(K$4,'[1]credit ethnic graded seats'!$1:$2,2,FALSE),FALSE)</f>
        <v>222</v>
      </c>
      <c r="L6" s="26">
        <f>VLOOKUP($A6,'[1]credit ethnic graded seats'!$A:$P,HLOOKUP(L$4,'[1]credit ethnic graded seats'!$1:$2,2,FALSE),FALSE)</f>
        <v>1251</v>
      </c>
      <c r="M6" s="31">
        <f>VLOOKUP($A6,'[1]credit ethnic graded seats'!$A:$P,HLOOKUP(M$4,'[1]credit ethnic graded seats'!$1:$2,2,FALSE),FALSE)</f>
        <v>1227</v>
      </c>
      <c r="N6" s="30">
        <f>VLOOKUP($A6,'[1]credit ethnic graded seats'!$A:$P,HLOOKUP(N$4,'[1]credit ethnic graded seats'!$1:$2,2,FALSE),FALSE)</f>
        <v>0</v>
      </c>
      <c r="O6" s="30">
        <f>VLOOKUP($A6,'[1]credit ethnic graded seats'!$A:$P,HLOOKUP(O$4,'[1]credit ethnic graded seats'!$1:$2,2,FALSE),FALSE)</f>
        <v>1150</v>
      </c>
      <c r="P6" s="30">
        <f>VLOOKUP($A6,'[1]credit ethnic graded seats'!$A:$P,HLOOKUP(P$4,'[1]credit ethnic graded seats'!$1:$2,2,FALSE),FALSE)</f>
        <v>1119</v>
      </c>
    </row>
    <row r="7" spans="1:16" ht="15.75" thickBot="1" x14ac:dyDescent="0.3">
      <c r="A7" s="19" t="s">
        <v>25</v>
      </c>
      <c r="B7" s="34">
        <f>VLOOKUP($A7,'[1]credit ethnic graded seats'!$A:$P,HLOOKUP(B$4,'[1]credit ethnic graded seats'!$1:$2,2,FALSE),FALSE)</f>
        <v>0</v>
      </c>
      <c r="C7" s="35">
        <f>VLOOKUP($A7,'[1]credit ethnic graded seats'!$A:$P,HLOOKUP(C$4,'[1]credit ethnic graded seats'!$1:$2,2,FALSE),FALSE)</f>
        <v>12</v>
      </c>
      <c r="D7" s="36">
        <f>VLOOKUP($A7,'[1]credit ethnic graded seats'!$A:$P,HLOOKUP(D$4,'[1]credit ethnic graded seats'!$1:$2,2,FALSE),FALSE)</f>
        <v>17</v>
      </c>
      <c r="E7" s="37">
        <f>VLOOKUP($A7,'[1]credit ethnic graded seats'!$A:$P,HLOOKUP(E$4,'[1]credit ethnic graded seats'!$1:$2,2,FALSE),FALSE)</f>
        <v>8</v>
      </c>
      <c r="F7" s="35">
        <f>VLOOKUP($A7,'[1]credit ethnic graded seats'!$A:$P,HLOOKUP(F$4,'[1]credit ethnic graded seats'!$1:$2,2,FALSE),FALSE)</f>
        <v>26</v>
      </c>
      <c r="G7" s="38">
        <f>VLOOKUP($A7,'[1]credit ethnic graded seats'!$A:$P,HLOOKUP(G$4,'[1]credit ethnic graded seats'!$1:$2,2,FALSE),FALSE)</f>
        <v>29</v>
      </c>
      <c r="H7" s="34">
        <f>VLOOKUP($A7,'[1]credit ethnic graded seats'!$A:$P,HLOOKUP(H$4,'[1]credit ethnic graded seats'!$1:$2,2,FALSE),FALSE)</f>
        <v>11</v>
      </c>
      <c r="I7" s="35">
        <f>VLOOKUP($A7,'[1]credit ethnic graded seats'!$A:$P,HLOOKUP(I$4,'[1]credit ethnic graded seats'!$1:$2,2,FALSE),FALSE)</f>
        <v>27</v>
      </c>
      <c r="J7" s="36">
        <f>VLOOKUP($A7,'[1]credit ethnic graded seats'!$A:$P,HLOOKUP(J$4,'[1]credit ethnic graded seats'!$1:$2,2,FALSE),FALSE)</f>
        <v>24</v>
      </c>
      <c r="K7" s="37">
        <f>VLOOKUP($A7,'[1]credit ethnic graded seats'!$A:$P,HLOOKUP(K$4,'[1]credit ethnic graded seats'!$1:$2,2,FALSE),FALSE)</f>
        <v>4</v>
      </c>
      <c r="L7" s="35">
        <f>VLOOKUP($A7,'[1]credit ethnic graded seats'!$A:$P,HLOOKUP(L$4,'[1]credit ethnic graded seats'!$1:$2,2,FALSE),FALSE)</f>
        <v>17</v>
      </c>
      <c r="M7" s="38">
        <f>VLOOKUP($A7,'[1]credit ethnic graded seats'!$A:$P,HLOOKUP(M$4,'[1]credit ethnic graded seats'!$1:$2,2,FALSE),FALSE)</f>
        <v>23</v>
      </c>
      <c r="N7" s="34">
        <f>VLOOKUP($A7,'[1]credit ethnic graded seats'!$A:$P,HLOOKUP(N$4,'[1]credit ethnic graded seats'!$1:$2,2,FALSE),FALSE)</f>
        <v>0</v>
      </c>
      <c r="O7" s="34">
        <f>VLOOKUP($A7,'[1]credit ethnic graded seats'!$A:$P,HLOOKUP(O$4,'[1]credit ethnic graded seats'!$1:$2,2,FALSE),FALSE)</f>
        <v>13</v>
      </c>
      <c r="P7" s="34">
        <f>VLOOKUP($A7,'[1]credit ethnic graded seats'!$A:$P,HLOOKUP(P$4,'[1]credit ethnic graded seats'!$1:$2,2,FALSE),FALSE)</f>
        <v>11</v>
      </c>
    </row>
    <row r="8" spans="1:16" ht="15.75" thickBot="1" x14ac:dyDescent="0.3">
      <c r="A8" s="15" t="s">
        <v>26</v>
      </c>
      <c r="B8" s="39">
        <f>VLOOKUP($A8,'[1]credit ethnic graded seats'!$A:$P,HLOOKUP(B$4,'[1]credit ethnic graded seats'!$1:$2,2,FALSE),FALSE)</f>
        <v>19</v>
      </c>
      <c r="C8" s="40">
        <f>VLOOKUP($A8,'[1]credit ethnic graded seats'!$A:$P,HLOOKUP(C$4,'[1]credit ethnic graded seats'!$1:$2,2,FALSE),FALSE)</f>
        <v>1419</v>
      </c>
      <c r="D8" s="12">
        <f>VLOOKUP($A8,'[1]credit ethnic graded seats'!$A:$P,HLOOKUP(D$4,'[1]credit ethnic graded seats'!$1:$2,2,FALSE),FALSE)</f>
        <v>1468</v>
      </c>
      <c r="E8" s="41">
        <f>VLOOKUP($A8,'[1]credit ethnic graded seats'!$A:$P,HLOOKUP(E$4,'[1]credit ethnic graded seats'!$1:$2,2,FALSE),FALSE)</f>
        <v>490</v>
      </c>
      <c r="F8" s="40">
        <f>VLOOKUP($A8,'[1]credit ethnic graded seats'!$A:$P,HLOOKUP(F$4,'[1]credit ethnic graded seats'!$1:$2,2,FALSE),FALSE)</f>
        <v>1986</v>
      </c>
      <c r="G8" s="42">
        <f>VLOOKUP($A8,'[1]credit ethnic graded seats'!$A:$P,HLOOKUP(G$4,'[1]credit ethnic graded seats'!$1:$2,2,FALSE),FALSE)</f>
        <v>2581</v>
      </c>
      <c r="H8" s="39">
        <f>VLOOKUP($A8,'[1]credit ethnic graded seats'!$A:$P,HLOOKUP(H$4,'[1]credit ethnic graded seats'!$1:$2,2,FALSE),FALSE)</f>
        <v>703</v>
      </c>
      <c r="I8" s="40">
        <f>VLOOKUP($A8,'[1]credit ethnic graded seats'!$A:$P,HLOOKUP(I$4,'[1]credit ethnic graded seats'!$1:$2,2,FALSE),FALSE)</f>
        <v>2539</v>
      </c>
      <c r="J8" s="12">
        <f>VLOOKUP($A8,'[1]credit ethnic graded seats'!$A:$P,HLOOKUP(J$4,'[1]credit ethnic graded seats'!$1:$2,2,FALSE),FALSE)</f>
        <v>2445</v>
      </c>
      <c r="K8" s="41">
        <f>VLOOKUP($A8,'[1]credit ethnic graded seats'!$A:$P,HLOOKUP(K$4,'[1]credit ethnic graded seats'!$1:$2,2,FALSE),FALSE)</f>
        <v>386</v>
      </c>
      <c r="L8" s="40">
        <f>VLOOKUP($A8,'[1]credit ethnic graded seats'!$A:$P,HLOOKUP(L$4,'[1]credit ethnic graded seats'!$1:$2,2,FALSE),FALSE)</f>
        <v>2223</v>
      </c>
      <c r="M8" s="42">
        <f>VLOOKUP($A8,'[1]credit ethnic graded seats'!$A:$P,HLOOKUP(M$4,'[1]credit ethnic graded seats'!$1:$2,2,FALSE),FALSE)</f>
        <v>2173</v>
      </c>
      <c r="N8" s="39">
        <f>VLOOKUP($A8,'[1]credit ethnic graded seats'!$A:$P,HLOOKUP(N$4,'[1]credit ethnic graded seats'!$1:$2,2,FALSE),FALSE)</f>
        <v>0</v>
      </c>
      <c r="O8" s="39">
        <f>VLOOKUP($A8,'[1]credit ethnic graded seats'!$A:$P,HLOOKUP(O$4,'[1]credit ethnic graded seats'!$1:$2,2,FALSE),FALSE)</f>
        <v>2043</v>
      </c>
      <c r="P8" s="39">
        <f>VLOOKUP($A8,'[1]credit ethnic graded seats'!$A:$P,HLOOKUP(P$4,'[1]credit ethnic graded seats'!$1:$2,2,FALSE),FALSE)</f>
        <v>2005</v>
      </c>
    </row>
    <row r="9" spans="1:16" s="1" customFormat="1" ht="15.75" thickBot="1" x14ac:dyDescent="0.3">
      <c r="A9" s="25" t="s">
        <v>6</v>
      </c>
      <c r="B9" s="71">
        <f>[2]Totals!B$15</f>
        <v>2678</v>
      </c>
      <c r="C9" s="72"/>
      <c r="D9" s="73"/>
      <c r="E9" s="71">
        <f>[2]Totals!E$15</f>
        <v>4486</v>
      </c>
      <c r="F9" s="72"/>
      <c r="G9" s="73"/>
      <c r="H9" s="71">
        <f>[2]Totals!H$15</f>
        <v>4739</v>
      </c>
      <c r="I9" s="72"/>
      <c r="J9" s="73"/>
      <c r="K9" s="71">
        <f>[2]Totals!K$15</f>
        <v>3891</v>
      </c>
      <c r="L9" s="72"/>
      <c r="M9" s="73"/>
      <c r="N9" s="71">
        <f>[2]Totals!N$15</f>
        <v>0</v>
      </c>
      <c r="O9" s="72"/>
      <c r="P9" s="73"/>
    </row>
    <row r="10" spans="1:16" ht="15.75" thickBo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x14ac:dyDescent="0.25">
      <c r="A11" s="44" t="s">
        <v>27</v>
      </c>
      <c r="B11" s="47" t="s">
        <v>28</v>
      </c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9"/>
    </row>
    <row r="12" spans="1:16" ht="16.5" thickBot="1" x14ac:dyDescent="0.3">
      <c r="A12" s="45"/>
      <c r="B12" s="50" t="str">
        <f>B2</f>
        <v>MSJC I-15 Corridor / TEM Total by Gender</v>
      </c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2"/>
    </row>
    <row r="13" spans="1:16" ht="15.75" thickBot="1" x14ac:dyDescent="0.3">
      <c r="A13" s="46"/>
      <c r="B13" s="53" t="s">
        <v>1</v>
      </c>
      <c r="C13" s="54"/>
      <c r="D13" s="55"/>
      <c r="E13" s="56" t="s">
        <v>2</v>
      </c>
      <c r="F13" s="57"/>
      <c r="G13" s="58"/>
      <c r="H13" s="53" t="s">
        <v>3</v>
      </c>
      <c r="I13" s="54"/>
      <c r="J13" s="55"/>
      <c r="K13" s="56" t="s">
        <v>4</v>
      </c>
      <c r="L13" s="57"/>
      <c r="M13" s="58"/>
      <c r="N13" s="53" t="s">
        <v>5</v>
      </c>
      <c r="O13" s="54"/>
      <c r="P13" s="55"/>
    </row>
    <row r="14" spans="1:16" ht="15.75" thickBot="1" x14ac:dyDescent="0.3">
      <c r="A14" s="2" t="s">
        <v>7</v>
      </c>
      <c r="B14" s="4" t="s">
        <v>8</v>
      </c>
      <c r="C14" s="5" t="s">
        <v>9</v>
      </c>
      <c r="D14" s="6" t="s">
        <v>10</v>
      </c>
      <c r="E14" s="9" t="s">
        <v>11</v>
      </c>
      <c r="F14" s="7" t="s">
        <v>12</v>
      </c>
      <c r="G14" s="8" t="s">
        <v>13</v>
      </c>
      <c r="H14" s="4" t="s">
        <v>14</v>
      </c>
      <c r="I14" s="5" t="s">
        <v>15</v>
      </c>
      <c r="J14" s="6" t="s">
        <v>16</v>
      </c>
      <c r="K14" s="9" t="s">
        <v>17</v>
      </c>
      <c r="L14" s="7" t="s">
        <v>18</v>
      </c>
      <c r="M14" s="8" t="s">
        <v>19</v>
      </c>
      <c r="N14" s="4" t="s">
        <v>20</v>
      </c>
      <c r="O14" s="5" t="s">
        <v>21</v>
      </c>
      <c r="P14" s="6" t="s">
        <v>22</v>
      </c>
    </row>
    <row r="15" spans="1:16" ht="15.75" thickBot="1" x14ac:dyDescent="0.3">
      <c r="A15" s="17" t="s">
        <v>23</v>
      </c>
      <c r="B15" s="16">
        <f t="shared" ref="B15:M15" si="0">IFERROR((B5/B$8),0)</f>
        <v>0.42105263157894735</v>
      </c>
      <c r="C15" s="16">
        <f t="shared" si="0"/>
        <v>0.3699788583509514</v>
      </c>
      <c r="D15" s="16">
        <f t="shared" si="0"/>
        <v>0.34673024523160761</v>
      </c>
      <c r="E15" s="16">
        <f t="shared" si="0"/>
        <v>0.35306122448979593</v>
      </c>
      <c r="F15" s="16">
        <f t="shared" si="0"/>
        <v>0.38519637462235651</v>
      </c>
      <c r="G15" s="16">
        <f t="shared" si="0"/>
        <v>0.36574970941495544</v>
      </c>
      <c r="H15" s="16">
        <f t="shared" si="0"/>
        <v>0.35704125177809387</v>
      </c>
      <c r="I15" s="16">
        <f t="shared" si="0"/>
        <v>0.40803465931469085</v>
      </c>
      <c r="J15" s="16">
        <f t="shared" si="0"/>
        <v>0.41881390593047035</v>
      </c>
      <c r="K15" s="16">
        <f t="shared" si="0"/>
        <v>0.41450777202072536</v>
      </c>
      <c r="L15" s="16">
        <f t="shared" si="0"/>
        <v>0.42959964012595592</v>
      </c>
      <c r="M15" s="16">
        <f t="shared" si="0"/>
        <v>0.42475839852738151</v>
      </c>
      <c r="N15" s="16">
        <f>IFERROR((N5/N$8),0)</f>
        <v>0</v>
      </c>
      <c r="O15" s="16">
        <f t="shared" ref="O15:P15" si="1">IFERROR((O5/O$8),0)</f>
        <v>0.43073910915320607</v>
      </c>
      <c r="P15" s="16">
        <f t="shared" si="1"/>
        <v>0.43640897755610975</v>
      </c>
    </row>
    <row r="16" spans="1:16" ht="15.75" thickBot="1" x14ac:dyDescent="0.3">
      <c r="A16" s="18" t="s">
        <v>24</v>
      </c>
      <c r="B16" s="16">
        <f t="shared" ref="B16:O16" si="2">IFERROR((B6/B$8),0)</f>
        <v>0.57894736842105265</v>
      </c>
      <c r="C16" s="16">
        <f t="shared" si="2"/>
        <v>0.62156448202959835</v>
      </c>
      <c r="D16" s="16">
        <f t="shared" si="2"/>
        <v>0.64168937329700271</v>
      </c>
      <c r="E16" s="16">
        <f t="shared" si="2"/>
        <v>0.6306122448979592</v>
      </c>
      <c r="F16" s="16">
        <f t="shared" si="2"/>
        <v>0.60171198388721048</v>
      </c>
      <c r="G16" s="16">
        <f t="shared" si="2"/>
        <v>0.62301433552886476</v>
      </c>
      <c r="H16" s="16">
        <f t="shared" si="2"/>
        <v>0.62731152204836416</v>
      </c>
      <c r="I16" s="16">
        <f t="shared" si="2"/>
        <v>0.58133123276880661</v>
      </c>
      <c r="J16" s="16">
        <f t="shared" si="2"/>
        <v>0.57137014314928425</v>
      </c>
      <c r="K16" s="16">
        <f t="shared" si="2"/>
        <v>0.57512953367875652</v>
      </c>
      <c r="L16" s="16">
        <f t="shared" si="2"/>
        <v>0.56275303643724695</v>
      </c>
      <c r="M16" s="16">
        <f t="shared" si="2"/>
        <v>0.56465715600552235</v>
      </c>
      <c r="N16" s="16">
        <f t="shared" si="2"/>
        <v>0</v>
      </c>
      <c r="O16" s="16">
        <f t="shared" si="2"/>
        <v>0.56289769946157608</v>
      </c>
      <c r="P16" s="16">
        <f t="shared" ref="P16" si="3">IFERROR((P6/P$8),0)</f>
        <v>0.55810473815461348</v>
      </c>
    </row>
    <row r="17" spans="1:16" ht="15.75" thickBot="1" x14ac:dyDescent="0.3">
      <c r="A17" s="19" t="s">
        <v>25</v>
      </c>
      <c r="B17" s="16">
        <f t="shared" ref="B17:O17" si="4">IFERROR((B7/B$8),0)</f>
        <v>0</v>
      </c>
      <c r="C17" s="16">
        <f t="shared" si="4"/>
        <v>8.4566596194503175E-3</v>
      </c>
      <c r="D17" s="16">
        <f t="shared" si="4"/>
        <v>1.1580381471389645E-2</v>
      </c>
      <c r="E17" s="16">
        <f t="shared" si="4"/>
        <v>1.6326530612244899E-2</v>
      </c>
      <c r="F17" s="16">
        <f t="shared" si="4"/>
        <v>1.3091641490433032E-2</v>
      </c>
      <c r="G17" s="16">
        <f t="shared" si="4"/>
        <v>1.1235955056179775E-2</v>
      </c>
      <c r="H17" s="16">
        <f t="shared" si="4"/>
        <v>1.5647226173541962E-2</v>
      </c>
      <c r="I17" s="16">
        <f t="shared" si="4"/>
        <v>1.063410791650256E-2</v>
      </c>
      <c r="J17" s="16">
        <f t="shared" si="4"/>
        <v>9.8159509202453993E-3</v>
      </c>
      <c r="K17" s="16">
        <f t="shared" si="4"/>
        <v>1.0362694300518135E-2</v>
      </c>
      <c r="L17" s="16">
        <f t="shared" si="4"/>
        <v>7.6473234367971212E-3</v>
      </c>
      <c r="M17" s="16">
        <f t="shared" si="4"/>
        <v>1.0584445467096181E-2</v>
      </c>
      <c r="N17" s="16">
        <f t="shared" si="4"/>
        <v>0</v>
      </c>
      <c r="O17" s="16">
        <f t="shared" si="4"/>
        <v>6.3631913852178167E-3</v>
      </c>
      <c r="P17" s="16">
        <f t="shared" ref="P17" si="5">IFERROR((P7/P$8),0)</f>
        <v>5.4862842892768084E-3</v>
      </c>
    </row>
    <row r="18" spans="1:16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5.75" x14ac:dyDescent="0.25">
      <c r="A19" s="44" t="s">
        <v>29</v>
      </c>
      <c r="B19" s="47" t="s">
        <v>29</v>
      </c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9"/>
    </row>
    <row r="20" spans="1:16" ht="16.5" thickBot="1" x14ac:dyDescent="0.3">
      <c r="A20" s="45"/>
      <c r="B20" s="50" t="str">
        <f>B12</f>
        <v>MSJC I-15 Corridor / TEM Total by Gender</v>
      </c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2"/>
    </row>
    <row r="21" spans="1:16" ht="15.75" thickBot="1" x14ac:dyDescent="0.3">
      <c r="A21" s="46"/>
      <c r="B21" s="68" t="s">
        <v>1</v>
      </c>
      <c r="C21" s="69"/>
      <c r="D21" s="70"/>
      <c r="E21" s="56" t="s">
        <v>2</v>
      </c>
      <c r="F21" s="57"/>
      <c r="G21" s="58"/>
      <c r="H21" s="53" t="s">
        <v>3</v>
      </c>
      <c r="I21" s="54"/>
      <c r="J21" s="55"/>
      <c r="K21" s="56" t="s">
        <v>4</v>
      </c>
      <c r="L21" s="57"/>
      <c r="M21" s="58"/>
      <c r="N21" s="53" t="s">
        <v>5</v>
      </c>
      <c r="O21" s="54"/>
      <c r="P21" s="55"/>
    </row>
    <row r="22" spans="1:16" ht="15.75" thickBot="1" x14ac:dyDescent="0.3">
      <c r="A22" s="2" t="s">
        <v>7</v>
      </c>
      <c r="B22" s="20" t="s">
        <v>8</v>
      </c>
      <c r="C22" s="21" t="s">
        <v>9</v>
      </c>
      <c r="D22" s="22" t="s">
        <v>10</v>
      </c>
      <c r="E22" s="20" t="s">
        <v>11</v>
      </c>
      <c r="F22" s="21" t="s">
        <v>12</v>
      </c>
      <c r="G22" s="22" t="s">
        <v>13</v>
      </c>
      <c r="H22" s="20" t="s">
        <v>14</v>
      </c>
      <c r="I22" s="21" t="s">
        <v>15</v>
      </c>
      <c r="J22" s="22" t="s">
        <v>16</v>
      </c>
      <c r="K22" s="20" t="s">
        <v>17</v>
      </c>
      <c r="L22" s="21" t="s">
        <v>18</v>
      </c>
      <c r="M22" s="22" t="s">
        <v>19</v>
      </c>
      <c r="N22" s="20" t="s">
        <v>20</v>
      </c>
      <c r="O22" s="21" t="s">
        <v>21</v>
      </c>
      <c r="P22" s="22" t="s">
        <v>22</v>
      </c>
    </row>
    <row r="23" spans="1:16" x14ac:dyDescent="0.25">
      <c r="A23" s="17" t="s">
        <v>23</v>
      </c>
      <c r="B23" s="3">
        <f>IFERROR(VLOOKUP($A23,'[3]success rates'!$A:P,HLOOKUP(B$22,'[3]success rates'!$1:$2,2,FALSE),FALSE),"")</f>
        <v>1</v>
      </c>
      <c r="C23" s="3">
        <f>IFERROR(VLOOKUP($A23,'[3]success rates'!$A:Q,HLOOKUP(C$22,'[3]success rates'!$1:$2,2,FALSE),FALSE),"")</f>
        <v>0.64273504273504278</v>
      </c>
      <c r="D23" s="3">
        <f>IFERROR(VLOOKUP($A23,'[3]success rates'!$A:R,HLOOKUP(D$22,'[3]success rates'!$1:$2,2,FALSE),FALSE),"")</f>
        <v>0.66666666666666663</v>
      </c>
      <c r="E23" s="3">
        <f>IFERROR(VLOOKUP($A23,'[3]success rates'!$A:S,HLOOKUP(E$22,'[3]success rates'!$1:$2,2,FALSE),FALSE),"")</f>
        <v>0.85</v>
      </c>
      <c r="F23" s="3">
        <f>IFERROR(VLOOKUP($A23,'[3]success rates'!$A:T,HLOOKUP(F$22,'[3]success rates'!$1:$2,2,FALSE),FALSE),"")</f>
        <v>0.69315895372233405</v>
      </c>
      <c r="G23" s="3">
        <f>IFERROR(VLOOKUP($A23,'[3]success rates'!$A:U,HLOOKUP(G$22,'[3]success rates'!$1:$2,2,FALSE),FALSE),"")</f>
        <v>0.70041841004184102</v>
      </c>
      <c r="H23" s="3">
        <f>IFERROR(VLOOKUP($A23,'[3]success rates'!$A:V,HLOOKUP(H$22,'[3]success rates'!$1:$2,2,FALSE),FALSE),"")</f>
        <v>0.78030303030303028</v>
      </c>
      <c r="I23" s="3">
        <f>IFERROR(VLOOKUP($A23,'[3]success rates'!$A:W,HLOOKUP(I$22,'[3]success rates'!$1:$2,2,FALSE),FALSE),"")</f>
        <v>0.70680272108843534</v>
      </c>
      <c r="J23" s="3">
        <f>IFERROR(VLOOKUP($A23,'[3]success rates'!$A:X,HLOOKUP(J$22,'[3]success rates'!$1:$2,2,FALSE),FALSE),"")</f>
        <v>0.67362924281984338</v>
      </c>
      <c r="K23" s="3">
        <f>IFERROR(VLOOKUP($A23,'[3]success rates'!$A:Y,HLOOKUP(K$22,'[3]success rates'!$1:$2,2,FALSE),FALSE),"")</f>
        <v>0.87283236994219648</v>
      </c>
      <c r="L23" s="3">
        <f>IFERROR(VLOOKUP($A23,'[3]success rates'!$A:Z,HLOOKUP(L$22,'[3]success rates'!$1:$2,2,FALSE),FALSE),"")</f>
        <v>0.69785714285714284</v>
      </c>
      <c r="M23" s="3">
        <f>IFERROR(VLOOKUP($A23,'[3]success rates'!$A:AA,HLOOKUP(M$22,'[3]success rates'!$1:$2,2,FALSE),FALSE),"")</f>
        <v>0.67950693374422189</v>
      </c>
      <c r="N23" s="3" t="str">
        <f>IFERROR(VLOOKUP($A23,'[3]success rates'!$A:AB,HLOOKUP(N$22,'[3]success rates'!$1:$2,2,FALSE),FALSE),"")</f>
        <v/>
      </c>
      <c r="O23" s="3">
        <f>IFERROR(VLOOKUP($A23,'[3]success rates'!$A:AC,HLOOKUP(O$22,'[3]success rates'!$1:$2,2,FALSE),FALSE),"")</f>
        <v>0.73762765121759621</v>
      </c>
      <c r="P23" s="3">
        <f>IFERROR(VLOOKUP($A23,'[3]success rates'!$A:AD,HLOOKUP(P$22,'[3]success rates'!$1:$2,2,FALSE),FALSE),"")</f>
        <v>0.72538030424339472</v>
      </c>
    </row>
    <row r="24" spans="1:16" x14ac:dyDescent="0.25">
      <c r="A24" s="18" t="s">
        <v>24</v>
      </c>
      <c r="B24" s="3">
        <f>IFERROR(VLOOKUP($A24,'[3]success rates'!$A:P,HLOOKUP(B$22,'[3]success rates'!$1:$2,2,FALSE),FALSE),"")</f>
        <v>1</v>
      </c>
      <c r="C24" s="3">
        <f>IFERROR(VLOOKUP($A24,'[3]success rates'!$A:Q,HLOOKUP(C$22,'[3]success rates'!$1:$2,2,FALSE),FALSE),"")</f>
        <v>0.67551020408163265</v>
      </c>
      <c r="D24" s="3">
        <f>IFERROR(VLOOKUP($A24,'[3]success rates'!$A:R,HLOOKUP(D$22,'[3]success rates'!$1:$2,2,FALSE),FALSE),"")</f>
        <v>0.76447105788423153</v>
      </c>
      <c r="E24" s="3">
        <f>IFERROR(VLOOKUP($A24,'[3]success rates'!$A:S,HLOOKUP(E$22,'[3]success rates'!$1:$2,2,FALSE),FALSE),"")</f>
        <v>0.88695652173913042</v>
      </c>
      <c r="F24" s="3">
        <f>IFERROR(VLOOKUP($A24,'[3]success rates'!$A:T,HLOOKUP(F$22,'[3]success rates'!$1:$2,2,FALSE),FALSE),"")</f>
        <v>0.69993434011818778</v>
      </c>
      <c r="G24" s="3">
        <f>IFERROR(VLOOKUP($A24,'[3]success rates'!$A:U,HLOOKUP(G$22,'[3]success rates'!$1:$2,2,FALSE),FALSE),"")</f>
        <v>0.75256222547584184</v>
      </c>
      <c r="H24" s="3">
        <f>IFERROR(VLOOKUP($A24,'[3]success rates'!$A:V,HLOOKUP(H$22,'[3]success rates'!$1:$2,2,FALSE),FALSE),"")</f>
        <v>0.86051502145922742</v>
      </c>
      <c r="I24" s="3">
        <f>IFERROR(VLOOKUP($A24,'[3]success rates'!$A:W,HLOOKUP(I$22,'[3]success rates'!$1:$2,2,FALSE),FALSE),"")</f>
        <v>0.77187658067779463</v>
      </c>
      <c r="J24" s="3">
        <f>IFERROR(VLOOKUP($A24,'[3]success rates'!$A:X,HLOOKUP(J$22,'[3]success rates'!$1:$2,2,FALSE),FALSE),"")</f>
        <v>0.72915613946437596</v>
      </c>
      <c r="K24" s="3">
        <f>IFERROR(VLOOKUP($A24,'[3]success rates'!$A:Y,HLOOKUP(K$22,'[3]success rates'!$1:$2,2,FALSE),FALSE),"")</f>
        <v>0.88311688311688308</v>
      </c>
      <c r="L24" s="3">
        <f>IFERROR(VLOOKUP($A24,'[3]success rates'!$A:Z,HLOOKUP(L$22,'[3]success rates'!$1:$2,2,FALSE),FALSE),"")</f>
        <v>0.76813966175668302</v>
      </c>
      <c r="M24" s="3">
        <f>IFERROR(VLOOKUP($A24,'[3]success rates'!$A:AA,HLOOKUP(M$22,'[3]success rates'!$1:$2,2,FALSE),FALSE),"")</f>
        <v>0.75480489225393133</v>
      </c>
      <c r="N24" s="3" t="str">
        <f>IFERROR(VLOOKUP($A24,'[3]success rates'!$A:AB,HLOOKUP(N$22,'[3]success rates'!$1:$2,2,FALSE),FALSE),"")</f>
        <v/>
      </c>
      <c r="O24" s="3">
        <f>IFERROR(VLOOKUP($A24,'[3]success rates'!$A:AC,HLOOKUP(O$22,'[3]success rates'!$1:$2,2,FALSE),FALSE),"")</f>
        <v>0.7846919726197884</v>
      </c>
      <c r="P24" s="3">
        <f>IFERROR(VLOOKUP($A24,'[3]success rates'!$A:AD,HLOOKUP(P$22,'[3]success rates'!$1:$2,2,FALSE),FALSE),"")</f>
        <v>0.74840764331210186</v>
      </c>
    </row>
    <row r="25" spans="1:16" ht="15.75" thickBot="1" x14ac:dyDescent="0.3">
      <c r="A25" s="19" t="s">
        <v>25</v>
      </c>
      <c r="B25" s="3" t="str">
        <f>IFERROR(VLOOKUP($A25,'[3]success rates'!$A:P,HLOOKUP(B$22,'[3]success rates'!$1:$2,2,FALSE),FALSE),"")</f>
        <v/>
      </c>
      <c r="C25" s="3">
        <f>IFERROR(VLOOKUP($A25,'[3]success rates'!$A:Q,HLOOKUP(C$22,'[3]success rates'!$1:$2,2,FALSE),FALSE),"")</f>
        <v>0.7142857142857143</v>
      </c>
      <c r="D25" s="3">
        <f>IFERROR(VLOOKUP($A25,'[3]success rates'!$A:R,HLOOKUP(D$22,'[3]success rates'!$1:$2,2,FALSE),FALSE),"")</f>
        <v>0.76190476190476186</v>
      </c>
      <c r="E25" s="3">
        <f>IFERROR(VLOOKUP($A25,'[3]success rates'!$A:S,HLOOKUP(E$22,'[3]success rates'!$1:$2,2,FALSE),FALSE),"")</f>
        <v>0.88888888888888884</v>
      </c>
      <c r="F25" s="3">
        <f>IFERROR(VLOOKUP($A25,'[3]success rates'!$A:T,HLOOKUP(F$22,'[3]success rates'!$1:$2,2,FALSE),FALSE),"")</f>
        <v>0.83783783783783783</v>
      </c>
      <c r="G25" s="3">
        <f>IFERROR(VLOOKUP($A25,'[3]success rates'!$A:U,HLOOKUP(G$22,'[3]success rates'!$1:$2,2,FALSE),FALSE),"")</f>
        <v>0.79487179487179482</v>
      </c>
      <c r="H25" s="3">
        <f>IFERROR(VLOOKUP($A25,'[3]success rates'!$A:V,HLOOKUP(H$22,'[3]success rates'!$1:$2,2,FALSE),FALSE),"")</f>
        <v>1</v>
      </c>
      <c r="I25" s="3">
        <f>IFERROR(VLOOKUP($A25,'[3]success rates'!$A:W,HLOOKUP(I$22,'[3]success rates'!$1:$2,2,FALSE),FALSE),"")</f>
        <v>0.625</v>
      </c>
      <c r="J25" s="3">
        <f>IFERROR(VLOOKUP($A25,'[3]success rates'!$A:X,HLOOKUP(J$22,'[3]success rates'!$1:$2,2,FALSE),FALSE),"")</f>
        <v>0.7</v>
      </c>
      <c r="K25" s="3">
        <f>IFERROR(VLOOKUP($A25,'[3]success rates'!$A:Y,HLOOKUP(K$22,'[3]success rates'!$1:$2,2,FALSE),FALSE),"")</f>
        <v>0.5</v>
      </c>
      <c r="L25" s="3">
        <f>IFERROR(VLOOKUP($A25,'[3]success rates'!$A:Z,HLOOKUP(L$22,'[3]success rates'!$1:$2,2,FALSE),FALSE),"")</f>
        <v>0.81818181818181823</v>
      </c>
      <c r="M25" s="3">
        <f>IFERROR(VLOOKUP($A25,'[3]success rates'!$A:AA,HLOOKUP(M$22,'[3]success rates'!$1:$2,2,FALSE),FALSE),"")</f>
        <v>0.66666666666666663</v>
      </c>
      <c r="N25" s="3" t="str">
        <f>IFERROR(VLOOKUP($A25,'[3]success rates'!$A:AB,HLOOKUP(N$22,'[3]success rates'!$1:$2,2,FALSE),FALSE),"")</f>
        <v/>
      </c>
      <c r="O25" s="3">
        <f>IFERROR(VLOOKUP($A25,'[3]success rates'!$A:AC,HLOOKUP(O$22,'[3]success rates'!$1:$2,2,FALSE),FALSE),"")</f>
        <v>0.90476190476190477</v>
      </c>
      <c r="P25" s="3">
        <f>IFERROR(VLOOKUP($A25,'[3]success rates'!$A:AD,HLOOKUP(P$22,'[3]success rates'!$1:$2,2,FALSE),FALSE),"")</f>
        <v>0.7857142857142857</v>
      </c>
    </row>
    <row r="26" spans="1:16" s="1" customFormat="1" ht="15.75" thickBot="1" x14ac:dyDescent="0.3">
      <c r="A26" s="19" t="s">
        <v>30</v>
      </c>
      <c r="B26" s="43">
        <f>IFERROR(VLOOKUP('[3]success rates'!$A$7,'[3]success rates'!$A:$P,HLOOKUP(B$22,'[3]success rates'!$1:$2,2,FALSE),FALSE),"")</f>
        <v>1</v>
      </c>
      <c r="C26" s="43">
        <f>IFERROR(VLOOKUP('[3]success rates'!$A$7,'[3]success rates'!$A:$P,HLOOKUP(C$22,'[3]success rates'!$1:$2,2,FALSE),FALSE),"")</f>
        <v>0.66371120962634578</v>
      </c>
      <c r="D26" s="43">
        <f>IFERROR(VLOOKUP('[3]success rates'!$A$7,'[3]success rates'!$A:$P,HLOOKUP(D$22,'[3]success rates'!$1:$2,2,FALSE),FALSE),"")</f>
        <v>0.72991777356103726</v>
      </c>
      <c r="E26" s="43">
        <f>IFERROR(VLOOKUP('[3]success rates'!$A$7,'[3]success rates'!$A:$P,HLOOKUP(E$22,'[3]success rates'!$1:$2,2,FALSE),FALSE),"")</f>
        <v>0.87364620938628157</v>
      </c>
      <c r="F26" s="43">
        <f>IFERROR(VLOOKUP('[3]success rates'!$A$7,'[3]success rates'!$A:$P,HLOOKUP(F$22,'[3]success rates'!$1:$2,2,FALSE),FALSE),"")</f>
        <v>0.69929522317932657</v>
      </c>
      <c r="G26" s="43">
        <f>IFERROR(VLOOKUP('[3]success rates'!$A$7,'[3]success rates'!$A:$P,HLOOKUP(G$22,'[3]success rates'!$1:$2,2,FALSE),FALSE),"")</f>
        <v>0.73408467864757843</v>
      </c>
      <c r="H26" s="43">
        <f>IFERROR(VLOOKUP('[3]success rates'!$A$7,'[3]success rates'!$A:$P,HLOOKUP(H$22,'[3]success rates'!$1:$2,2,FALSE),FALSE),"")</f>
        <v>0.83489932885906037</v>
      </c>
      <c r="I26" s="43">
        <f>IFERROR(VLOOKUP('[3]success rates'!$A$7,'[3]success rates'!$A:$P,HLOOKUP(I$22,'[3]success rates'!$1:$2,2,FALSE),FALSE),"")</f>
        <v>0.74302960620868064</v>
      </c>
      <c r="J26" s="43">
        <f>IFERROR(VLOOKUP('[3]success rates'!$A$7,'[3]success rates'!$A:$P,HLOOKUP(J$22,'[3]success rates'!$1:$2,2,FALSE),FALSE),"")</f>
        <v>0.70488562552951139</v>
      </c>
      <c r="K26" s="43">
        <f>IFERROR(VLOOKUP('[3]success rates'!$A$7,'[3]success rates'!$A:$P,HLOOKUP(K$22,'[3]success rates'!$1:$2,2,FALSE),FALSE),"")</f>
        <v>0.875</v>
      </c>
      <c r="L26" s="43">
        <f>IFERROR(VLOOKUP('[3]success rates'!$A$7,'[3]success rates'!$A:$P,HLOOKUP(L$22,'[3]success rates'!$1:$2,2,FALSE),FALSE),"")</f>
        <v>0.73824884792626733</v>
      </c>
      <c r="M26" s="43">
        <f>IFERROR(VLOOKUP('[3]success rates'!$A$7,'[3]success rates'!$A:$P,HLOOKUP(M$22,'[3]success rates'!$1:$2,2,FALSE),FALSE),"")</f>
        <v>0.72183908045977008</v>
      </c>
      <c r="N26" s="43" t="str">
        <f>IFERROR(VLOOKUP('[3]success rates'!$A$7,'[3]success rates'!$A:$P,HLOOKUP(N$22,'[3]success rates'!$1:$2,2,FALSE),FALSE),"")</f>
        <v/>
      </c>
      <c r="O26" s="43">
        <f>IFERROR(VLOOKUP('[3]success rates'!$A$7,'[3]success rates'!$A:$P,HLOOKUP(O$22,'[3]success rates'!$1:$2,2,FALSE),FALSE),"")</f>
        <v>0.76490865218890036</v>
      </c>
      <c r="P26" s="43">
        <f>IFERROR(VLOOKUP('[3]success rates'!$A$7,'[3]success rates'!$A:$P,HLOOKUP(P$22,'[3]success rates'!$1:$2,2,FALSE),FALSE),"")</f>
        <v>0.73843981644899404</v>
      </c>
    </row>
    <row r="27" spans="1:16" x14ac:dyDescent="0.25">
      <c r="A27" s="23" t="s">
        <v>31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24" t="s">
        <v>32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"/>
    </row>
    <row r="29" spans="1:16" x14ac:dyDescent="0.25">
      <c r="A29" s="1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"/>
    </row>
  </sheetData>
  <mergeCells count="29">
    <mergeCell ref="B9:D9"/>
    <mergeCell ref="E9:G9"/>
    <mergeCell ref="H9:J9"/>
    <mergeCell ref="K9:M9"/>
    <mergeCell ref="N9:P9"/>
    <mergeCell ref="A19:A21"/>
    <mergeCell ref="B19:P19"/>
    <mergeCell ref="B20:P20"/>
    <mergeCell ref="B21:D21"/>
    <mergeCell ref="E21:G21"/>
    <mergeCell ref="H21:J21"/>
    <mergeCell ref="K21:M21"/>
    <mergeCell ref="N21:P21"/>
    <mergeCell ref="A1:A3"/>
    <mergeCell ref="B1:P1"/>
    <mergeCell ref="B2:P2"/>
    <mergeCell ref="B3:D3"/>
    <mergeCell ref="E3:G3"/>
    <mergeCell ref="H3:J3"/>
    <mergeCell ref="K3:M3"/>
    <mergeCell ref="N3:P3"/>
    <mergeCell ref="A11:A13"/>
    <mergeCell ref="B11:P11"/>
    <mergeCell ref="B12:P12"/>
    <mergeCell ref="B13:D13"/>
    <mergeCell ref="E13:G13"/>
    <mergeCell ref="H13:J13"/>
    <mergeCell ref="K13:M13"/>
    <mergeCell ref="N13:P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249F01B-2AE3-4290-B467-280D79BF1562}"/>
</file>

<file path=customXml/itemProps2.xml><?xml version="1.0" encoding="utf-8"?>
<ds:datastoreItem xmlns:ds="http://schemas.openxmlformats.org/officeDocument/2006/customXml" ds:itemID="{68DC1232-2562-492C-AC0C-88AD046BE227}"/>
</file>

<file path=customXml/itemProps3.xml><?xml version="1.0" encoding="utf-8"?>
<ds:datastoreItem xmlns:ds="http://schemas.openxmlformats.org/officeDocument/2006/customXml" ds:itemID="{4B663A8E-C7BC-4AEA-B400-F416D916A2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2012-03-22T21:49:41Z</dcterms:created>
  <dcterms:modified xsi:type="dcterms:W3CDTF">2012-08-14T15:37:26Z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